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3/"/>
    </mc:Choice>
  </mc:AlternateContent>
  <xr:revisionPtr revIDLastSave="0" documentId="13_ncr:20001_{852ABA8B-5373-E94A-BB86-0BB70A9130E4}" xr6:coauthVersionLast="47" xr6:coauthVersionMax="47" xr10:uidLastSave="{00000000-0000-0000-0000-000000000000}"/>
  <bookViews>
    <workbookView xWindow="0" yWindow="500" windowWidth="33600" windowHeight="19580" tabRatio="500"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Z338"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6" i="1"/>
  <c r="Y286" i="1"/>
  <c r="Z285" i="1"/>
  <c r="Y285" i="1"/>
  <c r="Z280" i="1"/>
  <c r="Y280" i="1"/>
  <c r="Z278" i="1"/>
  <c r="Y278" i="1"/>
  <c r="Z277" i="1"/>
  <c r="Y277" i="1"/>
  <c r="Z276" i="1"/>
  <c r="Y276" i="1"/>
  <c r="Z275" i="1"/>
  <c r="Y275" i="1"/>
  <c r="Z274" i="1"/>
  <c r="Y274" i="1"/>
  <c r="Z273" i="1"/>
  <c r="Y273" i="1"/>
  <c r="Z271" i="1"/>
  <c r="Y271" i="1"/>
  <c r="Z270" i="1"/>
  <c r="Y270" i="1"/>
  <c r="Z269" i="1"/>
  <c r="Y269" i="1"/>
  <c r="Z268" i="1"/>
  <c r="Y268" i="1"/>
  <c r="Z266" i="1"/>
  <c r="Y266" i="1"/>
  <c r="Z265" i="1"/>
  <c r="Y265" i="1"/>
  <c r="Z264" i="1"/>
  <c r="Y264" i="1"/>
  <c r="Z262" i="1"/>
  <c r="Y262" i="1"/>
  <c r="Z261" i="1"/>
  <c r="Y261" i="1"/>
  <c r="Z260" i="1"/>
  <c r="Y260" i="1"/>
  <c r="Z259" i="1"/>
  <c r="Y259"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Z193" i="1"/>
  <c r="Y193" i="1"/>
  <c r="Z192" i="1"/>
  <c r="Y192" i="1"/>
  <c r="Z191" i="1"/>
  <c r="Y191" i="1"/>
  <c r="Z190" i="1"/>
  <c r="Y190" i="1"/>
  <c r="Z189" i="1"/>
  <c r="Y189" i="1"/>
  <c r="Z188" i="1"/>
  <c r="Y188" i="1"/>
  <c r="Z187" i="1"/>
  <c r="Y187" i="1"/>
  <c r="Z186" i="1"/>
  <c r="Y186" i="1"/>
  <c r="Z185" i="1"/>
  <c r="Y185" i="1"/>
  <c r="Z184" i="1"/>
  <c r="Y184" i="1"/>
  <c r="Z183" i="1"/>
  <c r="Y183" i="1"/>
  <c r="Z182" i="1"/>
  <c r="Y182" i="1"/>
  <c r="Z181" i="1"/>
  <c r="Y181" i="1"/>
  <c r="Z180" i="1"/>
  <c r="Y180" i="1"/>
  <c r="Z179" i="1"/>
  <c r="Y179" i="1"/>
  <c r="Z178" i="1"/>
  <c r="Y178" i="1"/>
  <c r="Z177" i="1"/>
  <c r="Y177" i="1"/>
  <c r="Z175" i="1"/>
  <c r="Y175" i="1"/>
  <c r="Z174" i="1"/>
  <c r="Y174" i="1"/>
  <c r="Z173" i="1"/>
  <c r="Y173" i="1"/>
  <c r="Z172" i="1"/>
  <c r="Y172" i="1"/>
  <c r="Y168" i="1"/>
  <c r="Y167" i="1"/>
  <c r="Z166" i="1"/>
  <c r="Y166" i="1"/>
  <c r="Z165" i="1"/>
  <c r="Y165" i="1"/>
  <c r="Z164" i="1"/>
  <c r="Y164" i="1"/>
  <c r="X164" i="1"/>
  <c r="Z156" i="1"/>
  <c r="Y156" i="1"/>
  <c r="Z155" i="1"/>
  <c r="Y155" i="1"/>
  <c r="Z154" i="1"/>
  <c r="Y154" i="1"/>
  <c r="Z153" i="1"/>
  <c r="Y153" i="1"/>
  <c r="Z152" i="1"/>
  <c r="Y152" i="1"/>
  <c r="Z151" i="1"/>
  <c r="Y151" i="1"/>
  <c r="Z150" i="1"/>
  <c r="Y150" i="1"/>
  <c r="Z149" i="1"/>
  <c r="Y149" i="1"/>
  <c r="Z148" i="1"/>
  <c r="Y148" i="1"/>
  <c r="Z147" i="1"/>
  <c r="Y147" i="1"/>
  <c r="Z146" i="1"/>
  <c r="Y146" i="1"/>
  <c r="Z145" i="1"/>
  <c r="Y145" i="1"/>
  <c r="Z144" i="1"/>
  <c r="Y144" i="1"/>
  <c r="Z143" i="1"/>
  <c r="Y143" i="1"/>
  <c r="Z142" i="1"/>
  <c r="Y142" i="1"/>
  <c r="Z141" i="1"/>
  <c r="Y141" i="1"/>
  <c r="Z140" i="1"/>
  <c r="Y140" i="1"/>
  <c r="Z137" i="1"/>
  <c r="Y137" i="1"/>
  <c r="Z136" i="1"/>
  <c r="Y136" i="1"/>
  <c r="Z135" i="1"/>
  <c r="Y135" i="1"/>
  <c r="Z134" i="1"/>
  <c r="Y134" i="1"/>
  <c r="Z133" i="1"/>
  <c r="Y133" i="1"/>
  <c r="Z132" i="1"/>
  <c r="Y132" i="1"/>
  <c r="Z131" i="1"/>
  <c r="Y131" i="1"/>
  <c r="Z130" i="1"/>
  <c r="Y130" i="1"/>
  <c r="Z129" i="1"/>
  <c r="Y129" i="1"/>
  <c r="Z128" i="1"/>
  <c r="Y128" i="1"/>
  <c r="Z127" i="1"/>
  <c r="Y127" i="1"/>
  <c r="X127" i="1"/>
  <c r="Z126" i="1"/>
  <c r="Y126" i="1"/>
  <c r="Z125" i="1"/>
  <c r="Y125" i="1"/>
  <c r="Z124" i="1"/>
  <c r="Y124" i="1"/>
  <c r="Z123" i="1"/>
  <c r="Y123" i="1"/>
  <c r="X122" i="1"/>
  <c r="V122" i="1"/>
  <c r="W122" i="1" s="1"/>
  <c r="X121" i="1"/>
  <c r="V121" i="1"/>
  <c r="W121" i="1" s="1"/>
  <c r="X120" i="1"/>
  <c r="W120" i="1"/>
  <c r="V120" i="1"/>
  <c r="X119" i="1"/>
  <c r="W119" i="1"/>
  <c r="V119" i="1"/>
  <c r="Z118" i="1"/>
  <c r="Y118" i="1"/>
  <c r="X118" i="1"/>
  <c r="Z117" i="1"/>
  <c r="Y117" i="1"/>
  <c r="X117" i="1"/>
  <c r="Z116" i="1"/>
  <c r="X116" i="1"/>
  <c r="Y116" i="1" s="1"/>
  <c r="Z115" i="1"/>
  <c r="Y115" i="1"/>
  <c r="X115" i="1"/>
  <c r="Z114" i="1"/>
  <c r="X114" i="1"/>
  <c r="Y114" i="1" s="1"/>
  <c r="Z113" i="1"/>
  <c r="Y113" i="1"/>
  <c r="X113" i="1"/>
  <c r="Z112" i="1"/>
  <c r="Y112" i="1"/>
  <c r="X112" i="1"/>
  <c r="Z106" i="1"/>
  <c r="Y106" i="1"/>
  <c r="X106" i="1"/>
  <c r="Z105" i="1"/>
  <c r="Y105" i="1"/>
  <c r="X105" i="1"/>
  <c r="Z104" i="1"/>
  <c r="Y104" i="1"/>
  <c r="X104" i="1"/>
  <c r="Z101" i="1"/>
  <c r="Y101" i="1"/>
  <c r="X101" i="1"/>
  <c r="Z100" i="1"/>
  <c r="X100" i="1"/>
  <c r="Y100" i="1" s="1"/>
  <c r="Z99" i="1"/>
  <c r="X99" i="1"/>
  <c r="Y99" i="1" s="1"/>
  <c r="Z98" i="1"/>
  <c r="Y98" i="1"/>
  <c r="X98" i="1"/>
  <c r="Y97" i="1"/>
  <c r="X97" i="1"/>
  <c r="Z97" i="1" s="1"/>
  <c r="Y96" i="1"/>
  <c r="X96" i="1"/>
  <c r="Z96" i="1" s="1"/>
  <c r="Z95" i="1"/>
  <c r="X95" i="1"/>
  <c r="Y95" i="1" s="1"/>
  <c r="Z94" i="1"/>
  <c r="Y94" i="1"/>
  <c r="X94" i="1"/>
  <c r="Z93" i="1"/>
  <c r="X93" i="1"/>
  <c r="Y93" i="1" s="1"/>
  <c r="Z92" i="1"/>
  <c r="Y92" i="1"/>
  <c r="X92" i="1"/>
  <c r="X91" i="1"/>
  <c r="Z91" i="1" s="1"/>
  <c r="Z90" i="1"/>
  <c r="Y90" i="1"/>
  <c r="X90" i="1"/>
  <c r="Z87" i="1"/>
  <c r="Y87" i="1"/>
  <c r="X87" i="1"/>
  <c r="Z86" i="1"/>
  <c r="Y86" i="1"/>
  <c r="X86" i="1"/>
  <c r="Z85" i="1"/>
  <c r="Y85" i="1"/>
  <c r="X85" i="1"/>
  <c r="Z84" i="1"/>
  <c r="Y84" i="1"/>
  <c r="X84" i="1"/>
  <c r="Z83" i="1"/>
  <c r="Y83" i="1"/>
  <c r="X83" i="1"/>
  <c r="X82" i="1"/>
  <c r="Z82" i="1" s="1"/>
  <c r="X81" i="1"/>
  <c r="Z81" i="1" s="1"/>
  <c r="Z80" i="1"/>
  <c r="Y80" i="1"/>
  <c r="X80" i="1"/>
  <c r="Y79" i="1"/>
  <c r="X79" i="1"/>
  <c r="Z79" i="1" s="1"/>
  <c r="Z78" i="1"/>
  <c r="Y78" i="1"/>
  <c r="X78" i="1"/>
  <c r="Z77" i="1"/>
  <c r="X77" i="1"/>
  <c r="Y77" i="1" s="1"/>
  <c r="Z76" i="1"/>
  <c r="Y76" i="1"/>
  <c r="X76" i="1"/>
  <c r="Z72" i="1"/>
  <c r="X72" i="1"/>
  <c r="Y72" i="1" s="1"/>
  <c r="Z71" i="1"/>
  <c r="X71" i="1"/>
  <c r="Y71" i="1" s="1"/>
  <c r="Z70" i="1"/>
  <c r="Y70" i="1"/>
  <c r="X70" i="1"/>
  <c r="Z69" i="1"/>
  <c r="Y69" i="1"/>
  <c r="X69" i="1"/>
  <c r="Z68" i="1"/>
  <c r="Y68" i="1"/>
  <c r="X68" i="1"/>
  <c r="X67" i="1"/>
  <c r="Z67" i="1" s="1"/>
  <c r="Z66" i="1"/>
  <c r="Y66" i="1"/>
  <c r="X66" i="1"/>
  <c r="Z65" i="1"/>
  <c r="Y65" i="1"/>
  <c r="X65" i="1"/>
  <c r="Z64" i="1"/>
  <c r="Y64" i="1"/>
  <c r="X64" i="1"/>
  <c r="Z63" i="1"/>
  <c r="Y63" i="1"/>
  <c r="X63" i="1"/>
  <c r="Z62" i="1"/>
  <c r="Y62" i="1"/>
  <c r="X62" i="1"/>
  <c r="Z61" i="1"/>
  <c r="Y61" i="1"/>
  <c r="X61" i="1"/>
  <c r="Z60" i="1"/>
  <c r="Y60" i="1"/>
  <c r="X60" i="1"/>
  <c r="Z59" i="1"/>
  <c r="Y59" i="1"/>
  <c r="X59" i="1"/>
  <c r="Z58" i="1"/>
  <c r="X58" i="1"/>
  <c r="Y58" i="1" s="1"/>
  <c r="Z57" i="1"/>
  <c r="Y57" i="1"/>
  <c r="X57" i="1"/>
  <c r="Z56" i="1"/>
  <c r="X56" i="1"/>
  <c r="Y56" i="1" s="1"/>
  <c r="Z55" i="1"/>
  <c r="X55" i="1"/>
  <c r="Y55" i="1" s="1"/>
  <c r="Z54" i="1"/>
  <c r="Y54" i="1"/>
  <c r="X54" i="1"/>
  <c r="Z53" i="1"/>
  <c r="Y53" i="1"/>
  <c r="X53" i="1"/>
  <c r="Z52" i="1"/>
  <c r="Y52" i="1"/>
  <c r="X52" i="1"/>
  <c r="Y51" i="1"/>
  <c r="X51" i="1"/>
  <c r="Z51" i="1" s="1"/>
  <c r="Z50" i="1"/>
  <c r="Y50" i="1"/>
  <c r="X50" i="1"/>
  <c r="Z49" i="1"/>
  <c r="Y49" i="1"/>
  <c r="X49" i="1"/>
  <c r="Z48" i="1"/>
  <c r="Y48" i="1"/>
  <c r="X48" i="1"/>
  <c r="X47" i="1"/>
  <c r="Z47" i="1" s="1"/>
  <c r="X46" i="1"/>
  <c r="Z46" i="1" s="1"/>
  <c r="Z44" i="1"/>
  <c r="Y44" i="1"/>
  <c r="X44" i="1"/>
  <c r="Z43" i="1"/>
  <c r="Y43" i="1"/>
  <c r="Z42" i="1"/>
  <c r="Y42" i="1"/>
  <c r="Z41" i="1"/>
  <c r="Y41" i="1"/>
  <c r="X41" i="1"/>
  <c r="X40" i="1"/>
  <c r="Y40" i="1" s="1"/>
  <c r="Z39" i="1"/>
  <c r="Y39" i="1"/>
  <c r="X39" i="1"/>
  <c r="Z38" i="1"/>
  <c r="Y38" i="1"/>
  <c r="X38" i="1"/>
  <c r="Z37" i="1"/>
  <c r="Y37" i="1"/>
  <c r="X37" i="1"/>
  <c r="X36" i="1"/>
  <c r="Z36" i="1" s="1"/>
  <c r="Z35" i="1"/>
  <c r="Y35" i="1"/>
  <c r="X35" i="1"/>
  <c r="Z34" i="1"/>
  <c r="Y34" i="1"/>
  <c r="X34" i="1"/>
  <c r="Z33" i="1"/>
  <c r="Y33" i="1"/>
  <c r="X33" i="1"/>
  <c r="Z32" i="1"/>
  <c r="Y32" i="1"/>
  <c r="X32" i="1"/>
  <c r="Z31" i="1"/>
  <c r="Y31" i="1"/>
  <c r="X31" i="1"/>
  <c r="Z30" i="1"/>
  <c r="Y30" i="1"/>
  <c r="X30" i="1"/>
  <c r="Z29" i="1"/>
  <c r="X29" i="1"/>
  <c r="Y29" i="1" s="1"/>
  <c r="Z28" i="1"/>
  <c r="X28" i="1"/>
  <c r="Y28" i="1" s="1"/>
  <c r="Z27" i="1"/>
  <c r="X27" i="1"/>
  <c r="Y27" i="1" s="1"/>
  <c r="Z26" i="1"/>
  <c r="Y26" i="1"/>
  <c r="X26" i="1"/>
  <c r="Z25" i="1"/>
  <c r="Y25" i="1"/>
  <c r="X25" i="1"/>
  <c r="Z24" i="1"/>
  <c r="X24" i="1"/>
  <c r="Y24" i="1" s="1"/>
  <c r="Z23" i="1"/>
  <c r="Y23" i="1"/>
  <c r="X23" i="1"/>
  <c r="X22" i="1"/>
  <c r="Z22" i="1" s="1"/>
  <c r="Z21" i="1"/>
  <c r="Y21" i="1"/>
  <c r="X21" i="1"/>
  <c r="X20" i="1"/>
  <c r="Z20" i="1" s="1"/>
  <c r="Z19" i="1"/>
  <c r="Y19" i="1"/>
  <c r="X19" i="1"/>
  <c r="Z18" i="1"/>
  <c r="Y18" i="1"/>
  <c r="Z17" i="1"/>
  <c r="Y17" i="1"/>
  <c r="Z16" i="1"/>
  <c r="Y16" i="1"/>
  <c r="Z15" i="1"/>
  <c r="Y15" i="1"/>
  <c r="Y14" i="1"/>
  <c r="X14" i="1"/>
  <c r="Z14" i="1" s="1"/>
  <c r="Z13" i="1"/>
  <c r="Y13" i="1"/>
  <c r="Z11" i="1"/>
  <c r="Y11" i="1"/>
  <c r="Z10" i="1"/>
  <c r="Y10" i="1"/>
  <c r="Z5" i="1"/>
  <c r="Y5" i="1"/>
  <c r="Z4" i="1"/>
  <c r="Z345" i="1" s="1"/>
  <c r="Y4" i="1"/>
  <c r="Z3" i="1"/>
  <c r="Y3" i="1"/>
  <c r="Z2" i="1"/>
  <c r="Y2" i="1"/>
  <c r="Y22" i="1" l="1"/>
  <c r="Y67" i="1"/>
  <c r="Y46" i="1"/>
  <c r="Y81" i="1"/>
  <c r="Y47" i="1"/>
  <c r="Y82" i="1"/>
  <c r="Y20" i="1"/>
  <c r="Y345" i="1" s="1"/>
  <c r="Y36" i="1"/>
  <c r="Y91" i="1"/>
</calcChain>
</file>

<file path=xl/sharedStrings.xml><?xml version="1.0" encoding="utf-8"?>
<sst xmlns="http://schemas.openxmlformats.org/spreadsheetml/2006/main" count="6948" uniqueCount="2988">
  <si>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</si>
  <si>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</si>
  <si>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</si>
  <si>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</si>
  <si>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</si>
  <si>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</si>
  <si>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</si>
  <si>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</si>
  <si>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</si>
  <si>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</si>
  <si>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</si>
  <si>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</si>
  <si>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</si>
  <si>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</si>
  <si>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</si>
  <si>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</si>
  <si>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</si>
  <si>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</si>
  <si>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</si>
  <si>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</si>
  <si>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</si>
  <si>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</si>
  <si>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</si>
  <si>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</si>
  <si>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</si>
  <si>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</si>
  <si>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</si>
  <si>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</si>
  <si>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</si>
  <si>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</si>
  <si>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</si>
  <si>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</si>
  <si>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</si>
  <si>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</si>
  <si>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</si>
  <si>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</si>
  <si>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</si>
  <si>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</si>
  <si>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</si>
  <si>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</si>
  <si>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</si>
  <si>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</si>
  <si>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</si>
  <si>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</si>
  <si>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</si>
  <si>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</si>
  <si>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</si>
  <si>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</si>
  <si>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${encuestador_}.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</si>
  <si>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</si>
  <si>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 xml:space="preserve"> </t>
  </si>
  <si>
    <t>false</t>
  </si>
  <si>
    <t>no</t>
  </si>
  <si>
    <t>select_one yesno</t>
  </si>
  <si>
    <t>resp_agree</t>
  </si>
  <si>
    <t>Are you interested in participating in this survey?</t>
  </si>
  <si>
    <t>¿Está interesado en participar en esta encuesta?</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</si>
  <si>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</si>
  <si>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</si>
  <si>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</si>
  <si>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</si>
  <si>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</si>
  <si>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</si>
  <si>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</si>
  <si>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</si>
  <si>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${resp_agree} = '1'</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</si>
  <si>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</si>
  <si>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</si>
  <si>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</si>
  <si>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</si>
  <si>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</si>
  <si>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</si>
  <si>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</si>
  <si>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</si>
  <si>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</si>
  <si>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</si>
  <si>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</si>
  <si>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</si>
  <si>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</si>
  <si>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</si>
  <si>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</si>
  <si>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</si>
  <si>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</si>
  <si>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nan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</si>
  <si>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</si>
  <si>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</si>
  <si>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</si>
  <si>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</si>
  <si>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</si>
  <si>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</si>
  <si>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</si>
  <si>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</si>
  <si>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</si>
  <si>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numbers</t>
  </si>
  <si>
    <t>regex(.,’^[0-9]{3}$’)</t>
  </si>
  <si>
    <t>Please enter the telephone number in the correct format, e.g. nan</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</si>
  <si>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</si>
  <si>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</si>
  <si>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</si>
  <si>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</si>
  <si>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</si>
  <si>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</si>
  <si>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</si>
  <si>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</si>
  <si>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</si>
  <si>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</si>
  <si>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</si>
  <si>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</si>
  <si>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</si>
  <si>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</si>
  <si>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</si>
  <si>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</si>
  <si>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</si>
  <si>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</si>
  <si>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</si>
  <si>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</si>
  <si>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</si>
  <si>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</si>
  <si>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</si>
  <si>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</si>
  <si>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</si>
  <si>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</si>
  <si>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</si>
  <si>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</si>
  <si>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</si>
  <si>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</si>
  <si>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</si>
  <si>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</si>
  <si>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</si>
  <si>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</si>
  <si>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</si>
  <si>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</si>
  <si>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</si>
  <si>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</si>
  <si>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select_one yes_no</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</si>
  <si>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</si>
  <si>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</si>
  <si>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</si>
  <si>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</si>
  <si>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</si>
  <si>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</si>
  <si>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</si>
  <si>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</si>
  <si>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</si>
  <si>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</si>
  <si>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</si>
  <si>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</si>
  <si>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</si>
  <si>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</si>
  <si>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</si>
  <si>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</si>
  <si>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</si>
  <si>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o_select_one gender</t>
  </si>
  <si>
    <t>¿Cuál es el sexo de la persona cabeza de hogar?</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</si>
  <si>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</si>
  <si>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</si>
  <si>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</si>
  <si>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</si>
  <si>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</si>
  <si>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</si>
  <si>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</si>
  <si>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</si>
  <si>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</si>
  <si>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</si>
  <si>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</si>
  <si>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</si>
  <si>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</si>
  <si>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</si>
  <si>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</si>
  <si>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</si>
  <si>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</si>
  <si>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</si>
  <si>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</si>
  <si>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</si>
  <si>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</si>
  <si>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</si>
  <si>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</si>
  <si>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</si>
  <si>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</si>
  <si>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</si>
  <si>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</si>
  <si>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</si>
  <si>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</si>
  <si>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</si>
  <si>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</si>
  <si>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</si>
  <si>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</si>
  <si>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</si>
  <si>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</si>
  <si>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</si>
  <si>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</si>
  <si>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</si>
  <si>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</si>
  <si>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</si>
  <si>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</si>
  <si>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</si>
  <si>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</si>
  <si>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</si>
  <si>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</si>
  <si>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</si>
  <si>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</si>
  <si>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</si>
  <si>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</si>
  <si>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FUENTES DE INGRESO, MEDIOS DE VIDA Y CHOQUES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</si>
  <si>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</si>
  <si>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</si>
  <si>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</si>
  <si>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</si>
  <si>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</si>
  <si>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</si>
  <si>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</si>
  <si>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</si>
  <si>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</si>
  <si>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</si>
  <si>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</si>
  <si>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</si>
  <si>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</si>
  <si>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</si>
  <si>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</si>
  <si>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</si>
  <si>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</si>
  <si>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</si>
  <si>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</si>
  <si>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</si>
  <si>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</si>
  <si>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</si>
  <si>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</si>
  <si>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</si>
  <si>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</si>
  <si>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</si>
  <si>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</si>
  <si>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</si>
  <si>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</si>
  <si>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</si>
  <si>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</si>
  <si>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</si>
  <si>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</si>
  <si>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</si>
  <si>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</si>
  <si>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</si>
  <si>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</si>
  <si>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</si>
  <si>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</si>
  <si>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</si>
  <si>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</si>
  <si>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</si>
  <si>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</si>
  <si>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</si>
  <si>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</si>
  <si>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</si>
  <si>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nan?</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</si>
  <si>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</si>
  <si>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</si>
  <si>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</si>
  <si>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</si>
  <si>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</si>
  <si>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</si>
  <si>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</si>
  <si>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</si>
  <si>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</si>
  <si>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</si>
  <si>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</si>
  <si>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</si>
  <si>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</si>
  <si>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</si>
  <si>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</si>
  <si>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</si>
  <si>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</si>
  <si>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</si>
  <si>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Quetzal) from your second main income source, ${incomesec}, in the past 3 months ?</t>
  </si>
  <si>
    <t>¿Cuánto ganó (en Quetzal) por la segunda fuente de ingresos, ${incomesec}, en los últimos 3 meses?</t>
  </si>
  <si>
    <t xml:space="preserve">${income_main} != '19' and ${income_main} != '20' and ${income_sec} != '19' and ${income_sec} != '20' and ${income_sec} != '21' </t>
  </si>
  <si>
    <t>income_sec_amount_conf</t>
  </si>
  <si>
    <t>${income_sec_amount} &gt; 80000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</si>
  <si>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</si>
  <si>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</si>
  <si>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</si>
  <si>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</si>
  <si>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</si>
  <si>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</si>
  <si>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</si>
  <si>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</si>
  <si>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</si>
  <si>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</si>
  <si>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</si>
  <si>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</si>
  <si>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</si>
  <si>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</si>
  <si>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</si>
  <si>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</si>
  <si>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</si>
  <si>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</si>
  <si>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</si>
  <si>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</si>
  <si>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Quetzal) from your third main income source, ${incomethird}, in the past 3 months ?</t>
  </si>
  <si>
    <t>¿Cuánto ganó (en Quetzal)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</si>
  <si>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</si>
  <si>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</si>
  <si>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80000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</si>
  <si>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</si>
  <si>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</si>
  <si>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</si>
  <si>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nan?</t>
  </si>
  <si>
    <t>En los últimos 3 meses, ¿han cambiado los ingresos del hogar provenientes de la ${incomethird} comparado con el mismo periodo en el año pasado?</t>
  </si>
  <si>
    <t>o_farm_laborer</t>
  </si>
  <si>
    <t>A member of the household receives income as a farm laborer throughout the year?</t>
  </si>
  <si>
    <t>Algún miembro del hogar recibe ingresos como jornalero agrícola durante el año?</t>
  </si>
  <si>
    <t>[INSTRUCTIONS: SINGLE RESPONSE.]</t>
  </si>
  <si>
    <t>[ENCUESTADOR/A: RESPUESTA ÚNICA.]</t>
  </si>
  <si>
    <t>select_one o_crop_laborer</t>
  </si>
  <si>
    <t>o_crop_laborer</t>
  </si>
  <si>
    <t>In which crop it carries out agricultural work?</t>
  </si>
  <si>
    <t>En qué cultivo realiza labores agropecuarias?</t>
  </si>
  <si>
    <t>if(selected(., 'dk') or selected(., 'ref'), count-selected(.) = 1, count-selected(.) &gt;= 1)</t>
  </si>
  <si>
    <t>${o_farm_laborer} = 1</t>
  </si>
  <si>
    <t>o_cost_wages</t>
  </si>
  <si>
    <t>What is the cost of the daily agricultural wage (in Quetzal) in the main agricultural work?</t>
  </si>
  <si>
    <t>¿Cuál es el monto por dia del jornal agrícola (en Quetzal) de la labor agropecuaria principal?</t>
  </si>
  <si>
    <t>[ENCUESTADOR/A: RESPUESTA ÚNICA. INDICAR EL MONTO DEL JORNAL, POR DIA, EN QUETZALES]</t>
  </si>
  <si>
    <t>o_time_wages</t>
  </si>
  <si>
    <t>How long (in months) do you work as an agricultural laborer during the year?</t>
  </si>
  <si>
    <t>¿Cuánto tiempo (en meses) realiza labores como jornalero agrícola durante el año?</t>
  </si>
  <si>
    <t>[ENCUESTADOR/A: RESPUESTA ÚNICA. INDICAR LA CANTIDAD DE MESES QUE LOS MIEMBROS DEL HOGAR TRABAJAN COMO JORNALEROS EN LA LABOR AGROPECUARIA PRINCIPAL.]</t>
  </si>
  <si>
    <t>select_one o_remittance_use</t>
  </si>
  <si>
    <t>o_remittance_use</t>
  </si>
  <si>
    <t>If you receive remittances at home, explain or define what you mainly use the money from remittances for?</t>
  </si>
  <si>
    <t>Si en su hogar reciben remesas, explique o defina en qué utiliza principalmente el dinero de las remesas?</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</si>
  <si>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</si>
  <si>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</si>
  <si>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</si>
  <si>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</si>
  <si>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</si>
  <si>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</si>
  <si>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</si>
  <si>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</si>
  <si>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</si>
  <si>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el hogar se vio afectado recientemente por un impacto importante objeto de esta evaluación [por ejemplo, un terremoto], con sus propias palabras, ¿Cuáles cree que son las consecuencias [esperadas] para su hogar?</t>
  </si>
  <si>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</si>
  <si>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</si>
  <si>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</si>
  <si>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select_multiple covidmeasures</t>
  </si>
  <si>
    <t>covid</t>
  </si>
  <si>
    <t>Have you or anyone in your household been affected by movement restrictions or social distancing measures aimed at containing COVID-19 in the last 3 months?</t>
  </si>
  <si>
    <t>¿Usted o alguien en su hogar se ha visto afectado por restricciones de movimiento o medidas de distanciamiento social destinadas a contener el COVID-19 en los últimos 3 meses?</t>
  </si>
  <si>
    <t>[INSTRUCTIONS: MULTIPLE RESPONSES POSSIBLE.]</t>
  </si>
  <si>
    <t>covid_otherspecify</t>
  </si>
  <si>
    <t>If other, specify.</t>
  </si>
  <si>
    <t xml:space="preserve">Si otros, especifique. </t>
  </si>
  <si>
    <t>[INSTRUCTIONS: RECORD THE OPEN RESPONSE GIVEN IN FEW WORDS. ENTER 888 FOR DON'T KNOW AND 999 FOR REFUSED]</t>
  </si>
  <si>
    <t>selected(${covid}, 'other')</t>
  </si>
  <si>
    <t>o_corn_price_market</t>
  </si>
  <si>
    <t>What is the current cost (in Quetzal) of the quintal of corn in the market?</t>
  </si>
  <si>
    <t>¿Cuál es el precio actual (en Quetzal) del quintal de maíz en el mercado?</t>
  </si>
  <si>
    <t>. &gt;= 0</t>
  </si>
  <si>
    <t>o_beans_price_market</t>
  </si>
  <si>
    <t>What is the current cost (in Quetzal) of the quintal of beans in the market?</t>
  </si>
  <si>
    <t>¿Cuál es el precio actual (en Quetzal) del quintal de frijol en el mercado?</t>
  </si>
  <si>
    <t>o_corn_reserve</t>
  </si>
  <si>
    <t>How many quintals of reserve corn do you currently have in your home?</t>
  </si>
  <si>
    <t>Cuántos quintales de maíz de reserva tiene actualmente en su hogar?</t>
  </si>
  <si>
    <t>o_beans_reserve</t>
  </si>
  <si>
    <t>How many quintals of reserve beans do you currently have in your home?</t>
  </si>
  <si>
    <t>Cuántos quintales de frijol de reserva tiene actualmente en su hogar?</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</si>
  <si>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</si>
  <si>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</si>
  <si>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</si>
  <si>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</si>
  <si>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</si>
  <si>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primera.</t>
  </si>
  <si>
    <t>select_one o_production_use</t>
  </si>
  <si>
    <t>o_production_use</t>
  </si>
  <si>
    <t>Your crop production is intended for consumption, sale or both?</t>
  </si>
  <si>
    <t>¿Su producción de cultivos es destinada al consumo, venta o ambos?</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</si>
  <si>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</si>
  <si>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</si>
  <si>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</si>
  <si>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</si>
  <si>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</si>
  <si>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</si>
  <si>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</si>
  <si>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</si>
  <si>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</si>
  <si>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</si>
  <si>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</si>
  <si>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</si>
  <si>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crop</t>
  </si>
  <si>
    <t>crp_main</t>
  </si>
  <si>
    <t>What is the main crop that your household grows for food or income generation in primera, if any?</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</si>
  <si>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</si>
  <si>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</si>
  <si>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</si>
  <si>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</si>
  <si>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</si>
  <si>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</si>
  <si>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primera?</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</si>
  <si>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</si>
  <si>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</si>
  <si>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</si>
  <si>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</si>
  <si>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</si>
  <si>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</si>
  <si>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</si>
  <si>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</si>
  <si>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</si>
  <si>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</si>
  <si>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</si>
  <si>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</si>
  <si>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</si>
  <si>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</si>
  <si>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</si>
  <si>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</si>
  <si>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</si>
  <si>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</si>
  <si>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</si>
  <si>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</si>
  <si>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</si>
  <si>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[ENCUESTADOR/A: ES POSIBLE SELECCIONAR MÚLTIPLES RESPUESTAS.]</t>
  </si>
  <si>
    <t>if(selected(., 'ref') or selected(., 'dk'), count-selected(.) = 1, count-selected(.) &gt;= 1)</t>
  </si>
  <si>
    <t>crp_area_change</t>
  </si>
  <si>
    <t>How did the ***area planted*** for ${crpmain} from primera compare to nan?</t>
  </si>
  <si>
    <t>crp_harv_change</t>
  </si>
  <si>
    <t xml:space="preserve">How does the  ***harvest*** of ${crpmain} in the primera compare to nan? </t>
  </si>
  <si>
    <t>crp_harv_vol</t>
  </si>
  <si>
    <t>How much (threshed) ${crpmain} did you harvest this primera?</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</si>
  <si>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</si>
  <si>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</si>
  <si>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</si>
  <si>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</si>
  <si>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</si>
  <si>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</si>
  <si>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</si>
  <si>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</si>
  <si>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</si>
  <si>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</si>
  <si>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</si>
  <si>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</si>
  <si>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</si>
  <si>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</si>
  <si>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</si>
  <si>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</si>
  <si>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</si>
  <si>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</si>
  <si>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</si>
  <si>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t>Has your household faced any significant difficulty ***in terms of crop production*** in primera?</t>
  </si>
  <si>
    <t>${crp_main} != '888' and ${crp_main} != '999' and ${crp_main_check} != 1</t>
  </si>
  <si>
    <t>select_multiple cropproddiff</t>
  </si>
  <si>
    <t>crp_proddif_</t>
  </si>
  <si>
    <t>Which difficulties has your household faced with crop production in primera?</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</si>
  <si>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</si>
  <si>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</si>
  <si>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</si>
  <si>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Segunda_cosecha</t>
  </si>
  <si>
    <t>o_segunda_cosecha_2023</t>
  </si>
  <si>
    <t>How does the expected harvest of your main crop in the second season of 2023 compare to the second season of 2022?</t>
  </si>
  <si>
    <t>¿Como considera que será la segunda cosecha del 2023 para su cultivo principal comparado con la segunda cosecha del 2022?</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</si>
  <si>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</si>
  <si>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</si>
  <si>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</si>
  <si>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</si>
  <si>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</si>
  <si>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</si>
  <si>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</si>
  <si>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</si>
  <si>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</si>
  <si>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</si>
  <si>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</si>
  <si>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</si>
  <si>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</si>
  <si>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</si>
  <si>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</si>
  <si>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</si>
  <si>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</si>
  <si>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</si>
  <si>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</si>
  <si>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</si>
  <si>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</si>
  <si>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</si>
  <si>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</si>
  <si>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o_date_planting</t>
  </si>
  <si>
    <t>Do you consider that the average planting date has changed in the last 10 years?</t>
  </si>
  <si>
    <t>Considera que la fecha de siembra promedio ha cambiado en los últimos 10 años?</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</si>
  <si>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</si>
  <si>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</si>
  <si>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</si>
  <si>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</si>
  <si>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</si>
  <si>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</si>
  <si>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</si>
  <si>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</si>
  <si>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</si>
  <si>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</si>
  <si>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</si>
  <si>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</si>
  <si>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</si>
  <si>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</si>
  <si>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</si>
  <si>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</si>
  <si>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</si>
  <si>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</si>
  <si>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</si>
  <si>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</si>
  <si>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</si>
  <si>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</si>
  <si>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</si>
  <si>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</si>
  <si>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 xml:space="preserve">${crp_salesdif} = '1' </t>
  </si>
  <si>
    <t>crp_salesprice</t>
  </si>
  <si>
    <t>How does the current price of your household's ${crp_sales_main} compare to the average price in the same period of nan?</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</si>
  <si>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</si>
  <si>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</si>
  <si>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</si>
  <si>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</si>
  <si>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</si>
  <si>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</si>
  <si>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</si>
  <si>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</si>
  <si>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</si>
  <si>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</si>
  <si>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</si>
  <si>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</si>
  <si>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</si>
  <si>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</si>
  <si>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</si>
  <si>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</si>
  <si>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</si>
  <si>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</si>
  <si>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</si>
  <si>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</si>
  <si>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</si>
  <si>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</si>
  <si>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</si>
  <si>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</si>
  <si>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</si>
  <si>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</si>
  <si>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</si>
  <si>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</si>
  <si>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</si>
  <si>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</si>
  <si>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</si>
  <si>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</si>
  <si>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</si>
  <si>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</si>
  <si>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</si>
  <si>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</si>
  <si>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</si>
  <si>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</si>
  <si>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o_select_multiple lsfood</t>
  </si>
  <si>
    <t>ls_feed</t>
  </si>
  <si>
    <t xml:space="preserve">Where do you usually access feed for your ${lsmain}? </t>
  </si>
  <si>
    <t>¿En dónde compra la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</si>
  <si>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</si>
  <si>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</si>
  <si>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</si>
  <si>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</si>
  <si>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</si>
  <si>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</si>
  <si>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</si>
  <si>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</si>
  <si>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</si>
  <si>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</si>
  <si>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</si>
  <si>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</si>
  <si>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</si>
  <si>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</si>
  <si>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</si>
  <si>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</si>
  <si>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</si>
  <si>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</si>
  <si>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</si>
  <si>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</si>
  <si>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</si>
  <si>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</si>
  <si>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</si>
  <si>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</si>
  <si>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</si>
  <si>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</si>
  <si>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</si>
  <si>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</si>
  <si>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</si>
  <si>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</si>
  <si>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</si>
  <si>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</si>
  <si>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</si>
  <si>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</si>
  <si>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</si>
  <si>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</si>
  <si>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nan?</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</si>
  <si>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</si>
  <si>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</si>
  <si>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</si>
  <si>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</si>
  <si>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</si>
  <si>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</si>
  <si>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</si>
  <si>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</si>
  <si>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</si>
  <si>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</si>
  <si>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</si>
  <si>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</si>
  <si>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</si>
  <si>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</si>
  <si>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</si>
  <si>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</si>
  <si>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</si>
  <si>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</si>
  <si>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</si>
  <si>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</si>
  <si>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</si>
  <si>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</si>
  <si>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</si>
  <si>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</si>
  <si>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</si>
  <si>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</si>
  <si>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</si>
  <si>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</si>
  <si>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</si>
  <si>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</si>
  <si>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</si>
  <si>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</si>
  <si>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</si>
  <si>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</si>
  <si>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</si>
  <si>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</si>
  <si>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</si>
  <si>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</si>
  <si>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</si>
  <si>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</si>
  <si>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</si>
  <si>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</si>
  <si>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</si>
  <si>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</si>
  <si>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</si>
  <si>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</si>
  <si>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</si>
  <si>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</si>
  <si>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</si>
  <si>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</si>
  <si>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</si>
  <si>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</si>
  <si>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</si>
  <si>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</si>
  <si>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</si>
  <si>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</si>
  <si>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</si>
  <si>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</si>
  <si>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</si>
  <si>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</si>
  <si>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</si>
  <si>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</si>
  <si>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</si>
  <si>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¿Cómo se compara el precio actual de ${fishsalesmain} vendido por su hogar, con respecto con el precio promedio para el mismo periodo/cosecha de el año pasado?</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</si>
  <si>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</si>
  <si>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</si>
  <si>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</si>
  <si>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</si>
  <si>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</si>
  <si>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</si>
  <si>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</si>
  <si>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</si>
  <si>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</si>
  <si>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</si>
  <si>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</si>
  <si>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</si>
  <si>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</si>
  <si>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</si>
  <si>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</si>
  <si>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</si>
  <si>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</si>
  <si>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</si>
  <si>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</si>
  <si>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</si>
  <si>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</si>
  <si>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</si>
  <si>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</si>
  <si>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</si>
  <si>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</si>
  <si>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</si>
  <si>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</si>
  <si>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</si>
  <si>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</si>
  <si>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</si>
  <si>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</si>
  <si>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</si>
  <si>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</si>
  <si>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</si>
  <si>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</si>
  <si>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</si>
  <si>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</si>
  <si>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</si>
  <si>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</si>
  <si>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</si>
  <si>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</si>
  <si>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</si>
  <si>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</si>
  <si>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</si>
  <si>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</si>
  <si>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</si>
  <si>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</si>
  <si>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</si>
  <si>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</si>
  <si>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</si>
  <si>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</si>
  <si>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</si>
  <si>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</si>
  <si>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</si>
  <si>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</si>
  <si>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</si>
  <si>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</si>
  <si>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</si>
  <si>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</si>
  <si>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</si>
  <si>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</si>
  <si>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</si>
  <si>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</si>
  <si>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</si>
  <si>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</si>
  <si>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</si>
  <si>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</si>
  <si>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</si>
  <si>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</si>
  <si>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</si>
  <si>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</si>
  <si>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</si>
  <si>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</si>
  <si>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</si>
  <si>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</si>
  <si>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</si>
  <si>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</si>
  <si>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</si>
  <si>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</si>
  <si>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</si>
  <si>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</si>
  <si>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</si>
  <si>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</si>
  <si>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</si>
  <si>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</si>
  <si>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</si>
  <si>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</si>
  <si>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</si>
  <si>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</si>
  <si>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</si>
  <si>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</si>
  <si>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</si>
  <si>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</si>
  <si>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</si>
  <si>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</si>
  <si>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grp_gasto</t>
  </si>
  <si>
    <t>Gastos</t>
  </si>
  <si>
    <t>o_gastos_intro</t>
  </si>
  <si>
    <t>Now I would like to ask you about your household expenses</t>
  </si>
  <si>
    <t>Ahora me gustaría consultarle sobre los gastos en su hogar.</t>
  </si>
  <si>
    <t>o_gastos</t>
  </si>
  <si>
    <t>How much is the amount of monthly household expenses including food, transportation, housing, education, recreation, health, etc.</t>
  </si>
  <si>
    <t>Cuanto es el gasto total en su hogar mensualmente incluyedo, alimentos, transporte, vivienda, educación, recreación, salud, etc.</t>
  </si>
  <si>
    <t>o_alimentos</t>
  </si>
  <si>
    <t>Now could you tell me what the amount is only on food in a month, including food prepared at home or purchased.</t>
  </si>
  <si>
    <t>Ahora me podría indicar cual es el gasto solamente en alimentos en un mes, incluyendo alimentos preparados en casa o comprados.</t>
  </si>
  <si>
    <t>o_Gastos_confirmation</t>
  </si>
  <si>
    <t>[ENUMERATOR: remember that food expenditure cannot be greater than the total household expenditure.]</t>
  </si>
  <si>
    <t>[ENCUESTADOR/A: recuerde que el gasto en alimentos no puede ser mayor al gasto total del hogar.]</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</si>
  <si>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</si>
  <si>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</si>
  <si>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</si>
  <si>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</si>
  <si>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</si>
  <si>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</si>
  <si>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</si>
  <si>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</si>
  <si>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</si>
  <si>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</si>
  <si>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</si>
  <si>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</si>
  <si>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</si>
  <si>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</si>
  <si>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</si>
  <si>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</si>
  <si>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chipilin, loroco, hierba mora, quilete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</si>
  <si>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</si>
  <si>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</si>
  <si>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Anona, mango, banano, papaya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</si>
  <si>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</si>
  <si>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</si>
  <si>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</si>
  <si>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</si>
  <si>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</si>
  <si>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</si>
  <si>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</si>
  <si>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</si>
  <si>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</si>
  <si>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</si>
  <si>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</si>
  <si>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</si>
  <si>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</si>
  <si>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</si>
  <si>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</si>
  <si>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</si>
  <si>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</si>
  <si>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</si>
  <si>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</si>
  <si>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</si>
  <si>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</si>
  <si>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</si>
  <si>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</si>
  <si>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</si>
  <si>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</si>
  <si>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</si>
  <si>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</si>
  <si>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</si>
  <si>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</si>
  <si>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</si>
  <si>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</si>
  <si>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</si>
  <si>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</si>
  <si>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</si>
  <si>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</si>
  <si>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</si>
  <si>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</si>
  <si>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</si>
  <si>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</si>
  <si>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</si>
  <si>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NECESIDADES DE ASISTENCIA</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</si>
  <si>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</si>
  <si>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</si>
  <si>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</si>
  <si>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</si>
  <si>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</si>
  <si>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</si>
  <si>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</si>
  <si>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</si>
  <si>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</si>
  <si>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</si>
  <si>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</si>
  <si>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</si>
  <si>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</si>
  <si>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</si>
  <si>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</si>
  <si>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</si>
  <si>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</si>
  <si>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</si>
  <si>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</si>
  <si>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</si>
  <si>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</si>
  <si>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</si>
  <si>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</si>
  <si>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</si>
  <si>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</si>
  <si>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</si>
  <si>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</si>
  <si>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</si>
  <si>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</si>
  <si>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</si>
  <si>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</si>
  <si>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</si>
  <si>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</si>
  <si>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</si>
  <si>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</si>
  <si>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</si>
  <si>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CIERRE</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</si>
  <si>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</si>
  <si>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</si>
  <si>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</si>
  <si>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</si>
  <si>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</si>
  <si>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</si>
  <si>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</si>
  <si>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</si>
  <si>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</si>
  <si>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</si>
  <si>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</si>
  <si>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</si>
  <si>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</si>
  <si>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</si>
  <si>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</si>
  <si>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</si>
  <si>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</si>
  <si>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</si>
  <si>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</si>
  <si>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</si>
  <si>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</si>
  <si>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</si>
  <si>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</si>
  <si>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</si>
  <si>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</si>
  <si>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</si>
  <si>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</si>
  <si>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</si>
  <si>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</si>
  <si>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</si>
  <si>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</si>
  <si>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</si>
  <si>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</si>
  <si>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</si>
  <si>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</si>
  <si>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</si>
  <si>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</si>
  <si>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</si>
  <si>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</si>
  <si>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</si>
  <si>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</si>
  <si>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</si>
  <si>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</si>
  <si>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</si>
  <si>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</si>
  <si>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</si>
  <si>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</si>
  <si>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</si>
  <si>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</si>
  <si>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</si>
  <si>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enumerator name 4</t>
  </si>
  <si>
    <t>nombre de encuestador 4</t>
  </si>
  <si>
    <t>enumerator name 5</t>
  </si>
  <si>
    <t>nombre de encuestador 5</t>
  </si>
  <si>
    <t>enumerator name 6</t>
  </si>
  <si>
    <t>nombre de encuestador 6</t>
  </si>
  <si>
    <t>enumerator name 7</t>
  </si>
  <si>
    <t>nombre de encuestador 7</t>
  </si>
  <si>
    <t>enumerator name 8</t>
  </si>
  <si>
    <t>nombre de encuestador 8</t>
  </si>
  <si>
    <t>enumerator name 9</t>
  </si>
  <si>
    <t>nombre de encuestador 9</t>
  </si>
  <si>
    <t>enumerator name 10</t>
  </si>
  <si>
    <t>nombre de encuestador 10</t>
  </si>
  <si>
    <t>enumerator name 11</t>
  </si>
  <si>
    <t>nombre de encuestador 11</t>
  </si>
  <si>
    <t>enumerator name 12</t>
  </si>
  <si>
    <t>nombre de encuestador 12</t>
  </si>
  <si>
    <t>enumerator name 13</t>
  </si>
  <si>
    <t>nombre de encuestador 13</t>
  </si>
  <si>
    <t>enumerator name 14</t>
  </si>
  <si>
    <t>nombre de encuestador 14</t>
  </si>
  <si>
    <t>enumerator name 15</t>
  </si>
  <si>
    <t>nombre de encuestador 15</t>
  </si>
  <si>
    <t>enumerator name 16</t>
  </si>
  <si>
    <t>nombre de encuestador 16</t>
  </si>
  <si>
    <t>enumerator name 17</t>
  </si>
  <si>
    <t>nombre de encuestador 17</t>
  </si>
  <si>
    <t>enumerator name 18</t>
  </si>
  <si>
    <t>nombre de encuestador 18</t>
  </si>
  <si>
    <t>enumerator name 19</t>
  </si>
  <si>
    <t>nombre de encuestador 19</t>
  </si>
  <si>
    <t>enumerator name 20</t>
  </si>
  <si>
    <t>nombre de encuestador 20</t>
  </si>
  <si>
    <t>enumerator name 21</t>
  </si>
  <si>
    <t>nombre de encuestador 21</t>
  </si>
  <si>
    <t>enumerator name 22</t>
  </si>
  <si>
    <t>nombre de encuestador 22</t>
  </si>
  <si>
    <t>enumerator name 23</t>
  </si>
  <si>
    <t>nombre de encuestador 23</t>
  </si>
  <si>
    <t>enumerator name 24</t>
  </si>
  <si>
    <t>nombre de encuestador 24</t>
  </si>
  <si>
    <t>enumerator name 25</t>
  </si>
  <si>
    <t>nombre de encuestador 25</t>
  </si>
  <si>
    <t>enumerator name 26</t>
  </si>
  <si>
    <t>nombre de encuestador 26</t>
  </si>
  <si>
    <t>enumerator name 27</t>
  </si>
  <si>
    <t>nombre de encuestador 27</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</si>
  <si>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</si>
  <si>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</si>
  <si>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</si>
  <si>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</si>
  <si>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</si>
  <si>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</si>
  <si>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</si>
  <si>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</si>
  <si>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</si>
  <si>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</si>
  <si>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</si>
  <si>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</si>
  <si>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</si>
  <si>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</si>
  <si>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</si>
  <si>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</si>
  <si>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</si>
  <si>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</si>
  <si>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</si>
  <si>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</si>
  <si>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</si>
  <si>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</si>
  <si>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</si>
  <si>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</si>
  <si>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</si>
  <si>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</si>
  <si>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</si>
  <si>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</si>
  <si>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</si>
  <si>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</si>
  <si>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</si>
  <si>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</si>
  <si>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</si>
  <si>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</si>
  <si>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</si>
  <si>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</si>
  <si>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</si>
  <si>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</si>
  <si>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</si>
  <si>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</si>
  <si>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</si>
  <si>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</si>
  <si>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</si>
  <si>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</si>
  <si>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</si>
  <si>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</si>
  <si>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</si>
  <si>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</si>
  <si>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</si>
  <si>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</si>
  <si>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</si>
  <si>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</si>
  <si>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</si>
  <si>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</si>
  <si>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</si>
  <si>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</si>
  <si>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</si>
  <si>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</si>
  <si>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</si>
  <si>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</si>
  <si>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</si>
  <si>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</si>
  <si>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</si>
  <si>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</si>
  <si>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</si>
  <si>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</si>
  <si>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</si>
  <si>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</si>
  <si>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</si>
  <si>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</si>
  <si>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</si>
  <si>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</si>
  <si>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</si>
  <si>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</si>
  <si>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</si>
  <si>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</si>
  <si>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</si>
  <si>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</si>
  <si>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</si>
  <si>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</si>
  <si>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</si>
  <si>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</si>
  <si>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</si>
  <si>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</si>
  <si>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</si>
  <si>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</si>
  <si>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</si>
  <si>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</si>
  <si>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</si>
  <si>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</si>
  <si>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</si>
  <si>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</si>
  <si>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</si>
  <si>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</si>
  <si>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</si>
  <si>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</si>
  <si>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</si>
  <si>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</si>
  <si>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</si>
  <si>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</si>
  <si>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</si>
  <si>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</si>
  <si>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</si>
  <si>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</si>
  <si>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</si>
  <si>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</si>
  <si>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</si>
  <si>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</si>
  <si>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</si>
  <si>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</si>
  <si>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</si>
  <si>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</si>
  <si>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</si>
  <si>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</si>
  <si>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</si>
  <si>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</si>
  <si>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</si>
  <si>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</si>
  <si>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</si>
  <si>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</si>
  <si>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</si>
  <si>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</si>
  <si>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</si>
  <si>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</si>
  <si>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</si>
  <si>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</si>
  <si>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</si>
  <si>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</si>
  <si>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</si>
  <si>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</si>
  <si>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</si>
  <si>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</si>
  <si>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</si>
  <si>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</si>
  <si>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</si>
  <si>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</si>
  <si>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</si>
  <si>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</si>
  <si>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</si>
  <si>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</si>
  <si>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</si>
  <si>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</si>
  <si>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</si>
  <si>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</si>
  <si>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</si>
  <si>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</si>
  <si>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</si>
  <si>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</si>
  <si>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</si>
  <si>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</si>
  <si>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</si>
  <si>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</si>
  <si>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</si>
  <si>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</si>
  <si>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</si>
  <si>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</si>
  <si>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</si>
  <si>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</si>
  <si>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</si>
  <si>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</si>
  <si>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</si>
  <si>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</si>
  <si>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</si>
  <si>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</si>
  <si>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</si>
  <si>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</si>
  <si>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</si>
  <si>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</si>
  <si>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</si>
  <si>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</si>
  <si>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</si>
  <si>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</si>
  <si>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</si>
  <si>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</si>
  <si>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</si>
  <si>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</si>
  <si>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</si>
  <si>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</si>
  <si>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</si>
  <si>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</si>
  <si>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</si>
  <si>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</si>
  <si>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</si>
  <si>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</si>
  <si>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</si>
  <si>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</si>
  <si>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</si>
  <si>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</si>
  <si>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</si>
  <si>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</si>
  <si>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</si>
  <si>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</si>
  <si>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</si>
  <si>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</si>
  <si>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</si>
  <si>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</si>
  <si>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</si>
  <si>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</si>
  <si>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</si>
  <si>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</si>
  <si>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</si>
  <si>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</si>
  <si>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</si>
  <si>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</si>
  <si>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</si>
  <si>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</si>
  <si>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</si>
  <si>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</si>
  <si>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</si>
  <si>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</si>
  <si>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</si>
  <si>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</si>
  <si>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</si>
  <si>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</si>
  <si>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</si>
  <si>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</si>
  <si>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</si>
  <si>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</si>
  <si>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</si>
  <si>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</si>
  <si>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</si>
  <si>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</si>
  <si>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</si>
  <si>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</si>
  <si>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</si>
  <si>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</si>
  <si>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</si>
  <si>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</si>
  <si>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</si>
  <si>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</si>
  <si>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</si>
  <si>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</si>
  <si>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</si>
  <si>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</si>
  <si>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</si>
  <si>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</si>
  <si>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</si>
  <si>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</si>
  <si>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</si>
  <si>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</si>
  <si>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</si>
  <si>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</si>
  <si>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</si>
  <si>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</si>
  <si>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</si>
  <si>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</si>
  <si>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</si>
  <si>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</si>
  <si>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</si>
  <si>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</si>
  <si>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</si>
  <si>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</si>
  <si>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</si>
  <si>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</si>
  <si>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</si>
  <si>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</si>
  <si>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</si>
  <si>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</si>
  <si>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</si>
  <si>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</si>
  <si>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</si>
  <si>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</si>
  <si>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</si>
  <si>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</si>
  <si>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</si>
  <si>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</si>
  <si>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</si>
  <si>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</si>
  <si>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</si>
  <si>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</si>
  <si>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</si>
  <si>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</si>
  <si>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</si>
  <si>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</si>
  <si>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</si>
  <si>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</si>
  <si>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</si>
  <si>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</si>
  <si>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</si>
  <si>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</si>
  <si>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</si>
  <si>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</si>
  <si>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</si>
  <si>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</si>
  <si>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</si>
  <si>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</si>
  <si>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</si>
  <si>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</si>
  <si>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</si>
  <si>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</si>
  <si>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</si>
  <si>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</si>
  <si>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</si>
  <si>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</si>
  <si>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</si>
  <si>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</si>
  <si>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</si>
  <si>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</si>
  <si>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</si>
  <si>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</si>
  <si>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</si>
  <si>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</si>
  <si>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</si>
  <si>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</si>
  <si>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</si>
  <si>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</si>
  <si>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</si>
  <si>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</si>
  <si>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</si>
  <si>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</si>
  <si>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</si>
  <si>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</si>
  <si>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</si>
  <si>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</si>
  <si>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</si>
  <si>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</si>
  <si>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</si>
  <si>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</si>
  <si>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</si>
  <si>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</si>
  <si>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</si>
  <si>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</si>
  <si>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</si>
  <si>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</si>
  <si>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</si>
  <si>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</si>
  <si>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</si>
  <si>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</si>
  <si>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</si>
  <si>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</si>
  <si>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</si>
  <si>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</si>
  <si>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</si>
  <si>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</si>
  <si>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</si>
  <si>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</si>
  <si>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</si>
  <si>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</si>
  <si>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</si>
  <si>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</si>
  <si>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</si>
  <si>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</si>
  <si>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</si>
  <si>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</si>
  <si>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</si>
  <si>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</si>
  <si>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</si>
  <si>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</si>
  <si>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</si>
  <si>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</si>
  <si>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</si>
  <si>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</si>
  <si>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</si>
  <si>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</si>
  <si>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</si>
  <si>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</si>
  <si>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</si>
  <si>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</si>
  <si>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</si>
  <si>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</si>
  <si>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</si>
  <si>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</si>
  <si>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</si>
  <si>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</si>
  <si>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</si>
  <si>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</si>
  <si>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</si>
  <si>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</si>
  <si>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</si>
  <si>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</si>
  <si>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</si>
  <si>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</si>
  <si>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</si>
  <si>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</si>
  <si>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</si>
  <si>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</si>
  <si>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</si>
  <si>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</si>
  <si>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</si>
  <si>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</si>
  <si>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</si>
  <si>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</si>
  <si>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</si>
  <si>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</si>
  <si>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</si>
  <si>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</si>
  <si>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</si>
  <si>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</si>
  <si>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</si>
  <si>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</si>
  <si>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</si>
  <si>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</si>
  <si>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</si>
  <si>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</si>
  <si>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</si>
  <si>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</si>
  <si>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</si>
  <si>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</si>
  <si>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</si>
  <si>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</si>
  <si>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</si>
  <si>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</si>
  <si>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</si>
  <si>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</si>
  <si>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</si>
  <si>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</si>
  <si>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</si>
  <si>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</si>
  <si>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</si>
  <si>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</si>
  <si>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</si>
  <si>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</si>
  <si>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</si>
  <si>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</si>
  <si>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</si>
  <si>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</si>
  <si>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</si>
  <si>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</si>
  <si>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</si>
  <si>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</si>
  <si>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</si>
  <si>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</si>
  <si>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</si>
  <si>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</si>
  <si>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</si>
  <si>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</si>
  <si>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</si>
  <si>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</si>
  <si>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</si>
  <si>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</si>
  <si>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</si>
  <si>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</si>
  <si>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</si>
  <si>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</si>
  <si>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</si>
  <si>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</si>
  <si>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</si>
  <si>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</si>
  <si>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</si>
  <si>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</si>
  <si>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</si>
  <si>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</si>
  <si>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</si>
  <si>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</si>
  <si>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</si>
  <si>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</si>
  <si>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</si>
  <si>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</si>
  <si>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</si>
  <si>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</si>
  <si>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</si>
  <si>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</si>
  <si>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</si>
  <si>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</si>
  <si>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</si>
  <si>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</si>
  <si>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</si>
  <si>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</si>
  <si>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</si>
  <si>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</si>
  <si>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</si>
  <si>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</si>
  <si>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</si>
  <si>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</si>
  <si>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</si>
  <si>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</si>
  <si>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</si>
  <si>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</si>
  <si>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</si>
  <si>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</si>
  <si>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</si>
  <si>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</si>
  <si>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</si>
  <si>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</si>
  <si>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</si>
  <si>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</si>
  <si>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</si>
  <si>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</si>
  <si>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</si>
  <si>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</si>
  <si>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</si>
  <si>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</si>
  <si>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</si>
  <si>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</si>
  <si>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</si>
  <si>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</si>
  <si>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</si>
  <si>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</si>
  <si>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</si>
  <si>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</si>
  <si>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</si>
  <si>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</si>
  <si>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</si>
  <si>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</si>
  <si>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</si>
  <si>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</si>
  <si>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</si>
  <si>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</si>
  <si>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</si>
  <si>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</si>
  <si>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</si>
  <si>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</si>
  <si>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</si>
  <si>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</si>
  <si>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</si>
  <si>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</si>
  <si>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</si>
  <si>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</si>
  <si>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</si>
  <si>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</si>
  <si>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</si>
  <si>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</si>
  <si>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</si>
  <si>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</si>
  <si>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</si>
  <si>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</si>
  <si>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</si>
  <si>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</si>
  <si>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</si>
  <si>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</si>
  <si>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</si>
  <si>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</si>
  <si>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</si>
  <si>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</si>
  <si>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</si>
  <si>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</si>
  <si>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</si>
  <si>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</si>
  <si>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</si>
  <si>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</si>
  <si>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</si>
  <si>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</si>
  <si>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</si>
  <si>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</si>
  <si>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</si>
  <si>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</si>
  <si>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</si>
  <si>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</si>
  <si>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</si>
  <si>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</si>
  <si>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</si>
  <si>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</si>
  <si>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</si>
  <si>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</si>
  <si>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</si>
  <si>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</si>
  <si>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</si>
  <si>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</si>
  <si>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</si>
  <si>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</si>
  <si>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</si>
  <si>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</si>
  <si>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</si>
  <si>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</si>
  <si>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</si>
  <si>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</si>
  <si>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</si>
  <si>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</si>
  <si>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</si>
  <si>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</si>
  <si>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</si>
  <si>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</si>
  <si>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</si>
  <si>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</si>
  <si>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</si>
  <si>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</si>
  <si>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</si>
  <si>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</si>
  <si>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</si>
  <si>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</si>
  <si>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</si>
  <si>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</si>
  <si>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</si>
  <si>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</si>
  <si>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</si>
  <si>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</si>
  <si>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</si>
  <si>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</si>
  <si>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</si>
  <si>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</si>
  <si>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</si>
  <si>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</si>
  <si>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</si>
  <si>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</si>
  <si>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</si>
  <si>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</si>
  <si>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</si>
  <si>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</si>
  <si>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</si>
  <si>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</si>
  <si>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</si>
  <si>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</si>
  <si>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</si>
  <si>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</si>
  <si>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</si>
  <si>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</si>
  <si>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</si>
  <si>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</si>
  <si>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</si>
  <si>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</si>
  <si>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</si>
  <si>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</si>
  <si>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</si>
  <si>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</si>
  <si>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</si>
  <si>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</si>
  <si>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</si>
  <si>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</si>
  <si>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</si>
  <si>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</si>
  <si>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</si>
  <si>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</si>
  <si>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</si>
  <si>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</si>
  <si>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</si>
  <si>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</si>
  <si>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</si>
  <si>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</si>
  <si>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</si>
  <si>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</si>
  <si>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</si>
  <si>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</si>
  <si>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</si>
  <si>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</si>
  <si>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</si>
  <si>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</si>
  <si>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</si>
  <si>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</si>
  <si>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</si>
  <si>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</si>
  <si>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</si>
  <si>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</si>
  <si>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</si>
  <si>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</si>
  <si>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</si>
  <si>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</si>
  <si>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</si>
  <si>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</si>
  <si>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</si>
  <si>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</si>
  <si>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</si>
  <si>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</si>
  <si>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</si>
  <si>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</si>
  <si>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</si>
  <si>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</si>
  <si>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</si>
  <si>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</si>
  <si>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</si>
  <si>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</si>
  <si>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</si>
  <si>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</si>
  <si>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</si>
  <si>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</si>
  <si>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</si>
  <si>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</si>
  <si>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</si>
  <si>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</si>
  <si>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</si>
  <si>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</si>
  <si>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</si>
  <si>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</si>
  <si>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</si>
  <si>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</si>
  <si>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</si>
  <si>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</si>
  <si>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</si>
  <si>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</si>
  <si>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</si>
  <si>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</si>
  <si>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</si>
  <si>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</si>
  <si>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</si>
  <si>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</si>
  <si>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</si>
  <si>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</si>
  <si>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</si>
  <si>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</si>
  <si>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</si>
  <si>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</si>
  <si>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</si>
  <si>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</si>
  <si>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</si>
  <si>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</si>
  <si>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</si>
  <si>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</si>
  <si>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</si>
  <si>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</si>
  <si>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</si>
  <si>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</si>
  <si>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</si>
  <si>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</si>
  <si>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</si>
  <si>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</si>
  <si>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</si>
  <si>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</si>
  <si>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</si>
  <si>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</si>
  <si>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</si>
  <si>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</si>
  <si>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</si>
  <si>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</si>
  <si>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</si>
  <si>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</si>
  <si>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</si>
  <si>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</si>
  <si>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</si>
  <si>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</si>
  <si>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</si>
  <si>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</si>
  <si>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</si>
  <si>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</si>
  <si>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</si>
  <si>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</si>
  <si>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</si>
  <si>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</si>
  <si>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</si>
  <si>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</si>
  <si>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</si>
  <si>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</si>
  <si>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</si>
  <si>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</si>
  <si>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</si>
  <si>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</si>
  <si>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</si>
  <si>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</si>
  <si>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</si>
  <si>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</si>
  <si>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</si>
  <si>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</si>
  <si>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</si>
  <si>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</si>
  <si>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</si>
  <si>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</si>
  <si>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</si>
  <si>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</si>
  <si>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</si>
  <si>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</si>
  <si>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</si>
  <si>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</si>
  <si>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</si>
  <si>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</si>
  <si>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</si>
  <si>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</si>
  <si>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</si>
  <si>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</si>
  <si>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</si>
  <si>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</si>
  <si>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</si>
  <si>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</si>
  <si>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</si>
  <si>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</si>
  <si>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</si>
  <si>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</si>
  <si>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</si>
  <si>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</si>
  <si>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</si>
  <si>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</si>
  <si>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</si>
  <si>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</si>
  <si>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</si>
  <si>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</si>
  <si>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</si>
  <si>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</si>
  <si>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</si>
  <si>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</si>
  <si>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</si>
  <si>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</si>
  <si>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</si>
  <si>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</si>
  <si>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</si>
  <si>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</si>
  <si>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</si>
  <si>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</si>
  <si>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</si>
  <si>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</si>
  <si>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</si>
  <si>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</si>
  <si>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</si>
  <si>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</si>
  <si>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</si>
  <si>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</si>
  <si>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</si>
  <si>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</si>
  <si>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</si>
  <si>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</si>
  <si>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</si>
  <si>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</si>
  <si>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</si>
  <si>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</si>
  <si>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</si>
  <si>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</si>
  <si>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</si>
  <si>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</si>
  <si>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</si>
  <si>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</si>
  <si>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</si>
  <si>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</si>
  <si>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</si>
  <si>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</si>
  <si>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</si>
  <si>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</si>
  <si>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</si>
  <si>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</si>
  <si>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</si>
  <si>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</si>
  <si>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</si>
  <si>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</si>
  <si>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</si>
  <si>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</si>
  <si>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</si>
  <si>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</si>
  <si>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</si>
  <si>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</si>
  <si>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</si>
  <si>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</si>
  <si>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</si>
  <si>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</si>
  <si>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</si>
  <si>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</si>
  <si>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</si>
  <si>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</si>
  <si>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</si>
  <si>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</si>
  <si>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</si>
  <si>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</si>
  <si>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</si>
  <si>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</si>
  <si>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</si>
  <si>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</si>
  <si>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</si>
  <si>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</si>
  <si>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</si>
  <si>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</si>
  <si>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</si>
  <si>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</si>
  <si>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</si>
  <si>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</si>
  <si>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</si>
  <si>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</si>
  <si>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</si>
  <si>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</si>
  <si>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</si>
  <si>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</si>
  <si>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</si>
  <si>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</si>
  <si>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</si>
  <si>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</si>
  <si>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</si>
  <si>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</si>
  <si>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</si>
  <si>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</si>
  <si>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</si>
  <si>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</si>
  <si>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</si>
  <si>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</si>
  <si>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</si>
  <si>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</si>
  <si>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</si>
  <si>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</si>
  <si>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</si>
  <si>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</si>
  <si>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</si>
  <si>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</si>
  <si>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</si>
  <si>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</si>
  <si>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</si>
  <si>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</si>
  <si>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</si>
  <si>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</si>
  <si>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</si>
  <si>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</si>
  <si>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</si>
  <si>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</si>
  <si>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</si>
  <si>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</si>
  <si>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</si>
  <si>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</si>
  <si>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</si>
  <si>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Segunda_cosecha</t>
  </si>
  <si>
    <t>Very good</t>
  </si>
  <si>
    <t>Muy buena</t>
  </si>
  <si>
    <t>Good</t>
  </si>
  <si>
    <t>Buena</t>
  </si>
  <si>
    <t>Regular</t>
  </si>
  <si>
    <t>Bad</t>
  </si>
  <si>
    <t>Mala</t>
  </si>
  <si>
    <t>Really bad</t>
  </si>
  <si>
    <t>Muy mala</t>
  </si>
  <si>
    <t>Coffee</t>
  </si>
  <si>
    <t>Café</t>
  </si>
  <si>
    <t>Cardamom</t>
  </si>
  <si>
    <t>Cardamomo</t>
  </si>
  <si>
    <t>Sugar cane</t>
  </si>
  <si>
    <t>Caña de Azúcar</t>
  </si>
  <si>
    <t>Basic grains</t>
  </si>
  <si>
    <t>Granos básicos</t>
  </si>
  <si>
    <t>Livestock</t>
  </si>
  <si>
    <t>Fincas ganaderas</t>
  </si>
  <si>
    <t>Banana farms</t>
  </si>
  <si>
    <t>Fincas bananeras</t>
  </si>
  <si>
    <t>Vegetables</t>
  </si>
  <si>
    <t>Cultivo de hortalizas</t>
  </si>
  <si>
    <t>African palm</t>
  </si>
  <si>
    <t>Palma Africana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</si>
  <si>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</si>
  <si>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</si>
  <si>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</si>
  <si>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</si>
  <si>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</si>
  <si>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</si>
  <si>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</si>
  <si>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</si>
  <si>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</si>
  <si>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</si>
  <si>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</si>
  <si>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</si>
  <si>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</si>
  <si>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</si>
  <si>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</si>
  <si>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</si>
  <si>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Self-consumption</t>
  </si>
  <si>
    <t>Autoconsumo</t>
  </si>
  <si>
    <t>Sales</t>
  </si>
  <si>
    <t>Venta</t>
  </si>
  <si>
    <t>Both</t>
  </si>
  <si>
    <t>Expenses for household supplies or equipment</t>
  </si>
  <si>
    <t>Gastos para insumos o equipo en el hogar</t>
  </si>
  <si>
    <t>Expenditures for agricultural inputs (seeds, fertilizers, agro-inputs, crop tools)</t>
  </si>
  <si>
    <t>Gastos para insumos agrícolas (semillas, fertilizantes, agroinsumos, herramientas para cultivos)</t>
  </si>
  <si>
    <t>Expenditure for livestock production (chickens, chumpipes, pigs, cows)</t>
  </si>
  <si>
    <t>Gastos para producción pecuaria (gallinas, chumpipes, cerdos, vacas)</t>
  </si>
  <si>
    <t>Expenses for construction or improvement of housing</t>
  </si>
  <si>
    <t>Gastos para construcción o mejoramiento de vivienda</t>
  </si>
  <si>
    <t>Vehicle expenses</t>
  </si>
  <si>
    <t>Gastos para vehículos</t>
  </si>
  <si>
    <t>Ventures or businesses</t>
  </si>
  <si>
    <t>Emprendimientos o negocios</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</si>
  <si>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</si>
  <si>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</si>
  <si>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</si>
  <si>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</si>
  <si>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</si>
  <si>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</si>
  <si>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</si>
  <si>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</si>
  <si>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</si>
  <si>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</si>
  <si>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</si>
  <si>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</si>
  <si>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</si>
  <si>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</si>
  <si>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</si>
  <si>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</si>
  <si>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</si>
  <si>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</si>
  <si>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</si>
  <si>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</si>
  <si>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</si>
  <si>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</si>
  <si>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</si>
  <si>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</si>
  <si>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</si>
  <si>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</si>
  <si>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</si>
  <si>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</si>
  <si>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</si>
  <si>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</si>
  <si>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</si>
  <si>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</si>
  <si>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</si>
  <si>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</si>
  <si>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</si>
  <si>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</si>
  <si>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</si>
  <si>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</si>
  <si>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</si>
  <si>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</si>
  <si>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</si>
  <si>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</si>
  <si>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</si>
  <si>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</si>
  <si>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</si>
  <si>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</si>
  <si>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</si>
  <si>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</si>
  <si>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</si>
  <si>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</si>
  <si>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</si>
  <si>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</si>
  <si>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</si>
  <si>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</si>
  <si>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</si>
  <si>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</si>
  <si>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</si>
  <si>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</si>
  <si>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</si>
  <si>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</si>
  <si>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</si>
  <si>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</si>
  <si>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</si>
  <si>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</si>
  <si>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</si>
  <si>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</si>
  <si>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</si>
  <si>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</si>
  <si>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</si>
  <si>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</si>
  <si>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</si>
  <si>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</si>
  <si>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</si>
  <si>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</si>
  <si>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</si>
  <si>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</si>
  <si>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</si>
  <si>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</si>
  <si>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</si>
  <si>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</si>
  <si>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</si>
  <si>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</si>
  <si>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</si>
  <si>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</si>
  <si>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</si>
  <si>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</si>
  <si>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</si>
  <si>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</si>
  <si>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</si>
  <si>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</si>
  <si>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</si>
  <si>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</si>
  <si>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</si>
  <si>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</si>
  <si>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</si>
  <si>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</si>
  <si>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</si>
  <si>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</si>
  <si>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</si>
  <si>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</si>
  <si>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</si>
  <si>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</si>
  <si>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</si>
  <si>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</si>
  <si>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</si>
  <si>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</si>
  <si>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</si>
  <si>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</si>
  <si>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</si>
  <si>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</si>
  <si>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</si>
  <si>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</si>
  <si>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</si>
  <si>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</si>
  <si>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</si>
  <si>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</si>
  <si>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</si>
  <si>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</si>
  <si>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</si>
  <si>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</si>
  <si>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</si>
  <si>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</si>
  <si>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</si>
  <si>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</si>
  <si>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</si>
  <si>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</si>
  <si>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</si>
  <si>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</si>
  <si>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</si>
  <si>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</si>
  <si>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</si>
  <si>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</si>
  <si>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</si>
  <si>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</si>
  <si>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</si>
  <si>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</si>
  <si>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</si>
  <si>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</si>
  <si>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</si>
  <si>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</si>
  <si>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</si>
  <si>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</si>
  <si>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</si>
  <si>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</si>
  <si>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</si>
  <si>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</si>
  <si>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</si>
  <si>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</si>
  <si>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</si>
  <si>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</si>
  <si>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</si>
  <si>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</si>
  <si>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</si>
  <si>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</si>
  <si>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</si>
  <si>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</si>
  <si>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</si>
  <si>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</si>
  <si>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</si>
  <si>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</si>
  <si>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</si>
  <si>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</si>
  <si>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</si>
  <si>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</si>
  <si>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</si>
  <si>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</si>
  <si>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</si>
  <si>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</si>
  <si>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</si>
  <si>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</si>
  <si>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</si>
  <si>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</si>
  <si>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</si>
  <si>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</si>
  <si>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</si>
  <si>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</si>
  <si>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</si>
  <si>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</si>
  <si>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</si>
  <si>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</si>
  <si>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</si>
  <si>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</si>
  <si>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</si>
  <si>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</si>
  <si>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</si>
  <si>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</si>
  <si>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</si>
  <si>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</si>
  <si>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</si>
  <si>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</si>
  <si>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</si>
  <si>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</si>
  <si>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</si>
  <si>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</si>
  <si>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</si>
  <si>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</si>
  <si>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</si>
  <si>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</si>
  <si>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</si>
  <si>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</si>
  <si>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</si>
  <si>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</si>
  <si>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</si>
  <si>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</si>
  <si>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</si>
  <si>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</si>
  <si>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</si>
  <si>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</si>
  <si>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</si>
  <si>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</si>
  <si>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</si>
  <si>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</si>
  <si>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</si>
  <si>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</si>
  <si>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</si>
  <si>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</si>
  <si>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</si>
  <si>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</si>
  <si>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</si>
  <si>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</si>
  <si>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</si>
  <si>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</si>
  <si>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</si>
  <si>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</si>
  <si>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</si>
  <si>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</si>
  <si>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</si>
  <si>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</si>
  <si>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</si>
  <si>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</si>
  <si>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</si>
  <si>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</si>
  <si>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</si>
  <si>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</si>
  <si>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</si>
  <si>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</si>
  <si>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</si>
  <si>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</si>
  <si>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</si>
  <si>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</si>
  <si>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</si>
  <si>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</si>
  <si>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</si>
  <si>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</si>
  <si>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</si>
  <si>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</si>
  <si>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</si>
  <si>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</si>
  <si>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</si>
  <si>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</si>
  <si>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</si>
  <si>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</si>
  <si>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</si>
  <si>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</si>
  <si>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</si>
  <si>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</si>
  <si>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</si>
  <si>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</si>
  <si>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</si>
  <si>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</si>
  <si>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</si>
  <si>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</si>
  <si>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</si>
  <si>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</si>
  <si>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</si>
  <si>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</si>
  <si>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</si>
  <si>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</si>
  <si>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</si>
  <si>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</si>
  <si>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</si>
  <si>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</si>
  <si>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</si>
  <si>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</si>
  <si>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</si>
  <si>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</si>
  <si>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Departamento</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</si>
  <si>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</si>
  <si>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</si>
  <si>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</si>
  <si>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</si>
  <si>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</si>
  <si>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</si>
  <si>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</si>
  <si>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</si>
  <si>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</si>
  <si>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</si>
  <si>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</si>
  <si>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</si>
  <si>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</si>
  <si>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</si>
  <si>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</si>
  <si>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</si>
  <si>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</si>
  <si>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</si>
  <si>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</si>
  <si>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</si>
  <si>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</si>
  <si>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</si>
  <si>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</si>
  <si>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</si>
  <si>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</si>
  <si>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</si>
  <si>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</si>
  <si>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</si>
  <si>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</si>
  <si>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</si>
  <si>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</si>
  <si>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</si>
  <si>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</si>
  <si>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</si>
  <si>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</si>
  <si>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</si>
  <si>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</si>
  <si>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</si>
  <si>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</si>
  <si>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</si>
  <si>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</si>
  <si>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</si>
  <si>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</si>
  <si>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</si>
  <si>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Municipio</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</si>
  <si>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</si>
  <si>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</si>
  <si>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</si>
  <si>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</si>
  <si>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</si>
  <si>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</si>
  <si>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</si>
  <si>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</si>
  <si>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</si>
  <si>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</si>
  <si>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</si>
  <si>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</si>
  <si>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</si>
  <si>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</si>
  <si>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</si>
  <si>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</si>
  <si>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</si>
  <si>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</si>
  <si>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</si>
  <si>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</si>
  <si>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</si>
  <si>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</si>
  <si>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</si>
  <si>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</si>
  <si>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</si>
  <si>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</si>
  <si>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</si>
  <si>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</si>
  <si>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</si>
  <si>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</si>
  <si>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</si>
  <si>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</si>
  <si>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</si>
  <si>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</si>
  <si>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</si>
  <si>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</si>
  <si>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</si>
  <si>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</si>
  <si>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</si>
  <si>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</si>
  <si>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</si>
  <si>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</si>
  <si>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</si>
  <si>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</si>
  <si>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</si>
  <si>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</si>
  <si>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</si>
  <si>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</si>
  <si>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</si>
  <si>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</si>
  <si>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</si>
  <si>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</si>
  <si>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</si>
  <si>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</si>
  <si>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</si>
  <si>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</si>
  <si>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</si>
  <si>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</si>
  <si>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</si>
  <si>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</si>
  <si>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</si>
  <si>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</si>
  <si>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</si>
  <si>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</si>
  <si>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</si>
  <si>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</si>
  <si>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</si>
  <si>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</si>
  <si>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</si>
  <si>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</si>
  <si>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</si>
  <si>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</si>
  <si>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</si>
  <si>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</si>
  <si>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</si>
  <si>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</si>
  <si>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</si>
  <si>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</si>
  <si>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</si>
  <si>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</si>
  <si>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</si>
  <si>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</si>
  <si>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</si>
  <si>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</si>
  <si>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</si>
  <si>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</si>
  <si>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</si>
  <si>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</si>
  <si>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</si>
  <si>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</si>
  <si>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</si>
  <si>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</si>
  <si>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</si>
  <si>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</si>
  <si>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</si>
  <si>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</si>
  <si>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</si>
  <si>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</si>
  <si>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</si>
  <si>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</si>
  <si>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</si>
  <si>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</si>
  <si>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</si>
  <si>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</si>
  <si>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</si>
  <si>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</si>
  <si>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</si>
  <si>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</si>
  <si>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</si>
  <si>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</si>
  <si>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</si>
  <si>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</si>
  <si>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</si>
  <si>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</si>
  <si>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</si>
  <si>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</si>
  <si>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</si>
  <si>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</si>
  <si>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</si>
  <si>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</si>
  <si>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</si>
  <si>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</si>
  <si>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</si>
  <si>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</si>
  <si>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</si>
  <si>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</si>
  <si>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</si>
  <si>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</si>
  <si>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</si>
  <si>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</si>
  <si>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</si>
  <si>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</si>
  <si>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</si>
  <si>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</si>
  <si>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</si>
  <si>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</si>
  <si>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</si>
  <si>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</si>
  <si>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</si>
  <si>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</si>
  <si>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</si>
  <si>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</si>
  <si>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</si>
  <si>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</si>
  <si>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</si>
  <si>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</si>
  <si>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</si>
  <si>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</si>
  <si>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</si>
  <si>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</si>
  <si>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</si>
  <si>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</si>
  <si>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</si>
  <si>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</si>
  <si>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</si>
  <si>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</si>
  <si>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</si>
  <si>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</si>
  <si>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</si>
  <si>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</si>
  <si>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</si>
  <si>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</si>
  <si>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</si>
  <si>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</si>
  <si>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</si>
  <si>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</si>
  <si>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</si>
  <si>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</si>
  <si>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</si>
  <si>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</si>
  <si>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</si>
  <si>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</si>
  <si>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</si>
  <si>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</si>
  <si>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</si>
  <si>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</si>
  <si>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</si>
  <si>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</si>
  <si>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</si>
  <si>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</si>
  <si>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</si>
  <si>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</si>
  <si>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</si>
  <si>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</si>
  <si>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</si>
  <si>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</si>
  <si>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</si>
  <si>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</si>
  <si>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</si>
  <si>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</si>
  <si>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</si>
  <si>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</si>
  <si>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</si>
  <si>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</si>
  <si>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</si>
  <si>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</si>
  <si>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</si>
  <si>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</si>
  <si>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</si>
  <si>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</si>
  <si>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</si>
  <si>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</si>
  <si>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</si>
  <si>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</si>
  <si>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</si>
  <si>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</si>
  <si>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</si>
  <si>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</si>
  <si>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</si>
  <si>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</si>
  <si>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</si>
  <si>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</si>
  <si>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</si>
  <si>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</si>
  <si>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</si>
  <si>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</si>
  <si>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</si>
  <si>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</si>
  <si>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</si>
  <si>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</si>
  <si>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</si>
  <si>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</si>
  <si>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</si>
  <si>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</si>
  <si>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</si>
  <si>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</si>
  <si>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</si>
  <si>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</si>
  <si>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</si>
  <si>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</si>
  <si>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</si>
  <si>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</si>
  <si>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</si>
  <si>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</si>
  <si>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</si>
  <si>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</si>
  <si>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</si>
  <si>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</si>
  <si>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</si>
  <si>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</si>
  <si>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</si>
  <si>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</si>
  <si>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</si>
  <si>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</si>
  <si>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</si>
  <si>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</si>
  <si>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</si>
  <si>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</si>
  <si>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</si>
  <si>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</si>
  <si>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</si>
  <si>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</si>
  <si>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</si>
  <si>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</si>
  <si>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</si>
  <si>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</si>
  <si>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</si>
  <si>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</si>
  <si>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</si>
  <si>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</si>
  <si>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</si>
  <si>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</si>
  <si>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</si>
  <si>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</si>
  <si>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</si>
  <si>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</si>
  <si>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</si>
  <si>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</si>
  <si>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</si>
  <si>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</si>
  <si>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</si>
  <si>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</si>
  <si>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</si>
  <si>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</si>
  <si>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</si>
  <si>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</si>
  <si>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</si>
  <si>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</si>
  <si>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</si>
  <si>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</si>
  <si>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</si>
  <si>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</si>
  <si>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</si>
  <si>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</si>
  <si>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</si>
  <si>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</si>
  <si>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</si>
  <si>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</si>
  <si>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</si>
  <si>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</si>
  <si>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</si>
  <si>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</si>
  <si>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</si>
  <si>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</si>
  <si>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</si>
  <si>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</si>
  <si>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</si>
  <si>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</si>
  <si>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</si>
  <si>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</si>
  <si>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</si>
  <si>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</si>
  <si>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</si>
  <si>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</si>
  <si>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</si>
  <si>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</si>
  <si>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</si>
  <si>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</si>
  <si>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</si>
  <si>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</si>
  <si>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</si>
  <si>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</si>
  <si>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</si>
  <si>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</si>
  <si>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</si>
  <si>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</si>
  <si>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</si>
  <si>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</si>
  <si>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</si>
  <si>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</si>
  <si>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</si>
  <si>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</si>
  <si>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</si>
  <si>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</si>
  <si>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</si>
  <si>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</si>
  <si>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</si>
  <si>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</si>
  <si>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</si>
  <si>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</si>
  <si>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</si>
  <si>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</si>
  <si>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</si>
  <si>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</si>
  <si>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</si>
  <si>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</si>
  <si>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</si>
  <si>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</si>
  <si>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</si>
  <si>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</si>
  <si>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</si>
  <si>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</si>
  <si>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</si>
  <si>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</si>
  <si>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</si>
  <si>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</si>
  <si>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</si>
  <si>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</si>
  <si>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</si>
  <si>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</si>
  <si>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</si>
  <si>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</si>
  <si>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</si>
  <si>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</si>
  <si>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</si>
  <si>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</si>
  <si>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</si>
  <si>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</si>
  <si>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</si>
  <si>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</si>
  <si>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</si>
  <si>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</si>
  <si>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</si>
  <si>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</si>
  <si>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</si>
  <si>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</si>
  <si>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</si>
  <si>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</si>
  <si>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</si>
  <si>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</si>
  <si>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</si>
  <si>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</si>
  <si>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</si>
  <si>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</si>
  <si>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</si>
  <si>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</si>
  <si>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</si>
  <si>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</si>
  <si>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</si>
  <si>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</si>
  <si>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</si>
  <si>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</si>
  <si>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</si>
  <si>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</si>
  <si>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</si>
  <si>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</si>
  <si>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</si>
  <si>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</si>
  <si>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</si>
  <si>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</si>
  <si>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</si>
  <si>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</si>
  <si>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</si>
  <si>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</si>
  <si>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</si>
  <si>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</si>
  <si>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</si>
  <si>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</si>
  <si>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</si>
  <si>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</si>
  <si>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</si>
  <si>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</si>
  <si>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</si>
  <si>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</si>
  <si>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</si>
  <si>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</si>
  <si>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</si>
  <si>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</si>
  <si>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</si>
  <si>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</si>
  <si>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</si>
  <si>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</si>
  <si>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</si>
  <si>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</si>
  <si>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</si>
  <si>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</si>
  <si>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</si>
  <si>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</si>
  <si>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</si>
  <si>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</si>
  <si>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</si>
  <si>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</si>
  <si>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</si>
  <si>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</si>
  <si>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</si>
  <si>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</si>
  <si>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</si>
  <si>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</si>
  <si>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</si>
  <si>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</si>
  <si>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</si>
  <si>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</si>
  <si>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</si>
  <si>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</si>
  <si>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</si>
  <si>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</si>
  <si>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</si>
  <si>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</si>
  <si>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</si>
  <si>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</si>
  <si>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</si>
  <si>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</si>
  <si>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</si>
  <si>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</si>
  <si>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</si>
  <si>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</si>
  <si>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</si>
  <si>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</si>
  <si>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</si>
  <si>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</si>
  <si>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</si>
  <si>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</si>
  <si>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</si>
  <si>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</si>
  <si>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</si>
  <si>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</si>
  <si>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</si>
  <si>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</si>
  <si>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</si>
  <si>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</si>
  <si>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</si>
  <si>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</si>
  <si>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</si>
  <si>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</si>
  <si>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</si>
  <si>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</si>
  <si>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</si>
  <si>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</si>
  <si>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</si>
  <si>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</si>
  <si>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</si>
  <si>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</si>
  <si>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</si>
  <si>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</si>
  <si>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</si>
  <si>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</si>
  <si>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</si>
  <si>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</si>
  <si>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</si>
  <si>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</si>
  <si>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</si>
  <si>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</si>
  <si>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</si>
  <si>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</si>
  <si>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</si>
  <si>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</si>
  <si>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</si>
  <si>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</si>
  <si>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</si>
  <si>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</si>
  <si>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</si>
  <si>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</si>
  <si>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</si>
  <si>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</si>
  <si>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</si>
  <si>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</si>
  <si>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</si>
  <si>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</si>
  <si>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</si>
  <si>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</si>
  <si>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</si>
  <si>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</si>
  <si>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</si>
  <si>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</si>
  <si>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</si>
  <si>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</si>
  <si>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</si>
  <si>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</si>
  <si>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</si>
  <si>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</si>
  <si>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</si>
  <si>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</si>
  <si>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</si>
  <si>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</si>
  <si>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</si>
  <si>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</si>
  <si>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</si>
  <si>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</si>
  <si>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</si>
  <si>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</si>
  <si>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</si>
  <si>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</si>
  <si>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</si>
  <si>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</si>
  <si>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</si>
  <si>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</si>
  <si>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</si>
  <si>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</si>
  <si>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</si>
  <si>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</si>
  <si>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</si>
  <si>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</si>
  <si>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</si>
  <si>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</si>
  <si>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</si>
  <si>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</si>
  <si>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</si>
  <si>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</si>
  <si>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</si>
  <si>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</si>
  <si>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</si>
  <si>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</si>
  <si>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</si>
  <si>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</si>
  <si>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</si>
  <si>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</si>
  <si>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</si>
  <si>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</si>
  <si>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</si>
  <si>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</si>
  <si>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</si>
  <si>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</si>
  <si>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</si>
  <si>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</si>
  <si>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</si>
  <si>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</si>
  <si>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</si>
  <si>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</si>
  <si>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</si>
  <si>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</si>
  <si>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</si>
  <si>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</si>
  <si>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</si>
  <si>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</si>
  <si>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</si>
  <si>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</si>
  <si>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</si>
  <si>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</si>
  <si>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</si>
  <si>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</si>
  <si>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</si>
  <si>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</si>
  <si>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</si>
  <si>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</si>
  <si>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</si>
  <si>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</si>
  <si>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</si>
  <si>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</si>
  <si>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</si>
  <si>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</si>
  <si>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</si>
  <si>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</si>
  <si>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</si>
  <si>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</si>
  <si>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</si>
  <si>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</si>
  <si>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</si>
  <si>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</si>
  <si>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</si>
  <si>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</si>
  <si>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</si>
  <si>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</si>
  <si>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</si>
  <si>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</si>
  <si>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</si>
  <si>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</si>
  <si>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</si>
  <si>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</si>
  <si>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</si>
  <si>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</si>
  <si>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</si>
  <si>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</si>
  <si>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</si>
  <si>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</si>
  <si>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</si>
  <si>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</si>
  <si>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</si>
  <si>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</si>
  <si>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</si>
  <si>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</si>
  <si>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</si>
  <si>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</si>
  <si>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</si>
  <si>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</si>
  <si>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</si>
  <si>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</si>
  <si>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</si>
  <si>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</si>
  <si>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</si>
  <si>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</si>
  <si>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</si>
  <si>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</si>
  <si>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</si>
  <si>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</si>
  <si>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</si>
  <si>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</si>
  <si>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</si>
  <si>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</si>
  <si>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</si>
  <si>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</si>
  <si>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</si>
  <si>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</si>
  <si>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</si>
  <si>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</si>
  <si>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</si>
  <si>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</si>
  <si>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</si>
  <si>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</si>
  <si>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</si>
  <si>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</si>
  <si>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</si>
  <si>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</si>
  <si>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</si>
  <si>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</si>
  <si>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</si>
  <si>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</si>
  <si>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</si>
  <si>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</si>
  <si>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</si>
  <si>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</si>
  <si>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</si>
  <si>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</si>
  <si>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</si>
  <si>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</si>
  <si>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</si>
  <si>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</si>
  <si>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</si>
  <si>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</si>
  <si>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</si>
  <si>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</si>
  <si>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</si>
  <si>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</si>
  <si>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</si>
  <si>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</si>
  <si>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</si>
  <si>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</si>
  <si>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</si>
  <si>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</si>
  <si>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</si>
  <si>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</si>
  <si>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</si>
  <si>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</si>
  <si>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</si>
  <si>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</si>
  <si>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</si>
  <si>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</si>
  <si>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</si>
  <si>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</si>
  <si>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</si>
  <si>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</si>
  <si>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</si>
  <si>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</si>
  <si>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</si>
  <si>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</si>
  <si>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</si>
  <si>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</si>
  <si>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</si>
  <si>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</si>
  <si>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</si>
  <si>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</si>
  <si>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</si>
  <si>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</si>
  <si>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</si>
  <si>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</si>
  <si>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</si>
  <si>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</si>
  <si>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</si>
  <si>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</si>
  <si>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</si>
  <si>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</si>
  <si>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</si>
  <si>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</si>
  <si>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</si>
  <si>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</si>
  <si>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el año pasado</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</si>
  <si>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</si>
  <si>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</si>
  <si>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</si>
  <si>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</si>
  <si>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</si>
  <si>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primera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</si>
  <si>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</si>
  <si>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</si>
  <si>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</si>
  <si>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</si>
  <si>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</si>
  <si>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terminado recientemente</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</si>
  <si>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</si>
  <si>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</si>
  <si>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</si>
  <si>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</si>
  <si>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</si>
  <si>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</si>
  <si>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</si>
  <si>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</si>
  <si>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</si>
  <si>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</si>
  <si>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</si>
  <si>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</si>
  <si>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</si>
  <si>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</si>
  <si>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</si>
  <si>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</si>
  <si>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</si>
  <si>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</si>
  <si>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</si>
  <si>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</si>
  <si>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</si>
  <si>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</si>
  <si>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</si>
  <si>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</si>
  <si>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</si>
  <si>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</si>
  <si>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</si>
  <si>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</si>
  <si>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</si>
  <si>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</si>
  <si>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</si>
  <si>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</si>
  <si>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</si>
  <si>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</si>
  <si>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</si>
  <si>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</si>
  <si>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</si>
  <si>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</si>
  <si>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</si>
  <si>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</si>
  <si>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</si>
  <si>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</si>
  <si>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</si>
  <si>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</si>
  <si>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</si>
  <si>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</si>
  <si>
    <t>Ahora me gustaría preguntarle sobre la producción de cultivos. Estas preguntas aplican para usted o cualquier miembro de su hogar que esté involucrado/a en la producción de cultivos. Todas las preguntas se refieren a lo producido durante primera.</t>
  </si>
  <si>
    <t>De haber alguno, ¿cuál es el principal cultivo que su hogar produce para la alimentación o la generación de ingresos en primera?</t>
  </si>
  <si>
    <t>¿Por qué no produjo ningún cultivo en primera</t>
  </si>
  <si>
    <t>¿Cómo se compara el ***área sembrada*** de ${crpmain} en primera con respecto a el año pasado?</t>
  </si>
  <si>
    <t>¿Cómo compara la ***cosecha***  para su ${crpmain} en primera comparado con el año pasado?</t>
  </si>
  <si>
    <t>¿Cuánto ${crp_main} (trillado) cosechó en primera</t>
  </si>
  <si>
    <t>¿Cuántos ${crp_harvunit} de ${crpmain} (trillado) cosechó en primera el año pasado?</t>
  </si>
  <si>
    <t xml:space="preserve">¿Ha enfrentado su hogar algún tipo de dificultad con la ***producción de cultivos*** en primera? </t>
  </si>
  <si>
    <t>¿Cuáles dificultades ha enfrentado su hogar con la producción de cultivos en primera?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</si>
</sst>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
    <numFmt numFmtId="165" formatCode="0.0"/>
    <numFmt numFmtId="166" formatCode="0.0%"/>
  </numFmts>
  <fonts count="35" x14ac:knownFonts="1">
    <font>
      <sz val="10"/>
      <name val="Arial"/>
      <family val="2"/>
    </font>
    <font>
      <sz val="10"/>
      <color rgb="FF000000"/>
      <name val="Arial"/>
      <family val="2"/>
      <charset val="1"/>
    </font>
    <font>
      <sz val="11"/>
      <color theme="1"/>
      <name val="Calibri"/>
      <family val="2"/>
      <charset val="1"/>
    </font>
    <font>
      <sz val="12"/>
      <color theme="1"/>
      <name val="Calibri"/>
      <family val="2"/>
      <charset val="1"/>
    </font>
    <font>
      <sz val="11"/>
      <name val="Calibri"/>
      <family val="2"/>
      <charset val="1"/>
    </font>
    <font>
      <b/>
      <sz val="11"/>
      <color theme="1"/>
      <name val="Calibri"/>
      <family val="2"/>
      <charset val="1"/>
    </font>
    <font>
      <b/>
      <sz val="11"/>
      <name val="Calibri"/>
      <family val="2"/>
      <charset val="1"/>
    </font>
    <font>
      <sz val="11"/>
      <color theme="0" tint="-0.34998626667073579"/>
      <name val="Calibri"/>
      <family val="2"/>
      <charset val="1"/>
    </font>
    <font>
      <b/>
      <sz val="11"/>
      <color rgb="FF7030A0"/>
      <name val="Calibri"/>
      <family val="2"/>
      <charset val="1"/>
    </font>
    <font>
      <sz val="11"/>
      <color rgb="FF00B050"/>
      <name val="Calibri"/>
      <family val="2"/>
      <charset val="1"/>
    </font>
    <font>
      <sz val="11"/>
      <color theme="6" tint="-0.499984740745262"/>
      <name val="Calibri"/>
      <family val="2"/>
      <charset val="1"/>
    </font>
    <font>
      <sz val="11"/>
      <color rgb="FF000000"/>
      <name val="Calibri"/>
      <family val="2"/>
      <charset val="1"/>
    </font>
    <font>
      <sz val="11"/>
      <color theme="0" tint="-0.34998626667073579"/>
      <name val="Calibri (Cuerpo)"/>
      <charset val="1"/>
    </font>
    <font>
      <sz val="11"/>
      <color rgb="FF000000"/>
      <name val="Calibri"/>
      <family val="2"/>
    </font>
    <font>
      <sz val="11"/>
      <color rgb="FFA6A6A6"/>
      <name val="Calibri"/>
      <family val="2"/>
      <charset val="1"/>
    </font>
    <font>
      <sz val="10"/>
      <name val="Arial"/>
      <family val="2"/>
      <charset val="1"/>
    </font>
    <font>
      <b/>
      <sz val="11"/>
      <color theme="0" tint="-0.34998626667073579"/>
      <name val="Calibri"/>
      <family val="2"/>
      <charset val="1"/>
    </font>
    <font>
      <sz val="11"/>
      <color rgb="FF0070C0"/>
      <name val="Calibri"/>
      <family val="2"/>
      <charset val="1"/>
    </font>
    <font>
      <sz val="11"/>
      <color rgb="FF7030A0"/>
      <name val="Calibri"/>
      <family val="2"/>
      <charset val="1"/>
    </font>
    <font>
      <sz val="11"/>
      <color rgb="FFFF0000"/>
      <name val="Calibri"/>
      <family val="2"/>
      <charset val="1"/>
    </font>
    <font>
      <b/>
      <sz val="12"/>
      <name val="Calibri"/>
      <family val="2"/>
      <charset val="1"/>
    </font>
    <font>
      <sz val="12"/>
      <color theme="9" tint="-0.499984740745262"/>
      <name val="Calibri"/>
      <family val="2"/>
      <charset val="1"/>
    </font>
    <font>
      <b/>
      <sz val="12"/>
      <color theme="0"/>
      <name val="Calibri"/>
      <family val="2"/>
      <charset val="1"/>
    </font>
    <font>
      <b/>
      <sz val="11"/>
      <color rgb="FF000000"/>
      <name val="Calibri"/>
      <family val="2"/>
      <charset val="1"/>
    </font>
    <font>
      <i/>
      <sz val="11"/>
      <color theme="0" tint="-0.34998626667073579"/>
      <name val="Calibri (Body)"/>
      <charset val="1"/>
    </font>
    <font>
      <sz val="12"/>
      <color rgb="FF000000"/>
      <name val="Calibri"/>
      <family val="2"/>
      <charset val="1"/>
    </font>
    <font>
      <i/>
      <sz val="11"/>
      <color theme="0" tint="-0.34998626667073579"/>
      <name val="Calibri"/>
      <family val="2"/>
      <charset val="1"/>
    </font>
    <font>
      <i/>
      <sz val="11"/>
      <color rgb="FF000000"/>
      <name val="Calibri"/>
      <family val="2"/>
      <charset val="1"/>
    </font>
    <font>
      <i/>
      <sz val="10.5"/>
      <name val="Calibri"/>
      <family val="2"/>
      <charset val="1"/>
    </font>
    <font>
      <sz val="11"/>
      <color theme="0" tint="-0.34998626667073579"/>
      <name val="Arial"/>
      <family val="2"/>
      <scheme val="minor"/>
    </font>
    <font>
      <sz val="11"/>
      <name val="Arial"/>
      <family val="2"/>
      <scheme val="minor"/>
    </font>
    <font>
      <sz val="10"/>
      <name val="Arial"/>
      <family val="2"/>
      <scheme val="minor"/>
    </font>
    <font>
      <sz val="11"/>
      <color rgb="FF000000"/>
      <name val="Arial"/>
      <family val="2"/>
      <scheme val="minor"/>
    </font>
    <font>
      <sz val="11"/>
      <color rgb="FF7030A0"/>
      <name val="Arial"/>
      <family val="2"/>
      <scheme val="minor"/>
    </font>
    <font>
      <sz val="12"/>
      <color theme="1"/>
      <name val="Arial"/>
      <family val="2"/>
      <scheme val="minor"/>
    </font>
  </fonts>
  <fills count="11">
    <fill>
      <patternFill patternType="none"/>
    </fill>
    <fill>
      <patternFill patternType="gray125"/>
    </fill>
    <fill>
      <patternFill patternType="solid">
        <fgColor rgb="FFA5A5A5"/>
        <bgColor rgb="FFA6A6A6"/>
      </patternFill>
    </fill>
    <fill>
      <patternFill patternType="solid">
        <fgColor theme="5" tint="0.79989013336588644"/>
        <bgColor rgb="FFF6DFDC"/>
      </patternFill>
    </fill>
    <fill>
      <patternFill patternType="solid">
        <fgColor theme="4" tint="0.79989013336588644"/>
        <bgColor rgb="FFF2DCDB"/>
      </patternFill>
    </fill>
    <fill>
      <patternFill patternType="solid">
        <fgColor rgb="FFFFFF00"/>
        <bgColor rgb="FFFFFF00"/>
      </patternFill>
    </fill>
    <fill>
      <patternFill patternType="solid">
        <fgColor rgb="FFF6DFDC"/>
        <bgColor rgb="FFF2DCDB"/>
      </patternFill>
    </fill>
    <fill>
      <patternFill patternType="solid">
        <fgColor theme="0"/>
        <bgColor rgb="FFDCE6F2"/>
      </patternFill>
    </fill>
    <fill>
      <patternFill patternType="solid">
        <fgColor rgb="FFFFFF00"/>
        <bgColor indexed="64"/>
      </patternFill>
    </fill>
    <fill>
      <patternFill patternType="solid">
        <fgColor theme="5" tint="0.79998168889431442"/>
        <bgColor indexed="64"/>
      </patternFill>
    </fill>
    <fill>
      <patternFill patternType="solid">
        <fgColor rgb="FFFFFF00"/>
        <bgColor rgb="FFF6DFDC"/>
      </patternFill>
    </fill>
  </fills>
  <borders count="49">
    <border>
      <left/>
      <right/>
      <top/>
      <bottom/>
      <diagonal/>
    </border>
    <border>
      <left style="double">
        <color rgb="FF3F3F3F"/>
      </left>
      <right style="double">
        <color rgb="FF3F3F3F"/>
      </right>
      <top style="double">
        <color rgb="FF3F3F3F"/>
      </top>
      <bottom style="double">
        <color rgb="FF3F3F3F"/>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ck">
        <color auto="1"/>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auto="1"/>
      </right>
      <top style="medium">
        <color auto="1"/>
      </top>
      <bottom style="medium">
        <color auto="1"/>
      </bottom>
      <diagonal/>
    </border>
    <border>
      <left/>
      <right style="thin">
        <color theme="0"/>
      </right>
      <top style="thin">
        <color theme="0"/>
      </top>
      <bottom style="thin">
        <color theme="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thin">
        <color theme="0"/>
      </top>
      <bottom style="thin">
        <color theme="0"/>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right style="thin">
        <color auto="1"/>
      </right>
      <top style="medium">
        <color auto="1"/>
      </top>
      <bottom/>
      <diagonal/>
    </border>
    <border>
      <left/>
      <right style="medium">
        <color auto="1"/>
      </right>
      <top style="medium">
        <color auto="1"/>
      </top>
      <bottom/>
      <diagonal/>
    </border>
    <border>
      <left/>
      <right style="thin">
        <color auto="1"/>
      </right>
      <top style="thin">
        <color auto="1"/>
      </top>
      <bottom/>
      <diagonal/>
    </border>
    <border>
      <left/>
      <right style="medium">
        <color auto="1"/>
      </right>
      <top style="thin">
        <color auto="1"/>
      </top>
      <bottom/>
      <diagonal/>
    </border>
    <border>
      <left style="medium">
        <color auto="1"/>
      </left>
      <right style="medium">
        <color auto="1"/>
      </right>
      <top/>
      <bottom/>
      <diagonal/>
    </border>
  </borders>
  <cellStyleXfs count="8">
    <xf numFmtId="0" fontId="0" fillId="0" borderId="0"/>
    <xf numFmtId="164" fontId="2" fillId="0" borderId="0"/>
    <xf numFmtId="0" fontId="1" fillId="0" borderId="0"/>
    <xf numFmtId="0" fontId="2" fillId="0" borderId="0"/>
    <xf numFmtId="0" fontId="3" fillId="0" borderId="0"/>
    <xf numFmtId="0" fontId="3" fillId="0" borderId="0"/>
    <xf numFmtId="0" fontId="3" fillId="0" borderId="0"/>
    <xf numFmtId="0" fontId="22" fillId="2" borderId="1"/>
  </cellStyleXfs>
  <cellXfs count="349">
    <xf numFmtId="0" fontId="0" fillId="0" borderId="0" xfId="0"/>
    <xf numFmtId="0" fontId="0" fillId="0" borderId="0" xfId="0"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center"/>
      <protection locked="0"/>
    </xf>
    <xf numFmtId="0" fontId="4" fillId="0" borderId="0" xfId="0" applyFont="1" applyAlignment="1" applyProtection="1">
      <alignment horizontal="right" vertical="top"/>
      <protection locked="0"/>
    </xf>
    <xf numFmtId="164" fontId="4" fillId="0" borderId="0" xfId="1" applyFont="1" applyAlignment="1" applyProtection="1">
      <alignment vertical="top"/>
      <protection locked="0"/>
    </xf>
    <xf numFmtId="0" fontId="4" fillId="0" borderId="0" xfId="0" applyFont="1" applyAlignment="1" applyProtection="1">
      <alignment vertical="top"/>
      <protection locked="0"/>
    </xf>
    <xf numFmtId="0" fontId="5" fillId="0" borderId="0" xfId="0" applyFont="1" applyAlignment="1">
      <alignment horizontal="center" vertical="center"/>
    </xf>
    <xf numFmtId="0" fontId="5" fillId="0" borderId="0" xfId="0" applyFont="1" applyAlignment="1">
      <alignment horizontal="center" vertical="center" wrapText="1"/>
    </xf>
    <xf numFmtId="0" fontId="5" fillId="3" borderId="0" xfId="0" applyFont="1" applyFill="1" applyAlignment="1" applyProtection="1">
      <alignment horizontal="center" vertical="center" wrapText="1"/>
      <protection locked="0"/>
    </xf>
    <xf numFmtId="0" fontId="5" fillId="3"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0" fontId="6" fillId="4" borderId="3" xfId="0" applyFont="1" applyFill="1" applyBorder="1" applyAlignment="1" applyProtection="1">
      <alignment horizontal="center" vertical="center" wrapText="1"/>
      <protection locked="0"/>
    </xf>
    <xf numFmtId="164" fontId="6" fillId="4" borderId="4" xfId="1" applyFont="1" applyFill="1" applyBorder="1" applyAlignment="1" applyProtection="1">
      <alignment horizontal="center" vertical="center" wrapText="1"/>
      <protection locked="0"/>
    </xf>
    <xf numFmtId="0" fontId="6" fillId="4" borderId="4"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2" fillId="0" borderId="0" xfId="0" applyFont="1" applyAlignment="1">
      <alignment vertical="top"/>
    </xf>
    <xf numFmtId="0" fontId="0" fillId="0" borderId="0" xfId="0" applyAlignment="1">
      <alignment vertical="top"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0" fillId="0" borderId="0" xfId="0" applyAlignment="1">
      <alignment vertical="center"/>
    </xf>
    <xf numFmtId="165" fontId="4" fillId="0" borderId="0" xfId="0" applyNumberFormat="1" applyFont="1" applyAlignment="1" applyProtection="1">
      <alignment horizontal="right" vertical="top"/>
      <protection locked="0"/>
    </xf>
    <xf numFmtId="165" fontId="4"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7" fillId="0" borderId="0" xfId="0" applyFont="1" applyAlignment="1" applyProtection="1">
      <alignment vertical="top" wrapText="1"/>
      <protection locked="0"/>
    </xf>
    <xf numFmtId="0" fontId="7" fillId="3" borderId="0" xfId="0" applyFont="1" applyFill="1" applyAlignment="1" applyProtection="1">
      <alignment vertical="top" wrapText="1"/>
      <protection locked="0"/>
    </xf>
    <xf numFmtId="0" fontId="7" fillId="3" borderId="0" xfId="0" applyFont="1" applyFill="1" applyAlignment="1" applyProtection="1">
      <alignment vertical="top"/>
      <protection locked="0"/>
    </xf>
    <xf numFmtId="0" fontId="7" fillId="0" borderId="0" xfId="0" applyFont="1" applyAlignment="1" applyProtection="1">
      <alignment vertical="center"/>
      <protection locked="0"/>
    </xf>
    <xf numFmtId="165" fontId="7" fillId="0" borderId="0" xfId="0" applyNumberFormat="1" applyFont="1" applyAlignment="1" applyProtection="1">
      <alignment horizontal="right" vertical="top"/>
      <protection locked="0"/>
    </xf>
    <xf numFmtId="164" fontId="7" fillId="0" borderId="0" xfId="1" applyFont="1" applyAlignment="1" applyProtection="1">
      <alignment vertical="top"/>
      <protection locked="0"/>
    </xf>
    <xf numFmtId="165" fontId="7" fillId="0" borderId="0" xfId="0" applyNumberFormat="1" applyFont="1" applyAlignment="1" applyProtection="1">
      <alignment vertical="top"/>
      <protection locked="0"/>
    </xf>
    <xf numFmtId="0" fontId="7" fillId="0" borderId="6" xfId="0" applyFont="1" applyBorder="1" applyAlignment="1" applyProtection="1">
      <alignment vertical="top"/>
      <protection locked="0"/>
    </xf>
    <xf numFmtId="0" fontId="7" fillId="0" borderId="6" xfId="0" applyFont="1" applyBorder="1" applyAlignment="1" applyProtection="1">
      <alignment vertical="top" wrapText="1"/>
      <protection locked="0"/>
    </xf>
    <xf numFmtId="0" fontId="7" fillId="3" borderId="6" xfId="0" applyFont="1" applyFill="1" applyBorder="1" applyAlignment="1" applyProtection="1">
      <alignment vertical="top" wrapText="1"/>
      <protection locked="0"/>
    </xf>
    <xf numFmtId="0" fontId="7" fillId="3" borderId="6" xfId="0" applyFont="1" applyFill="1" applyBorder="1" applyAlignment="1" applyProtection="1">
      <alignment vertical="top"/>
      <protection locked="0"/>
    </xf>
    <xf numFmtId="0" fontId="7" fillId="0" borderId="6" xfId="0" applyFont="1" applyBorder="1" applyAlignment="1" applyProtection="1">
      <alignment vertical="center"/>
      <protection locked="0"/>
    </xf>
    <xf numFmtId="0" fontId="2" fillId="0" borderId="0" xfId="0" applyFont="1" applyAlignment="1" applyProtection="1">
      <alignment horizontal="left" vertical="center" wrapText="1"/>
      <protection locked="0"/>
    </xf>
    <xf numFmtId="0" fontId="4" fillId="0" borderId="0" xfId="0" applyFont="1" applyAlignment="1">
      <alignment vertical="top"/>
    </xf>
    <xf numFmtId="0" fontId="4" fillId="0" borderId="0" xfId="0" applyFont="1" applyAlignment="1">
      <alignment vertical="top" wrapText="1"/>
    </xf>
    <xf numFmtId="0" fontId="4" fillId="3" borderId="0" xfId="0" applyFont="1" applyFill="1" applyAlignment="1" applyProtection="1">
      <alignment vertical="top" wrapText="1"/>
      <protection locked="0"/>
    </xf>
    <xf numFmtId="0" fontId="4" fillId="3" borderId="0" xfId="0" applyFont="1" applyFill="1" applyAlignment="1" applyProtection="1">
      <alignment vertical="top"/>
      <protection locked="0"/>
    </xf>
    <xf numFmtId="0" fontId="4" fillId="0" borderId="0" xfId="0" applyFont="1" applyAlignment="1">
      <alignment vertical="center"/>
    </xf>
    <xf numFmtId="0" fontId="4" fillId="0" borderId="6" xfId="0" applyFont="1" applyBorder="1" applyAlignment="1" applyProtection="1">
      <alignment vertical="top"/>
      <protection locked="0"/>
    </xf>
    <xf numFmtId="0" fontId="4" fillId="0" borderId="6" xfId="0" applyFont="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6" xfId="0" applyFont="1" applyFill="1" applyBorder="1" applyAlignment="1" applyProtection="1">
      <alignment vertical="top"/>
      <protection locked="0"/>
    </xf>
    <xf numFmtId="0" fontId="4" fillId="0" borderId="6" xfId="0" applyFont="1" applyBorder="1" applyAlignment="1" applyProtection="1">
      <alignment vertical="center"/>
      <protection locked="0"/>
    </xf>
    <xf numFmtId="0" fontId="5" fillId="0" borderId="0" xfId="0" applyFont="1" applyAlignment="1">
      <alignment vertical="top"/>
    </xf>
    <xf numFmtId="0" fontId="5" fillId="0" borderId="0" xfId="0" applyFont="1" applyAlignment="1">
      <alignment vertical="top" wrapText="1"/>
    </xf>
    <xf numFmtId="0" fontId="5" fillId="3" borderId="0" xfId="0" applyFont="1" applyFill="1" applyAlignment="1" applyProtection="1">
      <alignment vertical="top" wrapText="1"/>
      <protection locked="0"/>
    </xf>
    <xf numFmtId="0" fontId="5" fillId="3" borderId="0" xfId="0" applyFont="1" applyFill="1" applyAlignment="1" applyProtection="1">
      <alignment vertical="top"/>
      <protection locked="0"/>
    </xf>
    <xf numFmtId="0" fontId="5" fillId="0" borderId="0" xfId="0" applyFont="1" applyAlignment="1">
      <alignment vertical="center"/>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 fillId="0" borderId="0" xfId="0" applyFont="1" applyAlignment="1">
      <alignment vertical="center"/>
    </xf>
    <xf numFmtId="0" fontId="9" fillId="0" borderId="0" xfId="0" applyFont="1" applyAlignment="1" applyProtection="1">
      <alignment vertical="center"/>
      <protection locked="0"/>
    </xf>
    <xf numFmtId="0" fontId="10" fillId="0" borderId="0" xfId="0" applyFont="1" applyAlignment="1">
      <alignment vertical="top"/>
    </xf>
    <xf numFmtId="0" fontId="10" fillId="0" borderId="0" xfId="0" applyFont="1" applyAlignment="1">
      <alignment vertical="top" wrapText="1"/>
    </xf>
    <xf numFmtId="0" fontId="10" fillId="3" borderId="0" xfId="0" applyFont="1" applyFill="1" applyAlignment="1" applyProtection="1">
      <alignment vertical="top" wrapText="1"/>
      <protection locked="0"/>
    </xf>
    <xf numFmtId="0" fontId="10" fillId="0" borderId="0" xfId="0" applyFont="1" applyAlignment="1" applyProtection="1">
      <alignment vertical="top"/>
      <protection locked="0"/>
    </xf>
    <xf numFmtId="0" fontId="10" fillId="3" borderId="0" xfId="0" applyFont="1" applyFill="1" applyAlignment="1" applyProtection="1">
      <alignment vertical="top"/>
      <protection locked="0"/>
    </xf>
    <xf numFmtId="0" fontId="10" fillId="0" borderId="0" xfId="0" applyFont="1" applyAlignment="1">
      <alignment vertical="center"/>
    </xf>
    <xf numFmtId="0" fontId="9" fillId="0" borderId="0" xfId="0" applyFont="1" applyAlignment="1">
      <alignment vertical="center"/>
    </xf>
    <xf numFmtId="0" fontId="9" fillId="0" borderId="0" xfId="0" applyFont="1" applyAlignment="1" applyProtection="1">
      <alignment vertical="top"/>
      <protection locked="0"/>
    </xf>
    <xf numFmtId="0" fontId="2" fillId="0" borderId="0" xfId="0" applyFont="1" applyAlignment="1">
      <alignment vertical="top" wrapText="1"/>
    </xf>
    <xf numFmtId="0" fontId="2" fillId="0" borderId="0" xfId="0" applyFont="1" applyAlignment="1">
      <alignment vertical="center" wrapText="1"/>
    </xf>
    <xf numFmtId="165" fontId="4" fillId="0" borderId="0" xfId="0" applyNumberFormat="1" applyFont="1" applyAlignment="1" applyProtection="1">
      <alignment horizontal="right" vertical="top" wrapText="1"/>
      <protection locked="0"/>
    </xf>
    <xf numFmtId="165" fontId="4" fillId="0" borderId="0" xfId="0" applyNumberFormat="1" applyFont="1" applyAlignment="1" applyProtection="1">
      <alignment vertical="top" wrapText="1"/>
      <protection locked="0"/>
    </xf>
    <xf numFmtId="0" fontId="4" fillId="0" borderId="0" xfId="0" applyFont="1" applyAlignment="1" applyProtection="1">
      <alignment vertical="top" wrapText="1"/>
      <protection locked="0"/>
    </xf>
    <xf numFmtId="0" fontId="7" fillId="0" borderId="0" xfId="0" applyFont="1" applyAlignment="1">
      <alignment vertical="top" wrapText="1"/>
    </xf>
    <xf numFmtId="0" fontId="4" fillId="0" borderId="6" xfId="0" applyFont="1" applyBorder="1" applyAlignment="1">
      <alignment vertical="top"/>
    </xf>
    <xf numFmtId="0" fontId="4" fillId="0" borderId="6" xfId="0" applyFont="1" applyBorder="1" applyAlignment="1">
      <alignment vertical="top" wrapText="1"/>
    </xf>
    <xf numFmtId="0" fontId="4" fillId="0" borderId="6" xfId="0" applyFont="1" applyBorder="1" applyAlignment="1">
      <alignment vertical="center"/>
    </xf>
    <xf numFmtId="165" fontId="4" fillId="5" borderId="0" xfId="0" applyNumberFormat="1" applyFont="1" applyFill="1" applyAlignment="1" applyProtection="1">
      <alignment horizontal="right" vertical="top"/>
      <protection locked="0"/>
    </xf>
    <xf numFmtId="164" fontId="4" fillId="5" borderId="0" xfId="1" applyFont="1" applyFill="1" applyAlignment="1" applyProtection="1">
      <alignment vertical="top"/>
      <protection locked="0"/>
    </xf>
    <xf numFmtId="165" fontId="4" fillId="5" borderId="0" xfId="0" applyNumberFormat="1" applyFont="1" applyFill="1" applyAlignment="1" applyProtection="1">
      <alignment vertical="top"/>
      <protection locked="0"/>
    </xf>
    <xf numFmtId="0" fontId="11" fillId="0" borderId="0" xfId="0" applyFont="1" applyAlignment="1" applyProtection="1">
      <alignment vertical="top"/>
      <protection locked="0"/>
    </xf>
    <xf numFmtId="0" fontId="4" fillId="0" borderId="0" xfId="0" applyFont="1" applyAlignment="1" applyProtection="1">
      <alignment vertical="center"/>
      <protection locked="0"/>
    </xf>
    <xf numFmtId="0" fontId="2" fillId="0" borderId="6" xfId="0" applyFont="1" applyBorder="1" applyAlignment="1">
      <alignment vertical="top"/>
    </xf>
    <xf numFmtId="0" fontId="0" fillId="0" borderId="6" xfId="0" applyBorder="1" applyAlignment="1">
      <alignment vertical="top" wrapText="1"/>
    </xf>
    <xf numFmtId="0" fontId="0" fillId="3" borderId="6" xfId="0" applyFill="1" applyBorder="1" applyAlignment="1" applyProtection="1">
      <alignment vertical="top" wrapText="1"/>
      <protection locked="0"/>
    </xf>
    <xf numFmtId="0" fontId="0" fillId="3" borderId="6" xfId="0" applyFill="1" applyBorder="1" applyAlignment="1" applyProtection="1">
      <alignment vertical="top"/>
      <protection locked="0"/>
    </xf>
    <xf numFmtId="0" fontId="0" fillId="0" borderId="6" xfId="0" applyBorder="1" applyAlignment="1">
      <alignment vertical="center"/>
    </xf>
    <xf numFmtId="0" fontId="6" fillId="0" borderId="0" xfId="0" applyFont="1" applyAlignment="1">
      <alignment vertical="top"/>
    </xf>
    <xf numFmtId="0" fontId="6" fillId="0" borderId="0" xfId="0" applyFont="1" applyAlignment="1">
      <alignment vertical="top" wrapText="1"/>
    </xf>
    <xf numFmtId="0" fontId="6" fillId="3" borderId="0" xfId="0" applyFont="1" applyFill="1" applyAlignment="1" applyProtection="1">
      <alignment vertical="top" wrapText="1"/>
      <protection locked="0"/>
    </xf>
    <xf numFmtId="0" fontId="6" fillId="3" borderId="0" xfId="0" applyFont="1" applyFill="1" applyAlignment="1" applyProtection="1">
      <alignment vertical="top"/>
      <protection locked="0"/>
    </xf>
    <xf numFmtId="0" fontId="6" fillId="0" borderId="0" xfId="0" applyFont="1" applyAlignment="1">
      <alignment vertical="center"/>
    </xf>
    <xf numFmtId="165" fontId="4" fillId="0" borderId="0" xfId="0" applyNumberFormat="1" applyFont="1" applyAlignment="1">
      <alignment horizontal="right" vertical="top"/>
    </xf>
    <xf numFmtId="164" fontId="4" fillId="0" borderId="0" xfId="1" applyFont="1" applyAlignment="1">
      <alignment vertical="top"/>
    </xf>
    <xf numFmtId="165" fontId="4" fillId="0" borderId="0" xfId="0" applyNumberFormat="1" applyFont="1" applyAlignment="1">
      <alignment vertical="top"/>
    </xf>
    <xf numFmtId="0" fontId="13" fillId="0" borderId="0" xfId="0" applyFont="1" applyAlignment="1">
      <alignment vertical="top" wrapText="1"/>
    </xf>
    <xf numFmtId="0" fontId="14" fillId="3" borderId="0" xfId="0" applyFont="1" applyFill="1" applyAlignment="1" applyProtection="1">
      <alignment vertical="top"/>
      <protection locked="0"/>
    </xf>
    <xf numFmtId="0" fontId="14" fillId="0" borderId="0" xfId="0" applyFont="1" applyAlignment="1" applyProtection="1">
      <alignment vertical="center"/>
      <protection locked="0"/>
    </xf>
    <xf numFmtId="164" fontId="4" fillId="0" borderId="0" xfId="1" applyFont="1" applyAlignment="1" applyProtection="1">
      <alignment vertical="top" wrapText="1"/>
      <protection locked="0"/>
    </xf>
    <xf numFmtId="0" fontId="4" fillId="0" borderId="0" xfId="0" applyFont="1" applyAlignment="1">
      <alignment horizontal="left" vertical="top"/>
    </xf>
    <xf numFmtId="0" fontId="5" fillId="0" borderId="0" xfId="0" applyFont="1" applyAlignment="1" applyProtection="1">
      <alignment vertical="top" wrapText="1"/>
      <protection locked="0"/>
    </xf>
    <xf numFmtId="0" fontId="5" fillId="0" borderId="0" xfId="0" applyFont="1" applyAlignment="1" applyProtection="1">
      <alignment vertical="center"/>
      <protection locked="0"/>
    </xf>
    <xf numFmtId="0" fontId="4" fillId="0" borderId="7" xfId="2" applyFont="1" applyBorder="1" applyAlignment="1" applyProtection="1">
      <alignment horizontal="center" vertical="center" wrapText="1"/>
      <protection locked="0"/>
    </xf>
    <xf numFmtId="0" fontId="0" fillId="0" borderId="6" xfId="0" applyBorder="1" applyAlignment="1" applyProtection="1">
      <alignment vertical="top"/>
      <protection locked="0"/>
    </xf>
    <xf numFmtId="0" fontId="4" fillId="0" borderId="0" xfId="0" applyFont="1" applyAlignment="1">
      <alignment horizontal="left" vertical="center" wrapText="1"/>
    </xf>
    <xf numFmtId="0" fontId="11" fillId="3" borderId="0" xfId="0" applyFont="1" applyFill="1" applyAlignment="1" applyProtection="1">
      <alignment vertical="top"/>
      <protection locked="0"/>
    </xf>
    <xf numFmtId="0" fontId="11" fillId="0" borderId="0" xfId="0" applyFont="1" applyAlignment="1">
      <alignment vertical="top"/>
    </xf>
    <xf numFmtId="166" fontId="4"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4"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4" fillId="0" borderId="0" xfId="3" applyFont="1" applyAlignment="1" applyProtection="1">
      <alignment wrapText="1"/>
      <protection locked="0"/>
    </xf>
    <xf numFmtId="164" fontId="4" fillId="0" borderId="0" xfId="0" applyNumberFormat="1" applyFont="1" applyAlignment="1" applyProtection="1">
      <alignment vertical="top"/>
      <protection locked="0"/>
    </xf>
    <xf numFmtId="0" fontId="16" fillId="0" borderId="0" xfId="0" applyFont="1" applyAlignment="1" applyProtection="1">
      <alignment vertical="top" wrapText="1"/>
      <protection locked="0"/>
    </xf>
    <xf numFmtId="164" fontId="7" fillId="0" borderId="0" xfId="0" applyNumberFormat="1" applyFont="1" applyAlignment="1" applyProtection="1">
      <alignment vertical="top"/>
      <protection locked="0"/>
    </xf>
    <xf numFmtId="0" fontId="17" fillId="3" borderId="0" xfId="0" applyFont="1" applyFill="1" applyAlignment="1" applyProtection="1">
      <alignment vertical="top" wrapText="1"/>
      <protection locked="0"/>
    </xf>
    <xf numFmtId="0" fontId="17" fillId="0" borderId="0" xfId="0" applyFont="1" applyAlignment="1" applyProtection="1">
      <alignment vertical="top"/>
      <protection locked="0"/>
    </xf>
    <xf numFmtId="0" fontId="17" fillId="3" borderId="0" xfId="0" applyFont="1" applyFill="1" applyAlignment="1" applyProtection="1">
      <alignment vertical="top"/>
      <protection locked="0"/>
    </xf>
    <xf numFmtId="0" fontId="17" fillId="0" borderId="0" xfId="0" applyFont="1" applyAlignment="1" applyProtection="1">
      <alignment vertical="center"/>
      <protection locked="0"/>
    </xf>
    <xf numFmtId="0" fontId="12" fillId="0" borderId="0" xfId="0" applyFont="1" applyAlignment="1" applyProtection="1">
      <alignment vertical="top" wrapText="1"/>
      <protection locked="0"/>
    </xf>
    <xf numFmtId="0" fontId="4" fillId="0" borderId="8" xfId="0" applyFont="1" applyBorder="1" applyAlignment="1" applyProtection="1">
      <alignment vertical="top"/>
      <protection locked="0"/>
    </xf>
    <xf numFmtId="0" fontId="0" fillId="0" borderId="8" xfId="0" applyBorder="1" applyAlignment="1" applyProtection="1">
      <alignment vertical="top" wrapText="1"/>
      <protection locked="0"/>
    </xf>
    <xf numFmtId="0" fontId="0" fillId="3" borderId="8" xfId="0" applyFill="1" applyBorder="1" applyAlignment="1" applyProtection="1">
      <alignment vertical="top" wrapText="1"/>
      <protection locked="0"/>
    </xf>
    <xf numFmtId="0" fontId="0" fillId="0" borderId="8" xfId="0" applyBorder="1" applyAlignment="1" applyProtection="1">
      <alignment vertical="top"/>
      <protection locked="0"/>
    </xf>
    <xf numFmtId="0" fontId="0" fillId="3" borderId="8" xfId="0" applyFill="1" applyBorder="1" applyAlignment="1" applyProtection="1">
      <alignment vertical="top"/>
      <protection locked="0"/>
    </xf>
    <xf numFmtId="0" fontId="0" fillId="0" borderId="8" xfId="0" applyBorder="1" applyAlignment="1" applyProtection="1">
      <alignment vertical="center"/>
      <protection locked="0"/>
    </xf>
    <xf numFmtId="165" fontId="4" fillId="0" borderId="8" xfId="0" applyNumberFormat="1" applyFont="1" applyBorder="1" applyAlignment="1" applyProtection="1">
      <alignment horizontal="right" vertical="top"/>
      <protection locked="0"/>
    </xf>
    <xf numFmtId="164" fontId="4" fillId="0" borderId="8" xfId="0" applyNumberFormat="1" applyFont="1" applyBorder="1" applyAlignment="1" applyProtection="1">
      <alignment vertical="top"/>
      <protection locked="0"/>
    </xf>
    <xf numFmtId="165" fontId="4" fillId="0" borderId="8" xfId="0" applyNumberFormat="1" applyFont="1" applyBorder="1" applyAlignment="1" applyProtection="1">
      <alignment vertical="top"/>
      <protection locked="0"/>
    </xf>
    <xf numFmtId="0" fontId="0" fillId="0" borderId="8" xfId="0" applyBorder="1"/>
    <xf numFmtId="0" fontId="7" fillId="0" borderId="0" xfId="0" applyFont="1" applyAlignment="1" applyProtection="1">
      <alignment vertical="center" wrapText="1"/>
      <protection locked="0"/>
    </xf>
    <xf numFmtId="49" fontId="10" fillId="0" borderId="0" xfId="0" applyNumberFormat="1" applyFont="1" applyAlignment="1">
      <alignment horizontal="left" vertical="top" wrapText="1"/>
    </xf>
    <xf numFmtId="0" fontId="19" fillId="0" borderId="0" xfId="0" applyFont="1" applyAlignment="1">
      <alignment vertical="center"/>
    </xf>
    <xf numFmtId="0" fontId="20" fillId="0" borderId="9" xfId="0" applyFont="1" applyBorder="1" applyProtection="1">
      <protection locked="0"/>
    </xf>
    <xf numFmtId="0" fontId="0" fillId="0" borderId="10" xfId="0" applyBorder="1" applyAlignment="1" applyProtection="1">
      <alignment vertical="top"/>
      <protection locked="0"/>
    </xf>
    <xf numFmtId="0" fontId="6" fillId="0" borderId="10" xfId="0" applyFont="1" applyBorder="1" applyAlignment="1" applyProtection="1">
      <alignment horizontal="right" vertical="top"/>
      <protection locked="0"/>
    </xf>
    <xf numFmtId="164" fontId="6" fillId="0" borderId="10" xfId="1" applyFont="1" applyBorder="1" applyAlignment="1" applyProtection="1">
      <alignment vertical="top"/>
      <protection locked="0"/>
    </xf>
    <xf numFmtId="0" fontId="6" fillId="0" borderId="11" xfId="0" applyFont="1" applyBorder="1" applyAlignment="1" applyProtection="1">
      <alignment vertical="top"/>
      <protection locked="0"/>
    </xf>
    <xf numFmtId="0" fontId="0" fillId="0" borderId="0" xfId="0" applyProtection="1">
      <protection locked="0"/>
    </xf>
    <xf numFmtId="0" fontId="5" fillId="0" borderId="0" xfId="0" applyFont="1" applyProtection="1">
      <protection locked="0"/>
    </xf>
    <xf numFmtId="0" fontId="5" fillId="3" borderId="0" xfId="0" applyFont="1" applyFill="1" applyProtection="1">
      <protection locked="0"/>
    </xf>
    <xf numFmtId="0" fontId="5" fillId="0" borderId="0" xfId="0" applyFont="1"/>
    <xf numFmtId="0" fontId="7" fillId="0" borderId="0" xfId="0" applyFont="1" applyProtection="1">
      <protection locked="0"/>
    </xf>
    <xf numFmtId="0" fontId="7" fillId="6" borderId="0" xfId="0" applyFont="1" applyFill="1" applyProtection="1">
      <protection locked="0"/>
    </xf>
    <xf numFmtId="0" fontId="7" fillId="3" borderId="0" xfId="0" applyFont="1" applyFill="1" applyProtection="1">
      <protection locked="0"/>
    </xf>
    <xf numFmtId="0" fontId="16" fillId="3" borderId="0" xfId="0" applyFont="1" applyFill="1" applyProtection="1">
      <protection locked="0"/>
    </xf>
    <xf numFmtId="0" fontId="16" fillId="0" borderId="0" xfId="0" applyFont="1" applyProtection="1">
      <protection locked="0"/>
    </xf>
    <xf numFmtId="0" fontId="4" fillId="3" borderId="0" xfId="0" applyFont="1" applyFill="1" applyProtection="1">
      <protection locked="0"/>
    </xf>
    <xf numFmtId="0" fontId="0" fillId="3" borderId="0" xfId="0" applyFill="1" applyProtection="1">
      <protection locked="0"/>
    </xf>
    <xf numFmtId="0" fontId="0" fillId="6" borderId="0" xfId="0" applyFill="1" applyProtection="1">
      <protection locked="0"/>
    </xf>
    <xf numFmtId="0" fontId="11" fillId="0" borderId="0" xfId="0" applyFont="1"/>
    <xf numFmtId="49" fontId="21" fillId="7" borderId="12" xfId="0" applyNumberFormat="1" applyFont="1" applyFill="1" applyBorder="1" applyAlignment="1">
      <alignment vertical="center" wrapText="1"/>
    </xf>
    <xf numFmtId="0" fontId="4" fillId="0" borderId="0" xfId="0" applyFont="1" applyProtection="1">
      <protection locked="0"/>
    </xf>
    <xf numFmtId="0" fontId="18" fillId="3" borderId="0" xfId="0" applyFont="1" applyFill="1" applyProtection="1">
      <protection locked="0"/>
    </xf>
    <xf numFmtId="0" fontId="18" fillId="0" borderId="0" xfId="0" applyFont="1" applyProtection="1">
      <protection locked="0"/>
    </xf>
    <xf numFmtId="0" fontId="4" fillId="0" borderId="0" xfId="0" applyFont="1"/>
    <xf numFmtId="0" fontId="11" fillId="0" borderId="0" xfId="0" applyFont="1" applyProtection="1">
      <protection locked="0"/>
    </xf>
    <xf numFmtId="0" fontId="7" fillId="0" borderId="0" xfId="0" applyFont="1"/>
    <xf numFmtId="0" fontId="19" fillId="0" borderId="0" xfId="0" applyFont="1" applyProtection="1">
      <protection locked="0"/>
    </xf>
    <xf numFmtId="0" fontId="19" fillId="3" borderId="0" xfId="0" applyFont="1" applyFill="1" applyProtection="1">
      <protection locked="0"/>
    </xf>
    <xf numFmtId="0" fontId="8" fillId="0" borderId="0" xfId="0" applyFont="1"/>
    <xf numFmtId="0" fontId="8" fillId="0" borderId="0" xfId="0" applyFont="1" applyProtection="1">
      <protection locked="0"/>
    </xf>
    <xf numFmtId="0" fontId="2" fillId="0" borderId="0" xfId="0" applyFont="1" applyProtection="1">
      <protection locked="0"/>
    </xf>
    <xf numFmtId="0" fontId="0" fillId="0" borderId="13" xfId="0" applyBorder="1"/>
    <xf numFmtId="0" fontId="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4" fillId="0" borderId="14"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wrapText="1"/>
    </xf>
    <xf numFmtId="0" fontId="0" fillId="0" borderId="15" xfId="0" applyBorder="1"/>
    <xf numFmtId="0" fontId="5"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20" fillId="3" borderId="7" xfId="7" applyFont="1" applyFill="1" applyBorder="1" applyAlignment="1" applyProtection="1">
      <alignment horizontal="center" vertical="center"/>
      <protection locked="0"/>
    </xf>
    <xf numFmtId="0" fontId="4" fillId="0" borderId="7" xfId="0" applyFont="1" applyBorder="1" applyAlignment="1">
      <alignment horizontal="center" vertical="center"/>
    </xf>
    <xf numFmtId="0" fontId="4" fillId="0" borderId="7" xfId="0" applyFont="1" applyBorder="1" applyAlignment="1">
      <alignment wrapText="1"/>
    </xf>
    <xf numFmtId="0" fontId="20" fillId="0" borderId="7" xfId="7" applyFont="1" applyFill="1" applyBorder="1" applyAlignment="1">
      <alignment horizontal="center" vertical="center"/>
    </xf>
    <xf numFmtId="0" fontId="6" fillId="0" borderId="7" xfId="0" applyFont="1" applyBorder="1" applyAlignment="1">
      <alignment wrapText="1"/>
    </xf>
    <xf numFmtId="0" fontId="0" fillId="0" borderId="15" xfId="0" applyBorder="1" applyAlignment="1">
      <alignment wrapText="1"/>
    </xf>
    <xf numFmtId="0" fontId="20" fillId="0" borderId="7" xfId="7"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16" xfId="0" applyFont="1" applyBorder="1" applyAlignment="1">
      <alignment horizontal="center" vertical="center"/>
    </xf>
    <xf numFmtId="0" fontId="0" fillId="0" borderId="16" xfId="0" applyBorder="1" applyAlignment="1">
      <alignment vertical="center"/>
    </xf>
    <xf numFmtId="0" fontId="0" fillId="0" borderId="16" xfId="0" applyBorder="1" applyAlignment="1">
      <alignment wrapText="1"/>
    </xf>
    <xf numFmtId="0" fontId="3" fillId="0" borderId="13" xfId="4" applyBorder="1"/>
    <xf numFmtId="0" fontId="3" fillId="0" borderId="13" xfId="4" applyBorder="1" applyAlignment="1">
      <alignment vertical="center"/>
    </xf>
    <xf numFmtId="0" fontId="3" fillId="0" borderId="13" xfId="6" applyBorder="1"/>
    <xf numFmtId="0" fontId="3" fillId="0" borderId="14" xfId="4" applyBorder="1"/>
    <xf numFmtId="0" fontId="3" fillId="0" borderId="14" xfId="4" applyBorder="1" applyAlignment="1">
      <alignment vertical="center"/>
    </xf>
    <xf numFmtId="0" fontId="3" fillId="0" borderId="14" xfId="6" applyBorder="1"/>
    <xf numFmtId="0" fontId="3" fillId="0" borderId="15" xfId="4" applyBorder="1" applyAlignment="1">
      <alignment vertical="center"/>
    </xf>
    <xf numFmtId="0" fontId="3" fillId="0" borderId="17" xfId="4" applyBorder="1" applyAlignment="1">
      <alignment vertical="center"/>
    </xf>
    <xf numFmtId="0" fontId="23" fillId="0" borderId="3" xfId="4" applyFont="1" applyBorder="1" applyAlignment="1">
      <alignment horizontal="center" vertical="center" wrapText="1"/>
    </xf>
    <xf numFmtId="0" fontId="23" fillId="0" borderId="4" xfId="4" applyFont="1" applyBorder="1" applyAlignment="1">
      <alignment horizontal="center" vertical="center"/>
    </xf>
    <xf numFmtId="0" fontId="23" fillId="0" borderId="18" xfId="4" applyFont="1" applyBorder="1" applyAlignment="1">
      <alignment horizontal="center" vertical="center"/>
    </xf>
    <xf numFmtId="0" fontId="23" fillId="0" borderId="18" xfId="6" applyFont="1" applyBorder="1" applyAlignment="1">
      <alignment horizontal="center" vertical="center"/>
    </xf>
    <xf numFmtId="0" fontId="23" fillId="0" borderId="11" xfId="4" applyFont="1" applyBorder="1" applyAlignment="1">
      <alignment horizontal="center" vertical="center"/>
    </xf>
    <xf numFmtId="0" fontId="3" fillId="0" borderId="19" xfId="4" applyBorder="1" applyAlignment="1">
      <alignment vertical="center"/>
    </xf>
    <xf numFmtId="0" fontId="3" fillId="0" borderId="15" xfId="4" applyBorder="1"/>
    <xf numFmtId="0" fontId="11" fillId="0" borderId="20" xfId="5" applyFont="1" applyBorder="1" applyAlignment="1">
      <alignment horizontal="left" vertical="center" wrapText="1"/>
    </xf>
    <xf numFmtId="49" fontId="3" fillId="6" borderId="21" xfId="5" applyNumberFormat="1" applyFill="1" applyBorder="1" applyAlignment="1" applyProtection="1">
      <alignment horizontal="center" vertical="center"/>
      <protection locked="0"/>
    </xf>
    <xf numFmtId="0" fontId="3" fillId="7" borderId="22" xfId="6" applyFill="1" applyBorder="1" applyAlignment="1">
      <alignment horizontal="center" vertical="center"/>
    </xf>
    <xf numFmtId="0" fontId="4" fillId="0" borderId="21" xfId="5" applyFont="1" applyBorder="1" applyAlignment="1">
      <alignment vertical="center" wrapText="1"/>
    </xf>
    <xf numFmtId="0" fontId="2" fillId="0" borderId="23" xfId="6" applyFont="1" applyBorder="1" applyAlignment="1">
      <alignment horizontal="center" vertical="center"/>
    </xf>
    <xf numFmtId="0" fontId="24" fillId="0" borderId="24" xfId="5" applyFont="1" applyBorder="1" applyAlignment="1">
      <alignment horizontal="center" vertical="center"/>
    </xf>
    <xf numFmtId="0" fontId="3" fillId="0" borderId="19" xfId="4" applyBorder="1"/>
    <xf numFmtId="0" fontId="11" fillId="0" borderId="25" xfId="5" applyFont="1" applyBorder="1" applyAlignment="1">
      <alignment horizontal="left" vertical="center"/>
    </xf>
    <xf numFmtId="1" fontId="25" fillId="3" borderId="7" xfId="5" applyNumberFormat="1" applyFont="1" applyFill="1" applyBorder="1" applyAlignment="1" applyProtection="1">
      <alignment horizontal="center" vertical="center"/>
      <protection locked="0"/>
    </xf>
    <xf numFmtId="0" fontId="3" fillId="7" borderId="7" xfId="6" applyFill="1" applyBorder="1" applyAlignment="1">
      <alignment horizontal="center" vertical="center"/>
    </xf>
    <xf numFmtId="0" fontId="11" fillId="0" borderId="7" xfId="5" applyFont="1" applyBorder="1" applyAlignment="1">
      <alignment vertical="center" wrapText="1"/>
    </xf>
    <xf numFmtId="0" fontId="11" fillId="0" borderId="26" xfId="5" applyFont="1" applyBorder="1" applyAlignment="1">
      <alignment vertical="center" wrapText="1"/>
    </xf>
    <xf numFmtId="0" fontId="2" fillId="0" borderId="27" xfId="6" applyFont="1" applyBorder="1" applyAlignment="1">
      <alignment horizontal="center" vertical="center"/>
    </xf>
    <xf numFmtId="0" fontId="24" fillId="0" borderId="28" xfId="5" applyFont="1" applyBorder="1" applyAlignment="1">
      <alignment horizontal="center" vertical="center"/>
    </xf>
    <xf numFmtId="0" fontId="11" fillId="0" borderId="27" xfId="4" applyFont="1" applyBorder="1" applyAlignment="1">
      <alignment horizontal="left" vertical="center"/>
    </xf>
    <xf numFmtId="0" fontId="3" fillId="6" borderId="7" xfId="4" applyFill="1" applyBorder="1" applyAlignment="1" applyProtection="1">
      <alignment horizontal="center" vertical="center"/>
      <protection locked="0"/>
    </xf>
    <xf numFmtId="0" fontId="3" fillId="3" borderId="7" xfId="6" applyFill="1" applyBorder="1" applyAlignment="1" applyProtection="1">
      <alignment horizontal="center" vertical="center"/>
      <protection locked="0"/>
    </xf>
    <xf numFmtId="0" fontId="11" fillId="0" borderId="7" xfId="6" applyFont="1" applyBorder="1" applyAlignment="1">
      <alignment vertical="center" wrapText="1"/>
    </xf>
    <xf numFmtId="0" fontId="11" fillId="0" borderId="27" xfId="6" applyFont="1" applyBorder="1" applyAlignment="1">
      <alignment horizontal="center" vertical="center" wrapText="1"/>
    </xf>
    <xf numFmtId="0" fontId="24" fillId="0" borderId="28" xfId="4" applyFont="1" applyBorder="1" applyAlignment="1">
      <alignment horizontal="center" vertical="center" wrapText="1"/>
    </xf>
    <xf numFmtId="0" fontId="11" fillId="0" borderId="29" xfId="4" applyFont="1" applyBorder="1" applyAlignment="1">
      <alignment horizontal="left" vertical="center"/>
    </xf>
    <xf numFmtId="0" fontId="11" fillId="0" borderId="29" xfId="6" applyFont="1" applyBorder="1" applyAlignment="1">
      <alignment horizontal="center" vertical="center" wrapText="1"/>
    </xf>
    <xf numFmtId="0" fontId="24" fillId="0" borderId="30" xfId="4" applyFont="1" applyBorder="1" applyAlignment="1">
      <alignment horizontal="center" vertical="center" wrapText="1"/>
    </xf>
    <xf numFmtId="0" fontId="3" fillId="0" borderId="15" xfId="5" applyBorder="1"/>
    <xf numFmtId="0" fontId="11" fillId="0" borderId="31" xfId="5" applyFont="1" applyBorder="1" applyAlignment="1">
      <alignment vertical="center"/>
    </xf>
    <xf numFmtId="0" fontId="3" fillId="0" borderId="7" xfId="5" applyBorder="1" applyAlignment="1">
      <alignment horizontal="center" vertical="center"/>
    </xf>
    <xf numFmtId="0" fontId="11" fillId="0" borderId="7" xfId="5" applyFont="1" applyBorder="1" applyAlignment="1">
      <alignment horizontal="left" vertical="center" wrapText="1"/>
    </xf>
    <xf numFmtId="0" fontId="24" fillId="0" borderId="30" xfId="5" applyFont="1" applyBorder="1" applyAlignment="1">
      <alignment horizontal="center" vertical="center" wrapText="1"/>
    </xf>
    <xf numFmtId="0" fontId="3" fillId="0" borderId="19" xfId="5" applyBorder="1"/>
    <xf numFmtId="0" fontId="3" fillId="0" borderId="13" xfId="5" applyBorder="1"/>
    <xf numFmtId="0" fontId="4" fillId="0" borderId="7" xfId="6" applyFont="1" applyBorder="1" applyAlignment="1">
      <alignment vertical="center" wrapText="1"/>
    </xf>
    <xf numFmtId="0" fontId="4" fillId="0" borderId="7" xfId="4" applyFont="1" applyBorder="1" applyAlignment="1">
      <alignment vertical="center" wrapText="1"/>
    </xf>
    <xf numFmtId="0" fontId="4" fillId="0" borderId="29" xfId="6" applyFont="1" applyBorder="1" applyAlignment="1">
      <alignment horizontal="center" vertical="center" wrapText="1"/>
    </xf>
    <xf numFmtId="0" fontId="4" fillId="0" borderId="30" xfId="4" applyFont="1" applyBorder="1" applyAlignment="1">
      <alignment horizontal="center" vertical="center" wrapText="1"/>
    </xf>
    <xf numFmtId="0" fontId="3" fillId="6" borderId="7" xfId="6" applyFill="1" applyBorder="1" applyAlignment="1" applyProtection="1">
      <alignment horizontal="center" vertical="center" wrapText="1"/>
      <protection locked="0"/>
    </xf>
    <xf numFmtId="0" fontId="3" fillId="7" borderId="7" xfId="6" applyFill="1" applyBorder="1" applyAlignment="1">
      <alignment horizontal="center" vertical="center" wrapText="1"/>
    </xf>
    <xf numFmtId="0" fontId="11" fillId="0" borderId="32" xfId="5" applyFont="1" applyBorder="1" applyAlignment="1">
      <alignment vertical="center"/>
    </xf>
    <xf numFmtId="0" fontId="3" fillId="6" borderId="7" xfId="5" applyFill="1" applyBorder="1" applyAlignment="1" applyProtection="1">
      <alignment horizontal="center" vertical="center"/>
      <protection locked="0"/>
    </xf>
    <xf numFmtId="0" fontId="4" fillId="0" borderId="29" xfId="6" applyFont="1" applyBorder="1" applyAlignment="1">
      <alignment vertical="center" wrapText="1"/>
    </xf>
    <xf numFmtId="0" fontId="4" fillId="0" borderId="30" xfId="5" applyFont="1" applyBorder="1" applyAlignment="1">
      <alignment horizontal="center" vertical="center" wrapText="1"/>
    </xf>
    <xf numFmtId="0" fontId="11" fillId="0" borderId="33" xfId="5" applyFont="1" applyBorder="1" applyAlignment="1">
      <alignment vertical="center"/>
    </xf>
    <xf numFmtId="2" fontId="3" fillId="6" borderId="34" xfId="5" applyNumberFormat="1" applyFill="1" applyBorder="1" applyAlignment="1" applyProtection="1">
      <alignment horizontal="center" vertical="center"/>
      <protection locked="0"/>
    </xf>
    <xf numFmtId="4" fontId="3" fillId="7" borderId="35" xfId="6" applyNumberFormat="1" applyFill="1" applyBorder="1" applyAlignment="1">
      <alignment horizontal="center" vertical="center"/>
    </xf>
    <xf numFmtId="0" fontId="4" fillId="0" borderId="36" xfId="6" applyFont="1" applyBorder="1" applyAlignment="1">
      <alignment vertical="center" wrapText="1"/>
    </xf>
    <xf numFmtId="0" fontId="4" fillId="0" borderId="34" xfId="4" applyFont="1" applyBorder="1" applyAlignment="1">
      <alignment vertical="center" wrapText="1"/>
    </xf>
    <xf numFmtId="2" fontId="4" fillId="0" borderId="36" xfId="6" applyNumberFormat="1" applyFont="1" applyBorder="1" applyAlignment="1">
      <alignment horizontal="center" vertical="center" wrapText="1"/>
    </xf>
    <xf numFmtId="0" fontId="24" fillId="0" borderId="37" xfId="5" applyFont="1" applyBorder="1" applyAlignment="1">
      <alignment horizontal="center" vertical="center" wrapText="1"/>
    </xf>
    <xf numFmtId="0" fontId="11" fillId="0" borderId="25" xfId="4" applyFont="1" applyBorder="1" applyAlignment="1">
      <alignment horizontal="left" vertical="center"/>
    </xf>
    <xf numFmtId="0" fontId="3" fillId="6" borderId="26" xfId="4" applyFill="1" applyBorder="1" applyAlignment="1" applyProtection="1">
      <alignment horizontal="center" vertical="center"/>
      <protection locked="0"/>
    </xf>
    <xf numFmtId="0" fontId="11" fillId="0" borderId="21" xfId="6" applyFont="1" applyBorder="1" applyAlignment="1">
      <alignment vertical="center" wrapText="1"/>
    </xf>
    <xf numFmtId="0" fontId="11" fillId="0" borderId="26" xfId="4" applyFont="1" applyBorder="1" applyAlignment="1">
      <alignment vertical="center" wrapText="1"/>
    </xf>
    <xf numFmtId="0" fontId="26" fillId="0" borderId="28" xfId="4" applyFont="1" applyBorder="1" applyAlignment="1">
      <alignment horizontal="center" vertical="center" wrapText="1"/>
    </xf>
    <xf numFmtId="0" fontId="11" fillId="0" borderId="31" xfId="4" applyFont="1" applyBorder="1" applyAlignment="1">
      <alignment horizontal="left" vertical="center"/>
    </xf>
    <xf numFmtId="1" fontId="3" fillId="6" borderId="7" xfId="4" applyNumberFormat="1" applyFill="1" applyBorder="1" applyAlignment="1" applyProtection="1">
      <alignment horizontal="center" vertical="center"/>
      <protection locked="0"/>
    </xf>
    <xf numFmtId="0" fontId="4" fillId="0" borderId="7" xfId="5" applyFont="1" applyBorder="1" applyAlignment="1">
      <alignment vertical="center" wrapText="1"/>
    </xf>
    <xf numFmtId="0" fontId="26" fillId="0" borderId="30" xfId="4" applyFont="1" applyBorder="1" applyAlignment="1">
      <alignment horizontal="center" vertical="center" wrapText="1"/>
    </xf>
    <xf numFmtId="0" fontId="3" fillId="0" borderId="39" xfId="4" applyBorder="1"/>
    <xf numFmtId="0" fontId="3" fillId="7" borderId="19" xfId="4" applyFill="1" applyBorder="1"/>
    <xf numFmtId="0" fontId="4" fillId="0" borderId="7" xfId="6" applyFont="1" applyBorder="1" applyAlignment="1">
      <alignment wrapText="1"/>
    </xf>
    <xf numFmtId="0" fontId="11" fillId="0" borderId="31" xfId="4" applyFont="1" applyBorder="1" applyAlignment="1">
      <alignment horizontal="left" vertical="center" wrapText="1"/>
    </xf>
    <xf numFmtId="0" fontId="11" fillId="0" borderId="40" xfId="4" applyFont="1" applyBorder="1" applyAlignment="1">
      <alignment horizontal="left" vertical="center" wrapText="1"/>
    </xf>
    <xf numFmtId="0" fontId="3" fillId="6" borderId="35" xfId="4" applyFill="1" applyBorder="1" applyAlignment="1" applyProtection="1">
      <alignment horizontal="center" vertical="center"/>
      <protection locked="0"/>
    </xf>
    <xf numFmtId="0" fontId="4" fillId="0" borderId="41" xfId="6" applyFont="1" applyBorder="1" applyAlignment="1">
      <alignment vertical="center" wrapText="1"/>
    </xf>
    <xf numFmtId="0" fontId="4" fillId="0" borderId="35" xfId="4" applyFont="1" applyBorder="1" applyAlignment="1">
      <alignment vertical="center" wrapText="1"/>
    </xf>
    <xf numFmtId="0" fontId="4" fillId="0" borderId="41" xfId="6" applyFont="1" applyBorder="1" applyAlignment="1">
      <alignment horizontal="center" vertical="center" wrapText="1"/>
    </xf>
    <xf numFmtId="0" fontId="4" fillId="0" borderId="42" xfId="4" applyFont="1" applyBorder="1" applyAlignment="1">
      <alignment horizontal="center" vertical="center" wrapText="1"/>
    </xf>
    <xf numFmtId="0" fontId="3" fillId="7" borderId="15" xfId="4" applyFill="1" applyBorder="1"/>
    <xf numFmtId="0" fontId="3" fillId="7" borderId="2" xfId="4" applyFill="1" applyBorder="1" applyAlignment="1">
      <alignment wrapText="1"/>
    </xf>
    <xf numFmtId="0" fontId="11" fillId="7" borderId="33" xfId="4" applyFont="1" applyFill="1" applyBorder="1" applyAlignment="1">
      <alignment vertical="center"/>
    </xf>
    <xf numFmtId="0" fontId="3" fillId="7" borderId="34" xfId="4" applyFill="1" applyBorder="1" applyAlignment="1">
      <alignment horizontal="center" vertical="center"/>
    </xf>
    <xf numFmtId="0" fontId="3" fillId="7" borderId="43" xfId="4" applyFill="1" applyBorder="1" applyAlignment="1">
      <alignment horizontal="center" vertical="center"/>
    </xf>
    <xf numFmtId="0" fontId="3" fillId="7" borderId="13" xfId="4" applyFill="1" applyBorder="1"/>
    <xf numFmtId="0" fontId="4" fillId="7" borderId="34" xfId="4" applyFont="1" applyFill="1" applyBorder="1" applyAlignment="1">
      <alignment vertical="center" wrapText="1"/>
    </xf>
    <xf numFmtId="0" fontId="4" fillId="7" borderId="36" xfId="6" applyFont="1" applyFill="1" applyBorder="1" applyAlignment="1">
      <alignment horizontal="center" vertical="center" wrapText="1"/>
    </xf>
    <xf numFmtId="0" fontId="4" fillId="7" borderId="37" xfId="4" applyFont="1" applyFill="1" applyBorder="1" applyAlignment="1">
      <alignment horizontal="center" vertical="center" wrapText="1"/>
    </xf>
    <xf numFmtId="0" fontId="27" fillId="0" borderId="20" xfId="4" applyFont="1" applyBorder="1" applyAlignment="1">
      <alignment horizontal="center" vertical="center" wrapText="1"/>
    </xf>
    <xf numFmtId="166" fontId="3" fillId="3" borderId="21" xfId="4" applyNumberFormat="1" applyFill="1" applyBorder="1" applyAlignment="1" applyProtection="1">
      <alignment horizontal="center" vertical="center"/>
      <protection locked="0"/>
    </xf>
    <xf numFmtId="166" fontId="3" fillId="7" borderId="21" xfId="1" applyNumberFormat="1" applyFont="1" applyFill="1" applyBorder="1" applyAlignment="1">
      <alignment horizontal="center" vertical="center"/>
    </xf>
    <xf numFmtId="0" fontId="28" fillId="0" borderId="44" xfId="6" applyFont="1" applyBorder="1" applyAlignment="1">
      <alignment vertical="center" wrapText="1"/>
    </xf>
    <xf numFmtId="0" fontId="28" fillId="0" borderId="21" xfId="4" applyFont="1" applyBorder="1" applyAlignment="1">
      <alignment vertical="center" wrapText="1"/>
    </xf>
    <xf numFmtId="166" fontId="4" fillId="0" borderId="44" xfId="1" applyNumberFormat="1" applyFont="1" applyBorder="1" applyAlignment="1">
      <alignment horizontal="center" vertical="center" wrapText="1"/>
    </xf>
    <xf numFmtId="166" fontId="4" fillId="0" borderId="45" xfId="1" applyNumberFormat="1" applyFont="1" applyBorder="1" applyAlignment="1">
      <alignment horizontal="center" vertical="center" wrapText="1"/>
    </xf>
    <xf numFmtId="0" fontId="27" fillId="0" borderId="31" xfId="4" applyFont="1" applyBorder="1" applyAlignment="1">
      <alignment horizontal="center" vertical="center" wrapText="1"/>
    </xf>
    <xf numFmtId="166" fontId="3" fillId="3" borderId="7" xfId="4" applyNumberFormat="1" applyFill="1" applyBorder="1" applyAlignment="1" applyProtection="1">
      <alignment horizontal="center" vertical="center"/>
      <protection locked="0"/>
    </xf>
    <xf numFmtId="166" fontId="3" fillId="7" borderId="7" xfId="1" applyNumberFormat="1" applyFont="1" applyFill="1" applyBorder="1" applyAlignment="1">
      <alignment horizontal="center" vertical="center"/>
    </xf>
    <xf numFmtId="0" fontId="28" fillId="0" borderId="46" xfId="6" applyFont="1" applyBorder="1" applyAlignment="1">
      <alignment vertical="center" wrapText="1"/>
    </xf>
    <xf numFmtId="0" fontId="28" fillId="0" borderId="7" xfId="4" applyFont="1" applyBorder="1" applyAlignment="1">
      <alignment vertical="center" wrapText="1"/>
    </xf>
    <xf numFmtId="166" fontId="4" fillId="0" borderId="46" xfId="1" applyNumberFormat="1" applyFont="1" applyBorder="1" applyAlignment="1">
      <alignment horizontal="center" vertical="center" wrapText="1"/>
    </xf>
    <xf numFmtId="166" fontId="4" fillId="0" borderId="47" xfId="1" applyNumberFormat="1" applyFont="1" applyBorder="1" applyAlignment="1">
      <alignment horizontal="center" vertical="center" wrapText="1"/>
    </xf>
    <xf numFmtId="0" fontId="27" fillId="0" borderId="40" xfId="4" applyFont="1" applyBorder="1" applyAlignment="1">
      <alignment horizontal="center" vertical="center" wrapText="1"/>
    </xf>
    <xf numFmtId="166" fontId="3" fillId="3" borderId="35" xfId="4" applyNumberFormat="1" applyFill="1" applyBorder="1" applyAlignment="1" applyProtection="1">
      <alignment horizontal="center" vertical="center"/>
      <protection locked="0"/>
    </xf>
    <xf numFmtId="166" fontId="3" fillId="7" borderId="35" xfId="1" applyNumberFormat="1" applyFont="1" applyFill="1" applyBorder="1" applyAlignment="1">
      <alignment horizontal="center" vertical="center"/>
    </xf>
    <xf numFmtId="0" fontId="28" fillId="0" borderId="41" xfId="6" applyFont="1" applyBorder="1" applyAlignment="1">
      <alignment vertical="center" wrapText="1"/>
    </xf>
    <xf numFmtId="0" fontId="28" fillId="0" borderId="35" xfId="4" applyFont="1" applyBorder="1" applyAlignment="1">
      <alignment vertical="center" wrapText="1"/>
    </xf>
    <xf numFmtId="166" fontId="4" fillId="0" borderId="41" xfId="1" applyNumberFormat="1" applyFont="1" applyBorder="1" applyAlignment="1">
      <alignment horizontal="center" vertical="center" wrapText="1"/>
    </xf>
    <xf numFmtId="166" fontId="4" fillId="0" borderId="42" xfId="1" applyNumberFormat="1" applyFont="1" applyBorder="1" applyAlignment="1">
      <alignment horizontal="center" vertical="center" wrapText="1"/>
    </xf>
    <xf numFmtId="0" fontId="3" fillId="0" borderId="16" xfId="4" applyBorder="1"/>
    <xf numFmtId="0" fontId="3" fillId="0" borderId="16" xfId="4" applyBorder="1" applyAlignment="1">
      <alignment vertical="center"/>
    </xf>
    <xf numFmtId="0" fontId="3" fillId="0" borderId="16" xfId="6" applyBorder="1"/>
    <xf numFmtId="0" fontId="29" fillId="8" borderId="0" xfId="0" applyFont="1" applyFill="1" applyProtection="1">
      <protection locked="0"/>
    </xf>
    <xf numFmtId="0" fontId="29" fillId="8" borderId="0" xfId="0" applyFont="1" applyFill="1" applyAlignment="1" applyProtection="1">
      <alignment wrapText="1"/>
      <protection locked="0"/>
    </xf>
    <xf numFmtId="0" fontId="29" fillId="8" borderId="0" xfId="0" applyFont="1" applyFill="1" applyAlignment="1" applyProtection="1">
      <alignment vertical="top" wrapText="1"/>
      <protection locked="0"/>
    </xf>
    <xf numFmtId="0" fontId="29" fillId="8" borderId="0" xfId="0" applyFont="1" applyFill="1" applyAlignment="1" applyProtection="1">
      <alignment vertical="top"/>
      <protection locked="0"/>
    </xf>
    <xf numFmtId="0" fontId="29" fillId="8" borderId="0" xfId="0" applyFont="1" applyFill="1" applyAlignment="1" applyProtection="1">
      <alignment vertical="center"/>
      <protection locked="0"/>
    </xf>
    <xf numFmtId="165" fontId="30" fillId="8" borderId="0" xfId="0" applyNumberFormat="1" applyFont="1" applyFill="1" applyAlignment="1" applyProtection="1">
      <alignment horizontal="right" vertical="top"/>
      <protection locked="0"/>
    </xf>
    <xf numFmtId="164" fontId="30" fillId="8" borderId="0" xfId="1" applyFont="1" applyFill="1" applyAlignment="1" applyProtection="1">
      <alignment vertical="top"/>
      <protection locked="0"/>
    </xf>
    <xf numFmtId="165" fontId="30" fillId="8" borderId="0" xfId="0" applyNumberFormat="1" applyFont="1" applyFill="1" applyAlignment="1" applyProtection="1">
      <alignment vertical="top"/>
      <protection locked="0"/>
    </xf>
    <xf numFmtId="0" fontId="30" fillId="8" borderId="0" xfId="0" applyFont="1" applyFill="1" applyAlignment="1" applyProtection="1">
      <alignment vertical="top"/>
      <protection locked="0"/>
    </xf>
    <xf numFmtId="0" fontId="0" fillId="8" borderId="0" xfId="0" applyFill="1"/>
    <xf numFmtId="0" fontId="0" fillId="8" borderId="0" xfId="0" applyFill="1" applyAlignment="1">
      <alignment wrapText="1"/>
    </xf>
    <xf numFmtId="0" fontId="30" fillId="8" borderId="0" xfId="0" applyFont="1" applyFill="1" applyAlignment="1">
      <alignment wrapText="1"/>
    </xf>
    <xf numFmtId="0" fontId="0" fillId="9" borderId="0" xfId="0" applyFill="1" applyAlignment="1" applyProtection="1">
      <alignment vertical="top" wrapText="1"/>
      <protection locked="0"/>
    </xf>
    <xf numFmtId="0" fontId="29" fillId="0" borderId="0" xfId="0" applyFont="1" applyAlignment="1" applyProtection="1">
      <alignment wrapText="1"/>
      <protection locked="0"/>
    </xf>
    <xf numFmtId="0" fontId="0" fillId="9" borderId="0" xfId="0" applyFill="1" applyAlignment="1" applyProtection="1">
      <alignment vertical="top"/>
      <protection locked="0"/>
    </xf>
    <xf numFmtId="165" fontId="30" fillId="0" borderId="0" xfId="0" applyNumberFormat="1" applyFont="1" applyAlignment="1" applyProtection="1">
      <alignment horizontal="right" vertical="top"/>
      <protection locked="0"/>
    </xf>
    <xf numFmtId="164" fontId="30" fillId="0" borderId="0" xfId="1" applyFont="1" applyAlignment="1" applyProtection="1">
      <alignment vertical="top"/>
      <protection locked="0"/>
    </xf>
    <xf numFmtId="165" fontId="30" fillId="0" borderId="0" xfId="0" applyNumberFormat="1" applyFont="1" applyAlignment="1" applyProtection="1">
      <alignment vertical="top"/>
      <protection locked="0"/>
    </xf>
    <xf numFmtId="0" fontId="30" fillId="0" borderId="0" xfId="0" applyFont="1" applyAlignment="1" applyProtection="1">
      <alignment vertical="top"/>
      <protection locked="0"/>
    </xf>
    <xf numFmtId="0" fontId="0" fillId="0" borderId="0" xfId="0" applyAlignment="1" applyProtection="1">
      <alignment wrapText="1"/>
      <protection locked="0"/>
    </xf>
    <xf numFmtId="0" fontId="30" fillId="0" borderId="0" xfId="0" applyFont="1" applyAlignment="1" applyProtection="1">
      <alignment vertical="center"/>
      <protection locked="0"/>
    </xf>
    <xf numFmtId="165" fontId="31" fillId="8" borderId="0" xfId="0" applyNumberFormat="1" applyFont="1" applyFill="1" applyProtection="1">
      <protection locked="0"/>
    </xf>
    <xf numFmtId="0" fontId="30" fillId="8" borderId="0" xfId="0" applyFont="1" applyFill="1" applyProtection="1">
      <protection locked="0"/>
    </xf>
    <xf numFmtId="0" fontId="0" fillId="8" borderId="0" xfId="0" applyFill="1" applyProtection="1">
      <protection locked="0"/>
    </xf>
    <xf numFmtId="0" fontId="30" fillId="8" borderId="0" xfId="0" applyFont="1" applyFill="1" applyAlignment="1">
      <alignment vertical="center" wrapText="1"/>
    </xf>
    <xf numFmtId="0" fontId="0" fillId="8" borderId="0" xfId="0" applyFill="1" applyAlignment="1" applyProtection="1">
      <alignment vertical="top" wrapText="1"/>
      <protection locked="0"/>
    </xf>
    <xf numFmtId="0" fontId="32" fillId="8" borderId="0" xfId="0" applyFont="1" applyFill="1" applyAlignment="1">
      <alignment wrapText="1"/>
    </xf>
    <xf numFmtId="0" fontId="0" fillId="8" borderId="0" xfId="0" applyFill="1" applyAlignment="1" applyProtection="1">
      <alignment vertical="top"/>
      <protection locked="0"/>
    </xf>
    <xf numFmtId="0" fontId="0" fillId="8" borderId="0" xfId="0" applyFill="1" applyAlignment="1" applyProtection="1">
      <alignment vertical="center"/>
      <protection locked="0"/>
    </xf>
    <xf numFmtId="0" fontId="30" fillId="8" borderId="0" xfId="0" applyFont="1" applyFill="1" applyAlignment="1" applyProtection="1">
      <alignment vertical="center"/>
      <protection locked="0"/>
    </xf>
    <xf numFmtId="0" fontId="0" fillId="8" borderId="0" xfId="0" applyFill="1" applyAlignment="1" applyProtection="1">
      <alignment wrapText="1"/>
      <protection locked="0"/>
    </xf>
    <xf numFmtId="0" fontId="15" fillId="8" borderId="0" xfId="0" applyFont="1" applyFill="1"/>
    <xf numFmtId="0" fontId="15" fillId="8" borderId="0" xfId="0" applyFont="1" applyFill="1" applyAlignment="1">
      <alignment vertical="top"/>
    </xf>
    <xf numFmtId="0" fontId="15" fillId="8" borderId="0" xfId="0" applyFont="1" applyFill="1" applyAlignment="1">
      <alignment vertical="top" wrapText="1"/>
    </xf>
    <xf numFmtId="0" fontId="0" fillId="10" borderId="0" xfId="0" applyFill="1" applyAlignment="1" applyProtection="1">
      <alignment vertical="top" wrapText="1"/>
      <protection locked="0"/>
    </xf>
    <xf numFmtId="0" fontId="7" fillId="8" borderId="0" xfId="0" applyFont="1" applyFill="1" applyAlignment="1" applyProtection="1">
      <alignment vertical="top"/>
      <protection locked="0"/>
    </xf>
    <xf numFmtId="0" fontId="0" fillId="10" borderId="0" xfId="0" applyFill="1" applyAlignment="1" applyProtection="1">
      <alignment vertical="top"/>
      <protection locked="0"/>
    </xf>
    <xf numFmtId="0" fontId="4" fillId="8" borderId="0" xfId="0" applyFont="1" applyFill="1" applyAlignment="1" applyProtection="1">
      <alignment vertical="center"/>
      <protection locked="0"/>
    </xf>
    <xf numFmtId="165" fontId="4" fillId="8" borderId="0" xfId="0" applyNumberFormat="1" applyFont="1" applyFill="1" applyAlignment="1" applyProtection="1">
      <alignment horizontal="right" vertical="top"/>
      <protection locked="0"/>
    </xf>
    <xf numFmtId="164" fontId="4" fillId="8" borderId="0" xfId="1" applyFont="1" applyFill="1" applyAlignment="1" applyProtection="1">
      <alignment vertical="top"/>
      <protection locked="0"/>
    </xf>
    <xf numFmtId="165" fontId="4" fillId="8" borderId="0" xfId="0" applyNumberFormat="1" applyFont="1" applyFill="1" applyAlignment="1" applyProtection="1">
      <alignment vertical="top"/>
      <protection locked="0"/>
    </xf>
    <xf numFmtId="0" fontId="29" fillId="0" borderId="0" xfId="0" applyFont="1" applyProtection="1">
      <protection locked="0"/>
    </xf>
    <xf numFmtId="0" fontId="33" fillId="9" borderId="0" xfId="0" applyFont="1" applyFill="1" applyProtection="1">
      <protection locked="0"/>
    </xf>
    <xf numFmtId="0" fontId="33" fillId="0" borderId="0" xfId="0" applyFont="1" applyProtection="1">
      <protection locked="0"/>
    </xf>
    <xf numFmtId="0" fontId="32" fillId="0" borderId="0" xfId="0" applyFont="1" applyProtection="1">
      <protection locked="0"/>
    </xf>
    <xf numFmtId="0" fontId="34" fillId="0" borderId="0" xfId="0" applyFont="1" applyAlignment="1" applyProtection="1">
      <alignment horizontal="justify" vertical="center" wrapText="1"/>
      <protection locked="0"/>
    </xf>
    <xf numFmtId="0" fontId="34" fillId="0" borderId="0" xfId="0" applyFont="1" applyProtection="1">
      <protection locked="0"/>
    </xf>
    <xf numFmtId="0" fontId="3" fillId="0" borderId="2" xfId="4" applyBorder="1" applyAlignment="1">
      <alignment horizontal="center" vertical="top" textRotation="90" wrapText="1"/>
    </xf>
    <xf numFmtId="0" fontId="0" fillId="0" borderId="48" xfId="0" applyBorder="1"/>
    <xf numFmtId="0" fontId="0" fillId="0" borderId="38" xfId="0" applyBorder="1"/>
    <xf numFmtId="0" fontId="3" fillId="0" borderId="38" xfId="4" applyBorder="1" applyAlignment="1">
      <alignment horizontal="center" vertical="top" textRotation="90" wrapText="1"/>
    </xf>
    <xf numFmtId="0" fontId="3" fillId="0" borderId="2" xfId="4" applyBorder="1" applyAlignment="1">
      <alignment horizontal="center" vertical="top" textRotation="90"/>
    </xf>
  </cellXfs>
  <cellStyles count="8">
    <cellStyle name="Excel Built-in Check Cell" xfId="7" xr:uid="{00000000-0005-0000-0000-000007000000}"/>
    <cellStyle name="Normal" xfId="0" builtinId="0"/>
    <cellStyle name="Normal 3" xfId="3" xr:uid="{00000000-0005-0000-0000-000003000000}"/>
    <cellStyle name="Normal 4 2" xfId="5" xr:uid="{00000000-0005-0000-0000-000005000000}"/>
    <cellStyle name="Normal 4 2 2" xfId="4" xr:uid="{00000000-0005-0000-0000-000004000000}"/>
    <cellStyle name="Normal 4 2 2 2" xfId="6" xr:uid="{00000000-0005-0000-0000-000006000000}"/>
    <cellStyle name="Normal 5" xfId="2" xr:uid="{00000000-0005-0000-0000-000002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4F6228"/>
      <rgbColor rgb="FF800080"/>
      <rgbColor rgb="FF008080"/>
      <rgbColor rgb="FFA6A6A6"/>
      <rgbColor rgb="FF808080"/>
      <rgbColor rgb="FF9999FF"/>
      <rgbColor rgb="FF7030A0"/>
      <rgbColor rgb="FFF6DFDC"/>
      <rgbColor rgb="FFDCE6F2"/>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A5A5A5"/>
      <rgbColor rgb="FF003366"/>
      <rgbColor rgb="FF00B050"/>
      <rgbColor rgb="FF003300"/>
      <rgbColor rgb="FF333300"/>
      <rgbColor rgb="FF984807"/>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0.52</v>
          </cell>
        </row>
      </sheetData>
    </sheetDataSet>
  </externalBook>
</externalLink>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5"/>
  <sheetViews>
    <sheetView tabSelected="1" zoomScale="78" zoomScaleNormal="120" workbookViewId="0">
      <selection activeCell="C31" sqref="C31"/>
    </sheetView>
  </sheetViews>
  <sheetFormatPr baseColWidth="10" defaultColWidth="11.5" defaultRowHeight="15" x14ac:dyDescent="0.15"/>
  <cols>
    <col min="1" max="1" width="21.1640625" style="1" customWidth="1"/>
    <col min="2" max="2" width="25.83203125" style="1" customWidth="1"/>
    <col min="3" max="4" width="66" style="2" customWidth="1"/>
    <col min="5" max="5" width="16.83203125" style="2" customWidth="1"/>
    <col min="6" max="7" width="28" style="1" customWidth="1"/>
    <col min="8" max="8" width="15.5" style="1" customWidth="1"/>
    <col min="9" max="10" width="8.83203125" style="3" customWidth="1"/>
    <col min="11" max="11" width="14.6640625" style="3" customWidth="1"/>
    <col min="12" max="16" width="8.83203125" style="3" customWidth="1"/>
    <col min="17" max="20" width="8.83203125" style="1" customWidth="1"/>
    <col min="21" max="21" width="9.5" style="1" customWidth="1"/>
    <col min="22" max="22" width="8.83203125" style="1" customWidth="1"/>
    <col min="23" max="23" width="18.1640625" style="4" customWidth="1"/>
    <col min="24" max="24" width="18.33203125" style="5" customWidth="1"/>
    <col min="25" max="25" width="14.1640625" style="6" customWidth="1"/>
    <col min="26" max="26" width="19.6640625" style="6" customWidth="1"/>
    <col min="27" max="27" width="8.83203125" style="6" customWidth="1"/>
  </cols>
  <sheetData>
    <row r="1" spans="1:27" ht="48" customHeight="1" x14ac:dyDescent="0.15">
      <c r="A1" s="7" t="s">
        <v>0</v>
      </c>
      <c r="B1" s="7" t="s">
        <v>1</v>
      </c>
      <c r="C1" s="8" t="s">
        <v>2</v>
      </c>
      <c r="D1" s="8" t="s">
        <v>3</v>
      </c>
      <c r="E1" s="9" t="s">
        <v>4</v>
      </c>
      <c r="F1" s="7" t="s">
        <v>5</v>
      </c>
      <c r="G1" s="7" t="s">
        <v>6</v>
      </c>
      <c r="H1" s="10" t="s">
        <v>7</v>
      </c>
      <c r="I1" s="7" t="s">
        <v>8</v>
      </c>
      <c r="J1" s="7" t="s">
        <v>9</v>
      </c>
      <c r="K1" s="7" t="s">
        <v>10</v>
      </c>
      <c r="L1" s="7" t="s">
        <v>11</v>
      </c>
      <c r="M1" s="7" t="s">
        <v>12</v>
      </c>
      <c r="N1" s="7" t="s">
        <v>13</v>
      </c>
      <c r="O1" s="7" t="s">
        <v>14</v>
      </c>
      <c r="P1" s="7" t="s">
        <v>15</v>
      </c>
      <c r="Q1" s="11"/>
      <c r="R1" s="11"/>
      <c r="S1" s="11"/>
      <c r="T1" s="11"/>
      <c r="U1" s="12" t="s">
        <v>16</v>
      </c>
      <c r="V1" s="11"/>
      <c r="W1" s="13" t="s">
        <v>17</v>
      </c>
      <c r="X1" s="14" t="s">
        <v>18</v>
      </c>
      <c r="Y1" s="15" t="s">
        <v>19</v>
      </c>
      <c r="Z1" s="16" t="s">
        <v>20</v>
      </c>
      <c r="AA1" s="17"/>
    </row>
    <row r="2" spans="1:27" x14ac:dyDescent="0.15">
      <c r="A2" s="18" t="s">
        <v>21</v>
      </c>
      <c r="B2" s="18" t="s">
        <v>21</v>
      </c>
      <c r="C2" s="19"/>
      <c r="D2" s="19"/>
      <c r="E2" s="20"/>
      <c r="F2" s="18"/>
      <c r="G2" s="18"/>
      <c r="H2" s="21"/>
      <c r="I2" s="22"/>
      <c r="J2" s="22"/>
      <c r="K2" s="22"/>
      <c r="L2" s="22"/>
      <c r="M2" s="22"/>
      <c r="N2" s="22"/>
      <c r="O2" s="22"/>
      <c r="P2" s="22"/>
      <c r="W2" s="23"/>
      <c r="Y2" s="24" t="str">
        <f>IF(W2&lt;&gt;"",W2*X2,"")</f>
        <v/>
      </c>
      <c r="Z2" s="24" t="str">
        <f>IF(AND(W2&lt;&gt;"",U2="yes"),W2*X2,"")</f>
        <v/>
      </c>
    </row>
    <row r="3" spans="1:27" x14ac:dyDescent="0.15">
      <c r="A3" s="18" t="s">
        <v>22</v>
      </c>
      <c r="B3" s="18" t="s">
        <v>22</v>
      </c>
      <c r="C3" s="19"/>
      <c r="D3" s="19"/>
      <c r="E3" s="20"/>
      <c r="F3" s="18"/>
      <c r="G3" s="18"/>
      <c r="H3" s="21"/>
      <c r="I3" s="22"/>
      <c r="J3" s="22"/>
      <c r="K3" s="22"/>
      <c r="L3" s="22"/>
      <c r="M3" s="22"/>
      <c r="N3" s="22"/>
      <c r="O3" s="22"/>
      <c r="P3" s="22"/>
      <c r="W3" s="23"/>
      <c r="Y3" s="24" t="str">
        <f>IF(W3&lt;&gt;"",W3*X3,"")</f>
        <v/>
      </c>
      <c r="Z3" s="24" t="str">
        <f>IF(AND(W3&lt;&gt;"",U3="yes"),W3*X3,"")</f>
        <v/>
      </c>
    </row>
    <row r="4" spans="1:27" x14ac:dyDescent="0.15">
      <c r="A4" s="18" t="s">
        <v>23</v>
      </c>
      <c r="B4" s="18" t="s">
        <v>23</v>
      </c>
      <c r="C4" s="19"/>
      <c r="D4" s="19"/>
      <c r="E4" s="20"/>
      <c r="F4" s="18"/>
      <c r="G4" s="18"/>
      <c r="H4" s="21"/>
      <c r="I4" s="22"/>
      <c r="J4" s="22"/>
      <c r="K4" s="22"/>
      <c r="L4" s="22"/>
      <c r="M4" s="22"/>
      <c r="N4" s="22"/>
      <c r="O4" s="22"/>
      <c r="P4" s="22"/>
      <c r="W4" s="23"/>
      <c r="Y4" s="24" t="str">
        <f>IF(W4&lt;&gt;"",W4*X4,"")</f>
        <v/>
      </c>
      <c r="Z4" s="24" t="str">
        <f>IF(AND(W4&lt;&gt;"",U4="yes"),W4*X4,"")</f>
        <v/>
      </c>
    </row>
    <row r="5" spans="1:27" x14ac:dyDescent="0.15">
      <c r="A5" s="18" t="s">
        <v>24</v>
      </c>
      <c r="B5" s="18" t="s">
        <v>24</v>
      </c>
      <c r="C5" s="19"/>
      <c r="D5" s="19"/>
      <c r="E5" s="20"/>
      <c r="F5" s="18"/>
      <c r="G5" s="18"/>
      <c r="H5" s="21"/>
      <c r="I5" s="22"/>
      <c r="J5" s="22"/>
      <c r="K5" s="22"/>
      <c r="L5" s="22"/>
      <c r="M5" s="22"/>
      <c r="N5" s="22"/>
      <c r="O5" s="22"/>
      <c r="P5" s="22"/>
      <c r="W5" s="23"/>
      <c r="Y5" s="24" t="str">
        <f>IF(W5&lt;&gt;"",W5*X5,"")</f>
        <v/>
      </c>
      <c r="Z5" s="24" t="str">
        <f>IF(AND(W5&lt;&gt;"",U5="yes"),W5*X5,"")</f>
        <v/>
      </c>
    </row>
    <row r="6" spans="1:27" x14ac:dyDescent="0.15">
      <c r="A6" s="18" t="s">
        <v>25</v>
      </c>
      <c r="B6" s="18" t="s">
        <v>25</v>
      </c>
      <c r="C6" s="19"/>
      <c r="D6" s="19"/>
      <c r="E6" s="20"/>
      <c r="F6" s="18"/>
      <c r="G6" s="18"/>
      <c r="H6" s="21"/>
      <c r="I6" s="22"/>
      <c r="J6" s="22"/>
      <c r="K6" s="22"/>
      <c r="L6" s="22"/>
      <c r="M6" s="22"/>
      <c r="N6" s="22"/>
      <c r="O6" s="22"/>
      <c r="P6" s="22"/>
      <c r="W6" s="23"/>
      <c r="Y6" s="24"/>
      <c r="Z6" s="24"/>
    </row>
    <row r="7" spans="1:27" x14ac:dyDescent="0.15">
      <c r="A7" s="18" t="s">
        <v>26</v>
      </c>
      <c r="B7" s="18" t="s">
        <v>27</v>
      </c>
      <c r="C7" s="19"/>
      <c r="D7" s="19"/>
      <c r="E7" s="20"/>
      <c r="F7" s="18"/>
      <c r="G7" s="18"/>
      <c r="H7" s="21"/>
      <c r="I7" s="22"/>
      <c r="J7" s="22"/>
      <c r="K7" s="22"/>
      <c r="L7" s="22"/>
      <c r="M7" s="1"/>
      <c r="N7" s="22"/>
      <c r="O7" s="22"/>
      <c r="P7" s="22" t="s">
        <v>28</v>
      </c>
      <c r="W7" s="23"/>
      <c r="Y7" s="24"/>
      <c r="Z7" s="24"/>
    </row>
    <row r="8" spans="1:27" x14ac:dyDescent="0.15">
      <c r="A8" s="18" t="s">
        <v>29</v>
      </c>
      <c r="B8" s="18" t="s">
        <v>29</v>
      </c>
      <c r="C8" s="19"/>
      <c r="D8" s="19"/>
      <c r="E8" s="20"/>
      <c r="F8" s="18"/>
      <c r="G8" s="18"/>
      <c r="H8" s="21"/>
      <c r="I8" s="22"/>
      <c r="J8" s="22"/>
      <c r="K8" s="22"/>
      <c r="L8" s="22"/>
      <c r="M8" s="22" t="s">
        <v>30</v>
      </c>
      <c r="N8" s="22"/>
      <c r="O8" s="22" t="s">
        <v>31</v>
      </c>
      <c r="P8" s="22"/>
      <c r="W8" s="23"/>
      <c r="Y8" s="24"/>
      <c r="Z8" s="24"/>
    </row>
    <row r="9" spans="1:27" ht="16" customHeight="1" x14ac:dyDescent="0.15">
      <c r="A9" s="25" t="s">
        <v>32</v>
      </c>
      <c r="B9" s="25" t="s">
        <v>33</v>
      </c>
      <c r="C9" s="26" t="s">
        <v>34</v>
      </c>
      <c r="D9" s="26" t="s">
        <v>35</v>
      </c>
      <c r="E9" s="27"/>
      <c r="F9" s="25"/>
      <c r="G9" s="25"/>
      <c r="H9" s="28"/>
      <c r="I9" s="29"/>
      <c r="J9" s="29"/>
      <c r="K9" s="25"/>
      <c r="L9" s="29"/>
      <c r="M9" s="29"/>
      <c r="N9" s="29"/>
      <c r="O9" s="29"/>
      <c r="P9" s="29"/>
      <c r="Q9" s="25"/>
      <c r="R9" s="25"/>
      <c r="S9" s="25"/>
      <c r="T9" s="25"/>
      <c r="U9" s="25"/>
      <c r="V9" s="25"/>
      <c r="W9" s="30"/>
      <c r="X9" s="31"/>
      <c r="Y9" s="32"/>
      <c r="Z9" s="32"/>
      <c r="AA9" s="25"/>
    </row>
    <row r="10" spans="1:27" x14ac:dyDescent="0.15">
      <c r="A10" s="18" t="s">
        <v>36</v>
      </c>
      <c r="B10" s="18" t="s">
        <v>37</v>
      </c>
      <c r="C10" s="19" t="s">
        <v>38</v>
      </c>
      <c r="D10" s="19" t="s">
        <v>39</v>
      </c>
      <c r="E10" s="20"/>
      <c r="F10" s="18"/>
      <c r="G10" s="18"/>
      <c r="H10" s="21"/>
      <c r="I10" s="22" t="s">
        <v>40</v>
      </c>
      <c r="J10" s="22"/>
      <c r="K10" s="22"/>
      <c r="L10" s="22"/>
      <c r="M10" s="22"/>
      <c r="N10" s="29" t="s">
        <v>41</v>
      </c>
      <c r="O10" s="22"/>
      <c r="P10" s="22"/>
      <c r="U10" s="1" t="s">
        <v>42</v>
      </c>
      <c r="W10" s="23"/>
      <c r="Y10" s="24" t="str">
        <f>IF(W10&lt;&gt;"",W10*X10,"")</f>
        <v/>
      </c>
      <c r="Z10" s="24" t="str">
        <f>IF(AND(W10&lt;&gt;"",U10="yes"),W10*X10,"")</f>
        <v/>
      </c>
    </row>
    <row r="11" spans="1:27" x14ac:dyDescent="0.15">
      <c r="A11" s="18" t="s">
        <v>26</v>
      </c>
      <c r="B11" s="18" t="s">
        <v>43</v>
      </c>
      <c r="C11" s="19"/>
      <c r="D11" s="19"/>
      <c r="E11" s="20"/>
      <c r="F11" s="18"/>
      <c r="G11" s="18"/>
      <c r="H11" s="21"/>
      <c r="I11" s="22"/>
      <c r="J11" s="22"/>
      <c r="K11" s="22"/>
      <c r="L11" s="22"/>
      <c r="M11" s="22"/>
      <c r="N11" s="22"/>
      <c r="O11" s="22"/>
      <c r="P11" s="22" t="s">
        <v>44</v>
      </c>
      <c r="U11" s="1" t="s">
        <v>42</v>
      </c>
      <c r="W11" s="23"/>
      <c r="Y11" s="24" t="str">
        <f>IF(W11&lt;&gt;"",W11*X11,"")</f>
        <v/>
      </c>
      <c r="Z11" s="24" t="str">
        <f>IF(AND(W11&lt;&gt;"",U11="yes"),W11*X11,"")</f>
        <v/>
      </c>
    </row>
    <row r="12" spans="1:27" x14ac:dyDescent="0.15">
      <c r="A12" s="33"/>
      <c r="B12" s="33"/>
      <c r="C12" s="34"/>
      <c r="D12" s="34"/>
      <c r="E12" s="35"/>
      <c r="F12" s="33"/>
      <c r="G12" s="33"/>
      <c r="H12" s="36"/>
      <c r="I12" s="37"/>
      <c r="J12" s="37"/>
      <c r="K12" s="37"/>
      <c r="L12" s="37"/>
      <c r="M12" s="37"/>
      <c r="N12" s="37"/>
      <c r="O12" s="37"/>
      <c r="P12" s="37"/>
      <c r="Q12" s="25"/>
      <c r="R12" s="25"/>
      <c r="S12" s="25"/>
      <c r="T12" s="25"/>
      <c r="U12" s="25"/>
      <c r="V12" s="25"/>
      <c r="W12" s="23"/>
      <c r="Y12" s="24"/>
      <c r="Z12" s="24"/>
    </row>
    <row r="13" spans="1:27" ht="240" customHeight="1" x14ac:dyDescent="0.15">
      <c r="A13" s="18" t="s">
        <v>45</v>
      </c>
      <c r="B13" s="18" t="s">
        <v>46</v>
      </c>
      <c r="C13" s="38" t="s">
        <v>47</v>
      </c>
      <c r="D13" s="38" t="s">
        <v>48</v>
      </c>
      <c r="E13" s="20"/>
      <c r="F13" s="18" t="s">
        <v>49</v>
      </c>
      <c r="G13" s="18" t="s">
        <v>50</v>
      </c>
      <c r="H13" s="21"/>
      <c r="I13" s="22" t="s">
        <v>51</v>
      </c>
      <c r="J13" s="22"/>
      <c r="K13" s="22"/>
      <c r="L13" s="22"/>
      <c r="M13" s="22"/>
      <c r="N13" s="22"/>
      <c r="O13" s="22"/>
      <c r="P13" s="22"/>
      <c r="U13" s="1" t="s">
        <v>52</v>
      </c>
      <c r="W13" s="23">
        <v>50.822540283203097</v>
      </c>
      <c r="Y13" s="24">
        <f t="shared" ref="Y13:Y44" si="0">IF(W13&lt;&gt;"",W13*X13,"")</f>
        <v>0</v>
      </c>
      <c r="Z13" s="24" t="str">
        <f t="shared" ref="Z13:Z39" si="1">IF(AND(W13&lt;&gt;"",U13="yes"),W13*X13,"")</f>
        <v/>
      </c>
    </row>
    <row r="14" spans="1:27" x14ac:dyDescent="0.15">
      <c r="A14" s="18" t="s">
        <v>53</v>
      </c>
      <c r="B14" s="18" t="s">
        <v>54</v>
      </c>
      <c r="C14" s="19" t="s">
        <v>55</v>
      </c>
      <c r="D14" s="19" t="s">
        <v>56</v>
      </c>
      <c r="E14" s="20"/>
      <c r="F14" s="18"/>
      <c r="G14" s="18"/>
      <c r="H14" s="21"/>
      <c r="I14" s="22" t="s">
        <v>51</v>
      </c>
      <c r="J14" s="22"/>
      <c r="K14" s="22"/>
      <c r="L14" s="22"/>
      <c r="M14" s="22"/>
      <c r="N14" s="22"/>
      <c r="O14" s="22"/>
      <c r="P14" s="22"/>
      <c r="U14" s="1" t="s">
        <v>42</v>
      </c>
      <c r="W14" s="23">
        <v>3.5</v>
      </c>
      <c r="X14" s="5">
        <f>1</f>
        <v>1</v>
      </c>
      <c r="Y14" s="24">
        <f t="shared" si="0"/>
        <v>3.5</v>
      </c>
      <c r="Z14" s="24">
        <f t="shared" si="1"/>
        <v>3.5</v>
      </c>
    </row>
    <row r="15" spans="1:27" ht="16" customHeight="1" x14ac:dyDescent="0.15">
      <c r="A15" s="39" t="s">
        <v>45</v>
      </c>
      <c r="B15" s="39" t="s">
        <v>57</v>
      </c>
      <c r="C15" s="40" t="s">
        <v>58</v>
      </c>
      <c r="D15" s="40" t="s">
        <v>59</v>
      </c>
      <c r="E15" s="41"/>
      <c r="F15" s="39"/>
      <c r="G15" s="39"/>
      <c r="H15" s="42"/>
      <c r="I15" s="43" t="s">
        <v>51</v>
      </c>
      <c r="J15" s="43"/>
      <c r="K15" s="43"/>
      <c r="L15" s="43"/>
      <c r="M15" s="43" t="s">
        <v>60</v>
      </c>
      <c r="N15" s="43"/>
      <c r="O15" s="43"/>
      <c r="P15" s="43"/>
      <c r="Q15" s="6"/>
      <c r="R15" s="6"/>
      <c r="S15" s="6"/>
      <c r="T15" s="6"/>
      <c r="U15" s="6" t="s">
        <v>52</v>
      </c>
      <c r="V15" s="6"/>
      <c r="W15" s="23">
        <v>0</v>
      </c>
      <c r="X15" s="5">
        <v>1</v>
      </c>
      <c r="Y15" s="24">
        <f t="shared" si="0"/>
        <v>0</v>
      </c>
      <c r="Z15" s="24" t="str">
        <f t="shared" si="1"/>
        <v/>
      </c>
    </row>
    <row r="16" spans="1:27" x14ac:dyDescent="0.15">
      <c r="A16" s="44"/>
      <c r="B16" s="44"/>
      <c r="C16" s="45"/>
      <c r="D16" s="45"/>
      <c r="E16" s="46"/>
      <c r="F16" s="44"/>
      <c r="G16" s="44"/>
      <c r="H16" s="47"/>
      <c r="I16" s="48"/>
      <c r="J16" s="48"/>
      <c r="K16" s="48"/>
      <c r="L16" s="48"/>
      <c r="M16" s="48"/>
      <c r="N16" s="48"/>
      <c r="O16" s="48"/>
      <c r="P16" s="48"/>
      <c r="Q16" s="6"/>
      <c r="R16" s="6"/>
      <c r="S16" s="6"/>
      <c r="T16" s="6"/>
      <c r="U16" s="6"/>
      <c r="V16" s="6"/>
      <c r="W16" s="23"/>
      <c r="Y16" s="24" t="str">
        <f t="shared" si="0"/>
        <v/>
      </c>
      <c r="Z16" s="24" t="str">
        <f t="shared" si="1"/>
        <v/>
      </c>
    </row>
    <row r="17" spans="1:27" ht="16" customHeight="1" x14ac:dyDescent="0.15">
      <c r="A17" s="49" t="s">
        <v>61</v>
      </c>
      <c r="B17" s="49" t="s">
        <v>62</v>
      </c>
      <c r="C17" s="50" t="s">
        <v>63</v>
      </c>
      <c r="D17" s="50" t="s">
        <v>64</v>
      </c>
      <c r="E17" s="51"/>
      <c r="F17" s="49"/>
      <c r="G17" s="49"/>
      <c r="H17" s="52"/>
      <c r="I17" s="53" t="s">
        <v>51</v>
      </c>
      <c r="J17" s="53"/>
      <c r="K17" s="53"/>
      <c r="L17" s="53"/>
      <c r="M17" s="53" t="s">
        <v>65</v>
      </c>
      <c r="N17" s="53"/>
      <c r="O17" s="53"/>
      <c r="P17" s="53"/>
      <c r="Q17" s="54"/>
      <c r="R17" s="54"/>
      <c r="S17" s="54"/>
      <c r="T17" s="54"/>
      <c r="U17" s="1" t="s">
        <v>42</v>
      </c>
      <c r="V17" s="54"/>
      <c r="W17" s="23"/>
      <c r="Y17" s="24" t="str">
        <f t="shared" si="0"/>
        <v/>
      </c>
      <c r="Z17" s="24" t="str">
        <f t="shared" si="1"/>
        <v/>
      </c>
      <c r="AA17" s="55"/>
    </row>
    <row r="18" spans="1:27" x14ac:dyDescent="0.15">
      <c r="A18" s="25"/>
      <c r="B18" s="25"/>
      <c r="C18" s="26"/>
      <c r="D18" s="26"/>
      <c r="E18" s="27"/>
      <c r="F18" s="25"/>
      <c r="G18" s="25"/>
      <c r="H18" s="28"/>
      <c r="I18" s="29"/>
      <c r="J18" s="29"/>
      <c r="K18" s="29"/>
      <c r="L18" s="29"/>
      <c r="M18" s="29"/>
      <c r="N18" s="29"/>
      <c r="O18" s="29"/>
      <c r="P18" s="29"/>
      <c r="Q18" s="25"/>
      <c r="R18" s="25"/>
      <c r="S18" s="25"/>
      <c r="T18" s="25"/>
      <c r="U18" s="25"/>
      <c r="V18" s="25"/>
      <c r="W18" s="23"/>
      <c r="X18" s="6"/>
      <c r="Y18" s="24" t="str">
        <f t="shared" si="0"/>
        <v/>
      </c>
      <c r="Z18" s="24" t="str">
        <f t="shared" si="1"/>
        <v/>
      </c>
    </row>
    <row r="19" spans="1:27" ht="16" customHeight="1" x14ac:dyDescent="0.15">
      <c r="A19" s="39" t="s">
        <v>66</v>
      </c>
      <c r="B19" s="39" t="s">
        <v>67</v>
      </c>
      <c r="C19" s="40" t="s">
        <v>68</v>
      </c>
      <c r="D19" s="40" t="s">
        <v>69</v>
      </c>
      <c r="E19" s="27"/>
      <c r="F19" s="6" t="s">
        <v>70</v>
      </c>
      <c r="G19" s="18" t="s">
        <v>71</v>
      </c>
      <c r="H19" s="28"/>
      <c r="I19" s="43" t="s">
        <v>40</v>
      </c>
      <c r="J19" s="43"/>
      <c r="K19" s="43"/>
      <c r="L19" s="43"/>
      <c r="M19" s="43"/>
      <c r="N19" s="43"/>
      <c r="O19" s="43"/>
      <c r="P19" s="43"/>
      <c r="Q19" s="25"/>
      <c r="R19" s="25"/>
      <c r="S19" s="25"/>
      <c r="T19" s="25"/>
      <c r="U19" s="6" t="s">
        <v>42</v>
      </c>
      <c r="V19" s="25"/>
      <c r="W19" s="23">
        <v>10</v>
      </c>
      <c r="X19" s="5">
        <f>1</f>
        <v>1</v>
      </c>
      <c r="Y19" s="24">
        <f t="shared" si="0"/>
        <v>10</v>
      </c>
      <c r="Z19" s="24">
        <f t="shared" si="1"/>
        <v>10</v>
      </c>
    </row>
    <row r="20" spans="1:27" ht="16" customHeight="1" x14ac:dyDescent="0.15">
      <c r="A20" s="39" t="s">
        <v>66</v>
      </c>
      <c r="B20" s="39" t="s">
        <v>72</v>
      </c>
      <c r="C20" s="40" t="s">
        <v>73</v>
      </c>
      <c r="D20" s="40" t="s">
        <v>74</v>
      </c>
      <c r="E20" s="27"/>
      <c r="F20" s="6" t="s">
        <v>75</v>
      </c>
      <c r="G20" s="18" t="s">
        <v>76</v>
      </c>
      <c r="H20" s="28"/>
      <c r="I20" s="43" t="s">
        <v>40</v>
      </c>
      <c r="J20" s="43"/>
      <c r="K20" s="43"/>
      <c r="L20" s="43"/>
      <c r="M20" s="43"/>
      <c r="N20" s="43"/>
      <c r="O20" s="43"/>
      <c r="P20" s="43"/>
      <c r="Q20" s="25"/>
      <c r="R20" s="25"/>
      <c r="S20" s="25"/>
      <c r="T20" s="25"/>
      <c r="U20" s="6" t="s">
        <v>42</v>
      </c>
      <c r="V20" s="25"/>
      <c r="W20" s="23">
        <v>10</v>
      </c>
      <c r="X20" s="5">
        <f>1</f>
        <v>1</v>
      </c>
      <c r="Y20" s="24">
        <f t="shared" si="0"/>
        <v>10</v>
      </c>
      <c r="Z20" s="24">
        <f t="shared" si="1"/>
        <v>10</v>
      </c>
    </row>
    <row r="21" spans="1:27" x14ac:dyDescent="0.15">
      <c r="A21" s="25"/>
      <c r="B21" s="25"/>
      <c r="C21" s="26"/>
      <c r="D21" s="26"/>
      <c r="E21" s="27"/>
      <c r="F21" s="25"/>
      <c r="G21" s="25"/>
      <c r="H21" s="28"/>
      <c r="I21" s="29"/>
      <c r="J21" s="29"/>
      <c r="K21" s="29"/>
      <c r="L21" s="29"/>
      <c r="M21" s="29"/>
      <c r="N21" s="29"/>
      <c r="O21" s="29"/>
      <c r="P21" s="29"/>
      <c r="Q21" s="25"/>
      <c r="R21" s="25"/>
      <c r="S21" s="25"/>
      <c r="T21" s="25"/>
      <c r="U21" s="25"/>
      <c r="V21" s="25"/>
      <c r="W21" s="23"/>
      <c r="X21" s="5">
        <f>1</f>
        <v>1</v>
      </c>
      <c r="Y21" s="24" t="str">
        <f t="shared" si="0"/>
        <v/>
      </c>
      <c r="Z21" s="24" t="str">
        <f t="shared" si="1"/>
        <v/>
      </c>
    </row>
    <row r="22" spans="1:27" x14ac:dyDescent="0.15">
      <c r="A22" s="18" t="s">
        <v>77</v>
      </c>
      <c r="B22" s="18" t="s">
        <v>78</v>
      </c>
      <c r="C22" s="19" t="s">
        <v>79</v>
      </c>
      <c r="D22" s="19" t="s">
        <v>80</v>
      </c>
      <c r="E22" s="41"/>
      <c r="F22" s="39" t="s">
        <v>81</v>
      </c>
      <c r="G22" s="18" t="s">
        <v>82</v>
      </c>
      <c r="H22" s="21"/>
      <c r="I22" s="22" t="s">
        <v>40</v>
      </c>
      <c r="J22" s="22"/>
      <c r="K22" s="56" t="s">
        <v>83</v>
      </c>
      <c r="L22" s="22"/>
      <c r="M22" s="22"/>
      <c r="N22" s="22"/>
      <c r="O22" s="22"/>
      <c r="P22" s="22"/>
      <c r="U22" s="1" t="s">
        <v>42</v>
      </c>
      <c r="W22" s="23">
        <v>13.7530727386475</v>
      </c>
      <c r="X22" s="5">
        <f>1</f>
        <v>1</v>
      </c>
      <c r="Y22" s="24">
        <f t="shared" si="0"/>
        <v>13.7530727386475</v>
      </c>
      <c r="Z22" s="24">
        <f t="shared" si="1"/>
        <v>13.7530727386475</v>
      </c>
    </row>
    <row r="23" spans="1:27" x14ac:dyDescent="0.15">
      <c r="E23" s="20"/>
      <c r="H23" s="21"/>
      <c r="W23" s="23"/>
      <c r="X23" s="5">
        <f>1</f>
        <v>1</v>
      </c>
      <c r="Y23" s="24" t="str">
        <f t="shared" si="0"/>
        <v/>
      </c>
      <c r="Z23" s="24" t="str">
        <f t="shared" si="1"/>
        <v/>
      </c>
    </row>
    <row r="24" spans="1:27" ht="16" customHeight="1" x14ac:dyDescent="0.15">
      <c r="A24" s="25" t="s">
        <v>84</v>
      </c>
      <c r="B24" s="25" t="s">
        <v>85</v>
      </c>
      <c r="C24" s="26" t="s">
        <v>86</v>
      </c>
      <c r="D24" s="26" t="s">
        <v>87</v>
      </c>
      <c r="E24" s="27"/>
      <c r="F24" s="25" t="s">
        <v>88</v>
      </c>
      <c r="G24" s="25" t="s">
        <v>89</v>
      </c>
      <c r="H24" s="28"/>
      <c r="I24" s="29" t="s">
        <v>40</v>
      </c>
      <c r="J24" s="29"/>
      <c r="K24" s="29"/>
      <c r="L24" s="29"/>
      <c r="M24" s="29"/>
      <c r="N24" s="29"/>
      <c r="O24" s="29"/>
      <c r="P24" s="29"/>
      <c r="Q24" s="25"/>
      <c r="R24" s="25"/>
      <c r="S24" s="25"/>
      <c r="T24" s="25"/>
      <c r="U24" s="25" t="s">
        <v>52</v>
      </c>
      <c r="V24" s="25"/>
      <c r="W24" s="23">
        <v>2.1173560619354301</v>
      </c>
      <c r="X24" s="5">
        <f>1</f>
        <v>1</v>
      </c>
      <c r="Y24" s="24">
        <f t="shared" si="0"/>
        <v>2.1173560619354301</v>
      </c>
      <c r="Z24" s="24" t="str">
        <f t="shared" si="1"/>
        <v/>
      </c>
    </row>
    <row r="25" spans="1:27" x14ac:dyDescent="0.15">
      <c r="A25" s="25"/>
      <c r="B25" s="25"/>
      <c r="C25" s="26"/>
      <c r="D25" s="26"/>
      <c r="E25" s="27"/>
      <c r="F25" s="25"/>
      <c r="G25" s="25"/>
      <c r="H25" s="28"/>
      <c r="I25" s="29"/>
      <c r="J25" s="29"/>
      <c r="K25" s="29"/>
      <c r="L25" s="57"/>
      <c r="M25" s="29"/>
      <c r="N25" s="29"/>
      <c r="O25" s="29"/>
      <c r="P25" s="29"/>
      <c r="Q25" s="25"/>
      <c r="R25" s="25"/>
      <c r="S25" s="25"/>
      <c r="T25" s="25"/>
      <c r="U25" s="25"/>
      <c r="V25" s="25"/>
      <c r="W25" s="23"/>
      <c r="X25" s="5">
        <f>1</f>
        <v>1</v>
      </c>
      <c r="Y25" s="24" t="str">
        <f t="shared" si="0"/>
        <v/>
      </c>
      <c r="Z25" s="24" t="str">
        <f t="shared" si="1"/>
        <v/>
      </c>
    </row>
    <row r="26" spans="1:27" ht="16" customHeight="1" x14ac:dyDescent="0.15">
      <c r="A26" s="58" t="s">
        <v>66</v>
      </c>
      <c r="B26" s="58" t="s">
        <v>90</v>
      </c>
      <c r="C26" s="59" t="s">
        <v>91</v>
      </c>
      <c r="D26" s="59" t="s">
        <v>92</v>
      </c>
      <c r="E26" s="60"/>
      <c r="F26" s="61"/>
      <c r="G26" s="61"/>
      <c r="H26" s="62"/>
      <c r="I26" s="63" t="s">
        <v>40</v>
      </c>
      <c r="J26" s="63" t="s">
        <v>93</v>
      </c>
      <c r="K26" s="63" t="s">
        <v>94</v>
      </c>
      <c r="L26" s="63" t="s">
        <v>95</v>
      </c>
      <c r="M26" s="63"/>
      <c r="N26" s="63"/>
      <c r="O26" s="63"/>
      <c r="P26" s="64"/>
      <c r="Q26" s="65"/>
      <c r="R26" s="65"/>
      <c r="S26" s="65"/>
      <c r="T26" s="65"/>
      <c r="U26" s="61" t="s">
        <v>96</v>
      </c>
      <c r="V26" s="65"/>
      <c r="W26" s="23">
        <v>10</v>
      </c>
      <c r="X26" s="5">
        <f>1</f>
        <v>1</v>
      </c>
      <c r="Y26" s="24">
        <f t="shared" si="0"/>
        <v>10</v>
      </c>
      <c r="Z26" s="24" t="str">
        <f t="shared" si="1"/>
        <v/>
      </c>
      <c r="AA26" s="65"/>
    </row>
    <row r="27" spans="1:27" ht="48" customHeight="1" x14ac:dyDescent="0.15">
      <c r="A27" s="58" t="s">
        <v>97</v>
      </c>
      <c r="B27" s="58" t="s">
        <v>98</v>
      </c>
      <c r="C27" s="59" t="s">
        <v>99</v>
      </c>
      <c r="D27" s="59" t="s">
        <v>100</v>
      </c>
      <c r="E27" s="60"/>
      <c r="F27" s="61"/>
      <c r="G27" s="61"/>
      <c r="H27" s="62"/>
      <c r="I27" s="63" t="s">
        <v>40</v>
      </c>
      <c r="J27" s="63"/>
      <c r="K27" s="64"/>
      <c r="L27" s="63"/>
      <c r="M27" s="63"/>
      <c r="N27" s="63"/>
      <c r="O27" s="63"/>
      <c r="P27" s="64"/>
      <c r="Q27" s="65"/>
      <c r="R27" s="65"/>
      <c r="S27" s="65"/>
      <c r="T27" s="65"/>
      <c r="U27" s="61" t="s">
        <v>96</v>
      </c>
      <c r="V27" s="65"/>
      <c r="W27" s="23">
        <v>10</v>
      </c>
      <c r="X27" s="5">
        <f>1</f>
        <v>1</v>
      </c>
      <c r="Y27" s="24">
        <f t="shared" si="0"/>
        <v>10</v>
      </c>
      <c r="Z27" s="24" t="str">
        <f t="shared" si="1"/>
        <v/>
      </c>
      <c r="AA27" s="65"/>
    </row>
    <row r="28" spans="1:27" ht="16" customHeight="1" x14ac:dyDescent="0.15">
      <c r="A28" s="58" t="s">
        <v>66</v>
      </c>
      <c r="B28" s="58" t="s">
        <v>101</v>
      </c>
      <c r="C28" s="59" t="s">
        <v>102</v>
      </c>
      <c r="D28" s="59" t="s">
        <v>103</v>
      </c>
      <c r="E28" s="60"/>
      <c r="F28" s="61"/>
      <c r="G28" s="61"/>
      <c r="H28" s="62"/>
      <c r="I28" s="63" t="s">
        <v>40</v>
      </c>
      <c r="J28" s="63" t="s">
        <v>93</v>
      </c>
      <c r="K28" s="63" t="s">
        <v>94</v>
      </c>
      <c r="L28" s="63" t="s">
        <v>95</v>
      </c>
      <c r="M28" s="63" t="s">
        <v>104</v>
      </c>
      <c r="N28" s="63"/>
      <c r="O28" s="63"/>
      <c r="P28" s="64"/>
      <c r="Q28" s="65"/>
      <c r="R28" s="65"/>
      <c r="S28" s="65"/>
      <c r="T28" s="65"/>
      <c r="U28" s="61" t="s">
        <v>96</v>
      </c>
      <c r="V28" s="65"/>
      <c r="W28" s="23">
        <v>10</v>
      </c>
      <c r="X28" s="5">
        <f>1</f>
        <v>1</v>
      </c>
      <c r="Y28" s="24">
        <f t="shared" si="0"/>
        <v>10</v>
      </c>
      <c r="Z28" s="24" t="str">
        <f t="shared" si="1"/>
        <v/>
      </c>
      <c r="AA28" s="65"/>
    </row>
    <row r="29" spans="1:27" ht="16" customHeight="1" x14ac:dyDescent="0.15">
      <c r="A29" s="58" t="s">
        <v>66</v>
      </c>
      <c r="B29" s="58" t="s">
        <v>105</v>
      </c>
      <c r="C29" s="59" t="s">
        <v>106</v>
      </c>
      <c r="D29" s="59" t="s">
        <v>107</v>
      </c>
      <c r="E29" s="60"/>
      <c r="F29" s="61"/>
      <c r="G29" s="61"/>
      <c r="H29" s="62"/>
      <c r="I29" s="63" t="s">
        <v>40</v>
      </c>
      <c r="J29" s="63"/>
      <c r="K29" s="64"/>
      <c r="L29" s="63"/>
      <c r="M29" s="63" t="s">
        <v>108</v>
      </c>
      <c r="N29" s="63"/>
      <c r="O29" s="63"/>
      <c r="P29" s="64"/>
      <c r="Q29" s="65"/>
      <c r="R29" s="65"/>
      <c r="S29" s="65"/>
      <c r="T29" s="65"/>
      <c r="U29" s="61" t="s">
        <v>96</v>
      </c>
      <c r="V29" s="65"/>
      <c r="W29" s="23">
        <v>10</v>
      </c>
      <c r="X29" s="5">
        <f>1</f>
        <v>1</v>
      </c>
      <c r="Y29" s="24">
        <f t="shared" si="0"/>
        <v>10</v>
      </c>
      <c r="Z29" s="24" t="str">
        <f t="shared" si="1"/>
        <v/>
      </c>
      <c r="AA29" s="65"/>
    </row>
    <row r="30" spans="1:27" ht="48" customHeight="1" x14ac:dyDescent="0.15">
      <c r="A30" s="58" t="s">
        <v>97</v>
      </c>
      <c r="B30" s="58" t="s">
        <v>109</v>
      </c>
      <c r="C30" s="59" t="s">
        <v>99</v>
      </c>
      <c r="D30" s="59" t="s">
        <v>100</v>
      </c>
      <c r="E30" s="60"/>
      <c r="F30" s="18"/>
      <c r="G30" s="18"/>
      <c r="H30" s="62"/>
      <c r="I30" s="63" t="s">
        <v>40</v>
      </c>
      <c r="J30" s="63"/>
      <c r="K30" s="64"/>
      <c r="L30" s="63"/>
      <c r="M30" s="63" t="s">
        <v>104</v>
      </c>
      <c r="N30" s="63"/>
      <c r="O30" s="63"/>
      <c r="P30" s="64"/>
      <c r="Q30" s="65"/>
      <c r="R30" s="65"/>
      <c r="S30" s="65"/>
      <c r="T30" s="65"/>
      <c r="U30" s="61" t="s">
        <v>96</v>
      </c>
      <c r="V30" s="65"/>
      <c r="W30" s="23">
        <v>10</v>
      </c>
      <c r="X30" s="5">
        <f>1</f>
        <v>1</v>
      </c>
      <c r="Y30" s="24">
        <f t="shared" si="0"/>
        <v>10</v>
      </c>
      <c r="Z30" s="24" t="str">
        <f t="shared" si="1"/>
        <v/>
      </c>
      <c r="AA30" s="65"/>
    </row>
    <row r="31" spans="1:27" ht="16" customHeight="1" x14ac:dyDescent="0.15">
      <c r="A31" s="58" t="s">
        <v>66</v>
      </c>
      <c r="B31" s="58" t="s">
        <v>110</v>
      </c>
      <c r="C31" s="59" t="s">
        <v>102</v>
      </c>
      <c r="D31" s="59" t="s">
        <v>103</v>
      </c>
      <c r="E31" s="60"/>
      <c r="F31" s="61"/>
      <c r="G31" s="61"/>
      <c r="H31" s="62"/>
      <c r="I31" s="63" t="s">
        <v>40</v>
      </c>
      <c r="J31" s="63" t="s">
        <v>93</v>
      </c>
      <c r="K31" s="63" t="s">
        <v>94</v>
      </c>
      <c r="L31" s="63" t="s">
        <v>95</v>
      </c>
      <c r="M31" s="63" t="s">
        <v>111</v>
      </c>
      <c r="N31" s="63"/>
      <c r="O31" s="63"/>
      <c r="P31" s="64"/>
      <c r="Q31" s="65"/>
      <c r="R31" s="65"/>
      <c r="S31" s="65"/>
      <c r="T31" s="65"/>
      <c r="U31" s="61" t="s">
        <v>96</v>
      </c>
      <c r="V31" s="65"/>
      <c r="W31" s="23">
        <v>10</v>
      </c>
      <c r="X31" s="5">
        <f>1</f>
        <v>1</v>
      </c>
      <c r="Y31" s="24">
        <f t="shared" si="0"/>
        <v>10</v>
      </c>
      <c r="Z31" s="24" t="str">
        <f t="shared" si="1"/>
        <v/>
      </c>
      <c r="AA31" s="65"/>
    </row>
    <row r="32" spans="1:27" ht="16" customHeight="1" x14ac:dyDescent="0.15">
      <c r="A32" s="58" t="s">
        <v>66</v>
      </c>
      <c r="B32" s="58" t="s">
        <v>112</v>
      </c>
      <c r="C32" s="59" t="s">
        <v>106</v>
      </c>
      <c r="D32" s="59" t="s">
        <v>107</v>
      </c>
      <c r="E32" s="60"/>
      <c r="F32" s="61"/>
      <c r="G32" s="61"/>
      <c r="H32" s="62"/>
      <c r="I32" s="63" t="s">
        <v>40</v>
      </c>
      <c r="J32" s="63"/>
      <c r="K32" s="64"/>
      <c r="L32" s="63"/>
      <c r="M32" s="63" t="s">
        <v>113</v>
      </c>
      <c r="N32" s="63"/>
      <c r="O32" s="63"/>
      <c r="P32" s="64"/>
      <c r="Q32" s="65"/>
      <c r="R32" s="65"/>
      <c r="S32" s="65"/>
      <c r="T32" s="65"/>
      <c r="U32" s="61" t="s">
        <v>96</v>
      </c>
      <c r="V32" s="65"/>
      <c r="W32" s="23">
        <v>10</v>
      </c>
      <c r="X32" s="5">
        <f>1</f>
        <v>1</v>
      </c>
      <c r="Y32" s="24">
        <f t="shared" si="0"/>
        <v>10</v>
      </c>
      <c r="Z32" s="24" t="str">
        <f t="shared" si="1"/>
        <v/>
      </c>
      <c r="AA32" s="65"/>
    </row>
    <row r="33" spans="1:27" x14ac:dyDescent="0.15">
      <c r="A33" s="25"/>
      <c r="B33" s="25"/>
      <c r="C33" s="26"/>
      <c r="D33" s="26"/>
      <c r="E33" s="27"/>
      <c r="F33" s="25"/>
      <c r="G33" s="25"/>
      <c r="H33" s="28"/>
      <c r="I33" s="29"/>
      <c r="J33" s="29"/>
      <c r="K33" s="29"/>
      <c r="L33" s="57"/>
      <c r="M33" s="29"/>
      <c r="N33" s="29"/>
      <c r="O33" s="29"/>
      <c r="P33" s="29"/>
      <c r="Q33" s="25"/>
      <c r="R33" s="25"/>
      <c r="S33" s="25"/>
      <c r="T33" s="25"/>
      <c r="U33" s="25"/>
      <c r="V33" s="25"/>
      <c r="W33" s="23"/>
      <c r="X33" s="5">
        <f>1</f>
        <v>1</v>
      </c>
      <c r="Y33" s="24" t="str">
        <f t="shared" si="0"/>
        <v/>
      </c>
      <c r="Z33" s="24" t="str">
        <f t="shared" si="1"/>
        <v/>
      </c>
    </row>
    <row r="34" spans="1:27" ht="16" customHeight="1" x14ac:dyDescent="0.15">
      <c r="A34" s="18" t="s">
        <v>114</v>
      </c>
      <c r="B34" s="18" t="s">
        <v>115</v>
      </c>
      <c r="C34" s="66" t="s">
        <v>116</v>
      </c>
      <c r="D34" s="66" t="s">
        <v>2977</v>
      </c>
      <c r="E34" s="20"/>
      <c r="F34" s="18" t="s">
        <v>117</v>
      </c>
      <c r="G34" s="18" t="s">
        <v>118</v>
      </c>
      <c r="H34" s="21"/>
      <c r="I34" s="22" t="s">
        <v>40</v>
      </c>
      <c r="J34" s="22" t="s">
        <v>119</v>
      </c>
      <c r="K34" s="22"/>
      <c r="L34" s="64"/>
      <c r="M34" s="22"/>
      <c r="N34" s="22"/>
      <c r="O34" s="22"/>
      <c r="P34" s="22"/>
      <c r="U34" s="1" t="s">
        <v>42</v>
      </c>
      <c r="W34" s="23">
        <v>8.8000000000000007</v>
      </c>
      <c r="X34" s="5">
        <f>1</f>
        <v>1</v>
      </c>
      <c r="Y34" s="24">
        <f t="shared" si="0"/>
        <v>8.8000000000000007</v>
      </c>
      <c r="Z34" s="24">
        <f t="shared" si="1"/>
        <v>8.8000000000000007</v>
      </c>
    </row>
    <row r="35" spans="1:27" x14ac:dyDescent="0.15">
      <c r="A35" s="18" t="s">
        <v>26</v>
      </c>
      <c r="B35" s="18" t="s">
        <v>120</v>
      </c>
      <c r="C35" s="19"/>
      <c r="D35" s="19"/>
      <c r="E35" s="20"/>
      <c r="F35" s="18"/>
      <c r="G35" s="18"/>
      <c r="H35" s="21"/>
      <c r="I35" s="22"/>
      <c r="J35" s="22"/>
      <c r="K35" s="22"/>
      <c r="L35" s="22"/>
      <c r="M35" s="22"/>
      <c r="N35" s="22"/>
      <c r="O35" s="22"/>
      <c r="P35" s="22" t="s">
        <v>121</v>
      </c>
      <c r="U35" s="1" t="s">
        <v>42</v>
      </c>
      <c r="W35" s="23"/>
      <c r="X35" s="5">
        <f>1</f>
        <v>1</v>
      </c>
      <c r="Y35" s="24" t="str">
        <f t="shared" si="0"/>
        <v/>
      </c>
      <c r="Z35" s="24" t="str">
        <f t="shared" si="1"/>
        <v/>
      </c>
    </row>
    <row r="36" spans="1:27" ht="16" customHeight="1" x14ac:dyDescent="0.15">
      <c r="A36" s="18" t="s">
        <v>122</v>
      </c>
      <c r="B36" s="18" t="s">
        <v>123</v>
      </c>
      <c r="C36" s="66" t="s">
        <v>124</v>
      </c>
      <c r="D36" s="66" t="s">
        <v>2978</v>
      </c>
      <c r="E36" s="20"/>
      <c r="F36" s="18"/>
      <c r="G36" s="19"/>
      <c r="H36" s="21"/>
      <c r="I36" s="22" t="s">
        <v>40</v>
      </c>
      <c r="J36" s="22" t="s">
        <v>119</v>
      </c>
      <c r="K36" s="22"/>
      <c r="L36" s="22"/>
      <c r="M36" s="22"/>
      <c r="N36" s="22" t="s">
        <v>125</v>
      </c>
      <c r="O36" s="22"/>
      <c r="P36" s="22"/>
      <c r="U36" s="1" t="s">
        <v>42</v>
      </c>
      <c r="W36" s="23">
        <v>10.4</v>
      </c>
      <c r="X36" s="5">
        <f>1</f>
        <v>1</v>
      </c>
      <c r="Y36" s="24">
        <f t="shared" si="0"/>
        <v>10.4</v>
      </c>
      <c r="Z36" s="24">
        <f t="shared" si="1"/>
        <v>10.4</v>
      </c>
    </row>
    <row r="37" spans="1:27" x14ac:dyDescent="0.15">
      <c r="A37" s="18" t="s">
        <v>26</v>
      </c>
      <c r="B37" s="18" t="s">
        <v>126</v>
      </c>
      <c r="C37" s="19"/>
      <c r="D37" s="19"/>
      <c r="E37" s="20"/>
      <c r="F37" s="18"/>
      <c r="G37" s="18"/>
      <c r="H37" s="21"/>
      <c r="I37" s="22"/>
      <c r="J37" s="22"/>
      <c r="K37" s="22"/>
      <c r="L37" s="22"/>
      <c r="M37" s="22"/>
      <c r="N37" s="22"/>
      <c r="O37" s="22"/>
      <c r="P37" s="22" t="s">
        <v>127</v>
      </c>
      <c r="U37" s="1" t="s">
        <v>42</v>
      </c>
      <c r="W37" s="23"/>
      <c r="X37" s="5">
        <f>1</f>
        <v>1</v>
      </c>
      <c r="Y37" s="24" t="str">
        <f t="shared" si="0"/>
        <v/>
      </c>
      <c r="Z37" s="24" t="str">
        <f t="shared" si="1"/>
        <v/>
      </c>
    </row>
    <row r="38" spans="1:27" x14ac:dyDescent="0.15">
      <c r="E38" s="20"/>
      <c r="H38" s="21"/>
      <c r="W38" s="23"/>
      <c r="X38" s="5">
        <f>1</f>
        <v>1</v>
      </c>
      <c r="Y38" s="24" t="str">
        <f t="shared" si="0"/>
        <v/>
      </c>
      <c r="Z38" s="24" t="str">
        <f t="shared" si="1"/>
        <v/>
      </c>
    </row>
    <row r="39" spans="1:27" ht="192" customHeight="1" x14ac:dyDescent="0.15">
      <c r="A39" s="19" t="s">
        <v>128</v>
      </c>
      <c r="B39" s="19" t="s">
        <v>129</v>
      </c>
      <c r="C39" s="19" t="s">
        <v>130</v>
      </c>
      <c r="D39" s="19" t="s">
        <v>131</v>
      </c>
      <c r="E39" s="20"/>
      <c r="F39" s="66" t="s">
        <v>132</v>
      </c>
      <c r="G39" s="66" t="s">
        <v>133</v>
      </c>
      <c r="H39" s="20"/>
      <c r="I39" s="67" t="s">
        <v>40</v>
      </c>
      <c r="J39" s="67"/>
      <c r="K39" s="67"/>
      <c r="L39" s="67"/>
      <c r="M39" s="67"/>
      <c r="N39" s="67"/>
      <c r="O39" s="67"/>
      <c r="P39" s="67"/>
      <c r="Q39" s="2"/>
      <c r="R39" s="2"/>
      <c r="S39" s="2"/>
      <c r="T39" s="2"/>
      <c r="U39" s="2" t="s">
        <v>42</v>
      </c>
      <c r="V39" s="2"/>
      <c r="W39" s="68">
        <v>31.372377395629901</v>
      </c>
      <c r="X39" s="5">
        <f>1</f>
        <v>1</v>
      </c>
      <c r="Y39" s="69">
        <f t="shared" si="0"/>
        <v>31.372377395629901</v>
      </c>
      <c r="Z39" s="69">
        <f t="shared" si="1"/>
        <v>31.372377395629901</v>
      </c>
      <c r="AA39" s="70"/>
    </row>
    <row r="40" spans="1:27" ht="32" customHeight="1" x14ac:dyDescent="0.15">
      <c r="A40" s="25" t="s">
        <v>134</v>
      </c>
      <c r="B40" s="25" t="s">
        <v>135</v>
      </c>
      <c r="C40" s="26" t="s">
        <v>136</v>
      </c>
      <c r="D40" s="71" t="s">
        <v>137</v>
      </c>
      <c r="E40" s="20"/>
      <c r="F40" s="25" t="s">
        <v>138</v>
      </c>
      <c r="G40" s="25" t="s">
        <v>139</v>
      </c>
      <c r="H40" s="20"/>
      <c r="I40" s="29" t="s">
        <v>40</v>
      </c>
      <c r="J40" s="67"/>
      <c r="K40" s="67"/>
      <c r="L40" s="67"/>
      <c r="M40" s="67"/>
      <c r="N40" s="67"/>
      <c r="O40" s="67"/>
      <c r="P40" s="67"/>
      <c r="Q40" s="2"/>
      <c r="R40" s="2"/>
      <c r="S40" s="2"/>
      <c r="T40" s="2"/>
      <c r="U40" s="25" t="s">
        <v>52</v>
      </c>
      <c r="V40" s="25"/>
      <c r="W40" s="23">
        <v>17</v>
      </c>
      <c r="X40" s="5">
        <f>1</f>
        <v>1</v>
      </c>
      <c r="Y40" s="24">
        <f t="shared" si="0"/>
        <v>17</v>
      </c>
      <c r="Z40" s="69"/>
      <c r="AA40" s="70"/>
    </row>
    <row r="41" spans="1:27" x14ac:dyDescent="0.15">
      <c r="E41" s="20"/>
      <c r="H41" s="21"/>
      <c r="W41" s="23"/>
      <c r="X41" s="5">
        <f>1</f>
        <v>1</v>
      </c>
      <c r="Y41" s="24" t="str">
        <f t="shared" si="0"/>
        <v/>
      </c>
      <c r="Z41" s="24" t="str">
        <f>IF(AND(W41&lt;&gt;"",U41="yes"),W41*X41,"")</f>
        <v/>
      </c>
    </row>
    <row r="42" spans="1:27" x14ac:dyDescent="0.15">
      <c r="A42" s="72" t="s">
        <v>140</v>
      </c>
      <c r="B42" s="72"/>
      <c r="C42" s="73"/>
      <c r="D42" s="73"/>
      <c r="E42" s="46"/>
      <c r="F42" s="72"/>
      <c r="G42" s="72"/>
      <c r="H42" s="47"/>
      <c r="I42" s="74"/>
      <c r="J42" s="74"/>
      <c r="K42" s="74"/>
      <c r="L42" s="74"/>
      <c r="M42" s="74"/>
      <c r="N42" s="74"/>
      <c r="O42" s="74"/>
      <c r="P42" s="74"/>
      <c r="Q42" s="6"/>
      <c r="R42" s="6"/>
      <c r="S42" s="6"/>
      <c r="T42" s="6"/>
      <c r="U42" s="6"/>
      <c r="V42" s="6"/>
      <c r="W42" s="23"/>
      <c r="Y42" s="24" t="str">
        <f t="shared" si="0"/>
        <v/>
      </c>
      <c r="Z42" s="24" t="str">
        <f>IF(AND(W42&lt;&gt;"",U42="yes"),W42*X42,"")</f>
        <v/>
      </c>
    </row>
    <row r="43" spans="1:27" ht="16" customHeight="1" x14ac:dyDescent="0.15">
      <c r="A43" s="49" t="s">
        <v>61</v>
      </c>
      <c r="B43" s="49" t="s">
        <v>141</v>
      </c>
      <c r="C43" s="50" t="s">
        <v>142</v>
      </c>
      <c r="D43" s="50" t="s">
        <v>143</v>
      </c>
      <c r="E43" s="51"/>
      <c r="F43" s="49"/>
      <c r="G43" s="49"/>
      <c r="H43" s="52"/>
      <c r="I43" s="53" t="s">
        <v>51</v>
      </c>
      <c r="J43" s="53"/>
      <c r="K43" s="53"/>
      <c r="L43" s="53"/>
      <c r="M43" s="53" t="s">
        <v>144</v>
      </c>
      <c r="N43" s="53"/>
      <c r="O43" s="53"/>
      <c r="P43" s="53"/>
      <c r="Q43" s="54"/>
      <c r="R43" s="54"/>
      <c r="S43" s="54"/>
      <c r="T43" s="54"/>
      <c r="U43" s="1" t="s">
        <v>42</v>
      </c>
      <c r="V43" s="54"/>
      <c r="W43" s="23"/>
      <c r="Y43" s="24" t="str">
        <f t="shared" si="0"/>
        <v/>
      </c>
      <c r="Z43" s="24" t="str">
        <f>IF(AND(W43&lt;&gt;"",U43="yes"),W43*X43,"")</f>
        <v/>
      </c>
      <c r="AA43" s="55"/>
    </row>
    <row r="44" spans="1:27" x14ac:dyDescent="0.15">
      <c r="E44" s="20"/>
      <c r="H44" s="21"/>
      <c r="W44" s="23"/>
      <c r="X44" s="5">
        <f>1</f>
        <v>1</v>
      </c>
      <c r="Y44" s="24" t="str">
        <f t="shared" si="0"/>
        <v/>
      </c>
      <c r="Z44" s="24" t="str">
        <f>IF(AND(W44&lt;&gt;"",U44="yes"),W44*X44,"")</f>
        <v/>
      </c>
    </row>
    <row r="45" spans="1:27" x14ac:dyDescent="0.15">
      <c r="A45" s="18" t="s">
        <v>134</v>
      </c>
      <c r="B45" s="18" t="s">
        <v>145</v>
      </c>
      <c r="C45" s="19" t="s">
        <v>146</v>
      </c>
      <c r="D45" s="19" t="s">
        <v>147</v>
      </c>
      <c r="E45" s="20"/>
      <c r="F45" s="18"/>
      <c r="G45" s="18"/>
      <c r="H45" s="21"/>
      <c r="I45" s="22" t="s">
        <v>40</v>
      </c>
      <c r="J45" s="22"/>
      <c r="K45" s="22"/>
      <c r="L45" s="22"/>
      <c r="M45" s="22"/>
      <c r="N45" s="22"/>
      <c r="O45" s="22"/>
      <c r="P45" s="22"/>
      <c r="U45" s="1" t="s">
        <v>42</v>
      </c>
      <c r="W45" s="75"/>
      <c r="X45" s="76"/>
      <c r="Y45" s="77"/>
      <c r="Z45" s="24"/>
    </row>
    <row r="46" spans="1:27" x14ac:dyDescent="0.15">
      <c r="A46" s="18" t="s">
        <v>84</v>
      </c>
      <c r="B46" s="18" t="s">
        <v>148</v>
      </c>
      <c r="C46" s="19" t="s">
        <v>149</v>
      </c>
      <c r="D46" s="19" t="s">
        <v>150</v>
      </c>
      <c r="E46" s="20"/>
      <c r="F46" s="18"/>
      <c r="G46" s="18"/>
      <c r="H46" s="21"/>
      <c r="I46" s="22" t="s">
        <v>40</v>
      </c>
      <c r="J46" s="22"/>
      <c r="K46" s="22"/>
      <c r="L46" s="22"/>
      <c r="M46" s="22" t="s">
        <v>151</v>
      </c>
      <c r="N46" s="22"/>
      <c r="O46" s="22"/>
      <c r="P46" s="22"/>
      <c r="U46" s="1" t="s">
        <v>42</v>
      </c>
      <c r="W46" s="23">
        <v>10.085731506347701</v>
      </c>
      <c r="X46" s="5">
        <f>1</f>
        <v>1</v>
      </c>
      <c r="Y46" s="24">
        <f t="shared" ref="Y46:Y72" si="2">IF(W46&lt;&gt;"",W46*X46,"")</f>
        <v>10.085731506347701</v>
      </c>
      <c r="Z46" s="24">
        <f t="shared" ref="Z46:Z72" si="3">IF(AND(W46&lt;&gt;"",U46="yes"),W46*X46,"")</f>
        <v>10.085731506347701</v>
      </c>
    </row>
    <row r="47" spans="1:27" x14ac:dyDescent="0.15">
      <c r="A47" s="18" t="s">
        <v>152</v>
      </c>
      <c r="B47" s="18" t="s">
        <v>148</v>
      </c>
      <c r="C47" s="19" t="s">
        <v>149</v>
      </c>
      <c r="D47" s="19" t="s">
        <v>153</v>
      </c>
      <c r="E47" s="20"/>
      <c r="F47" s="18"/>
      <c r="G47" s="18"/>
      <c r="H47" s="21"/>
      <c r="I47" s="22" t="s">
        <v>40</v>
      </c>
      <c r="J47" s="22"/>
      <c r="K47" s="22"/>
      <c r="L47" s="22"/>
      <c r="M47" s="22" t="s">
        <v>151</v>
      </c>
      <c r="N47" s="22"/>
      <c r="O47" s="22"/>
      <c r="P47" s="22"/>
      <c r="U47" s="1" t="s">
        <v>42</v>
      </c>
      <c r="W47" s="23">
        <v>10.085731506347701</v>
      </c>
      <c r="X47" s="5">
        <f>1</f>
        <v>1</v>
      </c>
      <c r="Y47" s="24">
        <f t="shared" si="2"/>
        <v>10.085731506347701</v>
      </c>
      <c r="Z47" s="24">
        <f t="shared" si="3"/>
        <v>10.085731506347701</v>
      </c>
    </row>
    <row r="48" spans="1:27" x14ac:dyDescent="0.15">
      <c r="E48" s="20"/>
      <c r="H48" s="21"/>
      <c r="W48" s="23"/>
      <c r="X48" s="5">
        <f>1</f>
        <v>1</v>
      </c>
      <c r="Y48" s="24" t="str">
        <f t="shared" si="2"/>
        <v/>
      </c>
      <c r="Z48" s="24" t="str">
        <f t="shared" si="3"/>
        <v/>
      </c>
    </row>
    <row r="49" spans="1:27" x14ac:dyDescent="0.15">
      <c r="A49" s="18" t="s">
        <v>154</v>
      </c>
      <c r="B49" s="18" t="s">
        <v>155</v>
      </c>
      <c r="C49" s="19" t="s">
        <v>156</v>
      </c>
      <c r="D49" s="19" t="s">
        <v>157</v>
      </c>
      <c r="E49" s="20"/>
      <c r="F49" s="18"/>
      <c r="G49" s="18"/>
      <c r="H49" s="21"/>
      <c r="I49" s="22" t="s">
        <v>40</v>
      </c>
      <c r="J49" s="22"/>
      <c r="K49" s="22"/>
      <c r="L49" s="22"/>
      <c r="M49" s="22"/>
      <c r="N49" s="22"/>
      <c r="O49" s="22"/>
      <c r="P49" s="22"/>
      <c r="U49" s="1" t="s">
        <v>42</v>
      </c>
      <c r="W49" s="23">
        <v>12.8940343856812</v>
      </c>
      <c r="X49" s="5">
        <f>1</f>
        <v>1</v>
      </c>
      <c r="Y49" s="24">
        <f t="shared" si="2"/>
        <v>12.8940343856812</v>
      </c>
      <c r="Z49" s="24">
        <f t="shared" si="3"/>
        <v>12.8940343856812</v>
      </c>
    </row>
    <row r="50" spans="1:27" x14ac:dyDescent="0.15">
      <c r="E50" s="20"/>
      <c r="H50" s="21"/>
      <c r="W50" s="23"/>
      <c r="X50" s="5">
        <f>1</f>
        <v>1</v>
      </c>
      <c r="Y50" s="24" t="str">
        <f t="shared" si="2"/>
        <v/>
      </c>
      <c r="Z50" s="24" t="str">
        <f t="shared" si="3"/>
        <v/>
      </c>
    </row>
    <row r="51" spans="1:27" ht="16" customHeight="1" x14ac:dyDescent="0.15">
      <c r="A51" s="6" t="s">
        <v>158</v>
      </c>
      <c r="B51" s="6" t="s">
        <v>159</v>
      </c>
      <c r="C51" s="70" t="s">
        <v>160</v>
      </c>
      <c r="D51" s="70" t="s">
        <v>161</v>
      </c>
      <c r="E51" s="41"/>
      <c r="F51" s="78"/>
      <c r="G51" s="78"/>
      <c r="H51" s="42"/>
      <c r="I51" s="3" t="s">
        <v>40</v>
      </c>
      <c r="J51" s="79"/>
      <c r="K51" s="79"/>
      <c r="L51" s="79"/>
      <c r="M51" s="79"/>
      <c r="N51" s="79"/>
      <c r="O51" s="79"/>
      <c r="P51" s="79"/>
      <c r="Q51" s="6"/>
      <c r="R51" s="6"/>
      <c r="S51" s="6"/>
      <c r="T51" s="6"/>
      <c r="U51" s="6" t="s">
        <v>42</v>
      </c>
      <c r="V51" s="6"/>
      <c r="W51" s="23">
        <v>15.2658290863037</v>
      </c>
      <c r="X51" s="5">
        <f>1</f>
        <v>1</v>
      </c>
      <c r="Y51" s="24">
        <f t="shared" si="2"/>
        <v>15.2658290863037</v>
      </c>
      <c r="Z51" s="24">
        <f t="shared" si="3"/>
        <v>15.2658290863037</v>
      </c>
    </row>
    <row r="52" spans="1:27" ht="16" customHeight="1" x14ac:dyDescent="0.15">
      <c r="A52" s="6" t="s">
        <v>162</v>
      </c>
      <c r="B52" s="6" t="s">
        <v>163</v>
      </c>
      <c r="C52" s="70" t="s">
        <v>164</v>
      </c>
      <c r="D52" s="70" t="s">
        <v>165</v>
      </c>
      <c r="E52" s="41"/>
      <c r="F52" s="78"/>
      <c r="G52" s="78"/>
      <c r="H52" s="42"/>
      <c r="I52" s="3" t="s">
        <v>40</v>
      </c>
      <c r="J52" s="79"/>
      <c r="K52" s="79"/>
      <c r="L52" s="79"/>
      <c r="M52" s="79"/>
      <c r="N52" s="79"/>
      <c r="O52" s="79"/>
      <c r="P52" s="79"/>
      <c r="Q52" s="6"/>
      <c r="R52" s="6"/>
      <c r="S52" s="6"/>
      <c r="T52" s="6"/>
      <c r="U52" s="6" t="s">
        <v>42</v>
      </c>
      <c r="V52" s="6"/>
      <c r="W52" s="23">
        <v>15.1237182617188</v>
      </c>
      <c r="X52" s="5">
        <f>1</f>
        <v>1</v>
      </c>
      <c r="Y52" s="24">
        <f t="shared" si="2"/>
        <v>15.1237182617188</v>
      </c>
      <c r="Z52" s="24">
        <f t="shared" si="3"/>
        <v>15.1237182617188</v>
      </c>
    </row>
    <row r="53" spans="1:27" ht="16" customHeight="1" x14ac:dyDescent="0.15">
      <c r="A53" s="6" t="s">
        <v>166</v>
      </c>
      <c r="B53" s="6" t="s">
        <v>167</v>
      </c>
      <c r="C53" s="70" t="s">
        <v>168</v>
      </c>
      <c r="D53" s="70" t="s">
        <v>169</v>
      </c>
      <c r="E53" s="41"/>
      <c r="F53" s="78"/>
      <c r="G53" s="78"/>
      <c r="H53" s="42"/>
      <c r="I53" s="3" t="s">
        <v>40</v>
      </c>
      <c r="J53" s="79"/>
      <c r="K53" s="79"/>
      <c r="L53" s="79"/>
      <c r="M53" s="79"/>
      <c r="N53" s="79"/>
      <c r="O53" s="79"/>
      <c r="P53" s="79"/>
      <c r="Q53" s="6"/>
      <c r="R53" s="6"/>
      <c r="S53" s="6"/>
      <c r="T53" s="6"/>
      <c r="U53" s="6" t="s">
        <v>42</v>
      </c>
      <c r="V53" s="6"/>
      <c r="W53" s="23">
        <v>13.760138511657701</v>
      </c>
      <c r="X53" s="5">
        <f>1</f>
        <v>1</v>
      </c>
      <c r="Y53" s="24">
        <f t="shared" si="2"/>
        <v>13.760138511657701</v>
      </c>
      <c r="Z53" s="24">
        <f t="shared" si="3"/>
        <v>13.760138511657701</v>
      </c>
    </row>
    <row r="54" spans="1:27" x14ac:dyDescent="0.15">
      <c r="A54" s="6"/>
      <c r="B54" s="6"/>
      <c r="C54" s="70"/>
      <c r="D54" s="70"/>
      <c r="E54" s="41"/>
      <c r="F54" s="78"/>
      <c r="G54" s="78"/>
      <c r="H54" s="42"/>
      <c r="I54" s="79"/>
      <c r="J54" s="79"/>
      <c r="K54" s="79"/>
      <c r="L54" s="79"/>
      <c r="M54" s="79"/>
      <c r="N54" s="79"/>
      <c r="O54" s="79"/>
      <c r="P54" s="79"/>
      <c r="Q54" s="6"/>
      <c r="R54" s="6"/>
      <c r="S54" s="6"/>
      <c r="T54" s="6"/>
      <c r="U54" s="6"/>
      <c r="V54" s="6"/>
      <c r="W54" s="23"/>
      <c r="X54" s="5">
        <f>1</f>
        <v>1</v>
      </c>
      <c r="Y54" s="24" t="str">
        <f t="shared" si="2"/>
        <v/>
      </c>
      <c r="Z54" s="24" t="str">
        <f t="shared" si="3"/>
        <v/>
      </c>
    </row>
    <row r="55" spans="1:27" ht="176" customHeight="1" x14ac:dyDescent="0.15">
      <c r="A55" s="25" t="s">
        <v>170</v>
      </c>
      <c r="B55" s="25" t="s">
        <v>171</v>
      </c>
      <c r="C55" s="26" t="s">
        <v>172</v>
      </c>
      <c r="D55" s="26" t="s">
        <v>173</v>
      </c>
      <c r="E55" s="27"/>
      <c r="F55" s="26" t="s">
        <v>174</v>
      </c>
      <c r="G55" s="26" t="s">
        <v>175</v>
      </c>
      <c r="H55" s="28"/>
      <c r="I55" s="29" t="s">
        <v>40</v>
      </c>
      <c r="J55" s="29"/>
      <c r="K55" s="29"/>
      <c r="L55" s="29"/>
      <c r="M55" s="29"/>
      <c r="N55" s="29"/>
      <c r="O55" s="29"/>
      <c r="P55" s="29"/>
      <c r="Q55" s="25"/>
      <c r="R55" s="25"/>
      <c r="S55" s="25"/>
      <c r="T55" s="25"/>
      <c r="U55" s="25" t="s">
        <v>52</v>
      </c>
      <c r="V55" s="25"/>
      <c r="W55" s="23">
        <v>30.6461887359619</v>
      </c>
      <c r="X55" s="5">
        <f>1</f>
        <v>1</v>
      </c>
      <c r="Y55" s="24">
        <f t="shared" si="2"/>
        <v>30.6461887359619</v>
      </c>
      <c r="Z55" s="24" t="str">
        <f t="shared" si="3"/>
        <v/>
      </c>
    </row>
    <row r="56" spans="1:27" ht="144" customHeight="1" x14ac:dyDescent="0.15">
      <c r="A56" s="25" t="s">
        <v>77</v>
      </c>
      <c r="B56" s="25" t="s">
        <v>176</v>
      </c>
      <c r="C56" s="26" t="s">
        <v>177</v>
      </c>
      <c r="D56" s="26" t="s">
        <v>178</v>
      </c>
      <c r="E56" s="27"/>
      <c r="F56" s="26" t="s">
        <v>179</v>
      </c>
      <c r="G56" s="26" t="s">
        <v>180</v>
      </c>
      <c r="H56" s="28"/>
      <c r="I56" s="29" t="s">
        <v>40</v>
      </c>
      <c r="J56" s="29"/>
      <c r="K56" s="29" t="s">
        <v>181</v>
      </c>
      <c r="L56" s="29"/>
      <c r="M56" s="29"/>
      <c r="N56" s="29"/>
      <c r="O56" s="29"/>
      <c r="P56" s="29"/>
      <c r="Q56" s="25"/>
      <c r="R56" s="25"/>
      <c r="S56" s="25"/>
      <c r="T56" s="25"/>
      <c r="U56" s="25" t="s">
        <v>52</v>
      </c>
      <c r="V56" s="25"/>
      <c r="W56" s="23">
        <v>15.2118482589722</v>
      </c>
      <c r="X56" s="5">
        <f>1</f>
        <v>1</v>
      </c>
      <c r="Y56" s="24">
        <f t="shared" si="2"/>
        <v>15.2118482589722</v>
      </c>
      <c r="Z56" s="24" t="str">
        <f t="shared" si="3"/>
        <v/>
      </c>
    </row>
    <row r="57" spans="1:27" ht="16" customHeight="1" x14ac:dyDescent="0.15">
      <c r="A57" s="25" t="s">
        <v>182</v>
      </c>
      <c r="B57" s="25" t="s">
        <v>183</v>
      </c>
      <c r="C57" s="26" t="s">
        <v>184</v>
      </c>
      <c r="D57" s="26" t="s">
        <v>185</v>
      </c>
      <c r="E57" s="27"/>
      <c r="F57" s="25" t="s">
        <v>186</v>
      </c>
      <c r="G57" s="25" t="s">
        <v>187</v>
      </c>
      <c r="H57" s="28"/>
      <c r="I57" s="29" t="s">
        <v>40</v>
      </c>
      <c r="J57" s="29"/>
      <c r="K57" s="29" t="s">
        <v>188</v>
      </c>
      <c r="L57" s="29"/>
      <c r="M57" s="29"/>
      <c r="N57" s="29"/>
      <c r="O57" s="29"/>
      <c r="P57" s="29"/>
      <c r="Q57" s="25"/>
      <c r="R57" s="25"/>
      <c r="S57" s="25"/>
      <c r="T57" s="25"/>
      <c r="U57" s="25" t="s">
        <v>52</v>
      </c>
      <c r="V57" s="25"/>
      <c r="W57" s="23">
        <v>17</v>
      </c>
      <c r="X57" s="5">
        <f>1</f>
        <v>1</v>
      </c>
      <c r="Y57" s="24">
        <f t="shared" si="2"/>
        <v>17</v>
      </c>
      <c r="Z57" s="24" t="str">
        <f t="shared" si="3"/>
        <v/>
      </c>
    </row>
    <row r="58" spans="1:27" ht="16" customHeight="1" x14ac:dyDescent="0.15">
      <c r="A58" s="25" t="s">
        <v>189</v>
      </c>
      <c r="B58" s="25" t="s">
        <v>190</v>
      </c>
      <c r="C58" s="26" t="s">
        <v>191</v>
      </c>
      <c r="D58" s="26" t="s">
        <v>192</v>
      </c>
      <c r="E58" s="27"/>
      <c r="F58" s="25" t="s">
        <v>186</v>
      </c>
      <c r="G58" s="25"/>
      <c r="H58" s="28"/>
      <c r="I58" s="29" t="s">
        <v>40</v>
      </c>
      <c r="J58" s="29"/>
      <c r="K58" s="29" t="s">
        <v>188</v>
      </c>
      <c r="L58" s="29"/>
      <c r="M58" s="29"/>
      <c r="N58" s="29"/>
      <c r="O58" s="29"/>
      <c r="P58" s="29"/>
      <c r="Q58" s="25"/>
      <c r="R58" s="25"/>
      <c r="S58" s="25"/>
      <c r="T58" s="25"/>
      <c r="U58" s="25" t="s">
        <v>52</v>
      </c>
      <c r="V58" s="25"/>
      <c r="W58" s="23">
        <v>17</v>
      </c>
      <c r="X58" s="5">
        <f>1</f>
        <v>1</v>
      </c>
      <c r="Y58" s="24">
        <f t="shared" si="2"/>
        <v>17</v>
      </c>
      <c r="Z58" s="24" t="str">
        <f t="shared" si="3"/>
        <v/>
      </c>
    </row>
    <row r="59" spans="1:27" ht="16" customHeight="1" x14ac:dyDescent="0.15">
      <c r="A59" s="25" t="s">
        <v>193</v>
      </c>
      <c r="B59" s="25" t="s">
        <v>194</v>
      </c>
      <c r="C59" s="26" t="s">
        <v>195</v>
      </c>
      <c r="D59" s="26" t="s">
        <v>196</v>
      </c>
      <c r="E59" s="27"/>
      <c r="F59" s="25"/>
      <c r="G59" s="25"/>
      <c r="H59" s="28"/>
      <c r="I59" s="29" t="s">
        <v>40</v>
      </c>
      <c r="J59" s="29"/>
      <c r="K59" s="29"/>
      <c r="L59" s="29"/>
      <c r="M59" s="29"/>
      <c r="N59" s="29"/>
      <c r="O59" s="29"/>
      <c r="P59" s="29"/>
      <c r="Q59" s="25"/>
      <c r="R59" s="25"/>
      <c r="S59" s="25"/>
      <c r="T59" s="25"/>
      <c r="U59" s="25" t="s">
        <v>52</v>
      </c>
      <c r="V59" s="25"/>
      <c r="W59" s="23">
        <v>17</v>
      </c>
      <c r="X59" s="5">
        <f>1</f>
        <v>1</v>
      </c>
      <c r="Y59" s="24">
        <f t="shared" si="2"/>
        <v>17</v>
      </c>
      <c r="Z59" s="24" t="str">
        <f t="shared" si="3"/>
        <v/>
      </c>
    </row>
    <row r="60" spans="1:27" ht="16" customHeight="1" x14ac:dyDescent="0.15">
      <c r="A60" s="25" t="s">
        <v>197</v>
      </c>
      <c r="B60" s="25" t="s">
        <v>198</v>
      </c>
      <c r="C60" s="26" t="s">
        <v>199</v>
      </c>
      <c r="D60" s="26" t="s">
        <v>200</v>
      </c>
      <c r="E60" s="27"/>
      <c r="F60" s="25"/>
      <c r="G60" s="25"/>
      <c r="H60" s="28"/>
      <c r="I60" s="29" t="s">
        <v>40</v>
      </c>
      <c r="J60" s="29"/>
      <c r="K60" s="29"/>
      <c r="L60" s="29"/>
      <c r="M60" s="29"/>
      <c r="N60" s="29"/>
      <c r="O60" s="29"/>
      <c r="P60" s="29"/>
      <c r="Q60" s="25"/>
      <c r="R60" s="25"/>
      <c r="S60" s="25"/>
      <c r="T60" s="25"/>
      <c r="U60" s="25" t="s">
        <v>52</v>
      </c>
      <c r="V60" s="25"/>
      <c r="W60" s="23">
        <v>8.2288064956665004</v>
      </c>
      <c r="X60" s="5">
        <f>1</f>
        <v>1</v>
      </c>
      <c r="Y60" s="24">
        <f t="shared" si="2"/>
        <v>8.2288064956665004</v>
      </c>
      <c r="Z60" s="24" t="str">
        <f t="shared" si="3"/>
        <v/>
      </c>
    </row>
    <row r="61" spans="1:27" x14ac:dyDescent="0.15">
      <c r="A61" s="25"/>
      <c r="B61" s="25"/>
      <c r="C61" s="26"/>
      <c r="D61" s="26"/>
      <c r="E61" s="27"/>
      <c r="F61" s="25"/>
      <c r="G61" s="25"/>
      <c r="H61" s="28"/>
      <c r="I61" s="29"/>
      <c r="J61" s="29"/>
      <c r="K61" s="29"/>
      <c r="L61" s="29"/>
      <c r="M61" s="29"/>
      <c r="N61" s="29"/>
      <c r="O61" s="29"/>
      <c r="P61" s="29"/>
      <c r="Q61" s="25"/>
      <c r="R61" s="25"/>
      <c r="S61" s="25"/>
      <c r="T61" s="25"/>
      <c r="U61" s="25"/>
      <c r="V61" s="25"/>
      <c r="W61" s="23"/>
      <c r="X61" s="5">
        <f>1</f>
        <v>1</v>
      </c>
      <c r="Y61" s="24" t="str">
        <f t="shared" si="2"/>
        <v/>
      </c>
      <c r="Z61" s="24" t="str">
        <f t="shared" si="3"/>
        <v/>
      </c>
    </row>
    <row r="62" spans="1:27" x14ac:dyDescent="0.15">
      <c r="A62" s="80" t="s">
        <v>140</v>
      </c>
      <c r="B62" s="80"/>
      <c r="C62" s="81"/>
      <c r="D62" s="81"/>
      <c r="E62" s="82"/>
      <c r="F62" s="80"/>
      <c r="G62" s="80"/>
      <c r="H62" s="83"/>
      <c r="I62" s="84"/>
      <c r="J62" s="84"/>
      <c r="K62" s="84"/>
      <c r="L62" s="84"/>
      <c r="M62" s="84"/>
      <c r="N62" s="84"/>
      <c r="O62" s="84"/>
      <c r="P62" s="84"/>
      <c r="W62" s="23"/>
      <c r="X62" s="5">
        <f>1</f>
        <v>1</v>
      </c>
      <c r="Y62" s="24" t="str">
        <f t="shared" si="2"/>
        <v/>
      </c>
      <c r="Z62" s="24" t="str">
        <f t="shared" si="3"/>
        <v/>
      </c>
    </row>
    <row r="63" spans="1:27" ht="16" customHeight="1" x14ac:dyDescent="0.15">
      <c r="A63" s="85" t="s">
        <v>61</v>
      </c>
      <c r="B63" s="85" t="s">
        <v>201</v>
      </c>
      <c r="C63" s="86" t="s">
        <v>202</v>
      </c>
      <c r="D63" s="86" t="s">
        <v>203</v>
      </c>
      <c r="E63" s="87"/>
      <c r="F63" s="85"/>
      <c r="G63" s="85"/>
      <c r="H63" s="88"/>
      <c r="I63" s="89" t="s">
        <v>51</v>
      </c>
      <c r="J63" s="89"/>
      <c r="K63" s="89"/>
      <c r="L63" s="89"/>
      <c r="M63" s="89" t="s">
        <v>144</v>
      </c>
      <c r="N63" s="89"/>
      <c r="O63" s="89"/>
      <c r="P63" s="89"/>
      <c r="Q63" s="54"/>
      <c r="R63" s="54"/>
      <c r="S63" s="54"/>
      <c r="T63" s="54"/>
      <c r="U63" s="1" t="s">
        <v>42</v>
      </c>
      <c r="V63" s="54"/>
      <c r="W63" s="23"/>
      <c r="X63" s="5">
        <f>1</f>
        <v>1</v>
      </c>
      <c r="Y63" s="24" t="str">
        <f t="shared" si="2"/>
        <v/>
      </c>
      <c r="Z63" s="24" t="str">
        <f t="shared" si="3"/>
        <v/>
      </c>
      <c r="AA63" s="55"/>
    </row>
    <row r="64" spans="1:27" x14ac:dyDescent="0.15">
      <c r="E64" s="20"/>
      <c r="H64" s="21"/>
      <c r="W64" s="23"/>
      <c r="X64" s="5">
        <f>1</f>
        <v>1</v>
      </c>
      <c r="Y64" s="24" t="str">
        <f t="shared" si="2"/>
        <v/>
      </c>
      <c r="Z64" s="24" t="str">
        <f t="shared" si="3"/>
        <v/>
      </c>
    </row>
    <row r="65" spans="1:27" ht="16" customHeight="1" x14ac:dyDescent="0.15">
      <c r="A65" s="39" t="s">
        <v>204</v>
      </c>
      <c r="B65" s="39" t="s">
        <v>205</v>
      </c>
      <c r="C65" s="40" t="s">
        <v>206</v>
      </c>
      <c r="D65" s="40" t="s">
        <v>207</v>
      </c>
      <c r="E65" s="41"/>
      <c r="F65" s="6" t="s">
        <v>208</v>
      </c>
      <c r="G65" s="1" t="s">
        <v>209</v>
      </c>
      <c r="H65" s="42"/>
      <c r="I65" s="43" t="s">
        <v>40</v>
      </c>
      <c r="J65" s="43" t="s">
        <v>210</v>
      </c>
      <c r="K65" s="43"/>
      <c r="L65" s="43"/>
      <c r="M65" s="43"/>
      <c r="N65" s="43"/>
      <c r="O65" s="43"/>
      <c r="P65" s="43"/>
      <c r="U65" s="1" t="s">
        <v>42</v>
      </c>
      <c r="W65" s="23">
        <v>36.928733825683601</v>
      </c>
      <c r="X65" s="5">
        <f>1</f>
        <v>1</v>
      </c>
      <c r="Y65" s="24">
        <f t="shared" si="2"/>
        <v>36.928733825683601</v>
      </c>
      <c r="Z65" s="24">
        <f t="shared" si="3"/>
        <v>36.928733825683601</v>
      </c>
    </row>
    <row r="66" spans="1:27" x14ac:dyDescent="0.15">
      <c r="A66" s="39" t="s">
        <v>26</v>
      </c>
      <c r="B66" s="39" t="s">
        <v>211</v>
      </c>
      <c r="C66" s="40"/>
      <c r="D66" s="40"/>
      <c r="E66" s="41"/>
      <c r="F66" s="6"/>
      <c r="G66" s="6"/>
      <c r="H66" s="42"/>
      <c r="I66" s="43"/>
      <c r="J66" s="43"/>
      <c r="K66" s="43"/>
      <c r="L66" s="43"/>
      <c r="M66" s="43"/>
      <c r="N66" s="43"/>
      <c r="O66" s="43"/>
      <c r="P66" s="43" t="s">
        <v>212</v>
      </c>
      <c r="U66" s="1" t="s">
        <v>42</v>
      </c>
      <c r="W66" s="23"/>
      <c r="X66" s="5">
        <f>1</f>
        <v>1</v>
      </c>
      <c r="Y66" s="24" t="str">
        <f t="shared" si="2"/>
        <v/>
      </c>
      <c r="Z66" s="24" t="str">
        <f t="shared" si="3"/>
        <v/>
      </c>
    </row>
    <row r="67" spans="1:27" ht="32" customHeight="1" x14ac:dyDescent="0.15">
      <c r="A67" s="39" t="s">
        <v>134</v>
      </c>
      <c r="B67" s="39" t="s">
        <v>213</v>
      </c>
      <c r="C67" s="40" t="s">
        <v>214</v>
      </c>
      <c r="D67" s="40" t="s">
        <v>215</v>
      </c>
      <c r="E67" s="41"/>
      <c r="F67" s="6"/>
      <c r="G67" s="6"/>
      <c r="H67" s="42"/>
      <c r="I67" s="43" t="s">
        <v>40</v>
      </c>
      <c r="J67" s="43"/>
      <c r="K67" s="43"/>
      <c r="L67" s="43"/>
      <c r="M67" s="43" t="s">
        <v>216</v>
      </c>
      <c r="N67" s="43"/>
      <c r="O67" s="43"/>
      <c r="P67" s="43"/>
      <c r="U67" s="1" t="s">
        <v>42</v>
      </c>
      <c r="W67" s="23">
        <v>0</v>
      </c>
      <c r="X67" s="5">
        <f>1</f>
        <v>1</v>
      </c>
      <c r="Y67" s="24">
        <f t="shared" si="2"/>
        <v>0</v>
      </c>
      <c r="Z67" s="24">
        <f t="shared" si="3"/>
        <v>0</v>
      </c>
    </row>
    <row r="68" spans="1:27" ht="32" customHeight="1" x14ac:dyDescent="0.15">
      <c r="A68" s="39" t="s">
        <v>134</v>
      </c>
      <c r="B68" s="39" t="s">
        <v>217</v>
      </c>
      <c r="C68" s="40" t="s">
        <v>218</v>
      </c>
      <c r="D68" s="40" t="s">
        <v>219</v>
      </c>
      <c r="E68" s="41"/>
      <c r="F68" s="6"/>
      <c r="G68" s="6"/>
      <c r="H68" s="42"/>
      <c r="I68" s="43" t="s">
        <v>40</v>
      </c>
      <c r="J68" s="43"/>
      <c r="K68" s="43"/>
      <c r="L68" s="43"/>
      <c r="M68" s="43" t="s">
        <v>220</v>
      </c>
      <c r="N68" s="43"/>
      <c r="O68" s="43"/>
      <c r="P68" s="43"/>
      <c r="U68" s="1" t="s">
        <v>42</v>
      </c>
      <c r="W68" s="23">
        <v>0</v>
      </c>
      <c r="X68" s="5">
        <f>1</f>
        <v>1</v>
      </c>
      <c r="Y68" s="24">
        <f t="shared" si="2"/>
        <v>0</v>
      </c>
      <c r="Z68" s="24">
        <f t="shared" si="3"/>
        <v>0</v>
      </c>
    </row>
    <row r="69" spans="1:27" ht="32" customHeight="1" x14ac:dyDescent="0.15">
      <c r="A69" s="39" t="s">
        <v>134</v>
      </c>
      <c r="B69" s="39" t="s">
        <v>221</v>
      </c>
      <c r="C69" s="40" t="s">
        <v>222</v>
      </c>
      <c r="D69" s="40" t="s">
        <v>223</v>
      </c>
      <c r="E69" s="41"/>
      <c r="F69" s="6"/>
      <c r="G69" s="6"/>
      <c r="H69" s="42"/>
      <c r="I69" s="43" t="s">
        <v>40</v>
      </c>
      <c r="J69" s="43"/>
      <c r="K69" s="43"/>
      <c r="L69" s="43"/>
      <c r="M69" s="43" t="s">
        <v>224</v>
      </c>
      <c r="N69" s="43"/>
      <c r="O69" s="43"/>
      <c r="P69" s="43"/>
      <c r="U69" s="1" t="s">
        <v>42</v>
      </c>
      <c r="W69" s="23">
        <v>0</v>
      </c>
      <c r="X69" s="5">
        <f>1</f>
        <v>1</v>
      </c>
      <c r="Y69" s="24">
        <f t="shared" si="2"/>
        <v>0</v>
      </c>
      <c r="Z69" s="24">
        <f t="shared" si="3"/>
        <v>0</v>
      </c>
    </row>
    <row r="70" spans="1:27" x14ac:dyDescent="0.15">
      <c r="E70" s="20"/>
      <c r="H70" s="21"/>
      <c r="W70" s="23"/>
      <c r="X70" s="5">
        <f>1</f>
        <v>1</v>
      </c>
      <c r="Y70" s="24" t="str">
        <f t="shared" si="2"/>
        <v/>
      </c>
      <c r="Z70" s="24" t="str">
        <f t="shared" si="3"/>
        <v/>
      </c>
    </row>
    <row r="71" spans="1:27" ht="32" customHeight="1" x14ac:dyDescent="0.15">
      <c r="A71" s="25" t="s">
        <v>225</v>
      </c>
      <c r="B71" s="25" t="s">
        <v>226</v>
      </c>
      <c r="C71" s="26" t="s">
        <v>227</v>
      </c>
      <c r="D71" s="26" t="s">
        <v>228</v>
      </c>
      <c r="E71" s="27"/>
      <c r="F71" s="25" t="s">
        <v>229</v>
      </c>
      <c r="G71" s="25" t="s">
        <v>230</v>
      </c>
      <c r="H71" s="28"/>
      <c r="I71" s="29" t="s">
        <v>40</v>
      </c>
      <c r="J71" s="29"/>
      <c r="K71" s="29" t="s">
        <v>231</v>
      </c>
      <c r="L71" s="29"/>
      <c r="M71" s="29" t="s">
        <v>232</v>
      </c>
      <c r="N71" s="29"/>
      <c r="O71" s="29"/>
      <c r="P71" s="29"/>
      <c r="Q71" s="25"/>
      <c r="R71" s="25"/>
      <c r="S71" s="25"/>
      <c r="T71" s="25"/>
      <c r="U71" s="25" t="s">
        <v>52</v>
      </c>
      <c r="V71" s="25"/>
      <c r="W71" s="23">
        <v>40.047317504882798</v>
      </c>
      <c r="X71" s="5">
        <f>1</f>
        <v>1</v>
      </c>
      <c r="Y71" s="24">
        <f t="shared" si="2"/>
        <v>40.047317504882798</v>
      </c>
      <c r="Z71" s="24" t="str">
        <f t="shared" si="3"/>
        <v/>
      </c>
    </row>
    <row r="72" spans="1:27" ht="16" customHeight="1" x14ac:dyDescent="0.15">
      <c r="A72" s="25" t="s">
        <v>233</v>
      </c>
      <c r="B72" s="25" t="s">
        <v>234</v>
      </c>
      <c r="C72" s="25" t="s">
        <v>235</v>
      </c>
      <c r="D72" s="26" t="s">
        <v>236</v>
      </c>
      <c r="E72" s="28"/>
      <c r="F72" s="25" t="s">
        <v>237</v>
      </c>
      <c r="G72" s="25" t="s">
        <v>238</v>
      </c>
      <c r="H72" s="28"/>
      <c r="I72" s="29" t="s">
        <v>51</v>
      </c>
      <c r="J72" s="29"/>
      <c r="K72" s="29"/>
      <c r="L72" s="29"/>
      <c r="M72" s="29" t="s">
        <v>239</v>
      </c>
      <c r="N72" s="29"/>
      <c r="O72" s="29"/>
      <c r="P72" s="29"/>
      <c r="Q72" s="25"/>
      <c r="R72" s="25"/>
      <c r="S72" s="25"/>
      <c r="T72" s="25"/>
      <c r="U72" s="25" t="s">
        <v>52</v>
      </c>
      <c r="V72" s="25"/>
      <c r="W72" s="23">
        <v>3.68701100349426</v>
      </c>
      <c r="X72" s="5">
        <f>1</f>
        <v>1</v>
      </c>
      <c r="Y72" s="24">
        <f t="shared" si="2"/>
        <v>3.68701100349426</v>
      </c>
      <c r="Z72" s="24" t="str">
        <f t="shared" si="3"/>
        <v/>
      </c>
    </row>
    <row r="73" spans="1:27" x14ac:dyDescent="0.15">
      <c r="D73" s="26"/>
      <c r="E73" s="28"/>
      <c r="G73" s="25"/>
      <c r="H73" s="28"/>
    </row>
    <row r="74" spans="1:27" ht="16" customHeight="1" x14ac:dyDescent="0.15">
      <c r="A74" s="39" t="s">
        <v>240</v>
      </c>
      <c r="B74" s="39" t="s">
        <v>241</v>
      </c>
      <c r="C74" s="39" t="s">
        <v>242</v>
      </c>
      <c r="D74" s="40" t="s">
        <v>243</v>
      </c>
      <c r="E74" s="42"/>
      <c r="F74" s="39"/>
      <c r="G74" s="39"/>
      <c r="H74" s="42"/>
      <c r="I74" s="43" t="s">
        <v>40</v>
      </c>
      <c r="J74" s="43"/>
      <c r="K74" s="43"/>
      <c r="L74" s="43"/>
      <c r="M74" s="43" t="s">
        <v>232</v>
      </c>
      <c r="N74" s="43"/>
      <c r="O74" s="43"/>
      <c r="P74" s="43"/>
      <c r="Q74" s="39"/>
      <c r="R74" s="39"/>
      <c r="S74" s="39"/>
      <c r="T74" s="39"/>
      <c r="U74" s="39"/>
      <c r="V74" s="39"/>
      <c r="W74" s="90"/>
      <c r="X74" s="91"/>
      <c r="Y74" s="92"/>
      <c r="Z74" s="92"/>
      <c r="AA74" s="39"/>
    </row>
    <row r="75" spans="1:27" ht="16" customHeight="1" x14ac:dyDescent="0.15">
      <c r="A75" s="39" t="s">
        <v>244</v>
      </c>
      <c r="B75" s="39" t="s">
        <v>245</v>
      </c>
      <c r="C75" s="39" t="s">
        <v>246</v>
      </c>
      <c r="D75" s="40" t="s">
        <v>247</v>
      </c>
      <c r="E75" s="42"/>
      <c r="F75" s="39"/>
      <c r="G75" s="39"/>
      <c r="H75" s="42"/>
      <c r="I75" s="43" t="s">
        <v>40</v>
      </c>
      <c r="J75" s="43"/>
      <c r="K75" s="43"/>
      <c r="L75" s="43"/>
      <c r="M75" s="43" t="s">
        <v>232</v>
      </c>
      <c r="N75" s="43"/>
      <c r="O75" s="43"/>
      <c r="P75" s="43"/>
      <c r="Q75" s="39"/>
      <c r="R75" s="39"/>
      <c r="S75" s="39"/>
      <c r="T75" s="39"/>
      <c r="U75" s="39"/>
      <c r="V75" s="39"/>
      <c r="W75" s="90"/>
      <c r="X75" s="91"/>
      <c r="Y75" s="92"/>
      <c r="Z75" s="92"/>
      <c r="AA75" s="39"/>
    </row>
    <row r="76" spans="1:27" x14ac:dyDescent="0.15">
      <c r="E76" s="20"/>
      <c r="H76" s="21"/>
      <c r="W76" s="23"/>
      <c r="X76" s="5">
        <f>1</f>
        <v>1</v>
      </c>
      <c r="Y76" s="24" t="str">
        <f t="shared" ref="Y76:Y87" si="4">IF(W76&lt;&gt;"",W76*X76,"")</f>
        <v/>
      </c>
      <c r="Z76" s="24" t="str">
        <f t="shared" ref="Z76:Z87" si="5">IF(AND(W76&lt;&gt;"",U76="yes"),W76*X76,"")</f>
        <v/>
      </c>
    </row>
    <row r="77" spans="1:27" ht="32" customHeight="1" x14ac:dyDescent="0.15">
      <c r="A77" s="39" t="s">
        <v>248</v>
      </c>
      <c r="B77" s="39" t="s">
        <v>249</v>
      </c>
      <c r="C77" s="40" t="s">
        <v>250</v>
      </c>
      <c r="D77" s="40" t="s">
        <v>251</v>
      </c>
      <c r="E77" s="41"/>
      <c r="F77" s="39"/>
      <c r="G77" s="39"/>
      <c r="H77" s="42"/>
      <c r="I77" s="43" t="s">
        <v>40</v>
      </c>
      <c r="J77" s="43"/>
      <c r="K77" s="43"/>
      <c r="L77" s="43"/>
      <c r="M77" s="43" t="s">
        <v>232</v>
      </c>
      <c r="N77" s="43"/>
      <c r="O77" s="43"/>
      <c r="P77" s="43"/>
      <c r="U77" s="1" t="s">
        <v>42</v>
      </c>
      <c r="W77" s="23">
        <v>27.242166519165</v>
      </c>
      <c r="X77" s="5">
        <f>1</f>
        <v>1</v>
      </c>
      <c r="Y77" s="24">
        <f t="shared" si="4"/>
        <v>27.242166519165</v>
      </c>
      <c r="Z77" s="24">
        <f t="shared" si="5"/>
        <v>27.242166519165</v>
      </c>
    </row>
    <row r="78" spans="1:27" x14ac:dyDescent="0.15">
      <c r="D78" s="70"/>
      <c r="E78" s="20"/>
      <c r="H78" s="21"/>
      <c r="W78" s="23"/>
      <c r="X78" s="5">
        <f>1</f>
        <v>1</v>
      </c>
      <c r="Y78" s="24" t="str">
        <f t="shared" si="4"/>
        <v/>
      </c>
      <c r="Z78" s="24" t="str">
        <f t="shared" si="5"/>
        <v/>
      </c>
    </row>
    <row r="79" spans="1:27" ht="32" customHeight="1" x14ac:dyDescent="0.15">
      <c r="A79" s="39" t="s">
        <v>252</v>
      </c>
      <c r="B79" s="39" t="s">
        <v>253</v>
      </c>
      <c r="C79" s="40" t="s">
        <v>254</v>
      </c>
      <c r="D79" s="40" t="s">
        <v>255</v>
      </c>
      <c r="E79" s="41"/>
      <c r="F79" s="6" t="s">
        <v>256</v>
      </c>
      <c r="G79" s="6" t="s">
        <v>257</v>
      </c>
      <c r="H79" s="42"/>
      <c r="I79" s="43" t="s">
        <v>40</v>
      </c>
      <c r="J79" s="43" t="s">
        <v>210</v>
      </c>
      <c r="K79" s="43"/>
      <c r="L79" s="43"/>
      <c r="M79" s="43" t="s">
        <v>232</v>
      </c>
      <c r="N79" s="43" t="s">
        <v>258</v>
      </c>
      <c r="O79" s="43"/>
      <c r="P79" s="43"/>
      <c r="U79" s="1" t="s">
        <v>42</v>
      </c>
      <c r="W79" s="23">
        <v>25.3080043792725</v>
      </c>
      <c r="X79" s="5">
        <f>1</f>
        <v>1</v>
      </c>
      <c r="Y79" s="24">
        <f t="shared" si="4"/>
        <v>25.3080043792725</v>
      </c>
      <c r="Z79" s="24">
        <f t="shared" si="5"/>
        <v>25.3080043792725</v>
      </c>
    </row>
    <row r="80" spans="1:27" x14ac:dyDescent="0.15">
      <c r="A80" s="39" t="s">
        <v>26</v>
      </c>
      <c r="B80" s="39" t="s">
        <v>259</v>
      </c>
      <c r="C80" s="40"/>
      <c r="D80" s="40"/>
      <c r="E80" s="41"/>
      <c r="F80" s="6"/>
      <c r="G80" s="6"/>
      <c r="H80" s="42"/>
      <c r="I80" s="43"/>
      <c r="J80" s="43"/>
      <c r="K80" s="43"/>
      <c r="L80" s="43"/>
      <c r="M80" s="43"/>
      <c r="N80" s="43"/>
      <c r="O80" s="43"/>
      <c r="P80" s="43" t="s">
        <v>260</v>
      </c>
      <c r="U80" s="1" t="s">
        <v>42</v>
      </c>
      <c r="W80" s="23"/>
      <c r="X80" s="5">
        <f>1</f>
        <v>1</v>
      </c>
      <c r="Y80" s="24" t="str">
        <f t="shared" si="4"/>
        <v/>
      </c>
      <c r="Z80" s="24" t="str">
        <f t="shared" si="5"/>
        <v/>
      </c>
    </row>
    <row r="81" spans="1:26" ht="32" customHeight="1" x14ac:dyDescent="0.15">
      <c r="A81" s="39" t="s">
        <v>134</v>
      </c>
      <c r="B81" s="39" t="s">
        <v>261</v>
      </c>
      <c r="C81" s="40" t="s">
        <v>214</v>
      </c>
      <c r="D81" s="93" t="s">
        <v>215</v>
      </c>
      <c r="E81" s="41"/>
      <c r="F81" s="6"/>
      <c r="G81" s="6"/>
      <c r="H81" s="42"/>
      <c r="I81" s="43" t="s">
        <v>40</v>
      </c>
      <c r="J81" s="43"/>
      <c r="K81" s="43"/>
      <c r="L81" s="43"/>
      <c r="M81" s="43" t="s">
        <v>262</v>
      </c>
      <c r="N81" s="43"/>
      <c r="O81" s="43"/>
      <c r="P81" s="43"/>
      <c r="U81" s="1" t="s">
        <v>42</v>
      </c>
      <c r="W81" s="23">
        <v>0</v>
      </c>
      <c r="X81" s="5">
        <f>1</f>
        <v>1</v>
      </c>
      <c r="Y81" s="24">
        <f t="shared" si="4"/>
        <v>0</v>
      </c>
      <c r="Z81" s="24">
        <f t="shared" si="5"/>
        <v>0</v>
      </c>
    </row>
    <row r="82" spans="1:26" ht="32" customHeight="1" x14ac:dyDescent="0.15">
      <c r="A82" s="39" t="s">
        <v>134</v>
      </c>
      <c r="B82" s="39" t="s">
        <v>263</v>
      </c>
      <c r="C82" s="40" t="s">
        <v>264</v>
      </c>
      <c r="D82" s="40" t="s">
        <v>219</v>
      </c>
      <c r="E82" s="41"/>
      <c r="F82" s="6"/>
      <c r="G82" s="6"/>
      <c r="H82" s="42"/>
      <c r="I82" s="43" t="s">
        <v>40</v>
      </c>
      <c r="J82" s="43"/>
      <c r="K82" s="43"/>
      <c r="L82" s="43"/>
      <c r="M82" s="43" t="s">
        <v>265</v>
      </c>
      <c r="N82" s="43"/>
      <c r="O82" s="43"/>
      <c r="P82" s="43"/>
      <c r="U82" s="1" t="s">
        <v>42</v>
      </c>
      <c r="W82" s="23">
        <v>0</v>
      </c>
      <c r="X82" s="5">
        <f>1</f>
        <v>1</v>
      </c>
      <c r="Y82" s="24">
        <f t="shared" si="4"/>
        <v>0</v>
      </c>
      <c r="Z82" s="24">
        <f t="shared" si="5"/>
        <v>0</v>
      </c>
    </row>
    <row r="83" spans="1:26" ht="32" customHeight="1" x14ac:dyDescent="0.15">
      <c r="A83" s="39" t="s">
        <v>134</v>
      </c>
      <c r="B83" s="39" t="s">
        <v>266</v>
      </c>
      <c r="C83" s="40" t="s">
        <v>222</v>
      </c>
      <c r="D83" s="40" t="s">
        <v>223</v>
      </c>
      <c r="E83" s="41"/>
      <c r="F83" s="6"/>
      <c r="G83" s="6"/>
      <c r="H83" s="42"/>
      <c r="I83" s="43" t="s">
        <v>40</v>
      </c>
      <c r="J83" s="43"/>
      <c r="K83" s="43"/>
      <c r="L83" s="43"/>
      <c r="M83" s="43" t="s">
        <v>267</v>
      </c>
      <c r="N83" s="43"/>
      <c r="O83" s="43"/>
      <c r="P83" s="43"/>
      <c r="U83" s="1" t="s">
        <v>42</v>
      </c>
      <c r="W83" s="23">
        <v>0</v>
      </c>
      <c r="X83" s="5">
        <f>1</f>
        <v>1</v>
      </c>
      <c r="Y83" s="24">
        <f t="shared" si="4"/>
        <v>0</v>
      </c>
      <c r="Z83" s="24">
        <f t="shared" si="5"/>
        <v>0</v>
      </c>
    </row>
    <row r="84" spans="1:26" x14ac:dyDescent="0.15">
      <c r="E84" s="20"/>
      <c r="H84" s="21"/>
      <c r="W84" s="23"/>
      <c r="X84" s="5">
        <f>1</f>
        <v>1</v>
      </c>
      <c r="Y84" s="24" t="str">
        <f t="shared" si="4"/>
        <v/>
      </c>
      <c r="Z84" s="24" t="str">
        <f t="shared" si="5"/>
        <v/>
      </c>
    </row>
    <row r="85" spans="1:26" ht="32" customHeight="1" x14ac:dyDescent="0.15">
      <c r="A85" s="25" t="s">
        <v>225</v>
      </c>
      <c r="B85" s="25" t="s">
        <v>268</v>
      </c>
      <c r="C85" s="26" t="s">
        <v>269</v>
      </c>
      <c r="D85" s="26" t="s">
        <v>270</v>
      </c>
      <c r="E85" s="27"/>
      <c r="F85" s="25" t="s">
        <v>229</v>
      </c>
      <c r="G85" s="25" t="s">
        <v>230</v>
      </c>
      <c r="H85" s="28"/>
      <c r="I85" s="29" t="s">
        <v>40</v>
      </c>
      <c r="J85" s="29"/>
      <c r="K85" s="29" t="s">
        <v>231</v>
      </c>
      <c r="L85" s="29"/>
      <c r="M85" s="29" t="s">
        <v>271</v>
      </c>
      <c r="N85" s="29"/>
      <c r="O85" s="29"/>
      <c r="P85" s="29"/>
      <c r="Q85" s="25"/>
      <c r="R85" s="25"/>
      <c r="S85" s="25"/>
      <c r="T85" s="25"/>
      <c r="U85" s="25" t="s">
        <v>52</v>
      </c>
      <c r="V85" s="25"/>
      <c r="W85" s="23">
        <v>30.8284702301025</v>
      </c>
      <c r="X85" s="5">
        <f>1</f>
        <v>1</v>
      </c>
      <c r="Y85" s="24">
        <f t="shared" si="4"/>
        <v>30.8284702301025</v>
      </c>
      <c r="Z85" s="24" t="str">
        <f t="shared" si="5"/>
        <v/>
      </c>
    </row>
    <row r="86" spans="1:26" ht="16" customHeight="1" x14ac:dyDescent="0.15">
      <c r="A86" s="25" t="s">
        <v>233</v>
      </c>
      <c r="B86" s="25" t="s">
        <v>272</v>
      </c>
      <c r="C86" s="25" t="s">
        <v>235</v>
      </c>
      <c r="D86" s="26" t="s">
        <v>236</v>
      </c>
      <c r="E86" s="27"/>
      <c r="F86" s="25" t="s">
        <v>237</v>
      </c>
      <c r="G86" s="25" t="s">
        <v>238</v>
      </c>
      <c r="H86" s="28"/>
      <c r="I86" s="29" t="s">
        <v>51</v>
      </c>
      <c r="J86" s="29"/>
      <c r="K86" s="29"/>
      <c r="L86" s="29"/>
      <c r="M86" s="29" t="s">
        <v>273</v>
      </c>
      <c r="N86" s="29"/>
      <c r="O86" s="29"/>
      <c r="P86" s="29"/>
      <c r="Q86" s="25"/>
      <c r="R86" s="25"/>
      <c r="S86" s="25"/>
      <c r="T86" s="25"/>
      <c r="U86" s="25" t="s">
        <v>52</v>
      </c>
      <c r="V86" s="25"/>
      <c r="W86" s="23">
        <v>2.29411768913269</v>
      </c>
      <c r="X86" s="5">
        <f>1</f>
        <v>1</v>
      </c>
      <c r="Y86" s="24">
        <f t="shared" si="4"/>
        <v>2.29411768913269</v>
      </c>
      <c r="Z86" s="24" t="str">
        <f t="shared" si="5"/>
        <v/>
      </c>
    </row>
    <row r="87" spans="1:26" x14ac:dyDescent="0.15">
      <c r="A87" s="25"/>
      <c r="B87" s="25"/>
      <c r="C87" s="26"/>
      <c r="D87" s="26"/>
      <c r="E87" s="27"/>
      <c r="F87" s="25"/>
      <c r="G87" s="25"/>
      <c r="H87" s="28"/>
      <c r="I87" s="29"/>
      <c r="J87" s="29"/>
      <c r="K87" s="29"/>
      <c r="L87" s="29"/>
      <c r="M87" s="29"/>
      <c r="N87" s="29"/>
      <c r="O87" s="29"/>
      <c r="P87" s="29"/>
      <c r="Q87" s="25"/>
      <c r="R87" s="25"/>
      <c r="S87" s="25"/>
      <c r="T87" s="25"/>
      <c r="U87" s="25"/>
      <c r="V87" s="25"/>
      <c r="W87" s="23"/>
      <c r="X87" s="5">
        <f>1</f>
        <v>1</v>
      </c>
      <c r="Y87" s="24" t="str">
        <f t="shared" si="4"/>
        <v/>
      </c>
      <c r="Z87" s="24" t="str">
        <f t="shared" si="5"/>
        <v/>
      </c>
    </row>
    <row r="88" spans="1:26" ht="16" customHeight="1" x14ac:dyDescent="0.15">
      <c r="A88" s="25" t="s">
        <v>240</v>
      </c>
      <c r="B88" s="25" t="s">
        <v>274</v>
      </c>
      <c r="C88" s="25" t="s">
        <v>242</v>
      </c>
      <c r="D88" s="26" t="s">
        <v>243</v>
      </c>
      <c r="E88" s="28"/>
      <c r="F88" s="25"/>
      <c r="G88" s="25"/>
      <c r="H88" s="28"/>
      <c r="I88" s="29" t="s">
        <v>40</v>
      </c>
      <c r="J88" s="29"/>
      <c r="K88" s="29"/>
      <c r="L88" s="29"/>
      <c r="M88" s="29" t="s">
        <v>271</v>
      </c>
      <c r="N88" s="29"/>
      <c r="O88" s="29"/>
      <c r="P88" s="29"/>
      <c r="Q88" s="25"/>
      <c r="R88" s="25"/>
      <c r="S88" s="25"/>
      <c r="T88" s="25"/>
      <c r="U88" s="25"/>
      <c r="V88" s="25"/>
      <c r="W88" s="23"/>
      <c r="Y88" s="24"/>
      <c r="Z88" s="24"/>
    </row>
    <row r="89" spans="1:26" ht="16" customHeight="1" x14ac:dyDescent="0.15">
      <c r="A89" s="25" t="s">
        <v>244</v>
      </c>
      <c r="B89" s="25" t="s">
        <v>275</v>
      </c>
      <c r="C89" s="25" t="s">
        <v>246</v>
      </c>
      <c r="D89" s="26" t="s">
        <v>247</v>
      </c>
      <c r="E89" s="28"/>
      <c r="F89" s="25"/>
      <c r="G89" s="25"/>
      <c r="H89" s="28"/>
      <c r="I89" s="29" t="s">
        <v>40</v>
      </c>
      <c r="J89" s="29"/>
      <c r="K89" s="29"/>
      <c r="L89" s="29"/>
      <c r="M89" s="29" t="s">
        <v>271</v>
      </c>
      <c r="N89" s="29"/>
      <c r="O89" s="29"/>
      <c r="P89" s="29"/>
      <c r="Q89" s="25"/>
      <c r="R89" s="25"/>
      <c r="S89" s="25"/>
      <c r="T89" s="25"/>
      <c r="U89" s="25"/>
      <c r="V89" s="25"/>
      <c r="W89" s="23"/>
      <c r="Y89" s="24"/>
      <c r="Z89" s="24"/>
    </row>
    <row r="90" spans="1:26" x14ac:dyDescent="0.15">
      <c r="A90" s="25"/>
      <c r="B90" s="25"/>
      <c r="C90" s="26"/>
      <c r="D90" s="26"/>
      <c r="E90" s="27"/>
      <c r="F90" s="25"/>
      <c r="G90" s="25"/>
      <c r="H90" s="28"/>
      <c r="I90" s="29"/>
      <c r="J90" s="29"/>
      <c r="K90" s="29"/>
      <c r="L90" s="29"/>
      <c r="M90" s="29"/>
      <c r="N90" s="29"/>
      <c r="O90" s="29"/>
      <c r="P90" s="29"/>
      <c r="Q90" s="25"/>
      <c r="R90" s="25"/>
      <c r="S90" s="25"/>
      <c r="T90" s="25"/>
      <c r="U90" s="25"/>
      <c r="V90" s="25"/>
      <c r="W90" s="23"/>
      <c r="X90" s="5">
        <f>1</f>
        <v>1</v>
      </c>
      <c r="Y90" s="24" t="str">
        <f t="shared" ref="Y90:Y101" si="6">IF(W90&lt;&gt;"",W90*X90,"")</f>
        <v/>
      </c>
      <c r="Z90" s="24" t="str">
        <f t="shared" ref="Z90:Z101" si="7">IF(AND(W90&lt;&gt;"",U90="yes"),W90*X90,"")</f>
        <v/>
      </c>
    </row>
    <row r="91" spans="1:26" ht="32" customHeight="1" x14ac:dyDescent="0.15">
      <c r="A91" s="39" t="s">
        <v>248</v>
      </c>
      <c r="B91" s="39" t="s">
        <v>276</v>
      </c>
      <c r="C91" s="40" t="s">
        <v>277</v>
      </c>
      <c r="D91" s="40" t="s">
        <v>278</v>
      </c>
      <c r="E91" s="41"/>
      <c r="F91" s="39"/>
      <c r="G91" s="39"/>
      <c r="H91" s="42"/>
      <c r="I91" s="43" t="s">
        <v>40</v>
      </c>
      <c r="J91" s="43"/>
      <c r="K91" s="43"/>
      <c r="L91" s="43"/>
      <c r="M91" s="43" t="s">
        <v>271</v>
      </c>
      <c r="N91" s="43"/>
      <c r="O91" s="43"/>
      <c r="P91" s="43"/>
      <c r="U91" s="1" t="s">
        <v>42</v>
      </c>
      <c r="W91" s="23">
        <v>21.1932563781738</v>
      </c>
      <c r="X91" s="5">
        <f>1</f>
        <v>1</v>
      </c>
      <c r="Y91" s="24">
        <f t="shared" si="6"/>
        <v>21.1932563781738</v>
      </c>
      <c r="Z91" s="24">
        <f t="shared" si="7"/>
        <v>21.1932563781738</v>
      </c>
    </row>
    <row r="92" spans="1:26" x14ac:dyDescent="0.15">
      <c r="D92" s="70"/>
      <c r="E92" s="20"/>
      <c r="H92" s="21"/>
      <c r="M92" s="79"/>
      <c r="W92" s="23"/>
      <c r="X92" s="5">
        <f>1</f>
        <v>1</v>
      </c>
      <c r="Y92" s="24" t="str">
        <f t="shared" si="6"/>
        <v/>
      </c>
      <c r="Z92" s="24" t="str">
        <f t="shared" si="7"/>
        <v/>
      </c>
    </row>
    <row r="93" spans="1:26" ht="16" customHeight="1" x14ac:dyDescent="0.15">
      <c r="A93" s="39" t="s">
        <v>279</v>
      </c>
      <c r="B93" s="39" t="s">
        <v>280</v>
      </c>
      <c r="C93" s="39" t="s">
        <v>281</v>
      </c>
      <c r="D93" s="40" t="s">
        <v>282</v>
      </c>
      <c r="E93" s="42"/>
      <c r="F93" s="6" t="s">
        <v>256</v>
      </c>
      <c r="G93" s="6" t="s">
        <v>283</v>
      </c>
      <c r="H93" s="42"/>
      <c r="I93" s="43" t="s">
        <v>40</v>
      </c>
      <c r="J93" s="43" t="s">
        <v>210</v>
      </c>
      <c r="K93" s="43"/>
      <c r="L93" s="43"/>
      <c r="M93" s="43" t="s">
        <v>271</v>
      </c>
      <c r="N93" s="43" t="s">
        <v>284</v>
      </c>
      <c r="O93" s="43"/>
      <c r="P93" s="43"/>
      <c r="U93" s="1" t="s">
        <v>42</v>
      </c>
      <c r="W93" s="23">
        <v>20.229927062988299</v>
      </c>
      <c r="X93" s="5">
        <f>1</f>
        <v>1</v>
      </c>
      <c r="Y93" s="24">
        <f t="shared" si="6"/>
        <v>20.229927062988299</v>
      </c>
      <c r="Z93" s="24">
        <f t="shared" si="7"/>
        <v>20.229927062988299</v>
      </c>
    </row>
    <row r="94" spans="1:26" x14ac:dyDescent="0.15">
      <c r="A94" s="39" t="s">
        <v>26</v>
      </c>
      <c r="B94" s="39" t="s">
        <v>285</v>
      </c>
      <c r="C94" s="40"/>
      <c r="D94" s="40"/>
      <c r="E94" s="41"/>
      <c r="F94" s="6"/>
      <c r="G94" s="6"/>
      <c r="H94" s="42"/>
      <c r="I94" s="43"/>
      <c r="J94" s="43"/>
      <c r="K94" s="43"/>
      <c r="L94" s="43"/>
      <c r="M94" s="43"/>
      <c r="N94" s="43"/>
      <c r="O94" s="43"/>
      <c r="P94" s="43" t="s">
        <v>286</v>
      </c>
      <c r="U94" s="1" t="s">
        <v>42</v>
      </c>
      <c r="W94" s="23"/>
      <c r="X94" s="5">
        <f>1</f>
        <v>1</v>
      </c>
      <c r="Y94" s="24" t="str">
        <f t="shared" si="6"/>
        <v/>
      </c>
      <c r="Z94" s="24" t="str">
        <f t="shared" si="7"/>
        <v/>
      </c>
    </row>
    <row r="95" spans="1:26" ht="32" customHeight="1" x14ac:dyDescent="0.15">
      <c r="A95" s="39" t="s">
        <v>134</v>
      </c>
      <c r="B95" s="39" t="s">
        <v>287</v>
      </c>
      <c r="C95" s="40" t="s">
        <v>214</v>
      </c>
      <c r="D95" s="93" t="s">
        <v>215</v>
      </c>
      <c r="E95" s="41"/>
      <c r="F95" s="6"/>
      <c r="G95" s="6"/>
      <c r="H95" s="42"/>
      <c r="I95" s="43" t="s">
        <v>40</v>
      </c>
      <c r="J95" s="43"/>
      <c r="K95" s="43"/>
      <c r="L95" s="43"/>
      <c r="M95" s="43" t="s">
        <v>288</v>
      </c>
      <c r="N95" s="43"/>
      <c r="O95" s="43"/>
      <c r="P95" s="43"/>
      <c r="U95" s="1" t="s">
        <v>42</v>
      </c>
      <c r="W95" s="23">
        <v>0</v>
      </c>
      <c r="X95" s="5">
        <f>1</f>
        <v>1</v>
      </c>
      <c r="Y95" s="24">
        <f t="shared" si="6"/>
        <v>0</v>
      </c>
      <c r="Z95" s="24">
        <f t="shared" si="7"/>
        <v>0</v>
      </c>
    </row>
    <row r="96" spans="1:26" ht="32" customHeight="1" x14ac:dyDescent="0.15">
      <c r="A96" s="39" t="s">
        <v>134</v>
      </c>
      <c r="B96" s="39" t="s">
        <v>289</v>
      </c>
      <c r="C96" s="40" t="s">
        <v>218</v>
      </c>
      <c r="D96" s="40" t="s">
        <v>219</v>
      </c>
      <c r="E96" s="41"/>
      <c r="F96" s="6"/>
      <c r="G96" s="6"/>
      <c r="H96" s="42"/>
      <c r="I96" s="43" t="s">
        <v>40</v>
      </c>
      <c r="J96" s="43"/>
      <c r="K96" s="43"/>
      <c r="L96" s="43"/>
      <c r="M96" s="43" t="s">
        <v>290</v>
      </c>
      <c r="N96" s="43"/>
      <c r="O96" s="43"/>
      <c r="P96" s="43"/>
      <c r="U96" s="1" t="s">
        <v>42</v>
      </c>
      <c r="W96" s="23">
        <v>0</v>
      </c>
      <c r="X96" s="5">
        <f>1</f>
        <v>1</v>
      </c>
      <c r="Y96" s="24">
        <f t="shared" si="6"/>
        <v>0</v>
      </c>
      <c r="Z96" s="24">
        <f t="shared" si="7"/>
        <v>0</v>
      </c>
    </row>
    <row r="97" spans="1:27" ht="32" customHeight="1" x14ac:dyDescent="0.15">
      <c r="A97" s="39" t="s">
        <v>134</v>
      </c>
      <c r="B97" s="39" t="s">
        <v>291</v>
      </c>
      <c r="C97" s="40" t="s">
        <v>222</v>
      </c>
      <c r="D97" s="40" t="s">
        <v>223</v>
      </c>
      <c r="E97" s="41"/>
      <c r="F97" s="6"/>
      <c r="G97" s="6"/>
      <c r="H97" s="42"/>
      <c r="I97" s="43" t="s">
        <v>40</v>
      </c>
      <c r="J97" s="43"/>
      <c r="K97" s="43"/>
      <c r="L97" s="43"/>
      <c r="M97" s="43" t="s">
        <v>292</v>
      </c>
      <c r="N97" s="43"/>
      <c r="O97" s="43"/>
      <c r="P97" s="43"/>
      <c r="U97" s="1" t="s">
        <v>42</v>
      </c>
      <c r="W97" s="23">
        <v>0</v>
      </c>
      <c r="X97" s="5">
        <f>1</f>
        <v>1</v>
      </c>
      <c r="Y97" s="24">
        <f t="shared" si="6"/>
        <v>0</v>
      </c>
      <c r="Z97" s="24">
        <f t="shared" si="7"/>
        <v>0</v>
      </c>
    </row>
    <row r="98" spans="1:27" x14ac:dyDescent="0.15">
      <c r="E98" s="20"/>
      <c r="H98" s="21"/>
      <c r="W98" s="23"/>
      <c r="X98" s="5">
        <f>1</f>
        <v>1</v>
      </c>
      <c r="Y98" s="24" t="str">
        <f t="shared" si="6"/>
        <v/>
      </c>
      <c r="Z98" s="24" t="str">
        <f t="shared" si="7"/>
        <v/>
      </c>
    </row>
    <row r="99" spans="1:27" ht="32" customHeight="1" x14ac:dyDescent="0.15">
      <c r="A99" s="25" t="s">
        <v>225</v>
      </c>
      <c r="B99" s="25" t="s">
        <v>293</v>
      </c>
      <c r="C99" s="26" t="s">
        <v>294</v>
      </c>
      <c r="D99" s="26" t="s">
        <v>295</v>
      </c>
      <c r="E99" s="27"/>
      <c r="F99" s="25" t="s">
        <v>229</v>
      </c>
      <c r="G99" s="25"/>
      <c r="H99" s="28"/>
      <c r="I99" s="29" t="s">
        <v>40</v>
      </c>
      <c r="J99" s="29"/>
      <c r="K99" s="29" t="s">
        <v>231</v>
      </c>
      <c r="L99" s="29"/>
      <c r="M99" s="29" t="s">
        <v>296</v>
      </c>
      <c r="N99" s="29"/>
      <c r="O99" s="29"/>
      <c r="P99" s="29"/>
      <c r="Q99" s="25"/>
      <c r="R99" s="25"/>
      <c r="S99" s="25"/>
      <c r="T99" s="25"/>
      <c r="U99" s="25" t="s">
        <v>52</v>
      </c>
      <c r="V99" s="25"/>
      <c r="W99" s="23">
        <v>29.429832458496101</v>
      </c>
      <c r="X99" s="5">
        <f>1</f>
        <v>1</v>
      </c>
      <c r="Y99" s="24">
        <f t="shared" si="6"/>
        <v>29.429832458496101</v>
      </c>
      <c r="Z99" s="24" t="str">
        <f t="shared" si="7"/>
        <v/>
      </c>
    </row>
    <row r="100" spans="1:27" ht="16" customHeight="1" x14ac:dyDescent="0.15">
      <c r="A100" s="25" t="s">
        <v>233</v>
      </c>
      <c r="B100" s="25" t="s">
        <v>297</v>
      </c>
      <c r="C100" s="25" t="s">
        <v>235</v>
      </c>
      <c r="D100" s="26" t="s">
        <v>236</v>
      </c>
      <c r="E100" s="27"/>
      <c r="F100" s="25" t="s">
        <v>237</v>
      </c>
      <c r="G100" s="25"/>
      <c r="H100" s="94"/>
      <c r="I100" s="29" t="s">
        <v>51</v>
      </c>
      <c r="J100" s="29"/>
      <c r="K100" s="29"/>
      <c r="L100" s="29"/>
      <c r="M100" s="95" t="s">
        <v>298</v>
      </c>
      <c r="N100" s="29"/>
      <c r="O100" s="29"/>
      <c r="P100" s="29"/>
      <c r="Q100" s="25"/>
      <c r="R100" s="25"/>
      <c r="S100" s="25"/>
      <c r="T100" s="25"/>
      <c r="U100" s="25" t="s">
        <v>52</v>
      </c>
      <c r="V100" s="25"/>
      <c r="W100" s="23">
        <v>1.5555555820465099</v>
      </c>
      <c r="X100" s="5">
        <f>1</f>
        <v>1</v>
      </c>
      <c r="Y100" s="24">
        <f t="shared" si="6"/>
        <v>1.5555555820465099</v>
      </c>
      <c r="Z100" s="24" t="str">
        <f t="shared" si="7"/>
        <v/>
      </c>
    </row>
    <row r="101" spans="1:27" x14ac:dyDescent="0.15">
      <c r="A101" s="25"/>
      <c r="B101" s="25"/>
      <c r="C101" s="26"/>
      <c r="D101" s="26"/>
      <c r="E101" s="27"/>
      <c r="F101" s="25"/>
      <c r="G101" s="25"/>
      <c r="H101" s="28"/>
      <c r="I101" s="29"/>
      <c r="J101" s="29"/>
      <c r="K101" s="29"/>
      <c r="L101" s="29"/>
      <c r="M101" s="29"/>
      <c r="N101" s="29"/>
      <c r="O101" s="29"/>
      <c r="P101" s="29"/>
      <c r="Q101" s="25"/>
      <c r="R101" s="25"/>
      <c r="S101" s="25"/>
      <c r="T101" s="25"/>
      <c r="U101" s="25"/>
      <c r="V101" s="25"/>
      <c r="W101" s="23"/>
      <c r="X101" s="5">
        <f>1</f>
        <v>1</v>
      </c>
      <c r="Y101" s="24" t="str">
        <f t="shared" si="6"/>
        <v/>
      </c>
      <c r="Z101" s="24" t="str">
        <f t="shared" si="7"/>
        <v/>
      </c>
    </row>
    <row r="102" spans="1:27" ht="16" customHeight="1" x14ac:dyDescent="0.15">
      <c r="A102" s="25" t="s">
        <v>240</v>
      </c>
      <c r="B102" s="25" t="s">
        <v>299</v>
      </c>
      <c r="C102" s="25" t="s">
        <v>242</v>
      </c>
      <c r="D102" s="26" t="s">
        <v>243</v>
      </c>
      <c r="E102" s="28"/>
      <c r="F102" s="25"/>
      <c r="G102" s="25"/>
      <c r="H102" s="28"/>
      <c r="I102" s="29" t="s">
        <v>40</v>
      </c>
      <c r="J102" s="29"/>
      <c r="K102" s="29"/>
      <c r="L102" s="29"/>
      <c r="M102" s="29" t="s">
        <v>296</v>
      </c>
      <c r="N102" s="29"/>
      <c r="O102" s="29"/>
      <c r="P102" s="29"/>
      <c r="Q102" s="25"/>
      <c r="R102" s="25"/>
      <c r="S102" s="25"/>
      <c r="T102" s="25"/>
      <c r="U102" s="25"/>
      <c r="V102" s="25"/>
      <c r="W102" s="23"/>
      <c r="Y102" s="24"/>
      <c r="Z102" s="24"/>
    </row>
    <row r="103" spans="1:27" ht="16" customHeight="1" x14ac:dyDescent="0.15">
      <c r="A103" s="25" t="s">
        <v>244</v>
      </c>
      <c r="B103" s="25" t="s">
        <v>300</v>
      </c>
      <c r="C103" s="25" t="s">
        <v>246</v>
      </c>
      <c r="D103" s="26" t="s">
        <v>247</v>
      </c>
      <c r="E103" s="28"/>
      <c r="F103" s="25"/>
      <c r="G103" s="25"/>
      <c r="H103" s="28"/>
      <c r="I103" s="29" t="s">
        <v>40</v>
      </c>
      <c r="J103" s="29"/>
      <c r="K103" s="29"/>
      <c r="L103" s="29"/>
      <c r="M103" s="29" t="s">
        <v>296</v>
      </c>
      <c r="N103" s="29"/>
      <c r="O103" s="29"/>
      <c r="P103" s="29"/>
      <c r="Q103" s="25"/>
      <c r="R103" s="25"/>
      <c r="S103" s="25"/>
      <c r="T103" s="25"/>
      <c r="U103" s="25"/>
      <c r="V103" s="25"/>
      <c r="W103" s="23"/>
      <c r="Y103" s="24"/>
      <c r="Z103" s="24"/>
    </row>
    <row r="104" spans="1:27" x14ac:dyDescent="0.15">
      <c r="A104" s="25"/>
      <c r="B104" s="25"/>
      <c r="C104" s="26"/>
      <c r="D104" s="26"/>
      <c r="E104" s="27"/>
      <c r="F104" s="25"/>
      <c r="G104" s="25"/>
      <c r="H104" s="94"/>
      <c r="I104" s="29"/>
      <c r="J104" s="29"/>
      <c r="K104" s="29"/>
      <c r="L104" s="29"/>
      <c r="M104" s="95"/>
      <c r="N104" s="29"/>
      <c r="O104" s="29"/>
      <c r="P104" s="29"/>
      <c r="Q104" s="25"/>
      <c r="R104" s="25"/>
      <c r="S104" s="25"/>
      <c r="T104" s="25"/>
      <c r="U104" s="25"/>
      <c r="V104" s="25"/>
      <c r="W104" s="23"/>
      <c r="X104" s="5">
        <f>1</f>
        <v>1</v>
      </c>
      <c r="Y104" s="24" t="str">
        <f>IF(W104&lt;&gt;"",W104*X104,"")</f>
        <v/>
      </c>
      <c r="Z104" s="24" t="str">
        <f>IF(AND(W104&lt;&gt;"",U104="yes"),W104*X104,"")</f>
        <v/>
      </c>
    </row>
    <row r="105" spans="1:27" ht="32" customHeight="1" x14ac:dyDescent="0.15">
      <c r="A105" s="39" t="s">
        <v>248</v>
      </c>
      <c r="B105" s="39" t="s">
        <v>301</v>
      </c>
      <c r="C105" s="40" t="s">
        <v>302</v>
      </c>
      <c r="D105" s="40" t="s">
        <v>303</v>
      </c>
      <c r="E105" s="41"/>
      <c r="F105" s="39"/>
      <c r="G105" s="39"/>
      <c r="H105" s="42"/>
      <c r="I105" s="43" t="s">
        <v>40</v>
      </c>
      <c r="J105" s="43"/>
      <c r="K105" s="43"/>
      <c r="L105" s="43"/>
      <c r="M105" s="43" t="s">
        <v>296</v>
      </c>
      <c r="N105" s="43"/>
      <c r="O105" s="43"/>
      <c r="P105" s="43"/>
      <c r="U105" s="1" t="s">
        <v>42</v>
      </c>
      <c r="W105" s="23">
        <v>16.348396301269499</v>
      </c>
      <c r="X105" s="5">
        <f>1</f>
        <v>1</v>
      </c>
      <c r="Y105" s="24">
        <f>IF(W105&lt;&gt;"",W105*X105,"")</f>
        <v>16.348396301269499</v>
      </c>
      <c r="Z105" s="24">
        <f>IF(AND(W105&lt;&gt;"",U105="yes"),W105*X105,"")</f>
        <v>16.348396301269499</v>
      </c>
    </row>
    <row r="106" spans="1:27" x14ac:dyDescent="0.15">
      <c r="A106" s="25"/>
      <c r="B106" s="25"/>
      <c r="C106" s="26"/>
      <c r="D106" s="70"/>
      <c r="E106" s="27"/>
      <c r="F106" s="25"/>
      <c r="G106" s="25"/>
      <c r="H106" s="28"/>
      <c r="I106" s="29"/>
      <c r="J106" s="29"/>
      <c r="K106" s="29"/>
      <c r="L106" s="29"/>
      <c r="M106" s="29"/>
      <c r="N106" s="29"/>
      <c r="O106" s="29"/>
      <c r="P106" s="29"/>
      <c r="Q106" s="25"/>
      <c r="R106" s="25"/>
      <c r="S106" s="25"/>
      <c r="T106" s="25"/>
      <c r="U106" s="25"/>
      <c r="V106" s="25"/>
      <c r="W106" s="23"/>
      <c r="X106" s="5">
        <f>1</f>
        <v>1</v>
      </c>
      <c r="Y106" s="24" t="str">
        <f>IF(W106&lt;&gt;"",W106*X106,"")</f>
        <v/>
      </c>
      <c r="Z106" s="24" t="str">
        <f>IF(AND(W106&lt;&gt;"",U106="yes"),W106*X106,"")</f>
        <v/>
      </c>
    </row>
    <row r="107" spans="1:27" s="300" customFormat="1" ht="30" customHeight="1" x14ac:dyDescent="0.15">
      <c r="A107" s="297" t="s">
        <v>134</v>
      </c>
      <c r="B107" s="297" t="s">
        <v>304</v>
      </c>
      <c r="C107" s="298" t="s">
        <v>305</v>
      </c>
      <c r="D107" s="298" t="s">
        <v>306</v>
      </c>
      <c r="E107" s="299"/>
      <c r="F107" s="298" t="s">
        <v>307</v>
      </c>
      <c r="G107" s="298" t="s">
        <v>308</v>
      </c>
      <c r="I107" s="297" t="s">
        <v>40</v>
      </c>
      <c r="J107" s="298"/>
      <c r="K107" s="298"/>
      <c r="L107" s="298"/>
      <c r="M107" s="298"/>
      <c r="N107" s="301"/>
      <c r="O107" s="301"/>
      <c r="P107" s="301"/>
      <c r="W107" s="302"/>
      <c r="X107" s="303"/>
      <c r="Y107" s="304"/>
      <c r="Z107" s="304"/>
      <c r="AA107" s="305"/>
    </row>
    <row r="108" spans="1:27" s="300" customFormat="1" ht="105" customHeight="1" x14ac:dyDescent="0.15">
      <c r="A108" s="297" t="s">
        <v>309</v>
      </c>
      <c r="B108" s="297" t="s">
        <v>310</v>
      </c>
      <c r="C108" s="298" t="s">
        <v>311</v>
      </c>
      <c r="D108" s="298" t="s">
        <v>312</v>
      </c>
      <c r="E108" s="299"/>
      <c r="F108" s="298" t="s">
        <v>307</v>
      </c>
      <c r="G108" s="298" t="s">
        <v>308</v>
      </c>
      <c r="I108" s="306" t="s">
        <v>40</v>
      </c>
      <c r="J108" s="307"/>
      <c r="K108" s="308" t="s">
        <v>313</v>
      </c>
      <c r="L108" s="307"/>
      <c r="M108" s="307" t="s">
        <v>314</v>
      </c>
      <c r="N108" s="301"/>
      <c r="O108" s="301"/>
      <c r="P108" s="301"/>
      <c r="W108" s="302"/>
      <c r="X108" s="303"/>
      <c r="Y108" s="304"/>
      <c r="Z108" s="304"/>
      <c r="AA108" s="305"/>
    </row>
    <row r="109" spans="1:27" s="300" customFormat="1" ht="105" customHeight="1" x14ac:dyDescent="0.15">
      <c r="A109" s="297" t="s">
        <v>77</v>
      </c>
      <c r="B109" s="297" t="s">
        <v>315</v>
      </c>
      <c r="C109" s="298" t="s">
        <v>316</v>
      </c>
      <c r="D109" s="298" t="s">
        <v>317</v>
      </c>
      <c r="E109" s="299"/>
      <c r="F109" s="298" t="s">
        <v>307</v>
      </c>
      <c r="G109" s="298" t="s">
        <v>318</v>
      </c>
      <c r="I109" s="297" t="s">
        <v>40</v>
      </c>
      <c r="J109" s="298"/>
      <c r="K109" s="308" t="s">
        <v>313</v>
      </c>
      <c r="L109" s="307"/>
      <c r="M109" s="307" t="s">
        <v>314</v>
      </c>
      <c r="N109" s="301"/>
      <c r="O109" s="301"/>
      <c r="P109" s="301"/>
      <c r="W109" s="302"/>
      <c r="X109" s="303"/>
      <c r="Y109" s="304"/>
      <c r="Z109" s="304"/>
      <c r="AA109" s="305"/>
    </row>
    <row r="110" spans="1:27" s="300" customFormat="1" ht="105" customHeight="1" x14ac:dyDescent="0.15">
      <c r="A110" s="297" t="s">
        <v>77</v>
      </c>
      <c r="B110" s="297" t="s">
        <v>319</v>
      </c>
      <c r="C110" s="298" t="s">
        <v>320</v>
      </c>
      <c r="D110" s="298" t="s">
        <v>321</v>
      </c>
      <c r="E110" s="299"/>
      <c r="F110" s="298" t="s">
        <v>307</v>
      </c>
      <c r="G110" s="298" t="s">
        <v>322</v>
      </c>
      <c r="I110" s="297" t="s">
        <v>40</v>
      </c>
      <c r="J110" s="298"/>
      <c r="K110" s="308" t="s">
        <v>313</v>
      </c>
      <c r="L110" s="307"/>
      <c r="M110" s="307" t="s">
        <v>314</v>
      </c>
      <c r="N110" s="301"/>
      <c r="O110" s="301"/>
      <c r="P110" s="301"/>
      <c r="W110" s="302"/>
      <c r="X110" s="303"/>
      <c r="Y110" s="304"/>
      <c r="Z110" s="304"/>
      <c r="AA110" s="305"/>
    </row>
    <row r="111" spans="1:27" s="300" customFormat="1" ht="30" customHeight="1" x14ac:dyDescent="0.15">
      <c r="A111" s="297" t="s">
        <v>323</v>
      </c>
      <c r="B111" s="297" t="s">
        <v>324</v>
      </c>
      <c r="C111" s="298" t="s">
        <v>325</v>
      </c>
      <c r="D111" s="298" t="s">
        <v>326</v>
      </c>
      <c r="E111" s="299"/>
      <c r="F111" s="298" t="s">
        <v>307</v>
      </c>
      <c r="G111" s="298" t="s">
        <v>308</v>
      </c>
      <c r="I111" s="297" t="s">
        <v>40</v>
      </c>
      <c r="J111" s="298"/>
      <c r="K111" s="298"/>
      <c r="L111" s="298"/>
      <c r="M111" s="298"/>
      <c r="N111" s="301"/>
      <c r="O111" s="301"/>
      <c r="P111" s="301"/>
      <c r="W111" s="302"/>
      <c r="X111" s="303"/>
      <c r="Y111" s="304"/>
      <c r="Z111" s="304"/>
      <c r="AA111" s="305"/>
    </row>
    <row r="112" spans="1:27" ht="48" customHeight="1" x14ac:dyDescent="0.15">
      <c r="A112" s="39" t="s">
        <v>327</v>
      </c>
      <c r="B112" s="39" t="s">
        <v>328</v>
      </c>
      <c r="C112" s="40" t="s">
        <v>329</v>
      </c>
      <c r="D112" s="40" t="s">
        <v>330</v>
      </c>
      <c r="E112" s="41"/>
      <c r="F112" s="39" t="s">
        <v>331</v>
      </c>
      <c r="G112" s="39" t="s">
        <v>332</v>
      </c>
      <c r="H112" s="42"/>
      <c r="I112" s="43" t="s">
        <v>40</v>
      </c>
      <c r="J112" s="43"/>
      <c r="K112" s="43" t="s">
        <v>333</v>
      </c>
      <c r="L112" s="43"/>
      <c r="M112" s="43"/>
      <c r="N112" s="43"/>
      <c r="O112" s="43"/>
      <c r="P112" s="43"/>
      <c r="U112" s="1" t="s">
        <v>42</v>
      </c>
      <c r="W112" s="23">
        <v>46.247528076171903</v>
      </c>
      <c r="X112" s="5">
        <f>1</f>
        <v>1</v>
      </c>
      <c r="Y112" s="24">
        <f t="shared" ref="Y112:Y118" si="8">IF(W112&lt;&gt;"",W112*X112,"")</f>
        <v>46.247528076171903</v>
      </c>
      <c r="Z112" s="24">
        <f t="shared" ref="Z112:Z118" si="9">IF(AND(W112&lt;&gt;"",U112="yes"),W112*X112,"")</f>
        <v>46.247528076171903</v>
      </c>
    </row>
    <row r="113" spans="1:27" x14ac:dyDescent="0.15">
      <c r="E113" s="20"/>
      <c r="H113" s="21"/>
      <c r="W113" s="23"/>
      <c r="X113" s="5">
        <f>1</f>
        <v>1</v>
      </c>
      <c r="Y113" s="24" t="str">
        <f t="shared" si="8"/>
        <v/>
      </c>
      <c r="Z113" s="24" t="str">
        <f t="shared" si="9"/>
        <v/>
      </c>
    </row>
    <row r="114" spans="1:27" ht="48" customHeight="1" x14ac:dyDescent="0.15">
      <c r="A114" s="25" t="s">
        <v>66</v>
      </c>
      <c r="B114" s="25" t="s">
        <v>334</v>
      </c>
      <c r="C114" s="26" t="s">
        <v>335</v>
      </c>
      <c r="D114" s="26" t="s">
        <v>336</v>
      </c>
      <c r="E114" s="27"/>
      <c r="F114" s="25" t="s">
        <v>337</v>
      </c>
      <c r="G114" s="25" t="s">
        <v>338</v>
      </c>
      <c r="H114" s="28"/>
      <c r="I114" s="29" t="s">
        <v>51</v>
      </c>
      <c r="J114" s="29"/>
      <c r="L114" s="29"/>
      <c r="M114" s="29" t="s">
        <v>339</v>
      </c>
      <c r="N114" s="29"/>
      <c r="O114" s="29"/>
      <c r="P114" s="29"/>
      <c r="Q114" s="25"/>
      <c r="R114" s="25"/>
      <c r="S114" s="25"/>
      <c r="T114" s="25"/>
      <c r="U114" s="25" t="s">
        <v>52</v>
      </c>
      <c r="V114" s="25"/>
      <c r="W114" s="23">
        <v>26.118782043456999</v>
      </c>
      <c r="X114" s="5">
        <f>1</f>
        <v>1</v>
      </c>
      <c r="Y114" s="24">
        <f t="shared" si="8"/>
        <v>26.118782043456999</v>
      </c>
      <c r="Z114" s="24" t="str">
        <f t="shared" si="9"/>
        <v/>
      </c>
    </row>
    <row r="115" spans="1:27" x14ac:dyDescent="0.15">
      <c r="D115" s="26"/>
      <c r="E115" s="20"/>
      <c r="H115" s="21"/>
      <c r="M115" s="79"/>
      <c r="W115" s="23"/>
      <c r="X115" s="5">
        <f>1</f>
        <v>1</v>
      </c>
      <c r="Y115" s="24" t="str">
        <f t="shared" si="8"/>
        <v/>
      </c>
      <c r="Z115" s="24" t="str">
        <f t="shared" si="9"/>
        <v/>
      </c>
    </row>
    <row r="116" spans="1:27" ht="48" customHeight="1" x14ac:dyDescent="0.15">
      <c r="A116" s="25" t="s">
        <v>340</v>
      </c>
      <c r="B116" s="25" t="s">
        <v>341</v>
      </c>
      <c r="C116" s="26" t="s">
        <v>342</v>
      </c>
      <c r="D116" s="26" t="s">
        <v>343</v>
      </c>
      <c r="E116" s="27"/>
      <c r="F116" s="25" t="s">
        <v>344</v>
      </c>
      <c r="G116" s="25"/>
      <c r="H116" s="28"/>
      <c r="I116" s="29" t="s">
        <v>40</v>
      </c>
      <c r="J116" s="29"/>
      <c r="K116" s="29" t="s">
        <v>188</v>
      </c>
      <c r="L116" s="29"/>
      <c r="M116" s="29"/>
      <c r="N116" s="29"/>
      <c r="O116" s="29"/>
      <c r="P116" s="29"/>
      <c r="Q116" s="25"/>
      <c r="R116" s="25"/>
      <c r="S116" s="25"/>
      <c r="T116" s="25"/>
      <c r="U116" s="25" t="s">
        <v>52</v>
      </c>
      <c r="V116" s="25"/>
      <c r="W116" s="30">
        <v>56.471023559570298</v>
      </c>
      <c r="X116" s="31">
        <f>1</f>
        <v>1</v>
      </c>
      <c r="Y116" s="32">
        <f t="shared" si="8"/>
        <v>56.471023559570298</v>
      </c>
      <c r="Z116" s="32" t="str">
        <f t="shared" si="9"/>
        <v/>
      </c>
      <c r="AA116" s="25"/>
    </row>
    <row r="117" spans="1:27" ht="16" customHeight="1" x14ac:dyDescent="0.15">
      <c r="A117" s="25" t="s">
        <v>66</v>
      </c>
      <c r="B117" s="25" t="s">
        <v>345</v>
      </c>
      <c r="C117" s="26" t="s">
        <v>346</v>
      </c>
      <c r="D117" s="26" t="s">
        <v>347</v>
      </c>
      <c r="E117" s="27"/>
      <c r="F117" s="25" t="s">
        <v>348</v>
      </c>
      <c r="G117" s="25"/>
      <c r="H117" s="28"/>
      <c r="I117" s="29" t="s">
        <v>40</v>
      </c>
      <c r="J117" s="29"/>
      <c r="K117" s="29"/>
      <c r="L117" s="29"/>
      <c r="M117" s="29" t="s">
        <v>349</v>
      </c>
      <c r="N117" s="29"/>
      <c r="O117" s="29"/>
      <c r="P117" s="29"/>
      <c r="Q117" s="25"/>
      <c r="R117" s="25"/>
      <c r="S117" s="25"/>
      <c r="T117" s="25"/>
      <c r="U117" s="25" t="s">
        <v>52</v>
      </c>
      <c r="V117" s="25"/>
      <c r="W117" s="30"/>
      <c r="X117" s="31">
        <f>1</f>
        <v>1</v>
      </c>
      <c r="Y117" s="32" t="str">
        <f t="shared" si="8"/>
        <v/>
      </c>
      <c r="Z117" s="32" t="str">
        <f t="shared" si="9"/>
        <v/>
      </c>
      <c r="AA117" s="25"/>
    </row>
    <row r="118" spans="1:27" x14ac:dyDescent="0.15">
      <c r="A118" s="25"/>
      <c r="B118" s="25"/>
      <c r="C118" s="26"/>
      <c r="D118" s="26"/>
      <c r="E118" s="27"/>
      <c r="F118" s="25"/>
      <c r="G118" s="25"/>
      <c r="H118" s="28"/>
      <c r="I118" s="29"/>
      <c r="J118" s="29"/>
      <c r="L118" s="29"/>
      <c r="M118" s="29"/>
      <c r="N118" s="29"/>
      <c r="O118" s="29"/>
      <c r="P118" s="29"/>
      <c r="Q118" s="25"/>
      <c r="R118" s="25"/>
      <c r="S118" s="25"/>
      <c r="T118" s="25"/>
      <c r="U118" s="25"/>
      <c r="V118" s="25"/>
      <c r="W118" s="23"/>
      <c r="X118" s="5">
        <f>1</f>
        <v>1</v>
      </c>
      <c r="Y118" s="24" t="str">
        <f t="shared" si="8"/>
        <v/>
      </c>
      <c r="Z118" s="24" t="str">
        <f t="shared" si="9"/>
        <v/>
      </c>
    </row>
    <row r="119" spans="1:27" s="297" customFormat="1" ht="32" customHeight="1" x14ac:dyDescent="0.15">
      <c r="A119" s="297" t="s">
        <v>225</v>
      </c>
      <c r="B119" s="297" t="s">
        <v>350</v>
      </c>
      <c r="C119" s="298" t="s">
        <v>351</v>
      </c>
      <c r="D119" s="298" t="s">
        <v>352</v>
      </c>
      <c r="E119" s="298" t="s">
        <v>307</v>
      </c>
      <c r="F119" s="298" t="s">
        <v>308</v>
      </c>
      <c r="G119" s="297" t="s">
        <v>40</v>
      </c>
      <c r="H119" s="298"/>
      <c r="I119" s="298" t="s">
        <v>353</v>
      </c>
      <c r="J119" s="298"/>
      <c r="K119" s="298"/>
      <c r="L119" s="298"/>
      <c r="M119" s="298"/>
      <c r="N119" s="298"/>
      <c r="O119" s="298"/>
      <c r="S119" s="297" t="s">
        <v>52</v>
      </c>
      <c r="U119" s="302">
        <v>29.42983245849609</v>
      </c>
      <c r="V119" s="303">
        <f>1</f>
        <v>1</v>
      </c>
      <c r="W119" s="304">
        <f>IF(U119&lt;&gt;"",U119*V119,"")</f>
        <v>29.42983245849609</v>
      </c>
      <c r="X119" s="318" t="str">
        <f>IF(AND(U119&lt;&gt;"",S119="yes"),U119*V119,"")</f>
        <v/>
      </c>
      <c r="Y119" s="319"/>
      <c r="Z119" s="320"/>
    </row>
    <row r="120" spans="1:27" s="297" customFormat="1" ht="32" customHeight="1" x14ac:dyDescent="0.15">
      <c r="A120" s="297" t="s">
        <v>225</v>
      </c>
      <c r="B120" s="297" t="s">
        <v>354</v>
      </c>
      <c r="C120" s="298" t="s">
        <v>355</v>
      </c>
      <c r="D120" s="298" t="s">
        <v>356</v>
      </c>
      <c r="E120" s="298" t="s">
        <v>307</v>
      </c>
      <c r="F120" s="298" t="s">
        <v>308</v>
      </c>
      <c r="G120" s="297" t="s">
        <v>40</v>
      </c>
      <c r="H120" s="298"/>
      <c r="I120" s="298" t="s">
        <v>353</v>
      </c>
      <c r="J120" s="298"/>
      <c r="K120" s="298"/>
      <c r="L120" s="298"/>
      <c r="M120" s="298"/>
      <c r="N120" s="298"/>
      <c r="O120" s="298"/>
      <c r="S120" s="297" t="s">
        <v>52</v>
      </c>
      <c r="U120" s="302">
        <v>29.42983245849609</v>
      </c>
      <c r="V120" s="303">
        <f>1</f>
        <v>1</v>
      </c>
      <c r="W120" s="304">
        <f>IF(U120&lt;&gt;"",U120*V120,"")</f>
        <v>29.42983245849609</v>
      </c>
      <c r="X120" s="318" t="str">
        <f>IF(AND(U120&lt;&gt;"",S120="yes"),U120*V120,"")</f>
        <v/>
      </c>
      <c r="Y120" s="319"/>
      <c r="Z120" s="320"/>
    </row>
    <row r="121" spans="1:27" s="297" customFormat="1" ht="32" customHeight="1" x14ac:dyDescent="0.15">
      <c r="A121" s="297" t="s">
        <v>225</v>
      </c>
      <c r="B121" s="297" t="s">
        <v>357</v>
      </c>
      <c r="C121" s="298" t="s">
        <v>358</v>
      </c>
      <c r="D121" s="298" t="s">
        <v>359</v>
      </c>
      <c r="E121" s="298" t="s">
        <v>307</v>
      </c>
      <c r="F121" s="298" t="s">
        <v>308</v>
      </c>
      <c r="G121" s="297" t="s">
        <v>40</v>
      </c>
      <c r="H121" s="298"/>
      <c r="I121" s="298" t="s">
        <v>353</v>
      </c>
      <c r="J121" s="298"/>
      <c r="K121" s="298"/>
      <c r="L121" s="298"/>
      <c r="M121" s="298"/>
      <c r="N121" s="298"/>
      <c r="O121" s="298"/>
      <c r="S121" s="297" t="s">
        <v>52</v>
      </c>
      <c r="U121" s="302">
        <v>29.42983245849609</v>
      </c>
      <c r="V121" s="303">
        <f>1</f>
        <v>1</v>
      </c>
      <c r="W121" s="304">
        <f>IF(U121&lt;&gt;"",U121*V121,"")</f>
        <v>29.42983245849609</v>
      </c>
      <c r="X121" s="318" t="str">
        <f>IF(AND(U121&lt;&gt;"",S121="yes"),U121*V121,"")</f>
        <v/>
      </c>
      <c r="Y121" s="319"/>
      <c r="Z121" s="320"/>
    </row>
    <row r="122" spans="1:27" s="297" customFormat="1" ht="32" customHeight="1" x14ac:dyDescent="0.15">
      <c r="A122" s="297" t="s">
        <v>225</v>
      </c>
      <c r="B122" s="297" t="s">
        <v>360</v>
      </c>
      <c r="C122" s="298" t="s">
        <v>361</v>
      </c>
      <c r="D122" s="298" t="s">
        <v>362</v>
      </c>
      <c r="E122" s="298" t="s">
        <v>307</v>
      </c>
      <c r="F122" s="298" t="s">
        <v>308</v>
      </c>
      <c r="G122" s="297" t="s">
        <v>40</v>
      </c>
      <c r="H122" s="298"/>
      <c r="I122" s="298" t="s">
        <v>353</v>
      </c>
      <c r="J122" s="298"/>
      <c r="K122" s="298"/>
      <c r="L122" s="298"/>
      <c r="M122" s="298"/>
      <c r="N122" s="298"/>
      <c r="O122" s="298"/>
      <c r="S122" s="297" t="s">
        <v>52</v>
      </c>
      <c r="U122" s="302">
        <v>29.42983245849609</v>
      </c>
      <c r="V122" s="303">
        <f>1</f>
        <v>1</v>
      </c>
      <c r="W122" s="304">
        <f>IF(U122&lt;&gt;"",U122*V122,"")</f>
        <v>29.42983245849609</v>
      </c>
      <c r="X122" s="318" t="str">
        <f>IF(AND(U122&lt;&gt;"",S122="yes"),U122*V122,"")</f>
        <v/>
      </c>
      <c r="Y122" s="319"/>
      <c r="Z122" s="320"/>
    </row>
    <row r="123" spans="1:27" x14ac:dyDescent="0.15">
      <c r="A123" s="72" t="s">
        <v>140</v>
      </c>
      <c r="B123" s="72"/>
      <c r="C123" s="73"/>
      <c r="D123" s="73"/>
      <c r="E123" s="46"/>
      <c r="F123" s="72"/>
      <c r="G123" s="72"/>
      <c r="H123" s="47"/>
      <c r="I123" s="74"/>
      <c r="J123" s="74"/>
      <c r="K123" s="74"/>
      <c r="L123" s="74"/>
      <c r="M123" s="74"/>
      <c r="N123" s="74"/>
      <c r="O123" s="74"/>
      <c r="P123" s="74"/>
      <c r="W123" s="23"/>
      <c r="X123" s="6"/>
      <c r="Y123" s="24" t="str">
        <f t="shared" ref="Y123:Y137" si="10">IF(W123&lt;&gt;"",W123*X123,"")</f>
        <v/>
      </c>
      <c r="Z123" s="24" t="str">
        <f t="shared" ref="Z123:Z137" si="11">IF(AND(W123&lt;&gt;"",U123="yes"),W123*X123,"")</f>
        <v/>
      </c>
    </row>
    <row r="124" spans="1:27" ht="16" customHeight="1" x14ac:dyDescent="0.15">
      <c r="A124" s="49" t="s">
        <v>61</v>
      </c>
      <c r="B124" s="49" t="s">
        <v>363</v>
      </c>
      <c r="C124" s="50" t="s">
        <v>364</v>
      </c>
      <c r="D124" s="50" t="s">
        <v>365</v>
      </c>
      <c r="E124" s="51"/>
      <c r="F124" s="49"/>
      <c r="G124" s="49"/>
      <c r="H124" s="52"/>
      <c r="I124" s="53" t="s">
        <v>51</v>
      </c>
      <c r="J124" s="53"/>
      <c r="K124" s="53"/>
      <c r="L124" s="53"/>
      <c r="M124" s="53" t="s">
        <v>366</v>
      </c>
      <c r="N124" s="53"/>
      <c r="O124" s="53"/>
      <c r="P124" s="53"/>
      <c r="Q124" s="54"/>
      <c r="R124" s="54"/>
      <c r="S124" s="54"/>
      <c r="T124" s="54"/>
      <c r="U124" s="1" t="s">
        <v>42</v>
      </c>
      <c r="V124" s="54"/>
      <c r="W124" s="23"/>
      <c r="X124" s="55"/>
      <c r="Y124" s="24" t="str">
        <f t="shared" si="10"/>
        <v/>
      </c>
      <c r="Z124" s="24" t="str">
        <f t="shared" si="11"/>
        <v/>
      </c>
      <c r="AA124" s="55"/>
    </row>
    <row r="125" spans="1:27" ht="63.75" customHeight="1" x14ac:dyDescent="0.15">
      <c r="A125" s="19" t="s">
        <v>45</v>
      </c>
      <c r="B125" s="19" t="s">
        <v>367</v>
      </c>
      <c r="C125" s="66" t="s">
        <v>368</v>
      </c>
      <c r="D125" s="66" t="s">
        <v>2979</v>
      </c>
      <c r="E125" s="20"/>
      <c r="F125" s="19"/>
      <c r="G125" s="19"/>
      <c r="H125" s="20"/>
      <c r="I125" s="67"/>
      <c r="J125" s="67"/>
      <c r="K125" s="67"/>
      <c r="L125" s="67"/>
      <c r="M125" s="67"/>
      <c r="N125" s="67"/>
      <c r="O125" s="67"/>
      <c r="P125" s="67"/>
      <c r="Q125" s="2"/>
      <c r="R125" s="2"/>
      <c r="S125" s="2"/>
      <c r="T125" s="2"/>
      <c r="U125" s="2" t="s">
        <v>42</v>
      </c>
      <c r="V125" s="2"/>
      <c r="W125" s="68">
        <v>7.5</v>
      </c>
      <c r="X125" s="96" t="e">
        <v>#NAME?</v>
      </c>
      <c r="Y125" s="69" t="e">
        <f t="shared" si="10"/>
        <v>#NAME?</v>
      </c>
      <c r="Z125" s="69" t="e">
        <f t="shared" si="11"/>
        <v>#NAME?</v>
      </c>
      <c r="AA125" s="70"/>
    </row>
    <row r="126" spans="1:27" x14ac:dyDescent="0.15">
      <c r="E126" s="20"/>
      <c r="H126" s="21"/>
      <c r="W126" s="23"/>
      <c r="X126" s="5" t="e">
        <v>#NAME?</v>
      </c>
      <c r="Y126" s="24" t="str">
        <f t="shared" si="10"/>
        <v/>
      </c>
      <c r="Z126" s="24" t="str">
        <f t="shared" si="11"/>
        <v/>
      </c>
    </row>
    <row r="127" spans="1:27" s="1" customFormat="1" ht="30" customHeight="1" x14ac:dyDescent="0.15">
      <c r="A127" s="297" t="s">
        <v>369</v>
      </c>
      <c r="B127" s="297" t="s">
        <v>370</v>
      </c>
      <c r="C127" s="298" t="s">
        <v>371</v>
      </c>
      <c r="D127" s="298" t="s">
        <v>372</v>
      </c>
      <c r="E127" s="309"/>
      <c r="F127" s="310" t="s">
        <v>307</v>
      </c>
      <c r="G127" s="310" t="s">
        <v>308</v>
      </c>
      <c r="H127" s="311"/>
      <c r="I127" s="3" t="b">
        <v>1</v>
      </c>
      <c r="J127" s="3"/>
      <c r="K127" s="3"/>
      <c r="L127" s="3"/>
      <c r="M127" s="3"/>
      <c r="N127" s="3"/>
      <c r="O127" s="3"/>
      <c r="P127" s="3"/>
      <c r="W127" s="312"/>
      <c r="X127" s="313">
        <f>'[1]Additional information'!$D$18</f>
        <v>0.52</v>
      </c>
      <c r="Y127" s="314" t="str">
        <f t="shared" si="10"/>
        <v/>
      </c>
      <c r="Z127" s="314" t="str">
        <f t="shared" si="11"/>
        <v/>
      </c>
      <c r="AA127" s="315"/>
    </row>
    <row r="128" spans="1:27" ht="16" customHeight="1" x14ac:dyDescent="0.15">
      <c r="A128" s="39" t="s">
        <v>225</v>
      </c>
      <c r="B128" s="39" t="s">
        <v>373</v>
      </c>
      <c r="C128" s="40" t="s">
        <v>374</v>
      </c>
      <c r="D128" s="19" t="s">
        <v>375</v>
      </c>
      <c r="E128" s="41"/>
      <c r="F128" s="39" t="s">
        <v>376</v>
      </c>
      <c r="G128" s="39" t="s">
        <v>377</v>
      </c>
      <c r="H128" s="42"/>
      <c r="I128" s="43" t="s">
        <v>40</v>
      </c>
      <c r="J128" s="43"/>
      <c r="K128" s="43" t="s">
        <v>353</v>
      </c>
      <c r="L128" s="43"/>
      <c r="M128" s="43"/>
      <c r="N128" s="43"/>
      <c r="O128" s="43"/>
      <c r="P128" s="43"/>
      <c r="Q128" s="6"/>
      <c r="R128" s="6"/>
      <c r="S128" s="6"/>
      <c r="T128" s="6"/>
      <c r="U128" s="6" t="s">
        <v>42</v>
      </c>
      <c r="V128" s="6"/>
      <c r="W128" s="23">
        <v>17</v>
      </c>
      <c r="X128" s="5" t="e">
        <v>#NAME?</v>
      </c>
      <c r="Y128" s="24" t="e">
        <f t="shared" si="10"/>
        <v>#NAME?</v>
      </c>
      <c r="Z128" s="24" t="e">
        <f t="shared" si="11"/>
        <v>#NAME?</v>
      </c>
    </row>
    <row r="129" spans="1:27" ht="16" customHeight="1" x14ac:dyDescent="0.15">
      <c r="A129" s="39" t="s">
        <v>378</v>
      </c>
      <c r="B129" s="39" t="s">
        <v>379</v>
      </c>
      <c r="C129" s="40" t="s">
        <v>380</v>
      </c>
      <c r="D129" s="19" t="s">
        <v>381</v>
      </c>
      <c r="E129" s="41"/>
      <c r="F129" s="39" t="s">
        <v>382</v>
      </c>
      <c r="G129" s="97" t="s">
        <v>383</v>
      </c>
      <c r="H129" s="42"/>
      <c r="I129" s="43" t="s">
        <v>40</v>
      </c>
      <c r="J129" s="43"/>
      <c r="K129" s="43"/>
      <c r="L129" s="43"/>
      <c r="M129" s="43" t="s">
        <v>384</v>
      </c>
      <c r="N129" s="43"/>
      <c r="O129" s="43"/>
      <c r="P129" s="43"/>
      <c r="Q129" s="6"/>
      <c r="R129" s="6"/>
      <c r="S129" s="6"/>
      <c r="T129" s="6"/>
      <c r="U129" s="6" t="s">
        <v>42</v>
      </c>
      <c r="V129" s="6"/>
      <c r="W129" s="23">
        <v>0</v>
      </c>
      <c r="X129" s="5" t="e">
        <v>#NAME?</v>
      </c>
      <c r="Y129" s="24" t="e">
        <f t="shared" si="10"/>
        <v>#NAME?</v>
      </c>
      <c r="Z129" s="24" t="e">
        <f t="shared" si="11"/>
        <v>#NAME?</v>
      </c>
    </row>
    <row r="130" spans="1:27" x14ac:dyDescent="0.15">
      <c r="A130" s="54"/>
      <c r="B130" s="54"/>
      <c r="C130" s="98"/>
      <c r="E130" s="51"/>
      <c r="F130" s="54"/>
      <c r="G130" s="54"/>
      <c r="H130" s="52"/>
      <c r="I130" s="99"/>
      <c r="J130" s="99"/>
      <c r="K130" s="99"/>
      <c r="L130" s="99"/>
      <c r="M130" s="99"/>
      <c r="N130" s="99"/>
      <c r="O130" s="99"/>
      <c r="P130" s="99"/>
      <c r="Q130" s="54"/>
      <c r="R130" s="54"/>
      <c r="S130" s="54"/>
      <c r="T130" s="54"/>
      <c r="V130" s="54"/>
      <c r="W130" s="23"/>
      <c r="X130" s="5" t="e">
        <v>#NAME?</v>
      </c>
      <c r="Y130" s="24" t="str">
        <f t="shared" si="10"/>
        <v/>
      </c>
      <c r="Z130" s="24" t="str">
        <f t="shared" si="11"/>
        <v/>
      </c>
      <c r="AA130" s="55"/>
    </row>
    <row r="131" spans="1:27" ht="32" customHeight="1" x14ac:dyDescent="0.15">
      <c r="A131" s="18" t="s">
        <v>385</v>
      </c>
      <c r="B131" s="18" t="s">
        <v>386</v>
      </c>
      <c r="C131" s="66" t="s">
        <v>387</v>
      </c>
      <c r="D131" s="66" t="s">
        <v>2980</v>
      </c>
      <c r="E131" s="20"/>
      <c r="F131" s="18" t="s">
        <v>388</v>
      </c>
      <c r="G131" s="18" t="s">
        <v>389</v>
      </c>
      <c r="H131" s="21"/>
      <c r="I131" s="22" t="s">
        <v>40</v>
      </c>
      <c r="J131" s="22" t="s">
        <v>119</v>
      </c>
      <c r="K131" s="22"/>
      <c r="L131" s="22"/>
      <c r="M131" s="22"/>
      <c r="N131" s="22"/>
      <c r="O131" s="22"/>
      <c r="P131" s="22"/>
      <c r="U131" s="1" t="s">
        <v>42</v>
      </c>
      <c r="W131" s="23">
        <v>27.057552337646499</v>
      </c>
      <c r="X131" s="5" t="e">
        <v>#NAME?</v>
      </c>
      <c r="Y131" s="24" t="e">
        <f t="shared" si="10"/>
        <v>#NAME?</v>
      </c>
      <c r="Z131" s="24" t="e">
        <f t="shared" si="11"/>
        <v>#NAME?</v>
      </c>
    </row>
    <row r="132" spans="1:27" x14ac:dyDescent="0.15">
      <c r="A132" s="18" t="s">
        <v>26</v>
      </c>
      <c r="B132" s="18" t="s">
        <v>390</v>
      </c>
      <c r="C132" s="19"/>
      <c r="D132" s="19"/>
      <c r="E132" s="20"/>
      <c r="H132" s="21"/>
      <c r="I132" s="22"/>
      <c r="J132" s="22"/>
      <c r="K132" s="22"/>
      <c r="L132" s="22"/>
      <c r="M132" s="22"/>
      <c r="N132" s="22"/>
      <c r="O132" s="22"/>
      <c r="P132" s="22" t="s">
        <v>391</v>
      </c>
      <c r="U132" s="1" t="s">
        <v>42</v>
      </c>
      <c r="W132" s="23"/>
      <c r="X132" s="5" t="e">
        <v>#NAME?</v>
      </c>
      <c r="Y132" s="24" t="str">
        <f t="shared" si="10"/>
        <v/>
      </c>
      <c r="Z132" s="24" t="str">
        <f t="shared" si="11"/>
        <v/>
      </c>
    </row>
    <row r="133" spans="1:27" ht="16" customHeight="1" x14ac:dyDescent="0.15">
      <c r="A133" s="18" t="s">
        <v>392</v>
      </c>
      <c r="B133" s="18" t="s">
        <v>393</v>
      </c>
      <c r="C133" s="66" t="s">
        <v>394</v>
      </c>
      <c r="D133" s="66" t="s">
        <v>2981</v>
      </c>
      <c r="E133" s="20"/>
      <c r="H133" s="21"/>
      <c r="I133" s="22" t="s">
        <v>40</v>
      </c>
      <c r="J133" s="22"/>
      <c r="K133" s="22"/>
      <c r="L133" s="22"/>
      <c r="M133" s="22" t="s">
        <v>395</v>
      </c>
      <c r="N133" s="22"/>
      <c r="O133" s="22"/>
      <c r="P133" s="22"/>
      <c r="U133" s="1" t="s">
        <v>42</v>
      </c>
      <c r="W133" s="23">
        <v>0</v>
      </c>
      <c r="X133" s="5" t="e">
        <v>#NAME?</v>
      </c>
      <c r="Y133" s="24" t="e">
        <f t="shared" si="10"/>
        <v>#NAME?</v>
      </c>
      <c r="Z133" s="24" t="e">
        <f t="shared" si="11"/>
        <v>#NAME?</v>
      </c>
    </row>
    <row r="134" spans="1:27" x14ac:dyDescent="0.15">
      <c r="A134" s="6"/>
      <c r="B134" s="6"/>
      <c r="C134" s="70"/>
      <c r="E134" s="41"/>
      <c r="F134" s="6"/>
      <c r="G134" s="6"/>
      <c r="H134" s="42"/>
      <c r="I134" s="79"/>
      <c r="J134" s="79"/>
      <c r="K134" s="79"/>
      <c r="L134" s="79"/>
      <c r="M134" s="79"/>
      <c r="N134" s="79"/>
      <c r="O134" s="79"/>
      <c r="P134" s="79"/>
      <c r="Q134" s="6"/>
      <c r="R134" s="6"/>
      <c r="S134" s="6"/>
      <c r="T134" s="6"/>
      <c r="U134" s="6"/>
      <c r="V134" s="6"/>
      <c r="W134" s="23"/>
      <c r="X134" s="5" t="e">
        <v>#NAME?</v>
      </c>
      <c r="Y134" s="24" t="str">
        <f t="shared" si="10"/>
        <v/>
      </c>
      <c r="Z134" s="24" t="str">
        <f t="shared" si="11"/>
        <v/>
      </c>
    </row>
    <row r="135" spans="1:27" ht="31.5" customHeight="1" x14ac:dyDescent="0.15">
      <c r="A135" s="18" t="s">
        <v>396</v>
      </c>
      <c r="B135" s="18" t="s">
        <v>397</v>
      </c>
      <c r="C135" s="18" t="s">
        <v>398</v>
      </c>
      <c r="D135" s="40" t="s">
        <v>399</v>
      </c>
      <c r="E135" s="21"/>
      <c r="H135" s="21"/>
      <c r="I135" s="22" t="s">
        <v>40</v>
      </c>
      <c r="J135" s="22"/>
      <c r="K135" s="22"/>
      <c r="L135" s="22"/>
      <c r="M135" s="22" t="s">
        <v>400</v>
      </c>
      <c r="N135" s="22"/>
      <c r="O135" s="22"/>
      <c r="P135" s="22"/>
      <c r="U135" s="1" t="s">
        <v>42</v>
      </c>
      <c r="W135" s="23">
        <v>15.9542951583862</v>
      </c>
      <c r="X135" s="5" t="e">
        <v>#NAME?</v>
      </c>
      <c r="Y135" s="24" t="e">
        <f t="shared" si="10"/>
        <v>#NAME?</v>
      </c>
      <c r="Z135" s="24" t="e">
        <f t="shared" si="11"/>
        <v>#NAME?</v>
      </c>
    </row>
    <row r="136" spans="1:27" ht="15.75" customHeight="1" x14ac:dyDescent="0.15">
      <c r="A136" s="18" t="s">
        <v>66</v>
      </c>
      <c r="B136" s="18" t="s">
        <v>401</v>
      </c>
      <c r="C136" s="40" t="s">
        <v>346</v>
      </c>
      <c r="D136" s="40" t="s">
        <v>402</v>
      </c>
      <c r="E136" s="41"/>
      <c r="F136" s="6" t="s">
        <v>348</v>
      </c>
      <c r="G136" s="6"/>
      <c r="H136" s="21"/>
      <c r="I136" s="22" t="s">
        <v>40</v>
      </c>
      <c r="J136" s="22"/>
      <c r="K136" s="22"/>
      <c r="L136" s="22"/>
      <c r="M136" s="22" t="s">
        <v>403</v>
      </c>
      <c r="N136" s="22"/>
      <c r="O136" s="22"/>
      <c r="P136" s="22"/>
      <c r="U136" s="1" t="s">
        <v>42</v>
      </c>
      <c r="W136" s="23"/>
      <c r="X136" s="5" t="e">
        <v>#NAME?</v>
      </c>
      <c r="Y136" s="24" t="str">
        <f t="shared" si="10"/>
        <v/>
      </c>
      <c r="Z136" s="24" t="str">
        <f t="shared" si="11"/>
        <v/>
      </c>
    </row>
    <row r="137" spans="1:27" ht="15.75" customHeight="1" x14ac:dyDescent="0.15">
      <c r="A137" s="25"/>
      <c r="B137" s="25"/>
      <c r="C137" s="26"/>
      <c r="D137" s="26"/>
      <c r="E137" s="27"/>
      <c r="F137" s="25"/>
      <c r="G137" s="25"/>
      <c r="H137" s="28"/>
      <c r="I137" s="29"/>
      <c r="J137" s="29"/>
      <c r="K137" s="29"/>
      <c r="L137" s="29"/>
      <c r="M137" s="29"/>
      <c r="N137" s="29"/>
      <c r="O137" s="29"/>
      <c r="P137" s="29"/>
      <c r="Q137" s="25"/>
      <c r="R137" s="25"/>
      <c r="S137" s="25"/>
      <c r="T137" s="25"/>
      <c r="U137" s="25"/>
      <c r="V137" s="25"/>
      <c r="W137" s="23"/>
      <c r="X137" s="5" t="e">
        <v>#NAME?</v>
      </c>
      <c r="Y137" s="24" t="str">
        <f t="shared" si="10"/>
        <v/>
      </c>
      <c r="Z137" s="24" t="str">
        <f t="shared" si="11"/>
        <v/>
      </c>
    </row>
    <row r="138" spans="1:27" ht="15.75" customHeight="1" x14ac:dyDescent="0.15">
      <c r="A138" s="25" t="s">
        <v>404</v>
      </c>
      <c r="B138" s="25" t="s">
        <v>405</v>
      </c>
      <c r="C138" s="26" t="s">
        <v>406</v>
      </c>
      <c r="D138" s="26" t="s">
        <v>407</v>
      </c>
      <c r="E138" s="27"/>
      <c r="F138" s="25"/>
      <c r="G138" s="25"/>
      <c r="H138" s="28"/>
      <c r="I138" s="29"/>
      <c r="J138" s="29"/>
      <c r="K138" s="29"/>
      <c r="L138" s="29"/>
      <c r="M138" s="29" t="s">
        <v>408</v>
      </c>
      <c r="N138" s="29"/>
      <c r="O138" s="29"/>
      <c r="P138" s="29"/>
      <c r="Q138" s="25"/>
      <c r="R138" s="25"/>
      <c r="S138" s="25"/>
      <c r="T138" s="25"/>
      <c r="U138" s="25"/>
      <c r="V138" s="25"/>
      <c r="W138" s="23"/>
      <c r="Y138" s="24"/>
      <c r="Z138" s="24"/>
    </row>
    <row r="139" spans="1:27" ht="15.75" customHeight="1" x14ac:dyDescent="0.15">
      <c r="A139" s="25" t="s">
        <v>134</v>
      </c>
      <c r="B139" s="25" t="s">
        <v>409</v>
      </c>
      <c r="C139" s="26" t="s">
        <v>410</v>
      </c>
      <c r="D139" s="26" t="s">
        <v>411</v>
      </c>
      <c r="E139" s="27"/>
      <c r="F139" s="25"/>
      <c r="G139" s="25"/>
      <c r="H139" s="28"/>
      <c r="I139" s="29"/>
      <c r="J139" s="29"/>
      <c r="K139" s="29"/>
      <c r="L139" s="29"/>
      <c r="M139" s="29" t="s">
        <v>408</v>
      </c>
      <c r="N139" s="29"/>
      <c r="O139" s="29"/>
      <c r="P139" s="29"/>
      <c r="Q139" s="25"/>
      <c r="R139" s="25"/>
      <c r="S139" s="25"/>
      <c r="T139" s="25"/>
      <c r="U139" s="25"/>
      <c r="V139" s="25"/>
      <c r="W139" s="23"/>
      <c r="Y139" s="24"/>
      <c r="Z139" s="24"/>
    </row>
    <row r="140" spans="1:27" ht="16" customHeight="1" x14ac:dyDescent="0.15">
      <c r="A140" s="25" t="s">
        <v>412</v>
      </c>
      <c r="B140" s="25" t="s">
        <v>413</v>
      </c>
      <c r="C140" s="26" t="s">
        <v>414</v>
      </c>
      <c r="D140" s="26" t="s">
        <v>415</v>
      </c>
      <c r="E140" s="27"/>
      <c r="F140" s="25" t="s">
        <v>344</v>
      </c>
      <c r="G140" s="25" t="s">
        <v>416</v>
      </c>
      <c r="H140" s="28"/>
      <c r="I140" s="29" t="s">
        <v>40</v>
      </c>
      <c r="J140" s="29"/>
      <c r="K140" s="29" t="s">
        <v>417</v>
      </c>
      <c r="L140" s="29"/>
      <c r="M140" s="29" t="s">
        <v>400</v>
      </c>
      <c r="N140" s="29"/>
      <c r="O140" s="29"/>
      <c r="P140" s="29"/>
      <c r="Q140" s="25"/>
      <c r="R140" s="25"/>
      <c r="S140" s="25"/>
      <c r="T140" s="25"/>
      <c r="U140" s="25" t="s">
        <v>52</v>
      </c>
      <c r="V140" s="25"/>
      <c r="W140" s="23">
        <v>17.928909301757798</v>
      </c>
      <c r="X140" s="5" t="e">
        <v>#NAME?</v>
      </c>
      <c r="Y140" s="24" t="e">
        <f t="shared" ref="Y140:Y156" si="12">IF(W140&lt;&gt;"",W140*X140,"")</f>
        <v>#NAME?</v>
      </c>
      <c r="Z140" s="24" t="str">
        <f t="shared" ref="Z140:Z156" si="13">IF(AND(W140&lt;&gt;"",U140="yes"),W140*X140,"")</f>
        <v/>
      </c>
    </row>
    <row r="141" spans="1:27" x14ac:dyDescent="0.15">
      <c r="A141" s="25"/>
      <c r="B141" s="25"/>
      <c r="C141" s="26"/>
      <c r="D141" s="100"/>
      <c r="E141" s="27"/>
      <c r="F141" s="25"/>
      <c r="H141" s="28"/>
      <c r="I141" s="29"/>
      <c r="J141" s="29"/>
      <c r="K141" s="29"/>
      <c r="L141" s="29"/>
      <c r="M141" s="29"/>
      <c r="N141" s="29"/>
      <c r="O141" s="29"/>
      <c r="P141" s="29"/>
      <c r="Q141" s="25"/>
      <c r="R141" s="25"/>
      <c r="S141" s="25"/>
      <c r="T141" s="25"/>
      <c r="U141" s="25"/>
      <c r="V141" s="25"/>
      <c r="W141" s="23"/>
      <c r="X141" s="5" t="e">
        <v>#NAME?</v>
      </c>
      <c r="Y141" s="24" t="str">
        <f t="shared" si="12"/>
        <v/>
      </c>
      <c r="Z141" s="24" t="str">
        <f t="shared" si="13"/>
        <v/>
      </c>
    </row>
    <row r="142" spans="1:27" ht="32" customHeight="1" x14ac:dyDescent="0.15">
      <c r="A142" s="18" t="s">
        <v>248</v>
      </c>
      <c r="B142" s="18" t="s">
        <v>418</v>
      </c>
      <c r="C142" s="66" t="s">
        <v>419</v>
      </c>
      <c r="D142" s="66" t="s">
        <v>2982</v>
      </c>
      <c r="E142" s="20"/>
      <c r="F142" s="18"/>
      <c r="H142" s="21"/>
      <c r="I142" s="22" t="s">
        <v>40</v>
      </c>
      <c r="J142" s="22"/>
      <c r="K142" s="22"/>
      <c r="L142" s="22"/>
      <c r="M142" s="43" t="s">
        <v>400</v>
      </c>
      <c r="N142" s="22"/>
      <c r="O142" s="22"/>
      <c r="P142" s="22"/>
      <c r="U142" s="1" t="s">
        <v>42</v>
      </c>
      <c r="W142" s="23">
        <v>25.436874389648398</v>
      </c>
      <c r="X142" s="5" t="e">
        <v>#NAME?</v>
      </c>
      <c r="Y142" s="24" t="e">
        <f t="shared" si="12"/>
        <v>#NAME?</v>
      </c>
      <c r="Z142" s="24" t="e">
        <f t="shared" si="13"/>
        <v>#NAME?</v>
      </c>
    </row>
    <row r="143" spans="1:27" x14ac:dyDescent="0.15">
      <c r="E143" s="20"/>
      <c r="H143" s="21"/>
      <c r="M143" s="79"/>
      <c r="W143" s="23"/>
      <c r="X143" s="5" t="e">
        <v>#NAME?</v>
      </c>
      <c r="Y143" s="24" t="str">
        <f t="shared" si="12"/>
        <v/>
      </c>
      <c r="Z143" s="24" t="str">
        <f t="shared" si="13"/>
        <v/>
      </c>
    </row>
    <row r="144" spans="1:27" ht="32" customHeight="1" x14ac:dyDescent="0.15">
      <c r="A144" s="18" t="s">
        <v>248</v>
      </c>
      <c r="B144" s="18" t="s">
        <v>420</v>
      </c>
      <c r="C144" s="66" t="s">
        <v>421</v>
      </c>
      <c r="D144" s="66" t="s">
        <v>2983</v>
      </c>
      <c r="E144" s="20"/>
      <c r="G144" s="25"/>
      <c r="H144" s="21"/>
      <c r="I144" s="22" t="s">
        <v>40</v>
      </c>
      <c r="J144" s="22"/>
      <c r="K144" s="22"/>
      <c r="L144" s="22"/>
      <c r="M144" s="43" t="s">
        <v>400</v>
      </c>
      <c r="N144" s="22"/>
      <c r="O144" s="22"/>
      <c r="P144" s="22"/>
      <c r="U144" s="1" t="s">
        <v>42</v>
      </c>
      <c r="W144" s="23">
        <v>19.364946365356399</v>
      </c>
      <c r="X144" s="5" t="e">
        <v>#NAME?</v>
      </c>
      <c r="Y144" s="24" t="e">
        <f t="shared" si="12"/>
        <v>#NAME?</v>
      </c>
      <c r="Z144" s="24" t="e">
        <f t="shared" si="13"/>
        <v>#NAME?</v>
      </c>
    </row>
    <row r="145" spans="1:27" ht="16" customHeight="1" x14ac:dyDescent="0.15">
      <c r="A145" s="25" t="s">
        <v>225</v>
      </c>
      <c r="B145" s="25" t="s">
        <v>422</v>
      </c>
      <c r="C145" s="26" t="s">
        <v>423</v>
      </c>
      <c r="D145" s="26" t="s">
        <v>2984</v>
      </c>
      <c r="E145" s="27"/>
      <c r="F145" s="25" t="s">
        <v>424</v>
      </c>
      <c r="G145" s="25" t="s">
        <v>425</v>
      </c>
      <c r="H145" s="28"/>
      <c r="I145" s="29" t="s">
        <v>40</v>
      </c>
      <c r="J145" s="79"/>
      <c r="K145" s="95" t="s">
        <v>353</v>
      </c>
      <c r="L145" s="29"/>
      <c r="M145" s="29" t="s">
        <v>400</v>
      </c>
      <c r="N145" s="29"/>
      <c r="O145" s="29"/>
      <c r="P145" s="29"/>
      <c r="Q145" s="25"/>
      <c r="R145" s="25"/>
      <c r="S145" s="25"/>
      <c r="T145" s="25"/>
      <c r="U145" s="25" t="s">
        <v>52</v>
      </c>
      <c r="V145" s="25"/>
      <c r="W145" s="23">
        <v>17</v>
      </c>
      <c r="X145" s="5" t="e">
        <v>#NAME?</v>
      </c>
      <c r="Y145" s="24" t="e">
        <f t="shared" si="12"/>
        <v>#NAME?</v>
      </c>
      <c r="Z145" s="24" t="str">
        <f t="shared" si="13"/>
        <v/>
      </c>
    </row>
    <row r="146" spans="1:27" ht="16" customHeight="1" x14ac:dyDescent="0.15">
      <c r="A146" s="25" t="s">
        <v>426</v>
      </c>
      <c r="B146" s="25" t="s">
        <v>427</v>
      </c>
      <c r="C146" s="26" t="s">
        <v>428</v>
      </c>
      <c r="D146" s="26" t="s">
        <v>429</v>
      </c>
      <c r="E146" s="27"/>
      <c r="F146" s="25"/>
      <c r="G146" s="25"/>
      <c r="H146" s="28"/>
      <c r="I146" s="29" t="s">
        <v>40</v>
      </c>
      <c r="J146" s="79"/>
      <c r="K146" s="29"/>
      <c r="L146" s="29"/>
      <c r="M146" s="29" t="s">
        <v>430</v>
      </c>
      <c r="N146" s="29"/>
      <c r="O146" s="29"/>
      <c r="P146" s="29"/>
      <c r="Q146" s="25"/>
      <c r="R146" s="25"/>
      <c r="S146" s="25"/>
      <c r="T146" s="25"/>
      <c r="U146" s="25" t="s">
        <v>52</v>
      </c>
      <c r="V146" s="25"/>
      <c r="W146" s="23">
        <v>17</v>
      </c>
      <c r="X146" s="5" t="e">
        <v>#NAME?</v>
      </c>
      <c r="Y146" s="24" t="e">
        <f t="shared" si="12"/>
        <v>#NAME?</v>
      </c>
      <c r="Z146" s="24" t="str">
        <f t="shared" si="13"/>
        <v/>
      </c>
    </row>
    <row r="147" spans="1:27" x14ac:dyDescent="0.15">
      <c r="A147" s="25" t="s">
        <v>26</v>
      </c>
      <c r="B147" s="25" t="s">
        <v>431</v>
      </c>
      <c r="C147" s="26"/>
      <c r="D147" s="26"/>
      <c r="E147" s="27"/>
      <c r="F147" s="25"/>
      <c r="G147" s="25"/>
      <c r="H147" s="28"/>
      <c r="I147" s="29"/>
      <c r="J147" s="29"/>
      <c r="K147" s="29"/>
      <c r="L147" s="29"/>
      <c r="M147" s="29"/>
      <c r="N147" s="29"/>
      <c r="O147" s="29"/>
      <c r="P147" s="29" t="s">
        <v>432</v>
      </c>
      <c r="Q147" s="25"/>
      <c r="R147" s="25"/>
      <c r="S147" s="25"/>
      <c r="T147" s="25"/>
      <c r="U147" s="25" t="s">
        <v>52</v>
      </c>
      <c r="V147" s="25"/>
      <c r="W147" s="23"/>
      <c r="X147" s="5" t="e">
        <v>#NAME?</v>
      </c>
      <c r="Y147" s="24" t="str">
        <f t="shared" si="12"/>
        <v/>
      </c>
      <c r="Z147" s="24" t="str">
        <f t="shared" si="13"/>
        <v/>
      </c>
    </row>
    <row r="148" spans="1:27" ht="16" customHeight="1" x14ac:dyDescent="0.15">
      <c r="A148" s="25" t="s">
        <v>225</v>
      </c>
      <c r="B148" s="25" t="s">
        <v>433</v>
      </c>
      <c r="C148" s="26" t="s">
        <v>434</v>
      </c>
      <c r="D148" s="26" t="s">
        <v>435</v>
      </c>
      <c r="E148" s="27"/>
      <c r="F148" s="25" t="s">
        <v>436</v>
      </c>
      <c r="G148" s="25" t="s">
        <v>437</v>
      </c>
      <c r="H148" s="28"/>
      <c r="I148" s="29" t="s">
        <v>40</v>
      </c>
      <c r="J148" s="79"/>
      <c r="K148" s="29"/>
      <c r="L148" s="29"/>
      <c r="M148" s="29" t="s">
        <v>438</v>
      </c>
      <c r="N148" s="29"/>
      <c r="O148" s="29"/>
      <c r="P148" s="29"/>
      <c r="Q148" s="25"/>
      <c r="R148" s="25"/>
      <c r="S148" s="25"/>
      <c r="T148" s="25"/>
      <c r="U148" s="25" t="s">
        <v>52</v>
      </c>
      <c r="V148" s="25"/>
      <c r="W148" s="23">
        <v>17</v>
      </c>
      <c r="X148" s="5" t="e">
        <v>#NAME?</v>
      </c>
      <c r="Y148" s="24" t="e">
        <f t="shared" si="12"/>
        <v>#NAME?</v>
      </c>
      <c r="Z148" s="24" t="str">
        <f t="shared" si="13"/>
        <v/>
      </c>
    </row>
    <row r="149" spans="1:27" ht="32" customHeight="1" x14ac:dyDescent="0.15">
      <c r="A149" s="25" t="s">
        <v>77</v>
      </c>
      <c r="B149" s="25" t="s">
        <v>439</v>
      </c>
      <c r="C149" s="26" t="s">
        <v>440</v>
      </c>
      <c r="D149" s="26" t="s">
        <v>2985</v>
      </c>
      <c r="E149" s="27"/>
      <c r="F149" s="25" t="s">
        <v>436</v>
      </c>
      <c r="G149" s="25" t="s">
        <v>437</v>
      </c>
      <c r="H149" s="28"/>
      <c r="I149" s="29" t="s">
        <v>40</v>
      </c>
      <c r="J149" s="79"/>
      <c r="K149" s="95" t="s">
        <v>353</v>
      </c>
      <c r="L149" s="29"/>
      <c r="M149" s="29" t="s">
        <v>441</v>
      </c>
      <c r="N149" s="29"/>
      <c r="O149" s="29"/>
      <c r="P149" s="29"/>
      <c r="Q149" s="25"/>
      <c r="R149" s="25"/>
      <c r="S149" s="25"/>
      <c r="T149" s="25"/>
      <c r="U149" s="25" t="s">
        <v>52</v>
      </c>
      <c r="V149" s="25"/>
      <c r="W149" s="23">
        <v>17</v>
      </c>
      <c r="X149" s="5" t="e">
        <v>#NAME?</v>
      </c>
      <c r="Y149" s="24" t="e">
        <f t="shared" si="12"/>
        <v>#NAME?</v>
      </c>
      <c r="Z149" s="24" t="str">
        <f t="shared" si="13"/>
        <v/>
      </c>
    </row>
    <row r="150" spans="1:27" x14ac:dyDescent="0.15">
      <c r="A150" s="25"/>
      <c r="B150" s="25"/>
      <c r="C150" s="26"/>
      <c r="E150" s="27"/>
      <c r="F150" s="25"/>
      <c r="H150" s="28"/>
      <c r="I150" s="29"/>
      <c r="J150" s="29"/>
      <c r="K150" s="29"/>
      <c r="L150" s="29"/>
      <c r="M150" s="29"/>
      <c r="N150" s="29"/>
      <c r="O150" s="29"/>
      <c r="P150" s="29"/>
      <c r="Q150" s="25"/>
      <c r="R150" s="25"/>
      <c r="S150" s="25"/>
      <c r="T150" s="25"/>
      <c r="U150" s="25"/>
      <c r="V150" s="25"/>
      <c r="W150" s="23"/>
      <c r="X150" s="5" t="e">
        <v>#NAME?</v>
      </c>
      <c r="Y150" s="24" t="str">
        <f t="shared" si="12"/>
        <v/>
      </c>
      <c r="Z150" s="24" t="str">
        <f t="shared" si="13"/>
        <v/>
      </c>
    </row>
    <row r="151" spans="1:27" ht="32" customHeight="1" x14ac:dyDescent="0.15">
      <c r="A151" s="18" t="s">
        <v>134</v>
      </c>
      <c r="B151" s="18" t="s">
        <v>442</v>
      </c>
      <c r="C151" s="66" t="s">
        <v>443</v>
      </c>
      <c r="D151" s="66" t="s">
        <v>2986</v>
      </c>
      <c r="E151" s="20"/>
      <c r="H151" s="21"/>
      <c r="I151" s="22" t="s">
        <v>40</v>
      </c>
      <c r="J151" s="22"/>
      <c r="K151" s="22"/>
      <c r="L151" s="22"/>
      <c r="M151" s="43" t="s">
        <v>444</v>
      </c>
      <c r="N151" s="22"/>
      <c r="O151" s="22"/>
      <c r="P151" s="22"/>
      <c r="U151" s="1" t="s">
        <v>42</v>
      </c>
      <c r="W151" s="23">
        <v>13.458864212036101</v>
      </c>
      <c r="X151" s="5" t="e">
        <v>#NAME?</v>
      </c>
      <c r="Y151" s="24" t="e">
        <f t="shared" si="12"/>
        <v>#NAME?</v>
      </c>
      <c r="Z151" s="24" t="e">
        <f t="shared" si="13"/>
        <v>#NAME?</v>
      </c>
    </row>
    <row r="152" spans="1:27" ht="32" customHeight="1" x14ac:dyDescent="0.15">
      <c r="A152" s="18" t="s">
        <v>445</v>
      </c>
      <c r="B152" s="18" t="s">
        <v>446</v>
      </c>
      <c r="C152" s="66" t="s">
        <v>447</v>
      </c>
      <c r="D152" s="66" t="s">
        <v>2987</v>
      </c>
      <c r="E152" s="20"/>
      <c r="F152" s="1" t="s">
        <v>448</v>
      </c>
      <c r="G152" s="1" t="s">
        <v>449</v>
      </c>
      <c r="H152" s="21"/>
      <c r="I152" s="22" t="s">
        <v>40</v>
      </c>
      <c r="J152" s="22"/>
      <c r="K152" s="43" t="s">
        <v>417</v>
      </c>
      <c r="L152" s="22"/>
      <c r="M152" s="43" t="s">
        <v>450</v>
      </c>
      <c r="N152" s="22"/>
      <c r="O152" s="22"/>
      <c r="P152" s="22"/>
      <c r="U152" s="1" t="s">
        <v>42</v>
      </c>
      <c r="W152" s="23">
        <v>37.523288726806598</v>
      </c>
      <c r="X152" s="5" t="e">
        <v>#NAME?</v>
      </c>
      <c r="Y152" s="24" t="e">
        <f t="shared" si="12"/>
        <v>#NAME?</v>
      </c>
      <c r="Z152" s="24" t="e">
        <f t="shared" si="13"/>
        <v>#NAME?</v>
      </c>
    </row>
    <row r="153" spans="1:27" ht="28" customHeight="1" x14ac:dyDescent="0.15">
      <c r="A153" s="328" t="s">
        <v>451</v>
      </c>
      <c r="B153" s="329" t="s">
        <v>452</v>
      </c>
      <c r="C153" s="330" t="s">
        <v>453</v>
      </c>
      <c r="D153" s="330" t="s">
        <v>454</v>
      </c>
      <c r="E153" s="331"/>
      <c r="F153" s="324"/>
      <c r="G153" s="332"/>
      <c r="H153" s="333"/>
      <c r="I153" s="325"/>
      <c r="J153" s="325"/>
      <c r="K153" s="325"/>
      <c r="L153" s="325"/>
      <c r="M153" s="334"/>
      <c r="N153" s="325"/>
      <c r="O153" s="325"/>
      <c r="P153" s="325"/>
      <c r="Q153" s="324"/>
      <c r="R153" s="324"/>
      <c r="S153" s="324"/>
      <c r="T153" s="324"/>
      <c r="U153" s="324"/>
      <c r="V153" s="324"/>
      <c r="W153" s="335"/>
      <c r="X153" s="336" t="e">
        <v>#NAME?</v>
      </c>
      <c r="Y153" s="337" t="str">
        <f t="shared" si="12"/>
        <v/>
      </c>
      <c r="Z153" s="337" t="str">
        <f t="shared" si="13"/>
        <v/>
      </c>
    </row>
    <row r="154" spans="1:27" ht="32" customHeight="1" x14ac:dyDescent="0.15">
      <c r="A154" s="25" t="s">
        <v>455</v>
      </c>
      <c r="B154" s="25" t="s">
        <v>456</v>
      </c>
      <c r="C154" s="26" t="s">
        <v>457</v>
      </c>
      <c r="D154" s="26" t="s">
        <v>458</v>
      </c>
      <c r="E154" s="27"/>
      <c r="F154" s="25"/>
      <c r="G154" s="25"/>
      <c r="H154" s="28"/>
      <c r="I154" s="29" t="s">
        <v>40</v>
      </c>
      <c r="J154" s="29"/>
      <c r="K154" s="29"/>
      <c r="L154" s="29"/>
      <c r="M154" s="29" t="s">
        <v>459</v>
      </c>
      <c r="N154" s="29"/>
      <c r="O154" s="29"/>
      <c r="P154" s="29"/>
      <c r="Q154" s="25"/>
      <c r="R154" s="25"/>
      <c r="S154" s="25"/>
      <c r="T154" s="25"/>
      <c r="U154" s="25" t="s">
        <v>52</v>
      </c>
      <c r="V154" s="25"/>
      <c r="W154" s="23">
        <v>17</v>
      </c>
      <c r="X154" s="5" t="e">
        <v>#NAME?</v>
      </c>
      <c r="Y154" s="24" t="e">
        <f t="shared" si="12"/>
        <v>#NAME?</v>
      </c>
      <c r="Z154" s="24" t="str">
        <f t="shared" si="13"/>
        <v/>
      </c>
    </row>
    <row r="155" spans="1:27" ht="16" customHeight="1" x14ac:dyDescent="0.15">
      <c r="A155" s="25" t="s">
        <v>460</v>
      </c>
      <c r="B155" s="25" t="s">
        <v>461</v>
      </c>
      <c r="C155" s="26" t="s">
        <v>462</v>
      </c>
      <c r="D155" s="26" t="s">
        <v>463</v>
      </c>
      <c r="E155" s="27"/>
      <c r="F155" s="25" t="s">
        <v>464</v>
      </c>
      <c r="G155" s="25" t="s">
        <v>465</v>
      </c>
      <c r="H155" s="28"/>
      <c r="I155" s="29" t="s">
        <v>40</v>
      </c>
      <c r="J155" s="29" t="s">
        <v>119</v>
      </c>
      <c r="K155" s="29" t="s">
        <v>466</v>
      </c>
      <c r="L155" s="29"/>
      <c r="M155" s="29" t="s">
        <v>459</v>
      </c>
      <c r="N155" s="29" t="s">
        <v>467</v>
      </c>
      <c r="R155" s="25"/>
      <c r="S155" s="25"/>
      <c r="T155" s="25"/>
      <c r="U155" s="25" t="s">
        <v>52</v>
      </c>
      <c r="V155" s="25"/>
      <c r="W155" s="23">
        <v>17</v>
      </c>
      <c r="X155" s="5" t="e">
        <v>#NAME?</v>
      </c>
      <c r="Y155" s="24" t="e">
        <f t="shared" si="12"/>
        <v>#NAME?</v>
      </c>
      <c r="Z155" s="24" t="str">
        <f t="shared" si="13"/>
        <v/>
      </c>
    </row>
    <row r="156" spans="1:27" x14ac:dyDescent="0.15">
      <c r="E156" s="20"/>
      <c r="H156" s="21"/>
      <c r="M156" s="79"/>
      <c r="W156" s="23"/>
      <c r="X156" s="5" t="e">
        <v>#NAME?</v>
      </c>
      <c r="Y156" s="24" t="str">
        <f t="shared" si="12"/>
        <v/>
      </c>
      <c r="Z156" s="24" t="str">
        <f t="shared" si="13"/>
        <v/>
      </c>
    </row>
    <row r="157" spans="1:27" s="324" customFormat="1" ht="30" customHeight="1" x14ac:dyDescent="0.15">
      <c r="A157" s="306" t="s">
        <v>248</v>
      </c>
      <c r="B157" s="306" t="s">
        <v>468</v>
      </c>
      <c r="C157" s="308" t="s">
        <v>469</v>
      </c>
      <c r="D157" s="321" t="s">
        <v>470</v>
      </c>
      <c r="E157" s="322"/>
      <c r="F157" s="323" t="s">
        <v>307</v>
      </c>
      <c r="G157" s="323" t="s">
        <v>308</v>
      </c>
      <c r="I157" s="306" t="s">
        <v>40</v>
      </c>
      <c r="J157" s="325"/>
      <c r="K157" s="325"/>
      <c r="L157" s="325"/>
      <c r="M157" s="326"/>
      <c r="N157" s="325"/>
      <c r="O157" s="325"/>
      <c r="P157" s="325"/>
      <c r="W157" s="302"/>
      <c r="X157" s="303"/>
      <c r="Y157" s="304"/>
      <c r="Z157" s="304"/>
      <c r="AA157" s="305"/>
    </row>
    <row r="158" spans="1:27" s="324" customFormat="1" ht="28" customHeight="1" x14ac:dyDescent="0.15">
      <c r="A158" s="306" t="s">
        <v>134</v>
      </c>
      <c r="B158" s="306" t="s">
        <v>471</v>
      </c>
      <c r="C158" s="307" t="s">
        <v>472</v>
      </c>
      <c r="D158" s="307" t="s">
        <v>473</v>
      </c>
      <c r="E158" s="322"/>
      <c r="F158" s="327" t="s">
        <v>307</v>
      </c>
      <c r="G158" s="327" t="s">
        <v>308</v>
      </c>
      <c r="I158" s="306" t="s">
        <v>40</v>
      </c>
      <c r="J158" s="325"/>
      <c r="K158" s="325"/>
      <c r="L158" s="325"/>
      <c r="M158" s="326"/>
      <c r="N158" s="325"/>
      <c r="O158" s="325"/>
      <c r="P158" s="325"/>
      <c r="W158" s="302"/>
      <c r="X158" s="303"/>
      <c r="Y158" s="304"/>
      <c r="Z158" s="304"/>
      <c r="AA158" s="305"/>
    </row>
    <row r="159" spans="1:27" s="324" customFormat="1" ht="28" customHeight="1" x14ac:dyDescent="0.15">
      <c r="A159" s="306" t="s">
        <v>474</v>
      </c>
      <c r="B159" s="306" t="s">
        <v>475</v>
      </c>
      <c r="C159" s="307" t="s">
        <v>476</v>
      </c>
      <c r="D159" s="307" t="s">
        <v>477</v>
      </c>
      <c r="E159" s="322"/>
      <c r="F159" s="327" t="s">
        <v>307</v>
      </c>
      <c r="G159" s="327" t="s">
        <v>308</v>
      </c>
      <c r="I159" s="306" t="b">
        <v>1</v>
      </c>
      <c r="J159" s="325"/>
      <c r="K159" s="325"/>
      <c r="L159" s="325"/>
      <c r="M159" s="326"/>
      <c r="N159" s="325"/>
      <c r="O159" s="325"/>
      <c r="P159" s="325"/>
      <c r="W159" s="302"/>
      <c r="X159" s="303"/>
      <c r="Y159" s="304"/>
      <c r="Z159" s="304"/>
      <c r="AA159" s="305"/>
    </row>
    <row r="160" spans="1:27" s="324" customFormat="1" x14ac:dyDescent="0.15">
      <c r="A160" s="297" t="s">
        <v>77</v>
      </c>
      <c r="B160" s="297" t="s">
        <v>350</v>
      </c>
      <c r="C160" s="298" t="s">
        <v>351</v>
      </c>
      <c r="D160" s="298" t="s">
        <v>352</v>
      </c>
      <c r="E160" s="322"/>
      <c r="F160" s="300" t="s">
        <v>436</v>
      </c>
      <c r="G160" s="300" t="s">
        <v>437</v>
      </c>
      <c r="I160" s="306" t="b">
        <v>1</v>
      </c>
      <c r="J160" s="325"/>
      <c r="K160" s="325"/>
      <c r="L160" s="325"/>
      <c r="M160" s="326"/>
      <c r="N160" s="325"/>
      <c r="O160" s="325"/>
      <c r="P160" s="325"/>
      <c r="W160" s="302"/>
      <c r="X160" s="303"/>
      <c r="Y160" s="304"/>
      <c r="Z160" s="304"/>
      <c r="AA160" s="305"/>
    </row>
    <row r="161" spans="1:27" s="324" customFormat="1" x14ac:dyDescent="0.15">
      <c r="A161" s="297" t="s">
        <v>77</v>
      </c>
      <c r="B161" s="297" t="s">
        <v>354</v>
      </c>
      <c r="C161" s="298" t="s">
        <v>355</v>
      </c>
      <c r="D161" s="298" t="s">
        <v>356</v>
      </c>
      <c r="E161" s="322"/>
      <c r="F161" s="300" t="s">
        <v>436</v>
      </c>
      <c r="G161" s="300" t="s">
        <v>437</v>
      </c>
      <c r="I161" s="306" t="b">
        <v>1</v>
      </c>
      <c r="J161" s="325"/>
      <c r="K161" s="325"/>
      <c r="L161" s="325"/>
      <c r="M161" s="326"/>
      <c r="N161" s="325"/>
      <c r="O161" s="325"/>
      <c r="P161" s="325"/>
      <c r="W161" s="302"/>
      <c r="X161" s="303"/>
      <c r="Y161" s="304"/>
      <c r="Z161" s="304"/>
      <c r="AA161" s="305"/>
    </row>
    <row r="162" spans="1:27" s="324" customFormat="1" x14ac:dyDescent="0.15">
      <c r="A162" s="297" t="s">
        <v>77</v>
      </c>
      <c r="B162" s="297" t="s">
        <v>357</v>
      </c>
      <c r="C162" s="298" t="s">
        <v>358</v>
      </c>
      <c r="D162" s="298" t="s">
        <v>359</v>
      </c>
      <c r="E162" s="322"/>
      <c r="F162" s="300" t="s">
        <v>436</v>
      </c>
      <c r="G162" s="300" t="s">
        <v>437</v>
      </c>
      <c r="I162" s="306" t="b">
        <v>1</v>
      </c>
      <c r="J162" s="325"/>
      <c r="K162" s="325"/>
      <c r="L162" s="325"/>
      <c r="M162" s="326"/>
      <c r="N162" s="325"/>
      <c r="O162" s="325"/>
      <c r="P162" s="325"/>
      <c r="W162" s="302"/>
      <c r="X162" s="303"/>
      <c r="Y162" s="304"/>
      <c r="Z162" s="304"/>
      <c r="AA162" s="305"/>
    </row>
    <row r="163" spans="1:27" s="324" customFormat="1" x14ac:dyDescent="0.15">
      <c r="A163" s="297" t="s">
        <v>77</v>
      </c>
      <c r="B163" s="297" t="s">
        <v>360</v>
      </c>
      <c r="C163" s="298" t="s">
        <v>361</v>
      </c>
      <c r="D163" s="298" t="s">
        <v>362</v>
      </c>
      <c r="E163" s="322"/>
      <c r="F163" s="300" t="s">
        <v>436</v>
      </c>
      <c r="G163" s="300" t="s">
        <v>437</v>
      </c>
      <c r="I163" s="306" t="b">
        <v>1</v>
      </c>
      <c r="J163" s="325"/>
      <c r="K163" s="325"/>
      <c r="L163" s="325"/>
      <c r="M163" s="326"/>
      <c r="N163" s="325"/>
      <c r="O163" s="325"/>
      <c r="P163" s="325"/>
      <c r="W163" s="302"/>
      <c r="X163" s="303"/>
      <c r="Y163" s="304"/>
      <c r="Z163" s="304"/>
      <c r="AA163" s="305"/>
    </row>
    <row r="164" spans="1:27" s="1" customFormat="1" ht="28" customHeight="1" x14ac:dyDescent="0.15">
      <c r="A164" s="306" t="s">
        <v>134</v>
      </c>
      <c r="B164" s="306" t="s">
        <v>478</v>
      </c>
      <c r="C164" s="307" t="s">
        <v>479</v>
      </c>
      <c r="D164" s="307" t="s">
        <v>480</v>
      </c>
      <c r="E164" s="309"/>
      <c r="F164" s="316" t="s">
        <v>307</v>
      </c>
      <c r="G164" s="316" t="s">
        <v>308</v>
      </c>
      <c r="H164" s="311"/>
      <c r="I164" s="3" t="b">
        <v>1</v>
      </c>
      <c r="J164" s="3"/>
      <c r="K164" s="3"/>
      <c r="L164" s="3"/>
      <c r="M164" s="317"/>
      <c r="N164" s="3"/>
      <c r="O164" s="3"/>
      <c r="P164" s="3"/>
      <c r="W164" s="312"/>
      <c r="X164" s="313">
        <f>'[1]Additional information'!$D$18</f>
        <v>0.52</v>
      </c>
      <c r="Y164" s="314" t="str">
        <f>IF(W164&lt;&gt;"",W164*X164,"")</f>
        <v/>
      </c>
      <c r="Z164" s="314" t="str">
        <f>IF(AND(W164&lt;&gt;"",U164="yes"),W164*X164,"")</f>
        <v/>
      </c>
      <c r="AA164" s="315"/>
    </row>
    <row r="165" spans="1:27" x14ac:dyDescent="0.15">
      <c r="A165" s="80" t="s">
        <v>140</v>
      </c>
      <c r="B165" s="80"/>
      <c r="C165" s="81"/>
      <c r="D165" s="81"/>
      <c r="E165" s="82"/>
      <c r="F165" s="101"/>
      <c r="G165" s="101"/>
      <c r="H165" s="83"/>
      <c r="I165" s="84"/>
      <c r="J165" s="84"/>
      <c r="K165" s="84"/>
      <c r="L165" s="84"/>
      <c r="M165" s="84"/>
      <c r="N165" s="84"/>
      <c r="O165" s="84"/>
      <c r="P165" s="84"/>
      <c r="W165" s="23"/>
      <c r="Y165" s="24" t="str">
        <f>IF(W165&lt;&gt;"",W165*X165,"")</f>
        <v/>
      </c>
      <c r="Z165" s="24" t="str">
        <f>IF(AND(W165&lt;&gt;"",U165="yes"),W165*X165,"")</f>
        <v/>
      </c>
    </row>
    <row r="166" spans="1:27" ht="16" customHeight="1" x14ac:dyDescent="0.15">
      <c r="A166" s="49" t="s">
        <v>61</v>
      </c>
      <c r="B166" s="49" t="s">
        <v>481</v>
      </c>
      <c r="C166" s="50" t="s">
        <v>482</v>
      </c>
      <c r="D166" s="50" t="s">
        <v>483</v>
      </c>
      <c r="E166" s="51"/>
      <c r="F166" s="49"/>
      <c r="G166" s="49"/>
      <c r="H166" s="52"/>
      <c r="I166" s="53" t="s">
        <v>51</v>
      </c>
      <c r="J166" s="53"/>
      <c r="K166" s="53"/>
      <c r="L166" s="53"/>
      <c r="M166" s="53" t="s">
        <v>484</v>
      </c>
      <c r="N166" s="53"/>
      <c r="O166" s="53"/>
      <c r="P166" s="53"/>
      <c r="Q166" s="54"/>
      <c r="R166" s="54"/>
      <c r="S166" s="54"/>
      <c r="T166" s="54"/>
      <c r="U166" s="1" t="s">
        <v>42</v>
      </c>
      <c r="V166" s="54"/>
      <c r="W166" s="23"/>
      <c r="Y166" s="24" t="str">
        <f>IF(W166&lt;&gt;"",W166*X166,"")</f>
        <v/>
      </c>
      <c r="Z166" s="24" t="str">
        <f>IF(AND(W166&lt;&gt;"",U166="yes"),W166*X166,"")</f>
        <v/>
      </c>
      <c r="AA166" s="55"/>
    </row>
    <row r="167" spans="1:27" ht="16" customHeight="1" x14ac:dyDescent="0.15">
      <c r="A167" s="18" t="s">
        <v>134</v>
      </c>
      <c r="B167" s="18" t="s">
        <v>485</v>
      </c>
      <c r="C167" s="40" t="s">
        <v>486</v>
      </c>
      <c r="D167" s="102" t="s">
        <v>487</v>
      </c>
      <c r="E167" s="20"/>
      <c r="H167" s="21"/>
      <c r="I167" s="43" t="s">
        <v>40</v>
      </c>
      <c r="K167" s="43"/>
      <c r="L167" s="43"/>
      <c r="M167" s="43"/>
      <c r="N167" s="39"/>
      <c r="O167" s="43"/>
      <c r="P167" s="43"/>
      <c r="U167" s="1" t="s">
        <v>42</v>
      </c>
      <c r="W167" s="23">
        <v>13.55</v>
      </c>
      <c r="X167" s="5" t="e">
        <v>#NAME?</v>
      </c>
      <c r="Y167" s="24" t="e">
        <f>IF(W167&lt;&gt;"",W167*X167,"")</f>
        <v>#NAME?</v>
      </c>
      <c r="Z167" s="24"/>
    </row>
    <row r="168" spans="1:27" ht="16" customHeight="1" x14ac:dyDescent="0.15">
      <c r="A168" s="18" t="s">
        <v>488</v>
      </c>
      <c r="B168" s="18" t="s">
        <v>489</v>
      </c>
      <c r="C168" s="19" t="s">
        <v>490</v>
      </c>
      <c r="D168" s="102" t="s">
        <v>491</v>
      </c>
      <c r="E168" s="20"/>
      <c r="H168" s="21"/>
      <c r="I168" s="43" t="s">
        <v>40</v>
      </c>
      <c r="J168" s="22" t="s">
        <v>119</v>
      </c>
      <c r="K168" s="43"/>
      <c r="L168" s="43"/>
      <c r="M168" s="43" t="s">
        <v>492</v>
      </c>
      <c r="N168" s="43" t="s">
        <v>467</v>
      </c>
      <c r="O168" s="43"/>
      <c r="P168" s="43"/>
      <c r="U168" s="1" t="s">
        <v>42</v>
      </c>
      <c r="W168" s="23">
        <v>13.55</v>
      </c>
      <c r="X168" s="5" t="e">
        <v>#NAME?</v>
      </c>
      <c r="Y168" s="24" t="e">
        <f>IF(W168&lt;&gt;"",W168*X168,"")</f>
        <v>#NAME?</v>
      </c>
      <c r="Z168" s="24"/>
    </row>
    <row r="169" spans="1:27" x14ac:dyDescent="0.15">
      <c r="A169" s="18" t="s">
        <v>26</v>
      </c>
      <c r="B169" s="18" t="s">
        <v>493</v>
      </c>
      <c r="C169" s="19"/>
      <c r="D169" s="19"/>
      <c r="E169" s="20"/>
      <c r="H169" s="21"/>
      <c r="I169" s="43"/>
      <c r="J169" s="43"/>
      <c r="K169" s="43"/>
      <c r="L169" s="43"/>
      <c r="M169" s="43"/>
      <c r="N169" s="43"/>
      <c r="O169" s="43"/>
      <c r="P169" s="43" t="s">
        <v>494</v>
      </c>
      <c r="U169" s="1" t="s">
        <v>42</v>
      </c>
      <c r="W169" s="23"/>
      <c r="X169" s="5" t="e">
        <v>#NAME?</v>
      </c>
      <c r="Y169" s="24"/>
      <c r="Z169" s="24"/>
    </row>
    <row r="170" spans="1:27" x14ac:dyDescent="0.15">
      <c r="A170" s="18" t="s">
        <v>26</v>
      </c>
      <c r="B170" s="18" t="s">
        <v>495</v>
      </c>
      <c r="C170" s="19"/>
      <c r="D170" s="19"/>
      <c r="E170" s="20"/>
      <c r="H170" s="21"/>
      <c r="I170" s="43"/>
      <c r="J170" s="43"/>
      <c r="K170" s="43"/>
      <c r="L170" s="43"/>
      <c r="M170" s="43"/>
      <c r="N170" s="43"/>
      <c r="O170" s="43"/>
      <c r="P170" s="43" t="s">
        <v>496</v>
      </c>
      <c r="U170" s="1" t="s">
        <v>42</v>
      </c>
      <c r="W170" s="23"/>
      <c r="X170" s="5" t="e">
        <v>#NAME?</v>
      </c>
      <c r="Y170" s="24"/>
      <c r="Z170" s="24"/>
    </row>
    <row r="171" spans="1:27" x14ac:dyDescent="0.15">
      <c r="E171" s="20"/>
      <c r="H171" s="21"/>
      <c r="W171" s="23"/>
      <c r="X171" s="5" t="e">
        <v>#NAME?</v>
      </c>
      <c r="Y171" s="24"/>
      <c r="Z171" s="24"/>
    </row>
    <row r="172" spans="1:27" ht="32" customHeight="1" x14ac:dyDescent="0.15">
      <c r="A172" s="18" t="s">
        <v>134</v>
      </c>
      <c r="B172" s="18" t="s">
        <v>497</v>
      </c>
      <c r="C172" s="19" t="s">
        <v>498</v>
      </c>
      <c r="D172" s="66" t="s">
        <v>499</v>
      </c>
      <c r="E172" s="20"/>
      <c r="F172" s="78"/>
      <c r="G172" s="78"/>
      <c r="H172" s="103"/>
      <c r="I172" s="22" t="s">
        <v>40</v>
      </c>
      <c r="J172" s="22"/>
      <c r="K172" s="22"/>
      <c r="L172" s="22"/>
      <c r="M172" s="22"/>
      <c r="N172" s="22"/>
      <c r="O172" s="22"/>
      <c r="P172" s="22"/>
      <c r="U172" s="1" t="s">
        <v>42</v>
      </c>
      <c r="W172" s="23">
        <v>12.681487083435099</v>
      </c>
      <c r="X172" s="5" t="e">
        <v>#NAME?</v>
      </c>
      <c r="Y172" s="24" t="e">
        <f>IF(W172&lt;&gt;"",W172*X172,"")</f>
        <v>#NAME?</v>
      </c>
      <c r="Z172" s="24" t="e">
        <f>IF(AND(W172&lt;&gt;"",U172="yes"),W172*X172,"")</f>
        <v>#NAME?</v>
      </c>
    </row>
    <row r="173" spans="1:27" ht="32" customHeight="1" x14ac:dyDescent="0.15">
      <c r="A173" s="18" t="s">
        <v>500</v>
      </c>
      <c r="B173" s="18" t="s">
        <v>501</v>
      </c>
      <c r="C173" s="40" t="s">
        <v>502</v>
      </c>
      <c r="D173" s="19" t="s">
        <v>503</v>
      </c>
      <c r="E173" s="41"/>
      <c r="F173" s="1" t="s">
        <v>448</v>
      </c>
      <c r="G173" s="1" t="s">
        <v>504</v>
      </c>
      <c r="H173" s="21"/>
      <c r="I173" s="22" t="s">
        <v>40</v>
      </c>
      <c r="J173" s="22"/>
      <c r="K173" s="43" t="s">
        <v>313</v>
      </c>
      <c r="L173" s="22"/>
      <c r="M173" s="43" t="s">
        <v>505</v>
      </c>
      <c r="N173" s="22"/>
      <c r="O173" s="22"/>
      <c r="P173" s="22"/>
      <c r="U173" s="1" t="s">
        <v>42</v>
      </c>
      <c r="W173" s="23">
        <v>22.613609313964801</v>
      </c>
      <c r="X173" s="5" t="e">
        <v>#NAME?</v>
      </c>
      <c r="Y173" s="24" t="e">
        <f>IF(W173&lt;&gt;"",W173*X173,"")</f>
        <v>#NAME?</v>
      </c>
      <c r="Z173" s="24" t="e">
        <f>IF(AND(W173&lt;&gt;"",U173="yes"),W173*X173,"")</f>
        <v>#NAME?</v>
      </c>
    </row>
    <row r="174" spans="1:27" x14ac:dyDescent="0.15">
      <c r="E174" s="20"/>
      <c r="H174" s="21"/>
      <c r="M174" s="79"/>
      <c r="W174" s="23"/>
      <c r="X174" s="5" t="e">
        <v>#NAME?</v>
      </c>
      <c r="Y174" s="24" t="str">
        <f>IF(W174&lt;&gt;"",W174*X174,"")</f>
        <v/>
      </c>
      <c r="Z174" s="24" t="str">
        <f>IF(AND(W174&lt;&gt;"",U174="yes"),W174*X174,"")</f>
        <v/>
      </c>
    </row>
    <row r="175" spans="1:27" ht="32" customHeight="1" x14ac:dyDescent="0.15">
      <c r="A175" s="18" t="s">
        <v>248</v>
      </c>
      <c r="B175" s="18" t="s">
        <v>506</v>
      </c>
      <c r="C175" s="40" t="s">
        <v>507</v>
      </c>
      <c r="D175" s="66" t="s">
        <v>508</v>
      </c>
      <c r="E175" s="41"/>
      <c r="F175" s="104" t="s">
        <v>509</v>
      </c>
      <c r="G175" s="104" t="s">
        <v>510</v>
      </c>
      <c r="H175" s="103"/>
      <c r="I175" s="22" t="s">
        <v>40</v>
      </c>
      <c r="J175" s="22"/>
      <c r="K175" s="22"/>
      <c r="L175" s="22"/>
      <c r="M175" s="43"/>
      <c r="N175" s="22"/>
      <c r="O175" s="22"/>
      <c r="P175" s="22"/>
      <c r="U175" s="1" t="s">
        <v>42</v>
      </c>
      <c r="W175" s="23">
        <v>21.701908111572301</v>
      </c>
      <c r="X175" s="5" t="e">
        <v>#NAME?</v>
      </c>
      <c r="Y175" s="24" t="e">
        <f>IF(W175&lt;&gt;"",W175*X175,"")</f>
        <v>#NAME?</v>
      </c>
      <c r="Z175" s="24" t="e">
        <f>IF(AND(W175&lt;&gt;"",U175="yes"),W175*X175,"")</f>
        <v>#NAME?</v>
      </c>
    </row>
    <row r="176" spans="1:27" x14ac:dyDescent="0.15">
      <c r="A176" s="18"/>
      <c r="B176" s="18"/>
      <c r="C176" s="40"/>
      <c r="D176" s="19"/>
      <c r="E176" s="41"/>
      <c r="F176" s="104"/>
      <c r="G176" s="104"/>
      <c r="H176" s="103"/>
      <c r="I176" s="22"/>
      <c r="J176" s="22"/>
      <c r="K176" s="22"/>
      <c r="L176" s="22"/>
      <c r="M176" s="43"/>
      <c r="N176" s="22"/>
      <c r="O176" s="22"/>
      <c r="P176" s="22"/>
      <c r="W176" s="23"/>
      <c r="Y176" s="24"/>
      <c r="Z176" s="24"/>
    </row>
    <row r="177" spans="1:27" x14ac:dyDescent="0.15">
      <c r="C177" s="70"/>
      <c r="D177" s="70"/>
      <c r="E177" s="41"/>
      <c r="F177" s="78"/>
      <c r="G177" s="78"/>
      <c r="H177" s="103"/>
      <c r="M177" s="79"/>
      <c r="W177" s="23"/>
      <c r="X177" s="5" t="e">
        <v>#NAME?</v>
      </c>
      <c r="Y177" s="24" t="str">
        <f t="shared" ref="Y177:Y208" si="14">IF(W177&lt;&gt;"",W177*X177,"")</f>
        <v/>
      </c>
      <c r="Z177" s="24" t="str">
        <f t="shared" ref="Z177:Z208" si="15">IF(AND(W177&lt;&gt;"",U177="yes"),W177*X177,"")</f>
        <v/>
      </c>
    </row>
    <row r="178" spans="1:27" x14ac:dyDescent="0.15">
      <c r="A178" s="80" t="s">
        <v>140</v>
      </c>
      <c r="B178" s="80"/>
      <c r="C178" s="81"/>
      <c r="D178" s="81"/>
      <c r="E178" s="82"/>
      <c r="F178" s="80"/>
      <c r="G178" s="80"/>
      <c r="H178" s="83"/>
      <c r="I178" s="84"/>
      <c r="J178" s="84"/>
      <c r="K178" s="84"/>
      <c r="L178" s="84"/>
      <c r="M178" s="84"/>
      <c r="N178" s="84"/>
      <c r="O178" s="84"/>
      <c r="P178" s="84"/>
      <c r="W178" s="23"/>
      <c r="Y178" s="24" t="str">
        <f t="shared" si="14"/>
        <v/>
      </c>
      <c r="Z178" s="24" t="str">
        <f t="shared" si="15"/>
        <v/>
      </c>
    </row>
    <row r="179" spans="1:27" ht="16" customHeight="1" x14ac:dyDescent="0.15">
      <c r="A179" s="49" t="s">
        <v>61</v>
      </c>
      <c r="B179" s="49" t="s">
        <v>511</v>
      </c>
      <c r="C179" s="50" t="s">
        <v>512</v>
      </c>
      <c r="D179" s="50" t="s">
        <v>513</v>
      </c>
      <c r="E179" s="51"/>
      <c r="F179" s="49"/>
      <c r="G179" s="49"/>
      <c r="H179" s="52"/>
      <c r="I179" s="53" t="s">
        <v>51</v>
      </c>
      <c r="J179" s="53"/>
      <c r="K179" s="53"/>
      <c r="L179" s="53"/>
      <c r="M179" s="53" t="s">
        <v>514</v>
      </c>
      <c r="N179" s="53"/>
      <c r="O179" s="53"/>
      <c r="P179" s="53"/>
      <c r="Q179" s="54"/>
      <c r="R179" s="54"/>
      <c r="S179" s="54"/>
      <c r="T179" s="54"/>
      <c r="U179" s="1" t="s">
        <v>42</v>
      </c>
      <c r="V179" s="54"/>
      <c r="W179" s="23"/>
      <c r="X179" s="55"/>
      <c r="Y179" s="24" t="str">
        <f t="shared" si="14"/>
        <v/>
      </c>
      <c r="Z179" s="24" t="str">
        <f t="shared" si="15"/>
        <v/>
      </c>
      <c r="AA179" s="55"/>
    </row>
    <row r="180" spans="1:27" ht="42" customHeight="1" x14ac:dyDescent="0.15">
      <c r="A180" s="18" t="s">
        <v>45</v>
      </c>
      <c r="B180" s="18" t="s">
        <v>515</v>
      </c>
      <c r="C180" s="19" t="s">
        <v>516</v>
      </c>
      <c r="D180" s="19" t="s">
        <v>517</v>
      </c>
      <c r="E180" s="20"/>
      <c r="F180" s="18"/>
      <c r="G180" s="18"/>
      <c r="H180" s="21"/>
      <c r="I180" s="22"/>
      <c r="J180" s="22"/>
      <c r="K180" s="22"/>
      <c r="L180" s="22"/>
      <c r="M180" s="22"/>
      <c r="N180" s="22"/>
      <c r="O180" s="22"/>
      <c r="P180" s="22"/>
      <c r="U180" s="1" t="s">
        <v>42</v>
      </c>
      <c r="W180" s="23">
        <v>7.5</v>
      </c>
      <c r="X180" s="105" t="e">
        <v>#NAME?</v>
      </c>
      <c r="Y180" s="24" t="e">
        <f t="shared" si="14"/>
        <v>#NAME?</v>
      </c>
      <c r="Z180" s="24" t="e">
        <f t="shared" si="15"/>
        <v>#NAME?</v>
      </c>
    </row>
    <row r="181" spans="1:27" x14ac:dyDescent="0.15">
      <c r="A181" s="54"/>
      <c r="B181" s="54"/>
      <c r="C181" s="98"/>
      <c r="E181" s="51"/>
      <c r="F181" s="54"/>
      <c r="G181" s="54"/>
      <c r="H181" s="52"/>
      <c r="I181" s="99"/>
      <c r="J181" s="99"/>
      <c r="K181" s="99"/>
      <c r="L181" s="99"/>
      <c r="M181" s="99"/>
      <c r="N181" s="99"/>
      <c r="O181" s="99"/>
      <c r="P181" s="99"/>
      <c r="Q181" s="54"/>
      <c r="R181" s="54"/>
      <c r="S181" s="54"/>
      <c r="T181" s="54"/>
      <c r="V181" s="54"/>
      <c r="W181" s="23"/>
      <c r="X181" s="105" t="e">
        <v>#NAME?</v>
      </c>
      <c r="Y181" s="24" t="str">
        <f t="shared" si="14"/>
        <v/>
      </c>
      <c r="Z181" s="24" t="str">
        <f t="shared" si="15"/>
        <v/>
      </c>
      <c r="AA181" s="55"/>
    </row>
    <row r="182" spans="1:27" ht="28" customHeight="1" x14ac:dyDescent="0.15">
      <c r="A182" s="18" t="s">
        <v>518</v>
      </c>
      <c r="B182" s="18" t="s">
        <v>519</v>
      </c>
      <c r="C182" s="19" t="s">
        <v>520</v>
      </c>
      <c r="D182" s="19" t="s">
        <v>521</v>
      </c>
      <c r="E182" s="20"/>
      <c r="F182" s="1" t="s">
        <v>522</v>
      </c>
      <c r="G182" s="1" t="s">
        <v>523</v>
      </c>
      <c r="H182" s="21"/>
      <c r="I182" s="22" t="s">
        <v>40</v>
      </c>
      <c r="J182" s="22" t="s">
        <v>210</v>
      </c>
      <c r="K182" s="22"/>
      <c r="L182" s="22"/>
      <c r="M182" s="22"/>
      <c r="N182" s="22"/>
      <c r="O182" s="22"/>
      <c r="P182" s="22"/>
      <c r="U182" s="1" t="s">
        <v>42</v>
      </c>
      <c r="W182" s="23">
        <v>20.2944221496582</v>
      </c>
      <c r="X182" s="105" t="e">
        <v>#NAME?</v>
      </c>
      <c r="Y182" s="24" t="e">
        <f t="shared" si="14"/>
        <v>#NAME?</v>
      </c>
      <c r="Z182" s="24" t="e">
        <f t="shared" si="15"/>
        <v>#NAME?</v>
      </c>
    </row>
    <row r="183" spans="1:27" x14ac:dyDescent="0.15">
      <c r="A183" s="18" t="s">
        <v>26</v>
      </c>
      <c r="B183" s="18" t="s">
        <v>524</v>
      </c>
      <c r="C183" s="19"/>
      <c r="D183" s="19"/>
      <c r="E183" s="20"/>
      <c r="H183" s="21"/>
      <c r="I183" s="22"/>
      <c r="J183" s="22"/>
      <c r="K183" s="22"/>
      <c r="L183" s="22"/>
      <c r="M183" s="22"/>
      <c r="N183" s="22"/>
      <c r="O183" s="22"/>
      <c r="P183" s="22" t="s">
        <v>525</v>
      </c>
      <c r="U183" s="1" t="s">
        <v>42</v>
      </c>
      <c r="W183" s="23"/>
      <c r="X183" s="105" t="e">
        <v>#NAME?</v>
      </c>
      <c r="Y183" s="24" t="str">
        <f t="shared" si="14"/>
        <v/>
      </c>
      <c r="Z183" s="24" t="str">
        <f t="shared" si="15"/>
        <v/>
      </c>
    </row>
    <row r="184" spans="1:27" x14ac:dyDescent="0.15">
      <c r="E184" s="20"/>
      <c r="H184" s="21"/>
      <c r="M184" s="79"/>
      <c r="W184" s="23"/>
      <c r="X184" s="105" t="e">
        <v>#NAME?</v>
      </c>
      <c r="Y184" s="24" t="str">
        <f t="shared" si="14"/>
        <v/>
      </c>
      <c r="Z184" s="24" t="str">
        <f t="shared" si="15"/>
        <v/>
      </c>
    </row>
    <row r="185" spans="1:27" x14ac:dyDescent="0.15">
      <c r="A185" s="18" t="s">
        <v>77</v>
      </c>
      <c r="B185" s="18" t="s">
        <v>526</v>
      </c>
      <c r="C185" s="19" t="s">
        <v>527</v>
      </c>
      <c r="D185" s="19" t="s">
        <v>528</v>
      </c>
      <c r="E185" s="20"/>
      <c r="F185" s="18" t="s">
        <v>529</v>
      </c>
      <c r="G185" s="18" t="s">
        <v>530</v>
      </c>
      <c r="H185" s="21"/>
      <c r="I185" s="22" t="s">
        <v>40</v>
      </c>
      <c r="J185" s="22"/>
      <c r="K185" s="22" t="s">
        <v>531</v>
      </c>
      <c r="L185" s="22"/>
      <c r="M185" s="22" t="s">
        <v>532</v>
      </c>
      <c r="N185" s="22"/>
      <c r="O185" s="22"/>
      <c r="P185" s="22"/>
      <c r="U185" s="1" t="s">
        <v>42</v>
      </c>
      <c r="W185" s="23">
        <v>18.539077758789102</v>
      </c>
      <c r="X185" s="105" t="e">
        <v>#NAME?</v>
      </c>
      <c r="Y185" s="24" t="e">
        <f t="shared" si="14"/>
        <v>#NAME?</v>
      </c>
      <c r="Z185" s="24" t="e">
        <f t="shared" si="15"/>
        <v>#NAME?</v>
      </c>
    </row>
    <row r="186" spans="1:27" x14ac:dyDescent="0.15">
      <c r="A186" s="18" t="s">
        <v>77</v>
      </c>
      <c r="B186" s="18" t="s">
        <v>533</v>
      </c>
      <c r="C186" s="19" t="s">
        <v>534</v>
      </c>
      <c r="D186" s="19" t="s">
        <v>535</v>
      </c>
      <c r="E186" s="20"/>
      <c r="F186" s="18" t="s">
        <v>529</v>
      </c>
      <c r="G186" s="18" t="s">
        <v>530</v>
      </c>
      <c r="H186" s="21"/>
      <c r="I186" s="22" t="s">
        <v>40</v>
      </c>
      <c r="J186" s="22"/>
      <c r="K186" s="22" t="s">
        <v>531</v>
      </c>
      <c r="L186" s="22"/>
      <c r="M186" s="22" t="s">
        <v>532</v>
      </c>
      <c r="N186" s="22"/>
      <c r="O186" s="22"/>
      <c r="P186" s="22"/>
      <c r="U186" s="1" t="s">
        <v>42</v>
      </c>
      <c r="W186" s="23">
        <v>8.9158916473388707</v>
      </c>
      <c r="X186" s="105" t="e">
        <v>#NAME?</v>
      </c>
      <c r="Y186" s="24" t="e">
        <f t="shared" si="14"/>
        <v>#NAME?</v>
      </c>
      <c r="Z186" s="24" t="e">
        <f t="shared" si="15"/>
        <v>#NAME?</v>
      </c>
    </row>
    <row r="187" spans="1:27" x14ac:dyDescent="0.15">
      <c r="A187" s="18" t="s">
        <v>26</v>
      </c>
      <c r="B187" s="18" t="s">
        <v>536</v>
      </c>
      <c r="C187" s="19" t="s">
        <v>537</v>
      </c>
      <c r="D187" s="19" t="s">
        <v>538</v>
      </c>
      <c r="E187" s="20"/>
      <c r="F187" s="18"/>
      <c r="G187" s="18"/>
      <c r="H187" s="21"/>
      <c r="I187" s="22" t="s">
        <v>40</v>
      </c>
      <c r="J187" s="22"/>
      <c r="K187" s="22"/>
      <c r="L187" s="22"/>
      <c r="M187" s="22" t="s">
        <v>539</v>
      </c>
      <c r="N187" s="22"/>
      <c r="O187" s="22"/>
      <c r="P187" s="22" t="s">
        <v>540</v>
      </c>
      <c r="U187" s="1" t="s">
        <v>42</v>
      </c>
      <c r="W187" s="23"/>
      <c r="X187" s="105" t="e">
        <v>#NAME?</v>
      </c>
      <c r="Y187" s="24" t="str">
        <f t="shared" si="14"/>
        <v/>
      </c>
      <c r="Z187" s="24" t="str">
        <f t="shared" si="15"/>
        <v/>
      </c>
    </row>
    <row r="188" spans="1:27" x14ac:dyDescent="0.15">
      <c r="E188" s="20"/>
      <c r="H188" s="21"/>
      <c r="W188" s="23"/>
      <c r="X188" s="105" t="e">
        <v>#NAME?</v>
      </c>
      <c r="Y188" s="24" t="str">
        <f t="shared" si="14"/>
        <v/>
      </c>
      <c r="Z188" s="24" t="str">
        <f t="shared" si="15"/>
        <v/>
      </c>
    </row>
    <row r="189" spans="1:27" x14ac:dyDescent="0.15">
      <c r="A189" s="18" t="s">
        <v>541</v>
      </c>
      <c r="B189" s="18" t="s">
        <v>542</v>
      </c>
      <c r="C189" s="19" t="s">
        <v>543</v>
      </c>
      <c r="D189" s="19" t="s">
        <v>544</v>
      </c>
      <c r="E189" s="20"/>
      <c r="F189" s="1" t="s">
        <v>344</v>
      </c>
      <c r="G189" s="1" t="s">
        <v>416</v>
      </c>
      <c r="H189" s="21"/>
      <c r="I189" s="22" t="s">
        <v>40</v>
      </c>
      <c r="J189" s="22"/>
      <c r="K189" s="22" t="s">
        <v>545</v>
      </c>
      <c r="L189" s="22"/>
      <c r="M189" s="22" t="s">
        <v>532</v>
      </c>
      <c r="N189" s="22"/>
      <c r="O189" s="22"/>
      <c r="P189" s="22"/>
      <c r="U189" s="1" t="s">
        <v>42</v>
      </c>
      <c r="W189" s="23">
        <v>25.810010910034201</v>
      </c>
      <c r="X189" s="105" t="e">
        <v>#NAME?</v>
      </c>
      <c r="Y189" s="24" t="e">
        <f t="shared" si="14"/>
        <v>#NAME?</v>
      </c>
      <c r="Z189" s="24" t="e">
        <f t="shared" si="15"/>
        <v>#NAME?</v>
      </c>
    </row>
    <row r="190" spans="1:27" ht="16" customHeight="1" x14ac:dyDescent="0.15">
      <c r="A190" s="106" t="s">
        <v>546</v>
      </c>
      <c r="B190" s="106" t="s">
        <v>547</v>
      </c>
      <c r="C190" s="107" t="s">
        <v>548</v>
      </c>
      <c r="D190" s="108" t="s">
        <v>549</v>
      </c>
      <c r="E190" s="20"/>
      <c r="H190" s="21"/>
      <c r="M190" s="79"/>
      <c r="W190" s="23"/>
      <c r="X190" s="105" t="e">
        <v>#NAME?</v>
      </c>
      <c r="Y190" s="24" t="str">
        <f t="shared" si="14"/>
        <v/>
      </c>
      <c r="Z190" s="24" t="str">
        <f t="shared" si="15"/>
        <v/>
      </c>
    </row>
    <row r="191" spans="1:27" x14ac:dyDescent="0.2">
      <c r="A191" s="25"/>
      <c r="B191" s="25"/>
      <c r="C191" s="26"/>
      <c r="D191" s="109"/>
      <c r="E191" s="27"/>
      <c r="F191" s="25"/>
      <c r="G191" s="25"/>
      <c r="H191" s="28"/>
      <c r="I191" s="29"/>
      <c r="J191" s="29"/>
      <c r="K191" s="29"/>
      <c r="L191" s="29"/>
      <c r="M191" s="29"/>
      <c r="N191" s="29"/>
      <c r="O191" s="29"/>
      <c r="P191" s="29"/>
      <c r="Q191" s="25"/>
      <c r="R191" s="25"/>
      <c r="S191" s="25"/>
      <c r="T191" s="25"/>
      <c r="U191" s="25"/>
      <c r="V191" s="25"/>
      <c r="W191" s="23"/>
      <c r="X191" s="105" t="e">
        <v>#NAME?</v>
      </c>
      <c r="Y191" s="24" t="str">
        <f t="shared" si="14"/>
        <v/>
      </c>
      <c r="Z191" s="24" t="str">
        <f t="shared" si="15"/>
        <v/>
      </c>
    </row>
    <row r="192" spans="1:27" ht="28" customHeight="1" x14ac:dyDescent="0.15">
      <c r="A192" s="18" t="s">
        <v>134</v>
      </c>
      <c r="B192" s="18" t="s">
        <v>550</v>
      </c>
      <c r="C192" s="19" t="s">
        <v>551</v>
      </c>
      <c r="D192" s="19" t="s">
        <v>552</v>
      </c>
      <c r="E192" s="20"/>
      <c r="H192" s="21"/>
      <c r="I192" s="22" t="s">
        <v>40</v>
      </c>
      <c r="J192" s="22"/>
      <c r="K192" s="22"/>
      <c r="L192" s="22"/>
      <c r="M192" s="43"/>
      <c r="N192" s="22"/>
      <c r="O192" s="22"/>
      <c r="P192" s="22"/>
      <c r="U192" s="1" t="s">
        <v>42</v>
      </c>
      <c r="W192" s="23">
        <v>13.6133165359497</v>
      </c>
      <c r="X192" s="105" t="e">
        <v>#NAME?</v>
      </c>
      <c r="Y192" s="24" t="e">
        <f t="shared" si="14"/>
        <v>#NAME?</v>
      </c>
      <c r="Z192" s="24" t="e">
        <f t="shared" si="15"/>
        <v>#NAME?</v>
      </c>
    </row>
    <row r="193" spans="1:27" ht="28" customHeight="1" x14ac:dyDescent="0.15">
      <c r="A193" s="18" t="s">
        <v>553</v>
      </c>
      <c r="B193" s="18" t="s">
        <v>554</v>
      </c>
      <c r="C193" s="19" t="s">
        <v>555</v>
      </c>
      <c r="D193" s="19" t="s">
        <v>556</v>
      </c>
      <c r="E193" s="20"/>
      <c r="F193" s="1" t="s">
        <v>448</v>
      </c>
      <c r="G193" s="1" t="s">
        <v>504</v>
      </c>
      <c r="H193" s="21"/>
      <c r="I193" s="22" t="s">
        <v>40</v>
      </c>
      <c r="J193" s="22"/>
      <c r="K193" s="43" t="s">
        <v>313</v>
      </c>
      <c r="L193" s="22"/>
      <c r="M193" s="43" t="s">
        <v>557</v>
      </c>
      <c r="N193" s="22"/>
      <c r="O193" s="22"/>
      <c r="P193" s="22"/>
      <c r="U193" s="1" t="s">
        <v>42</v>
      </c>
      <c r="W193" s="23">
        <v>27.7546482086182</v>
      </c>
      <c r="X193" s="105" t="e">
        <v>#NAME?</v>
      </c>
      <c r="Y193" s="24" t="e">
        <f t="shared" si="14"/>
        <v>#NAME?</v>
      </c>
      <c r="Z193" s="24" t="e">
        <f t="shared" si="15"/>
        <v>#NAME?</v>
      </c>
    </row>
    <row r="194" spans="1:27" x14ac:dyDescent="0.15">
      <c r="E194" s="20"/>
      <c r="H194" s="21"/>
      <c r="M194" s="79"/>
      <c r="W194" s="23"/>
      <c r="X194" s="105" t="e">
        <v>#NAME?</v>
      </c>
      <c r="Y194" s="24" t="str">
        <f t="shared" si="14"/>
        <v/>
      </c>
      <c r="Z194" s="24" t="str">
        <f t="shared" si="15"/>
        <v/>
      </c>
    </row>
    <row r="195" spans="1:27" ht="16" customHeight="1" x14ac:dyDescent="0.15">
      <c r="A195" s="25" t="s">
        <v>558</v>
      </c>
      <c r="B195" s="25" t="s">
        <v>559</v>
      </c>
      <c r="C195" s="26" t="s">
        <v>560</v>
      </c>
      <c r="D195" s="26" t="s">
        <v>561</v>
      </c>
      <c r="E195" s="27"/>
      <c r="F195" s="25" t="s">
        <v>562</v>
      </c>
      <c r="G195" s="25" t="s">
        <v>563</v>
      </c>
      <c r="H195" s="28"/>
      <c r="I195" s="29" t="s">
        <v>40</v>
      </c>
      <c r="J195" s="29" t="s">
        <v>210</v>
      </c>
      <c r="K195" s="29" t="s">
        <v>564</v>
      </c>
      <c r="L195" s="29"/>
      <c r="M195" s="29" t="s">
        <v>565</v>
      </c>
      <c r="N195" s="29" t="s">
        <v>566</v>
      </c>
      <c r="R195" s="25"/>
      <c r="S195" s="25"/>
      <c r="T195" s="25"/>
      <c r="U195" s="25" t="s">
        <v>52</v>
      </c>
      <c r="V195" s="25"/>
      <c r="W195" s="23">
        <v>17</v>
      </c>
      <c r="X195" s="105" t="e">
        <v>#NAME?</v>
      </c>
      <c r="Y195" s="24" t="e">
        <f t="shared" si="14"/>
        <v>#NAME?</v>
      </c>
      <c r="Z195" s="24" t="str">
        <f t="shared" si="15"/>
        <v/>
      </c>
    </row>
    <row r="196" spans="1:27" x14ac:dyDescent="0.15">
      <c r="E196" s="20"/>
      <c r="H196" s="21"/>
      <c r="M196" s="79"/>
      <c r="W196" s="23"/>
      <c r="X196" s="105" t="e">
        <v>#NAME?</v>
      </c>
      <c r="Y196" s="24" t="str">
        <f t="shared" si="14"/>
        <v/>
      </c>
      <c r="Z196" s="24" t="str">
        <f t="shared" si="15"/>
        <v/>
      </c>
    </row>
    <row r="197" spans="1:27" x14ac:dyDescent="0.15">
      <c r="A197" s="80" t="s">
        <v>140</v>
      </c>
      <c r="B197" s="80"/>
      <c r="C197" s="81"/>
      <c r="D197" s="81"/>
      <c r="E197" s="82"/>
      <c r="F197" s="80"/>
      <c r="G197" s="80"/>
      <c r="H197" s="83"/>
      <c r="I197" s="84"/>
      <c r="J197" s="84"/>
      <c r="K197" s="84"/>
      <c r="L197" s="84"/>
      <c r="M197" s="84"/>
      <c r="N197" s="84"/>
      <c r="O197" s="84"/>
      <c r="P197" s="84"/>
      <c r="W197" s="23"/>
      <c r="Y197" s="24" t="str">
        <f t="shared" si="14"/>
        <v/>
      </c>
      <c r="Z197" s="24" t="str">
        <f t="shared" si="15"/>
        <v/>
      </c>
    </row>
    <row r="198" spans="1:27" ht="16" customHeight="1" x14ac:dyDescent="0.15">
      <c r="A198" s="49" t="s">
        <v>61</v>
      </c>
      <c r="B198" s="49" t="s">
        <v>567</v>
      </c>
      <c r="C198" s="50" t="s">
        <v>568</v>
      </c>
      <c r="D198" s="50" t="s">
        <v>569</v>
      </c>
      <c r="E198" s="51"/>
      <c r="F198" s="49"/>
      <c r="G198" s="49"/>
      <c r="H198" s="52"/>
      <c r="I198" s="53" t="s">
        <v>51</v>
      </c>
      <c r="J198" s="53"/>
      <c r="K198" s="53"/>
      <c r="L198" s="53"/>
      <c r="M198" s="53" t="s">
        <v>570</v>
      </c>
      <c r="N198" s="53"/>
      <c r="O198" s="53"/>
      <c r="P198" s="53"/>
      <c r="Q198" s="54"/>
      <c r="R198" s="54"/>
      <c r="S198" s="54"/>
      <c r="T198" s="54"/>
      <c r="U198" s="1" t="s">
        <v>42</v>
      </c>
      <c r="V198" s="54"/>
      <c r="W198" s="23"/>
      <c r="Y198" s="24" t="str">
        <f t="shared" si="14"/>
        <v/>
      </c>
      <c r="Z198" s="24" t="str">
        <f t="shared" si="15"/>
        <v/>
      </c>
      <c r="AA198" s="55"/>
    </row>
    <row r="199" spans="1:27" x14ac:dyDescent="0.15">
      <c r="A199" s="54"/>
      <c r="B199" s="54"/>
      <c r="C199" s="98"/>
      <c r="D199" s="98"/>
      <c r="E199" s="51"/>
      <c r="F199" s="54"/>
      <c r="G199" s="54"/>
      <c r="H199" s="52"/>
      <c r="I199" s="99"/>
      <c r="J199" s="99"/>
      <c r="K199" s="99"/>
      <c r="L199" s="99"/>
      <c r="M199" s="99"/>
      <c r="N199" s="99"/>
      <c r="O199" s="99"/>
      <c r="P199" s="99"/>
      <c r="Q199" s="54"/>
      <c r="R199" s="54"/>
      <c r="S199" s="54"/>
      <c r="T199" s="54"/>
      <c r="V199" s="54"/>
      <c r="W199" s="23"/>
      <c r="X199" s="105" t="e">
        <v>#NAME?</v>
      </c>
      <c r="Y199" s="24" t="str">
        <f t="shared" si="14"/>
        <v/>
      </c>
      <c r="Z199" s="24" t="str">
        <f t="shared" si="15"/>
        <v/>
      </c>
      <c r="AA199" s="55"/>
    </row>
    <row r="200" spans="1:27" ht="28" customHeight="1" x14ac:dyDescent="0.15">
      <c r="A200" s="18" t="s">
        <v>571</v>
      </c>
      <c r="B200" s="18" t="s">
        <v>572</v>
      </c>
      <c r="C200" s="19" t="s">
        <v>573</v>
      </c>
      <c r="D200" s="19" t="s">
        <v>574</v>
      </c>
      <c r="E200" s="20"/>
      <c r="F200" s="104"/>
      <c r="G200" s="104"/>
      <c r="H200" s="21"/>
      <c r="I200" s="22" t="s">
        <v>40</v>
      </c>
      <c r="J200" s="22" t="s">
        <v>210</v>
      </c>
      <c r="K200" s="53"/>
      <c r="L200" s="53"/>
      <c r="M200" s="53"/>
      <c r="N200" s="53"/>
      <c r="O200" s="53"/>
      <c r="P200" s="53"/>
      <c r="Q200" s="54"/>
      <c r="R200" s="54"/>
      <c r="S200" s="54"/>
      <c r="T200" s="54"/>
      <c r="U200" s="1" t="s">
        <v>42</v>
      </c>
      <c r="V200" s="54"/>
      <c r="W200" s="23">
        <v>13.9993906021118</v>
      </c>
      <c r="X200" s="105" t="e">
        <v>#NAME?</v>
      </c>
      <c r="Y200" s="24" t="e">
        <f t="shared" si="14"/>
        <v>#NAME?</v>
      </c>
      <c r="Z200" s="24" t="e">
        <f t="shared" si="15"/>
        <v>#NAME?</v>
      </c>
      <c r="AA200" s="55"/>
    </row>
    <row r="201" spans="1:27" x14ac:dyDescent="0.15">
      <c r="A201" s="18" t="s">
        <v>26</v>
      </c>
      <c r="B201" s="18" t="s">
        <v>575</v>
      </c>
      <c r="C201" s="19"/>
      <c r="D201" s="19"/>
      <c r="E201" s="20"/>
      <c r="H201" s="21"/>
      <c r="I201" s="22"/>
      <c r="J201" s="22"/>
      <c r="K201" s="22"/>
      <c r="L201" s="22"/>
      <c r="M201" s="22"/>
      <c r="N201" s="22"/>
      <c r="O201" s="22"/>
      <c r="P201" s="22" t="s">
        <v>576</v>
      </c>
      <c r="U201" s="1" t="s">
        <v>42</v>
      </c>
      <c r="W201" s="23"/>
      <c r="X201" s="105" t="e">
        <v>#NAME?</v>
      </c>
      <c r="Y201" s="24" t="str">
        <f t="shared" si="14"/>
        <v/>
      </c>
      <c r="Z201" s="24" t="str">
        <f t="shared" si="15"/>
        <v/>
      </c>
    </row>
    <row r="202" spans="1:27" x14ac:dyDescent="0.15">
      <c r="E202" s="20"/>
      <c r="H202" s="21"/>
      <c r="W202" s="23"/>
      <c r="X202" s="105" t="e">
        <v>#NAME?</v>
      </c>
      <c r="Y202" s="24" t="str">
        <f t="shared" si="14"/>
        <v/>
      </c>
      <c r="Z202" s="24" t="str">
        <f t="shared" si="15"/>
        <v/>
      </c>
    </row>
    <row r="203" spans="1:27" ht="28" customHeight="1" x14ac:dyDescent="0.15">
      <c r="A203" s="18" t="s">
        <v>134</v>
      </c>
      <c r="B203" s="18" t="s">
        <v>577</v>
      </c>
      <c r="C203" s="19" t="s">
        <v>578</v>
      </c>
      <c r="D203" s="19" t="s">
        <v>579</v>
      </c>
      <c r="E203" s="20"/>
      <c r="H203" s="21"/>
      <c r="I203" s="22" t="s">
        <v>40</v>
      </c>
      <c r="J203" s="22"/>
      <c r="K203" s="22"/>
      <c r="L203" s="22"/>
      <c r="M203" s="22"/>
      <c r="N203" s="22"/>
      <c r="O203" s="22"/>
      <c r="P203" s="22"/>
      <c r="U203" s="1" t="s">
        <v>42</v>
      </c>
      <c r="W203" s="23">
        <v>10.252794265747101</v>
      </c>
      <c r="X203" s="105" t="e">
        <v>#NAME?</v>
      </c>
      <c r="Y203" s="24" t="e">
        <f t="shared" si="14"/>
        <v>#NAME?</v>
      </c>
      <c r="Z203" s="24" t="e">
        <f t="shared" si="15"/>
        <v>#NAME?</v>
      </c>
    </row>
    <row r="204" spans="1:27" ht="28" customHeight="1" x14ac:dyDescent="0.15">
      <c r="A204" s="18" t="s">
        <v>580</v>
      </c>
      <c r="B204" s="18" t="s">
        <v>581</v>
      </c>
      <c r="C204" s="19" t="s">
        <v>582</v>
      </c>
      <c r="D204" s="19" t="s">
        <v>583</v>
      </c>
      <c r="E204" s="20"/>
      <c r="F204" s="1" t="s">
        <v>448</v>
      </c>
      <c r="G204" s="1" t="s">
        <v>504</v>
      </c>
      <c r="H204" s="21"/>
      <c r="I204" s="22" t="s">
        <v>40</v>
      </c>
      <c r="J204" s="22"/>
      <c r="K204" s="43" t="s">
        <v>313</v>
      </c>
      <c r="L204" s="43"/>
      <c r="M204" s="43" t="s">
        <v>584</v>
      </c>
      <c r="N204" s="22"/>
      <c r="O204" s="22"/>
      <c r="P204" s="22"/>
      <c r="U204" s="1" t="s">
        <v>42</v>
      </c>
      <c r="W204" s="23">
        <v>24.194343566894499</v>
      </c>
      <c r="X204" s="105" t="e">
        <v>#NAME?</v>
      </c>
      <c r="Y204" s="24" t="e">
        <f t="shared" si="14"/>
        <v>#NAME?</v>
      </c>
      <c r="Z204" s="24" t="e">
        <f t="shared" si="15"/>
        <v>#NAME?</v>
      </c>
    </row>
    <row r="205" spans="1:27" x14ac:dyDescent="0.15">
      <c r="E205" s="20"/>
      <c r="H205" s="21"/>
      <c r="M205" s="79"/>
      <c r="W205" s="23"/>
      <c r="X205" s="105" t="e">
        <v>#NAME?</v>
      </c>
      <c r="Y205" s="24" t="str">
        <f t="shared" si="14"/>
        <v/>
      </c>
      <c r="Z205" s="24" t="str">
        <f t="shared" si="15"/>
        <v/>
      </c>
    </row>
    <row r="206" spans="1:27" ht="32" customHeight="1" x14ac:dyDescent="0.15">
      <c r="A206" s="18" t="s">
        <v>248</v>
      </c>
      <c r="B206" s="18" t="s">
        <v>585</v>
      </c>
      <c r="C206" s="40" t="s">
        <v>586</v>
      </c>
      <c r="D206" s="66" t="s">
        <v>587</v>
      </c>
      <c r="E206" s="20"/>
      <c r="F206" s="18" t="s">
        <v>509</v>
      </c>
      <c r="G206" s="104" t="s">
        <v>588</v>
      </c>
      <c r="H206" s="21"/>
      <c r="I206" s="22" t="s">
        <v>40</v>
      </c>
      <c r="J206" s="22"/>
      <c r="K206" s="22"/>
      <c r="L206" s="22"/>
      <c r="M206" s="43"/>
      <c r="N206" s="22"/>
      <c r="O206" s="22"/>
      <c r="P206" s="22"/>
      <c r="U206" s="1" t="s">
        <v>42</v>
      </c>
      <c r="W206" s="23">
        <v>19.3217372894287</v>
      </c>
      <c r="X206" s="105" t="e">
        <v>#NAME?</v>
      </c>
      <c r="Y206" s="24" t="e">
        <f t="shared" si="14"/>
        <v>#NAME?</v>
      </c>
      <c r="Z206" s="24" t="e">
        <f t="shared" si="15"/>
        <v>#NAME?</v>
      </c>
    </row>
    <row r="207" spans="1:27" x14ac:dyDescent="0.15">
      <c r="C207" s="70"/>
      <c r="D207" s="70"/>
      <c r="E207" s="20"/>
      <c r="H207" s="21"/>
      <c r="M207" s="79"/>
      <c r="W207" s="23"/>
      <c r="X207" s="105" t="e">
        <v>#NAME?</v>
      </c>
      <c r="Y207" s="24" t="str">
        <f t="shared" si="14"/>
        <v/>
      </c>
      <c r="Z207" s="24" t="str">
        <f t="shared" si="15"/>
        <v/>
      </c>
    </row>
    <row r="208" spans="1:27" x14ac:dyDescent="0.15">
      <c r="A208" s="80" t="s">
        <v>140</v>
      </c>
      <c r="B208" s="80"/>
      <c r="C208" s="81"/>
      <c r="D208" s="81"/>
      <c r="E208" s="82"/>
      <c r="F208" s="80"/>
      <c r="G208" s="80"/>
      <c r="H208" s="83"/>
      <c r="I208" s="84"/>
      <c r="J208" s="84"/>
      <c r="K208" s="84"/>
      <c r="L208" s="84"/>
      <c r="M208" s="84"/>
      <c r="N208" s="84"/>
      <c r="O208" s="84"/>
      <c r="P208" s="84"/>
      <c r="W208" s="23"/>
      <c r="Y208" s="24" t="str">
        <f t="shared" si="14"/>
        <v/>
      </c>
      <c r="Z208" s="24" t="str">
        <f t="shared" si="15"/>
        <v/>
      </c>
    </row>
    <row r="209" spans="1:27" ht="16" customHeight="1" x14ac:dyDescent="0.15">
      <c r="A209" s="49" t="s">
        <v>61</v>
      </c>
      <c r="B209" s="49" t="s">
        <v>589</v>
      </c>
      <c r="C209" s="50" t="s">
        <v>590</v>
      </c>
      <c r="D209" s="50" t="s">
        <v>591</v>
      </c>
      <c r="E209" s="51"/>
      <c r="F209" s="49"/>
      <c r="G209" s="49"/>
      <c r="H209" s="52"/>
      <c r="I209" s="53" t="s">
        <v>51</v>
      </c>
      <c r="J209" s="53"/>
      <c r="K209" s="53"/>
      <c r="L209" s="53"/>
      <c r="M209" s="53" t="s">
        <v>592</v>
      </c>
      <c r="N209" s="53"/>
      <c r="O209" s="53"/>
      <c r="P209" s="53"/>
      <c r="Q209" s="54"/>
      <c r="R209" s="54"/>
      <c r="S209" s="54"/>
      <c r="T209" s="54"/>
      <c r="U209" s="1" t="s">
        <v>42</v>
      </c>
      <c r="V209" s="54"/>
      <c r="W209" s="23"/>
      <c r="X209" s="55"/>
      <c r="Y209" s="24" t="str">
        <f t="shared" ref="Y209:Y240" si="16">IF(W209&lt;&gt;"",W209*X209,"")</f>
        <v/>
      </c>
      <c r="Z209" s="24" t="str">
        <f t="shared" ref="Z209:Z240" si="17">IF(AND(W209&lt;&gt;"",U209="yes"),W209*X209,"")</f>
        <v/>
      </c>
      <c r="AA209" s="55"/>
    </row>
    <row r="210" spans="1:27" ht="48" customHeight="1" x14ac:dyDescent="0.15">
      <c r="A210" s="39" t="s">
        <v>45</v>
      </c>
      <c r="B210" s="39" t="s">
        <v>593</v>
      </c>
      <c r="C210" s="40" t="s">
        <v>594</v>
      </c>
      <c r="D210" s="40" t="s">
        <v>595</v>
      </c>
      <c r="E210" s="41"/>
      <c r="F210" s="6"/>
      <c r="G210" s="6"/>
      <c r="H210" s="42"/>
      <c r="I210" s="43"/>
      <c r="J210" s="43"/>
      <c r="K210" s="43"/>
      <c r="L210" s="43"/>
      <c r="M210" s="43"/>
      <c r="N210" s="43"/>
      <c r="O210" s="43"/>
      <c r="P210" s="43"/>
      <c r="Q210" s="6"/>
      <c r="R210" s="6"/>
      <c r="S210" s="6"/>
      <c r="T210" s="6"/>
      <c r="U210" s="6" t="s">
        <v>42</v>
      </c>
      <c r="V210" s="6"/>
      <c r="W210" s="23">
        <v>7.5</v>
      </c>
      <c r="X210" s="105" t="e">
        <v>#NAME?</v>
      </c>
      <c r="Y210" s="24" t="e">
        <f t="shared" si="16"/>
        <v>#NAME?</v>
      </c>
      <c r="Z210" s="24" t="e">
        <f t="shared" si="17"/>
        <v>#NAME?</v>
      </c>
    </row>
    <row r="211" spans="1:27" x14ac:dyDescent="0.15">
      <c r="A211" s="54"/>
      <c r="B211" s="54"/>
      <c r="C211" s="98"/>
      <c r="D211" s="70"/>
      <c r="E211" s="51"/>
      <c r="F211" s="54"/>
      <c r="G211" s="54"/>
      <c r="H211" s="52"/>
      <c r="I211" s="99"/>
      <c r="J211" s="99"/>
      <c r="K211" s="99"/>
      <c r="L211" s="99"/>
      <c r="M211" s="99"/>
      <c r="N211" s="99"/>
      <c r="O211" s="99"/>
      <c r="P211" s="99"/>
      <c r="Q211" s="54"/>
      <c r="R211" s="54"/>
      <c r="S211" s="54"/>
      <c r="T211" s="54"/>
      <c r="V211" s="54"/>
      <c r="W211" s="23"/>
      <c r="X211" s="105" t="e">
        <v>#NAME?</v>
      </c>
      <c r="Y211" s="24" t="str">
        <f t="shared" si="16"/>
        <v/>
      </c>
      <c r="Z211" s="24" t="str">
        <f t="shared" si="17"/>
        <v/>
      </c>
      <c r="AA211" s="55"/>
    </row>
    <row r="212" spans="1:27" ht="16" customHeight="1" x14ac:dyDescent="0.15">
      <c r="A212" s="18" t="s">
        <v>596</v>
      </c>
      <c r="B212" s="18" t="s">
        <v>597</v>
      </c>
      <c r="C212" s="19" t="s">
        <v>598</v>
      </c>
      <c r="D212" s="40" t="s">
        <v>599</v>
      </c>
      <c r="E212" s="20"/>
      <c r="F212" s="1" t="s">
        <v>600</v>
      </c>
      <c r="G212" s="1" t="s">
        <v>416</v>
      </c>
      <c r="H212" s="21"/>
      <c r="I212" s="22" t="s">
        <v>40</v>
      </c>
      <c r="J212" s="22"/>
      <c r="K212" s="22" t="s">
        <v>313</v>
      </c>
      <c r="L212" s="22"/>
      <c r="M212" s="22"/>
      <c r="N212" s="22"/>
      <c r="O212" s="22"/>
      <c r="P212" s="22"/>
      <c r="U212" s="1" t="s">
        <v>42</v>
      </c>
      <c r="W212" s="23">
        <v>19.090116500854499</v>
      </c>
      <c r="X212" s="105" t="e">
        <v>#NAME?</v>
      </c>
      <c r="Y212" s="24" t="e">
        <f t="shared" si="16"/>
        <v>#NAME?</v>
      </c>
      <c r="Z212" s="24" t="e">
        <f t="shared" si="17"/>
        <v>#NAME?</v>
      </c>
    </row>
    <row r="213" spans="1:27" x14ac:dyDescent="0.15">
      <c r="D213" s="70"/>
      <c r="E213" s="20"/>
      <c r="H213" s="21"/>
      <c r="W213" s="23"/>
      <c r="X213" s="105" t="e">
        <v>#NAME?</v>
      </c>
      <c r="Y213" s="24" t="str">
        <f t="shared" si="16"/>
        <v/>
      </c>
      <c r="Z213" s="24" t="str">
        <f t="shared" si="17"/>
        <v/>
      </c>
    </row>
    <row r="214" spans="1:27" ht="48" customHeight="1" x14ac:dyDescent="0.15">
      <c r="A214" s="18" t="s">
        <v>248</v>
      </c>
      <c r="B214" s="18" t="s">
        <v>601</v>
      </c>
      <c r="C214" s="19" t="s">
        <v>602</v>
      </c>
      <c r="D214" s="40" t="s">
        <v>603</v>
      </c>
      <c r="E214" s="20"/>
      <c r="H214" s="21"/>
      <c r="I214" s="22" t="s">
        <v>40</v>
      </c>
      <c r="J214" s="22"/>
      <c r="K214" s="22"/>
      <c r="L214" s="22"/>
      <c r="M214" s="22"/>
      <c r="N214" s="22"/>
      <c r="O214" s="22"/>
      <c r="P214" s="22"/>
      <c r="U214" s="1" t="s">
        <v>42</v>
      </c>
      <c r="W214" s="23">
        <v>17.656976699829102</v>
      </c>
      <c r="X214" s="105" t="e">
        <v>#NAME?</v>
      </c>
      <c r="Y214" s="24" t="e">
        <f t="shared" si="16"/>
        <v>#NAME?</v>
      </c>
      <c r="Z214" s="24" t="e">
        <f t="shared" si="17"/>
        <v>#NAME?</v>
      </c>
    </row>
    <row r="215" spans="1:27" x14ac:dyDescent="0.15">
      <c r="D215" s="70"/>
      <c r="E215" s="20"/>
      <c r="H215" s="21"/>
      <c r="W215" s="23"/>
      <c r="X215" s="105" t="e">
        <v>#NAME?</v>
      </c>
      <c r="Y215" s="24" t="str">
        <f t="shared" si="16"/>
        <v/>
      </c>
      <c r="Z215" s="24" t="str">
        <f t="shared" si="17"/>
        <v/>
      </c>
    </row>
    <row r="216" spans="1:27" ht="32" customHeight="1" x14ac:dyDescent="0.15">
      <c r="A216" s="18" t="s">
        <v>134</v>
      </c>
      <c r="B216" s="18" t="s">
        <v>604</v>
      </c>
      <c r="C216" s="19" t="s">
        <v>605</v>
      </c>
      <c r="D216" s="40" t="s">
        <v>606</v>
      </c>
      <c r="E216" s="20"/>
      <c r="H216" s="21"/>
      <c r="I216" s="22" t="s">
        <v>40</v>
      </c>
      <c r="J216" s="22"/>
      <c r="K216" s="22"/>
      <c r="L216" s="22"/>
      <c r="M216" s="22"/>
      <c r="N216" s="22"/>
      <c r="O216" s="22"/>
      <c r="P216" s="22"/>
      <c r="U216" s="1" t="s">
        <v>42</v>
      </c>
      <c r="W216" s="90">
        <v>8.7647056579589808</v>
      </c>
      <c r="X216" s="105" t="e">
        <v>#NAME?</v>
      </c>
      <c r="Y216" s="24" t="e">
        <f t="shared" si="16"/>
        <v>#NAME?</v>
      </c>
      <c r="Z216" s="24" t="e">
        <f t="shared" si="17"/>
        <v>#NAME?</v>
      </c>
    </row>
    <row r="217" spans="1:27" ht="32" customHeight="1" x14ac:dyDescent="0.15">
      <c r="A217" s="18" t="s">
        <v>607</v>
      </c>
      <c r="B217" s="18" t="s">
        <v>608</v>
      </c>
      <c r="C217" s="19" t="s">
        <v>609</v>
      </c>
      <c r="D217" s="40" t="s">
        <v>610</v>
      </c>
      <c r="E217" s="20"/>
      <c r="F217" s="1" t="s">
        <v>448</v>
      </c>
      <c r="G217" s="1" t="s">
        <v>611</v>
      </c>
      <c r="H217" s="21"/>
      <c r="I217" s="22"/>
      <c r="J217" s="22"/>
      <c r="K217" s="43" t="s">
        <v>313</v>
      </c>
      <c r="L217" s="22"/>
      <c r="M217" s="43" t="s">
        <v>612</v>
      </c>
      <c r="N217" s="22"/>
      <c r="O217" s="22"/>
      <c r="P217" s="22"/>
      <c r="U217" s="1" t="s">
        <v>42</v>
      </c>
      <c r="W217" s="90">
        <v>27.9538459777832</v>
      </c>
      <c r="X217" s="105" t="e">
        <v>#NAME?</v>
      </c>
      <c r="Y217" s="24" t="e">
        <f t="shared" si="16"/>
        <v>#NAME?</v>
      </c>
      <c r="Z217" s="24" t="e">
        <f t="shared" si="17"/>
        <v>#NAME?</v>
      </c>
    </row>
    <row r="218" spans="1:27" ht="16" customHeight="1" x14ac:dyDescent="0.15">
      <c r="A218" s="18" t="s">
        <v>66</v>
      </c>
      <c r="B218" s="18" t="s">
        <v>613</v>
      </c>
      <c r="C218" s="40" t="s">
        <v>346</v>
      </c>
      <c r="E218" s="41"/>
      <c r="F218" s="6" t="s">
        <v>348</v>
      </c>
      <c r="G218" s="25" t="s">
        <v>614</v>
      </c>
      <c r="H218" s="21"/>
      <c r="I218" s="22" t="s">
        <v>40</v>
      </c>
      <c r="J218" s="22"/>
      <c r="K218" s="22"/>
      <c r="L218" s="22"/>
      <c r="M218" s="22" t="s">
        <v>615</v>
      </c>
      <c r="N218" s="22"/>
      <c r="O218" s="22"/>
      <c r="P218" s="22"/>
      <c r="U218" s="1" t="s">
        <v>42</v>
      </c>
      <c r="W218" s="23"/>
      <c r="X218" s="105" t="e">
        <v>#NAME?</v>
      </c>
      <c r="Y218" s="24" t="str">
        <f t="shared" si="16"/>
        <v/>
      </c>
      <c r="Z218" s="24" t="str">
        <f t="shared" si="17"/>
        <v/>
      </c>
    </row>
    <row r="219" spans="1:27" x14ac:dyDescent="0.15">
      <c r="E219" s="20"/>
      <c r="H219" s="21"/>
      <c r="W219" s="23"/>
      <c r="X219" s="105" t="e">
        <v>#NAME?</v>
      </c>
      <c r="Y219" s="24" t="str">
        <f t="shared" si="16"/>
        <v/>
      </c>
      <c r="Z219" s="24" t="str">
        <f t="shared" si="17"/>
        <v/>
      </c>
    </row>
    <row r="220" spans="1:27" ht="32" customHeight="1" x14ac:dyDescent="0.15">
      <c r="A220" s="25" t="s">
        <v>616</v>
      </c>
      <c r="B220" s="25" t="s">
        <v>617</v>
      </c>
      <c r="C220" s="26" t="s">
        <v>618</v>
      </c>
      <c r="D220" s="26" t="s">
        <v>619</v>
      </c>
      <c r="E220" s="27"/>
      <c r="F220" s="25" t="s">
        <v>600</v>
      </c>
      <c r="G220" s="25" t="s">
        <v>620</v>
      </c>
      <c r="H220" s="28"/>
      <c r="I220" s="29" t="s">
        <v>40</v>
      </c>
      <c r="J220" s="29"/>
      <c r="K220" s="29" t="s">
        <v>313</v>
      </c>
      <c r="L220" s="29"/>
      <c r="M220" s="29" t="s">
        <v>621</v>
      </c>
      <c r="N220" s="29"/>
      <c r="O220" s="29"/>
      <c r="P220" s="29"/>
      <c r="Q220" s="25"/>
      <c r="R220" s="25"/>
      <c r="S220" s="25"/>
      <c r="T220" s="25"/>
      <c r="U220" s="25" t="s">
        <v>52</v>
      </c>
      <c r="V220" s="25"/>
      <c r="W220" s="23">
        <v>21.25</v>
      </c>
      <c r="X220" s="105" t="e">
        <v>#NAME?</v>
      </c>
      <c r="Y220" s="24" t="e">
        <f t="shared" si="16"/>
        <v>#NAME?</v>
      </c>
      <c r="Z220" s="24" t="str">
        <f t="shared" si="17"/>
        <v/>
      </c>
    </row>
    <row r="221" spans="1:27" ht="16" customHeight="1" x14ac:dyDescent="0.15">
      <c r="A221" s="25" t="s">
        <v>66</v>
      </c>
      <c r="B221" s="25" t="s">
        <v>622</v>
      </c>
      <c r="C221" s="26" t="s">
        <v>346</v>
      </c>
      <c r="D221" s="26" t="s">
        <v>623</v>
      </c>
      <c r="E221" s="27"/>
      <c r="F221" s="25" t="s">
        <v>348</v>
      </c>
      <c r="G221" s="25" t="s">
        <v>614</v>
      </c>
      <c r="H221" s="28"/>
      <c r="I221" s="29" t="s">
        <v>40</v>
      </c>
      <c r="J221" s="29"/>
      <c r="K221" s="29"/>
      <c r="L221" s="29"/>
      <c r="M221" s="29" t="s">
        <v>624</v>
      </c>
      <c r="N221" s="29"/>
      <c r="O221" s="29"/>
      <c r="P221" s="29"/>
      <c r="Q221" s="25"/>
      <c r="R221" s="25"/>
      <c r="S221" s="25"/>
      <c r="T221" s="25"/>
      <c r="U221" s="25" t="s">
        <v>52</v>
      </c>
      <c r="V221" s="25"/>
      <c r="W221" s="23"/>
      <c r="X221" s="105" t="e">
        <v>#NAME?</v>
      </c>
      <c r="Y221" s="24" t="str">
        <f t="shared" si="16"/>
        <v/>
      </c>
      <c r="Z221" s="24" t="str">
        <f t="shared" si="17"/>
        <v/>
      </c>
    </row>
    <row r="222" spans="1:27" x14ac:dyDescent="0.15">
      <c r="A222" s="25"/>
      <c r="B222" s="25"/>
      <c r="C222" s="26"/>
      <c r="D222" s="26"/>
      <c r="E222" s="27"/>
      <c r="F222" s="25"/>
      <c r="G222" s="25"/>
      <c r="H222" s="28"/>
      <c r="I222" s="29"/>
      <c r="J222" s="29"/>
      <c r="K222" s="29"/>
      <c r="L222" s="29"/>
      <c r="M222" s="29"/>
      <c r="N222" s="29"/>
      <c r="O222" s="29"/>
      <c r="P222" s="29"/>
      <c r="Q222" s="25"/>
      <c r="R222" s="25"/>
      <c r="S222" s="25"/>
      <c r="T222" s="25"/>
      <c r="U222" s="25"/>
      <c r="V222" s="25"/>
      <c r="W222" s="23"/>
      <c r="X222" s="105" t="e">
        <v>#NAME?</v>
      </c>
      <c r="Y222" s="24" t="str">
        <f t="shared" si="16"/>
        <v/>
      </c>
      <c r="Z222" s="24" t="str">
        <f t="shared" si="17"/>
        <v/>
      </c>
    </row>
    <row r="223" spans="1:27" x14ac:dyDescent="0.15">
      <c r="A223" s="72" t="s">
        <v>140</v>
      </c>
      <c r="B223" s="72"/>
      <c r="C223" s="73"/>
      <c r="D223" s="73"/>
      <c r="E223" s="46"/>
      <c r="F223" s="72"/>
      <c r="G223" s="72"/>
      <c r="H223" s="47"/>
      <c r="I223" s="74"/>
      <c r="J223" s="74"/>
      <c r="K223" s="74"/>
      <c r="L223" s="74"/>
      <c r="M223" s="74"/>
      <c r="N223" s="74"/>
      <c r="O223" s="74"/>
      <c r="P223" s="74"/>
      <c r="W223" s="23"/>
      <c r="Y223" s="24" t="str">
        <f t="shared" si="16"/>
        <v/>
      </c>
      <c r="Z223" s="24" t="str">
        <f t="shared" si="17"/>
        <v/>
      </c>
    </row>
    <row r="224" spans="1:27" ht="16" customHeight="1" x14ac:dyDescent="0.15">
      <c r="A224" s="49" t="s">
        <v>61</v>
      </c>
      <c r="B224" s="49" t="s">
        <v>625</v>
      </c>
      <c r="C224" s="50" t="s">
        <v>626</v>
      </c>
      <c r="D224" s="50" t="s">
        <v>627</v>
      </c>
      <c r="E224" s="51"/>
      <c r="F224" s="49"/>
      <c r="G224" s="49"/>
      <c r="H224" s="52"/>
      <c r="I224" s="53" t="s">
        <v>51</v>
      </c>
      <c r="J224" s="53"/>
      <c r="K224" s="53"/>
      <c r="L224" s="53"/>
      <c r="M224" s="53" t="s">
        <v>628</v>
      </c>
      <c r="N224" s="53"/>
      <c r="O224" s="53"/>
      <c r="P224" s="53"/>
      <c r="Q224" s="54"/>
      <c r="R224" s="54"/>
      <c r="S224" s="54"/>
      <c r="T224" s="54"/>
      <c r="U224" s="1" t="s">
        <v>42</v>
      </c>
      <c r="V224" s="54"/>
      <c r="W224" s="23"/>
      <c r="X224" s="55"/>
      <c r="Y224" s="24" t="str">
        <f t="shared" si="16"/>
        <v/>
      </c>
      <c r="Z224" s="24" t="str">
        <f t="shared" si="17"/>
        <v/>
      </c>
      <c r="AA224" s="55"/>
    </row>
    <row r="225" spans="1:27" x14ac:dyDescent="0.15">
      <c r="A225" s="54"/>
      <c r="B225" s="54"/>
      <c r="C225" s="98"/>
      <c r="D225" s="98"/>
      <c r="E225" s="51"/>
      <c r="F225" s="54"/>
      <c r="G225" s="54"/>
      <c r="H225" s="52"/>
      <c r="I225" s="99"/>
      <c r="J225" s="99"/>
      <c r="K225" s="99"/>
      <c r="L225" s="99"/>
      <c r="M225" s="99"/>
      <c r="N225" s="99"/>
      <c r="O225" s="99"/>
      <c r="P225" s="99"/>
      <c r="Q225" s="54"/>
      <c r="R225" s="54"/>
      <c r="S225" s="54"/>
      <c r="T225" s="54"/>
      <c r="V225" s="54"/>
      <c r="W225" s="23"/>
      <c r="X225" s="105" t="e">
        <v>#NAME?</v>
      </c>
      <c r="Y225" s="24" t="str">
        <f t="shared" si="16"/>
        <v/>
      </c>
      <c r="Z225" s="24" t="str">
        <f t="shared" si="17"/>
        <v/>
      </c>
      <c r="AA225" s="55"/>
    </row>
    <row r="226" spans="1:27" ht="28" customHeight="1" x14ac:dyDescent="0.15">
      <c r="A226" s="18" t="s">
        <v>629</v>
      </c>
      <c r="B226" s="18" t="s">
        <v>630</v>
      </c>
      <c r="C226" s="19" t="s">
        <v>631</v>
      </c>
      <c r="D226" s="19" t="s">
        <v>632</v>
      </c>
      <c r="E226" s="20"/>
      <c r="F226" s="18"/>
      <c r="G226" s="18"/>
      <c r="H226" s="21"/>
      <c r="I226" s="22" t="s">
        <v>40</v>
      </c>
      <c r="J226" s="53"/>
      <c r="K226" s="53"/>
      <c r="L226" s="53"/>
      <c r="M226" s="53"/>
      <c r="N226" s="53"/>
      <c r="O226" s="53"/>
      <c r="P226" s="53"/>
      <c r="Q226" s="54"/>
      <c r="R226" s="54"/>
      <c r="S226" s="54"/>
      <c r="T226" s="54"/>
      <c r="U226" s="1" t="s">
        <v>42</v>
      </c>
      <c r="V226" s="54"/>
      <c r="W226" s="23">
        <v>14.384955406189</v>
      </c>
      <c r="X226" s="105" t="e">
        <v>#NAME?</v>
      </c>
      <c r="Y226" s="24" t="e">
        <f t="shared" si="16"/>
        <v>#NAME?</v>
      </c>
      <c r="Z226" s="24" t="e">
        <f t="shared" si="17"/>
        <v>#NAME?</v>
      </c>
      <c r="AA226" s="55"/>
    </row>
    <row r="227" spans="1:27" x14ac:dyDescent="0.15">
      <c r="A227" s="18" t="s">
        <v>26</v>
      </c>
      <c r="B227" s="18" t="s">
        <v>633</v>
      </c>
      <c r="C227" s="19"/>
      <c r="D227" s="19"/>
      <c r="E227" s="20"/>
      <c r="F227" s="18"/>
      <c r="G227" s="18"/>
      <c r="H227" s="21"/>
      <c r="I227" s="22"/>
      <c r="J227" s="22"/>
      <c r="K227" s="22"/>
      <c r="L227" s="22"/>
      <c r="M227" s="22"/>
      <c r="N227" s="22"/>
      <c r="O227" s="22"/>
      <c r="P227" s="22" t="s">
        <v>634</v>
      </c>
      <c r="U227" s="1" t="s">
        <v>42</v>
      </c>
      <c r="W227" s="23"/>
      <c r="X227" s="105" t="e">
        <v>#NAME?</v>
      </c>
      <c r="Y227" s="24" t="str">
        <f t="shared" si="16"/>
        <v/>
      </c>
      <c r="Z227" s="24" t="str">
        <f t="shared" si="17"/>
        <v/>
      </c>
    </row>
    <row r="228" spans="1:27" ht="16" customHeight="1" x14ac:dyDescent="0.15">
      <c r="A228" s="18" t="s">
        <v>66</v>
      </c>
      <c r="B228" s="18" t="s">
        <v>635</v>
      </c>
      <c r="C228" s="40" t="s">
        <v>346</v>
      </c>
      <c r="D228" s="19" t="s">
        <v>402</v>
      </c>
      <c r="E228" s="41"/>
      <c r="F228" s="6" t="s">
        <v>348</v>
      </c>
      <c r="G228" s="25" t="s">
        <v>614</v>
      </c>
      <c r="H228" s="21"/>
      <c r="I228" s="22" t="s">
        <v>40</v>
      </c>
      <c r="J228" s="22"/>
      <c r="K228" s="22"/>
      <c r="L228" s="22"/>
      <c r="M228" s="43" t="s">
        <v>636</v>
      </c>
      <c r="N228" s="22"/>
      <c r="O228" s="22"/>
      <c r="P228" s="22"/>
      <c r="U228" s="1" t="s">
        <v>42</v>
      </c>
      <c r="W228" s="23"/>
      <c r="X228" s="105" t="e">
        <v>#NAME?</v>
      </c>
      <c r="Y228" s="24" t="str">
        <f t="shared" si="16"/>
        <v/>
      </c>
      <c r="Z228" s="24" t="str">
        <f t="shared" si="17"/>
        <v/>
      </c>
    </row>
    <row r="229" spans="1:27" x14ac:dyDescent="0.15">
      <c r="E229" s="20"/>
      <c r="H229" s="21"/>
      <c r="M229" s="79"/>
      <c r="W229" s="23"/>
      <c r="X229" s="105" t="e">
        <v>#NAME?</v>
      </c>
      <c r="Y229" s="24" t="str">
        <f t="shared" si="16"/>
        <v/>
      </c>
      <c r="Z229" s="24" t="str">
        <f t="shared" si="17"/>
        <v/>
      </c>
    </row>
    <row r="230" spans="1:27" ht="28" customHeight="1" x14ac:dyDescent="0.15">
      <c r="A230" s="18" t="s">
        <v>134</v>
      </c>
      <c r="B230" s="18" t="s">
        <v>637</v>
      </c>
      <c r="C230" s="19" t="s">
        <v>638</v>
      </c>
      <c r="D230" s="19" t="s">
        <v>639</v>
      </c>
      <c r="E230" s="20"/>
      <c r="F230" s="18"/>
      <c r="G230" s="18"/>
      <c r="H230" s="21"/>
      <c r="I230" s="22" t="s">
        <v>40</v>
      </c>
      <c r="J230" s="22"/>
      <c r="K230" s="22"/>
      <c r="L230" s="22"/>
      <c r="M230" s="22"/>
      <c r="N230" s="22"/>
      <c r="O230" s="22"/>
      <c r="P230" s="22"/>
      <c r="U230" s="1" t="s">
        <v>42</v>
      </c>
      <c r="W230" s="23">
        <v>9.4380531311035192</v>
      </c>
      <c r="X230" s="105" t="e">
        <v>#NAME?</v>
      </c>
      <c r="Y230" s="24" t="e">
        <f t="shared" si="16"/>
        <v>#NAME?</v>
      </c>
      <c r="Z230" s="24" t="e">
        <f t="shared" si="17"/>
        <v>#NAME?</v>
      </c>
    </row>
    <row r="231" spans="1:27" ht="28" customHeight="1" x14ac:dyDescent="0.15">
      <c r="A231" s="18" t="s">
        <v>640</v>
      </c>
      <c r="B231" s="18" t="s">
        <v>641</v>
      </c>
      <c r="C231" s="19" t="s">
        <v>642</v>
      </c>
      <c r="D231" s="19" t="s">
        <v>643</v>
      </c>
      <c r="E231" s="20"/>
      <c r="F231" s="18" t="s">
        <v>344</v>
      </c>
      <c r="G231" s="18" t="s">
        <v>644</v>
      </c>
      <c r="H231" s="21"/>
      <c r="I231" s="22" t="s">
        <v>40</v>
      </c>
      <c r="J231" s="22"/>
      <c r="K231" s="43" t="s">
        <v>313</v>
      </c>
      <c r="L231" s="22"/>
      <c r="M231" s="43" t="s">
        <v>645</v>
      </c>
      <c r="N231" s="22"/>
      <c r="O231" s="22"/>
      <c r="P231" s="22"/>
      <c r="U231" s="1" t="s">
        <v>42</v>
      </c>
      <c r="W231" s="23">
        <v>27.766990661621101</v>
      </c>
      <c r="X231" s="105" t="e">
        <v>#NAME?</v>
      </c>
      <c r="Y231" s="24" t="e">
        <f t="shared" si="16"/>
        <v>#NAME?</v>
      </c>
      <c r="Z231" s="24" t="e">
        <f t="shared" si="17"/>
        <v>#NAME?</v>
      </c>
    </row>
    <row r="232" spans="1:27" ht="16" customHeight="1" x14ac:dyDescent="0.15">
      <c r="A232" s="18" t="s">
        <v>66</v>
      </c>
      <c r="B232" s="18" t="s">
        <v>646</v>
      </c>
      <c r="C232" s="40" t="s">
        <v>346</v>
      </c>
      <c r="D232" s="19" t="s">
        <v>402</v>
      </c>
      <c r="E232" s="41"/>
      <c r="F232" s="6" t="s">
        <v>348</v>
      </c>
      <c r="G232" s="25" t="s">
        <v>614</v>
      </c>
      <c r="H232" s="21"/>
      <c r="I232" s="22" t="s">
        <v>40</v>
      </c>
      <c r="J232" s="22"/>
      <c r="K232" s="22"/>
      <c r="L232" s="22"/>
      <c r="M232" s="43" t="s">
        <v>647</v>
      </c>
      <c r="N232" s="22"/>
      <c r="O232" s="22"/>
      <c r="P232" s="22"/>
      <c r="U232" s="1" t="s">
        <v>42</v>
      </c>
      <c r="W232" s="23"/>
      <c r="X232" s="105" t="e">
        <v>#NAME?</v>
      </c>
      <c r="Y232" s="24" t="str">
        <f t="shared" si="16"/>
        <v/>
      </c>
      <c r="Z232" s="24" t="str">
        <f t="shared" si="17"/>
        <v/>
      </c>
    </row>
    <row r="233" spans="1:27" x14ac:dyDescent="0.15">
      <c r="E233" s="20"/>
      <c r="H233" s="21"/>
      <c r="M233" s="79"/>
      <c r="W233" s="23"/>
      <c r="X233" s="105" t="e">
        <v>#NAME?</v>
      </c>
      <c r="Y233" s="24" t="str">
        <f t="shared" si="16"/>
        <v/>
      </c>
      <c r="Z233" s="24" t="str">
        <f t="shared" si="17"/>
        <v/>
      </c>
    </row>
    <row r="234" spans="1:27" ht="48" customHeight="1" x14ac:dyDescent="0.15">
      <c r="A234" s="18" t="s">
        <v>248</v>
      </c>
      <c r="B234" s="18" t="s">
        <v>648</v>
      </c>
      <c r="C234" s="40" t="s">
        <v>649</v>
      </c>
      <c r="D234" s="66" t="s">
        <v>650</v>
      </c>
      <c r="E234" s="20"/>
      <c r="F234" s="18" t="s">
        <v>509</v>
      </c>
      <c r="G234" s="18" t="s">
        <v>588</v>
      </c>
      <c r="H234" s="21"/>
      <c r="I234" s="22" t="s">
        <v>40</v>
      </c>
      <c r="J234" s="22"/>
      <c r="K234" s="22"/>
      <c r="L234" s="22"/>
      <c r="M234" s="43"/>
      <c r="N234" s="22"/>
      <c r="O234" s="22"/>
      <c r="P234" s="22"/>
      <c r="U234" s="1" t="s">
        <v>42</v>
      </c>
      <c r="W234" s="23">
        <v>13.705752372741699</v>
      </c>
      <c r="X234" s="105" t="e">
        <v>#NAME?</v>
      </c>
      <c r="Y234" s="24" t="e">
        <f t="shared" si="16"/>
        <v>#NAME?</v>
      </c>
      <c r="Z234" s="24" t="e">
        <f t="shared" si="17"/>
        <v>#NAME?</v>
      </c>
    </row>
    <row r="235" spans="1:27" x14ac:dyDescent="0.15">
      <c r="C235" s="70"/>
      <c r="D235" s="70"/>
      <c r="E235" s="20"/>
      <c r="H235" s="21"/>
      <c r="M235" s="79"/>
      <c r="W235" s="23"/>
      <c r="X235" s="105" t="e">
        <v>#NAME?</v>
      </c>
      <c r="Y235" s="24" t="str">
        <f t="shared" si="16"/>
        <v/>
      </c>
      <c r="Z235" s="24" t="str">
        <f t="shared" si="17"/>
        <v/>
      </c>
    </row>
    <row r="236" spans="1:27" x14ac:dyDescent="0.15">
      <c r="A236" s="80" t="s">
        <v>140</v>
      </c>
      <c r="B236" s="80"/>
      <c r="C236" s="81"/>
      <c r="D236" s="81"/>
      <c r="E236" s="82"/>
      <c r="F236" s="80"/>
      <c r="G236" s="80"/>
      <c r="H236" s="83"/>
      <c r="I236" s="84"/>
      <c r="J236" s="84"/>
      <c r="K236" s="84"/>
      <c r="L236" s="84"/>
      <c r="M236" s="84"/>
      <c r="N236" s="84"/>
      <c r="O236" s="84"/>
      <c r="P236" s="84"/>
      <c r="W236" s="23"/>
      <c r="Y236" s="24" t="str">
        <f t="shared" si="16"/>
        <v/>
      </c>
      <c r="Z236" s="24" t="str">
        <f t="shared" si="17"/>
        <v/>
      </c>
    </row>
    <row r="237" spans="1:27" ht="16" customHeight="1" x14ac:dyDescent="0.15">
      <c r="A237" s="49" t="s">
        <v>61</v>
      </c>
      <c r="B237" s="49" t="s">
        <v>651</v>
      </c>
      <c r="C237" s="50" t="s">
        <v>652</v>
      </c>
      <c r="D237" s="50" t="s">
        <v>653</v>
      </c>
      <c r="E237" s="51"/>
      <c r="F237" s="49"/>
      <c r="G237" s="49"/>
      <c r="H237" s="52"/>
      <c r="I237" s="53" t="s">
        <v>51</v>
      </c>
      <c r="J237" s="53"/>
      <c r="K237" s="53"/>
      <c r="L237" s="53"/>
      <c r="M237" s="53" t="s">
        <v>144</v>
      </c>
      <c r="N237" s="53"/>
      <c r="O237" s="53"/>
      <c r="P237" s="53"/>
      <c r="Q237" s="54"/>
      <c r="R237" s="54"/>
      <c r="S237" s="54"/>
      <c r="T237" s="54"/>
      <c r="U237" s="1" t="s">
        <v>42</v>
      </c>
      <c r="V237" s="54"/>
      <c r="W237" s="23"/>
      <c r="X237" s="55"/>
      <c r="Y237" s="24" t="str">
        <f t="shared" si="16"/>
        <v/>
      </c>
      <c r="Z237" s="24" t="str">
        <f t="shared" si="17"/>
        <v/>
      </c>
      <c r="AA237" s="55"/>
    </row>
    <row r="238" spans="1:27" x14ac:dyDescent="0.15">
      <c r="C238" s="70"/>
      <c r="D238" s="70"/>
      <c r="E238" s="20"/>
      <c r="H238" s="21"/>
      <c r="M238" s="79"/>
      <c r="W238" s="23"/>
      <c r="X238" s="105">
        <v>1</v>
      </c>
      <c r="Y238" s="24" t="str">
        <f t="shared" si="16"/>
        <v/>
      </c>
      <c r="Z238" s="24" t="str">
        <f t="shared" si="17"/>
        <v/>
      </c>
    </row>
    <row r="239" spans="1:27" ht="42" customHeight="1" x14ac:dyDescent="0.15">
      <c r="A239" s="18" t="s">
        <v>45</v>
      </c>
      <c r="B239" s="18" t="s">
        <v>654</v>
      </c>
      <c r="C239" s="19" t="s">
        <v>655</v>
      </c>
      <c r="D239" s="19" t="s">
        <v>656</v>
      </c>
      <c r="E239" s="51"/>
      <c r="F239" s="54"/>
      <c r="G239" s="54"/>
      <c r="H239" s="52"/>
      <c r="I239" s="53"/>
      <c r="J239" s="53"/>
      <c r="K239" s="53"/>
      <c r="L239" s="53"/>
      <c r="M239" s="53"/>
      <c r="N239" s="53"/>
      <c r="O239" s="53"/>
      <c r="P239" s="53"/>
      <c r="Q239" s="54"/>
      <c r="R239" s="54"/>
      <c r="S239" s="54"/>
      <c r="T239" s="54"/>
      <c r="U239" s="1" t="s">
        <v>52</v>
      </c>
      <c r="V239" s="54"/>
      <c r="W239" s="23"/>
      <c r="X239" s="110">
        <v>1</v>
      </c>
      <c r="Y239" s="24" t="str">
        <f t="shared" si="16"/>
        <v/>
      </c>
      <c r="Z239" s="24" t="str">
        <f t="shared" si="17"/>
        <v/>
      </c>
      <c r="AA239" s="55"/>
    </row>
    <row r="240" spans="1:27" x14ac:dyDescent="0.15">
      <c r="C240" s="70"/>
      <c r="D240" s="70"/>
      <c r="E240" s="20"/>
      <c r="H240" s="21"/>
      <c r="M240" s="79"/>
      <c r="W240" s="23"/>
      <c r="X240" s="105">
        <v>1</v>
      </c>
      <c r="Y240" s="24" t="str">
        <f t="shared" si="16"/>
        <v/>
      </c>
      <c r="Z240" s="24" t="str">
        <f t="shared" si="17"/>
        <v/>
      </c>
    </row>
    <row r="241" spans="1:27" ht="16" customHeight="1" x14ac:dyDescent="0.15">
      <c r="A241" s="18" t="s">
        <v>61</v>
      </c>
      <c r="B241" s="18" t="s">
        <v>657</v>
      </c>
      <c r="C241" s="50" t="s">
        <v>658</v>
      </c>
      <c r="D241" s="50" t="s">
        <v>658</v>
      </c>
      <c r="E241" s="51"/>
      <c r="F241" s="49"/>
      <c r="G241" s="49"/>
      <c r="H241" s="52"/>
      <c r="I241" s="53"/>
      <c r="J241" s="53"/>
      <c r="K241" s="53"/>
      <c r="L241" s="53"/>
      <c r="M241" s="53"/>
      <c r="N241" s="53"/>
      <c r="O241" s="53"/>
      <c r="P241" s="53"/>
      <c r="Q241" s="54"/>
      <c r="R241" s="54"/>
      <c r="S241" s="54"/>
      <c r="T241" s="54"/>
      <c r="V241" s="54"/>
      <c r="W241" s="23"/>
      <c r="X241" s="110">
        <v>1</v>
      </c>
      <c r="Y241" s="24" t="str">
        <f t="shared" ref="Y241:Y272" si="18">IF(W241&lt;&gt;"",W241*X241,"")</f>
        <v/>
      </c>
      <c r="Z241" s="24" t="str">
        <f t="shared" ref="Z241:Z257" si="19">IF(AND(W241&lt;&gt;"",U241="yes"),W241*X241,"")</f>
        <v/>
      </c>
      <c r="AA241" s="55"/>
    </row>
    <row r="242" spans="1:27" ht="28" customHeight="1" x14ac:dyDescent="0.15">
      <c r="A242" s="18" t="s">
        <v>45</v>
      </c>
      <c r="B242" s="18" t="s">
        <v>659</v>
      </c>
      <c r="C242" s="19" t="s">
        <v>660</v>
      </c>
      <c r="D242" s="19" t="s">
        <v>661</v>
      </c>
      <c r="E242" s="20"/>
      <c r="F242" s="18"/>
      <c r="G242" s="18"/>
      <c r="H242" s="21"/>
      <c r="I242" s="22" t="s">
        <v>51</v>
      </c>
      <c r="J242" s="22"/>
      <c r="K242" s="22"/>
      <c r="L242" s="22"/>
      <c r="M242" s="22"/>
      <c r="N242" s="22"/>
      <c r="O242" s="22"/>
      <c r="P242" s="22"/>
      <c r="U242" s="1" t="s">
        <v>42</v>
      </c>
      <c r="W242" s="23">
        <v>12.776903152465801</v>
      </c>
      <c r="X242" s="110">
        <v>1</v>
      </c>
      <c r="Y242" s="24">
        <f t="shared" si="18"/>
        <v>12.776903152465801</v>
      </c>
      <c r="Z242" s="24">
        <f t="shared" si="19"/>
        <v>12.776903152465801</v>
      </c>
    </row>
    <row r="243" spans="1:27" ht="48" customHeight="1" x14ac:dyDescent="0.15">
      <c r="A243" s="18" t="s">
        <v>134</v>
      </c>
      <c r="B243" s="18" t="s">
        <v>662</v>
      </c>
      <c r="C243" s="66" t="s">
        <v>663</v>
      </c>
      <c r="D243" s="66" t="s">
        <v>664</v>
      </c>
      <c r="E243" s="20"/>
      <c r="F243" s="18"/>
      <c r="G243" s="18"/>
      <c r="H243" s="21"/>
      <c r="I243" s="22" t="s">
        <v>40</v>
      </c>
      <c r="J243" s="22"/>
      <c r="K243" s="22"/>
      <c r="L243" s="22"/>
      <c r="M243" s="22"/>
      <c r="N243" s="22"/>
      <c r="O243" s="22"/>
      <c r="P243" s="22"/>
      <c r="U243" s="1" t="s">
        <v>42</v>
      </c>
      <c r="W243" s="23">
        <v>21.398605346679702</v>
      </c>
      <c r="X243" s="110">
        <v>1</v>
      </c>
      <c r="Y243" s="24">
        <f t="shared" si="18"/>
        <v>21.398605346679702</v>
      </c>
      <c r="Z243" s="24">
        <f t="shared" si="19"/>
        <v>21.398605346679702</v>
      </c>
    </row>
    <row r="244" spans="1:27" ht="48" customHeight="1" x14ac:dyDescent="0.15">
      <c r="A244" s="18" t="s">
        <v>134</v>
      </c>
      <c r="B244" s="18" t="s">
        <v>665</v>
      </c>
      <c r="C244" s="66" t="s">
        <v>666</v>
      </c>
      <c r="D244" s="66" t="s">
        <v>667</v>
      </c>
      <c r="E244" s="20"/>
      <c r="F244" s="18"/>
      <c r="G244" s="18"/>
      <c r="H244" s="21"/>
      <c r="I244" s="22" t="s">
        <v>40</v>
      </c>
      <c r="J244" s="22"/>
      <c r="K244" s="22"/>
      <c r="L244" s="22"/>
      <c r="M244" s="22"/>
      <c r="N244" s="22"/>
      <c r="O244" s="22"/>
      <c r="P244" s="22"/>
      <c r="U244" s="1" t="s">
        <v>42</v>
      </c>
      <c r="W244" s="23">
        <v>14.980740547180201</v>
      </c>
      <c r="X244" s="110">
        <v>1</v>
      </c>
      <c r="Y244" s="24">
        <f t="shared" si="18"/>
        <v>14.980740547180201</v>
      </c>
      <c r="Z244" s="24">
        <f t="shared" si="19"/>
        <v>14.980740547180201</v>
      </c>
    </row>
    <row r="245" spans="1:27" ht="48" customHeight="1" x14ac:dyDescent="0.15">
      <c r="A245" s="18" t="s">
        <v>134</v>
      </c>
      <c r="B245" s="18" t="s">
        <v>668</v>
      </c>
      <c r="C245" s="66" t="s">
        <v>669</v>
      </c>
      <c r="D245" s="66" t="s">
        <v>670</v>
      </c>
      <c r="E245" s="20"/>
      <c r="F245" s="18"/>
      <c r="G245" s="18"/>
      <c r="H245" s="21"/>
      <c r="I245" s="22" t="s">
        <v>40</v>
      </c>
      <c r="J245" s="22"/>
      <c r="K245" s="22"/>
      <c r="L245" s="22"/>
      <c r="M245" s="22"/>
      <c r="N245" s="22"/>
      <c r="O245" s="22"/>
      <c r="P245" s="22"/>
      <c r="U245" s="1" t="s">
        <v>42</v>
      </c>
      <c r="W245" s="23">
        <v>13.7230215072632</v>
      </c>
      <c r="X245" s="110">
        <v>1</v>
      </c>
      <c r="Y245" s="24">
        <f t="shared" si="18"/>
        <v>13.7230215072632</v>
      </c>
      <c r="Z245" s="24">
        <f t="shared" si="19"/>
        <v>13.7230215072632</v>
      </c>
    </row>
    <row r="246" spans="1:27" ht="48" customHeight="1" x14ac:dyDescent="0.15">
      <c r="A246" s="18" t="s">
        <v>134</v>
      </c>
      <c r="B246" s="18" t="s">
        <v>671</v>
      </c>
      <c r="C246" s="66" t="s">
        <v>672</v>
      </c>
      <c r="D246" s="66" t="s">
        <v>673</v>
      </c>
      <c r="E246" s="20"/>
      <c r="F246" s="18"/>
      <c r="G246" s="18"/>
      <c r="H246" s="21"/>
      <c r="I246" s="22" t="s">
        <v>40</v>
      </c>
      <c r="J246" s="22"/>
      <c r="K246" s="22"/>
      <c r="L246" s="22"/>
      <c r="M246" s="22"/>
      <c r="N246" s="22"/>
      <c r="O246" s="22"/>
      <c r="P246" s="22"/>
      <c r="U246" s="1" t="s">
        <v>42</v>
      </c>
      <c r="W246" s="23">
        <v>13.0622005462646</v>
      </c>
      <c r="X246" s="110">
        <v>1</v>
      </c>
      <c r="Y246" s="24">
        <f t="shared" si="18"/>
        <v>13.0622005462646</v>
      </c>
      <c r="Z246" s="24">
        <f t="shared" si="19"/>
        <v>13.0622005462646</v>
      </c>
    </row>
    <row r="247" spans="1:27" ht="48" customHeight="1" x14ac:dyDescent="0.15">
      <c r="A247" s="18" t="s">
        <v>134</v>
      </c>
      <c r="B247" s="18" t="s">
        <v>674</v>
      </c>
      <c r="C247" s="66" t="s">
        <v>675</v>
      </c>
      <c r="D247" s="66" t="s">
        <v>676</v>
      </c>
      <c r="E247" s="20"/>
      <c r="F247" s="18"/>
      <c r="G247" s="18"/>
      <c r="H247" s="21"/>
      <c r="I247" s="22" t="s">
        <v>40</v>
      </c>
      <c r="J247" s="22"/>
      <c r="K247" s="22"/>
      <c r="L247" s="22"/>
      <c r="M247" s="22"/>
      <c r="N247" s="22"/>
      <c r="O247" s="22"/>
      <c r="P247" s="22"/>
      <c r="U247" s="1" t="s">
        <v>42</v>
      </c>
      <c r="W247" s="23">
        <v>13.095323562622101</v>
      </c>
      <c r="X247" s="110">
        <v>1</v>
      </c>
      <c r="Y247" s="24">
        <f t="shared" si="18"/>
        <v>13.095323562622101</v>
      </c>
      <c r="Z247" s="24">
        <f t="shared" si="19"/>
        <v>13.095323562622101</v>
      </c>
    </row>
    <row r="248" spans="1:27" ht="48" customHeight="1" x14ac:dyDescent="0.15">
      <c r="A248" s="18" t="s">
        <v>134</v>
      </c>
      <c r="B248" s="18" t="s">
        <v>677</v>
      </c>
      <c r="C248" s="66" t="s">
        <v>678</v>
      </c>
      <c r="D248" s="66" t="s">
        <v>679</v>
      </c>
      <c r="E248" s="20"/>
      <c r="F248" s="18"/>
      <c r="G248" s="18"/>
      <c r="H248" s="21"/>
      <c r="I248" s="22" t="s">
        <v>40</v>
      </c>
      <c r="J248" s="22"/>
      <c r="K248" s="22"/>
      <c r="L248" s="22"/>
      <c r="M248" s="22"/>
      <c r="N248" s="22"/>
      <c r="O248" s="22"/>
      <c r="P248" s="22"/>
      <c r="U248" s="1" t="s">
        <v>42</v>
      </c>
      <c r="W248" s="23">
        <v>16.101019184652301</v>
      </c>
      <c r="X248" s="110">
        <v>1</v>
      </c>
      <c r="Y248" s="24">
        <f t="shared" si="18"/>
        <v>16.101019184652301</v>
      </c>
      <c r="Z248" s="24">
        <f t="shared" si="19"/>
        <v>16.101019184652301</v>
      </c>
    </row>
    <row r="249" spans="1:27" ht="16" customHeight="1" x14ac:dyDescent="0.15">
      <c r="A249" s="39" t="s">
        <v>680</v>
      </c>
      <c r="B249" s="39" t="s">
        <v>681</v>
      </c>
      <c r="C249" s="40" t="s">
        <v>682</v>
      </c>
      <c r="D249" s="19" t="s">
        <v>683</v>
      </c>
      <c r="E249" s="41"/>
      <c r="F249" s="39"/>
      <c r="G249" s="39"/>
      <c r="H249" s="42"/>
      <c r="I249" s="43" t="s">
        <v>40</v>
      </c>
      <c r="J249" s="43"/>
      <c r="K249" s="43"/>
      <c r="L249" s="43"/>
      <c r="M249" s="43" t="s">
        <v>684</v>
      </c>
      <c r="N249" s="43"/>
      <c r="O249" s="43"/>
      <c r="P249" s="43"/>
      <c r="Q249" s="6"/>
      <c r="R249" s="6"/>
      <c r="S249" s="6"/>
      <c r="T249" s="6"/>
      <c r="U249" s="6" t="s">
        <v>42</v>
      </c>
      <c r="V249" s="6"/>
      <c r="W249" s="23">
        <v>11.765043258666999</v>
      </c>
      <c r="X249" s="110">
        <v>1</v>
      </c>
      <c r="Y249" s="24">
        <f t="shared" si="18"/>
        <v>11.765043258666999</v>
      </c>
      <c r="Z249" s="24">
        <f t="shared" si="19"/>
        <v>11.765043258666999</v>
      </c>
    </row>
    <row r="250" spans="1:27" ht="48" customHeight="1" x14ac:dyDescent="0.15">
      <c r="A250" s="39" t="s">
        <v>134</v>
      </c>
      <c r="B250" s="39" t="s">
        <v>685</v>
      </c>
      <c r="C250" s="40" t="s">
        <v>686</v>
      </c>
      <c r="D250" s="66" t="s">
        <v>687</v>
      </c>
      <c r="E250" s="41"/>
      <c r="F250" s="39"/>
      <c r="G250" s="39"/>
      <c r="H250" s="42"/>
      <c r="I250" s="43" t="s">
        <v>40</v>
      </c>
      <c r="J250" s="43"/>
      <c r="K250" s="43"/>
      <c r="L250" s="43"/>
      <c r="M250" s="43"/>
      <c r="N250" s="43"/>
      <c r="O250" s="43"/>
      <c r="P250" s="43"/>
      <c r="Q250" s="6"/>
      <c r="R250" s="6"/>
      <c r="S250" s="6"/>
      <c r="T250" s="6"/>
      <c r="U250" s="6" t="s">
        <v>42</v>
      </c>
      <c r="V250" s="6"/>
      <c r="W250" s="23">
        <v>12.4324789047241</v>
      </c>
      <c r="X250" s="110">
        <v>1</v>
      </c>
      <c r="Y250" s="24">
        <f t="shared" si="18"/>
        <v>12.4324789047241</v>
      </c>
      <c r="Z250" s="24">
        <f t="shared" si="19"/>
        <v>12.4324789047241</v>
      </c>
    </row>
    <row r="251" spans="1:27" ht="16" customHeight="1" x14ac:dyDescent="0.15">
      <c r="A251" s="39" t="s">
        <v>680</v>
      </c>
      <c r="B251" s="39" t="s">
        <v>688</v>
      </c>
      <c r="C251" s="40" t="s">
        <v>682</v>
      </c>
      <c r="D251" s="19" t="s">
        <v>683</v>
      </c>
      <c r="E251" s="41"/>
      <c r="F251" s="39"/>
      <c r="G251" s="39"/>
      <c r="H251" s="42"/>
      <c r="I251" s="43" t="s">
        <v>40</v>
      </c>
      <c r="J251" s="43"/>
      <c r="K251" s="43"/>
      <c r="L251" s="43"/>
      <c r="M251" s="43" t="s">
        <v>689</v>
      </c>
      <c r="N251" s="43"/>
      <c r="O251" s="43"/>
      <c r="P251" s="43"/>
      <c r="Q251" s="6"/>
      <c r="R251" s="6"/>
      <c r="S251" s="6"/>
      <c r="T251" s="6"/>
      <c r="U251" s="6" t="s">
        <v>42</v>
      </c>
      <c r="V251" s="6"/>
      <c r="W251" s="23">
        <v>8.9801836013793999</v>
      </c>
      <c r="X251" s="110">
        <v>1</v>
      </c>
      <c r="Y251" s="24">
        <f t="shared" si="18"/>
        <v>8.9801836013793999</v>
      </c>
      <c r="Z251" s="24">
        <f t="shared" si="19"/>
        <v>8.9801836013793999</v>
      </c>
    </row>
    <row r="252" spans="1:27" ht="48" customHeight="1" x14ac:dyDescent="0.15">
      <c r="A252" s="39" t="s">
        <v>134</v>
      </c>
      <c r="B252" s="39" t="s">
        <v>690</v>
      </c>
      <c r="C252" s="40" t="s">
        <v>691</v>
      </c>
      <c r="D252" s="66" t="s">
        <v>692</v>
      </c>
      <c r="E252" s="41"/>
      <c r="F252" s="39"/>
      <c r="G252" s="39"/>
      <c r="H252" s="42"/>
      <c r="I252" s="43" t="s">
        <v>40</v>
      </c>
      <c r="J252" s="43"/>
      <c r="K252" s="43"/>
      <c r="L252" s="43"/>
      <c r="M252" s="43"/>
      <c r="N252" s="43"/>
      <c r="O252" s="43"/>
      <c r="P252" s="43"/>
      <c r="Q252" s="6"/>
      <c r="R252" s="6"/>
      <c r="S252" s="6"/>
      <c r="T252" s="6"/>
      <c r="U252" s="6" t="s">
        <v>42</v>
      </c>
      <c r="V252" s="6"/>
      <c r="W252" s="23">
        <v>11.0893287658691</v>
      </c>
      <c r="X252" s="110">
        <v>1</v>
      </c>
      <c r="Y252" s="24">
        <f t="shared" si="18"/>
        <v>11.0893287658691</v>
      </c>
      <c r="Z252" s="24">
        <f t="shared" si="19"/>
        <v>11.0893287658691</v>
      </c>
    </row>
    <row r="253" spans="1:27" ht="16" customHeight="1" x14ac:dyDescent="0.15">
      <c r="A253" s="39" t="s">
        <v>680</v>
      </c>
      <c r="B253" s="39" t="s">
        <v>693</v>
      </c>
      <c r="C253" s="40" t="s">
        <v>682</v>
      </c>
      <c r="D253" s="19" t="s">
        <v>683</v>
      </c>
      <c r="E253" s="41"/>
      <c r="F253" s="39"/>
      <c r="G253" s="39"/>
      <c r="H253" s="42"/>
      <c r="I253" s="43" t="s">
        <v>40</v>
      </c>
      <c r="J253" s="43"/>
      <c r="K253" s="43"/>
      <c r="L253" s="43"/>
      <c r="M253" s="43" t="s">
        <v>694</v>
      </c>
      <c r="N253" s="43"/>
      <c r="O253" s="43"/>
      <c r="P253" s="43"/>
      <c r="Q253" s="6"/>
      <c r="R253" s="6"/>
      <c r="S253" s="6"/>
      <c r="T253" s="6"/>
      <c r="U253" s="6" t="s">
        <v>42</v>
      </c>
      <c r="V253" s="6"/>
      <c r="W253" s="23">
        <v>8.0683355331420898</v>
      </c>
      <c r="X253" s="110">
        <v>1</v>
      </c>
      <c r="Y253" s="24">
        <f t="shared" si="18"/>
        <v>8.0683355331420898</v>
      </c>
      <c r="Z253" s="24">
        <f t="shared" si="19"/>
        <v>8.0683355331420898</v>
      </c>
    </row>
    <row r="254" spans="1:27" x14ac:dyDescent="0.15">
      <c r="A254" s="39" t="s">
        <v>140</v>
      </c>
      <c r="B254" s="39"/>
      <c r="C254" s="19"/>
      <c r="D254" s="19"/>
      <c r="E254" s="20"/>
      <c r="F254" s="18"/>
      <c r="G254" s="18"/>
      <c r="H254" s="21"/>
      <c r="I254" s="22"/>
      <c r="J254" s="22"/>
      <c r="K254" s="22"/>
      <c r="L254" s="22"/>
      <c r="M254" s="22"/>
      <c r="N254" s="22"/>
      <c r="O254" s="22"/>
      <c r="P254" s="22"/>
      <c r="W254" s="23"/>
      <c r="X254" s="110">
        <v>1</v>
      </c>
      <c r="Y254" s="24" t="str">
        <f t="shared" si="18"/>
        <v/>
      </c>
      <c r="Z254" s="24" t="str">
        <f t="shared" si="19"/>
        <v/>
      </c>
    </row>
    <row r="255" spans="1:27" x14ac:dyDescent="0.15">
      <c r="A255" s="6"/>
      <c r="B255" s="6"/>
      <c r="E255" s="20"/>
      <c r="H255" s="21"/>
      <c r="W255" s="23"/>
      <c r="X255" s="110">
        <v>1</v>
      </c>
      <c r="Y255" s="24" t="str">
        <f t="shared" si="18"/>
        <v/>
      </c>
      <c r="Z255" s="24" t="str">
        <f t="shared" si="19"/>
        <v/>
      </c>
    </row>
    <row r="256" spans="1:27" ht="16" customHeight="1" x14ac:dyDescent="0.15">
      <c r="A256" s="25" t="s">
        <v>61</v>
      </c>
      <c r="B256" s="25" t="s">
        <v>695</v>
      </c>
      <c r="C256" s="111" t="s">
        <v>696</v>
      </c>
      <c r="D256" s="111" t="s">
        <v>696</v>
      </c>
      <c r="E256" s="27"/>
      <c r="F256" s="25"/>
      <c r="G256" s="25"/>
      <c r="H256" s="28"/>
      <c r="I256" s="29"/>
      <c r="J256" s="29" t="s">
        <v>697</v>
      </c>
      <c r="K256" s="29"/>
      <c r="L256" s="29"/>
      <c r="M256" s="29"/>
      <c r="N256" s="29"/>
      <c r="O256" s="29"/>
      <c r="P256" s="29"/>
      <c r="Q256" s="25"/>
      <c r="R256" s="25"/>
      <c r="S256" s="25"/>
      <c r="T256" s="25"/>
      <c r="U256" s="25"/>
      <c r="V256" s="25"/>
      <c r="W256" s="30"/>
      <c r="X256" s="112">
        <v>1</v>
      </c>
      <c r="Y256" s="32" t="str">
        <f t="shared" si="18"/>
        <v/>
      </c>
      <c r="Z256" s="32" t="str">
        <f t="shared" si="19"/>
        <v/>
      </c>
      <c r="AA256" s="25"/>
    </row>
    <row r="257" spans="1:27" ht="64" customHeight="1" x14ac:dyDescent="0.15">
      <c r="A257" s="25" t="s">
        <v>45</v>
      </c>
      <c r="B257" s="25" t="s">
        <v>698</v>
      </c>
      <c r="C257" s="26" t="s">
        <v>699</v>
      </c>
      <c r="D257" s="26" t="s">
        <v>700</v>
      </c>
      <c r="E257" s="27"/>
      <c r="F257" s="25"/>
      <c r="G257" s="25"/>
      <c r="H257" s="28"/>
      <c r="I257" s="29"/>
      <c r="J257" s="29"/>
      <c r="K257" s="29"/>
      <c r="L257" s="29"/>
      <c r="M257" s="29"/>
      <c r="N257" s="29"/>
      <c r="O257" s="29"/>
      <c r="P257" s="29"/>
      <c r="Q257" s="25"/>
      <c r="R257" s="25"/>
      <c r="S257" s="25"/>
      <c r="T257" s="25"/>
      <c r="U257" s="25" t="s">
        <v>52</v>
      </c>
      <c r="V257" s="25"/>
      <c r="W257" s="30">
        <v>5.7112536430358896</v>
      </c>
      <c r="X257" s="112">
        <v>1</v>
      </c>
      <c r="Y257" s="32">
        <f t="shared" si="18"/>
        <v>5.7112536430358896</v>
      </c>
      <c r="Z257" s="32" t="str">
        <f t="shared" si="19"/>
        <v/>
      </c>
      <c r="AA257" s="25"/>
    </row>
    <row r="258" spans="1:27" ht="13" customHeight="1" x14ac:dyDescent="0.15"/>
    <row r="259" spans="1:27" ht="16" customHeight="1" x14ac:dyDescent="0.15">
      <c r="A259" s="25" t="s">
        <v>701</v>
      </c>
      <c r="B259" s="25" t="s">
        <v>702</v>
      </c>
      <c r="C259" s="26" t="s">
        <v>703</v>
      </c>
      <c r="D259" s="26" t="s">
        <v>704</v>
      </c>
      <c r="E259" s="113"/>
      <c r="F259" s="114"/>
      <c r="G259" s="114"/>
      <c r="H259" s="115"/>
      <c r="I259" s="29" t="s">
        <v>40</v>
      </c>
      <c r="J259" s="29" t="s">
        <v>210</v>
      </c>
      <c r="K259" s="116"/>
      <c r="L259" s="116"/>
      <c r="M259" s="116"/>
      <c r="N259" s="116"/>
      <c r="O259" s="116"/>
      <c r="P259" s="116"/>
      <c r="Q259" s="114"/>
      <c r="R259" s="114"/>
      <c r="S259" s="114"/>
      <c r="T259" s="114"/>
      <c r="U259" s="25" t="s">
        <v>52</v>
      </c>
      <c r="V259" s="114"/>
      <c r="W259" s="23">
        <v>11.7878017425537</v>
      </c>
      <c r="X259" s="110">
        <v>1</v>
      </c>
      <c r="Y259" s="24">
        <f>IF(W259&lt;&gt;"",W259*X259,"")</f>
        <v>11.7878017425537</v>
      </c>
      <c r="Z259" s="24" t="str">
        <f>IF(AND(W259&lt;&gt;"",U259="yes"),W259*X259,"")</f>
        <v/>
      </c>
    </row>
    <row r="260" spans="1:27" ht="16" customHeight="1" x14ac:dyDescent="0.15">
      <c r="A260" s="25" t="s">
        <v>701</v>
      </c>
      <c r="B260" s="25" t="s">
        <v>705</v>
      </c>
      <c r="C260" s="26" t="s">
        <v>706</v>
      </c>
      <c r="D260" s="117" t="s">
        <v>707</v>
      </c>
      <c r="E260" s="113"/>
      <c r="F260" s="114"/>
      <c r="G260" s="114"/>
      <c r="H260" s="115"/>
      <c r="I260" s="29" t="s">
        <v>40</v>
      </c>
      <c r="J260" s="29" t="s">
        <v>210</v>
      </c>
      <c r="K260" s="116"/>
      <c r="L260" s="116"/>
      <c r="M260" s="116"/>
      <c r="N260" s="116"/>
      <c r="O260" s="116"/>
      <c r="P260" s="116"/>
      <c r="Q260" s="114"/>
      <c r="R260" s="114"/>
      <c r="S260" s="114"/>
      <c r="T260" s="114"/>
      <c r="U260" s="25" t="s">
        <v>52</v>
      </c>
      <c r="V260" s="114"/>
      <c r="W260" s="23">
        <v>14.625933647155801</v>
      </c>
      <c r="X260" s="110">
        <v>1</v>
      </c>
      <c r="Y260" s="24">
        <f>IF(W260&lt;&gt;"",W260*X260,"")</f>
        <v>14.625933647155801</v>
      </c>
      <c r="Z260" s="24" t="str">
        <f>IF(AND(W260&lt;&gt;"",U260="yes"),W260*X260,"")</f>
        <v/>
      </c>
    </row>
    <row r="261" spans="1:27" ht="16" customHeight="1" x14ac:dyDescent="0.15">
      <c r="A261" s="25" t="s">
        <v>701</v>
      </c>
      <c r="B261" s="25" t="s">
        <v>708</v>
      </c>
      <c r="C261" s="26" t="s">
        <v>709</v>
      </c>
      <c r="D261" s="26" t="s">
        <v>710</v>
      </c>
      <c r="E261" s="113"/>
      <c r="F261" s="114"/>
      <c r="G261" s="114"/>
      <c r="H261" s="115"/>
      <c r="I261" s="29" t="s">
        <v>40</v>
      </c>
      <c r="J261" s="29" t="s">
        <v>210</v>
      </c>
      <c r="K261" s="116"/>
      <c r="L261" s="116"/>
      <c r="M261" s="116"/>
      <c r="N261" s="116"/>
      <c r="O261" s="116"/>
      <c r="P261" s="116"/>
      <c r="Q261" s="114"/>
      <c r="R261" s="114"/>
      <c r="S261" s="114"/>
      <c r="T261" s="114"/>
      <c r="U261" s="25" t="s">
        <v>52</v>
      </c>
      <c r="V261" s="114"/>
      <c r="W261" s="23">
        <v>9.2894678115844709</v>
      </c>
      <c r="X261" s="110">
        <v>1</v>
      </c>
      <c r="Y261" s="24">
        <f>IF(W261&lt;&gt;"",W261*X261,"")</f>
        <v>9.2894678115844709</v>
      </c>
      <c r="Z261" s="24" t="str">
        <f>IF(AND(W261&lt;&gt;"",U261="yes"),W261*X261,"")</f>
        <v/>
      </c>
    </row>
    <row r="262" spans="1:27" ht="16" customHeight="1" x14ac:dyDescent="0.15">
      <c r="A262" s="25" t="s">
        <v>701</v>
      </c>
      <c r="B262" s="25" t="s">
        <v>711</v>
      </c>
      <c r="C262" s="26" t="s">
        <v>712</v>
      </c>
      <c r="D262" s="26" t="s">
        <v>713</v>
      </c>
      <c r="E262" s="113"/>
      <c r="F262" s="114"/>
      <c r="G262" s="114"/>
      <c r="H262" s="115"/>
      <c r="I262" s="29" t="s">
        <v>40</v>
      </c>
      <c r="J262" s="29" t="s">
        <v>210</v>
      </c>
      <c r="K262" s="116"/>
      <c r="L262" s="116"/>
      <c r="M262" s="116"/>
      <c r="N262" s="116"/>
      <c r="O262" s="116"/>
      <c r="P262" s="116"/>
      <c r="Q262" s="114"/>
      <c r="R262" s="114"/>
      <c r="S262" s="114"/>
      <c r="T262" s="114"/>
      <c r="U262" s="25" t="s">
        <v>52</v>
      </c>
      <c r="V262" s="114"/>
      <c r="W262" s="23">
        <v>12.4080867767334</v>
      </c>
      <c r="X262" s="110">
        <v>1</v>
      </c>
      <c r="Y262" s="24">
        <f>IF(W262&lt;&gt;"",W262*X262,"")</f>
        <v>12.4080867767334</v>
      </c>
      <c r="Z262" s="24" t="str">
        <f>IF(AND(W262&lt;&gt;"",U262="yes"),W262*X262,"")</f>
        <v/>
      </c>
    </row>
    <row r="263" spans="1:27" ht="13" customHeight="1" x14ac:dyDescent="0.15"/>
    <row r="264" spans="1:27" ht="32" customHeight="1" x14ac:dyDescent="0.15">
      <c r="A264" s="25" t="s">
        <v>701</v>
      </c>
      <c r="B264" s="25" t="s">
        <v>714</v>
      </c>
      <c r="C264" s="26" t="s">
        <v>715</v>
      </c>
      <c r="D264" s="117" t="s">
        <v>716</v>
      </c>
      <c r="E264" s="113"/>
      <c r="F264" s="114"/>
      <c r="G264" s="114"/>
      <c r="H264" s="115"/>
      <c r="I264" s="29" t="s">
        <v>40</v>
      </c>
      <c r="J264" s="29" t="s">
        <v>210</v>
      </c>
      <c r="K264" s="116"/>
      <c r="L264" s="116"/>
      <c r="M264" s="116"/>
      <c r="N264" s="116"/>
      <c r="O264" s="116"/>
      <c r="P264" s="116"/>
      <c r="Q264" s="114"/>
      <c r="R264" s="114"/>
      <c r="S264" s="114"/>
      <c r="T264" s="114"/>
      <c r="U264" s="25" t="s">
        <v>52</v>
      </c>
      <c r="V264" s="114"/>
      <c r="W264" s="23">
        <v>14.4109589041096</v>
      </c>
      <c r="X264" s="110">
        <v>1</v>
      </c>
      <c r="Y264" s="24">
        <f>IF(W264&lt;&gt;"",W264*X264,"")</f>
        <v>14.4109589041096</v>
      </c>
      <c r="Z264" s="24" t="str">
        <f>IF(AND(W264&lt;&gt;"",U264="yes"),W264*X264,"")</f>
        <v/>
      </c>
    </row>
    <row r="265" spans="1:27" ht="16" customHeight="1" x14ac:dyDescent="0.15">
      <c r="A265" s="25" t="s">
        <v>701</v>
      </c>
      <c r="B265" s="25" t="s">
        <v>717</v>
      </c>
      <c r="C265" s="26" t="s">
        <v>718</v>
      </c>
      <c r="D265" s="26" t="s">
        <v>719</v>
      </c>
      <c r="E265" s="113"/>
      <c r="F265" s="114"/>
      <c r="G265" s="114"/>
      <c r="H265" s="115"/>
      <c r="I265" s="29" t="s">
        <v>40</v>
      </c>
      <c r="J265" s="29" t="s">
        <v>210</v>
      </c>
      <c r="K265" s="116"/>
      <c r="L265" s="116"/>
      <c r="M265" s="116"/>
      <c r="N265" s="116"/>
      <c r="O265" s="116"/>
      <c r="P265" s="116"/>
      <c r="Q265" s="114"/>
      <c r="R265" s="114"/>
      <c r="S265" s="114"/>
      <c r="T265" s="114"/>
      <c r="U265" s="25" t="s">
        <v>52</v>
      </c>
      <c r="V265" s="114"/>
      <c r="W265" s="23">
        <v>19.8515300750732</v>
      </c>
      <c r="X265" s="110">
        <v>1</v>
      </c>
      <c r="Y265" s="24">
        <f>IF(W265&lt;&gt;"",W265*X265,"")</f>
        <v>19.8515300750732</v>
      </c>
      <c r="Z265" s="24" t="str">
        <f>IF(AND(W265&lt;&gt;"",U265="yes"),W265*X265,"")</f>
        <v/>
      </c>
    </row>
    <row r="266" spans="1:27" ht="32" customHeight="1" x14ac:dyDescent="0.15">
      <c r="A266" s="25" t="s">
        <v>701</v>
      </c>
      <c r="B266" s="25" t="s">
        <v>720</v>
      </c>
      <c r="C266" s="26" t="s">
        <v>721</v>
      </c>
      <c r="D266" s="26" t="s">
        <v>722</v>
      </c>
      <c r="E266" s="113"/>
      <c r="F266" s="114"/>
      <c r="G266" s="114"/>
      <c r="H266" s="115"/>
      <c r="I266" s="29" t="s">
        <v>40</v>
      </c>
      <c r="J266" s="29" t="s">
        <v>210</v>
      </c>
      <c r="K266" s="116"/>
      <c r="L266" s="116"/>
      <c r="M266" s="116"/>
      <c r="N266" s="116"/>
      <c r="O266" s="116"/>
      <c r="P266" s="116"/>
      <c r="Q266" s="114"/>
      <c r="R266" s="114"/>
      <c r="S266" s="114"/>
      <c r="T266" s="114"/>
      <c r="U266" s="25" t="s">
        <v>52</v>
      </c>
      <c r="V266" s="114"/>
      <c r="W266" s="23">
        <v>12.9961814880371</v>
      </c>
      <c r="X266" s="110">
        <v>1</v>
      </c>
      <c r="Y266" s="24">
        <f>IF(W266&lt;&gt;"",W266*X266,"")</f>
        <v>12.9961814880371</v>
      </c>
      <c r="Z266" s="24" t="str">
        <f>IF(AND(W266&lt;&gt;"",U266="yes"),W266*X266,"")</f>
        <v/>
      </c>
    </row>
    <row r="267" spans="1:27" x14ac:dyDescent="0.15">
      <c r="A267" s="25"/>
      <c r="B267" s="25"/>
      <c r="C267" s="26"/>
      <c r="D267" s="117"/>
      <c r="E267" s="113"/>
      <c r="F267" s="114"/>
      <c r="G267" s="114"/>
      <c r="H267" s="115"/>
      <c r="I267" s="29"/>
      <c r="J267" s="29"/>
      <c r="K267" s="116"/>
      <c r="L267" s="116"/>
      <c r="M267" s="116"/>
      <c r="N267" s="116"/>
      <c r="O267" s="116"/>
      <c r="P267" s="116"/>
      <c r="Q267" s="114"/>
      <c r="R267" s="114"/>
      <c r="S267" s="114"/>
      <c r="T267" s="114"/>
      <c r="U267" s="25"/>
      <c r="V267" s="114"/>
      <c r="W267" s="23"/>
      <c r="X267" s="110"/>
      <c r="Y267" s="24"/>
      <c r="Z267" s="24"/>
    </row>
    <row r="268" spans="1:27" ht="16" customHeight="1" x14ac:dyDescent="0.15">
      <c r="A268" s="25" t="s">
        <v>701</v>
      </c>
      <c r="B268" s="25" t="s">
        <v>723</v>
      </c>
      <c r="C268" s="26" t="s">
        <v>724</v>
      </c>
      <c r="D268" s="26" t="s">
        <v>725</v>
      </c>
      <c r="E268" s="113"/>
      <c r="F268" s="114"/>
      <c r="G268" s="114"/>
      <c r="H268" s="115"/>
      <c r="I268" s="29" t="s">
        <v>40</v>
      </c>
      <c r="J268" s="29" t="s">
        <v>210</v>
      </c>
      <c r="K268" s="116"/>
      <c r="L268" s="116"/>
      <c r="M268" s="116"/>
      <c r="N268" s="116"/>
      <c r="O268" s="116"/>
      <c r="P268" s="116"/>
      <c r="Q268" s="114"/>
      <c r="R268" s="114"/>
      <c r="S268" s="114"/>
      <c r="T268" s="114"/>
      <c r="U268" s="25" t="s">
        <v>52</v>
      </c>
      <c r="V268" s="114"/>
      <c r="W268" s="23">
        <v>10.6681127548218</v>
      </c>
      <c r="X268" s="110">
        <v>1</v>
      </c>
      <c r="Y268" s="24">
        <f>IF(W268&lt;&gt;"",W268*X268,"")</f>
        <v>10.6681127548218</v>
      </c>
      <c r="Z268" s="24" t="str">
        <f>IF(AND(W268&lt;&gt;"",U268="yes"),W268*X268,"")</f>
        <v/>
      </c>
    </row>
    <row r="269" spans="1:27" ht="16" customHeight="1" x14ac:dyDescent="0.15">
      <c r="A269" s="25" t="s">
        <v>701</v>
      </c>
      <c r="B269" s="25" t="s">
        <v>726</v>
      </c>
      <c r="C269" s="26" t="s">
        <v>727</v>
      </c>
      <c r="D269" s="26" t="s">
        <v>728</v>
      </c>
      <c r="E269" s="113"/>
      <c r="F269" s="114"/>
      <c r="G269" s="114"/>
      <c r="H269" s="115"/>
      <c r="I269" s="29" t="s">
        <v>40</v>
      </c>
      <c r="J269" s="29" t="s">
        <v>210</v>
      </c>
      <c r="K269" s="116"/>
      <c r="L269" s="116"/>
      <c r="M269" s="116"/>
      <c r="N269" s="116"/>
      <c r="O269" s="116"/>
      <c r="P269" s="116"/>
      <c r="Q269" s="114"/>
      <c r="R269" s="114"/>
      <c r="S269" s="114"/>
      <c r="T269" s="114"/>
      <c r="U269" s="25" t="s">
        <v>52</v>
      </c>
      <c r="V269" s="114"/>
      <c r="W269" s="23">
        <v>10.114131927490201</v>
      </c>
      <c r="X269" s="110">
        <v>1</v>
      </c>
      <c r="Y269" s="24">
        <f>IF(W269&lt;&gt;"",W269*X269,"")</f>
        <v>10.114131927490201</v>
      </c>
      <c r="Z269" s="24" t="str">
        <f>IF(AND(W269&lt;&gt;"",U269="yes"),W269*X269,"")</f>
        <v/>
      </c>
    </row>
    <row r="270" spans="1:27" ht="16" customHeight="1" x14ac:dyDescent="0.15">
      <c r="A270" s="25" t="s">
        <v>701</v>
      </c>
      <c r="B270" s="25" t="s">
        <v>729</v>
      </c>
      <c r="C270" s="26" t="s">
        <v>730</v>
      </c>
      <c r="D270" s="26" t="s">
        <v>731</v>
      </c>
      <c r="E270" s="113"/>
      <c r="F270" s="114"/>
      <c r="G270" s="114"/>
      <c r="H270" s="115"/>
      <c r="I270" s="29" t="s">
        <v>40</v>
      </c>
      <c r="J270" s="29" t="s">
        <v>210</v>
      </c>
      <c r="K270" s="116"/>
      <c r="L270" s="116"/>
      <c r="M270" s="116"/>
      <c r="N270" s="116"/>
      <c r="O270" s="116"/>
      <c r="P270" s="116"/>
      <c r="Q270" s="114"/>
      <c r="R270" s="114"/>
      <c r="S270" s="114"/>
      <c r="T270" s="114"/>
      <c r="U270" s="25" t="s">
        <v>52</v>
      </c>
      <c r="V270" s="114"/>
      <c r="W270" s="23">
        <v>10.8677053451538</v>
      </c>
      <c r="X270" s="110">
        <v>1</v>
      </c>
      <c r="Y270" s="24">
        <f>IF(W270&lt;&gt;"",W270*X270,"")</f>
        <v>10.8677053451538</v>
      </c>
      <c r="Z270" s="24" t="str">
        <f>IF(AND(W270&lt;&gt;"",U270="yes"),W270*X270,"")</f>
        <v/>
      </c>
    </row>
    <row r="271" spans="1:27" x14ac:dyDescent="0.15">
      <c r="A271" s="25" t="s">
        <v>140</v>
      </c>
      <c r="B271" s="25"/>
      <c r="C271" s="26"/>
      <c r="D271" s="26"/>
      <c r="E271" s="20"/>
      <c r="H271" s="21"/>
      <c r="I271" s="29"/>
      <c r="W271" s="23"/>
      <c r="X271" s="110">
        <v>1</v>
      </c>
      <c r="Y271" s="24" t="str">
        <f>IF(W271&lt;&gt;"",W271*X271,"")</f>
        <v/>
      </c>
      <c r="Z271" s="24" t="str">
        <f>IF(AND(W271&lt;&gt;"",U271="yes"),W271*X271,"")</f>
        <v/>
      </c>
    </row>
    <row r="272" spans="1:27" x14ac:dyDescent="0.15">
      <c r="A272" s="25"/>
      <c r="B272" s="25"/>
      <c r="C272" s="26"/>
      <c r="D272" s="26"/>
      <c r="E272" s="20"/>
      <c r="H272" s="21"/>
      <c r="I272" s="29"/>
      <c r="W272" s="23"/>
      <c r="X272" s="110"/>
      <c r="Y272" s="24"/>
      <c r="Z272" s="24"/>
    </row>
    <row r="273" spans="1:27" x14ac:dyDescent="0.15">
      <c r="A273" s="6"/>
      <c r="B273" s="6"/>
      <c r="E273" s="20"/>
      <c r="H273" s="21"/>
      <c r="W273" s="23"/>
      <c r="X273" s="110">
        <v>1</v>
      </c>
      <c r="Y273" s="24" t="str">
        <f t="shared" ref="Y273:Y278" si="20">IF(W273&lt;&gt;"",W273*X273,"")</f>
        <v/>
      </c>
      <c r="Z273" s="24" t="str">
        <f t="shared" ref="Z273:Z278" si="21">IF(AND(W273&lt;&gt;"",U273="yes"),W273*X273,"")</f>
        <v/>
      </c>
    </row>
    <row r="274" spans="1:27" ht="16" customHeight="1" x14ac:dyDescent="0.15">
      <c r="A274" s="39" t="s">
        <v>61</v>
      </c>
      <c r="B274" s="39" t="s">
        <v>732</v>
      </c>
      <c r="C274" s="50" t="s">
        <v>733</v>
      </c>
      <c r="D274" s="50" t="s">
        <v>733</v>
      </c>
      <c r="E274" s="20"/>
      <c r="F274" s="18"/>
      <c r="G274" s="18"/>
      <c r="H274" s="21"/>
      <c r="I274" s="22"/>
      <c r="J274" s="22"/>
      <c r="K274" s="22"/>
      <c r="L274" s="22"/>
      <c r="M274" s="22"/>
      <c r="N274" s="22"/>
      <c r="O274" s="22"/>
      <c r="P274" s="22"/>
      <c r="W274" s="23"/>
      <c r="X274" s="110">
        <v>1</v>
      </c>
      <c r="Y274" s="24" t="str">
        <f t="shared" si="20"/>
        <v/>
      </c>
      <c r="Z274" s="24" t="str">
        <f t="shared" si="21"/>
        <v/>
      </c>
    </row>
    <row r="275" spans="1:27" ht="28" customHeight="1" x14ac:dyDescent="0.15">
      <c r="A275" s="18" t="s">
        <v>45</v>
      </c>
      <c r="B275" s="18" t="s">
        <v>734</v>
      </c>
      <c r="C275" s="19" t="s">
        <v>735</v>
      </c>
      <c r="D275" s="19" t="s">
        <v>736</v>
      </c>
      <c r="E275" s="20"/>
      <c r="F275" s="18"/>
      <c r="G275" s="18"/>
      <c r="H275" s="21"/>
      <c r="I275" s="22" t="s">
        <v>51</v>
      </c>
      <c r="J275" s="22"/>
      <c r="K275" s="22"/>
      <c r="L275" s="22"/>
      <c r="M275" s="22"/>
      <c r="N275" s="22"/>
      <c r="O275" s="22"/>
      <c r="P275" s="22"/>
      <c r="U275" s="1" t="s">
        <v>42</v>
      </c>
      <c r="W275" s="23"/>
      <c r="X275" s="110">
        <v>1</v>
      </c>
      <c r="Y275" s="24" t="str">
        <f t="shared" si="20"/>
        <v/>
      </c>
      <c r="Z275" s="24" t="str">
        <f t="shared" si="21"/>
        <v/>
      </c>
    </row>
    <row r="276" spans="1:27" ht="42" customHeight="1" x14ac:dyDescent="0.15">
      <c r="A276" s="18" t="s">
        <v>737</v>
      </c>
      <c r="B276" s="18" t="s">
        <v>738</v>
      </c>
      <c r="C276" s="19" t="s">
        <v>739</v>
      </c>
      <c r="D276" s="19" t="s">
        <v>740</v>
      </c>
      <c r="E276" s="20"/>
      <c r="F276" s="18" t="s">
        <v>741</v>
      </c>
      <c r="G276" s="18" t="s">
        <v>742</v>
      </c>
      <c r="H276" s="21"/>
      <c r="I276" s="22" t="s">
        <v>40</v>
      </c>
      <c r="J276" s="22"/>
      <c r="K276" s="22"/>
      <c r="L276" s="22"/>
      <c r="M276" s="22"/>
      <c r="N276" s="22"/>
      <c r="O276" s="22"/>
      <c r="P276" s="22"/>
      <c r="U276" s="1" t="s">
        <v>42</v>
      </c>
      <c r="W276" s="23">
        <v>72.295135498046903</v>
      </c>
      <c r="X276" s="110">
        <v>1</v>
      </c>
      <c r="Y276" s="24">
        <f t="shared" si="20"/>
        <v>72.295135498046903</v>
      </c>
      <c r="Z276" s="24">
        <f t="shared" si="21"/>
        <v>72.295135498046903</v>
      </c>
    </row>
    <row r="277" spans="1:27" ht="56" customHeight="1" x14ac:dyDescent="0.15">
      <c r="A277" s="18" t="s">
        <v>45</v>
      </c>
      <c r="B277" s="18" t="s">
        <v>743</v>
      </c>
      <c r="C277" s="19" t="s">
        <v>744</v>
      </c>
      <c r="D277" s="2" t="s">
        <v>745</v>
      </c>
      <c r="E277" s="20"/>
      <c r="F277" s="18"/>
      <c r="G277" s="18"/>
      <c r="H277" s="21"/>
      <c r="I277" s="22" t="s">
        <v>51</v>
      </c>
      <c r="J277" s="22"/>
      <c r="K277" s="22"/>
      <c r="L277" s="22"/>
      <c r="M277" s="22"/>
      <c r="N277" s="22"/>
      <c r="O277" s="22"/>
      <c r="P277" s="22"/>
      <c r="U277" s="1" t="s">
        <v>42</v>
      </c>
      <c r="W277" s="23">
        <v>3.7052218914032</v>
      </c>
      <c r="X277" s="110">
        <v>1</v>
      </c>
      <c r="Y277" s="24">
        <f t="shared" si="20"/>
        <v>3.7052218914032</v>
      </c>
      <c r="Z277" s="24">
        <f t="shared" si="21"/>
        <v>3.7052218914032</v>
      </c>
    </row>
    <row r="278" spans="1:27" ht="15.75" customHeight="1" x14ac:dyDescent="0.15">
      <c r="A278" s="18" t="s">
        <v>140</v>
      </c>
      <c r="B278" s="18"/>
      <c r="C278" s="19"/>
      <c r="D278" s="19"/>
      <c r="E278" s="20"/>
      <c r="F278" s="18"/>
      <c r="G278" s="18"/>
      <c r="H278" s="21"/>
      <c r="I278" s="22"/>
      <c r="J278" s="22"/>
      <c r="K278" s="22"/>
      <c r="L278" s="22"/>
      <c r="M278" s="22"/>
      <c r="N278" s="22"/>
      <c r="O278" s="22"/>
      <c r="P278" s="22"/>
      <c r="W278" s="23"/>
      <c r="X278" s="110">
        <v>1</v>
      </c>
      <c r="Y278" s="24" t="str">
        <f t="shared" si="20"/>
        <v/>
      </c>
      <c r="Z278" s="24" t="str">
        <f t="shared" si="21"/>
        <v/>
      </c>
    </row>
    <row r="279" spans="1:27" ht="15.75" customHeight="1" x14ac:dyDescent="0.15">
      <c r="A279" s="18"/>
      <c r="B279" s="18"/>
      <c r="C279" s="19"/>
      <c r="D279" s="19"/>
      <c r="E279" s="20"/>
      <c r="F279" s="18"/>
      <c r="G279" s="18"/>
      <c r="H279" s="21"/>
      <c r="I279" s="22"/>
      <c r="J279" s="22"/>
      <c r="K279" s="22"/>
      <c r="L279" s="22"/>
      <c r="M279" s="22"/>
      <c r="N279" s="22"/>
      <c r="O279" s="22"/>
      <c r="P279" s="22"/>
      <c r="W279" s="23"/>
      <c r="X279" s="110"/>
      <c r="Y279" s="24"/>
      <c r="Z279" s="24"/>
    </row>
    <row r="280" spans="1:27" ht="16" customHeight="1" x14ac:dyDescent="0.15">
      <c r="A280" s="39" t="s">
        <v>61</v>
      </c>
      <c r="B280" s="39" t="s">
        <v>746</v>
      </c>
      <c r="C280" s="50" t="s">
        <v>747</v>
      </c>
      <c r="D280" s="50" t="s">
        <v>747</v>
      </c>
      <c r="E280" s="20"/>
      <c r="F280" s="18"/>
      <c r="G280" s="18"/>
      <c r="H280" s="21"/>
      <c r="I280" s="22"/>
      <c r="J280" s="22"/>
      <c r="K280" s="22"/>
      <c r="L280" s="22"/>
      <c r="M280" s="22"/>
      <c r="N280" s="22"/>
      <c r="O280" s="22"/>
      <c r="P280" s="22"/>
      <c r="W280" s="23"/>
      <c r="X280" s="110">
        <v>1</v>
      </c>
      <c r="Y280" s="24" t="str">
        <f>IF(W280&lt;&gt;"",W280*X280,"")</f>
        <v/>
      </c>
      <c r="Z280" s="24" t="str">
        <f>IF(AND(W280&lt;&gt;"",U280="yes"),W280*X280,"")</f>
        <v/>
      </c>
    </row>
    <row r="281" spans="1:27" x14ac:dyDescent="0.15">
      <c r="A281" s="18" t="s">
        <v>45</v>
      </c>
      <c r="B281" s="18" t="s">
        <v>748</v>
      </c>
      <c r="C281" s="19" t="s">
        <v>749</v>
      </c>
      <c r="D281" s="19" t="s">
        <v>750</v>
      </c>
      <c r="E281" s="20"/>
    </row>
    <row r="282" spans="1:27" ht="28" customHeight="1" x14ac:dyDescent="0.15">
      <c r="A282" s="18" t="s">
        <v>225</v>
      </c>
      <c r="B282" s="18" t="s">
        <v>751</v>
      </c>
      <c r="C282" s="19" t="s">
        <v>752</v>
      </c>
      <c r="D282" s="19" t="s">
        <v>753</v>
      </c>
      <c r="E282" s="20"/>
    </row>
    <row r="283" spans="1:27" ht="28" customHeight="1" x14ac:dyDescent="0.15">
      <c r="A283" s="18" t="s">
        <v>225</v>
      </c>
      <c r="B283" s="18" t="s">
        <v>754</v>
      </c>
      <c r="C283" s="19" t="s">
        <v>755</v>
      </c>
      <c r="D283" s="19" t="s">
        <v>756</v>
      </c>
      <c r="E283" s="20"/>
    </row>
    <row r="284" spans="1:27" ht="28" customHeight="1" x14ac:dyDescent="0.15">
      <c r="A284" s="18" t="s">
        <v>45</v>
      </c>
      <c r="B284" s="18" t="s">
        <v>757</v>
      </c>
      <c r="C284" t="s">
        <v>758</v>
      </c>
      <c r="D284" s="2" t="s">
        <v>759</v>
      </c>
      <c r="E284" s="20"/>
    </row>
    <row r="285" spans="1:27" ht="15.75" customHeight="1" x14ac:dyDescent="0.15">
      <c r="A285" s="18" t="s">
        <v>140</v>
      </c>
      <c r="B285" s="18"/>
      <c r="C285" s="19"/>
      <c r="D285" s="19"/>
      <c r="E285" s="20"/>
      <c r="F285" s="18"/>
      <c r="G285" s="18"/>
      <c r="H285" s="21"/>
      <c r="I285" s="22"/>
      <c r="J285" s="22"/>
      <c r="K285" s="22"/>
      <c r="L285" s="22"/>
      <c r="M285" s="22"/>
      <c r="N285" s="22"/>
      <c r="O285" s="22"/>
      <c r="P285" s="22"/>
      <c r="W285" s="23"/>
      <c r="X285" s="110">
        <v>1</v>
      </c>
      <c r="Y285" s="24" t="str">
        <f>IF(W285&lt;&gt;"",W285*X285,"")</f>
        <v/>
      </c>
      <c r="Z285" s="24" t="str">
        <f>IF(AND(W285&lt;&gt;"",U285="yes"),W285*X285,"")</f>
        <v/>
      </c>
    </row>
    <row r="286" spans="1:27" s="127" customFormat="1" x14ac:dyDescent="0.15">
      <c r="A286" s="118"/>
      <c r="B286" s="118"/>
      <c r="C286" s="119"/>
      <c r="D286" s="119"/>
      <c r="E286" s="120"/>
      <c r="F286" s="121"/>
      <c r="G286" s="121"/>
      <c r="H286" s="122"/>
      <c r="I286" s="123"/>
      <c r="J286" s="123"/>
      <c r="K286" s="123"/>
      <c r="L286" s="123"/>
      <c r="M286" s="123"/>
      <c r="N286" s="123"/>
      <c r="O286" s="123"/>
      <c r="P286" s="123"/>
      <c r="Q286" s="121"/>
      <c r="R286" s="121"/>
      <c r="S286" s="121"/>
      <c r="T286" s="121"/>
      <c r="U286" s="121"/>
      <c r="V286" s="121"/>
      <c r="W286" s="124"/>
      <c r="X286" s="125">
        <v>1</v>
      </c>
      <c r="Y286" s="126" t="str">
        <f>IF(W286&lt;&gt;"",W286*X286,"")</f>
        <v/>
      </c>
      <c r="Z286" s="126" t="str">
        <f>IF(AND(W286&lt;&gt;"",U286="yes"),W286*X286,"")</f>
        <v/>
      </c>
      <c r="AA286" s="118"/>
    </row>
    <row r="287" spans="1:27" s="127" customFormat="1" x14ac:dyDescent="0.15">
      <c r="A287" s="118"/>
      <c r="B287" s="118"/>
      <c r="C287" s="119"/>
      <c r="D287" s="119"/>
      <c r="E287" s="120"/>
      <c r="F287" s="121"/>
      <c r="G287" s="121"/>
      <c r="H287" s="122"/>
      <c r="I287" s="123"/>
      <c r="J287" s="123"/>
      <c r="K287" s="123"/>
      <c r="L287" s="123"/>
      <c r="M287" s="123"/>
      <c r="N287" s="123"/>
      <c r="O287" s="123"/>
      <c r="P287" s="123"/>
      <c r="Q287" s="121"/>
      <c r="R287" s="121"/>
      <c r="S287" s="121"/>
      <c r="T287" s="121"/>
      <c r="U287" s="121"/>
      <c r="V287" s="121"/>
      <c r="W287" s="124"/>
      <c r="X287" s="125"/>
      <c r="Y287" s="126"/>
      <c r="Z287" s="126"/>
      <c r="AA287" s="118"/>
    </row>
    <row r="288" spans="1:27" ht="16" customHeight="1" x14ac:dyDescent="0.15">
      <c r="A288" s="25" t="s">
        <v>61</v>
      </c>
      <c r="B288" s="25" t="s">
        <v>760</v>
      </c>
      <c r="C288" s="111" t="s">
        <v>761</v>
      </c>
      <c r="D288" s="111" t="s">
        <v>761</v>
      </c>
      <c r="E288" s="27"/>
      <c r="F288" s="25"/>
      <c r="G288" s="25"/>
      <c r="H288" s="28"/>
      <c r="I288" s="29"/>
      <c r="J288" s="29"/>
      <c r="K288" s="29"/>
      <c r="L288" s="29"/>
      <c r="M288" s="29"/>
      <c r="N288" s="29"/>
      <c r="O288" s="29"/>
      <c r="P288" s="29"/>
      <c r="Q288" s="25"/>
      <c r="R288" s="25"/>
      <c r="S288" s="25"/>
      <c r="T288" s="25"/>
      <c r="U288" s="25" t="s">
        <v>52</v>
      </c>
      <c r="V288" s="25"/>
      <c r="W288" s="23"/>
      <c r="X288" s="110">
        <v>1</v>
      </c>
      <c r="Y288" s="24" t="str">
        <f t="shared" ref="Y288:Y320" si="22">IF(W288&lt;&gt;"",W288*X288,"")</f>
        <v/>
      </c>
      <c r="Z288" s="24" t="str">
        <f t="shared" ref="Z288:Z320" si="23">IF(AND(W288&lt;&gt;"",U288="yes"),W288*X288,"")</f>
        <v/>
      </c>
      <c r="AA288" s="25"/>
    </row>
    <row r="289" spans="1:27" ht="48" customHeight="1" x14ac:dyDescent="0.15">
      <c r="A289" s="26" t="s">
        <v>45</v>
      </c>
      <c r="B289" s="26" t="s">
        <v>762</v>
      </c>
      <c r="C289" s="26" t="s">
        <v>763</v>
      </c>
      <c r="D289" s="26" t="s">
        <v>764</v>
      </c>
      <c r="E289" s="27"/>
      <c r="F289" s="26"/>
      <c r="G289" s="26"/>
      <c r="H289" s="27"/>
      <c r="I289" s="29" t="s">
        <v>51</v>
      </c>
      <c r="J289" s="128"/>
      <c r="K289" s="128"/>
      <c r="L289" s="29"/>
      <c r="M289" s="128"/>
      <c r="N289" s="128"/>
      <c r="O289" s="128"/>
      <c r="P289" s="128"/>
      <c r="Q289" s="26"/>
      <c r="R289" s="26"/>
      <c r="S289" s="26"/>
      <c r="T289" s="26"/>
      <c r="U289" s="26" t="s">
        <v>52</v>
      </c>
      <c r="V289" s="26"/>
      <c r="W289" s="23">
        <v>0</v>
      </c>
      <c r="X289" s="110">
        <v>1</v>
      </c>
      <c r="Y289" s="24">
        <f t="shared" si="22"/>
        <v>0</v>
      </c>
      <c r="Z289" s="24" t="str">
        <f t="shared" si="23"/>
        <v/>
      </c>
      <c r="AA289" s="26"/>
    </row>
    <row r="290" spans="1:27" ht="48" customHeight="1" x14ac:dyDescent="0.15">
      <c r="A290" s="26" t="s">
        <v>77</v>
      </c>
      <c r="B290" s="26" t="s">
        <v>765</v>
      </c>
      <c r="C290" s="26" t="s">
        <v>766</v>
      </c>
      <c r="D290" s="26" t="s">
        <v>767</v>
      </c>
      <c r="E290" s="27"/>
      <c r="F290" s="25" t="s">
        <v>768</v>
      </c>
      <c r="G290" s="25" t="s">
        <v>769</v>
      </c>
      <c r="H290" s="27"/>
      <c r="I290" s="29" t="s">
        <v>40</v>
      </c>
      <c r="J290" s="128"/>
      <c r="K290" s="128" t="s">
        <v>770</v>
      </c>
      <c r="L290" s="29" t="s">
        <v>771</v>
      </c>
      <c r="M290" s="128"/>
      <c r="N290" s="128"/>
      <c r="O290" s="128"/>
      <c r="P290" s="128"/>
      <c r="Q290" s="26"/>
      <c r="R290" s="26"/>
      <c r="S290" s="26"/>
      <c r="T290" s="26"/>
      <c r="U290" s="26" t="s">
        <v>52</v>
      </c>
      <c r="V290" s="26"/>
      <c r="W290" s="23">
        <v>17</v>
      </c>
      <c r="X290" s="110">
        <v>1</v>
      </c>
      <c r="Y290" s="24">
        <f t="shared" si="22"/>
        <v>17</v>
      </c>
      <c r="Z290" s="24" t="str">
        <f t="shared" si="23"/>
        <v/>
      </c>
      <c r="AA290" s="26"/>
    </row>
    <row r="291" spans="1:27" ht="48" customHeight="1" x14ac:dyDescent="0.15">
      <c r="A291" s="26" t="s">
        <v>77</v>
      </c>
      <c r="B291" s="26" t="s">
        <v>772</v>
      </c>
      <c r="C291" s="26" t="s">
        <v>773</v>
      </c>
      <c r="D291" s="26" t="s">
        <v>774</v>
      </c>
      <c r="E291" s="27"/>
      <c r="F291" s="25" t="s">
        <v>768</v>
      </c>
      <c r="G291" s="25" t="s">
        <v>769</v>
      </c>
      <c r="H291" s="27"/>
      <c r="I291" s="29" t="s">
        <v>40</v>
      </c>
      <c r="J291" s="128"/>
      <c r="K291" s="128" t="s">
        <v>770</v>
      </c>
      <c r="L291" s="29" t="s">
        <v>771</v>
      </c>
      <c r="M291" s="128"/>
      <c r="N291" s="128"/>
      <c r="O291" s="128"/>
      <c r="P291" s="128"/>
      <c r="Q291" s="26"/>
      <c r="R291" s="26"/>
      <c r="S291" s="26"/>
      <c r="T291" s="26"/>
      <c r="U291" s="26" t="s">
        <v>52</v>
      </c>
      <c r="V291" s="26"/>
      <c r="W291" s="23">
        <v>17</v>
      </c>
      <c r="X291" s="110">
        <v>1</v>
      </c>
      <c r="Y291" s="24">
        <f t="shared" si="22"/>
        <v>17</v>
      </c>
      <c r="Z291" s="24" t="str">
        <f t="shared" si="23"/>
        <v/>
      </c>
      <c r="AA291" s="26"/>
    </row>
    <row r="292" spans="1:27" ht="32" customHeight="1" x14ac:dyDescent="0.15">
      <c r="A292" s="26" t="s">
        <v>77</v>
      </c>
      <c r="B292" s="26" t="s">
        <v>775</v>
      </c>
      <c r="C292" s="26" t="s">
        <v>776</v>
      </c>
      <c r="D292" s="26" t="s">
        <v>777</v>
      </c>
      <c r="E292" s="27"/>
      <c r="F292" s="25" t="s">
        <v>768</v>
      </c>
      <c r="G292" s="25" t="s">
        <v>769</v>
      </c>
      <c r="H292" s="27"/>
      <c r="I292" s="29" t="s">
        <v>40</v>
      </c>
      <c r="J292" s="128"/>
      <c r="K292" s="128" t="s">
        <v>770</v>
      </c>
      <c r="L292" s="29" t="s">
        <v>771</v>
      </c>
      <c r="M292" s="128"/>
      <c r="N292" s="128"/>
      <c r="O292" s="128"/>
      <c r="P292" s="128"/>
      <c r="Q292" s="26"/>
      <c r="R292" s="26"/>
      <c r="S292" s="26"/>
      <c r="T292" s="26"/>
      <c r="U292" s="26" t="s">
        <v>52</v>
      </c>
      <c r="V292" s="26"/>
      <c r="W292" s="23">
        <v>17</v>
      </c>
      <c r="X292" s="110">
        <v>1</v>
      </c>
      <c r="Y292" s="24">
        <f t="shared" si="22"/>
        <v>17</v>
      </c>
      <c r="Z292" s="24" t="str">
        <f t="shared" si="23"/>
        <v/>
      </c>
      <c r="AA292" s="26"/>
    </row>
    <row r="293" spans="1:27" ht="32" customHeight="1" x14ac:dyDescent="0.15">
      <c r="A293" s="26" t="s">
        <v>77</v>
      </c>
      <c r="B293" s="26" t="s">
        <v>778</v>
      </c>
      <c r="C293" s="26" t="s">
        <v>779</v>
      </c>
      <c r="D293" s="26" t="s">
        <v>780</v>
      </c>
      <c r="E293" s="27"/>
      <c r="F293" s="25" t="s">
        <v>768</v>
      </c>
      <c r="G293" s="25" t="s">
        <v>769</v>
      </c>
      <c r="H293" s="27"/>
      <c r="I293" s="29" t="s">
        <v>40</v>
      </c>
      <c r="J293" s="128"/>
      <c r="K293" s="128" t="s">
        <v>770</v>
      </c>
      <c r="L293" s="29" t="s">
        <v>771</v>
      </c>
      <c r="M293" s="128"/>
      <c r="N293" s="128"/>
      <c r="O293" s="128"/>
      <c r="P293" s="128"/>
      <c r="Q293" s="26"/>
      <c r="R293" s="26"/>
      <c r="S293" s="26"/>
      <c r="T293" s="26"/>
      <c r="U293" s="26" t="s">
        <v>52</v>
      </c>
      <c r="V293" s="26"/>
      <c r="W293" s="23">
        <v>17</v>
      </c>
      <c r="X293" s="110">
        <v>1</v>
      </c>
      <c r="Y293" s="24">
        <f t="shared" si="22"/>
        <v>17</v>
      </c>
      <c r="Z293" s="24" t="str">
        <f t="shared" si="23"/>
        <v/>
      </c>
      <c r="AA293" s="26"/>
    </row>
    <row r="294" spans="1:27" ht="48" customHeight="1" x14ac:dyDescent="0.15">
      <c r="A294" s="26" t="s">
        <v>77</v>
      </c>
      <c r="B294" s="26" t="s">
        <v>781</v>
      </c>
      <c r="C294" s="26" t="s">
        <v>782</v>
      </c>
      <c r="D294" s="26" t="s">
        <v>783</v>
      </c>
      <c r="E294" s="27"/>
      <c r="F294" s="25" t="s">
        <v>768</v>
      </c>
      <c r="G294" s="25" t="s">
        <v>769</v>
      </c>
      <c r="H294" s="27"/>
      <c r="I294" s="29" t="s">
        <v>40</v>
      </c>
      <c r="J294" s="128"/>
      <c r="K294" s="128" t="s">
        <v>770</v>
      </c>
      <c r="L294" s="29" t="s">
        <v>771</v>
      </c>
      <c r="M294" s="128"/>
      <c r="N294" s="128"/>
      <c r="O294" s="128"/>
      <c r="P294" s="128"/>
      <c r="Q294" s="26"/>
      <c r="R294" s="26"/>
      <c r="S294" s="26"/>
      <c r="T294" s="26"/>
      <c r="U294" s="26" t="s">
        <v>52</v>
      </c>
      <c r="V294" s="26"/>
      <c r="W294" s="23">
        <v>17</v>
      </c>
      <c r="X294" s="110">
        <v>1</v>
      </c>
      <c r="Y294" s="24">
        <f t="shared" si="22"/>
        <v>17</v>
      </c>
      <c r="Z294" s="24" t="str">
        <f t="shared" si="23"/>
        <v/>
      </c>
      <c r="AA294" s="26"/>
    </row>
    <row r="295" spans="1:27" ht="48" customHeight="1" x14ac:dyDescent="0.15">
      <c r="A295" s="26" t="s">
        <v>77</v>
      </c>
      <c r="B295" s="26" t="s">
        <v>784</v>
      </c>
      <c r="C295" s="26" t="s">
        <v>785</v>
      </c>
      <c r="D295" s="26" t="s">
        <v>786</v>
      </c>
      <c r="E295" s="27"/>
      <c r="F295" s="25" t="s">
        <v>768</v>
      </c>
      <c r="G295" s="25" t="s">
        <v>769</v>
      </c>
      <c r="H295" s="27"/>
      <c r="I295" s="29" t="s">
        <v>40</v>
      </c>
      <c r="J295" s="128"/>
      <c r="K295" s="128" t="s">
        <v>770</v>
      </c>
      <c r="L295" s="29" t="s">
        <v>771</v>
      </c>
      <c r="M295" s="128"/>
      <c r="N295" s="128"/>
      <c r="O295" s="128"/>
      <c r="P295" s="128"/>
      <c r="Q295" s="26"/>
      <c r="R295" s="26"/>
      <c r="S295" s="26"/>
      <c r="T295" s="26"/>
      <c r="U295" s="26" t="s">
        <v>52</v>
      </c>
      <c r="V295" s="26"/>
      <c r="W295" s="23">
        <v>17</v>
      </c>
      <c r="X295" s="110">
        <v>1</v>
      </c>
      <c r="Y295" s="24">
        <f t="shared" si="22"/>
        <v>17</v>
      </c>
      <c r="Z295" s="24" t="str">
        <f t="shared" si="23"/>
        <v/>
      </c>
      <c r="AA295" s="26"/>
    </row>
    <row r="296" spans="1:27" ht="48" customHeight="1" x14ac:dyDescent="0.15">
      <c r="A296" s="26" t="s">
        <v>77</v>
      </c>
      <c r="B296" s="26" t="s">
        <v>787</v>
      </c>
      <c r="C296" s="26" t="s">
        <v>788</v>
      </c>
      <c r="D296" s="26" t="s">
        <v>789</v>
      </c>
      <c r="E296" s="27"/>
      <c r="F296" s="25" t="s">
        <v>768</v>
      </c>
      <c r="G296" s="25" t="s">
        <v>769</v>
      </c>
      <c r="H296" s="27"/>
      <c r="I296" s="29" t="s">
        <v>40</v>
      </c>
      <c r="J296" s="128"/>
      <c r="K296" s="128" t="s">
        <v>770</v>
      </c>
      <c r="L296" s="29" t="s">
        <v>771</v>
      </c>
      <c r="M296" s="128"/>
      <c r="N296" s="128"/>
      <c r="O296" s="128"/>
      <c r="P296" s="128"/>
      <c r="Q296" s="26"/>
      <c r="R296" s="26"/>
      <c r="S296" s="26"/>
      <c r="T296" s="26"/>
      <c r="U296" s="26" t="s">
        <v>52</v>
      </c>
      <c r="V296" s="26"/>
      <c r="W296" s="23">
        <v>17</v>
      </c>
      <c r="X296" s="110">
        <v>1</v>
      </c>
      <c r="Y296" s="24">
        <f t="shared" si="22"/>
        <v>17</v>
      </c>
      <c r="Z296" s="24" t="str">
        <f t="shared" si="23"/>
        <v/>
      </c>
      <c r="AA296" s="26"/>
    </row>
    <row r="297" spans="1:27" ht="48" customHeight="1" x14ac:dyDescent="0.15">
      <c r="A297" s="26" t="s">
        <v>77</v>
      </c>
      <c r="B297" s="26" t="s">
        <v>790</v>
      </c>
      <c r="C297" s="26" t="s">
        <v>791</v>
      </c>
      <c r="D297" s="26" t="s">
        <v>792</v>
      </c>
      <c r="E297" s="27"/>
      <c r="F297" s="25" t="s">
        <v>768</v>
      </c>
      <c r="G297" s="25" t="s">
        <v>769</v>
      </c>
      <c r="H297" s="27"/>
      <c r="I297" s="29" t="s">
        <v>40</v>
      </c>
      <c r="J297" s="128"/>
      <c r="K297" s="128" t="s">
        <v>770</v>
      </c>
      <c r="L297" s="29" t="s">
        <v>771</v>
      </c>
      <c r="M297" s="128"/>
      <c r="N297" s="128"/>
      <c r="O297" s="128"/>
      <c r="P297" s="128"/>
      <c r="Q297" s="26"/>
      <c r="R297" s="26"/>
      <c r="S297" s="26"/>
      <c r="T297" s="26"/>
      <c r="U297" s="26" t="s">
        <v>52</v>
      </c>
      <c r="V297" s="26"/>
      <c r="W297" s="23">
        <v>17</v>
      </c>
      <c r="X297" s="110">
        <v>1</v>
      </c>
      <c r="Y297" s="24">
        <f t="shared" si="22"/>
        <v>17</v>
      </c>
      <c r="Z297" s="24" t="str">
        <f t="shared" si="23"/>
        <v/>
      </c>
      <c r="AA297" s="26"/>
    </row>
    <row r="298" spans="1:27" ht="48" customHeight="1" x14ac:dyDescent="0.15">
      <c r="A298" s="26" t="s">
        <v>77</v>
      </c>
      <c r="B298" s="26" t="s">
        <v>793</v>
      </c>
      <c r="C298" s="26" t="s">
        <v>794</v>
      </c>
      <c r="D298" s="26" t="s">
        <v>795</v>
      </c>
      <c r="E298" s="27"/>
      <c r="F298" s="25" t="s">
        <v>768</v>
      </c>
      <c r="G298" s="25" t="s">
        <v>769</v>
      </c>
      <c r="H298" s="27"/>
      <c r="I298" s="29" t="s">
        <v>40</v>
      </c>
      <c r="J298" s="128"/>
      <c r="K298" s="128" t="s">
        <v>770</v>
      </c>
      <c r="L298" s="29" t="s">
        <v>771</v>
      </c>
      <c r="M298" s="128"/>
      <c r="N298" s="128"/>
      <c r="O298" s="128"/>
      <c r="P298" s="128"/>
      <c r="Q298" s="26"/>
      <c r="R298" s="26"/>
      <c r="S298" s="26"/>
      <c r="T298" s="26"/>
      <c r="U298" s="26" t="s">
        <v>52</v>
      </c>
      <c r="V298" s="26"/>
      <c r="W298" s="23">
        <v>17</v>
      </c>
      <c r="X298" s="110">
        <v>1</v>
      </c>
      <c r="Y298" s="24">
        <f t="shared" si="22"/>
        <v>17</v>
      </c>
      <c r="Z298" s="24" t="str">
        <f t="shared" si="23"/>
        <v/>
      </c>
      <c r="AA298" s="26"/>
    </row>
    <row r="299" spans="1:27" x14ac:dyDescent="0.15">
      <c r="A299" s="25" t="s">
        <v>140</v>
      </c>
      <c r="B299" s="25"/>
      <c r="C299" s="26"/>
      <c r="D299" s="26"/>
      <c r="E299" s="27"/>
      <c r="F299" s="25"/>
      <c r="G299" s="25"/>
      <c r="H299" s="28"/>
      <c r="I299" s="29"/>
      <c r="J299" s="29"/>
      <c r="K299" s="29"/>
      <c r="L299" s="29"/>
      <c r="M299" s="29"/>
      <c r="N299" s="29"/>
      <c r="O299" s="29"/>
      <c r="P299" s="29"/>
      <c r="Q299" s="25"/>
      <c r="R299" s="25"/>
      <c r="S299" s="25"/>
      <c r="T299" s="25"/>
      <c r="U299" s="25"/>
      <c r="V299" s="25"/>
      <c r="W299" s="23">
        <v>17</v>
      </c>
      <c r="X299" s="110">
        <v>1</v>
      </c>
      <c r="Y299" s="24">
        <f t="shared" si="22"/>
        <v>17</v>
      </c>
      <c r="Z299" s="24" t="str">
        <f t="shared" si="23"/>
        <v/>
      </c>
    </row>
    <row r="300" spans="1:27" x14ac:dyDescent="0.15">
      <c r="A300" s="25"/>
      <c r="B300" s="25"/>
      <c r="C300" s="26"/>
      <c r="D300" s="26"/>
      <c r="E300" s="27"/>
      <c r="F300" s="25"/>
      <c r="G300" s="25"/>
      <c r="H300" s="28"/>
      <c r="I300" s="29"/>
      <c r="J300" s="29"/>
      <c r="K300" s="29"/>
      <c r="L300" s="29"/>
      <c r="M300" s="29"/>
      <c r="N300" s="29"/>
      <c r="O300" s="29"/>
      <c r="P300" s="29"/>
      <c r="Q300" s="25"/>
      <c r="R300" s="25"/>
      <c r="S300" s="25"/>
      <c r="T300" s="25"/>
      <c r="U300" s="25"/>
      <c r="V300" s="25"/>
      <c r="W300" s="23">
        <v>17</v>
      </c>
      <c r="X300" s="110">
        <v>1</v>
      </c>
      <c r="Y300" s="24">
        <f t="shared" si="22"/>
        <v>17</v>
      </c>
      <c r="Z300" s="24" t="str">
        <f t="shared" si="23"/>
        <v/>
      </c>
    </row>
    <row r="301" spans="1:27" ht="16" customHeight="1" x14ac:dyDescent="0.15">
      <c r="A301" s="25" t="s">
        <v>61</v>
      </c>
      <c r="B301" s="25" t="s">
        <v>796</v>
      </c>
      <c r="C301" s="111" t="s">
        <v>797</v>
      </c>
      <c r="D301" s="111" t="s">
        <v>797</v>
      </c>
      <c r="E301" s="27"/>
      <c r="F301" s="25"/>
      <c r="G301" s="25"/>
      <c r="H301" s="28"/>
      <c r="I301" s="29"/>
      <c r="J301" s="29"/>
      <c r="K301" s="29"/>
      <c r="L301" s="29"/>
      <c r="M301" s="29"/>
      <c r="N301" s="29"/>
      <c r="O301" s="29"/>
      <c r="P301" s="29"/>
      <c r="Q301" s="25"/>
      <c r="R301" s="25"/>
      <c r="S301" s="25"/>
      <c r="T301" s="25"/>
      <c r="U301" s="25" t="s">
        <v>52</v>
      </c>
      <c r="V301" s="25"/>
      <c r="W301" s="23"/>
      <c r="X301" s="110">
        <v>1</v>
      </c>
      <c r="Y301" s="24" t="str">
        <f t="shared" si="22"/>
        <v/>
      </c>
      <c r="Z301" s="24" t="str">
        <f t="shared" si="23"/>
        <v/>
      </c>
      <c r="AA301" s="25"/>
    </row>
    <row r="302" spans="1:27" ht="48" customHeight="1" x14ac:dyDescent="0.15">
      <c r="A302" s="25" t="s">
        <v>45</v>
      </c>
      <c r="B302" s="25" t="s">
        <v>798</v>
      </c>
      <c r="C302" s="26" t="s">
        <v>799</v>
      </c>
      <c r="D302" s="26" t="s">
        <v>800</v>
      </c>
      <c r="E302" s="27"/>
      <c r="F302" s="25"/>
      <c r="G302" s="25"/>
      <c r="H302" s="28"/>
      <c r="I302" s="29" t="s">
        <v>51</v>
      </c>
      <c r="J302" s="29"/>
      <c r="K302" s="29"/>
      <c r="L302" s="29"/>
      <c r="M302" s="29"/>
      <c r="N302" s="29"/>
      <c r="O302" s="29"/>
      <c r="P302" s="29"/>
      <c r="Q302" s="25"/>
      <c r="R302" s="25"/>
      <c r="S302" s="25"/>
      <c r="T302" s="25"/>
      <c r="U302" s="25" t="s">
        <v>52</v>
      </c>
      <c r="V302" s="25"/>
      <c r="W302" s="23">
        <v>17</v>
      </c>
      <c r="X302" s="110">
        <v>1</v>
      </c>
      <c r="Y302" s="24">
        <f t="shared" si="22"/>
        <v>17</v>
      </c>
      <c r="Z302" s="24" t="str">
        <f t="shared" si="23"/>
        <v/>
      </c>
      <c r="AA302" s="25"/>
    </row>
    <row r="303" spans="1:27" ht="48" customHeight="1" x14ac:dyDescent="0.15">
      <c r="A303" s="25" t="s">
        <v>77</v>
      </c>
      <c r="B303" s="25" t="s">
        <v>801</v>
      </c>
      <c r="C303" s="26" t="s">
        <v>802</v>
      </c>
      <c r="D303" s="26" t="s">
        <v>803</v>
      </c>
      <c r="E303" s="27"/>
      <c r="F303" s="25" t="s">
        <v>804</v>
      </c>
      <c r="G303" s="25" t="s">
        <v>805</v>
      </c>
      <c r="H303" s="28"/>
      <c r="I303" s="29" t="s">
        <v>40</v>
      </c>
      <c r="J303" s="29"/>
      <c r="K303" s="29" t="s">
        <v>770</v>
      </c>
      <c r="L303" s="29" t="s">
        <v>771</v>
      </c>
      <c r="M303" s="29"/>
      <c r="N303" s="29"/>
      <c r="O303" s="29"/>
      <c r="P303" s="29"/>
      <c r="Q303" s="25"/>
      <c r="R303" s="25"/>
      <c r="S303" s="25"/>
      <c r="T303" s="25"/>
      <c r="U303" s="25" t="s">
        <v>52</v>
      </c>
      <c r="V303" s="25"/>
      <c r="W303" s="23">
        <v>17</v>
      </c>
      <c r="X303" s="110">
        <v>1</v>
      </c>
      <c r="Y303" s="24">
        <f t="shared" si="22"/>
        <v>17</v>
      </c>
      <c r="Z303" s="24" t="str">
        <f t="shared" si="23"/>
        <v/>
      </c>
      <c r="AA303" s="25"/>
    </row>
    <row r="304" spans="1:27" ht="48" customHeight="1" x14ac:dyDescent="0.15">
      <c r="A304" s="25" t="s">
        <v>77</v>
      </c>
      <c r="B304" s="25" t="s">
        <v>806</v>
      </c>
      <c r="C304" s="26" t="s">
        <v>807</v>
      </c>
      <c r="D304" s="26" t="s">
        <v>808</v>
      </c>
      <c r="E304" s="27"/>
      <c r="F304" s="25" t="s">
        <v>804</v>
      </c>
      <c r="G304" s="25" t="s">
        <v>805</v>
      </c>
      <c r="H304" s="28"/>
      <c r="I304" s="29" t="s">
        <v>40</v>
      </c>
      <c r="J304" s="29"/>
      <c r="K304" s="29" t="s">
        <v>770</v>
      </c>
      <c r="L304" s="29" t="s">
        <v>771</v>
      </c>
      <c r="M304" s="29"/>
      <c r="N304" s="29"/>
      <c r="O304" s="29"/>
      <c r="P304" s="29"/>
      <c r="Q304" s="25"/>
      <c r="R304" s="25"/>
      <c r="S304" s="25"/>
      <c r="T304" s="25"/>
      <c r="U304" s="25" t="s">
        <v>52</v>
      </c>
      <c r="V304" s="25"/>
      <c r="W304" s="23">
        <v>17</v>
      </c>
      <c r="X304" s="110">
        <v>1</v>
      </c>
      <c r="Y304" s="24">
        <f t="shared" si="22"/>
        <v>17</v>
      </c>
      <c r="Z304" s="24" t="str">
        <f t="shared" si="23"/>
        <v/>
      </c>
      <c r="AA304" s="25"/>
    </row>
    <row r="305" spans="1:27" ht="48" customHeight="1" x14ac:dyDescent="0.15">
      <c r="A305" s="25" t="s">
        <v>77</v>
      </c>
      <c r="B305" s="25" t="s">
        <v>809</v>
      </c>
      <c r="C305" s="26" t="s">
        <v>810</v>
      </c>
      <c r="D305" s="26" t="s">
        <v>811</v>
      </c>
      <c r="E305" s="27"/>
      <c r="F305" s="25" t="s">
        <v>804</v>
      </c>
      <c r="G305" s="25" t="s">
        <v>805</v>
      </c>
      <c r="H305" s="28"/>
      <c r="I305" s="29" t="s">
        <v>40</v>
      </c>
      <c r="J305" s="29"/>
      <c r="K305" s="29" t="s">
        <v>770</v>
      </c>
      <c r="L305" s="29" t="s">
        <v>771</v>
      </c>
      <c r="M305" s="29"/>
      <c r="N305" s="29"/>
      <c r="O305" s="29"/>
      <c r="P305" s="29"/>
      <c r="Q305" s="25"/>
      <c r="R305" s="25"/>
      <c r="S305" s="25"/>
      <c r="T305" s="25"/>
      <c r="U305" s="25" t="s">
        <v>52</v>
      </c>
      <c r="V305" s="25"/>
      <c r="W305" s="23">
        <v>17</v>
      </c>
      <c r="X305" s="110">
        <v>1</v>
      </c>
      <c r="Y305" s="24">
        <f t="shared" si="22"/>
        <v>17</v>
      </c>
      <c r="Z305" s="24" t="str">
        <f t="shared" si="23"/>
        <v/>
      </c>
      <c r="AA305" s="25"/>
    </row>
    <row r="306" spans="1:27" ht="48" customHeight="1" x14ac:dyDescent="0.15">
      <c r="A306" s="25" t="s">
        <v>77</v>
      </c>
      <c r="B306" s="25" t="s">
        <v>812</v>
      </c>
      <c r="C306" s="26" t="s">
        <v>813</v>
      </c>
      <c r="D306" s="26" t="s">
        <v>814</v>
      </c>
      <c r="E306" s="27"/>
      <c r="F306" s="25" t="s">
        <v>804</v>
      </c>
      <c r="G306" s="25" t="s">
        <v>805</v>
      </c>
      <c r="H306" s="28"/>
      <c r="I306" s="29" t="s">
        <v>40</v>
      </c>
      <c r="J306" s="29"/>
      <c r="K306" s="29" t="s">
        <v>770</v>
      </c>
      <c r="L306" s="29" t="s">
        <v>771</v>
      </c>
      <c r="M306" s="29"/>
      <c r="N306" s="29"/>
      <c r="O306" s="29"/>
      <c r="P306" s="29"/>
      <c r="Q306" s="25"/>
      <c r="R306" s="25"/>
      <c r="S306" s="25"/>
      <c r="T306" s="25"/>
      <c r="U306" s="25" t="s">
        <v>52</v>
      </c>
      <c r="V306" s="25"/>
      <c r="W306" s="23">
        <v>17</v>
      </c>
      <c r="X306" s="110">
        <v>1</v>
      </c>
      <c r="Y306" s="24">
        <f t="shared" si="22"/>
        <v>17</v>
      </c>
      <c r="Z306" s="24" t="str">
        <f t="shared" si="23"/>
        <v/>
      </c>
      <c r="AA306" s="25"/>
    </row>
    <row r="307" spans="1:27" ht="48" customHeight="1" x14ac:dyDescent="0.15">
      <c r="A307" s="25" t="s">
        <v>77</v>
      </c>
      <c r="B307" s="25" t="s">
        <v>815</v>
      </c>
      <c r="C307" s="26" t="s">
        <v>816</v>
      </c>
      <c r="D307" s="26" t="s">
        <v>817</v>
      </c>
      <c r="E307" s="27"/>
      <c r="F307" s="25" t="s">
        <v>804</v>
      </c>
      <c r="G307" s="25" t="s">
        <v>805</v>
      </c>
      <c r="H307" s="28"/>
      <c r="I307" s="29" t="s">
        <v>40</v>
      </c>
      <c r="J307" s="29"/>
      <c r="K307" s="29" t="s">
        <v>770</v>
      </c>
      <c r="L307" s="29" t="s">
        <v>771</v>
      </c>
      <c r="M307" s="29"/>
      <c r="N307" s="29"/>
      <c r="O307" s="29"/>
      <c r="P307" s="29"/>
      <c r="Q307" s="25"/>
      <c r="R307" s="25"/>
      <c r="S307" s="25"/>
      <c r="T307" s="25"/>
      <c r="U307" s="25" t="s">
        <v>52</v>
      </c>
      <c r="V307" s="25"/>
      <c r="W307" s="23">
        <v>17</v>
      </c>
      <c r="X307" s="110">
        <v>1</v>
      </c>
      <c r="Y307" s="24">
        <f t="shared" si="22"/>
        <v>17</v>
      </c>
      <c r="Z307" s="24" t="str">
        <f t="shared" si="23"/>
        <v/>
      </c>
      <c r="AA307" s="25"/>
    </row>
    <row r="308" spans="1:27" x14ac:dyDescent="0.15">
      <c r="A308" s="25" t="s">
        <v>140</v>
      </c>
      <c r="B308" s="25"/>
      <c r="C308" s="26"/>
      <c r="D308" s="26"/>
      <c r="E308" s="27"/>
      <c r="F308" s="25"/>
      <c r="G308" s="25"/>
      <c r="H308" s="28"/>
      <c r="I308" s="29"/>
      <c r="J308" s="29"/>
      <c r="K308" s="29"/>
      <c r="L308" s="29"/>
      <c r="M308" s="29"/>
      <c r="N308" s="29"/>
      <c r="O308" s="29"/>
      <c r="P308" s="29"/>
      <c r="Q308" s="25"/>
      <c r="R308" s="25"/>
      <c r="S308" s="25"/>
      <c r="T308" s="25"/>
      <c r="U308" s="25"/>
      <c r="V308" s="25"/>
      <c r="W308" s="23"/>
      <c r="X308" s="110">
        <v>1</v>
      </c>
      <c r="Y308" s="24" t="str">
        <f t="shared" si="22"/>
        <v/>
      </c>
      <c r="Z308" s="24" t="str">
        <f t="shared" si="23"/>
        <v/>
      </c>
      <c r="AA308" s="25"/>
    </row>
    <row r="309" spans="1:27" x14ac:dyDescent="0.15">
      <c r="A309" s="25"/>
      <c r="B309" s="25"/>
      <c r="C309" s="26"/>
      <c r="D309" s="26"/>
      <c r="E309" s="27"/>
      <c r="F309" s="25"/>
      <c r="G309" s="25"/>
      <c r="H309" s="28"/>
      <c r="I309" s="29"/>
      <c r="J309" s="29"/>
      <c r="K309" s="29"/>
      <c r="L309" s="29"/>
      <c r="M309" s="29"/>
      <c r="N309" s="29"/>
      <c r="O309" s="29"/>
      <c r="P309" s="29"/>
      <c r="Q309" s="25"/>
      <c r="R309" s="25"/>
      <c r="S309" s="25"/>
      <c r="T309" s="25"/>
      <c r="U309" s="25"/>
      <c r="V309" s="25"/>
      <c r="W309" s="23"/>
      <c r="X309" s="110">
        <v>1</v>
      </c>
      <c r="Y309" s="24" t="str">
        <f t="shared" si="22"/>
        <v/>
      </c>
      <c r="Z309" s="24" t="str">
        <f t="shared" si="23"/>
        <v/>
      </c>
      <c r="AA309" s="25"/>
    </row>
    <row r="310" spans="1:27" x14ac:dyDescent="0.15">
      <c r="A310" s="80" t="s">
        <v>140</v>
      </c>
      <c r="B310" s="80"/>
      <c r="C310" s="81"/>
      <c r="D310" s="81"/>
      <c r="E310" s="82"/>
      <c r="F310" s="80"/>
      <c r="G310" s="80"/>
      <c r="H310" s="83"/>
      <c r="I310" s="84"/>
      <c r="J310" s="84"/>
      <c r="K310" s="84"/>
      <c r="L310" s="84"/>
      <c r="M310" s="84"/>
      <c r="N310" s="84"/>
      <c r="O310" s="84"/>
      <c r="P310" s="84"/>
      <c r="W310" s="23"/>
      <c r="Y310" s="24" t="str">
        <f t="shared" si="22"/>
        <v/>
      </c>
      <c r="Z310" s="24" t="str">
        <f t="shared" si="23"/>
        <v/>
      </c>
    </row>
    <row r="311" spans="1:27" ht="15" customHeight="1" x14ac:dyDescent="0.15">
      <c r="A311" s="49" t="s">
        <v>61</v>
      </c>
      <c r="B311" s="49" t="s">
        <v>818</v>
      </c>
      <c r="C311" s="50" t="s">
        <v>819</v>
      </c>
      <c r="D311" s="50" t="s">
        <v>820</v>
      </c>
      <c r="E311" s="51"/>
      <c r="F311" s="49"/>
      <c r="G311" s="49"/>
      <c r="H311" s="52"/>
      <c r="I311" s="53" t="s">
        <v>51</v>
      </c>
      <c r="J311" s="53"/>
      <c r="K311" s="53"/>
      <c r="L311" s="53"/>
      <c r="M311" s="53" t="s">
        <v>821</v>
      </c>
      <c r="N311" s="53"/>
      <c r="O311" s="53"/>
      <c r="P311" s="53"/>
      <c r="Q311" s="54"/>
      <c r="R311" s="54"/>
      <c r="S311" s="54"/>
      <c r="T311" s="54"/>
      <c r="U311" s="1" t="s">
        <v>42</v>
      </c>
      <c r="V311" s="54"/>
      <c r="W311" s="23"/>
      <c r="X311" s="55"/>
      <c r="Y311" s="24" t="str">
        <f t="shared" si="22"/>
        <v/>
      </c>
      <c r="Z311" s="24" t="str">
        <f t="shared" si="23"/>
        <v/>
      </c>
      <c r="AA311" s="55"/>
    </row>
    <row r="312" spans="1:27" ht="15" customHeight="1" x14ac:dyDescent="0.15">
      <c r="A312" s="54"/>
      <c r="B312" s="54"/>
      <c r="C312" s="98"/>
      <c r="D312" s="98"/>
      <c r="E312" s="51"/>
      <c r="F312" s="54"/>
      <c r="G312" s="54"/>
      <c r="H312" s="52"/>
      <c r="I312" s="99"/>
      <c r="J312" s="99"/>
      <c r="K312" s="99"/>
      <c r="L312" s="99"/>
      <c r="M312" s="99"/>
      <c r="N312" s="99"/>
      <c r="O312" s="99"/>
      <c r="P312" s="99"/>
      <c r="Q312" s="54"/>
      <c r="R312" s="54"/>
      <c r="S312" s="54"/>
      <c r="T312" s="54"/>
      <c r="V312" s="54"/>
      <c r="W312" s="23"/>
      <c r="X312" s="110">
        <v>1</v>
      </c>
      <c r="Y312" s="24" t="str">
        <f t="shared" si="22"/>
        <v/>
      </c>
      <c r="Z312" s="24" t="str">
        <f t="shared" si="23"/>
        <v/>
      </c>
      <c r="AA312" s="55"/>
    </row>
    <row r="313" spans="1:27" ht="42" customHeight="1" x14ac:dyDescent="0.15">
      <c r="A313" s="18" t="s">
        <v>134</v>
      </c>
      <c r="B313" s="18" t="s">
        <v>822</v>
      </c>
      <c r="C313" s="19" t="s">
        <v>823</v>
      </c>
      <c r="D313" s="19" t="s">
        <v>824</v>
      </c>
      <c r="E313" s="20"/>
      <c r="F313" s="18"/>
      <c r="G313" s="18"/>
      <c r="H313" s="21"/>
      <c r="I313" s="22" t="s">
        <v>40</v>
      </c>
      <c r="J313" s="22"/>
      <c r="K313" s="22"/>
      <c r="L313" s="22"/>
      <c r="M313" s="22"/>
      <c r="N313" s="22"/>
      <c r="O313" s="22"/>
      <c r="P313" s="22"/>
      <c r="U313" s="1" t="s">
        <v>42</v>
      </c>
      <c r="W313" s="23">
        <v>19.828245162963899</v>
      </c>
      <c r="X313" s="110">
        <v>1</v>
      </c>
      <c r="Y313" s="24">
        <f t="shared" si="22"/>
        <v>19.828245162963899</v>
      </c>
      <c r="Z313" s="24">
        <f t="shared" si="23"/>
        <v>19.828245162963899</v>
      </c>
    </row>
    <row r="314" spans="1:27" ht="42" customHeight="1" x14ac:dyDescent="0.15">
      <c r="A314" s="18" t="s">
        <v>825</v>
      </c>
      <c r="B314" s="18" t="s">
        <v>826</v>
      </c>
      <c r="C314" s="19" t="s">
        <v>827</v>
      </c>
      <c r="D314" s="19" t="s">
        <v>828</v>
      </c>
      <c r="E314" s="20"/>
      <c r="F314" s="18" t="s">
        <v>829</v>
      </c>
      <c r="G314" s="39" t="s">
        <v>830</v>
      </c>
      <c r="H314" s="21"/>
      <c r="I314" s="22" t="s">
        <v>40</v>
      </c>
      <c r="J314" s="22"/>
      <c r="K314" s="43" t="s">
        <v>313</v>
      </c>
      <c r="L314" s="22"/>
      <c r="M314" s="22" t="s">
        <v>831</v>
      </c>
      <c r="N314" s="22"/>
      <c r="O314" s="22"/>
      <c r="P314" s="22"/>
      <c r="U314" s="1" t="s">
        <v>42</v>
      </c>
      <c r="W314" s="23">
        <v>49.529693603515597</v>
      </c>
      <c r="X314" s="110">
        <v>1</v>
      </c>
      <c r="Y314" s="24">
        <f t="shared" si="22"/>
        <v>49.529693603515597</v>
      </c>
      <c r="Z314" s="24">
        <f t="shared" si="23"/>
        <v>49.529693603515597</v>
      </c>
    </row>
    <row r="315" spans="1:27" ht="16" customHeight="1" x14ac:dyDescent="0.15">
      <c r="A315" s="18" t="s">
        <v>66</v>
      </c>
      <c r="B315" s="18" t="s">
        <v>832</v>
      </c>
      <c r="C315" s="40" t="s">
        <v>346</v>
      </c>
      <c r="D315" s="19" t="s">
        <v>402</v>
      </c>
      <c r="E315" s="41"/>
      <c r="F315" s="6" t="s">
        <v>348</v>
      </c>
      <c r="G315" s="6" t="s">
        <v>614</v>
      </c>
      <c r="H315" s="21"/>
      <c r="I315" s="22" t="s">
        <v>40</v>
      </c>
      <c r="J315" s="22"/>
      <c r="K315" s="22"/>
      <c r="L315" s="22"/>
      <c r="M315" s="22" t="s">
        <v>833</v>
      </c>
      <c r="N315" s="22"/>
      <c r="O315" s="22"/>
      <c r="P315" s="22"/>
      <c r="U315" s="1" t="s">
        <v>42</v>
      </c>
      <c r="W315" s="23"/>
      <c r="X315" s="110">
        <v>1</v>
      </c>
      <c r="Y315" s="24" t="str">
        <f t="shared" si="22"/>
        <v/>
      </c>
      <c r="Z315" s="24" t="str">
        <f t="shared" si="23"/>
        <v/>
      </c>
    </row>
    <row r="316" spans="1:27" x14ac:dyDescent="0.15">
      <c r="E316" s="20"/>
      <c r="G316" s="6"/>
      <c r="H316" s="21"/>
      <c r="W316" s="23"/>
      <c r="X316" s="110">
        <v>1</v>
      </c>
      <c r="Y316" s="24" t="str">
        <f t="shared" si="22"/>
        <v/>
      </c>
      <c r="Z316" s="24" t="str">
        <f t="shared" si="23"/>
        <v/>
      </c>
    </row>
    <row r="317" spans="1:27" ht="32" customHeight="1" x14ac:dyDescent="0.15">
      <c r="A317" s="39" t="s">
        <v>834</v>
      </c>
      <c r="B317" s="39" t="s">
        <v>835</v>
      </c>
      <c r="C317" s="40" t="s">
        <v>836</v>
      </c>
      <c r="D317" s="19" t="s">
        <v>837</v>
      </c>
      <c r="E317" s="41"/>
      <c r="F317" s="39" t="s">
        <v>838</v>
      </c>
      <c r="G317" s="39" t="s">
        <v>839</v>
      </c>
      <c r="H317" s="42"/>
      <c r="I317" s="43" t="s">
        <v>40</v>
      </c>
      <c r="J317" s="43"/>
      <c r="K317" s="43" t="s">
        <v>840</v>
      </c>
      <c r="L317" s="43"/>
      <c r="M317" s="43"/>
      <c r="N317" s="43"/>
      <c r="O317" s="43"/>
      <c r="P317" s="43"/>
      <c r="Q317" s="6"/>
      <c r="R317" s="6"/>
      <c r="S317" s="6"/>
      <c r="T317" s="6"/>
      <c r="U317" s="6" t="s">
        <v>52</v>
      </c>
      <c r="V317" s="6"/>
      <c r="W317" s="23">
        <v>22.029750823974599</v>
      </c>
      <c r="X317" s="110">
        <v>1</v>
      </c>
      <c r="Y317" s="24">
        <f t="shared" si="22"/>
        <v>22.029750823974599</v>
      </c>
      <c r="Z317" s="24" t="str">
        <f t="shared" si="23"/>
        <v/>
      </c>
    </row>
    <row r="318" spans="1:27" ht="16" customHeight="1" x14ac:dyDescent="0.15">
      <c r="A318" s="39" t="s">
        <v>66</v>
      </c>
      <c r="B318" s="39" t="s">
        <v>841</v>
      </c>
      <c r="C318" s="40" t="s">
        <v>346</v>
      </c>
      <c r="D318" s="19" t="s">
        <v>402</v>
      </c>
      <c r="E318" s="41"/>
      <c r="F318" s="39" t="s">
        <v>348</v>
      </c>
      <c r="G318" s="6" t="s">
        <v>614</v>
      </c>
      <c r="H318" s="42"/>
      <c r="I318" s="43" t="s">
        <v>40</v>
      </c>
      <c r="J318" s="43"/>
      <c r="K318" s="43"/>
      <c r="L318" s="43"/>
      <c r="M318" s="43" t="s">
        <v>842</v>
      </c>
      <c r="N318" s="43"/>
      <c r="O318" s="43"/>
      <c r="P318" s="43"/>
      <c r="Q318" s="6"/>
      <c r="R318" s="6"/>
      <c r="S318" s="6"/>
      <c r="T318" s="6"/>
      <c r="U318" s="6" t="s">
        <v>52</v>
      </c>
      <c r="V318" s="6"/>
      <c r="W318" s="23"/>
      <c r="X318" s="110">
        <v>1</v>
      </c>
      <c r="Y318" s="24" t="str">
        <f t="shared" si="22"/>
        <v/>
      </c>
      <c r="Z318" s="24" t="str">
        <f t="shared" si="23"/>
        <v/>
      </c>
    </row>
    <row r="319" spans="1:27" ht="16" customHeight="1" x14ac:dyDescent="0.15">
      <c r="A319" s="39" t="s">
        <v>843</v>
      </c>
      <c r="B319" s="39" t="s">
        <v>844</v>
      </c>
      <c r="C319" s="40" t="s">
        <v>845</v>
      </c>
      <c r="D319" s="19" t="s">
        <v>846</v>
      </c>
      <c r="E319" s="41"/>
      <c r="F319" s="39" t="s">
        <v>847</v>
      </c>
      <c r="G319" s="39" t="s">
        <v>848</v>
      </c>
      <c r="H319" s="42"/>
      <c r="I319" s="43" t="s">
        <v>40</v>
      </c>
      <c r="J319" s="43"/>
      <c r="K319" s="43"/>
      <c r="L319" s="43"/>
      <c r="M319" s="43" t="s">
        <v>849</v>
      </c>
      <c r="N319" s="43"/>
      <c r="O319" s="43"/>
      <c r="P319" s="43"/>
      <c r="Q319" s="6"/>
      <c r="R319" s="6"/>
      <c r="S319" s="6"/>
      <c r="T319" s="6"/>
      <c r="U319" s="6" t="s">
        <v>52</v>
      </c>
      <c r="V319" s="6"/>
      <c r="W319" s="23">
        <v>17</v>
      </c>
      <c r="X319" s="110">
        <v>1</v>
      </c>
      <c r="Y319" s="24">
        <f t="shared" si="22"/>
        <v>17</v>
      </c>
      <c r="Z319" s="24" t="str">
        <f t="shared" si="23"/>
        <v/>
      </c>
    </row>
    <row r="320" spans="1:27" x14ac:dyDescent="0.15">
      <c r="A320" s="25"/>
      <c r="B320" s="25"/>
      <c r="C320" s="26"/>
      <c r="D320" s="26"/>
      <c r="E320" s="27"/>
      <c r="F320" s="25"/>
      <c r="G320" s="25"/>
      <c r="H320" s="28"/>
      <c r="I320" s="29"/>
      <c r="J320" s="29"/>
      <c r="K320" s="29"/>
      <c r="L320" s="29"/>
      <c r="M320" s="29"/>
      <c r="N320" s="29"/>
      <c r="O320" s="29"/>
      <c r="P320" s="29"/>
      <c r="Q320" s="25"/>
      <c r="S320" s="25"/>
      <c r="T320" s="25"/>
      <c r="U320" s="25"/>
      <c r="V320" s="25"/>
      <c r="W320" s="23"/>
      <c r="X320" s="110">
        <v>1</v>
      </c>
      <c r="Y320" s="24" t="str">
        <f t="shared" si="22"/>
        <v/>
      </c>
      <c r="Z320" s="24" t="str">
        <f t="shared" si="23"/>
        <v/>
      </c>
    </row>
    <row r="321" spans="1:27" ht="16" customHeight="1" x14ac:dyDescent="0.15">
      <c r="A321" s="25" t="s">
        <v>850</v>
      </c>
      <c r="B321" s="25" t="s">
        <v>851</v>
      </c>
      <c r="C321" s="26" t="s">
        <v>852</v>
      </c>
      <c r="D321" s="26" t="s">
        <v>853</v>
      </c>
      <c r="E321" s="27"/>
      <c r="F321" s="25" t="s">
        <v>854</v>
      </c>
      <c r="G321" s="25" t="s">
        <v>416</v>
      </c>
      <c r="H321" s="28"/>
      <c r="I321" s="29" t="s">
        <v>40</v>
      </c>
      <c r="J321" s="29"/>
      <c r="K321" s="79" t="s">
        <v>313</v>
      </c>
      <c r="L321" s="29"/>
      <c r="M321" s="79" t="s">
        <v>849</v>
      </c>
      <c r="N321" s="29"/>
      <c r="O321" s="29"/>
      <c r="P321" s="29"/>
      <c r="Q321" s="25"/>
      <c r="S321" s="25"/>
      <c r="T321" s="25"/>
      <c r="U321" s="25"/>
      <c r="V321" s="25"/>
      <c r="W321" s="23"/>
      <c r="X321" s="110"/>
      <c r="Y321" s="24"/>
      <c r="Z321" s="24"/>
    </row>
    <row r="322" spans="1:27" x14ac:dyDescent="0.15">
      <c r="A322" s="25"/>
      <c r="B322" s="25"/>
      <c r="C322" s="26"/>
      <c r="D322" s="26"/>
      <c r="E322" s="27"/>
      <c r="F322" s="25"/>
      <c r="G322" s="25"/>
      <c r="H322" s="28"/>
      <c r="I322" s="29"/>
      <c r="J322" s="29"/>
      <c r="K322" s="29"/>
      <c r="L322" s="29"/>
      <c r="M322" s="29"/>
      <c r="N322" s="29"/>
      <c r="O322" s="29"/>
      <c r="P322" s="29"/>
      <c r="Q322" s="25"/>
      <c r="S322" s="25"/>
      <c r="T322" s="25"/>
      <c r="U322" s="25"/>
      <c r="V322" s="25"/>
      <c r="W322" s="23"/>
      <c r="X322" s="110"/>
      <c r="Y322" s="24"/>
      <c r="Z322" s="24"/>
    </row>
    <row r="323" spans="1:27" x14ac:dyDescent="0.15">
      <c r="A323" s="80" t="s">
        <v>140</v>
      </c>
      <c r="B323" s="80"/>
      <c r="C323" s="81"/>
      <c r="D323" s="81"/>
      <c r="E323" s="82"/>
      <c r="F323" s="80"/>
      <c r="G323" s="80"/>
      <c r="H323" s="83"/>
      <c r="I323" s="84"/>
      <c r="J323" s="84"/>
      <c r="K323" s="84"/>
      <c r="L323" s="84"/>
      <c r="M323" s="84"/>
      <c r="N323" s="84"/>
      <c r="O323" s="84"/>
      <c r="P323" s="84"/>
      <c r="W323" s="23"/>
      <c r="Y323" s="24" t="str">
        <f t="shared" ref="Y323:Y335" si="24">IF(W323&lt;&gt;"",W323*X323,"")</f>
        <v/>
      </c>
      <c r="Z323" s="24" t="str">
        <f t="shared" ref="Z323:Z335" si="25">IF(AND(W323&lt;&gt;"",U323="yes"),W323*X323,"")</f>
        <v/>
      </c>
    </row>
    <row r="324" spans="1:27" ht="16" customHeight="1" x14ac:dyDescent="0.15">
      <c r="A324" s="49" t="s">
        <v>61</v>
      </c>
      <c r="B324" s="49" t="s">
        <v>855</v>
      </c>
      <c r="C324" s="50" t="s">
        <v>856</v>
      </c>
      <c r="D324" s="50" t="s">
        <v>857</v>
      </c>
      <c r="E324" s="51"/>
      <c r="F324" s="49"/>
      <c r="G324" s="49"/>
      <c r="H324" s="52"/>
      <c r="I324" s="53" t="s">
        <v>51</v>
      </c>
      <c r="J324" s="53"/>
      <c r="K324" s="53"/>
      <c r="L324" s="53"/>
      <c r="M324" s="53" t="s">
        <v>144</v>
      </c>
      <c r="N324" s="53"/>
      <c r="O324" s="53"/>
      <c r="P324" s="53"/>
      <c r="Q324" s="54"/>
      <c r="R324" s="54"/>
      <c r="S324" s="54"/>
      <c r="T324" s="54"/>
      <c r="U324" s="1" t="s">
        <v>42</v>
      </c>
      <c r="V324" s="54"/>
      <c r="W324" s="23"/>
      <c r="Y324" s="24" t="str">
        <f t="shared" si="24"/>
        <v/>
      </c>
      <c r="Z324" s="24" t="str">
        <f t="shared" si="25"/>
        <v/>
      </c>
      <c r="AA324" s="55"/>
    </row>
    <row r="325" spans="1:27" x14ac:dyDescent="0.15">
      <c r="A325" s="54"/>
      <c r="B325" s="54"/>
      <c r="C325" s="98"/>
      <c r="D325" s="98"/>
      <c r="E325" s="51"/>
      <c r="F325" s="54"/>
      <c r="G325" s="54"/>
      <c r="H325" s="52"/>
      <c r="I325" s="99"/>
      <c r="J325" s="99"/>
      <c r="K325" s="99"/>
      <c r="L325" s="99"/>
      <c r="M325" s="99"/>
      <c r="N325" s="99"/>
      <c r="O325" s="99"/>
      <c r="P325" s="99"/>
      <c r="Q325" s="54"/>
      <c r="R325" s="54"/>
      <c r="S325" s="54"/>
      <c r="T325" s="54"/>
      <c r="V325" s="54"/>
      <c r="W325" s="23"/>
      <c r="X325" s="110">
        <v>1</v>
      </c>
      <c r="Y325" s="24" t="str">
        <f t="shared" si="24"/>
        <v/>
      </c>
      <c r="Z325" s="24" t="str">
        <f t="shared" si="25"/>
        <v/>
      </c>
      <c r="AA325" s="55"/>
    </row>
    <row r="326" spans="1:27" ht="32" customHeight="1" x14ac:dyDescent="0.15">
      <c r="A326" s="18" t="s">
        <v>53</v>
      </c>
      <c r="B326" s="18" t="s">
        <v>858</v>
      </c>
      <c r="C326" s="19" t="s">
        <v>859</v>
      </c>
      <c r="D326" s="40" t="s">
        <v>860</v>
      </c>
      <c r="E326" s="20"/>
      <c r="F326" s="18"/>
      <c r="G326" s="18"/>
      <c r="H326" s="21"/>
      <c r="I326" s="22" t="s">
        <v>40</v>
      </c>
      <c r="J326" s="22"/>
      <c r="K326" s="22"/>
      <c r="L326" s="22"/>
      <c r="M326" s="22"/>
      <c r="N326" s="22"/>
      <c r="O326" s="22"/>
      <c r="P326" s="22"/>
      <c r="U326" s="1" t="s">
        <v>42</v>
      </c>
      <c r="W326" s="23">
        <v>36.783046722412102</v>
      </c>
      <c r="X326" s="110">
        <v>1</v>
      </c>
      <c r="Y326" s="24">
        <f t="shared" si="24"/>
        <v>36.783046722412102</v>
      </c>
      <c r="Z326" s="24">
        <f t="shared" si="25"/>
        <v>36.783046722412102</v>
      </c>
    </row>
    <row r="327" spans="1:27" x14ac:dyDescent="0.15">
      <c r="D327" s="70"/>
      <c r="E327" s="20"/>
      <c r="H327" s="21"/>
      <c r="W327" s="23"/>
      <c r="X327" s="110">
        <v>1</v>
      </c>
      <c r="Y327" s="24" t="str">
        <f t="shared" si="24"/>
        <v/>
      </c>
      <c r="Z327" s="24" t="str">
        <f t="shared" si="25"/>
        <v/>
      </c>
    </row>
    <row r="328" spans="1:27" ht="16" customHeight="1" x14ac:dyDescent="0.15">
      <c r="A328" s="58" t="s">
        <v>861</v>
      </c>
      <c r="B328" s="58" t="s">
        <v>862</v>
      </c>
      <c r="C328" s="129" t="s">
        <v>863</v>
      </c>
      <c r="D328" s="129" t="s">
        <v>864</v>
      </c>
      <c r="E328" s="60"/>
      <c r="F328" s="58" t="s">
        <v>865</v>
      </c>
      <c r="G328" s="58" t="s">
        <v>866</v>
      </c>
      <c r="H328" s="62"/>
      <c r="I328" s="63" t="s">
        <v>40</v>
      </c>
      <c r="J328" s="63"/>
      <c r="K328" s="130"/>
      <c r="L328" s="63"/>
      <c r="M328" s="63" t="s">
        <v>867</v>
      </c>
      <c r="N328" s="63"/>
      <c r="O328" s="63"/>
      <c r="P328" s="63"/>
      <c r="Q328" s="25"/>
      <c r="R328" s="25"/>
      <c r="S328" s="25"/>
      <c r="T328" s="25"/>
      <c r="U328" s="61" t="s">
        <v>96</v>
      </c>
      <c r="V328" s="25"/>
      <c r="W328" s="23">
        <v>10</v>
      </c>
      <c r="X328" s="110">
        <v>1</v>
      </c>
      <c r="Y328" s="24">
        <f t="shared" si="24"/>
        <v>10</v>
      </c>
      <c r="Z328" s="24" t="str">
        <f t="shared" si="25"/>
        <v/>
      </c>
    </row>
    <row r="329" spans="1:27" ht="16" customHeight="1" x14ac:dyDescent="0.15">
      <c r="A329" s="58" t="s">
        <v>868</v>
      </c>
      <c r="B329" s="58" t="s">
        <v>869</v>
      </c>
      <c r="C329" s="129" t="s">
        <v>870</v>
      </c>
      <c r="D329" s="129" t="s">
        <v>871</v>
      </c>
      <c r="E329" s="60"/>
      <c r="F329" s="58" t="s">
        <v>865</v>
      </c>
      <c r="G329" s="58" t="s">
        <v>866</v>
      </c>
      <c r="H329" s="62"/>
      <c r="I329" s="63" t="s">
        <v>40</v>
      </c>
      <c r="J329" s="63"/>
      <c r="K329" s="130"/>
      <c r="L329" s="63"/>
      <c r="M329" s="63" t="s">
        <v>867</v>
      </c>
      <c r="N329" s="63"/>
      <c r="O329" s="63"/>
      <c r="P329" s="63"/>
      <c r="Q329" s="25"/>
      <c r="R329" s="25"/>
      <c r="S329" s="25"/>
      <c r="T329" s="25"/>
      <c r="U329" s="61" t="s">
        <v>96</v>
      </c>
      <c r="V329" s="25"/>
      <c r="W329" s="23">
        <v>10</v>
      </c>
      <c r="X329" s="110">
        <v>1</v>
      </c>
      <c r="Y329" s="24">
        <f t="shared" si="24"/>
        <v>10</v>
      </c>
      <c r="Z329" s="24" t="str">
        <f t="shared" si="25"/>
        <v/>
      </c>
    </row>
    <row r="330" spans="1:27" x14ac:dyDescent="0.15">
      <c r="A330" s="25"/>
      <c r="B330" s="25"/>
      <c r="C330" s="26"/>
      <c r="D330" s="70"/>
      <c r="E330" s="27"/>
      <c r="F330" s="25"/>
      <c r="G330" s="25"/>
      <c r="H330" s="28"/>
      <c r="I330" s="29"/>
      <c r="J330" s="29"/>
      <c r="K330" s="29"/>
      <c r="L330" s="29"/>
      <c r="M330" s="29"/>
      <c r="N330" s="29"/>
      <c r="O330" s="29"/>
      <c r="P330" s="29"/>
      <c r="Q330" s="25"/>
      <c r="R330" s="25"/>
      <c r="S330" s="25"/>
      <c r="T330" s="25"/>
      <c r="U330" s="25"/>
      <c r="V330" s="25"/>
      <c r="W330" s="23"/>
      <c r="X330" s="110">
        <v>1</v>
      </c>
      <c r="Y330" s="24" t="str">
        <f t="shared" si="24"/>
        <v/>
      </c>
      <c r="Z330" s="24" t="str">
        <f t="shared" si="25"/>
        <v/>
      </c>
    </row>
    <row r="331" spans="1:27" ht="16" customHeight="1" x14ac:dyDescent="0.15">
      <c r="A331" s="18" t="s">
        <v>872</v>
      </c>
      <c r="B331" s="18" t="s">
        <v>873</v>
      </c>
      <c r="C331" s="19" t="s">
        <v>874</v>
      </c>
      <c r="D331" s="40" t="s">
        <v>875</v>
      </c>
      <c r="E331" s="20"/>
      <c r="F331" s="18"/>
      <c r="G331" s="18"/>
      <c r="H331" s="21"/>
      <c r="I331" s="22" t="s">
        <v>40</v>
      </c>
      <c r="J331" s="22"/>
      <c r="K331" s="22"/>
      <c r="L331" s="22"/>
      <c r="M331" s="22"/>
      <c r="N331" s="22"/>
      <c r="O331" s="22"/>
      <c r="P331" s="22"/>
      <c r="U331" s="1" t="s">
        <v>42</v>
      </c>
      <c r="W331" s="23">
        <v>3</v>
      </c>
      <c r="X331" s="110">
        <v>1</v>
      </c>
      <c r="Y331" s="24">
        <f t="shared" si="24"/>
        <v>3</v>
      </c>
      <c r="Z331" s="24">
        <f t="shared" si="25"/>
        <v>3</v>
      </c>
    </row>
    <row r="332" spans="1:27" x14ac:dyDescent="0.15">
      <c r="D332" s="70"/>
      <c r="E332" s="20"/>
      <c r="H332" s="21"/>
      <c r="W332" s="23"/>
      <c r="X332" s="110">
        <v>1</v>
      </c>
      <c r="Y332" s="24" t="str">
        <f t="shared" si="24"/>
        <v/>
      </c>
      <c r="Z332" s="24" t="str">
        <f t="shared" si="25"/>
        <v/>
      </c>
    </row>
    <row r="333" spans="1:27" ht="16" customHeight="1" x14ac:dyDescent="0.15">
      <c r="A333" s="18" t="s">
        <v>45</v>
      </c>
      <c r="B333" s="18" t="s">
        <v>876</v>
      </c>
      <c r="C333" s="66" t="s">
        <v>877</v>
      </c>
      <c r="D333" s="40" t="s">
        <v>878</v>
      </c>
      <c r="E333" s="20"/>
      <c r="F333" s="18"/>
      <c r="G333" s="18"/>
      <c r="H333" s="21"/>
      <c r="I333" s="22" t="s">
        <v>51</v>
      </c>
      <c r="J333" s="22"/>
      <c r="K333" s="22"/>
      <c r="L333" s="22"/>
      <c r="M333" s="22"/>
      <c r="N333" s="22"/>
      <c r="O333" s="22"/>
      <c r="P333" s="22"/>
      <c r="U333" s="1" t="s">
        <v>52</v>
      </c>
      <c r="W333" s="23">
        <v>0</v>
      </c>
      <c r="X333" s="110">
        <v>1</v>
      </c>
      <c r="Y333" s="24">
        <f t="shared" si="24"/>
        <v>0</v>
      </c>
      <c r="Z333" s="24" t="str">
        <f t="shared" si="25"/>
        <v/>
      </c>
    </row>
    <row r="334" spans="1:27" x14ac:dyDescent="0.15">
      <c r="E334" s="20"/>
      <c r="H334" s="21"/>
      <c r="W334" s="23"/>
      <c r="X334" s="110">
        <v>1</v>
      </c>
      <c r="Y334" s="24" t="str">
        <f t="shared" si="24"/>
        <v/>
      </c>
      <c r="Z334" s="24" t="str">
        <f t="shared" si="25"/>
        <v/>
      </c>
    </row>
    <row r="335" spans="1:27" x14ac:dyDescent="0.15">
      <c r="A335" s="80" t="s">
        <v>140</v>
      </c>
      <c r="B335" s="80"/>
      <c r="C335" s="81"/>
      <c r="D335" s="81"/>
      <c r="E335" s="82"/>
      <c r="F335" s="80"/>
      <c r="G335" s="80"/>
      <c r="H335" s="83"/>
      <c r="I335" s="84"/>
      <c r="J335" s="84"/>
      <c r="K335" s="84"/>
      <c r="L335" s="84"/>
      <c r="M335" s="84"/>
      <c r="N335" s="84"/>
      <c r="O335" s="84"/>
      <c r="P335" s="84"/>
      <c r="W335" s="23"/>
      <c r="Y335" s="24" t="str">
        <f t="shared" si="24"/>
        <v/>
      </c>
      <c r="Z335" s="24" t="str">
        <f t="shared" si="25"/>
        <v/>
      </c>
    </row>
    <row r="336" spans="1:27" x14ac:dyDescent="0.15">
      <c r="A336" s="25"/>
      <c r="B336" s="25"/>
      <c r="C336" s="26"/>
      <c r="D336" s="26"/>
      <c r="E336" s="26"/>
      <c r="F336" s="25"/>
      <c r="G336" s="25"/>
      <c r="H336" s="25"/>
      <c r="I336" s="29"/>
      <c r="J336" s="29"/>
      <c r="K336" s="29"/>
      <c r="L336" s="29"/>
      <c r="M336" s="29"/>
      <c r="N336" s="29"/>
      <c r="O336" s="29"/>
      <c r="P336" s="29"/>
      <c r="Q336" s="25"/>
      <c r="R336" s="25"/>
      <c r="S336" s="25"/>
      <c r="T336" s="25"/>
      <c r="U336" s="25"/>
      <c r="V336" s="25"/>
      <c r="W336" s="23"/>
      <c r="X336" s="31"/>
      <c r="Y336" s="32"/>
      <c r="Z336" s="25"/>
      <c r="AA336" s="25"/>
    </row>
    <row r="337" spans="1:27" x14ac:dyDescent="0.15">
      <c r="A337" s="18" t="s">
        <v>879</v>
      </c>
      <c r="B337" s="18" t="s">
        <v>880</v>
      </c>
      <c r="C337" s="19" t="s">
        <v>881</v>
      </c>
      <c r="D337" s="19" t="s">
        <v>882</v>
      </c>
      <c r="F337" s="18"/>
      <c r="G337" s="18"/>
      <c r="I337" s="22" t="s">
        <v>40</v>
      </c>
      <c r="J337" s="22"/>
      <c r="K337" s="22"/>
      <c r="L337" s="22"/>
      <c r="M337" s="22" t="s">
        <v>65</v>
      </c>
      <c r="N337" s="22"/>
      <c r="O337" s="22"/>
      <c r="P337" s="22"/>
      <c r="U337" s="1" t="s">
        <v>52</v>
      </c>
      <c r="W337" s="23"/>
      <c r="Y337" s="24"/>
    </row>
    <row r="338" spans="1:27" ht="16" customHeight="1" x14ac:dyDescent="0.15">
      <c r="A338" s="25" t="s">
        <v>66</v>
      </c>
      <c r="B338" s="25" t="s">
        <v>883</v>
      </c>
      <c r="C338" s="26" t="s">
        <v>884</v>
      </c>
      <c r="D338" s="26" t="s">
        <v>885</v>
      </c>
      <c r="E338" s="27"/>
      <c r="F338" s="25" t="s">
        <v>886</v>
      </c>
      <c r="G338" s="25" t="s">
        <v>887</v>
      </c>
      <c r="H338" s="28"/>
      <c r="I338" s="29" t="s">
        <v>51</v>
      </c>
      <c r="J338" s="29"/>
      <c r="K338" s="29"/>
      <c r="L338" s="29"/>
      <c r="M338" s="29"/>
      <c r="N338" s="29"/>
      <c r="O338" s="29"/>
      <c r="P338" s="29"/>
      <c r="Q338" s="25"/>
      <c r="R338" s="25"/>
      <c r="S338" s="25"/>
      <c r="T338" s="25"/>
      <c r="U338" s="25" t="s">
        <v>52</v>
      </c>
      <c r="V338" s="25"/>
      <c r="W338" s="23"/>
      <c r="X338" s="110"/>
      <c r="Y338" s="24"/>
      <c r="Z338" s="24" t="str">
        <f>IF(AND(W338&lt;&gt;"",U338="yes"),W338*X338,"")</f>
        <v/>
      </c>
      <c r="AA338" s="25"/>
    </row>
    <row r="339" spans="1:27" x14ac:dyDescent="0.15">
      <c r="A339" s="18" t="s">
        <v>26</v>
      </c>
      <c r="B339" s="18" t="s">
        <v>888</v>
      </c>
      <c r="C339" s="19"/>
      <c r="D339" s="19"/>
      <c r="F339" s="18"/>
      <c r="G339" s="18"/>
      <c r="I339" s="22" t="s">
        <v>51</v>
      </c>
      <c r="J339" s="22"/>
      <c r="K339" s="22"/>
      <c r="L339" s="22"/>
      <c r="M339" s="22"/>
      <c r="N339" s="22"/>
      <c r="O339" s="22"/>
      <c r="P339" s="22" t="s">
        <v>889</v>
      </c>
      <c r="U339" s="1" t="s">
        <v>52</v>
      </c>
      <c r="W339" s="23"/>
    </row>
    <row r="340" spans="1:27" x14ac:dyDescent="0.15">
      <c r="W340" s="23"/>
    </row>
    <row r="345" spans="1:27" ht="16" customHeight="1" x14ac:dyDescent="0.2">
      <c r="S345" s="131" t="s">
        <v>890</v>
      </c>
      <c r="T345" s="132"/>
      <c r="U345" s="132"/>
      <c r="V345" s="132"/>
      <c r="W345" s="133"/>
      <c r="X345" s="134"/>
      <c r="Y345" s="135" t="e">
        <f>(SUM(Y4:Y333)/60)</f>
        <v>#NAME?</v>
      </c>
      <c r="Z345" s="135" t="e">
        <f>(SUM(Z4:Z50)+AVERAGE(Z51:Z53)+SUM(Z54:Z333))/60</f>
        <v>#NAME?</v>
      </c>
    </row>
  </sheetData>
  <sheetProtection algorithmName="SHA-512" hashValue="0p4beCyO9V0EefPbCV2LnDGyiWmwKjYYIW+7C44c8ojBtR6/A0vHdOVnE60JwiSDaeQsNS+HGCXufRGMy2QuOQ==" saltValue="85Xvk7yHp3Cn8MFCUsgkRw==" spinCount="100000" sheet="1" objects="1" scenarios="1"/>
  <pageMargins left="0.78749999999999998" right="0.78749999999999998" top="1.05277777777778" bottom="1.05277777777778" header="0.78749999999999998" footer="0.78749999999999998"/>
  <pageSetup orientation="portrait" useFirstPageNumber="1" horizontalDpi="300" verticalDpi="300"/>
  <headerFooter>
    <oddHeader>&amp;C&amp;"Times New Roman,Normal"&amp;12 &amp;A</oddHeader>
    <oddFooter>&amp;C&amp;"Times New Roman,Normal"&amp;12 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67"/>
  <sheetViews>
    <sheetView topLeftCell="A615" zoomScale="75" zoomScaleNormal="120" workbookViewId="0">
      <selection activeCell="D615" sqref="D615"/>
    </sheetView>
  </sheetViews>
  <sheetFormatPr baseColWidth="10" defaultColWidth="8.83203125" defaultRowHeight="13" x14ac:dyDescent="0.15"/>
  <cols>
    <col min="1" max="1" width="26.33203125" style="136" customWidth="1"/>
    <col min="2" max="2" width="30" style="136" customWidth="1"/>
    <col min="3" max="3" width="43.33203125" style="136" customWidth="1"/>
    <col min="4" max="4" width="27.1640625" style="136" customWidth="1"/>
    <col min="5" max="5" width="20" style="136" customWidth="1"/>
    <col min="6" max="6" width="16.1640625" style="136" customWidth="1"/>
    <col min="7" max="7" width="8.83203125" style="136" customWidth="1"/>
    <col min="8" max="16384" width="8.83203125" style="136"/>
  </cols>
  <sheetData>
    <row r="1" spans="1:6" ht="15" customHeight="1" x14ac:dyDescent="0.2">
      <c r="A1" s="137" t="s">
        <v>891</v>
      </c>
      <c r="B1" s="137" t="s">
        <v>1</v>
      </c>
      <c r="C1" s="137" t="s">
        <v>2</v>
      </c>
      <c r="D1" s="137" t="s">
        <v>3</v>
      </c>
      <c r="E1" s="138" t="s">
        <v>4</v>
      </c>
      <c r="F1" s="139" t="s">
        <v>892</v>
      </c>
    </row>
    <row r="2" spans="1:6" s="140" customFormat="1" ht="15" customHeight="1" x14ac:dyDescent="0.2">
      <c r="A2" s="140" t="s">
        <v>893</v>
      </c>
      <c r="B2" s="141">
        <v>1</v>
      </c>
      <c r="C2" s="141" t="s">
        <v>894</v>
      </c>
      <c r="D2" s="142" t="s">
        <v>895</v>
      </c>
      <c r="E2" s="143"/>
      <c r="F2" s="144"/>
    </row>
    <row r="3" spans="1:6" s="140" customFormat="1" ht="15" customHeight="1" x14ac:dyDescent="0.2">
      <c r="A3" s="140" t="s">
        <v>893</v>
      </c>
      <c r="B3" s="141">
        <v>2</v>
      </c>
      <c r="C3" s="141" t="s">
        <v>896</v>
      </c>
      <c r="D3" s="142" t="s">
        <v>897</v>
      </c>
      <c r="E3" s="143"/>
      <c r="F3" s="144"/>
    </row>
    <row r="4" spans="1:6" s="140" customFormat="1" ht="15" customHeight="1" x14ac:dyDescent="0.2">
      <c r="A4" s="140" t="s">
        <v>893</v>
      </c>
      <c r="B4" s="141">
        <v>3</v>
      </c>
      <c r="C4" s="141" t="s">
        <v>898</v>
      </c>
      <c r="D4" s="142" t="s">
        <v>899</v>
      </c>
      <c r="E4" s="143"/>
      <c r="F4" s="144"/>
    </row>
    <row r="5" spans="1:6" s="140" customFormat="1" ht="15" customHeight="1" x14ac:dyDescent="0.2">
      <c r="A5" s="140" t="s">
        <v>893</v>
      </c>
      <c r="B5" s="141">
        <v>4</v>
      </c>
      <c r="C5" s="141" t="s">
        <v>900</v>
      </c>
      <c r="D5" s="142" t="s">
        <v>901</v>
      </c>
      <c r="E5" s="143"/>
      <c r="F5" s="144"/>
    </row>
    <row r="6" spans="1:6" ht="15" customHeight="1" x14ac:dyDescent="0.2">
      <c r="A6" s="137"/>
      <c r="B6" s="137"/>
      <c r="C6" s="137"/>
      <c r="D6" s="137"/>
      <c r="E6" s="138"/>
      <c r="F6" s="137"/>
    </row>
    <row r="7" spans="1:6" ht="15" customHeight="1" x14ac:dyDescent="0.2">
      <c r="A7" s="136" t="s">
        <v>37</v>
      </c>
      <c r="B7" s="136">
        <v>1</v>
      </c>
      <c r="C7" s="145" t="s">
        <v>902</v>
      </c>
      <c r="D7" s="145" t="s">
        <v>903</v>
      </c>
      <c r="E7" s="146"/>
      <c r="F7" s="147"/>
    </row>
    <row r="8" spans="1:6" ht="15" customHeight="1" x14ac:dyDescent="0.2">
      <c r="A8" s="136" t="s">
        <v>37</v>
      </c>
      <c r="B8" s="136">
        <v>2</v>
      </c>
      <c r="C8" s="145" t="s">
        <v>904</v>
      </c>
      <c r="D8" s="145" t="s">
        <v>905</v>
      </c>
      <c r="E8" s="146"/>
      <c r="F8" s="147"/>
    </row>
    <row r="9" spans="1:6" ht="15" customHeight="1" x14ac:dyDescent="0.2">
      <c r="A9" s="136" t="s">
        <v>37</v>
      </c>
      <c r="B9" s="136">
        <v>3</v>
      </c>
      <c r="C9" s="145" t="s">
        <v>906</v>
      </c>
      <c r="D9" s="145" t="s">
        <v>907</v>
      </c>
      <c r="E9" s="146"/>
      <c r="F9" s="147"/>
    </row>
    <row r="10" spans="1:6" ht="15" customHeight="1" x14ac:dyDescent="0.2">
      <c r="A10" s="136" t="s">
        <v>37</v>
      </c>
      <c r="B10" s="136">
        <v>4</v>
      </c>
      <c r="C10" s="145" t="s">
        <v>908</v>
      </c>
      <c r="D10" s="145" t="s">
        <v>909</v>
      </c>
      <c r="E10" s="146"/>
      <c r="F10" s="147"/>
    </row>
    <row r="11" spans="1:6" ht="15" customHeight="1" x14ac:dyDescent="0.2">
      <c r="A11" s="136" t="s">
        <v>37</v>
      </c>
      <c r="B11" s="136">
        <v>5</v>
      </c>
      <c r="C11" s="145" t="s">
        <v>910</v>
      </c>
      <c r="D11" s="145" t="s">
        <v>911</v>
      </c>
      <c r="E11" s="146"/>
      <c r="F11" s="147"/>
    </row>
    <row r="12" spans="1:6" ht="15" customHeight="1" x14ac:dyDescent="0.2">
      <c r="A12" s="136" t="s">
        <v>37</v>
      </c>
      <c r="B12" s="136">
        <v>6</v>
      </c>
      <c r="C12" s="145" t="s">
        <v>912</v>
      </c>
      <c r="D12" s="145" t="s">
        <v>913</v>
      </c>
      <c r="E12" s="146"/>
      <c r="F12" s="147"/>
    </row>
    <row r="13" spans="1:6" ht="15" customHeight="1" x14ac:dyDescent="0.2">
      <c r="A13" s="136" t="s">
        <v>37</v>
      </c>
      <c r="B13" s="136">
        <v>7</v>
      </c>
      <c r="C13" s="145" t="s">
        <v>914</v>
      </c>
      <c r="D13" s="145" t="s">
        <v>915</v>
      </c>
      <c r="E13" s="146"/>
      <c r="F13" s="147"/>
    </row>
    <row r="14" spans="1:6" ht="15" customHeight="1" x14ac:dyDescent="0.2">
      <c r="A14" s="136" t="s">
        <v>37</v>
      </c>
      <c r="B14" s="136">
        <v>8</v>
      </c>
      <c r="C14" s="145" t="s">
        <v>916</v>
      </c>
      <c r="D14" s="145" t="s">
        <v>917</v>
      </c>
      <c r="E14" s="146"/>
      <c r="F14" s="147"/>
    </row>
    <row r="15" spans="1:6" ht="15" customHeight="1" x14ac:dyDescent="0.2">
      <c r="A15" s="136" t="s">
        <v>37</v>
      </c>
      <c r="B15" s="136">
        <v>9</v>
      </c>
      <c r="C15" s="145" t="s">
        <v>918</v>
      </c>
      <c r="D15" s="145" t="s">
        <v>919</v>
      </c>
      <c r="E15" s="146"/>
      <c r="F15" s="147"/>
    </row>
    <row r="16" spans="1:6" ht="15" customHeight="1" x14ac:dyDescent="0.2">
      <c r="A16" s="136" t="s">
        <v>37</v>
      </c>
      <c r="B16" s="136">
        <v>10</v>
      </c>
      <c r="C16" s="145" t="s">
        <v>920</v>
      </c>
      <c r="D16" s="145" t="s">
        <v>921</v>
      </c>
      <c r="E16" s="146"/>
      <c r="F16" s="147"/>
    </row>
    <row r="17" spans="1:6" ht="15" customHeight="1" x14ac:dyDescent="0.2">
      <c r="A17" s="136" t="s">
        <v>37</v>
      </c>
      <c r="B17" s="136">
        <v>11</v>
      </c>
      <c r="C17" s="145" t="s">
        <v>922</v>
      </c>
      <c r="D17" s="145" t="s">
        <v>923</v>
      </c>
      <c r="E17" s="146"/>
      <c r="F17" s="147"/>
    </row>
    <row r="18" spans="1:6" ht="15" customHeight="1" x14ac:dyDescent="0.2">
      <c r="A18" s="136" t="s">
        <v>37</v>
      </c>
      <c r="B18" s="136">
        <v>12</v>
      </c>
      <c r="C18" s="145" t="s">
        <v>924</v>
      </c>
      <c r="D18" s="145" t="s">
        <v>925</v>
      </c>
      <c r="E18" s="146"/>
      <c r="F18" s="147"/>
    </row>
    <row r="19" spans="1:6" ht="15" customHeight="1" x14ac:dyDescent="0.2">
      <c r="A19" s="136" t="s">
        <v>37</v>
      </c>
      <c r="B19" s="136">
        <v>13</v>
      </c>
      <c r="C19" s="145" t="s">
        <v>926</v>
      </c>
      <c r="D19" s="145" t="s">
        <v>927</v>
      </c>
      <c r="E19" s="146"/>
      <c r="F19" s="147"/>
    </row>
    <row r="20" spans="1:6" ht="15" customHeight="1" x14ac:dyDescent="0.2">
      <c r="A20" s="136" t="s">
        <v>37</v>
      </c>
      <c r="B20" s="136">
        <v>14</v>
      </c>
      <c r="C20" s="145" t="s">
        <v>928</v>
      </c>
      <c r="D20" s="145" t="s">
        <v>929</v>
      </c>
      <c r="E20" s="146"/>
      <c r="F20" s="147"/>
    </row>
    <row r="21" spans="1:6" ht="15" customHeight="1" x14ac:dyDescent="0.2">
      <c r="A21" s="136" t="s">
        <v>37</v>
      </c>
      <c r="B21" s="136">
        <v>15</v>
      </c>
      <c r="C21" s="145" t="s">
        <v>930</v>
      </c>
      <c r="D21" s="145" t="s">
        <v>931</v>
      </c>
      <c r="E21" s="146"/>
      <c r="F21" s="147"/>
    </row>
    <row r="22" spans="1:6" ht="15" customHeight="1" x14ac:dyDescent="0.2">
      <c r="A22" s="136" t="s">
        <v>37</v>
      </c>
      <c r="B22" s="136">
        <v>16</v>
      </c>
      <c r="C22" s="145" t="s">
        <v>932</v>
      </c>
      <c r="D22" s="145" t="s">
        <v>933</v>
      </c>
      <c r="E22" s="146"/>
      <c r="F22" s="147"/>
    </row>
    <row r="23" spans="1:6" ht="15" customHeight="1" x14ac:dyDescent="0.2">
      <c r="A23" s="136" t="s">
        <v>37</v>
      </c>
      <c r="B23" s="136">
        <v>17</v>
      </c>
      <c r="C23" s="145" t="s">
        <v>934</v>
      </c>
      <c r="D23" s="145" t="s">
        <v>935</v>
      </c>
      <c r="E23" s="146"/>
      <c r="F23" s="147"/>
    </row>
    <row r="24" spans="1:6" ht="15" customHeight="1" x14ac:dyDescent="0.2">
      <c r="A24" s="136" t="s">
        <v>37</v>
      </c>
      <c r="B24" s="136">
        <v>18</v>
      </c>
      <c r="C24" s="145" t="s">
        <v>936</v>
      </c>
      <c r="D24" s="145" t="s">
        <v>937</v>
      </c>
      <c r="E24" s="146"/>
      <c r="F24" s="147"/>
    </row>
    <row r="25" spans="1:6" ht="15" customHeight="1" x14ac:dyDescent="0.2">
      <c r="A25" s="136" t="s">
        <v>37</v>
      </c>
      <c r="B25" s="136">
        <v>19</v>
      </c>
      <c r="C25" s="145" t="s">
        <v>938</v>
      </c>
      <c r="D25" s="145" t="s">
        <v>939</v>
      </c>
      <c r="E25" s="146"/>
      <c r="F25" s="147"/>
    </row>
    <row r="26" spans="1:6" ht="15" customHeight="1" x14ac:dyDescent="0.2">
      <c r="A26" s="136" t="s">
        <v>37</v>
      </c>
      <c r="B26" s="136">
        <v>20</v>
      </c>
      <c r="C26" s="145" t="s">
        <v>940</v>
      </c>
      <c r="D26" s="145" t="s">
        <v>941</v>
      </c>
      <c r="E26" s="146"/>
      <c r="F26" s="147"/>
    </row>
    <row r="27" spans="1:6" ht="15" customHeight="1" x14ac:dyDescent="0.2">
      <c r="A27" s="136" t="s">
        <v>37</v>
      </c>
      <c r="B27" s="136">
        <v>21</v>
      </c>
      <c r="C27" s="145" t="s">
        <v>942</v>
      </c>
      <c r="D27" s="145" t="s">
        <v>943</v>
      </c>
      <c r="E27" s="146"/>
      <c r="F27" s="147"/>
    </row>
    <row r="28" spans="1:6" ht="15" customHeight="1" x14ac:dyDescent="0.2">
      <c r="A28" s="136" t="s">
        <v>37</v>
      </c>
      <c r="B28" s="136">
        <v>22</v>
      </c>
      <c r="C28" s="145" t="s">
        <v>944</v>
      </c>
      <c r="D28" s="145" t="s">
        <v>945</v>
      </c>
      <c r="E28" s="146"/>
      <c r="F28" s="147"/>
    </row>
    <row r="29" spans="1:6" ht="15" customHeight="1" x14ac:dyDescent="0.2">
      <c r="A29" s="136" t="s">
        <v>37</v>
      </c>
      <c r="B29" s="136">
        <v>23</v>
      </c>
      <c r="C29" s="145" t="s">
        <v>946</v>
      </c>
      <c r="D29" s="145" t="s">
        <v>947</v>
      </c>
      <c r="E29" s="146"/>
      <c r="F29" s="147"/>
    </row>
    <row r="30" spans="1:6" ht="15" customHeight="1" x14ac:dyDescent="0.2">
      <c r="A30" s="136" t="s">
        <v>37</v>
      </c>
      <c r="B30" s="136">
        <v>24</v>
      </c>
      <c r="C30" s="145" t="s">
        <v>948</v>
      </c>
      <c r="D30" s="145" t="s">
        <v>949</v>
      </c>
      <c r="E30" s="146"/>
      <c r="F30" s="147"/>
    </row>
    <row r="31" spans="1:6" ht="15" customHeight="1" x14ac:dyDescent="0.2">
      <c r="A31" s="136" t="s">
        <v>37</v>
      </c>
      <c r="B31" s="136">
        <v>25</v>
      </c>
      <c r="C31" s="145" t="s">
        <v>950</v>
      </c>
      <c r="D31" s="145" t="s">
        <v>951</v>
      </c>
      <c r="E31" s="146"/>
      <c r="F31" s="147"/>
    </row>
    <row r="32" spans="1:6" ht="15" customHeight="1" x14ac:dyDescent="0.2">
      <c r="A32" s="136" t="s">
        <v>37</v>
      </c>
      <c r="B32" s="136">
        <v>26</v>
      </c>
      <c r="C32" s="145" t="s">
        <v>952</v>
      </c>
      <c r="D32" s="145" t="s">
        <v>953</v>
      </c>
      <c r="E32" s="146"/>
      <c r="F32" s="147"/>
    </row>
    <row r="33" spans="1:7" ht="15" customHeight="1" x14ac:dyDescent="0.2">
      <c r="A33" s="136" t="s">
        <v>37</v>
      </c>
      <c r="B33" s="136">
        <v>27</v>
      </c>
      <c r="C33" s="145" t="s">
        <v>954</v>
      </c>
      <c r="D33" s="145" t="s">
        <v>955</v>
      </c>
      <c r="E33" s="146"/>
      <c r="F33" s="147"/>
    </row>
    <row r="34" spans="1:7" x14ac:dyDescent="0.15">
      <c r="E34" s="146"/>
    </row>
    <row r="35" spans="1:7" x14ac:dyDescent="0.15">
      <c r="A35" s="136" t="s">
        <v>956</v>
      </c>
      <c r="B35" s="136">
        <v>1</v>
      </c>
      <c r="C35" s="136" t="s">
        <v>957</v>
      </c>
      <c r="D35" s="136" t="s">
        <v>958</v>
      </c>
      <c r="E35" s="146"/>
    </row>
    <row r="36" spans="1:7" x14ac:dyDescent="0.15">
      <c r="A36" s="136" t="s">
        <v>956</v>
      </c>
      <c r="B36" s="136">
        <v>2</v>
      </c>
      <c r="C36" s="136" t="s">
        <v>959</v>
      </c>
      <c r="D36" s="136" t="s">
        <v>960</v>
      </c>
      <c r="E36" s="146"/>
    </row>
    <row r="37" spans="1:7" ht="15" customHeight="1" x14ac:dyDescent="0.2">
      <c r="A37" s="136" t="s">
        <v>956</v>
      </c>
      <c r="B37" s="148">
        <v>3</v>
      </c>
      <c r="C37" s="136" t="s">
        <v>961</v>
      </c>
      <c r="D37" s="136" t="s">
        <v>962</v>
      </c>
      <c r="E37" s="146"/>
    </row>
    <row r="38" spans="1:7" ht="15" customHeight="1" x14ac:dyDescent="0.2">
      <c r="A38" s="136" t="s">
        <v>956</v>
      </c>
      <c r="B38" s="148">
        <v>4</v>
      </c>
      <c r="C38" s="136" t="s">
        <v>963</v>
      </c>
      <c r="D38" s="136" t="s">
        <v>964</v>
      </c>
      <c r="E38" s="146"/>
    </row>
    <row r="39" spans="1:7" x14ac:dyDescent="0.15">
      <c r="E39" s="146"/>
    </row>
    <row r="40" spans="1:7" x14ac:dyDescent="0.15">
      <c r="A40" s="136" t="s">
        <v>965</v>
      </c>
      <c r="B40" s="136" t="s">
        <v>965</v>
      </c>
      <c r="C40" s="136" t="s">
        <v>965</v>
      </c>
      <c r="D40" s="136" t="s">
        <v>966</v>
      </c>
      <c r="E40" s="146"/>
    </row>
    <row r="41" spans="1:7" x14ac:dyDescent="0.15">
      <c r="E41" s="146"/>
    </row>
    <row r="42" spans="1:7" x14ac:dyDescent="0.15">
      <c r="A42" s="136" t="s">
        <v>967</v>
      </c>
      <c r="B42" s="136">
        <v>1</v>
      </c>
      <c r="C42" s="136" t="s">
        <v>957</v>
      </c>
      <c r="D42" s="136" t="s">
        <v>968</v>
      </c>
      <c r="E42" s="146"/>
    </row>
    <row r="43" spans="1:7" ht="16" customHeight="1" x14ac:dyDescent="0.15">
      <c r="A43" s="136" t="s">
        <v>967</v>
      </c>
      <c r="B43" s="136">
        <v>2</v>
      </c>
      <c r="C43" s="136" t="s">
        <v>959</v>
      </c>
      <c r="D43" s="136" t="s">
        <v>959</v>
      </c>
      <c r="E43" s="146"/>
      <c r="G43" s="149"/>
    </row>
    <row r="44" spans="1:7" x14ac:dyDescent="0.15">
      <c r="E44" s="146"/>
    </row>
    <row r="45" spans="1:7" s="152" customFormat="1" ht="15" customHeight="1" x14ac:dyDescent="0.2">
      <c r="A45" s="150" t="s">
        <v>969</v>
      </c>
      <c r="B45" s="150" t="s">
        <v>970</v>
      </c>
      <c r="C45" s="150" t="s">
        <v>971</v>
      </c>
      <c r="D45" s="150" t="s">
        <v>972</v>
      </c>
      <c r="E45" s="151"/>
    </row>
    <row r="46" spans="1:7" s="152" customFormat="1" ht="15" customHeight="1" x14ac:dyDescent="0.2">
      <c r="A46" s="153" t="s">
        <v>969</v>
      </c>
      <c r="B46" s="153" t="s">
        <v>973</v>
      </c>
      <c r="C46" s="153" t="s">
        <v>974</v>
      </c>
      <c r="D46" s="153" t="s">
        <v>975</v>
      </c>
      <c r="E46" s="151"/>
    </row>
    <row r="47" spans="1:7" s="152" customFormat="1" ht="15" customHeight="1" x14ac:dyDescent="0.2">
      <c r="A47" s="150" t="s">
        <v>969</v>
      </c>
      <c r="B47" s="145" t="s">
        <v>976</v>
      </c>
      <c r="C47" s="145" t="s">
        <v>976</v>
      </c>
      <c r="D47" s="145"/>
      <c r="E47" s="151"/>
    </row>
    <row r="48" spans="1:7" x14ac:dyDescent="0.15">
      <c r="E48" s="146"/>
    </row>
    <row r="49" spans="1:5" x14ac:dyDescent="0.15">
      <c r="A49" s="136" t="s">
        <v>977</v>
      </c>
      <c r="B49" s="136">
        <v>1</v>
      </c>
      <c r="C49" s="136" t="s">
        <v>978</v>
      </c>
      <c r="D49" s="136" t="s">
        <v>979</v>
      </c>
      <c r="E49" s="146"/>
    </row>
    <row r="50" spans="1:5" x14ac:dyDescent="0.15">
      <c r="A50" s="136" t="s">
        <v>977</v>
      </c>
      <c r="B50" s="136">
        <v>2</v>
      </c>
      <c r="C50" s="136" t="s">
        <v>980</v>
      </c>
      <c r="D50" s="136" t="s">
        <v>981</v>
      </c>
      <c r="E50" s="146"/>
    </row>
    <row r="51" spans="1:5" ht="15" customHeight="1" x14ac:dyDescent="0.2">
      <c r="A51" s="136" t="s">
        <v>977</v>
      </c>
      <c r="B51" s="148">
        <v>3</v>
      </c>
      <c r="C51" s="153" t="s">
        <v>961</v>
      </c>
      <c r="D51" s="136" t="s">
        <v>962</v>
      </c>
      <c r="E51" s="146"/>
    </row>
    <row r="52" spans="1:5" ht="15" customHeight="1" x14ac:dyDescent="0.2">
      <c r="A52" s="136" t="s">
        <v>977</v>
      </c>
      <c r="B52" s="148">
        <v>4</v>
      </c>
      <c r="C52" s="153" t="s">
        <v>963</v>
      </c>
      <c r="D52" s="136" t="s">
        <v>964</v>
      </c>
      <c r="E52" s="146"/>
    </row>
    <row r="53" spans="1:5" ht="15" customHeight="1" x14ac:dyDescent="0.2">
      <c r="C53" s="150"/>
      <c r="D53" s="150"/>
      <c r="E53" s="146"/>
    </row>
    <row r="54" spans="1:5" ht="15" customHeight="1" x14ac:dyDescent="0.2">
      <c r="A54" s="136" t="s">
        <v>982</v>
      </c>
      <c r="B54" s="136">
        <v>1</v>
      </c>
      <c r="C54" s="153" t="s">
        <v>983</v>
      </c>
      <c r="D54" s="153" t="s">
        <v>984</v>
      </c>
      <c r="E54" s="146"/>
    </row>
    <row r="55" spans="1:5" ht="15" customHeight="1" x14ac:dyDescent="0.2">
      <c r="A55" s="136" t="s">
        <v>982</v>
      </c>
      <c r="B55" s="136">
        <v>2</v>
      </c>
      <c r="C55" s="136" t="s">
        <v>985</v>
      </c>
      <c r="D55" s="153" t="s">
        <v>986</v>
      </c>
      <c r="E55" s="146"/>
    </row>
    <row r="56" spans="1:5" ht="15" customHeight="1" x14ac:dyDescent="0.2">
      <c r="A56" s="136" t="s">
        <v>982</v>
      </c>
      <c r="B56" s="136">
        <v>3</v>
      </c>
      <c r="C56" s="153" t="s">
        <v>987</v>
      </c>
      <c r="D56" s="153" t="s">
        <v>988</v>
      </c>
      <c r="E56" s="146"/>
    </row>
    <row r="57" spans="1:5" ht="15" customHeight="1" x14ac:dyDescent="0.2">
      <c r="A57" s="136" t="s">
        <v>982</v>
      </c>
      <c r="B57" s="136">
        <v>4</v>
      </c>
      <c r="C57" s="153" t="s">
        <v>960</v>
      </c>
      <c r="D57" s="153" t="s">
        <v>960</v>
      </c>
      <c r="E57" s="146"/>
    </row>
    <row r="58" spans="1:5" ht="15" customHeight="1" x14ac:dyDescent="0.2">
      <c r="C58" s="150"/>
      <c r="D58" s="150"/>
      <c r="E58" s="146"/>
    </row>
    <row r="59" spans="1:5" x14ac:dyDescent="0.15">
      <c r="A59" s="136" t="s">
        <v>989</v>
      </c>
      <c r="B59" s="136">
        <v>1</v>
      </c>
      <c r="C59" s="136" t="s">
        <v>990</v>
      </c>
      <c r="D59" s="136" t="s">
        <v>991</v>
      </c>
      <c r="E59" s="146"/>
    </row>
    <row r="60" spans="1:5" x14ac:dyDescent="0.15">
      <c r="A60" s="136" t="s">
        <v>989</v>
      </c>
      <c r="B60" s="136">
        <v>2</v>
      </c>
      <c r="C60" s="136" t="s">
        <v>992</v>
      </c>
      <c r="D60" s="136" t="s">
        <v>993</v>
      </c>
      <c r="E60" s="146"/>
    </row>
    <row r="61" spans="1:5" x14ac:dyDescent="0.15">
      <c r="A61" s="136" t="s">
        <v>989</v>
      </c>
      <c r="B61" s="136">
        <v>3</v>
      </c>
      <c r="C61" s="136" t="s">
        <v>994</v>
      </c>
      <c r="D61" s="136" t="s">
        <v>995</v>
      </c>
      <c r="E61" s="146"/>
    </row>
    <row r="62" spans="1:5" x14ac:dyDescent="0.15">
      <c r="A62" s="136" t="s">
        <v>989</v>
      </c>
      <c r="B62" s="136">
        <v>4</v>
      </c>
      <c r="C62" s="136" t="s">
        <v>959</v>
      </c>
      <c r="D62" s="136" t="s">
        <v>959</v>
      </c>
      <c r="E62" s="146"/>
    </row>
    <row r="63" spans="1:5" ht="15" customHeight="1" x14ac:dyDescent="0.2">
      <c r="A63" s="136" t="s">
        <v>989</v>
      </c>
      <c r="B63" s="148">
        <v>5</v>
      </c>
      <c r="C63" s="153" t="s">
        <v>961</v>
      </c>
      <c r="D63" s="136" t="s">
        <v>962</v>
      </c>
      <c r="E63" s="146"/>
    </row>
    <row r="64" spans="1:5" ht="15" customHeight="1" x14ac:dyDescent="0.2">
      <c r="A64" s="136" t="s">
        <v>989</v>
      </c>
      <c r="B64" s="148">
        <v>6</v>
      </c>
      <c r="C64" s="136" t="s">
        <v>963</v>
      </c>
      <c r="D64" s="136" t="s">
        <v>964</v>
      </c>
      <c r="E64" s="146"/>
    </row>
    <row r="65" spans="1:5" x14ac:dyDescent="0.15">
      <c r="E65" s="146"/>
    </row>
    <row r="66" spans="1:5" ht="15" customHeight="1" x14ac:dyDescent="0.2">
      <c r="A66" s="136" t="s">
        <v>996</v>
      </c>
      <c r="B66" s="136">
        <v>1</v>
      </c>
      <c r="C66" s="153" t="s">
        <v>997</v>
      </c>
      <c r="D66" s="153" t="s">
        <v>998</v>
      </c>
      <c r="E66" s="146"/>
    </row>
    <row r="67" spans="1:5" ht="15" customHeight="1" x14ac:dyDescent="0.2">
      <c r="A67" s="136" t="s">
        <v>996</v>
      </c>
      <c r="B67" s="136">
        <v>2</v>
      </c>
      <c r="C67" s="153" t="s">
        <v>999</v>
      </c>
      <c r="D67" s="153" t="s">
        <v>1000</v>
      </c>
      <c r="E67" s="146"/>
    </row>
    <row r="68" spans="1:5" ht="15" customHeight="1" x14ac:dyDescent="0.2">
      <c r="A68" s="136" t="s">
        <v>996</v>
      </c>
      <c r="B68" s="136">
        <v>3</v>
      </c>
      <c r="C68" s="153" t="s">
        <v>1001</v>
      </c>
      <c r="D68" s="153" t="s">
        <v>1002</v>
      </c>
      <c r="E68" s="146"/>
    </row>
    <row r="69" spans="1:5" ht="15" customHeight="1" x14ac:dyDescent="0.2">
      <c r="A69" s="136" t="s">
        <v>996</v>
      </c>
      <c r="B69" s="136">
        <v>4</v>
      </c>
      <c r="C69" s="153" t="s">
        <v>1003</v>
      </c>
      <c r="D69" s="153" t="s">
        <v>1004</v>
      </c>
      <c r="E69" s="146"/>
    </row>
    <row r="70" spans="1:5" ht="15" customHeight="1" x14ac:dyDescent="0.2">
      <c r="A70" s="136" t="s">
        <v>996</v>
      </c>
      <c r="B70" s="136">
        <v>5</v>
      </c>
      <c r="C70" s="153" t="s">
        <v>1005</v>
      </c>
      <c r="D70" s="153" t="s">
        <v>1006</v>
      </c>
      <c r="E70" s="146"/>
    </row>
    <row r="71" spans="1:5" ht="15" customHeight="1" x14ac:dyDescent="0.2">
      <c r="A71" s="136" t="s">
        <v>996</v>
      </c>
      <c r="B71" s="148">
        <v>6</v>
      </c>
      <c r="C71" s="136" t="s">
        <v>961</v>
      </c>
      <c r="D71" s="136" t="s">
        <v>962</v>
      </c>
      <c r="E71" s="146"/>
    </row>
    <row r="72" spans="1:5" ht="15" customHeight="1" x14ac:dyDescent="0.2">
      <c r="A72" s="136" t="s">
        <v>996</v>
      </c>
      <c r="B72" s="148">
        <v>7</v>
      </c>
      <c r="C72" s="136" t="s">
        <v>963</v>
      </c>
      <c r="D72" s="136" t="s">
        <v>964</v>
      </c>
      <c r="E72" s="146"/>
    </row>
    <row r="73" spans="1:5" ht="15" customHeight="1" x14ac:dyDescent="0.2">
      <c r="B73" s="154"/>
      <c r="E73" s="146"/>
    </row>
    <row r="74" spans="1:5" ht="15" customHeight="1" x14ac:dyDescent="0.2">
      <c r="A74" s="136" t="s">
        <v>1007</v>
      </c>
      <c r="B74" s="148">
        <v>1</v>
      </c>
      <c r="C74" s="136" t="s">
        <v>1008</v>
      </c>
      <c r="D74" s="136" t="s">
        <v>1009</v>
      </c>
      <c r="E74" s="146"/>
    </row>
    <row r="75" spans="1:5" ht="15" customHeight="1" x14ac:dyDescent="0.2">
      <c r="A75" s="136" t="s">
        <v>1007</v>
      </c>
      <c r="B75" s="148">
        <v>2</v>
      </c>
      <c r="C75" s="136" t="s">
        <v>1010</v>
      </c>
      <c r="D75" s="136" t="s">
        <v>1011</v>
      </c>
      <c r="E75" s="146"/>
    </row>
    <row r="76" spans="1:5" ht="15" customHeight="1" x14ac:dyDescent="0.2">
      <c r="A76" s="136" t="s">
        <v>1007</v>
      </c>
      <c r="B76" s="148">
        <v>3</v>
      </c>
      <c r="C76" s="136" t="s">
        <v>1012</v>
      </c>
      <c r="D76" s="136" t="s">
        <v>1013</v>
      </c>
      <c r="E76" s="146"/>
    </row>
    <row r="77" spans="1:5" ht="15" customHeight="1" x14ac:dyDescent="0.2">
      <c r="A77" s="136" t="s">
        <v>1007</v>
      </c>
      <c r="B77" s="148">
        <v>4</v>
      </c>
      <c r="C77" s="136" t="s">
        <v>1014</v>
      </c>
      <c r="D77" s="136" t="s">
        <v>1015</v>
      </c>
      <c r="E77" s="146"/>
    </row>
    <row r="78" spans="1:5" ht="15" customHeight="1" x14ac:dyDescent="0.2">
      <c r="A78" s="136" t="s">
        <v>1007</v>
      </c>
      <c r="B78" s="148">
        <v>5</v>
      </c>
      <c r="C78" s="136" t="s">
        <v>1016</v>
      </c>
      <c r="D78" s="136" t="s">
        <v>1017</v>
      </c>
      <c r="E78" s="146"/>
    </row>
    <row r="79" spans="1:5" ht="15" customHeight="1" x14ac:dyDescent="0.2">
      <c r="A79" s="136" t="s">
        <v>1007</v>
      </c>
      <c r="B79" s="148">
        <v>6</v>
      </c>
      <c r="C79" s="136" t="s">
        <v>1018</v>
      </c>
      <c r="D79" s="136" t="s">
        <v>1019</v>
      </c>
      <c r="E79" s="146"/>
    </row>
    <row r="80" spans="1:5" ht="15" customHeight="1" x14ac:dyDescent="0.2">
      <c r="A80" s="136" t="s">
        <v>1007</v>
      </c>
      <c r="B80" s="148">
        <v>7</v>
      </c>
      <c r="C80" s="136" t="s">
        <v>1020</v>
      </c>
      <c r="D80" s="136" t="s">
        <v>1021</v>
      </c>
      <c r="E80" s="146"/>
    </row>
    <row r="81" spans="1:5" ht="15" customHeight="1" x14ac:dyDescent="0.2">
      <c r="A81" s="136" t="s">
        <v>1007</v>
      </c>
      <c r="B81" s="148">
        <v>8</v>
      </c>
      <c r="C81" s="136" t="s">
        <v>1022</v>
      </c>
      <c r="D81" s="136" t="s">
        <v>1023</v>
      </c>
      <c r="E81" s="146"/>
    </row>
    <row r="82" spans="1:5" ht="15" customHeight="1" x14ac:dyDescent="0.2">
      <c r="A82" s="136" t="s">
        <v>1007</v>
      </c>
      <c r="B82" s="148">
        <v>9</v>
      </c>
      <c r="C82" s="136" t="s">
        <v>1024</v>
      </c>
      <c r="D82" s="136" t="s">
        <v>1025</v>
      </c>
      <c r="E82" s="146"/>
    </row>
    <row r="83" spans="1:5" ht="15" customHeight="1" x14ac:dyDescent="0.2">
      <c r="A83" s="136" t="s">
        <v>1007</v>
      </c>
      <c r="B83" s="148">
        <v>10</v>
      </c>
      <c r="C83" s="136" t="s">
        <v>1026</v>
      </c>
      <c r="D83" s="136" t="s">
        <v>1027</v>
      </c>
      <c r="E83" s="146"/>
    </row>
    <row r="84" spans="1:5" ht="15" customHeight="1" x14ac:dyDescent="0.2">
      <c r="A84" s="136" t="s">
        <v>1007</v>
      </c>
      <c r="B84" s="148">
        <v>11</v>
      </c>
      <c r="C84" s="136" t="s">
        <v>961</v>
      </c>
      <c r="D84" s="136" t="s">
        <v>962</v>
      </c>
      <c r="E84" s="146"/>
    </row>
    <row r="85" spans="1:5" ht="15" customHeight="1" x14ac:dyDescent="0.2">
      <c r="A85" s="136" t="s">
        <v>1007</v>
      </c>
      <c r="B85" s="148">
        <v>12</v>
      </c>
      <c r="C85" s="136" t="s">
        <v>963</v>
      </c>
      <c r="D85" s="136" t="s">
        <v>964</v>
      </c>
      <c r="E85" s="146"/>
    </row>
    <row r="86" spans="1:5" ht="15" customHeight="1" x14ac:dyDescent="0.2">
      <c r="B86" s="154"/>
      <c r="E86" s="146"/>
    </row>
    <row r="87" spans="1:5" ht="15" customHeight="1" x14ac:dyDescent="0.2">
      <c r="A87" s="136" t="s">
        <v>1028</v>
      </c>
      <c r="B87" s="148">
        <v>1</v>
      </c>
      <c r="C87" s="136" t="s">
        <v>1029</v>
      </c>
      <c r="D87" s="136" t="s">
        <v>1030</v>
      </c>
      <c r="E87" s="146"/>
    </row>
    <row r="88" spans="1:5" ht="15" customHeight="1" x14ac:dyDescent="0.2">
      <c r="A88" s="136" t="s">
        <v>1028</v>
      </c>
      <c r="B88" s="148">
        <v>2</v>
      </c>
      <c r="C88" s="136" t="s">
        <v>1031</v>
      </c>
      <c r="D88" s="136" t="s">
        <v>1032</v>
      </c>
      <c r="E88" s="146"/>
    </row>
    <row r="89" spans="1:5" ht="15" customHeight="1" x14ac:dyDescent="0.2">
      <c r="A89" s="136" t="s">
        <v>1028</v>
      </c>
      <c r="B89" s="148">
        <v>3</v>
      </c>
      <c r="C89" s="136" t="s">
        <v>1033</v>
      </c>
      <c r="D89" s="136" t="s">
        <v>1034</v>
      </c>
      <c r="E89" s="146"/>
    </row>
    <row r="90" spans="1:5" ht="15" customHeight="1" x14ac:dyDescent="0.2">
      <c r="A90" s="136" t="s">
        <v>1028</v>
      </c>
      <c r="B90" s="148">
        <v>4</v>
      </c>
      <c r="C90" s="136" t="s">
        <v>1035</v>
      </c>
      <c r="D90" s="136" t="s">
        <v>1036</v>
      </c>
      <c r="E90" s="146"/>
    </row>
    <row r="91" spans="1:5" ht="15" customHeight="1" x14ac:dyDescent="0.2">
      <c r="A91" s="136" t="s">
        <v>1028</v>
      </c>
      <c r="B91" s="148">
        <v>5</v>
      </c>
      <c r="C91" s="136" t="s">
        <v>1037</v>
      </c>
      <c r="D91" s="136" t="s">
        <v>1038</v>
      </c>
      <c r="E91" s="146"/>
    </row>
    <row r="92" spans="1:5" ht="15" customHeight="1" x14ac:dyDescent="0.2">
      <c r="A92" s="136" t="s">
        <v>1028</v>
      </c>
      <c r="B92" s="148">
        <v>6</v>
      </c>
      <c r="C92" s="136" t="s">
        <v>961</v>
      </c>
      <c r="D92" s="136" t="s">
        <v>962</v>
      </c>
      <c r="E92" s="146"/>
    </row>
    <row r="93" spans="1:5" ht="15" customHeight="1" x14ac:dyDescent="0.2">
      <c r="A93" s="136" t="s">
        <v>1028</v>
      </c>
      <c r="B93" s="148">
        <v>7</v>
      </c>
      <c r="C93" s="136" t="s">
        <v>963</v>
      </c>
      <c r="D93" s="136" t="s">
        <v>964</v>
      </c>
      <c r="E93" s="146"/>
    </row>
    <row r="94" spans="1:5" ht="15" customHeight="1" x14ac:dyDescent="0.2">
      <c r="B94" s="154"/>
      <c r="E94" s="146"/>
    </row>
    <row r="95" spans="1:5" ht="15" customHeight="1" x14ac:dyDescent="0.2">
      <c r="A95" s="136" t="s">
        <v>1039</v>
      </c>
      <c r="B95" s="148">
        <v>1</v>
      </c>
      <c r="C95" s="136" t="s">
        <v>1040</v>
      </c>
      <c r="D95" s="136" t="s">
        <v>1041</v>
      </c>
      <c r="E95" s="146"/>
    </row>
    <row r="96" spans="1:5" ht="15" customHeight="1" x14ac:dyDescent="0.2">
      <c r="A96" s="136" t="s">
        <v>1039</v>
      </c>
      <c r="B96" s="148">
        <v>2</v>
      </c>
      <c r="C96" s="136" t="s">
        <v>1042</v>
      </c>
      <c r="D96" s="136" t="s">
        <v>1043</v>
      </c>
      <c r="E96" s="146"/>
    </row>
    <row r="97" spans="1:5" ht="15" customHeight="1" x14ac:dyDescent="0.2">
      <c r="A97" s="136" t="s">
        <v>1039</v>
      </c>
      <c r="B97" s="148">
        <v>3</v>
      </c>
      <c r="C97" s="136" t="s">
        <v>1044</v>
      </c>
      <c r="D97" s="136" t="s">
        <v>1045</v>
      </c>
      <c r="E97" s="146"/>
    </row>
    <row r="98" spans="1:5" ht="15" customHeight="1" x14ac:dyDescent="0.2">
      <c r="A98" s="136" t="s">
        <v>1039</v>
      </c>
      <c r="B98" s="148">
        <v>4</v>
      </c>
      <c r="C98" s="136" t="s">
        <v>1046</v>
      </c>
      <c r="D98" s="136" t="s">
        <v>1047</v>
      </c>
      <c r="E98" s="146"/>
    </row>
    <row r="99" spans="1:5" ht="15" customHeight="1" x14ac:dyDescent="0.2">
      <c r="A99" s="136" t="s">
        <v>1039</v>
      </c>
      <c r="B99" s="148">
        <v>5</v>
      </c>
      <c r="C99" s="136" t="s">
        <v>1048</v>
      </c>
      <c r="D99" s="136" t="s">
        <v>1049</v>
      </c>
      <c r="E99" s="146"/>
    </row>
    <row r="100" spans="1:5" ht="15" customHeight="1" x14ac:dyDescent="0.2">
      <c r="A100" s="136" t="s">
        <v>1039</v>
      </c>
      <c r="B100" s="148">
        <v>6</v>
      </c>
      <c r="C100" s="136" t="s">
        <v>1050</v>
      </c>
      <c r="D100" s="136" t="s">
        <v>1051</v>
      </c>
      <c r="E100" s="146"/>
    </row>
    <row r="101" spans="1:5" ht="15" customHeight="1" x14ac:dyDescent="0.2">
      <c r="A101" s="136" t="s">
        <v>1039</v>
      </c>
      <c r="B101" s="148">
        <v>7</v>
      </c>
      <c r="C101" s="136" t="s">
        <v>961</v>
      </c>
      <c r="D101" s="136" t="s">
        <v>962</v>
      </c>
      <c r="E101" s="146"/>
    </row>
    <row r="102" spans="1:5" ht="15" customHeight="1" x14ac:dyDescent="0.2">
      <c r="A102" s="136" t="s">
        <v>1039</v>
      </c>
      <c r="B102" s="148">
        <v>8</v>
      </c>
      <c r="C102" s="136" t="s">
        <v>963</v>
      </c>
      <c r="D102" s="136" t="s">
        <v>964</v>
      </c>
      <c r="E102" s="146"/>
    </row>
    <row r="103" spans="1:5" x14ac:dyDescent="0.15">
      <c r="E103" s="146"/>
    </row>
    <row r="104" spans="1:5" ht="15" customHeight="1" x14ac:dyDescent="0.2">
      <c r="A104" s="155" t="s">
        <v>1052</v>
      </c>
      <c r="B104" s="155">
        <v>1</v>
      </c>
      <c r="C104" s="155" t="s">
        <v>1053</v>
      </c>
      <c r="D104" s="155" t="s">
        <v>1054</v>
      </c>
      <c r="E104" s="146"/>
    </row>
    <row r="105" spans="1:5" ht="15" customHeight="1" x14ac:dyDescent="0.2">
      <c r="A105" s="155" t="s">
        <v>1052</v>
      </c>
      <c r="B105" s="155">
        <v>2</v>
      </c>
      <c r="C105" s="155" t="s">
        <v>1055</v>
      </c>
      <c r="D105" s="155" t="s">
        <v>1056</v>
      </c>
      <c r="E105" s="146"/>
    </row>
    <row r="106" spans="1:5" ht="15" customHeight="1" x14ac:dyDescent="0.2">
      <c r="A106" s="155" t="s">
        <v>1052</v>
      </c>
      <c r="B106" s="155">
        <v>3</v>
      </c>
      <c r="C106" s="155" t="s">
        <v>1057</v>
      </c>
      <c r="D106" s="155" t="s">
        <v>1058</v>
      </c>
      <c r="E106" s="146"/>
    </row>
    <row r="107" spans="1:5" ht="15" customHeight="1" x14ac:dyDescent="0.2">
      <c r="A107" s="155" t="s">
        <v>1052</v>
      </c>
      <c r="B107" s="155">
        <v>4</v>
      </c>
      <c r="C107" s="155" t="s">
        <v>1059</v>
      </c>
      <c r="D107" s="155" t="s">
        <v>1060</v>
      </c>
      <c r="E107" s="146"/>
    </row>
    <row r="108" spans="1:5" ht="15" customHeight="1" x14ac:dyDescent="0.2">
      <c r="A108" s="155" t="s">
        <v>1052</v>
      </c>
      <c r="B108" s="155">
        <v>5</v>
      </c>
      <c r="C108" s="155" t="s">
        <v>1061</v>
      </c>
      <c r="D108" s="155" t="s">
        <v>1062</v>
      </c>
      <c r="E108" s="146"/>
    </row>
    <row r="109" spans="1:5" ht="15" customHeight="1" x14ac:dyDescent="0.2">
      <c r="A109" s="155" t="s">
        <v>1052</v>
      </c>
      <c r="B109" s="155">
        <v>6</v>
      </c>
      <c r="C109" s="155" t="s">
        <v>961</v>
      </c>
      <c r="D109" s="155" t="s">
        <v>962</v>
      </c>
      <c r="E109" s="146"/>
    </row>
    <row r="110" spans="1:5" ht="15" customHeight="1" x14ac:dyDescent="0.2">
      <c r="A110" s="155" t="s">
        <v>1052</v>
      </c>
      <c r="B110" s="155">
        <v>7</v>
      </c>
      <c r="C110" s="155" t="s">
        <v>963</v>
      </c>
      <c r="D110" s="155" t="s">
        <v>964</v>
      </c>
      <c r="E110" s="146"/>
    </row>
    <row r="111" spans="1:5" ht="15" customHeight="1" x14ac:dyDescent="0.2">
      <c r="A111" s="140"/>
      <c r="B111" s="140"/>
      <c r="C111" s="140"/>
      <c r="D111" s="140"/>
      <c r="E111" s="146"/>
    </row>
    <row r="112" spans="1:5" ht="15" customHeight="1" x14ac:dyDescent="0.2">
      <c r="A112" s="155" t="s">
        <v>1063</v>
      </c>
      <c r="B112" s="155" t="s">
        <v>1064</v>
      </c>
      <c r="C112" s="155" t="s">
        <v>1065</v>
      </c>
      <c r="D112" s="155" t="s">
        <v>1066</v>
      </c>
      <c r="E112" s="146"/>
    </row>
    <row r="113" spans="1:5" ht="15" customHeight="1" x14ac:dyDescent="0.2">
      <c r="A113" s="155" t="s">
        <v>1063</v>
      </c>
      <c r="B113" s="155" t="s">
        <v>1067</v>
      </c>
      <c r="C113" s="155" t="s">
        <v>1068</v>
      </c>
      <c r="D113" s="155" t="s">
        <v>1069</v>
      </c>
      <c r="E113" s="146"/>
    </row>
    <row r="114" spans="1:5" ht="15" customHeight="1" x14ac:dyDescent="0.2">
      <c r="A114" s="155" t="s">
        <v>1063</v>
      </c>
      <c r="B114" s="155" t="s">
        <v>1070</v>
      </c>
      <c r="C114" s="155" t="s">
        <v>1071</v>
      </c>
      <c r="D114" s="155" t="s">
        <v>1072</v>
      </c>
      <c r="E114" s="146"/>
    </row>
    <row r="115" spans="1:5" ht="15" customHeight="1" x14ac:dyDescent="0.2">
      <c r="A115" s="155" t="s">
        <v>1063</v>
      </c>
      <c r="B115" s="155" t="s">
        <v>1073</v>
      </c>
      <c r="C115" s="155" t="s">
        <v>1074</v>
      </c>
      <c r="D115" s="155" t="s">
        <v>1074</v>
      </c>
      <c r="E115" s="146"/>
    </row>
    <row r="116" spans="1:5" ht="15" customHeight="1" x14ac:dyDescent="0.2">
      <c r="A116" s="155" t="s">
        <v>1063</v>
      </c>
      <c r="B116" s="155" t="s">
        <v>1075</v>
      </c>
      <c r="C116" s="155" t="s">
        <v>1076</v>
      </c>
      <c r="D116" s="155" t="s">
        <v>1077</v>
      </c>
      <c r="E116" s="146"/>
    </row>
    <row r="117" spans="1:5" ht="15" customHeight="1" x14ac:dyDescent="0.2">
      <c r="A117" s="155" t="s">
        <v>1063</v>
      </c>
      <c r="B117" s="155" t="s">
        <v>1078</v>
      </c>
      <c r="C117" s="155" t="s">
        <v>1079</v>
      </c>
      <c r="D117" s="155" t="s">
        <v>1080</v>
      </c>
      <c r="E117" s="146"/>
    </row>
    <row r="118" spans="1:5" ht="15" customHeight="1" x14ac:dyDescent="0.2">
      <c r="A118" s="155" t="s">
        <v>1063</v>
      </c>
      <c r="B118" s="155" t="s">
        <v>1081</v>
      </c>
      <c r="C118" s="155" t="s">
        <v>1082</v>
      </c>
      <c r="D118" s="155" t="s">
        <v>1083</v>
      </c>
      <c r="E118" s="146"/>
    </row>
    <row r="119" spans="1:5" ht="15" customHeight="1" x14ac:dyDescent="0.2">
      <c r="A119" s="155" t="s">
        <v>1063</v>
      </c>
      <c r="B119" s="155" t="s">
        <v>1084</v>
      </c>
      <c r="C119" s="155" t="s">
        <v>961</v>
      </c>
      <c r="D119" s="155" t="s">
        <v>962</v>
      </c>
      <c r="E119" s="146"/>
    </row>
    <row r="120" spans="1:5" ht="15" customHeight="1" x14ac:dyDescent="0.2">
      <c r="A120" s="155" t="s">
        <v>1063</v>
      </c>
      <c r="B120" s="155" t="s">
        <v>1085</v>
      </c>
      <c r="C120" s="155" t="s">
        <v>963</v>
      </c>
      <c r="D120" s="155" t="s">
        <v>964</v>
      </c>
      <c r="E120" s="146"/>
    </row>
    <row r="121" spans="1:5" ht="15" customHeight="1" x14ac:dyDescent="0.2">
      <c r="A121" s="140"/>
      <c r="B121" s="140"/>
      <c r="C121" s="140"/>
      <c r="D121" s="140"/>
      <c r="E121" s="146"/>
    </row>
    <row r="122" spans="1:5" ht="15" customHeight="1" x14ac:dyDescent="0.2">
      <c r="A122" s="155" t="s">
        <v>1086</v>
      </c>
      <c r="B122" s="155" t="s">
        <v>1087</v>
      </c>
      <c r="C122" s="155" t="s">
        <v>1088</v>
      </c>
      <c r="D122" s="155" t="s">
        <v>1089</v>
      </c>
      <c r="E122" s="146"/>
    </row>
    <row r="123" spans="1:5" ht="15" customHeight="1" x14ac:dyDescent="0.2">
      <c r="A123" s="155" t="s">
        <v>1086</v>
      </c>
      <c r="B123" s="155" t="s">
        <v>1090</v>
      </c>
      <c r="C123" s="155" t="s">
        <v>1091</v>
      </c>
      <c r="D123" s="155" t="s">
        <v>1092</v>
      </c>
      <c r="E123" s="146"/>
    </row>
    <row r="124" spans="1:5" ht="15" customHeight="1" x14ac:dyDescent="0.2">
      <c r="A124" s="155" t="s">
        <v>1086</v>
      </c>
      <c r="B124" s="155" t="s">
        <v>1093</v>
      </c>
      <c r="C124" s="155" t="s">
        <v>1094</v>
      </c>
      <c r="D124" s="155" t="s">
        <v>1095</v>
      </c>
      <c r="E124" s="146"/>
    </row>
    <row r="125" spans="1:5" ht="15" customHeight="1" x14ac:dyDescent="0.2">
      <c r="A125" s="155" t="s">
        <v>1086</v>
      </c>
      <c r="B125" s="155" t="s">
        <v>1096</v>
      </c>
      <c r="C125" s="155" t="s">
        <v>1097</v>
      </c>
      <c r="D125" s="155" t="s">
        <v>1098</v>
      </c>
      <c r="E125" s="146"/>
    </row>
    <row r="126" spans="1:5" ht="15" customHeight="1" x14ac:dyDescent="0.2">
      <c r="A126" s="155" t="s">
        <v>1086</v>
      </c>
      <c r="B126" s="155" t="s">
        <v>1099</v>
      </c>
      <c r="C126" s="155" t="s">
        <v>1100</v>
      </c>
      <c r="D126" s="155" t="s">
        <v>1101</v>
      </c>
      <c r="E126" s="146"/>
    </row>
    <row r="127" spans="1:5" ht="15" customHeight="1" x14ac:dyDescent="0.2">
      <c r="A127" s="155" t="s">
        <v>1086</v>
      </c>
      <c r="B127" s="155" t="s">
        <v>1102</v>
      </c>
      <c r="C127" s="155" t="s">
        <v>1103</v>
      </c>
      <c r="D127" s="155" t="s">
        <v>1104</v>
      </c>
      <c r="E127" s="146"/>
    </row>
    <row r="128" spans="1:5" ht="15" customHeight="1" x14ac:dyDescent="0.2">
      <c r="A128" s="155" t="s">
        <v>1086</v>
      </c>
      <c r="B128" s="155" t="s">
        <v>1105</v>
      </c>
      <c r="C128" s="155" t="s">
        <v>1106</v>
      </c>
      <c r="D128" s="155" t="s">
        <v>1107</v>
      </c>
      <c r="E128" s="146"/>
    </row>
    <row r="129" spans="1:5" ht="15" customHeight="1" x14ac:dyDescent="0.2">
      <c r="A129" s="155" t="s">
        <v>1086</v>
      </c>
      <c r="B129" s="155" t="s">
        <v>1078</v>
      </c>
      <c r="C129" s="155" t="s">
        <v>1108</v>
      </c>
      <c r="D129" s="155" t="s">
        <v>1109</v>
      </c>
      <c r="E129" s="146"/>
    </row>
    <row r="130" spans="1:5" ht="15" customHeight="1" x14ac:dyDescent="0.2">
      <c r="A130" s="155" t="s">
        <v>1086</v>
      </c>
      <c r="B130" s="155" t="s">
        <v>1081</v>
      </c>
      <c r="C130" s="155" t="s">
        <v>1110</v>
      </c>
      <c r="D130" s="155" t="s">
        <v>1111</v>
      </c>
      <c r="E130" s="146"/>
    </row>
    <row r="131" spans="1:5" ht="15" customHeight="1" x14ac:dyDescent="0.2">
      <c r="A131" s="155" t="s">
        <v>1086</v>
      </c>
      <c r="B131" s="155" t="s">
        <v>1084</v>
      </c>
      <c r="C131" s="155" t="s">
        <v>961</v>
      </c>
      <c r="D131" s="155" t="s">
        <v>962</v>
      </c>
      <c r="E131" s="146"/>
    </row>
    <row r="132" spans="1:5" ht="15" customHeight="1" x14ac:dyDescent="0.2">
      <c r="A132" s="155" t="s">
        <v>1086</v>
      </c>
      <c r="B132" s="155" t="s">
        <v>1085</v>
      </c>
      <c r="C132" s="155" t="s">
        <v>963</v>
      </c>
      <c r="D132" s="155" t="s">
        <v>964</v>
      </c>
      <c r="E132" s="146"/>
    </row>
    <row r="133" spans="1:5" ht="15" customHeight="1" x14ac:dyDescent="0.2">
      <c r="A133" s="140"/>
      <c r="B133" s="140"/>
      <c r="C133" s="140"/>
      <c r="E133" s="146"/>
    </row>
    <row r="134" spans="1:5" ht="15" customHeight="1" x14ac:dyDescent="0.2">
      <c r="A134" s="155" t="s">
        <v>1112</v>
      </c>
      <c r="B134" s="155">
        <v>1</v>
      </c>
      <c r="C134" s="155" t="s">
        <v>1113</v>
      </c>
      <c r="D134" s="155" t="s">
        <v>1114</v>
      </c>
      <c r="E134" s="146"/>
    </row>
    <row r="135" spans="1:5" ht="15" customHeight="1" x14ac:dyDescent="0.2">
      <c r="A135" s="155" t="s">
        <v>1112</v>
      </c>
      <c r="B135" s="155">
        <v>2</v>
      </c>
      <c r="C135" s="155" t="s">
        <v>1115</v>
      </c>
      <c r="D135" s="155" t="s">
        <v>1116</v>
      </c>
      <c r="E135" s="146"/>
    </row>
    <row r="136" spans="1:5" ht="15" customHeight="1" x14ac:dyDescent="0.2">
      <c r="A136" s="155" t="s">
        <v>1112</v>
      </c>
      <c r="B136" s="155">
        <v>3</v>
      </c>
      <c r="C136" s="155" t="s">
        <v>1117</v>
      </c>
      <c r="D136" s="155" t="s">
        <v>1118</v>
      </c>
      <c r="E136" s="146"/>
    </row>
    <row r="137" spans="1:5" ht="15" customHeight="1" x14ac:dyDescent="0.2">
      <c r="A137" s="155" t="s">
        <v>1112</v>
      </c>
      <c r="B137" s="155">
        <v>4</v>
      </c>
      <c r="C137" s="155" t="s">
        <v>1119</v>
      </c>
      <c r="D137" s="155" t="s">
        <v>1120</v>
      </c>
      <c r="E137" s="146"/>
    </row>
    <row r="138" spans="1:5" ht="15" customHeight="1" x14ac:dyDescent="0.2">
      <c r="A138" s="155" t="s">
        <v>1112</v>
      </c>
      <c r="B138" s="155">
        <v>5</v>
      </c>
      <c r="C138" s="155" t="s">
        <v>1121</v>
      </c>
      <c r="D138" s="155" t="s">
        <v>1122</v>
      </c>
      <c r="E138" s="146"/>
    </row>
    <row r="139" spans="1:5" ht="15" customHeight="1" x14ac:dyDescent="0.2">
      <c r="A139" s="155" t="s">
        <v>1112</v>
      </c>
      <c r="B139" s="155">
        <v>6</v>
      </c>
      <c r="C139" s="155" t="s">
        <v>1123</v>
      </c>
      <c r="D139" s="155" t="s">
        <v>962</v>
      </c>
      <c r="E139" s="146"/>
    </row>
    <row r="140" spans="1:5" ht="15" customHeight="1" x14ac:dyDescent="0.2">
      <c r="A140" s="155" t="s">
        <v>1112</v>
      </c>
      <c r="B140" s="155">
        <v>7</v>
      </c>
      <c r="C140" s="155" t="s">
        <v>1124</v>
      </c>
      <c r="D140" s="155" t="s">
        <v>964</v>
      </c>
      <c r="E140" s="146"/>
    </row>
    <row r="141" spans="1:5" ht="15" customHeight="1" x14ac:dyDescent="0.2">
      <c r="A141" s="140"/>
      <c r="B141" s="140"/>
      <c r="C141" s="140"/>
      <c r="D141" s="140"/>
      <c r="E141" s="146"/>
    </row>
    <row r="142" spans="1:5" ht="15" customHeight="1" x14ac:dyDescent="0.2">
      <c r="A142" s="155" t="s">
        <v>1125</v>
      </c>
      <c r="B142" s="155">
        <v>1</v>
      </c>
      <c r="C142" s="155" t="s">
        <v>1126</v>
      </c>
      <c r="D142" s="155" t="s">
        <v>1127</v>
      </c>
      <c r="E142" s="146"/>
    </row>
    <row r="143" spans="1:5" ht="15" customHeight="1" x14ac:dyDescent="0.2">
      <c r="A143" s="155" t="s">
        <v>1125</v>
      </c>
      <c r="B143" s="155">
        <v>2</v>
      </c>
      <c r="C143" s="155" t="s">
        <v>1128</v>
      </c>
      <c r="D143" s="155" t="s">
        <v>1129</v>
      </c>
      <c r="E143" s="146"/>
    </row>
    <row r="144" spans="1:5" ht="15" customHeight="1" x14ac:dyDescent="0.2">
      <c r="A144" s="155" t="s">
        <v>1125</v>
      </c>
      <c r="B144" s="155">
        <v>3</v>
      </c>
      <c r="C144" s="155" t="s">
        <v>1130</v>
      </c>
      <c r="D144" s="155" t="s">
        <v>1131</v>
      </c>
      <c r="E144" s="146"/>
    </row>
    <row r="145" spans="1:5" ht="15" customHeight="1" x14ac:dyDescent="0.2">
      <c r="A145" s="155" t="s">
        <v>1125</v>
      </c>
      <c r="B145" s="155">
        <v>4</v>
      </c>
      <c r="C145" s="155" t="s">
        <v>1132</v>
      </c>
      <c r="D145" s="155" t="s">
        <v>1133</v>
      </c>
      <c r="E145" s="146"/>
    </row>
    <row r="146" spans="1:5" ht="15" customHeight="1" x14ac:dyDescent="0.2">
      <c r="A146" s="155" t="s">
        <v>1125</v>
      </c>
      <c r="B146" s="155">
        <v>5</v>
      </c>
      <c r="C146" s="155" t="s">
        <v>961</v>
      </c>
      <c r="D146" s="155" t="s">
        <v>962</v>
      </c>
      <c r="E146" s="146"/>
    </row>
    <row r="147" spans="1:5" ht="15" customHeight="1" x14ac:dyDescent="0.2">
      <c r="A147" s="155" t="s">
        <v>1125</v>
      </c>
      <c r="B147" s="155">
        <v>6</v>
      </c>
      <c r="C147" s="155" t="s">
        <v>963</v>
      </c>
      <c r="D147" s="155" t="s">
        <v>964</v>
      </c>
      <c r="E147" s="146"/>
    </row>
    <row r="148" spans="1:5" ht="15" customHeight="1" x14ac:dyDescent="0.2">
      <c r="A148" s="140"/>
      <c r="B148" s="140"/>
      <c r="C148" s="140"/>
      <c r="D148" s="140"/>
      <c r="E148" s="146"/>
    </row>
    <row r="149" spans="1:5" x14ac:dyDescent="0.15">
      <c r="A149" s="136" t="s">
        <v>1134</v>
      </c>
      <c r="B149" s="136">
        <v>1</v>
      </c>
      <c r="C149" s="136" t="s">
        <v>1135</v>
      </c>
      <c r="D149" s="136" t="s">
        <v>1136</v>
      </c>
      <c r="E149" s="146"/>
    </row>
    <row r="150" spans="1:5" x14ac:dyDescent="0.15">
      <c r="A150" s="136" t="s">
        <v>1134</v>
      </c>
      <c r="B150" s="136">
        <v>2</v>
      </c>
      <c r="C150" s="136" t="s">
        <v>1137</v>
      </c>
      <c r="D150" s="136" t="s">
        <v>1138</v>
      </c>
      <c r="E150" s="146"/>
    </row>
    <row r="151" spans="1:5" x14ac:dyDescent="0.15">
      <c r="A151" s="136" t="s">
        <v>1134</v>
      </c>
      <c r="B151" s="136">
        <v>3</v>
      </c>
      <c r="C151" s="136" t="s">
        <v>1139</v>
      </c>
      <c r="D151" s="136" t="s">
        <v>1140</v>
      </c>
      <c r="E151" s="146"/>
    </row>
    <row r="152" spans="1:5" x14ac:dyDescent="0.15">
      <c r="A152" s="136" t="s">
        <v>1134</v>
      </c>
      <c r="B152" s="136">
        <v>4</v>
      </c>
      <c r="C152" s="136" t="s">
        <v>1141</v>
      </c>
      <c r="D152" s="136" t="s">
        <v>1142</v>
      </c>
      <c r="E152" s="146"/>
    </row>
    <row r="153" spans="1:5" x14ac:dyDescent="0.15">
      <c r="A153" s="136" t="s">
        <v>1134</v>
      </c>
      <c r="B153" s="136">
        <v>5</v>
      </c>
      <c r="C153" s="136" t="s">
        <v>1143</v>
      </c>
      <c r="D153" s="136" t="s">
        <v>1144</v>
      </c>
      <c r="E153" s="146"/>
    </row>
    <row r="154" spans="1:5" x14ac:dyDescent="0.15">
      <c r="A154" s="136" t="s">
        <v>1134</v>
      </c>
      <c r="B154" s="136">
        <v>6</v>
      </c>
      <c r="C154" s="136" t="s">
        <v>1145</v>
      </c>
      <c r="D154" s="136" t="s">
        <v>1146</v>
      </c>
      <c r="E154" s="146"/>
    </row>
    <row r="155" spans="1:5" x14ac:dyDescent="0.15">
      <c r="A155" s="136" t="s">
        <v>1134</v>
      </c>
      <c r="B155" s="136">
        <v>7</v>
      </c>
      <c r="C155" s="136" t="s">
        <v>1147</v>
      </c>
      <c r="D155" s="136" t="s">
        <v>1148</v>
      </c>
      <c r="E155" s="146"/>
    </row>
    <row r="156" spans="1:5" x14ac:dyDescent="0.15">
      <c r="A156" s="136" t="s">
        <v>1134</v>
      </c>
      <c r="B156" s="136">
        <v>8</v>
      </c>
      <c r="C156" s="136" t="s">
        <v>1149</v>
      </c>
      <c r="D156" s="136" t="s">
        <v>1150</v>
      </c>
      <c r="E156" s="146"/>
    </row>
    <row r="157" spans="1:5" x14ac:dyDescent="0.15">
      <c r="A157" s="136" t="s">
        <v>1134</v>
      </c>
      <c r="B157" s="136">
        <v>9</v>
      </c>
      <c r="C157" s="136" t="s">
        <v>1151</v>
      </c>
      <c r="D157" s="136" t="s">
        <v>1152</v>
      </c>
      <c r="E157" s="146"/>
    </row>
    <row r="158" spans="1:5" x14ac:dyDescent="0.15">
      <c r="A158" s="136" t="s">
        <v>1134</v>
      </c>
      <c r="B158" s="136">
        <v>10</v>
      </c>
      <c r="C158" s="136" t="s">
        <v>1153</v>
      </c>
      <c r="D158" s="136" t="s">
        <v>1154</v>
      </c>
      <c r="E158" s="146"/>
    </row>
    <row r="159" spans="1:5" x14ac:dyDescent="0.15">
      <c r="A159" s="136" t="s">
        <v>1134</v>
      </c>
      <c r="B159" s="136">
        <v>11</v>
      </c>
      <c r="C159" s="136" t="s">
        <v>1155</v>
      </c>
      <c r="D159" s="136" t="s">
        <v>1156</v>
      </c>
      <c r="E159" s="146"/>
    </row>
    <row r="160" spans="1:5" x14ac:dyDescent="0.15">
      <c r="A160" s="136" t="s">
        <v>1134</v>
      </c>
      <c r="B160" s="136">
        <v>12</v>
      </c>
      <c r="C160" s="136" t="s">
        <v>1157</v>
      </c>
      <c r="D160" s="136" t="s">
        <v>1158</v>
      </c>
      <c r="E160" s="146"/>
    </row>
    <row r="161" spans="1:5" x14ac:dyDescent="0.15">
      <c r="A161" s="136" t="s">
        <v>1134</v>
      </c>
      <c r="B161" s="136">
        <v>13</v>
      </c>
      <c r="C161" s="136" t="s">
        <v>1159</v>
      </c>
      <c r="D161" s="136" t="s">
        <v>1160</v>
      </c>
      <c r="E161" s="146"/>
    </row>
    <row r="162" spans="1:5" x14ac:dyDescent="0.15">
      <c r="A162" s="136" t="s">
        <v>1134</v>
      </c>
      <c r="B162" s="136">
        <v>14</v>
      </c>
      <c r="C162" s="136" t="s">
        <v>1161</v>
      </c>
      <c r="D162" s="136" t="s">
        <v>1162</v>
      </c>
      <c r="E162" s="146"/>
    </row>
    <row r="163" spans="1:5" x14ac:dyDescent="0.15">
      <c r="A163" s="136" t="s">
        <v>1134</v>
      </c>
      <c r="B163" s="136">
        <v>15</v>
      </c>
      <c r="C163" s="136" t="s">
        <v>1163</v>
      </c>
      <c r="D163" s="136" t="s">
        <v>1164</v>
      </c>
      <c r="E163" s="146"/>
    </row>
    <row r="164" spans="1:5" x14ac:dyDescent="0.15">
      <c r="A164" s="136" t="s">
        <v>1134</v>
      </c>
      <c r="B164" s="136">
        <v>16</v>
      </c>
      <c r="C164" s="136" t="s">
        <v>1165</v>
      </c>
      <c r="D164" s="136" t="s">
        <v>1166</v>
      </c>
      <c r="E164" s="146"/>
    </row>
    <row r="165" spans="1:5" x14ac:dyDescent="0.15">
      <c r="A165" s="136" t="s">
        <v>1134</v>
      </c>
      <c r="B165" s="136">
        <v>17</v>
      </c>
      <c r="C165" s="136" t="s">
        <v>1167</v>
      </c>
      <c r="D165" s="136" t="s">
        <v>1168</v>
      </c>
      <c r="E165" s="146"/>
    </row>
    <row r="166" spans="1:5" x14ac:dyDescent="0.15">
      <c r="A166" s="136" t="s">
        <v>1134</v>
      </c>
      <c r="B166" s="136">
        <v>18</v>
      </c>
      <c r="C166" s="136" t="s">
        <v>1169</v>
      </c>
      <c r="D166" s="136" t="s">
        <v>1170</v>
      </c>
      <c r="E166" s="146"/>
    </row>
    <row r="167" spans="1:5" x14ac:dyDescent="0.15">
      <c r="A167" s="136" t="s">
        <v>1134</v>
      </c>
      <c r="B167" s="136">
        <v>19</v>
      </c>
      <c r="C167" s="136" t="s">
        <v>1171</v>
      </c>
      <c r="D167" s="136" t="s">
        <v>1172</v>
      </c>
      <c r="E167" s="146"/>
    </row>
    <row r="168" spans="1:5" x14ac:dyDescent="0.15">
      <c r="A168" s="136" t="s">
        <v>1134</v>
      </c>
      <c r="B168" s="136">
        <v>20</v>
      </c>
      <c r="C168" s="136" t="s">
        <v>963</v>
      </c>
      <c r="D168" s="136" t="s">
        <v>964</v>
      </c>
      <c r="E168" s="146"/>
    </row>
    <row r="169" spans="1:5" x14ac:dyDescent="0.15">
      <c r="E169" s="146"/>
    </row>
    <row r="170" spans="1:5" x14ac:dyDescent="0.15">
      <c r="A170" s="136" t="s">
        <v>1173</v>
      </c>
      <c r="B170" s="136">
        <v>1</v>
      </c>
      <c r="C170" s="136" t="s">
        <v>978</v>
      </c>
      <c r="D170" s="136" t="s">
        <v>979</v>
      </c>
      <c r="E170" s="146"/>
    </row>
    <row r="171" spans="1:5" x14ac:dyDescent="0.15">
      <c r="A171" s="136" t="s">
        <v>1173</v>
      </c>
      <c r="B171" s="136">
        <v>2</v>
      </c>
      <c r="C171" s="136" t="s">
        <v>980</v>
      </c>
      <c r="D171" s="136" t="s">
        <v>981</v>
      </c>
      <c r="E171" s="146"/>
    </row>
    <row r="172" spans="1:5" x14ac:dyDescent="0.15">
      <c r="A172" s="136" t="s">
        <v>1173</v>
      </c>
      <c r="B172" s="136">
        <v>3</v>
      </c>
      <c r="C172" s="136" t="s">
        <v>1174</v>
      </c>
      <c r="D172" s="136" t="s">
        <v>1175</v>
      </c>
      <c r="E172" s="146"/>
    </row>
    <row r="173" spans="1:5" x14ac:dyDescent="0.15">
      <c r="A173" s="136" t="s">
        <v>1173</v>
      </c>
      <c r="B173" s="136">
        <v>4</v>
      </c>
      <c r="C173" s="136" t="s">
        <v>961</v>
      </c>
      <c r="D173" s="136" t="s">
        <v>962</v>
      </c>
      <c r="E173" s="146"/>
    </row>
    <row r="174" spans="1:5" x14ac:dyDescent="0.15">
      <c r="A174" s="136" t="s">
        <v>1173</v>
      </c>
      <c r="B174" s="136">
        <v>5</v>
      </c>
      <c r="C174" s="136" t="s">
        <v>963</v>
      </c>
      <c r="D174" s="136" t="s">
        <v>964</v>
      </c>
      <c r="E174" s="146"/>
    </row>
    <row r="175" spans="1:5" x14ac:dyDescent="0.15">
      <c r="E175" s="146"/>
    </row>
    <row r="176" spans="1:5" x14ac:dyDescent="0.15">
      <c r="A176" s="136" t="s">
        <v>1176</v>
      </c>
      <c r="B176" s="136">
        <v>1</v>
      </c>
      <c r="C176" s="136" t="s">
        <v>1177</v>
      </c>
      <c r="D176" s="136" t="s">
        <v>1178</v>
      </c>
      <c r="E176" s="146"/>
    </row>
    <row r="177" spans="1:5" x14ac:dyDescent="0.15">
      <c r="A177" s="136" t="s">
        <v>1176</v>
      </c>
      <c r="B177" s="136">
        <v>2</v>
      </c>
      <c r="C177" s="136" t="s">
        <v>1179</v>
      </c>
      <c r="D177" s="136" t="s">
        <v>1180</v>
      </c>
      <c r="E177" s="146"/>
    </row>
    <row r="178" spans="1:5" x14ac:dyDescent="0.15">
      <c r="A178" s="136" t="s">
        <v>1176</v>
      </c>
      <c r="B178" s="136">
        <v>3</v>
      </c>
      <c r="C178" s="136" t="s">
        <v>1181</v>
      </c>
      <c r="D178" s="136" t="s">
        <v>1182</v>
      </c>
      <c r="E178" s="146"/>
    </row>
    <row r="179" spans="1:5" x14ac:dyDescent="0.15">
      <c r="A179" s="136" t="s">
        <v>1176</v>
      </c>
      <c r="B179" s="136">
        <v>4</v>
      </c>
      <c r="C179" s="136" t="s">
        <v>961</v>
      </c>
      <c r="D179" s="136" t="s">
        <v>962</v>
      </c>
      <c r="E179" s="146"/>
    </row>
    <row r="180" spans="1:5" x14ac:dyDescent="0.15">
      <c r="A180" s="136" t="s">
        <v>1176</v>
      </c>
      <c r="B180" s="136">
        <v>5</v>
      </c>
      <c r="C180" s="136" t="s">
        <v>963</v>
      </c>
      <c r="D180" s="136" t="s">
        <v>964</v>
      </c>
      <c r="E180" s="146"/>
    </row>
    <row r="181" spans="1:5" x14ac:dyDescent="0.15">
      <c r="E181" s="146"/>
    </row>
    <row r="182" spans="1:5" x14ac:dyDescent="0.15">
      <c r="A182" s="136" t="s">
        <v>1183</v>
      </c>
      <c r="B182" s="136">
        <v>1</v>
      </c>
      <c r="C182" s="136" t="s">
        <v>1184</v>
      </c>
      <c r="D182" s="136" t="s">
        <v>1185</v>
      </c>
      <c r="E182" s="146"/>
    </row>
    <row r="183" spans="1:5" x14ac:dyDescent="0.15">
      <c r="A183" s="136" t="s">
        <v>1183</v>
      </c>
      <c r="B183" s="136">
        <v>2</v>
      </c>
      <c r="C183" s="136" t="s">
        <v>1186</v>
      </c>
      <c r="D183" s="136" t="s">
        <v>1187</v>
      </c>
      <c r="E183" s="146"/>
    </row>
    <row r="184" spans="1:5" x14ac:dyDescent="0.15">
      <c r="A184" s="136" t="s">
        <v>1183</v>
      </c>
      <c r="B184" s="136">
        <v>3</v>
      </c>
      <c r="C184" s="136" t="s">
        <v>1188</v>
      </c>
      <c r="D184" s="136" t="s">
        <v>1189</v>
      </c>
      <c r="E184" s="146"/>
    </row>
    <row r="185" spans="1:5" x14ac:dyDescent="0.15">
      <c r="A185" s="136" t="s">
        <v>1183</v>
      </c>
      <c r="B185" s="136">
        <v>4</v>
      </c>
      <c r="C185" s="136" t="s">
        <v>1190</v>
      </c>
      <c r="D185" s="136" t="s">
        <v>1191</v>
      </c>
      <c r="E185" s="146"/>
    </row>
    <row r="186" spans="1:5" x14ac:dyDescent="0.15">
      <c r="A186" s="136" t="s">
        <v>1183</v>
      </c>
      <c r="B186" s="136">
        <v>5</v>
      </c>
      <c r="C186" s="136" t="s">
        <v>1192</v>
      </c>
      <c r="D186" s="136" t="s">
        <v>1193</v>
      </c>
      <c r="E186" s="146"/>
    </row>
    <row r="187" spans="1:5" ht="15" customHeight="1" x14ac:dyDescent="0.2">
      <c r="A187" s="136" t="s">
        <v>1183</v>
      </c>
      <c r="B187" s="148">
        <v>6</v>
      </c>
      <c r="C187" s="136" t="s">
        <v>961</v>
      </c>
      <c r="D187" s="136" t="s">
        <v>962</v>
      </c>
      <c r="E187" s="146"/>
    </row>
    <row r="188" spans="1:5" ht="15" customHeight="1" x14ac:dyDescent="0.2">
      <c r="A188" s="136" t="s">
        <v>1183</v>
      </c>
      <c r="B188" s="148">
        <v>7</v>
      </c>
      <c r="C188" s="136" t="s">
        <v>963</v>
      </c>
      <c r="D188" s="136" t="s">
        <v>964</v>
      </c>
      <c r="E188" s="146"/>
    </row>
    <row r="189" spans="1:5" x14ac:dyDescent="0.15">
      <c r="E189" s="146"/>
    </row>
    <row r="190" spans="1:5" s="150" customFormat="1" ht="15" customHeight="1" x14ac:dyDescent="0.2">
      <c r="A190" s="153" t="s">
        <v>1194</v>
      </c>
      <c r="B190" s="150">
        <v>1</v>
      </c>
      <c r="C190" s="150" t="s">
        <v>1135</v>
      </c>
      <c r="D190" s="150" t="s">
        <v>1136</v>
      </c>
      <c r="E190" s="145"/>
    </row>
    <row r="191" spans="1:5" s="150" customFormat="1" ht="15" customHeight="1" x14ac:dyDescent="0.2">
      <c r="A191" s="153" t="s">
        <v>1194</v>
      </c>
      <c r="B191" s="150">
        <v>2</v>
      </c>
      <c r="C191" s="150" t="s">
        <v>1137</v>
      </c>
      <c r="D191" s="150" t="s">
        <v>1138</v>
      </c>
      <c r="E191" s="145"/>
    </row>
    <row r="192" spans="1:5" s="150" customFormat="1" ht="15" customHeight="1" x14ac:dyDescent="0.2">
      <c r="A192" s="153" t="s">
        <v>1194</v>
      </c>
      <c r="B192" s="150">
        <v>3</v>
      </c>
      <c r="C192" s="150" t="s">
        <v>1139</v>
      </c>
      <c r="D192" s="150" t="s">
        <v>1140</v>
      </c>
      <c r="E192" s="145"/>
    </row>
    <row r="193" spans="1:5" s="150" customFormat="1" ht="15" customHeight="1" x14ac:dyDescent="0.2">
      <c r="A193" s="153" t="s">
        <v>1194</v>
      </c>
      <c r="B193" s="150">
        <v>4</v>
      </c>
      <c r="C193" s="150" t="s">
        <v>1141</v>
      </c>
      <c r="D193" s="150" t="s">
        <v>1142</v>
      </c>
      <c r="E193" s="145"/>
    </row>
    <row r="194" spans="1:5" s="150" customFormat="1" ht="15" customHeight="1" x14ac:dyDescent="0.2">
      <c r="A194" s="153" t="s">
        <v>1194</v>
      </c>
      <c r="B194" s="150">
        <v>5</v>
      </c>
      <c r="C194" s="150" t="s">
        <v>1143</v>
      </c>
      <c r="D194" s="150" t="s">
        <v>1144</v>
      </c>
      <c r="E194" s="145"/>
    </row>
    <row r="195" spans="1:5" s="150" customFormat="1" ht="15" customHeight="1" x14ac:dyDescent="0.2">
      <c r="A195" s="153" t="s">
        <v>1194</v>
      </c>
      <c r="B195" s="150">
        <v>6</v>
      </c>
      <c r="C195" s="150" t="s">
        <v>1145</v>
      </c>
      <c r="D195" s="150" t="s">
        <v>1146</v>
      </c>
      <c r="E195" s="145"/>
    </row>
    <row r="196" spans="1:5" s="150" customFormat="1" ht="15" customHeight="1" x14ac:dyDescent="0.2">
      <c r="A196" s="153" t="s">
        <v>1194</v>
      </c>
      <c r="B196" s="150">
        <v>7</v>
      </c>
      <c r="C196" s="150" t="s">
        <v>1147</v>
      </c>
      <c r="D196" s="150" t="s">
        <v>1148</v>
      </c>
      <c r="E196" s="145"/>
    </row>
    <row r="197" spans="1:5" s="150" customFormat="1" ht="15" customHeight="1" x14ac:dyDescent="0.2">
      <c r="A197" s="153" t="s">
        <v>1194</v>
      </c>
      <c r="B197" s="150">
        <v>8</v>
      </c>
      <c r="C197" s="150" t="s">
        <v>1149</v>
      </c>
      <c r="D197" s="150" t="s">
        <v>1150</v>
      </c>
      <c r="E197" s="145"/>
    </row>
    <row r="198" spans="1:5" s="150" customFormat="1" ht="15" customHeight="1" x14ac:dyDescent="0.2">
      <c r="A198" s="153" t="s">
        <v>1194</v>
      </c>
      <c r="B198" s="150">
        <v>9</v>
      </c>
      <c r="C198" s="150" t="s">
        <v>1151</v>
      </c>
      <c r="D198" s="150" t="s">
        <v>1152</v>
      </c>
      <c r="E198" s="145"/>
    </row>
    <row r="199" spans="1:5" s="150" customFormat="1" ht="15" customHeight="1" x14ac:dyDescent="0.2">
      <c r="A199" s="153" t="s">
        <v>1194</v>
      </c>
      <c r="B199" s="150">
        <v>10</v>
      </c>
      <c r="C199" s="150" t="s">
        <v>1153</v>
      </c>
      <c r="D199" s="150" t="s">
        <v>1154</v>
      </c>
      <c r="E199" s="145"/>
    </row>
    <row r="200" spans="1:5" s="150" customFormat="1" ht="15" customHeight="1" x14ac:dyDescent="0.2">
      <c r="A200" s="153" t="s">
        <v>1194</v>
      </c>
      <c r="B200" s="150">
        <v>11</v>
      </c>
      <c r="C200" s="150" t="s">
        <v>1155</v>
      </c>
      <c r="D200" s="150" t="s">
        <v>1156</v>
      </c>
      <c r="E200" s="145"/>
    </row>
    <row r="201" spans="1:5" s="150" customFormat="1" ht="15" customHeight="1" x14ac:dyDescent="0.2">
      <c r="A201" s="153" t="s">
        <v>1194</v>
      </c>
      <c r="B201" s="150">
        <v>12</v>
      </c>
      <c r="C201" s="150" t="s">
        <v>1157</v>
      </c>
      <c r="D201" s="150" t="s">
        <v>1158</v>
      </c>
      <c r="E201" s="145"/>
    </row>
    <row r="202" spans="1:5" s="150" customFormat="1" ht="15" customHeight="1" x14ac:dyDescent="0.2">
      <c r="A202" s="153" t="s">
        <v>1194</v>
      </c>
      <c r="B202" s="150">
        <v>13</v>
      </c>
      <c r="C202" s="150" t="s">
        <v>1159</v>
      </c>
      <c r="D202" s="150" t="s">
        <v>1160</v>
      </c>
      <c r="E202" s="145"/>
    </row>
    <row r="203" spans="1:5" s="150" customFormat="1" ht="15" customHeight="1" x14ac:dyDescent="0.2">
      <c r="A203" s="153" t="s">
        <v>1194</v>
      </c>
      <c r="B203" s="150">
        <v>14</v>
      </c>
      <c r="C203" s="150" t="s">
        <v>1161</v>
      </c>
      <c r="D203" s="150" t="s">
        <v>1162</v>
      </c>
      <c r="E203" s="145"/>
    </row>
    <row r="204" spans="1:5" s="150" customFormat="1" ht="15" customHeight="1" x14ac:dyDescent="0.2">
      <c r="A204" s="153" t="s">
        <v>1194</v>
      </c>
      <c r="B204" s="153">
        <v>15</v>
      </c>
      <c r="C204" s="153" t="s">
        <v>1163</v>
      </c>
      <c r="D204" s="150" t="s">
        <v>1164</v>
      </c>
      <c r="E204" s="145"/>
    </row>
    <row r="205" spans="1:5" s="150" customFormat="1" ht="15" customHeight="1" x14ac:dyDescent="0.2">
      <c r="A205" s="153" t="s">
        <v>1194</v>
      </c>
      <c r="B205" s="153">
        <v>16</v>
      </c>
      <c r="C205" s="153" t="s">
        <v>1165</v>
      </c>
      <c r="D205" s="150" t="s">
        <v>1166</v>
      </c>
      <c r="E205" s="145"/>
    </row>
    <row r="206" spans="1:5" s="150" customFormat="1" ht="15" customHeight="1" x14ac:dyDescent="0.2">
      <c r="A206" s="153" t="s">
        <v>1194</v>
      </c>
      <c r="B206" s="153">
        <v>17</v>
      </c>
      <c r="C206" s="153" t="s">
        <v>1167</v>
      </c>
      <c r="D206" s="150" t="s">
        <v>1168</v>
      </c>
      <c r="E206" s="145"/>
    </row>
    <row r="207" spans="1:5" s="150" customFormat="1" ht="15" customHeight="1" x14ac:dyDescent="0.2">
      <c r="A207" s="153" t="s">
        <v>1194</v>
      </c>
      <c r="B207" s="153">
        <v>18</v>
      </c>
      <c r="C207" s="153" t="s">
        <v>1195</v>
      </c>
      <c r="D207" s="150" t="s">
        <v>1170</v>
      </c>
      <c r="E207" s="145"/>
    </row>
    <row r="208" spans="1:5" s="150" customFormat="1" ht="15" customHeight="1" x14ac:dyDescent="0.2">
      <c r="A208" s="153" t="s">
        <v>1194</v>
      </c>
      <c r="B208" s="153">
        <v>19</v>
      </c>
      <c r="C208" s="153" t="s">
        <v>1196</v>
      </c>
      <c r="D208" s="150" t="s">
        <v>1197</v>
      </c>
      <c r="E208" s="145"/>
    </row>
    <row r="209" spans="1:5" s="150" customFormat="1" ht="15" customHeight="1" x14ac:dyDescent="0.2">
      <c r="A209" s="153" t="s">
        <v>1194</v>
      </c>
      <c r="B209" s="148">
        <v>20</v>
      </c>
      <c r="C209" s="153" t="s">
        <v>961</v>
      </c>
      <c r="D209" s="153" t="s">
        <v>962</v>
      </c>
      <c r="E209" s="145"/>
    </row>
    <row r="210" spans="1:5" s="150" customFormat="1" ht="15" customHeight="1" x14ac:dyDescent="0.2">
      <c r="A210" s="153" t="s">
        <v>1194</v>
      </c>
      <c r="B210" s="148">
        <v>21</v>
      </c>
      <c r="C210" s="153" t="s">
        <v>963</v>
      </c>
      <c r="D210" s="150" t="s">
        <v>964</v>
      </c>
      <c r="E210" s="145"/>
    </row>
    <row r="211" spans="1:5" s="150" customFormat="1" ht="15" customHeight="1" x14ac:dyDescent="0.2">
      <c r="D211" s="136"/>
      <c r="E211" s="145"/>
    </row>
    <row r="212" spans="1:5" s="150" customFormat="1" ht="15" customHeight="1" x14ac:dyDescent="0.2">
      <c r="A212" s="153" t="s">
        <v>1198</v>
      </c>
      <c r="B212" s="150">
        <v>1</v>
      </c>
      <c r="C212" s="150" t="s">
        <v>1135</v>
      </c>
      <c r="D212" s="150" t="s">
        <v>1136</v>
      </c>
      <c r="E212" s="145"/>
    </row>
    <row r="213" spans="1:5" s="150" customFormat="1" ht="15" customHeight="1" x14ac:dyDescent="0.2">
      <c r="A213" s="153" t="s">
        <v>1198</v>
      </c>
      <c r="B213" s="150">
        <v>2</v>
      </c>
      <c r="C213" s="150" t="s">
        <v>1137</v>
      </c>
      <c r="D213" s="150" t="s">
        <v>1138</v>
      </c>
      <c r="E213" s="145"/>
    </row>
    <row r="214" spans="1:5" s="150" customFormat="1" ht="15" customHeight="1" x14ac:dyDescent="0.2">
      <c r="A214" s="153" t="s">
        <v>1198</v>
      </c>
      <c r="B214" s="150">
        <v>3</v>
      </c>
      <c r="C214" s="150" t="s">
        <v>1139</v>
      </c>
      <c r="D214" s="150" t="s">
        <v>1140</v>
      </c>
      <c r="E214" s="145"/>
    </row>
    <row r="215" spans="1:5" s="150" customFormat="1" ht="15" customHeight="1" x14ac:dyDescent="0.2">
      <c r="A215" s="153" t="s">
        <v>1198</v>
      </c>
      <c r="B215" s="150">
        <v>4</v>
      </c>
      <c r="C215" s="150" t="s">
        <v>1141</v>
      </c>
      <c r="D215" s="150" t="s">
        <v>1142</v>
      </c>
      <c r="E215" s="145"/>
    </row>
    <row r="216" spans="1:5" s="150" customFormat="1" ht="15" customHeight="1" x14ac:dyDescent="0.2">
      <c r="A216" s="153" t="s">
        <v>1198</v>
      </c>
      <c r="B216" s="150">
        <v>5</v>
      </c>
      <c r="C216" s="150" t="s">
        <v>1143</v>
      </c>
      <c r="D216" s="150" t="s">
        <v>1144</v>
      </c>
      <c r="E216" s="145"/>
    </row>
    <row r="217" spans="1:5" s="150" customFormat="1" ht="15" customHeight="1" x14ac:dyDescent="0.2">
      <c r="A217" s="153" t="s">
        <v>1198</v>
      </c>
      <c r="B217" s="150">
        <v>6</v>
      </c>
      <c r="C217" s="150" t="s">
        <v>1145</v>
      </c>
      <c r="D217" s="150" t="s">
        <v>1146</v>
      </c>
      <c r="E217" s="145"/>
    </row>
    <row r="218" spans="1:5" s="150" customFormat="1" ht="15" customHeight="1" x14ac:dyDescent="0.2">
      <c r="A218" s="153" t="s">
        <v>1198</v>
      </c>
      <c r="B218" s="150">
        <v>7</v>
      </c>
      <c r="C218" s="150" t="s">
        <v>1147</v>
      </c>
      <c r="D218" s="150" t="s">
        <v>1148</v>
      </c>
      <c r="E218" s="145"/>
    </row>
    <row r="219" spans="1:5" s="150" customFormat="1" ht="15" customHeight="1" x14ac:dyDescent="0.2">
      <c r="A219" s="153" t="s">
        <v>1198</v>
      </c>
      <c r="B219" s="150">
        <v>8</v>
      </c>
      <c r="C219" s="150" t="s">
        <v>1149</v>
      </c>
      <c r="D219" s="150" t="s">
        <v>1150</v>
      </c>
      <c r="E219" s="145"/>
    </row>
    <row r="220" spans="1:5" s="150" customFormat="1" ht="15" customHeight="1" x14ac:dyDescent="0.2">
      <c r="A220" s="153" t="s">
        <v>1198</v>
      </c>
      <c r="B220" s="150">
        <v>9</v>
      </c>
      <c r="C220" s="150" t="s">
        <v>1151</v>
      </c>
      <c r="D220" s="150" t="s">
        <v>1152</v>
      </c>
      <c r="E220" s="145"/>
    </row>
    <row r="221" spans="1:5" s="150" customFormat="1" ht="15" customHeight="1" x14ac:dyDescent="0.2">
      <c r="A221" s="153" t="s">
        <v>1198</v>
      </c>
      <c r="B221" s="150">
        <v>10</v>
      </c>
      <c r="C221" s="150" t="s">
        <v>1153</v>
      </c>
      <c r="D221" s="150" t="s">
        <v>1154</v>
      </c>
      <c r="E221" s="145"/>
    </row>
    <row r="222" spans="1:5" s="150" customFormat="1" ht="15" customHeight="1" x14ac:dyDescent="0.2">
      <c r="A222" s="153" t="s">
        <v>1198</v>
      </c>
      <c r="B222" s="150">
        <v>11</v>
      </c>
      <c r="C222" s="150" t="s">
        <v>1155</v>
      </c>
      <c r="D222" s="150" t="s">
        <v>1156</v>
      </c>
      <c r="E222" s="145"/>
    </row>
    <row r="223" spans="1:5" s="150" customFormat="1" ht="15" customHeight="1" x14ac:dyDescent="0.2">
      <c r="A223" s="153" t="s">
        <v>1198</v>
      </c>
      <c r="B223" s="150">
        <v>12</v>
      </c>
      <c r="C223" s="150" t="s">
        <v>1157</v>
      </c>
      <c r="D223" s="150" t="s">
        <v>1158</v>
      </c>
      <c r="E223" s="145"/>
    </row>
    <row r="224" spans="1:5" s="150" customFormat="1" ht="15" customHeight="1" x14ac:dyDescent="0.2">
      <c r="A224" s="153" t="s">
        <v>1198</v>
      </c>
      <c r="B224" s="150">
        <v>13</v>
      </c>
      <c r="C224" s="150" t="s">
        <v>1159</v>
      </c>
      <c r="D224" s="150" t="s">
        <v>1160</v>
      </c>
      <c r="E224" s="145"/>
    </row>
    <row r="225" spans="1:5" s="150" customFormat="1" ht="15" customHeight="1" x14ac:dyDescent="0.2">
      <c r="A225" s="153" t="s">
        <v>1198</v>
      </c>
      <c r="B225" s="150">
        <v>14</v>
      </c>
      <c r="C225" s="150" t="s">
        <v>1161</v>
      </c>
      <c r="D225" s="150" t="s">
        <v>1162</v>
      </c>
      <c r="E225" s="145"/>
    </row>
    <row r="226" spans="1:5" s="150" customFormat="1" ht="15" customHeight="1" x14ac:dyDescent="0.2">
      <c r="A226" s="153" t="s">
        <v>1198</v>
      </c>
      <c r="B226" s="153">
        <v>15</v>
      </c>
      <c r="C226" s="153" t="s">
        <v>1163</v>
      </c>
      <c r="D226" s="150" t="s">
        <v>1164</v>
      </c>
      <c r="E226" s="145"/>
    </row>
    <row r="227" spans="1:5" s="150" customFormat="1" ht="15" customHeight="1" x14ac:dyDescent="0.2">
      <c r="A227" s="153" t="s">
        <v>1198</v>
      </c>
      <c r="B227" s="153">
        <v>16</v>
      </c>
      <c r="C227" s="153" t="s">
        <v>1165</v>
      </c>
      <c r="D227" s="150" t="s">
        <v>1166</v>
      </c>
      <c r="E227" s="145"/>
    </row>
    <row r="228" spans="1:5" s="150" customFormat="1" ht="15" customHeight="1" x14ac:dyDescent="0.2">
      <c r="A228" s="153" t="s">
        <v>1198</v>
      </c>
      <c r="B228" s="153">
        <v>17</v>
      </c>
      <c r="C228" s="153" t="s">
        <v>1167</v>
      </c>
      <c r="D228" s="150" t="s">
        <v>1168</v>
      </c>
      <c r="E228" s="145"/>
    </row>
    <row r="229" spans="1:5" s="150" customFormat="1" ht="15" customHeight="1" x14ac:dyDescent="0.2">
      <c r="A229" s="153" t="s">
        <v>1198</v>
      </c>
      <c r="B229" s="153">
        <v>18</v>
      </c>
      <c r="C229" s="153" t="s">
        <v>1199</v>
      </c>
      <c r="D229" s="150" t="s">
        <v>1170</v>
      </c>
      <c r="E229" s="145"/>
    </row>
    <row r="230" spans="1:5" s="150" customFormat="1" ht="15" customHeight="1" x14ac:dyDescent="0.2">
      <c r="A230" s="153" t="s">
        <v>1198</v>
      </c>
      <c r="B230" s="153">
        <v>19</v>
      </c>
      <c r="C230" s="153" t="s">
        <v>1200</v>
      </c>
      <c r="D230" s="150" t="s">
        <v>1201</v>
      </c>
      <c r="E230" s="145"/>
    </row>
    <row r="231" spans="1:5" s="150" customFormat="1" ht="15" customHeight="1" x14ac:dyDescent="0.2">
      <c r="A231" s="153" t="s">
        <v>1198</v>
      </c>
      <c r="B231" s="148">
        <v>20</v>
      </c>
      <c r="C231" s="153" t="s">
        <v>961</v>
      </c>
      <c r="D231" s="153" t="s">
        <v>962</v>
      </c>
      <c r="E231" s="145"/>
    </row>
    <row r="232" spans="1:5" s="150" customFormat="1" ht="15" customHeight="1" x14ac:dyDescent="0.2">
      <c r="A232" s="153" t="s">
        <v>1198</v>
      </c>
      <c r="B232" s="148">
        <v>21</v>
      </c>
      <c r="C232" s="153" t="s">
        <v>963</v>
      </c>
      <c r="D232" s="150" t="s">
        <v>964</v>
      </c>
      <c r="E232" s="145"/>
    </row>
    <row r="233" spans="1:5" s="156" customFormat="1" ht="15" customHeight="1" x14ac:dyDescent="0.2">
      <c r="D233" s="136"/>
      <c r="E233" s="157"/>
    </row>
    <row r="234" spans="1:5" x14ac:dyDescent="0.15">
      <c r="A234" s="136" t="s">
        <v>328</v>
      </c>
      <c r="B234" s="136" t="s">
        <v>1202</v>
      </c>
      <c r="C234" s="136" t="s">
        <v>1203</v>
      </c>
      <c r="D234" s="136" t="s">
        <v>1204</v>
      </c>
      <c r="E234" s="146"/>
    </row>
    <row r="235" spans="1:5" x14ac:dyDescent="0.15">
      <c r="A235" s="136" t="s">
        <v>328</v>
      </c>
      <c r="B235" s="136" t="s">
        <v>1205</v>
      </c>
      <c r="C235" s="136" t="s">
        <v>1206</v>
      </c>
      <c r="D235" s="136" t="s">
        <v>1207</v>
      </c>
      <c r="E235" s="146"/>
    </row>
    <row r="236" spans="1:5" x14ac:dyDescent="0.15">
      <c r="A236" s="136" t="s">
        <v>328</v>
      </c>
      <c r="B236" s="136" t="s">
        <v>1208</v>
      </c>
      <c r="C236" s="136" t="s">
        <v>1209</v>
      </c>
      <c r="D236" s="136" t="s">
        <v>1210</v>
      </c>
      <c r="E236" s="146"/>
    </row>
    <row r="237" spans="1:5" x14ac:dyDescent="0.15">
      <c r="A237" s="136" t="s">
        <v>328</v>
      </c>
      <c r="B237" s="136" t="s">
        <v>1211</v>
      </c>
      <c r="C237" s="136" t="s">
        <v>1212</v>
      </c>
      <c r="D237" s="136" t="s">
        <v>1213</v>
      </c>
      <c r="E237" s="146"/>
    </row>
    <row r="238" spans="1:5" x14ac:dyDescent="0.15">
      <c r="A238" s="136" t="s">
        <v>328</v>
      </c>
      <c r="B238" s="136" t="s">
        <v>1214</v>
      </c>
      <c r="C238" s="136" t="s">
        <v>1215</v>
      </c>
      <c r="D238" s="136" t="s">
        <v>1216</v>
      </c>
      <c r="E238" s="146"/>
    </row>
    <row r="239" spans="1:5" x14ac:dyDescent="0.15">
      <c r="A239" s="136" t="s">
        <v>328</v>
      </c>
      <c r="B239" s="136" t="s">
        <v>1217</v>
      </c>
      <c r="C239" s="136" t="s">
        <v>1218</v>
      </c>
      <c r="D239" s="136" t="s">
        <v>1219</v>
      </c>
      <c r="E239" s="146"/>
    </row>
    <row r="240" spans="1:5" x14ac:dyDescent="0.15">
      <c r="A240" s="136" t="s">
        <v>328</v>
      </c>
      <c r="B240" s="136" t="s">
        <v>1220</v>
      </c>
      <c r="C240" s="136" t="s">
        <v>1221</v>
      </c>
      <c r="D240" s="136" t="s">
        <v>1222</v>
      </c>
      <c r="E240" s="146"/>
    </row>
    <row r="241" spans="1:5" x14ac:dyDescent="0.15">
      <c r="A241" s="136" t="s">
        <v>328</v>
      </c>
      <c r="B241" s="136" t="s">
        <v>1223</v>
      </c>
      <c r="C241" s="136" t="s">
        <v>1224</v>
      </c>
      <c r="D241" s="136" t="s">
        <v>1225</v>
      </c>
      <c r="E241" s="146"/>
    </row>
    <row r="242" spans="1:5" x14ac:dyDescent="0.15">
      <c r="A242" s="136" t="s">
        <v>328</v>
      </c>
      <c r="B242" s="136" t="s">
        <v>1226</v>
      </c>
      <c r="C242" s="136" t="s">
        <v>1227</v>
      </c>
      <c r="D242" s="136" t="s">
        <v>1228</v>
      </c>
      <c r="E242" s="146"/>
    </row>
    <row r="243" spans="1:5" x14ac:dyDescent="0.15">
      <c r="A243" s="136" t="s">
        <v>328</v>
      </c>
      <c r="B243" s="136" t="s">
        <v>1229</v>
      </c>
      <c r="C243" s="136" t="s">
        <v>1230</v>
      </c>
      <c r="D243" s="136" t="s">
        <v>1231</v>
      </c>
      <c r="E243" s="146"/>
    </row>
    <row r="244" spans="1:5" x14ac:dyDescent="0.15">
      <c r="A244" s="136" t="s">
        <v>328</v>
      </c>
      <c r="B244" s="136" t="s">
        <v>1232</v>
      </c>
      <c r="C244" s="136" t="s">
        <v>1233</v>
      </c>
      <c r="D244" s="136" t="s">
        <v>1234</v>
      </c>
      <c r="E244" s="146"/>
    </row>
    <row r="245" spans="1:5" x14ac:dyDescent="0.15">
      <c r="A245" s="136" t="s">
        <v>328</v>
      </c>
      <c r="B245" s="136" t="s">
        <v>1235</v>
      </c>
      <c r="C245" s="136" t="s">
        <v>1236</v>
      </c>
      <c r="D245" s="136" t="s">
        <v>1237</v>
      </c>
      <c r="E245" s="146"/>
    </row>
    <row r="246" spans="1:5" x14ac:dyDescent="0.15">
      <c r="A246" s="136" t="s">
        <v>328</v>
      </c>
      <c r="B246" s="136" t="s">
        <v>1238</v>
      </c>
      <c r="C246" s="136" t="s">
        <v>1239</v>
      </c>
      <c r="D246" s="136" t="s">
        <v>1240</v>
      </c>
      <c r="E246" s="146"/>
    </row>
    <row r="247" spans="1:5" x14ac:dyDescent="0.15">
      <c r="A247" s="136" t="s">
        <v>328</v>
      </c>
      <c r="B247" s="136" t="s">
        <v>1241</v>
      </c>
      <c r="C247" s="136" t="s">
        <v>1242</v>
      </c>
      <c r="D247" s="136" t="s">
        <v>1243</v>
      </c>
      <c r="E247" s="146"/>
    </row>
    <row r="248" spans="1:5" x14ac:dyDescent="0.15">
      <c r="A248" s="136" t="s">
        <v>328</v>
      </c>
      <c r="B248" s="136" t="s">
        <v>1244</v>
      </c>
      <c r="C248" s="136" t="s">
        <v>1245</v>
      </c>
      <c r="D248" s="136" t="s">
        <v>1246</v>
      </c>
      <c r="E248" s="146"/>
    </row>
    <row r="249" spans="1:5" x14ac:dyDescent="0.15">
      <c r="A249" s="136" t="s">
        <v>328</v>
      </c>
      <c r="B249" s="136" t="s">
        <v>1247</v>
      </c>
      <c r="C249" s="136" t="s">
        <v>1248</v>
      </c>
      <c r="D249" s="136" t="s">
        <v>1249</v>
      </c>
      <c r="E249" s="146"/>
    </row>
    <row r="250" spans="1:5" x14ac:dyDescent="0.15">
      <c r="A250" s="136" t="s">
        <v>328</v>
      </c>
      <c r="B250" s="136" t="s">
        <v>1250</v>
      </c>
      <c r="C250" s="136" t="s">
        <v>1251</v>
      </c>
      <c r="D250" s="136" t="s">
        <v>1252</v>
      </c>
      <c r="E250" s="146"/>
    </row>
    <row r="251" spans="1:5" x14ac:dyDescent="0.15">
      <c r="A251" s="136" t="s">
        <v>328</v>
      </c>
      <c r="B251" s="136" t="s">
        <v>1253</v>
      </c>
      <c r="C251" s="136" t="s">
        <v>1254</v>
      </c>
      <c r="D251" s="136" t="s">
        <v>1255</v>
      </c>
      <c r="E251" s="146"/>
    </row>
    <row r="252" spans="1:5" x14ac:dyDescent="0.15">
      <c r="A252" s="136" t="s">
        <v>328</v>
      </c>
      <c r="B252" s="136" t="s">
        <v>1256</v>
      </c>
      <c r="C252" s="136" t="s">
        <v>1257</v>
      </c>
      <c r="D252" s="136" t="s">
        <v>1258</v>
      </c>
      <c r="E252" s="146"/>
    </row>
    <row r="253" spans="1:5" x14ac:dyDescent="0.15">
      <c r="A253" s="136" t="s">
        <v>328</v>
      </c>
      <c r="B253" s="136" t="s">
        <v>1259</v>
      </c>
      <c r="C253" s="136" t="s">
        <v>1260</v>
      </c>
      <c r="D253" s="136" t="s">
        <v>1261</v>
      </c>
      <c r="E253" s="146"/>
    </row>
    <row r="254" spans="1:5" x14ac:dyDescent="0.15">
      <c r="A254" s="136" t="s">
        <v>328</v>
      </c>
      <c r="B254" s="136" t="s">
        <v>1262</v>
      </c>
      <c r="C254" s="136" t="s">
        <v>1263</v>
      </c>
      <c r="D254" s="136" t="s">
        <v>1264</v>
      </c>
      <c r="E254" s="146"/>
    </row>
    <row r="255" spans="1:5" x14ac:dyDescent="0.15">
      <c r="A255" s="136" t="s">
        <v>328</v>
      </c>
      <c r="B255" s="136" t="s">
        <v>1265</v>
      </c>
      <c r="C255" s="136" t="s">
        <v>1266</v>
      </c>
      <c r="D255" s="136" t="s">
        <v>1267</v>
      </c>
      <c r="E255" s="146"/>
    </row>
    <row r="256" spans="1:5" x14ac:dyDescent="0.15">
      <c r="A256" s="136" t="s">
        <v>328</v>
      </c>
      <c r="B256" s="136" t="s">
        <v>1268</v>
      </c>
      <c r="C256" s="136" t="s">
        <v>1269</v>
      </c>
      <c r="D256" s="136" t="s">
        <v>1270</v>
      </c>
      <c r="E256" s="146"/>
    </row>
    <row r="257" spans="1:5" x14ac:dyDescent="0.15">
      <c r="A257" s="136" t="s">
        <v>328</v>
      </c>
      <c r="B257" s="136" t="s">
        <v>1271</v>
      </c>
      <c r="C257" s="136" t="s">
        <v>1272</v>
      </c>
      <c r="D257" s="136" t="s">
        <v>1273</v>
      </c>
      <c r="E257" s="146"/>
    </row>
    <row r="258" spans="1:5" x14ac:dyDescent="0.15">
      <c r="A258" s="136" t="s">
        <v>328</v>
      </c>
      <c r="B258" s="136" t="s">
        <v>1274</v>
      </c>
      <c r="C258" s="136" t="s">
        <v>1275</v>
      </c>
      <c r="D258" s="136" t="s">
        <v>1276</v>
      </c>
      <c r="E258" s="146"/>
    </row>
    <row r="259" spans="1:5" x14ac:dyDescent="0.15">
      <c r="A259" s="136" t="s">
        <v>328</v>
      </c>
      <c r="B259" s="136" t="s">
        <v>1084</v>
      </c>
      <c r="C259" s="136" t="s">
        <v>961</v>
      </c>
      <c r="D259" s="136" t="s">
        <v>962</v>
      </c>
      <c r="E259" s="146"/>
    </row>
    <row r="260" spans="1:5" x14ac:dyDescent="0.15">
      <c r="A260" s="136" t="s">
        <v>328</v>
      </c>
      <c r="B260" s="136" t="s">
        <v>1085</v>
      </c>
      <c r="C260" s="136" t="s">
        <v>963</v>
      </c>
      <c r="D260" s="136" t="s">
        <v>964</v>
      </c>
      <c r="E260" s="146"/>
    </row>
    <row r="261" spans="1:5" x14ac:dyDescent="0.15">
      <c r="E261" s="146"/>
    </row>
    <row r="262" spans="1:5" x14ac:dyDescent="0.15">
      <c r="A262" s="136" t="s">
        <v>1277</v>
      </c>
      <c r="B262" s="136" t="s">
        <v>1278</v>
      </c>
      <c r="C262" s="136" t="s">
        <v>1279</v>
      </c>
      <c r="D262" s="136" t="s">
        <v>1280</v>
      </c>
      <c r="E262" s="146"/>
    </row>
    <row r="263" spans="1:5" x14ac:dyDescent="0.15">
      <c r="A263" s="136" t="s">
        <v>1277</v>
      </c>
      <c r="B263" s="136" t="s">
        <v>1281</v>
      </c>
      <c r="C263" s="136" t="s">
        <v>1282</v>
      </c>
      <c r="D263" s="136" t="s">
        <v>1283</v>
      </c>
      <c r="E263" s="146"/>
    </row>
    <row r="264" spans="1:5" x14ac:dyDescent="0.15">
      <c r="A264" s="136" t="s">
        <v>1277</v>
      </c>
      <c r="B264" s="136" t="s">
        <v>1284</v>
      </c>
      <c r="C264" s="136" t="s">
        <v>1285</v>
      </c>
      <c r="D264" s="136" t="s">
        <v>1286</v>
      </c>
      <c r="E264" s="146"/>
    </row>
    <row r="265" spans="1:5" x14ac:dyDescent="0.15">
      <c r="A265" s="136" t="s">
        <v>1277</v>
      </c>
      <c r="B265" s="136" t="s">
        <v>1287</v>
      </c>
      <c r="C265" s="136" t="s">
        <v>1288</v>
      </c>
      <c r="D265" s="136" t="s">
        <v>1289</v>
      </c>
      <c r="E265" s="146"/>
    </row>
    <row r="266" spans="1:5" x14ac:dyDescent="0.15">
      <c r="A266" s="136" t="s">
        <v>1277</v>
      </c>
      <c r="B266" s="136" t="s">
        <v>1290</v>
      </c>
      <c r="C266" s="136" t="s">
        <v>1291</v>
      </c>
      <c r="D266" s="136" t="s">
        <v>1292</v>
      </c>
      <c r="E266" s="146"/>
    </row>
    <row r="267" spans="1:5" x14ac:dyDescent="0.15">
      <c r="A267" s="136" t="s">
        <v>1277</v>
      </c>
      <c r="B267" s="136" t="s">
        <v>1293</v>
      </c>
      <c r="C267" s="136" t="s">
        <v>1294</v>
      </c>
      <c r="D267" s="136" t="s">
        <v>1295</v>
      </c>
      <c r="E267" s="146"/>
    </row>
    <row r="268" spans="1:5" x14ac:dyDescent="0.15">
      <c r="A268" s="136" t="s">
        <v>1277</v>
      </c>
      <c r="B268" s="136" t="s">
        <v>1296</v>
      </c>
      <c r="C268" s="136" t="s">
        <v>1297</v>
      </c>
      <c r="D268" s="136" t="s">
        <v>1298</v>
      </c>
      <c r="E268" s="146"/>
    </row>
    <row r="269" spans="1:5" x14ac:dyDescent="0.15">
      <c r="A269" s="136" t="s">
        <v>1277</v>
      </c>
      <c r="B269" s="136" t="s">
        <v>1299</v>
      </c>
      <c r="C269" s="136" t="s">
        <v>1300</v>
      </c>
      <c r="D269" s="136" t="s">
        <v>1301</v>
      </c>
      <c r="E269" s="146"/>
    </row>
    <row r="270" spans="1:5" x14ac:dyDescent="0.15">
      <c r="A270" s="136" t="s">
        <v>1277</v>
      </c>
      <c r="B270" s="136" t="s">
        <v>1078</v>
      </c>
      <c r="C270" s="136" t="s">
        <v>1302</v>
      </c>
      <c r="D270" s="136" t="s">
        <v>1303</v>
      </c>
      <c r="E270" s="146"/>
    </row>
    <row r="271" spans="1:5" x14ac:dyDescent="0.15">
      <c r="A271" s="136" t="s">
        <v>1277</v>
      </c>
      <c r="B271" s="136" t="s">
        <v>1081</v>
      </c>
      <c r="C271" s="136" t="s">
        <v>1304</v>
      </c>
      <c r="D271" s="136" t="s">
        <v>1305</v>
      </c>
      <c r="E271" s="146"/>
    </row>
    <row r="272" spans="1:5" x14ac:dyDescent="0.15">
      <c r="A272" s="136" t="s">
        <v>1277</v>
      </c>
      <c r="B272" s="136" t="s">
        <v>1084</v>
      </c>
      <c r="C272" s="136" t="s">
        <v>961</v>
      </c>
      <c r="D272" s="136" t="s">
        <v>962</v>
      </c>
      <c r="E272" s="146"/>
    </row>
    <row r="273" spans="1:5" x14ac:dyDescent="0.15">
      <c r="A273" s="136" t="s">
        <v>1277</v>
      </c>
      <c r="B273" s="136" t="s">
        <v>1085</v>
      </c>
      <c r="C273" s="136" t="s">
        <v>963</v>
      </c>
      <c r="D273" s="136" t="s">
        <v>964</v>
      </c>
      <c r="E273" s="146"/>
    </row>
    <row r="274" spans="1:5" x14ac:dyDescent="0.15">
      <c r="E274" s="146"/>
    </row>
    <row r="275" spans="1:5" s="140" customFormat="1" ht="15" customHeight="1" x14ac:dyDescent="0.2">
      <c r="A275" s="153" t="s">
        <v>1306</v>
      </c>
      <c r="B275" s="153">
        <v>1</v>
      </c>
      <c r="C275" s="153" t="s">
        <v>1307</v>
      </c>
      <c r="D275" s="153" t="s">
        <v>1307</v>
      </c>
      <c r="E275" s="142"/>
    </row>
    <row r="276" spans="1:5" s="140" customFormat="1" ht="15" customHeight="1" x14ac:dyDescent="0.2">
      <c r="A276" s="153" t="s">
        <v>1306</v>
      </c>
      <c r="B276" s="153">
        <v>2</v>
      </c>
      <c r="C276" s="153" t="s">
        <v>1308</v>
      </c>
      <c r="D276" s="153" t="s">
        <v>1309</v>
      </c>
      <c r="E276" s="142"/>
    </row>
    <row r="277" spans="1:5" s="140" customFormat="1" ht="15" customHeight="1" x14ac:dyDescent="0.2">
      <c r="A277" s="153" t="s">
        <v>1306</v>
      </c>
      <c r="B277" s="153">
        <v>3</v>
      </c>
      <c r="C277" s="153" t="s">
        <v>1310</v>
      </c>
      <c r="D277" s="153" t="s">
        <v>1311</v>
      </c>
      <c r="E277" s="142"/>
    </row>
    <row r="278" spans="1:5" s="140" customFormat="1" ht="15" customHeight="1" x14ac:dyDescent="0.2">
      <c r="A278" s="153" t="s">
        <v>1306</v>
      </c>
      <c r="B278" s="153">
        <v>4</v>
      </c>
      <c r="C278" s="153" t="s">
        <v>1312</v>
      </c>
      <c r="D278" s="153" t="s">
        <v>1313</v>
      </c>
      <c r="E278" s="142"/>
    </row>
    <row r="279" spans="1:5" s="140" customFormat="1" ht="15" customHeight="1" x14ac:dyDescent="0.2">
      <c r="A279" s="153" t="s">
        <v>1306</v>
      </c>
      <c r="B279" s="153">
        <v>5</v>
      </c>
      <c r="C279" s="158" t="s">
        <v>1314</v>
      </c>
      <c r="D279" s="158" t="s">
        <v>1315</v>
      </c>
      <c r="E279" s="142"/>
    </row>
    <row r="280" spans="1:5" s="140" customFormat="1" ht="15" customHeight="1" x14ac:dyDescent="0.2">
      <c r="D280" s="159"/>
      <c r="E280" s="142"/>
    </row>
    <row r="281" spans="1:5" s="150" customFormat="1" ht="15" customHeight="1" x14ac:dyDescent="0.2">
      <c r="A281" s="153" t="s">
        <v>1316</v>
      </c>
      <c r="B281" s="153">
        <v>1</v>
      </c>
      <c r="C281" s="153" t="s">
        <v>1317</v>
      </c>
      <c r="D281" s="153" t="s">
        <v>1318</v>
      </c>
      <c r="E281" s="145"/>
    </row>
    <row r="282" spans="1:5" s="150" customFormat="1" ht="15" customHeight="1" x14ac:dyDescent="0.2">
      <c r="A282" s="153" t="s">
        <v>1316</v>
      </c>
      <c r="B282" s="153">
        <v>2</v>
      </c>
      <c r="C282" s="153" t="s">
        <v>1319</v>
      </c>
      <c r="D282" s="153" t="s">
        <v>1320</v>
      </c>
      <c r="E282" s="145"/>
    </row>
    <row r="283" spans="1:5" s="140" customFormat="1" ht="15" customHeight="1" x14ac:dyDescent="0.2">
      <c r="D283" s="150"/>
      <c r="E283" s="142"/>
    </row>
    <row r="284" spans="1:5" s="140" customFormat="1" ht="15" customHeight="1" x14ac:dyDescent="0.2">
      <c r="A284" s="153" t="s">
        <v>1321</v>
      </c>
      <c r="B284" s="153">
        <v>1</v>
      </c>
      <c r="C284" s="153" t="s">
        <v>1322</v>
      </c>
      <c r="D284" s="153" t="s">
        <v>1323</v>
      </c>
      <c r="E284" s="142"/>
    </row>
    <row r="285" spans="1:5" s="140" customFormat="1" ht="15" customHeight="1" x14ac:dyDescent="0.2">
      <c r="A285" s="153" t="s">
        <v>1321</v>
      </c>
      <c r="B285" s="153">
        <v>2</v>
      </c>
      <c r="C285" s="153" t="s">
        <v>1324</v>
      </c>
      <c r="D285" s="153" t="s">
        <v>1325</v>
      </c>
      <c r="E285" s="142"/>
    </row>
    <row r="286" spans="1:5" s="140" customFormat="1" ht="15" customHeight="1" x14ac:dyDescent="0.2">
      <c r="A286" s="153" t="s">
        <v>1321</v>
      </c>
      <c r="B286" s="153">
        <v>3</v>
      </c>
      <c r="C286" s="153" t="s">
        <v>1326</v>
      </c>
      <c r="D286" s="153" t="s">
        <v>1327</v>
      </c>
      <c r="E286" s="142"/>
    </row>
    <row r="287" spans="1:5" s="140" customFormat="1" ht="15" customHeight="1" x14ac:dyDescent="0.2">
      <c r="A287" s="153" t="s">
        <v>1321</v>
      </c>
      <c r="B287" s="153">
        <v>4</v>
      </c>
      <c r="C287" s="153" t="s">
        <v>1328</v>
      </c>
      <c r="D287" s="153" t="s">
        <v>1329</v>
      </c>
      <c r="E287" s="142"/>
    </row>
    <row r="288" spans="1:5" s="140" customFormat="1" ht="15" customHeight="1" x14ac:dyDescent="0.2">
      <c r="A288" s="153" t="s">
        <v>1321</v>
      </c>
      <c r="B288" s="153">
        <v>5</v>
      </c>
      <c r="C288" s="153" t="s">
        <v>1330</v>
      </c>
      <c r="D288" s="153" t="s">
        <v>1331</v>
      </c>
      <c r="E288" s="142"/>
    </row>
    <row r="289" spans="1:6" s="140" customFormat="1" ht="15" customHeight="1" x14ac:dyDescent="0.2">
      <c r="A289" s="153" t="s">
        <v>1321</v>
      </c>
      <c r="B289" s="153">
        <v>6</v>
      </c>
      <c r="C289" s="153" t="s">
        <v>1302</v>
      </c>
      <c r="D289" s="153" t="s">
        <v>1303</v>
      </c>
      <c r="E289" s="142"/>
    </row>
    <row r="290" spans="1:6" s="140" customFormat="1" ht="15" customHeight="1" x14ac:dyDescent="0.2">
      <c r="A290" s="153" t="s">
        <v>1321</v>
      </c>
      <c r="B290" s="153">
        <v>7</v>
      </c>
      <c r="C290" s="153" t="s">
        <v>961</v>
      </c>
      <c r="D290" s="153" t="s">
        <v>962</v>
      </c>
      <c r="E290" s="142"/>
    </row>
    <row r="291" spans="1:6" s="140" customFormat="1" ht="15" customHeight="1" x14ac:dyDescent="0.2">
      <c r="A291" s="153" t="s">
        <v>1321</v>
      </c>
      <c r="B291" s="153">
        <v>8</v>
      </c>
      <c r="C291" s="153" t="s">
        <v>963</v>
      </c>
      <c r="D291" s="153" t="s">
        <v>964</v>
      </c>
      <c r="E291" s="142"/>
    </row>
    <row r="292" spans="1:6" ht="15" customHeight="1" x14ac:dyDescent="0.2">
      <c r="D292" s="150"/>
      <c r="E292" s="146"/>
    </row>
    <row r="293" spans="1:6" s="140" customFormat="1" ht="15" customHeight="1" x14ac:dyDescent="0.2">
      <c r="A293" s="155" t="s">
        <v>1332</v>
      </c>
      <c r="B293" s="155">
        <v>1</v>
      </c>
      <c r="C293" s="155" t="s">
        <v>1333</v>
      </c>
      <c r="D293" s="155" t="s">
        <v>1334</v>
      </c>
      <c r="E293" s="142"/>
    </row>
    <row r="294" spans="1:6" s="140" customFormat="1" ht="15" customHeight="1" x14ac:dyDescent="0.2">
      <c r="A294" s="155" t="s">
        <v>1332</v>
      </c>
      <c r="B294" s="155">
        <v>2</v>
      </c>
      <c r="C294" s="155" t="s">
        <v>1335</v>
      </c>
      <c r="D294" s="155" t="s">
        <v>1336</v>
      </c>
      <c r="E294" s="142"/>
    </row>
    <row r="295" spans="1:6" s="140" customFormat="1" ht="15" customHeight="1" x14ac:dyDescent="0.2">
      <c r="A295" s="155" t="s">
        <v>1332</v>
      </c>
      <c r="B295" s="155">
        <v>3</v>
      </c>
      <c r="C295" s="155" t="s">
        <v>1337</v>
      </c>
      <c r="D295" s="155" t="s">
        <v>1338</v>
      </c>
      <c r="E295" s="142"/>
    </row>
    <row r="296" spans="1:6" s="140" customFormat="1" ht="15" customHeight="1" x14ac:dyDescent="0.2">
      <c r="A296" s="155" t="s">
        <v>1332</v>
      </c>
      <c r="B296" s="155">
        <v>4</v>
      </c>
      <c r="C296" s="155" t="s">
        <v>1339</v>
      </c>
      <c r="D296" s="155" t="s">
        <v>1340</v>
      </c>
      <c r="E296" s="142"/>
    </row>
    <row r="297" spans="1:6" s="140" customFormat="1" ht="15" customHeight="1" x14ac:dyDescent="0.2">
      <c r="A297" s="155" t="s">
        <v>1332</v>
      </c>
      <c r="B297" s="155">
        <v>5</v>
      </c>
      <c r="C297" s="155" t="s">
        <v>1341</v>
      </c>
      <c r="D297" s="155" t="s">
        <v>1342</v>
      </c>
      <c r="E297" s="142"/>
    </row>
    <row r="298" spans="1:6" s="140" customFormat="1" ht="15" customHeight="1" x14ac:dyDescent="0.2">
      <c r="A298" s="155" t="s">
        <v>1332</v>
      </c>
      <c r="B298" s="155">
        <v>6</v>
      </c>
      <c r="C298" s="155" t="s">
        <v>961</v>
      </c>
      <c r="D298" s="155" t="s">
        <v>962</v>
      </c>
      <c r="E298" s="142"/>
    </row>
    <row r="299" spans="1:6" s="140" customFormat="1" ht="15" customHeight="1" x14ac:dyDescent="0.2">
      <c r="A299" s="155" t="s">
        <v>1332</v>
      </c>
      <c r="B299" s="155">
        <v>7</v>
      </c>
      <c r="C299" s="155" t="s">
        <v>963</v>
      </c>
      <c r="D299" s="155" t="s">
        <v>1343</v>
      </c>
      <c r="E299" s="142"/>
    </row>
    <row r="300" spans="1:6" ht="15" customHeight="1" x14ac:dyDescent="0.2">
      <c r="E300" s="146"/>
      <c r="F300" s="140"/>
    </row>
    <row r="301" spans="1:6" s="140" customFormat="1" ht="15" customHeight="1" x14ac:dyDescent="0.2">
      <c r="A301" s="155" t="s">
        <v>1344</v>
      </c>
      <c r="B301" s="155" t="s">
        <v>1345</v>
      </c>
      <c r="C301" s="155" t="s">
        <v>1346</v>
      </c>
      <c r="D301" s="155" t="s">
        <v>1347</v>
      </c>
      <c r="E301" s="142"/>
    </row>
    <row r="302" spans="1:6" s="140" customFormat="1" ht="15" customHeight="1" x14ac:dyDescent="0.2">
      <c r="A302" s="155" t="s">
        <v>1344</v>
      </c>
      <c r="B302" s="155" t="s">
        <v>1348</v>
      </c>
      <c r="C302" s="155" t="s">
        <v>1349</v>
      </c>
      <c r="D302" s="155" t="s">
        <v>1350</v>
      </c>
      <c r="E302" s="142"/>
    </row>
    <row r="303" spans="1:6" s="140" customFormat="1" ht="15" customHeight="1" x14ac:dyDescent="0.2">
      <c r="A303" s="155" t="s">
        <v>1344</v>
      </c>
      <c r="B303" s="155" t="s">
        <v>1351</v>
      </c>
      <c r="C303" s="155" t="s">
        <v>1352</v>
      </c>
      <c r="D303" s="155" t="s">
        <v>1353</v>
      </c>
      <c r="E303" s="142"/>
    </row>
    <row r="304" spans="1:6" s="140" customFormat="1" ht="15" customHeight="1" x14ac:dyDescent="0.2">
      <c r="A304" s="155" t="s">
        <v>1344</v>
      </c>
      <c r="B304" s="155" t="s">
        <v>1354</v>
      </c>
      <c r="C304" s="155" t="s">
        <v>1355</v>
      </c>
      <c r="D304" s="155" t="s">
        <v>1356</v>
      </c>
      <c r="E304" s="142"/>
    </row>
    <row r="305" spans="1:5" s="140" customFormat="1" ht="15" customHeight="1" x14ac:dyDescent="0.2">
      <c r="A305" s="155" t="s">
        <v>1344</v>
      </c>
      <c r="B305" s="155" t="s">
        <v>1357</v>
      </c>
      <c r="C305" s="155" t="s">
        <v>1358</v>
      </c>
      <c r="D305" s="155" t="s">
        <v>1359</v>
      </c>
      <c r="E305" s="142"/>
    </row>
    <row r="306" spans="1:5" s="140" customFormat="1" ht="15" customHeight="1" x14ac:dyDescent="0.2">
      <c r="A306" s="155" t="s">
        <v>1344</v>
      </c>
      <c r="B306" s="155" t="s">
        <v>1360</v>
      </c>
      <c r="C306" s="155" t="s">
        <v>1361</v>
      </c>
      <c r="D306" s="155" t="s">
        <v>1362</v>
      </c>
      <c r="E306" s="142"/>
    </row>
    <row r="307" spans="1:5" s="140" customFormat="1" ht="15" customHeight="1" x14ac:dyDescent="0.2">
      <c r="A307" s="155" t="s">
        <v>1344</v>
      </c>
      <c r="B307" s="155" t="s">
        <v>1363</v>
      </c>
      <c r="C307" s="155" t="s">
        <v>1364</v>
      </c>
      <c r="D307" s="155" t="s">
        <v>1365</v>
      </c>
      <c r="E307" s="142"/>
    </row>
    <row r="308" spans="1:5" s="140" customFormat="1" ht="15" customHeight="1" x14ac:dyDescent="0.2">
      <c r="A308" s="155" t="s">
        <v>1344</v>
      </c>
      <c r="B308" s="155" t="s">
        <v>1078</v>
      </c>
      <c r="C308" s="155" t="s">
        <v>1366</v>
      </c>
      <c r="D308" s="155" t="s">
        <v>1367</v>
      </c>
      <c r="E308" s="142"/>
    </row>
    <row r="309" spans="1:5" s="140" customFormat="1" ht="15" customHeight="1" x14ac:dyDescent="0.2">
      <c r="A309" s="155" t="s">
        <v>1344</v>
      </c>
      <c r="B309" s="155" t="s">
        <v>1084</v>
      </c>
      <c r="C309" s="155" t="s">
        <v>961</v>
      </c>
      <c r="D309" s="155" t="s">
        <v>962</v>
      </c>
      <c r="E309" s="142"/>
    </row>
    <row r="310" spans="1:5" s="140" customFormat="1" ht="15" customHeight="1" x14ac:dyDescent="0.2">
      <c r="A310" s="155" t="s">
        <v>1344</v>
      </c>
      <c r="B310" s="155" t="s">
        <v>1085</v>
      </c>
      <c r="C310" s="155" t="s">
        <v>963</v>
      </c>
      <c r="D310" s="155" t="s">
        <v>964</v>
      </c>
      <c r="E310" s="142"/>
    </row>
    <row r="311" spans="1:5" ht="15" customHeight="1" x14ac:dyDescent="0.2">
      <c r="D311" s="140"/>
      <c r="E311" s="146"/>
    </row>
    <row r="312" spans="1:5" ht="15" customHeight="1" x14ac:dyDescent="0.2">
      <c r="A312" s="155" t="s">
        <v>1368</v>
      </c>
      <c r="B312" s="155">
        <v>1</v>
      </c>
      <c r="C312" s="155" t="s">
        <v>1369</v>
      </c>
      <c r="D312" s="155" t="s">
        <v>1370</v>
      </c>
      <c r="E312" s="146"/>
    </row>
    <row r="313" spans="1:5" ht="15" customHeight="1" x14ac:dyDescent="0.2">
      <c r="A313" s="155" t="s">
        <v>1368</v>
      </c>
      <c r="B313" s="155">
        <v>2</v>
      </c>
      <c r="C313" s="155" t="s">
        <v>1371</v>
      </c>
      <c r="D313" s="155" t="s">
        <v>1372</v>
      </c>
      <c r="E313" s="146"/>
    </row>
    <row r="314" spans="1:5" ht="15" customHeight="1" x14ac:dyDescent="0.2">
      <c r="A314" s="155" t="s">
        <v>1368</v>
      </c>
      <c r="B314" s="155">
        <v>3</v>
      </c>
      <c r="C314" s="155" t="s">
        <v>1373</v>
      </c>
      <c r="D314" s="155" t="s">
        <v>1374</v>
      </c>
      <c r="E314" s="146"/>
    </row>
    <row r="315" spans="1:5" ht="15" customHeight="1" x14ac:dyDescent="0.2">
      <c r="A315" s="155" t="s">
        <v>1368</v>
      </c>
      <c r="B315" s="155">
        <v>4</v>
      </c>
      <c r="C315" s="155" t="s">
        <v>1375</v>
      </c>
      <c r="D315" s="155" t="s">
        <v>1376</v>
      </c>
      <c r="E315" s="146"/>
    </row>
    <row r="316" spans="1:5" ht="15" customHeight="1" x14ac:dyDescent="0.2">
      <c r="A316" s="155" t="s">
        <v>1368</v>
      </c>
      <c r="B316" s="155">
        <v>5</v>
      </c>
      <c r="C316" s="155" t="s">
        <v>1377</v>
      </c>
      <c r="D316" s="155" t="s">
        <v>1378</v>
      </c>
      <c r="E316" s="146"/>
    </row>
    <row r="317" spans="1:5" ht="15" customHeight="1" x14ac:dyDescent="0.2">
      <c r="A317" s="155" t="s">
        <v>1368</v>
      </c>
      <c r="B317" s="155">
        <v>6</v>
      </c>
      <c r="C317" s="155" t="s">
        <v>1379</v>
      </c>
      <c r="D317" s="155" t="s">
        <v>1380</v>
      </c>
      <c r="E317" s="146"/>
    </row>
    <row r="318" spans="1:5" ht="15" customHeight="1" x14ac:dyDescent="0.2">
      <c r="A318" s="155" t="s">
        <v>1368</v>
      </c>
      <c r="B318" s="155">
        <v>7</v>
      </c>
      <c r="C318" s="155" t="s">
        <v>1381</v>
      </c>
      <c r="D318" s="155" t="s">
        <v>1382</v>
      </c>
      <c r="E318" s="146"/>
    </row>
    <row r="319" spans="1:5" ht="15" customHeight="1" x14ac:dyDescent="0.2">
      <c r="A319" s="155" t="s">
        <v>1368</v>
      </c>
      <c r="B319" s="155">
        <v>8</v>
      </c>
      <c r="C319" s="155" t="s">
        <v>1383</v>
      </c>
      <c r="D319" s="155" t="s">
        <v>1384</v>
      </c>
      <c r="E319" s="146"/>
    </row>
    <row r="320" spans="1:5" ht="15" customHeight="1" x14ac:dyDescent="0.2">
      <c r="A320" s="155" t="s">
        <v>1368</v>
      </c>
      <c r="B320" s="155">
        <v>9</v>
      </c>
      <c r="C320" s="155" t="s">
        <v>1302</v>
      </c>
      <c r="D320" s="155" t="s">
        <v>1385</v>
      </c>
      <c r="E320" s="146"/>
    </row>
    <row r="321" spans="1:6" ht="15" customHeight="1" x14ac:dyDescent="0.2">
      <c r="D321" s="140"/>
      <c r="E321" s="146"/>
    </row>
    <row r="322" spans="1:6" ht="15" customHeight="1" x14ac:dyDescent="0.2">
      <c r="A322" s="153" t="s">
        <v>1386</v>
      </c>
      <c r="B322" s="153" t="s">
        <v>1387</v>
      </c>
      <c r="C322" s="153" t="s">
        <v>1388</v>
      </c>
      <c r="D322" s="136" t="s">
        <v>1389</v>
      </c>
      <c r="E322" s="146"/>
      <c r="F322" s="140"/>
    </row>
    <row r="323" spans="1:6" ht="15" customHeight="1" x14ac:dyDescent="0.2">
      <c r="A323" s="153" t="s">
        <v>1386</v>
      </c>
      <c r="B323" s="153" t="s">
        <v>1390</v>
      </c>
      <c r="C323" s="153" t="s">
        <v>1391</v>
      </c>
      <c r="D323" s="136" t="s">
        <v>1392</v>
      </c>
      <c r="E323" s="146"/>
      <c r="F323" s="140"/>
    </row>
    <row r="324" spans="1:6" ht="15" customHeight="1" x14ac:dyDescent="0.2">
      <c r="A324" s="153" t="s">
        <v>1386</v>
      </c>
      <c r="B324" s="153" t="s">
        <v>1393</v>
      </c>
      <c r="C324" s="153" t="s">
        <v>1394</v>
      </c>
      <c r="D324" s="136" t="s">
        <v>1395</v>
      </c>
      <c r="E324" s="146"/>
      <c r="F324" s="140"/>
    </row>
    <row r="325" spans="1:6" ht="15" customHeight="1" x14ac:dyDescent="0.2">
      <c r="A325" s="153" t="s">
        <v>1386</v>
      </c>
      <c r="B325" s="153" t="s">
        <v>1396</v>
      </c>
      <c r="C325" s="153" t="s">
        <v>1397</v>
      </c>
      <c r="D325" s="136" t="s">
        <v>1398</v>
      </c>
      <c r="E325" s="146"/>
      <c r="F325" s="140"/>
    </row>
    <row r="326" spans="1:6" ht="15" customHeight="1" x14ac:dyDescent="0.2">
      <c r="A326" s="153" t="s">
        <v>1386</v>
      </c>
      <c r="B326" s="153" t="s">
        <v>1399</v>
      </c>
      <c r="C326" s="153" t="s">
        <v>1400</v>
      </c>
      <c r="D326" s="136" t="s">
        <v>1401</v>
      </c>
      <c r="E326" s="146"/>
      <c r="F326" s="140"/>
    </row>
    <row r="327" spans="1:6" ht="15" customHeight="1" x14ac:dyDescent="0.2">
      <c r="A327" s="153" t="s">
        <v>1386</v>
      </c>
      <c r="B327" s="153" t="s">
        <v>1402</v>
      </c>
      <c r="C327" s="153" t="s">
        <v>1403</v>
      </c>
      <c r="D327" s="136" t="s">
        <v>1404</v>
      </c>
      <c r="E327" s="146"/>
      <c r="F327" s="140"/>
    </row>
    <row r="328" spans="1:6" ht="15" customHeight="1" x14ac:dyDescent="0.2">
      <c r="A328" s="153" t="s">
        <v>1386</v>
      </c>
      <c r="B328" s="153" t="s">
        <v>1405</v>
      </c>
      <c r="C328" s="153" t="s">
        <v>1406</v>
      </c>
      <c r="D328" s="136" t="s">
        <v>1407</v>
      </c>
      <c r="E328" s="146"/>
      <c r="F328" s="140"/>
    </row>
    <row r="329" spans="1:6" ht="15" customHeight="1" x14ac:dyDescent="0.2">
      <c r="A329" s="153" t="s">
        <v>1386</v>
      </c>
      <c r="B329" s="153" t="s">
        <v>1408</v>
      </c>
      <c r="C329" s="153" t="s">
        <v>1409</v>
      </c>
      <c r="D329" s="136" t="s">
        <v>1410</v>
      </c>
      <c r="E329" s="146"/>
      <c r="F329" s="140"/>
    </row>
    <row r="330" spans="1:6" ht="15" customHeight="1" x14ac:dyDescent="0.2">
      <c r="A330" s="153" t="s">
        <v>1386</v>
      </c>
      <c r="B330" s="153" t="s">
        <v>1411</v>
      </c>
      <c r="C330" s="153" t="s">
        <v>1412</v>
      </c>
      <c r="D330" s="136" t="s">
        <v>1413</v>
      </c>
      <c r="E330" s="146"/>
      <c r="F330" s="140"/>
    </row>
    <row r="331" spans="1:6" ht="15" customHeight="1" x14ac:dyDescent="0.2">
      <c r="A331" s="153" t="s">
        <v>1386</v>
      </c>
      <c r="B331" s="153" t="s">
        <v>1414</v>
      </c>
      <c r="C331" s="153" t="s">
        <v>1415</v>
      </c>
      <c r="D331" s="136" t="s">
        <v>1416</v>
      </c>
      <c r="E331" s="146"/>
      <c r="F331" s="140"/>
    </row>
    <row r="332" spans="1:6" ht="15" customHeight="1" x14ac:dyDescent="0.2">
      <c r="A332" s="153" t="s">
        <v>1386</v>
      </c>
      <c r="B332" s="153" t="s">
        <v>1417</v>
      </c>
      <c r="C332" s="153" t="s">
        <v>1418</v>
      </c>
      <c r="D332" s="136" t="s">
        <v>1419</v>
      </c>
      <c r="E332" s="146"/>
      <c r="F332" s="140"/>
    </row>
    <row r="333" spans="1:6" ht="15" customHeight="1" x14ac:dyDescent="0.2">
      <c r="A333" s="153" t="s">
        <v>1386</v>
      </c>
      <c r="B333" s="153" t="s">
        <v>1420</v>
      </c>
      <c r="C333" s="153" t="s">
        <v>1421</v>
      </c>
      <c r="D333" s="136" t="s">
        <v>1422</v>
      </c>
      <c r="E333" s="146"/>
      <c r="F333" s="140"/>
    </row>
    <row r="334" spans="1:6" ht="15" customHeight="1" x14ac:dyDescent="0.2">
      <c r="A334" s="153" t="s">
        <v>1386</v>
      </c>
      <c r="B334" s="153" t="s">
        <v>1423</v>
      </c>
      <c r="C334" s="153" t="s">
        <v>1424</v>
      </c>
      <c r="D334" s="136" t="s">
        <v>1425</v>
      </c>
      <c r="E334" s="146"/>
      <c r="F334" s="140"/>
    </row>
    <row r="335" spans="1:6" ht="15" customHeight="1" x14ac:dyDescent="0.2">
      <c r="A335" s="153" t="s">
        <v>1386</v>
      </c>
      <c r="B335" s="153" t="s">
        <v>1426</v>
      </c>
      <c r="C335" s="153" t="s">
        <v>1427</v>
      </c>
      <c r="D335" s="136" t="s">
        <v>1428</v>
      </c>
      <c r="E335" s="146"/>
      <c r="F335" s="140"/>
    </row>
    <row r="336" spans="1:6" ht="15" customHeight="1" x14ac:dyDescent="0.2">
      <c r="A336" s="153" t="s">
        <v>1386</v>
      </c>
      <c r="B336" s="153" t="s">
        <v>1429</v>
      </c>
      <c r="C336" s="153" t="s">
        <v>1430</v>
      </c>
      <c r="D336" s="136" t="s">
        <v>1431</v>
      </c>
      <c r="E336" s="146"/>
    </row>
    <row r="337" spans="1:6" ht="15" customHeight="1" x14ac:dyDescent="0.2">
      <c r="A337" s="153" t="s">
        <v>1386</v>
      </c>
      <c r="B337" s="153" t="s">
        <v>1078</v>
      </c>
      <c r="C337" s="153" t="s">
        <v>1366</v>
      </c>
      <c r="D337" s="136" t="s">
        <v>1367</v>
      </c>
      <c r="E337" s="146"/>
      <c r="F337" s="140"/>
    </row>
    <row r="338" spans="1:6" ht="15" customHeight="1" x14ac:dyDescent="0.2">
      <c r="A338" s="153" t="s">
        <v>1386</v>
      </c>
      <c r="B338" s="153" t="s">
        <v>1084</v>
      </c>
      <c r="C338" s="153" t="s">
        <v>961</v>
      </c>
      <c r="D338" s="136" t="s">
        <v>962</v>
      </c>
      <c r="E338" s="146"/>
    </row>
    <row r="339" spans="1:6" ht="15" customHeight="1" x14ac:dyDescent="0.2">
      <c r="A339" s="153" t="s">
        <v>1386</v>
      </c>
      <c r="B339" s="153" t="s">
        <v>1085</v>
      </c>
      <c r="C339" s="153" t="s">
        <v>963</v>
      </c>
      <c r="D339" s="136" t="s">
        <v>964</v>
      </c>
      <c r="E339" s="146"/>
    </row>
    <row r="340" spans="1:6" x14ac:dyDescent="0.15">
      <c r="E340" s="146"/>
    </row>
    <row r="341" spans="1:6" s="140" customFormat="1" ht="15" customHeight="1" x14ac:dyDescent="0.2">
      <c r="A341" s="155" t="s">
        <v>1432</v>
      </c>
      <c r="B341" s="155">
        <v>1</v>
      </c>
      <c r="C341" s="155" t="s">
        <v>1433</v>
      </c>
      <c r="D341" s="155" t="s">
        <v>1434</v>
      </c>
      <c r="E341" s="142"/>
    </row>
    <row r="342" spans="1:6" s="140" customFormat="1" ht="15" customHeight="1" x14ac:dyDescent="0.2">
      <c r="A342" s="155" t="s">
        <v>1432</v>
      </c>
      <c r="B342" s="155">
        <v>2</v>
      </c>
      <c r="C342" s="155" t="s">
        <v>1435</v>
      </c>
      <c r="D342" s="155" t="s">
        <v>1436</v>
      </c>
      <c r="E342" s="142"/>
    </row>
    <row r="343" spans="1:6" s="140" customFormat="1" ht="15" customHeight="1" x14ac:dyDescent="0.2">
      <c r="A343" s="155" t="s">
        <v>1432</v>
      </c>
      <c r="B343" s="155">
        <v>3</v>
      </c>
      <c r="C343" s="155" t="s">
        <v>1437</v>
      </c>
      <c r="D343" s="155" t="s">
        <v>1438</v>
      </c>
      <c r="E343" s="142"/>
    </row>
    <row r="344" spans="1:6" s="140" customFormat="1" ht="15" customHeight="1" x14ac:dyDescent="0.2">
      <c r="A344" s="155" t="s">
        <v>1432</v>
      </c>
      <c r="B344" s="155">
        <v>4</v>
      </c>
      <c r="C344" s="155" t="s">
        <v>1439</v>
      </c>
      <c r="D344" s="155" t="s">
        <v>1440</v>
      </c>
      <c r="E344" s="142"/>
    </row>
    <row r="345" spans="1:6" s="140" customFormat="1" ht="15" customHeight="1" x14ac:dyDescent="0.2">
      <c r="A345" s="155" t="s">
        <v>1432</v>
      </c>
      <c r="B345" s="155">
        <v>5</v>
      </c>
      <c r="C345" s="155" t="s">
        <v>1441</v>
      </c>
      <c r="D345" s="155" t="s">
        <v>1442</v>
      </c>
      <c r="E345" s="142"/>
    </row>
    <row r="346" spans="1:6" s="140" customFormat="1" ht="15" customHeight="1" x14ac:dyDescent="0.2">
      <c r="A346" s="155" t="s">
        <v>1432</v>
      </c>
      <c r="B346" s="155">
        <v>6</v>
      </c>
      <c r="C346" s="155" t="s">
        <v>1443</v>
      </c>
      <c r="D346" s="155" t="s">
        <v>1444</v>
      </c>
      <c r="E346" s="142"/>
    </row>
    <row r="347" spans="1:6" s="140" customFormat="1" ht="15" customHeight="1" x14ac:dyDescent="0.2">
      <c r="A347" s="155" t="s">
        <v>1432</v>
      </c>
      <c r="B347" s="155">
        <v>7</v>
      </c>
      <c r="C347" s="155" t="s">
        <v>961</v>
      </c>
      <c r="D347" s="155" t="s">
        <v>1445</v>
      </c>
      <c r="E347" s="142"/>
    </row>
    <row r="348" spans="1:6" ht="15" customHeight="1" x14ac:dyDescent="0.2">
      <c r="A348" s="155" t="s">
        <v>1432</v>
      </c>
      <c r="B348" s="155">
        <v>8</v>
      </c>
      <c r="C348" s="155" t="s">
        <v>963</v>
      </c>
      <c r="D348" s="155" t="s">
        <v>1446</v>
      </c>
      <c r="E348" s="142"/>
      <c r="F348" s="140"/>
    </row>
    <row r="349" spans="1:6" ht="15" customHeight="1" x14ac:dyDescent="0.2">
      <c r="D349" s="140"/>
      <c r="E349" s="146"/>
    </row>
    <row r="350" spans="1:6" ht="15" customHeight="1" x14ac:dyDescent="0.2">
      <c r="A350" s="136" t="s">
        <v>1447</v>
      </c>
      <c r="B350" s="136" t="s">
        <v>1448</v>
      </c>
      <c r="C350" s="136" t="s">
        <v>1449</v>
      </c>
      <c r="D350" s="136" t="s">
        <v>1450</v>
      </c>
      <c r="E350" s="146"/>
      <c r="F350" s="140"/>
    </row>
    <row r="351" spans="1:6" ht="15" customHeight="1" x14ac:dyDescent="0.2">
      <c r="A351" s="136" t="s">
        <v>1447</v>
      </c>
      <c r="B351" s="136" t="s">
        <v>1451</v>
      </c>
      <c r="C351" s="136" t="s">
        <v>1452</v>
      </c>
      <c r="D351" s="136" t="s">
        <v>1453</v>
      </c>
      <c r="E351" s="146"/>
      <c r="F351" s="140"/>
    </row>
    <row r="352" spans="1:6" ht="15" customHeight="1" x14ac:dyDescent="0.2">
      <c r="A352" s="136" t="s">
        <v>1447</v>
      </c>
      <c r="B352" s="136" t="s">
        <v>1454</v>
      </c>
      <c r="C352" s="136" t="s">
        <v>1455</v>
      </c>
      <c r="D352" s="136" t="s">
        <v>1456</v>
      </c>
      <c r="E352" s="146"/>
      <c r="F352" s="140"/>
    </row>
    <row r="353" spans="1:6" ht="15" customHeight="1" x14ac:dyDescent="0.2">
      <c r="A353" s="136" t="s">
        <v>1447</v>
      </c>
      <c r="B353" s="136" t="s">
        <v>1457</v>
      </c>
      <c r="C353" s="136" t="s">
        <v>1458</v>
      </c>
      <c r="D353" s="136" t="s">
        <v>1459</v>
      </c>
      <c r="E353" s="146"/>
      <c r="F353" s="140"/>
    </row>
    <row r="354" spans="1:6" ht="15" customHeight="1" x14ac:dyDescent="0.2">
      <c r="A354" s="136" t="s">
        <v>1447</v>
      </c>
      <c r="B354" s="136" t="s">
        <v>1460</v>
      </c>
      <c r="C354" s="136" t="s">
        <v>1461</v>
      </c>
      <c r="D354" s="136" t="s">
        <v>1462</v>
      </c>
      <c r="E354" s="146"/>
      <c r="F354" s="140"/>
    </row>
    <row r="355" spans="1:6" ht="15" customHeight="1" x14ac:dyDescent="0.2">
      <c r="A355" s="136" t="s">
        <v>1447</v>
      </c>
      <c r="B355" s="136" t="s">
        <v>1463</v>
      </c>
      <c r="C355" s="136" t="s">
        <v>1464</v>
      </c>
      <c r="D355" s="136" t="s">
        <v>1465</v>
      </c>
      <c r="E355" s="146"/>
      <c r="F355" s="140"/>
    </row>
    <row r="356" spans="1:6" ht="15" customHeight="1" x14ac:dyDescent="0.2">
      <c r="A356" s="136" t="s">
        <v>1447</v>
      </c>
      <c r="B356" s="136" t="s">
        <v>1466</v>
      </c>
      <c r="C356" s="136" t="s">
        <v>1467</v>
      </c>
      <c r="D356" s="136" t="s">
        <v>1468</v>
      </c>
      <c r="E356" s="146"/>
      <c r="F356" s="140"/>
    </row>
    <row r="357" spans="1:6" ht="15" customHeight="1" x14ac:dyDescent="0.2">
      <c r="A357" s="136" t="s">
        <v>1447</v>
      </c>
      <c r="B357" s="136" t="s">
        <v>1078</v>
      </c>
      <c r="C357" s="136" t="s">
        <v>1366</v>
      </c>
      <c r="D357" s="136" t="s">
        <v>1367</v>
      </c>
      <c r="E357" s="146"/>
      <c r="F357" s="140"/>
    </row>
    <row r="358" spans="1:6" ht="15" customHeight="1" x14ac:dyDescent="0.2">
      <c r="A358" s="136" t="s">
        <v>1447</v>
      </c>
      <c r="B358" s="136" t="s">
        <v>1084</v>
      </c>
      <c r="C358" s="136" t="s">
        <v>961</v>
      </c>
      <c r="D358" s="136" t="s">
        <v>962</v>
      </c>
      <c r="E358" s="146"/>
      <c r="F358" s="140"/>
    </row>
    <row r="359" spans="1:6" ht="15" customHeight="1" x14ac:dyDescent="0.2">
      <c r="A359" s="136" t="s">
        <v>1447</v>
      </c>
      <c r="B359" s="136" t="s">
        <v>1085</v>
      </c>
      <c r="C359" s="136" t="s">
        <v>963</v>
      </c>
      <c r="D359" s="136" t="s">
        <v>964</v>
      </c>
      <c r="E359" s="146"/>
      <c r="F359" s="140"/>
    </row>
    <row r="360" spans="1:6" x14ac:dyDescent="0.15">
      <c r="E360" s="146"/>
    </row>
    <row r="361" spans="1:6" x14ac:dyDescent="0.15">
      <c r="A361" s="136" t="s">
        <v>524</v>
      </c>
      <c r="B361" s="136">
        <v>1</v>
      </c>
      <c r="C361" s="136" t="s">
        <v>1469</v>
      </c>
      <c r="D361" s="136" t="s">
        <v>1470</v>
      </c>
      <c r="E361" s="146"/>
    </row>
    <row r="362" spans="1:6" x14ac:dyDescent="0.15">
      <c r="A362" s="136" t="s">
        <v>524</v>
      </c>
      <c r="B362" s="136">
        <v>2</v>
      </c>
      <c r="C362" s="136" t="s">
        <v>1471</v>
      </c>
      <c r="D362" s="136" t="s">
        <v>1472</v>
      </c>
      <c r="E362" s="146"/>
    </row>
    <row r="363" spans="1:6" x14ac:dyDescent="0.15">
      <c r="A363" s="136" t="s">
        <v>524</v>
      </c>
      <c r="B363" s="136">
        <v>3</v>
      </c>
      <c r="C363" s="136" t="s">
        <v>1473</v>
      </c>
      <c r="D363" s="136" t="s">
        <v>1474</v>
      </c>
      <c r="E363" s="146"/>
    </row>
    <row r="364" spans="1:6" x14ac:dyDescent="0.15">
      <c r="A364" s="136" t="s">
        <v>524</v>
      </c>
      <c r="B364" s="136">
        <v>4</v>
      </c>
      <c r="C364" s="136" t="s">
        <v>1475</v>
      </c>
      <c r="D364" s="136" t="s">
        <v>1476</v>
      </c>
      <c r="E364" s="146"/>
    </row>
    <row r="365" spans="1:6" x14ac:dyDescent="0.15">
      <c r="A365" s="136" t="s">
        <v>524</v>
      </c>
      <c r="B365" s="136">
        <v>5</v>
      </c>
      <c r="C365" s="136" t="s">
        <v>1477</v>
      </c>
      <c r="D365" s="136" t="s">
        <v>1478</v>
      </c>
      <c r="E365" s="146"/>
    </row>
    <row r="366" spans="1:6" x14ac:dyDescent="0.15">
      <c r="A366" s="136" t="s">
        <v>524</v>
      </c>
      <c r="B366" s="136">
        <v>6</v>
      </c>
      <c r="C366" s="136" t="s">
        <v>1479</v>
      </c>
      <c r="D366" s="136" t="s">
        <v>1480</v>
      </c>
      <c r="E366" s="146"/>
    </row>
    <row r="367" spans="1:6" x14ac:dyDescent="0.15">
      <c r="A367" s="136" t="s">
        <v>524</v>
      </c>
      <c r="B367" s="136">
        <v>7</v>
      </c>
      <c r="C367" s="136" t="s">
        <v>1481</v>
      </c>
      <c r="D367" s="136" t="s">
        <v>1482</v>
      </c>
      <c r="E367" s="146"/>
    </row>
    <row r="368" spans="1:6" x14ac:dyDescent="0.15">
      <c r="A368" s="136" t="s">
        <v>524</v>
      </c>
      <c r="B368" s="136">
        <v>8</v>
      </c>
      <c r="C368" s="136" t="s">
        <v>1483</v>
      </c>
      <c r="D368" s="136" t="s">
        <v>1484</v>
      </c>
      <c r="E368" s="146"/>
    </row>
    <row r="369" spans="1:6" x14ac:dyDescent="0.15">
      <c r="A369" s="136" t="s">
        <v>524</v>
      </c>
      <c r="B369" s="136">
        <v>9</v>
      </c>
      <c r="C369" s="136" t="s">
        <v>1366</v>
      </c>
      <c r="D369" s="136" t="s">
        <v>1367</v>
      </c>
      <c r="E369" s="146"/>
    </row>
    <row r="370" spans="1:6" ht="15" customHeight="1" x14ac:dyDescent="0.2">
      <c r="A370" s="136" t="s">
        <v>524</v>
      </c>
      <c r="B370" s="148">
        <v>10</v>
      </c>
      <c r="C370" s="136" t="s">
        <v>961</v>
      </c>
      <c r="D370" s="136" t="s">
        <v>962</v>
      </c>
      <c r="E370" s="146"/>
    </row>
    <row r="371" spans="1:6" ht="15" customHeight="1" x14ac:dyDescent="0.2">
      <c r="A371" s="136" t="s">
        <v>524</v>
      </c>
      <c r="B371" s="148">
        <v>11</v>
      </c>
      <c r="C371" s="136" t="s">
        <v>963</v>
      </c>
      <c r="D371" s="136" t="s">
        <v>964</v>
      </c>
      <c r="E371" s="146"/>
    </row>
    <row r="372" spans="1:6" x14ac:dyDescent="0.15">
      <c r="E372" s="146"/>
    </row>
    <row r="373" spans="1:6" ht="15" customHeight="1" x14ac:dyDescent="0.2">
      <c r="A373" s="136" t="s">
        <v>1485</v>
      </c>
      <c r="B373" s="136" t="s">
        <v>1486</v>
      </c>
      <c r="C373" s="136" t="s">
        <v>1487</v>
      </c>
      <c r="D373" s="136" t="s">
        <v>1488</v>
      </c>
      <c r="E373" s="146"/>
      <c r="F373" s="140"/>
    </row>
    <row r="374" spans="1:6" ht="15" customHeight="1" x14ac:dyDescent="0.2">
      <c r="A374" s="136" t="s">
        <v>1485</v>
      </c>
      <c r="B374" s="136" t="s">
        <v>1489</v>
      </c>
      <c r="C374" s="136" t="s">
        <v>1490</v>
      </c>
      <c r="D374" s="136" t="s">
        <v>1491</v>
      </c>
      <c r="E374" s="146"/>
      <c r="F374" s="140"/>
    </row>
    <row r="375" spans="1:6" ht="15" customHeight="1" x14ac:dyDescent="0.2">
      <c r="A375" s="136" t="s">
        <v>1485</v>
      </c>
      <c r="B375" s="136" t="s">
        <v>1492</v>
      </c>
      <c r="C375" s="136" t="s">
        <v>1493</v>
      </c>
      <c r="D375" s="136" t="s">
        <v>1494</v>
      </c>
      <c r="E375" s="146"/>
      <c r="F375" s="140"/>
    </row>
    <row r="376" spans="1:6" ht="15" customHeight="1" x14ac:dyDescent="0.2">
      <c r="A376" s="136" t="s">
        <v>1485</v>
      </c>
      <c r="B376" s="136" t="s">
        <v>1495</v>
      </c>
      <c r="C376" s="136" t="s">
        <v>1496</v>
      </c>
      <c r="D376" s="136" t="s">
        <v>1497</v>
      </c>
      <c r="E376" s="146"/>
      <c r="F376" s="140"/>
    </row>
    <row r="377" spans="1:6" ht="15" customHeight="1" x14ac:dyDescent="0.2">
      <c r="A377" s="136" t="s">
        <v>1485</v>
      </c>
      <c r="B377" s="136" t="s">
        <v>1498</v>
      </c>
      <c r="C377" s="136" t="s">
        <v>1499</v>
      </c>
      <c r="D377" s="136" t="s">
        <v>1500</v>
      </c>
      <c r="E377" s="146"/>
      <c r="F377" s="140"/>
    </row>
    <row r="378" spans="1:6" ht="15" customHeight="1" x14ac:dyDescent="0.2">
      <c r="A378" s="136" t="s">
        <v>1485</v>
      </c>
      <c r="B378" s="136" t="s">
        <v>1501</v>
      </c>
      <c r="C378" s="136" t="s">
        <v>1502</v>
      </c>
      <c r="D378" s="136" t="s">
        <v>1503</v>
      </c>
      <c r="E378" s="146"/>
      <c r="F378" s="140"/>
    </row>
    <row r="379" spans="1:6" ht="15" customHeight="1" x14ac:dyDescent="0.2">
      <c r="A379" s="136" t="s">
        <v>1485</v>
      </c>
      <c r="B379" s="136" t="s">
        <v>1504</v>
      </c>
      <c r="C379" s="136" t="s">
        <v>1505</v>
      </c>
      <c r="D379" s="136" t="s">
        <v>1506</v>
      </c>
      <c r="E379" s="146"/>
      <c r="F379" s="140"/>
    </row>
    <row r="380" spans="1:6" ht="15" customHeight="1" x14ac:dyDescent="0.2">
      <c r="A380" s="136" t="s">
        <v>1485</v>
      </c>
      <c r="B380" s="136" t="s">
        <v>1507</v>
      </c>
      <c r="C380" s="136" t="s">
        <v>1508</v>
      </c>
      <c r="D380" s="136" t="s">
        <v>1509</v>
      </c>
      <c r="E380" s="146"/>
      <c r="F380" s="140"/>
    </row>
    <row r="381" spans="1:6" ht="15" customHeight="1" x14ac:dyDescent="0.2">
      <c r="A381" s="136" t="s">
        <v>1485</v>
      </c>
      <c r="B381" s="136" t="s">
        <v>1510</v>
      </c>
      <c r="C381" s="136" t="s">
        <v>1511</v>
      </c>
      <c r="D381" s="136" t="s">
        <v>1512</v>
      </c>
      <c r="E381" s="146"/>
      <c r="F381" s="140"/>
    </row>
    <row r="382" spans="1:6" ht="15" customHeight="1" x14ac:dyDescent="0.2">
      <c r="A382" s="136" t="s">
        <v>1485</v>
      </c>
      <c r="B382" s="136" t="s">
        <v>1513</v>
      </c>
      <c r="C382" s="136" t="s">
        <v>1514</v>
      </c>
      <c r="D382" s="136" t="s">
        <v>1515</v>
      </c>
      <c r="E382" s="146"/>
      <c r="F382" s="140"/>
    </row>
    <row r="383" spans="1:6" ht="15" customHeight="1" x14ac:dyDescent="0.2">
      <c r="A383" s="136" t="s">
        <v>1485</v>
      </c>
      <c r="B383" s="136" t="s">
        <v>1516</v>
      </c>
      <c r="C383" s="136" t="s">
        <v>1517</v>
      </c>
      <c r="D383" s="136" t="s">
        <v>1518</v>
      </c>
      <c r="E383" s="146"/>
      <c r="F383" s="140"/>
    </row>
    <row r="384" spans="1:6" ht="15" customHeight="1" x14ac:dyDescent="0.2">
      <c r="A384" s="136" t="s">
        <v>1485</v>
      </c>
      <c r="B384" s="136" t="s">
        <v>1519</v>
      </c>
      <c r="C384" s="136" t="s">
        <v>1366</v>
      </c>
      <c r="D384" s="136" t="s">
        <v>1367</v>
      </c>
      <c r="E384" s="146"/>
      <c r="F384" s="140"/>
    </row>
    <row r="385" spans="1:6" ht="15" customHeight="1" x14ac:dyDescent="0.2">
      <c r="A385" s="136" t="s">
        <v>1485</v>
      </c>
      <c r="B385" s="136" t="s">
        <v>1520</v>
      </c>
      <c r="C385" s="136" t="s">
        <v>961</v>
      </c>
      <c r="D385" s="136" t="s">
        <v>962</v>
      </c>
      <c r="E385" s="146"/>
      <c r="F385" s="140"/>
    </row>
    <row r="386" spans="1:6" ht="14.25" customHeight="1" x14ac:dyDescent="0.2">
      <c r="A386" s="136" t="s">
        <v>1485</v>
      </c>
      <c r="B386" s="136" t="s">
        <v>1521</v>
      </c>
      <c r="C386" s="136" t="s">
        <v>963</v>
      </c>
      <c r="D386" s="136" t="s">
        <v>964</v>
      </c>
      <c r="E386" s="146"/>
      <c r="F386" s="140"/>
    </row>
    <row r="387" spans="1:6" ht="14.25" customHeight="1" x14ac:dyDescent="0.2">
      <c r="E387" s="146"/>
      <c r="F387" s="140"/>
    </row>
    <row r="388" spans="1:6" s="140" customFormat="1" ht="14.25" customHeight="1" x14ac:dyDescent="0.2">
      <c r="A388" s="155" t="s">
        <v>1522</v>
      </c>
      <c r="B388" s="155" t="s">
        <v>1523</v>
      </c>
      <c r="C388" s="155" t="s">
        <v>1524</v>
      </c>
      <c r="D388" s="155" t="s">
        <v>1525</v>
      </c>
      <c r="E388" s="142"/>
    </row>
    <row r="389" spans="1:6" s="140" customFormat="1" ht="14.25" customHeight="1" x14ac:dyDescent="0.2">
      <c r="A389" s="155" t="s">
        <v>1522</v>
      </c>
      <c r="B389" s="155" t="s">
        <v>1526</v>
      </c>
      <c r="C389" s="155" t="s">
        <v>1527</v>
      </c>
      <c r="D389" s="155" t="s">
        <v>1528</v>
      </c>
      <c r="E389" s="142"/>
    </row>
    <row r="390" spans="1:6" s="140" customFormat="1" ht="14.25" customHeight="1" x14ac:dyDescent="0.2">
      <c r="A390" s="155" t="s">
        <v>1522</v>
      </c>
      <c r="B390" s="155" t="s">
        <v>1529</v>
      </c>
      <c r="C390" s="155" t="s">
        <v>1530</v>
      </c>
      <c r="D390" s="155" t="s">
        <v>1531</v>
      </c>
      <c r="E390" s="142"/>
    </row>
    <row r="391" spans="1:6" s="140" customFormat="1" ht="14.25" customHeight="1" x14ac:dyDescent="0.2">
      <c r="A391" s="155" t="s">
        <v>1522</v>
      </c>
      <c r="B391" s="155" t="s">
        <v>1532</v>
      </c>
      <c r="C391" s="155" t="s">
        <v>1533</v>
      </c>
      <c r="D391" s="155" t="s">
        <v>1534</v>
      </c>
      <c r="E391" s="142"/>
    </row>
    <row r="392" spans="1:6" s="140" customFormat="1" ht="14.25" customHeight="1" x14ac:dyDescent="0.2">
      <c r="A392" s="155" t="s">
        <v>1522</v>
      </c>
      <c r="B392" s="155" t="s">
        <v>1535</v>
      </c>
      <c r="C392" s="155" t="s">
        <v>1536</v>
      </c>
      <c r="D392" s="155" t="s">
        <v>1537</v>
      </c>
      <c r="E392" s="142"/>
    </row>
    <row r="393" spans="1:6" s="140" customFormat="1" ht="14.25" customHeight="1" x14ac:dyDescent="0.2">
      <c r="A393" s="155" t="s">
        <v>1522</v>
      </c>
      <c r="B393" s="155" t="s">
        <v>1078</v>
      </c>
      <c r="C393" s="155" t="s">
        <v>1538</v>
      </c>
      <c r="D393" s="155" t="s">
        <v>1367</v>
      </c>
      <c r="E393" s="142"/>
    </row>
    <row r="394" spans="1:6" s="140" customFormat="1" ht="14.25" customHeight="1" x14ac:dyDescent="0.2">
      <c r="A394" s="155" t="s">
        <v>1522</v>
      </c>
      <c r="B394" s="155" t="s">
        <v>1084</v>
      </c>
      <c r="C394" s="155" t="s">
        <v>961</v>
      </c>
      <c r="D394" s="155" t="s">
        <v>962</v>
      </c>
      <c r="E394" s="142"/>
    </row>
    <row r="395" spans="1:6" s="140" customFormat="1" ht="14.25" customHeight="1" x14ac:dyDescent="0.2">
      <c r="A395" s="155" t="s">
        <v>1522</v>
      </c>
      <c r="B395" s="155" t="s">
        <v>1085</v>
      </c>
      <c r="C395" s="155" t="s">
        <v>963</v>
      </c>
      <c r="D395" s="155" t="s">
        <v>964</v>
      </c>
      <c r="E395" s="142"/>
    </row>
    <row r="396" spans="1:6" ht="14.25" customHeight="1" x14ac:dyDescent="0.2">
      <c r="D396" s="140"/>
      <c r="E396" s="146"/>
    </row>
    <row r="397" spans="1:6" ht="15" customHeight="1" x14ac:dyDescent="0.2">
      <c r="A397" s="136" t="s">
        <v>1539</v>
      </c>
      <c r="B397" s="136" t="s">
        <v>1540</v>
      </c>
      <c r="C397" s="136" t="s">
        <v>1541</v>
      </c>
      <c r="D397" s="136" t="s">
        <v>1542</v>
      </c>
      <c r="E397" s="146"/>
      <c r="F397" s="140"/>
    </row>
    <row r="398" spans="1:6" ht="15" customHeight="1" x14ac:dyDescent="0.2">
      <c r="A398" s="136" t="s">
        <v>1539</v>
      </c>
      <c r="B398" s="136" t="s">
        <v>1543</v>
      </c>
      <c r="C398" s="136" t="s">
        <v>1544</v>
      </c>
      <c r="D398" s="136" t="s">
        <v>1545</v>
      </c>
      <c r="E398" s="146"/>
      <c r="F398" s="140"/>
    </row>
    <row r="399" spans="1:6" ht="15" customHeight="1" x14ac:dyDescent="0.2">
      <c r="A399" s="136" t="s">
        <v>1539</v>
      </c>
      <c r="B399" s="136" t="s">
        <v>1546</v>
      </c>
      <c r="C399" s="136" t="s">
        <v>1547</v>
      </c>
      <c r="D399" s="136" t="s">
        <v>1548</v>
      </c>
      <c r="E399" s="146"/>
      <c r="F399" s="140"/>
    </row>
    <row r="400" spans="1:6" ht="15" customHeight="1" x14ac:dyDescent="0.2">
      <c r="A400" s="136" t="s">
        <v>1539</v>
      </c>
      <c r="B400" s="136" t="s">
        <v>1549</v>
      </c>
      <c r="C400" s="136" t="s">
        <v>1550</v>
      </c>
      <c r="D400" s="136" t="s">
        <v>1551</v>
      </c>
      <c r="E400" s="146"/>
      <c r="F400" s="140"/>
    </row>
    <row r="401" spans="1:6" ht="15" customHeight="1" x14ac:dyDescent="0.2">
      <c r="A401" s="136" t="s">
        <v>1539</v>
      </c>
      <c r="B401" s="136" t="s">
        <v>1552</v>
      </c>
      <c r="C401" s="136" t="s">
        <v>1553</v>
      </c>
      <c r="D401" s="136" t="s">
        <v>1554</v>
      </c>
      <c r="E401" s="146"/>
      <c r="F401" s="140"/>
    </row>
    <row r="402" spans="1:6" ht="15" customHeight="1" x14ac:dyDescent="0.2">
      <c r="A402" s="136" t="s">
        <v>1539</v>
      </c>
      <c r="B402" s="136" t="s">
        <v>1555</v>
      </c>
      <c r="C402" s="136" t="s">
        <v>1556</v>
      </c>
      <c r="D402" s="136" t="s">
        <v>1557</v>
      </c>
      <c r="E402" s="146"/>
      <c r="F402" s="140"/>
    </row>
    <row r="403" spans="1:6" ht="15" customHeight="1" x14ac:dyDescent="0.2">
      <c r="A403" s="136" t="s">
        <v>1539</v>
      </c>
      <c r="B403" s="136" t="s">
        <v>1558</v>
      </c>
      <c r="C403" s="136" t="s">
        <v>1559</v>
      </c>
      <c r="D403" s="136" t="s">
        <v>1560</v>
      </c>
      <c r="E403" s="146"/>
      <c r="F403" s="140"/>
    </row>
    <row r="404" spans="1:6" ht="15" customHeight="1" x14ac:dyDescent="0.2">
      <c r="A404" s="136" t="s">
        <v>1539</v>
      </c>
      <c r="B404" s="136" t="s">
        <v>1561</v>
      </c>
      <c r="C404" s="136" t="s">
        <v>1562</v>
      </c>
      <c r="D404" s="136" t="s">
        <v>1563</v>
      </c>
      <c r="E404" s="146"/>
      <c r="F404" s="140"/>
    </row>
    <row r="405" spans="1:6" ht="15" customHeight="1" x14ac:dyDescent="0.2">
      <c r="A405" s="136" t="s">
        <v>1539</v>
      </c>
      <c r="B405" s="136" t="s">
        <v>1429</v>
      </c>
      <c r="C405" s="136" t="s">
        <v>1430</v>
      </c>
      <c r="D405" s="136" t="s">
        <v>1564</v>
      </c>
      <c r="E405" s="146"/>
      <c r="F405" s="140"/>
    </row>
    <row r="406" spans="1:6" ht="15" customHeight="1" x14ac:dyDescent="0.2">
      <c r="A406" s="136" t="s">
        <v>1539</v>
      </c>
      <c r="B406" s="136" t="s">
        <v>1411</v>
      </c>
      <c r="C406" s="136" t="s">
        <v>1412</v>
      </c>
      <c r="D406" s="136" t="s">
        <v>1565</v>
      </c>
      <c r="E406" s="146"/>
      <c r="F406" s="140"/>
    </row>
    <row r="407" spans="1:6" x14ac:dyDescent="0.15">
      <c r="A407" s="136" t="s">
        <v>1539</v>
      </c>
      <c r="B407" s="136" t="s">
        <v>1078</v>
      </c>
      <c r="C407" s="136" t="s">
        <v>1366</v>
      </c>
      <c r="D407" s="136" t="s">
        <v>1367</v>
      </c>
      <c r="E407" s="146"/>
    </row>
    <row r="408" spans="1:6" x14ac:dyDescent="0.15">
      <c r="A408" s="136" t="s">
        <v>1539</v>
      </c>
      <c r="B408" s="136" t="s">
        <v>1084</v>
      </c>
      <c r="C408" s="136" t="s">
        <v>961</v>
      </c>
      <c r="D408" s="136" t="s">
        <v>1566</v>
      </c>
      <c r="E408" s="146"/>
    </row>
    <row r="409" spans="1:6" x14ac:dyDescent="0.15">
      <c r="A409" s="136" t="s">
        <v>1539</v>
      </c>
      <c r="B409" s="136" t="s">
        <v>1085</v>
      </c>
      <c r="C409" s="136" t="s">
        <v>963</v>
      </c>
      <c r="D409" s="136" t="s">
        <v>964</v>
      </c>
      <c r="E409" s="146"/>
    </row>
    <row r="410" spans="1:6" x14ac:dyDescent="0.15">
      <c r="E410" s="146"/>
    </row>
    <row r="411" spans="1:6" ht="15" customHeight="1" x14ac:dyDescent="0.2">
      <c r="A411" s="155" t="s">
        <v>1567</v>
      </c>
      <c r="B411" s="155">
        <v>1</v>
      </c>
      <c r="C411" s="155" t="s">
        <v>1469</v>
      </c>
      <c r="D411" s="136" t="s">
        <v>1470</v>
      </c>
      <c r="E411" s="146"/>
    </row>
    <row r="412" spans="1:6" ht="15" customHeight="1" x14ac:dyDescent="0.2">
      <c r="A412" s="155" t="s">
        <v>1567</v>
      </c>
      <c r="B412" s="155">
        <v>2</v>
      </c>
      <c r="C412" s="155" t="s">
        <v>1471</v>
      </c>
      <c r="D412" s="136" t="s">
        <v>1472</v>
      </c>
      <c r="E412" s="146"/>
    </row>
    <row r="413" spans="1:6" ht="15" customHeight="1" x14ac:dyDescent="0.2">
      <c r="A413" s="155" t="s">
        <v>1567</v>
      </c>
      <c r="B413" s="155">
        <v>3</v>
      </c>
      <c r="C413" s="155" t="s">
        <v>1473</v>
      </c>
      <c r="D413" s="136" t="s">
        <v>1474</v>
      </c>
      <c r="E413" s="146"/>
    </row>
    <row r="414" spans="1:6" ht="15" customHeight="1" x14ac:dyDescent="0.2">
      <c r="A414" s="155" t="s">
        <v>1567</v>
      </c>
      <c r="B414" s="155">
        <v>4</v>
      </c>
      <c r="C414" s="155" t="s">
        <v>1475</v>
      </c>
      <c r="D414" s="136" t="s">
        <v>1476</v>
      </c>
      <c r="E414" s="146"/>
    </row>
    <row r="415" spans="1:6" ht="15" customHeight="1" x14ac:dyDescent="0.2">
      <c r="A415" s="155" t="s">
        <v>1567</v>
      </c>
      <c r="B415" s="155">
        <v>5</v>
      </c>
      <c r="C415" s="155" t="s">
        <v>1477</v>
      </c>
      <c r="D415" s="136" t="s">
        <v>1478</v>
      </c>
      <c r="E415" s="146"/>
    </row>
    <row r="416" spans="1:6" ht="15" customHeight="1" x14ac:dyDescent="0.2">
      <c r="A416" s="155" t="s">
        <v>1567</v>
      </c>
      <c r="B416" s="155">
        <v>6</v>
      </c>
      <c r="C416" s="155" t="s">
        <v>1479</v>
      </c>
      <c r="D416" s="136" t="s">
        <v>1480</v>
      </c>
      <c r="E416" s="146"/>
    </row>
    <row r="417" spans="1:5" ht="15" customHeight="1" x14ac:dyDescent="0.2">
      <c r="A417" s="155" t="s">
        <v>1567</v>
      </c>
      <c r="B417" s="155">
        <v>7</v>
      </c>
      <c r="C417" s="155" t="s">
        <v>1481</v>
      </c>
      <c r="D417" s="136" t="s">
        <v>1482</v>
      </c>
      <c r="E417" s="146"/>
    </row>
    <row r="418" spans="1:5" ht="15" customHeight="1" x14ac:dyDescent="0.2">
      <c r="A418" s="155" t="s">
        <v>1567</v>
      </c>
      <c r="B418" s="155">
        <v>8</v>
      </c>
      <c r="C418" s="155" t="s">
        <v>1483</v>
      </c>
      <c r="D418" s="136" t="s">
        <v>1484</v>
      </c>
      <c r="E418" s="146"/>
    </row>
    <row r="419" spans="1:5" ht="15" customHeight="1" x14ac:dyDescent="0.2">
      <c r="A419" s="155" t="s">
        <v>1567</v>
      </c>
      <c r="B419" s="155">
        <v>9</v>
      </c>
      <c r="C419" s="155" t="s">
        <v>1366</v>
      </c>
      <c r="D419" s="136" t="s">
        <v>1367</v>
      </c>
      <c r="E419" s="146"/>
    </row>
    <row r="420" spans="1:5" ht="15" customHeight="1" x14ac:dyDescent="0.2">
      <c r="A420" s="155" t="s">
        <v>1567</v>
      </c>
      <c r="B420" s="155">
        <v>666</v>
      </c>
      <c r="C420" s="155" t="s">
        <v>1568</v>
      </c>
      <c r="D420" s="136" t="s">
        <v>1569</v>
      </c>
      <c r="E420" s="146"/>
    </row>
    <row r="421" spans="1:5" ht="15" customHeight="1" x14ac:dyDescent="0.2">
      <c r="A421" s="155" t="s">
        <v>1567</v>
      </c>
      <c r="B421" s="155">
        <v>10</v>
      </c>
      <c r="C421" s="155" t="s">
        <v>961</v>
      </c>
      <c r="D421" s="136" t="s">
        <v>962</v>
      </c>
      <c r="E421" s="146"/>
    </row>
    <row r="422" spans="1:5" ht="15" customHeight="1" x14ac:dyDescent="0.2">
      <c r="A422" s="155" t="s">
        <v>1567</v>
      </c>
      <c r="B422" s="155">
        <v>11</v>
      </c>
      <c r="C422" s="155" t="s">
        <v>963</v>
      </c>
      <c r="D422" s="136" t="s">
        <v>964</v>
      </c>
      <c r="E422" s="146"/>
    </row>
    <row r="423" spans="1:5" ht="15" customHeight="1" x14ac:dyDescent="0.2">
      <c r="B423" s="154"/>
      <c r="D423" s="140"/>
      <c r="E423" s="146"/>
    </row>
    <row r="424" spans="1:5" x14ac:dyDescent="0.15">
      <c r="A424" s="136" t="s">
        <v>1570</v>
      </c>
      <c r="B424" s="136">
        <v>1</v>
      </c>
      <c r="C424" s="136" t="s">
        <v>1469</v>
      </c>
      <c r="D424" s="136" t="s">
        <v>1470</v>
      </c>
      <c r="E424" s="146"/>
    </row>
    <row r="425" spans="1:5" x14ac:dyDescent="0.15">
      <c r="A425" s="136" t="s">
        <v>1570</v>
      </c>
      <c r="B425" s="136">
        <v>2</v>
      </c>
      <c r="C425" s="136" t="s">
        <v>1471</v>
      </c>
      <c r="D425" s="136" t="s">
        <v>1472</v>
      </c>
      <c r="E425" s="146"/>
    </row>
    <row r="426" spans="1:5" x14ac:dyDescent="0.15">
      <c r="A426" s="136" t="s">
        <v>1570</v>
      </c>
      <c r="B426" s="136">
        <v>3</v>
      </c>
      <c r="C426" s="136" t="s">
        <v>1473</v>
      </c>
      <c r="D426" s="136" t="s">
        <v>1474</v>
      </c>
      <c r="E426" s="146"/>
    </row>
    <row r="427" spans="1:5" ht="15" customHeight="1" x14ac:dyDescent="0.2">
      <c r="A427" s="136" t="s">
        <v>1570</v>
      </c>
      <c r="B427" s="136">
        <v>4</v>
      </c>
      <c r="C427" s="153" t="s">
        <v>1475</v>
      </c>
      <c r="D427" s="136" t="s">
        <v>1476</v>
      </c>
      <c r="E427" s="146"/>
    </row>
    <row r="428" spans="1:5" ht="15" customHeight="1" x14ac:dyDescent="0.2">
      <c r="A428" s="136" t="s">
        <v>1570</v>
      </c>
      <c r="B428" s="136">
        <v>5</v>
      </c>
      <c r="C428" s="136" t="s">
        <v>1571</v>
      </c>
      <c r="D428" s="153" t="s">
        <v>1478</v>
      </c>
      <c r="E428" s="146"/>
    </row>
    <row r="429" spans="1:5" x14ac:dyDescent="0.15">
      <c r="A429" s="136" t="s">
        <v>1570</v>
      </c>
      <c r="B429" s="136">
        <v>6</v>
      </c>
      <c r="C429" s="136" t="s">
        <v>1479</v>
      </c>
      <c r="D429" s="136" t="s">
        <v>1480</v>
      </c>
      <c r="E429" s="146"/>
    </row>
    <row r="430" spans="1:5" x14ac:dyDescent="0.15">
      <c r="A430" s="136" t="s">
        <v>1570</v>
      </c>
      <c r="B430" s="136">
        <v>7</v>
      </c>
      <c r="C430" s="136" t="s">
        <v>1572</v>
      </c>
      <c r="D430" s="136" t="s">
        <v>1482</v>
      </c>
      <c r="E430" s="146"/>
    </row>
    <row r="431" spans="1:5" x14ac:dyDescent="0.15">
      <c r="A431" s="136" t="s">
        <v>1570</v>
      </c>
      <c r="B431" s="136">
        <v>8</v>
      </c>
      <c r="C431" s="136" t="s">
        <v>1483</v>
      </c>
      <c r="D431" s="136" t="s">
        <v>1484</v>
      </c>
      <c r="E431" s="146"/>
    </row>
    <row r="432" spans="1:5" x14ac:dyDescent="0.15">
      <c r="A432" s="136" t="s">
        <v>1570</v>
      </c>
      <c r="B432" s="136">
        <v>9</v>
      </c>
      <c r="C432" s="136" t="s">
        <v>1573</v>
      </c>
      <c r="D432" s="136" t="s">
        <v>1574</v>
      </c>
      <c r="E432" s="146"/>
    </row>
    <row r="433" spans="1:6" x14ac:dyDescent="0.15">
      <c r="A433" s="136" t="s">
        <v>1570</v>
      </c>
      <c r="B433" s="136">
        <v>10</v>
      </c>
      <c r="C433" s="136" t="s">
        <v>1575</v>
      </c>
      <c r="D433" s="136" t="s">
        <v>1576</v>
      </c>
      <c r="E433" s="146"/>
    </row>
    <row r="434" spans="1:6" x14ac:dyDescent="0.15">
      <c r="A434" s="136" t="s">
        <v>1570</v>
      </c>
      <c r="B434" s="136">
        <v>11</v>
      </c>
      <c r="C434" s="136" t="s">
        <v>1577</v>
      </c>
      <c r="D434" s="136" t="s">
        <v>1578</v>
      </c>
      <c r="E434" s="146"/>
    </row>
    <row r="435" spans="1:6" ht="15" customHeight="1" x14ac:dyDescent="0.2">
      <c r="A435" s="136" t="s">
        <v>1570</v>
      </c>
      <c r="B435" s="148">
        <v>12</v>
      </c>
      <c r="C435" s="136" t="s">
        <v>961</v>
      </c>
      <c r="D435" s="136" t="s">
        <v>962</v>
      </c>
      <c r="E435" s="146"/>
    </row>
    <row r="436" spans="1:6" ht="15" customHeight="1" x14ac:dyDescent="0.2">
      <c r="A436" s="136" t="s">
        <v>1570</v>
      </c>
      <c r="B436" s="148">
        <v>13</v>
      </c>
      <c r="C436" s="136" t="s">
        <v>963</v>
      </c>
      <c r="D436" s="136" t="s">
        <v>964</v>
      </c>
      <c r="E436" s="146"/>
    </row>
    <row r="437" spans="1:6" x14ac:dyDescent="0.15">
      <c r="E437" s="146"/>
    </row>
    <row r="438" spans="1:6" ht="15.75" customHeight="1" x14ac:dyDescent="0.2">
      <c r="A438" s="136" t="s">
        <v>1579</v>
      </c>
      <c r="B438" s="136" t="s">
        <v>1448</v>
      </c>
      <c r="C438" s="136" t="s">
        <v>1449</v>
      </c>
      <c r="D438" s="136" t="s">
        <v>1450</v>
      </c>
      <c r="E438" s="146"/>
      <c r="F438" s="140"/>
    </row>
    <row r="439" spans="1:6" ht="15.75" customHeight="1" x14ac:dyDescent="0.2">
      <c r="A439" s="136" t="s">
        <v>1579</v>
      </c>
      <c r="B439" s="136" t="s">
        <v>1451</v>
      </c>
      <c r="C439" s="136" t="s">
        <v>1580</v>
      </c>
      <c r="D439" s="136" t="s">
        <v>1581</v>
      </c>
      <c r="E439" s="146"/>
      <c r="F439" s="140"/>
    </row>
    <row r="440" spans="1:6" ht="15.75" customHeight="1" x14ac:dyDescent="0.2">
      <c r="A440" s="136" t="s">
        <v>1579</v>
      </c>
      <c r="B440" s="136" t="s">
        <v>1454</v>
      </c>
      <c r="C440" s="136" t="s">
        <v>1582</v>
      </c>
      <c r="D440" s="136" t="s">
        <v>1456</v>
      </c>
      <c r="E440" s="146"/>
      <c r="F440" s="140"/>
    </row>
    <row r="441" spans="1:6" ht="15.75" customHeight="1" x14ac:dyDescent="0.2">
      <c r="A441" s="136" t="s">
        <v>1579</v>
      </c>
      <c r="B441" s="136" t="s">
        <v>1457</v>
      </c>
      <c r="C441" s="136" t="s">
        <v>1458</v>
      </c>
      <c r="D441" s="136" t="s">
        <v>1459</v>
      </c>
      <c r="E441" s="146"/>
      <c r="F441" s="140"/>
    </row>
    <row r="442" spans="1:6" ht="15.75" customHeight="1" x14ac:dyDescent="0.2">
      <c r="A442" s="136" t="s">
        <v>1579</v>
      </c>
      <c r="B442" s="136" t="s">
        <v>1460</v>
      </c>
      <c r="C442" s="136" t="s">
        <v>1461</v>
      </c>
      <c r="D442" s="136" t="s">
        <v>1462</v>
      </c>
      <c r="E442" s="146"/>
      <c r="F442" s="140"/>
    </row>
    <row r="443" spans="1:6" ht="15.75" customHeight="1" x14ac:dyDescent="0.2">
      <c r="A443" s="136" t="s">
        <v>1579</v>
      </c>
      <c r="B443" s="136" t="s">
        <v>1583</v>
      </c>
      <c r="C443" s="136" t="s">
        <v>1584</v>
      </c>
      <c r="D443" s="136" t="s">
        <v>1585</v>
      </c>
      <c r="E443" s="146"/>
      <c r="F443" s="140"/>
    </row>
    <row r="444" spans="1:6" ht="15.75" customHeight="1" x14ac:dyDescent="0.2">
      <c r="A444" s="136" t="s">
        <v>1579</v>
      </c>
      <c r="B444" s="136" t="s">
        <v>1463</v>
      </c>
      <c r="C444" s="136" t="s">
        <v>1586</v>
      </c>
      <c r="D444" s="136" t="s">
        <v>1587</v>
      </c>
      <c r="E444" s="146"/>
      <c r="F444" s="140"/>
    </row>
    <row r="445" spans="1:6" ht="15.75" customHeight="1" x14ac:dyDescent="0.2">
      <c r="A445" s="136" t="s">
        <v>1579</v>
      </c>
      <c r="B445" s="136" t="s">
        <v>1466</v>
      </c>
      <c r="C445" s="136" t="s">
        <v>1467</v>
      </c>
      <c r="D445" s="136" t="s">
        <v>1468</v>
      </c>
      <c r="E445" s="146"/>
      <c r="F445" s="140"/>
    </row>
    <row r="446" spans="1:6" ht="15.75" customHeight="1" x14ac:dyDescent="0.15">
      <c r="A446" s="136" t="s">
        <v>1579</v>
      </c>
      <c r="B446" s="136" t="s">
        <v>1078</v>
      </c>
      <c r="C446" s="136" t="s">
        <v>1366</v>
      </c>
      <c r="D446" s="136" t="s">
        <v>1367</v>
      </c>
      <c r="E446" s="146"/>
    </row>
    <row r="447" spans="1:6" ht="15.75" customHeight="1" x14ac:dyDescent="0.15">
      <c r="A447" s="136" t="s">
        <v>1579</v>
      </c>
      <c r="B447" s="136" t="s">
        <v>1084</v>
      </c>
      <c r="C447" s="136" t="s">
        <v>961</v>
      </c>
      <c r="D447" s="136" t="s">
        <v>962</v>
      </c>
      <c r="E447" s="146"/>
    </row>
    <row r="448" spans="1:6" ht="15.75" customHeight="1" x14ac:dyDescent="0.15">
      <c r="A448" s="136" t="s">
        <v>1579</v>
      </c>
      <c r="B448" s="136" t="s">
        <v>1085</v>
      </c>
      <c r="C448" s="136" t="s">
        <v>963</v>
      </c>
      <c r="D448" s="136" t="s">
        <v>964</v>
      </c>
      <c r="E448" s="146"/>
    </row>
    <row r="449" spans="1:6" ht="15.75" customHeight="1" x14ac:dyDescent="0.15">
      <c r="E449" s="146"/>
    </row>
    <row r="450" spans="1:6" ht="15" customHeight="1" x14ac:dyDescent="0.2">
      <c r="A450" s="136" t="s">
        <v>1588</v>
      </c>
      <c r="B450" s="136" t="s">
        <v>1589</v>
      </c>
      <c r="C450" s="136" t="s">
        <v>1590</v>
      </c>
      <c r="D450" s="136" t="s">
        <v>1591</v>
      </c>
      <c r="E450" s="146"/>
      <c r="F450" s="140"/>
    </row>
    <row r="451" spans="1:6" ht="15" customHeight="1" x14ac:dyDescent="0.2">
      <c r="A451" s="136" t="s">
        <v>1588</v>
      </c>
      <c r="B451" s="136" t="s">
        <v>1592</v>
      </c>
      <c r="C451" s="136" t="s">
        <v>1593</v>
      </c>
      <c r="D451" s="136" t="s">
        <v>1594</v>
      </c>
      <c r="E451" s="146"/>
      <c r="F451" s="140"/>
    </row>
    <row r="452" spans="1:6" ht="15" customHeight="1" x14ac:dyDescent="0.2">
      <c r="A452" s="136" t="s">
        <v>1588</v>
      </c>
      <c r="B452" s="136" t="s">
        <v>1595</v>
      </c>
      <c r="C452" s="136" t="s">
        <v>1596</v>
      </c>
      <c r="D452" s="136" t="s">
        <v>1597</v>
      </c>
      <c r="E452" s="146"/>
      <c r="F452" s="140"/>
    </row>
    <row r="453" spans="1:6" ht="15" customHeight="1" x14ac:dyDescent="0.2">
      <c r="A453" s="136" t="s">
        <v>1588</v>
      </c>
      <c r="B453" s="136" t="s">
        <v>1598</v>
      </c>
      <c r="C453" s="136" t="s">
        <v>1599</v>
      </c>
      <c r="D453" s="136" t="s">
        <v>1600</v>
      </c>
      <c r="E453" s="146"/>
      <c r="F453" s="140"/>
    </row>
    <row r="454" spans="1:6" ht="15" customHeight="1" x14ac:dyDescent="0.2">
      <c r="A454" s="136" t="s">
        <v>1588</v>
      </c>
      <c r="B454" s="136" t="s">
        <v>1084</v>
      </c>
      <c r="C454" s="136" t="s">
        <v>961</v>
      </c>
      <c r="D454" s="136" t="s">
        <v>962</v>
      </c>
      <c r="E454" s="146"/>
      <c r="F454" s="140"/>
    </row>
    <row r="455" spans="1:6" ht="15" customHeight="1" x14ac:dyDescent="0.2">
      <c r="A455" s="136" t="s">
        <v>1588</v>
      </c>
      <c r="B455" s="136" t="s">
        <v>1085</v>
      </c>
      <c r="C455" s="136" t="s">
        <v>963</v>
      </c>
      <c r="D455" s="136" t="s">
        <v>964</v>
      </c>
      <c r="E455" s="146"/>
      <c r="F455" s="140"/>
    </row>
    <row r="456" spans="1:6" x14ac:dyDescent="0.15">
      <c r="E456" s="146"/>
    </row>
    <row r="457" spans="1:6" ht="15" customHeight="1" x14ac:dyDescent="0.2">
      <c r="A457" s="136" t="s">
        <v>1601</v>
      </c>
      <c r="B457" s="136" t="s">
        <v>1602</v>
      </c>
      <c r="C457" s="136" t="s">
        <v>1603</v>
      </c>
      <c r="D457" s="136" t="s">
        <v>1604</v>
      </c>
      <c r="E457" s="146"/>
      <c r="F457" s="140"/>
    </row>
    <row r="458" spans="1:6" ht="15" customHeight="1" x14ac:dyDescent="0.2">
      <c r="A458" s="136" t="s">
        <v>1601</v>
      </c>
      <c r="B458" s="136" t="s">
        <v>1605</v>
      </c>
      <c r="C458" s="136" t="s">
        <v>1606</v>
      </c>
      <c r="D458" s="136" t="s">
        <v>1607</v>
      </c>
      <c r="E458" s="146"/>
      <c r="F458" s="140"/>
    </row>
    <row r="459" spans="1:6" ht="15" customHeight="1" x14ac:dyDescent="0.2">
      <c r="A459" s="136" t="s">
        <v>1601</v>
      </c>
      <c r="B459" s="136" t="s">
        <v>1608</v>
      </c>
      <c r="C459" s="136" t="s">
        <v>1609</v>
      </c>
      <c r="D459" s="136" t="s">
        <v>1610</v>
      </c>
      <c r="E459" s="146"/>
      <c r="F459" s="140"/>
    </row>
    <row r="460" spans="1:6" ht="15" customHeight="1" x14ac:dyDescent="0.2">
      <c r="A460" s="136" t="s">
        <v>1601</v>
      </c>
      <c r="B460" s="136" t="s">
        <v>1611</v>
      </c>
      <c r="C460" s="136" t="s">
        <v>1612</v>
      </c>
      <c r="D460" s="136" t="s">
        <v>1613</v>
      </c>
      <c r="E460" s="146"/>
      <c r="F460" s="140"/>
    </row>
    <row r="461" spans="1:6" ht="15" customHeight="1" x14ac:dyDescent="0.2">
      <c r="A461" s="136" t="s">
        <v>1601</v>
      </c>
      <c r="B461" s="136" t="s">
        <v>1614</v>
      </c>
      <c r="C461" s="136" t="s">
        <v>1615</v>
      </c>
      <c r="D461" s="136" t="s">
        <v>1616</v>
      </c>
      <c r="E461" s="146"/>
      <c r="F461" s="140"/>
    </row>
    <row r="462" spans="1:6" ht="15" customHeight="1" x14ac:dyDescent="0.2">
      <c r="A462" s="136" t="s">
        <v>1601</v>
      </c>
      <c r="B462" s="136" t="s">
        <v>1617</v>
      </c>
      <c r="C462" s="136" t="s">
        <v>1618</v>
      </c>
      <c r="D462" s="136" t="s">
        <v>1619</v>
      </c>
      <c r="E462" s="146"/>
      <c r="F462" s="140"/>
    </row>
    <row r="463" spans="1:6" ht="15" customHeight="1" x14ac:dyDescent="0.2">
      <c r="A463" s="136" t="s">
        <v>1601</v>
      </c>
      <c r="B463" s="136" t="s">
        <v>1620</v>
      </c>
      <c r="C463" s="136" t="s">
        <v>1621</v>
      </c>
      <c r="D463" s="136" t="s">
        <v>1622</v>
      </c>
      <c r="E463" s="146"/>
      <c r="F463" s="140"/>
    </row>
    <row r="464" spans="1:6" ht="15" customHeight="1" x14ac:dyDescent="0.2">
      <c r="A464" s="136" t="s">
        <v>1601</v>
      </c>
      <c r="B464" s="136" t="s">
        <v>1623</v>
      </c>
      <c r="C464" s="136" t="s">
        <v>1624</v>
      </c>
      <c r="D464" s="136" t="s">
        <v>1625</v>
      </c>
      <c r="E464" s="146"/>
      <c r="F464" s="140"/>
    </row>
    <row r="465" spans="1:5" x14ac:dyDescent="0.15">
      <c r="A465" s="136" t="s">
        <v>1601</v>
      </c>
      <c r="B465" s="136" t="s">
        <v>1078</v>
      </c>
      <c r="C465" s="136" t="s">
        <v>1302</v>
      </c>
      <c r="D465" s="136" t="s">
        <v>1367</v>
      </c>
      <c r="E465" s="146"/>
    </row>
    <row r="466" spans="1:5" x14ac:dyDescent="0.15">
      <c r="A466" s="136" t="s">
        <v>1601</v>
      </c>
      <c r="B466" s="136" t="s">
        <v>1084</v>
      </c>
      <c r="C466" s="136" t="s">
        <v>961</v>
      </c>
      <c r="D466" s="136" t="s">
        <v>962</v>
      </c>
      <c r="E466" s="146"/>
    </row>
    <row r="467" spans="1:5" x14ac:dyDescent="0.15">
      <c r="A467" s="136" t="s">
        <v>1601</v>
      </c>
      <c r="B467" s="136" t="s">
        <v>1085</v>
      </c>
      <c r="C467" s="136" t="s">
        <v>963</v>
      </c>
      <c r="D467" s="136" t="s">
        <v>964</v>
      </c>
      <c r="E467" s="146"/>
    </row>
    <row r="468" spans="1:5" x14ac:dyDescent="0.15">
      <c r="E468" s="146"/>
    </row>
    <row r="469" spans="1:5" s="140" customFormat="1" ht="15" customHeight="1" x14ac:dyDescent="0.2">
      <c r="A469" s="155" t="s">
        <v>1626</v>
      </c>
      <c r="B469" s="155" t="s">
        <v>1627</v>
      </c>
      <c r="C469" s="155" t="s">
        <v>1628</v>
      </c>
      <c r="D469" s="155" t="s">
        <v>1629</v>
      </c>
      <c r="E469" s="142"/>
    </row>
    <row r="470" spans="1:5" s="140" customFormat="1" ht="15" customHeight="1" x14ac:dyDescent="0.2">
      <c r="A470" s="155" t="s">
        <v>1626</v>
      </c>
      <c r="B470" s="155" t="s">
        <v>1630</v>
      </c>
      <c r="C470" s="155" t="s">
        <v>1631</v>
      </c>
      <c r="D470" s="155" t="s">
        <v>1632</v>
      </c>
      <c r="E470" s="142"/>
    </row>
    <row r="471" spans="1:5" s="140" customFormat="1" ht="15" customHeight="1" x14ac:dyDescent="0.2">
      <c r="A471" s="155" t="s">
        <v>1626</v>
      </c>
      <c r="B471" s="155" t="s">
        <v>1633</v>
      </c>
      <c r="C471" s="155" t="s">
        <v>1634</v>
      </c>
      <c r="D471" s="155" t="s">
        <v>1635</v>
      </c>
      <c r="E471" s="142"/>
    </row>
    <row r="472" spans="1:5" s="140" customFormat="1" ht="15" customHeight="1" x14ac:dyDescent="0.2">
      <c r="A472" s="155" t="s">
        <v>1626</v>
      </c>
      <c r="B472" s="155" t="s">
        <v>1636</v>
      </c>
      <c r="C472" s="155" t="s">
        <v>1637</v>
      </c>
      <c r="D472" s="155" t="s">
        <v>1638</v>
      </c>
      <c r="E472" s="142"/>
    </row>
    <row r="473" spans="1:5" s="140" customFormat="1" ht="15" customHeight="1" x14ac:dyDescent="0.2">
      <c r="A473" s="155" t="s">
        <v>1626</v>
      </c>
      <c r="B473" s="155" t="s">
        <v>1611</v>
      </c>
      <c r="C473" s="155" t="s">
        <v>1639</v>
      </c>
      <c r="D473" s="155" t="s">
        <v>1640</v>
      </c>
      <c r="E473" s="142"/>
    </row>
    <row r="474" spans="1:5" s="140" customFormat="1" ht="15" customHeight="1" x14ac:dyDescent="0.2">
      <c r="A474" s="155" t="s">
        <v>1626</v>
      </c>
      <c r="B474" s="155" t="s">
        <v>1641</v>
      </c>
      <c r="C474" s="155" t="s">
        <v>1642</v>
      </c>
      <c r="D474" s="155" t="s">
        <v>1643</v>
      </c>
      <c r="E474" s="142"/>
    </row>
    <row r="475" spans="1:5" s="140" customFormat="1" ht="15" customHeight="1" x14ac:dyDescent="0.2">
      <c r="A475" s="155" t="s">
        <v>1626</v>
      </c>
      <c r="B475" s="155" t="s">
        <v>1617</v>
      </c>
      <c r="C475" s="155" t="s">
        <v>1644</v>
      </c>
      <c r="D475" s="155" t="s">
        <v>1645</v>
      </c>
      <c r="E475" s="142"/>
    </row>
    <row r="476" spans="1:5" s="140" customFormat="1" ht="15" customHeight="1" x14ac:dyDescent="0.2">
      <c r="A476" s="155" t="s">
        <v>1626</v>
      </c>
      <c r="B476" s="155" t="s">
        <v>1078</v>
      </c>
      <c r="C476" s="155" t="s">
        <v>1302</v>
      </c>
      <c r="D476" s="155" t="s">
        <v>1303</v>
      </c>
      <c r="E476" s="142"/>
    </row>
    <row r="477" spans="1:5" s="140" customFormat="1" ht="15" customHeight="1" x14ac:dyDescent="0.2">
      <c r="A477" s="155" t="s">
        <v>1626</v>
      </c>
      <c r="B477" s="155" t="s">
        <v>1084</v>
      </c>
      <c r="C477" s="155" t="s">
        <v>961</v>
      </c>
      <c r="D477" s="155" t="s">
        <v>962</v>
      </c>
      <c r="E477" s="142"/>
    </row>
    <row r="478" spans="1:5" s="140" customFormat="1" ht="15" customHeight="1" x14ac:dyDescent="0.2">
      <c r="A478" s="155" t="s">
        <v>1626</v>
      </c>
      <c r="B478" s="155" t="s">
        <v>1085</v>
      </c>
      <c r="C478" s="155" t="s">
        <v>963</v>
      </c>
      <c r="D478" s="155" t="s">
        <v>964</v>
      </c>
      <c r="E478" s="142"/>
    </row>
    <row r="479" spans="1:5" ht="15" customHeight="1" x14ac:dyDescent="0.2">
      <c r="D479" s="140"/>
      <c r="E479" s="146"/>
    </row>
    <row r="480" spans="1:5" x14ac:dyDescent="0.15">
      <c r="A480" s="136" t="s">
        <v>1646</v>
      </c>
      <c r="B480" s="136">
        <v>1</v>
      </c>
      <c r="C480" s="136" t="s">
        <v>1647</v>
      </c>
      <c r="D480" s="136" t="s">
        <v>1648</v>
      </c>
      <c r="E480" s="146"/>
    </row>
    <row r="481" spans="1:6" x14ac:dyDescent="0.15">
      <c r="A481" s="136" t="s">
        <v>1646</v>
      </c>
      <c r="B481" s="136">
        <v>2</v>
      </c>
      <c r="C481" s="136" t="s">
        <v>1649</v>
      </c>
      <c r="D481" s="136" t="s">
        <v>1650</v>
      </c>
      <c r="E481" s="146"/>
    </row>
    <row r="482" spans="1:6" x14ac:dyDescent="0.15">
      <c r="A482" s="136" t="s">
        <v>1646</v>
      </c>
      <c r="B482" s="136">
        <v>3</v>
      </c>
      <c r="C482" s="136" t="s">
        <v>1651</v>
      </c>
      <c r="D482" s="136" t="s">
        <v>1652</v>
      </c>
      <c r="E482" s="146"/>
    </row>
    <row r="483" spans="1:6" x14ac:dyDescent="0.15">
      <c r="A483" s="136" t="s">
        <v>1646</v>
      </c>
      <c r="B483" s="136">
        <v>4</v>
      </c>
      <c r="C483" s="136" t="s">
        <v>1653</v>
      </c>
      <c r="D483" s="136" t="s">
        <v>1654</v>
      </c>
      <c r="E483" s="146"/>
    </row>
    <row r="484" spans="1:6" x14ac:dyDescent="0.15">
      <c r="A484" s="136" t="s">
        <v>1646</v>
      </c>
      <c r="B484" s="136">
        <v>5</v>
      </c>
      <c r="C484" s="136" t="s">
        <v>1302</v>
      </c>
      <c r="D484" s="136" t="s">
        <v>1303</v>
      </c>
      <c r="E484" s="146"/>
    </row>
    <row r="485" spans="1:6" ht="15" customHeight="1" x14ac:dyDescent="0.2">
      <c r="A485" s="136" t="s">
        <v>1646</v>
      </c>
      <c r="B485" s="148">
        <v>6</v>
      </c>
      <c r="C485" s="136" t="s">
        <v>961</v>
      </c>
      <c r="D485" s="136" t="s">
        <v>962</v>
      </c>
      <c r="E485" s="146"/>
    </row>
    <row r="486" spans="1:6" ht="15" customHeight="1" x14ac:dyDescent="0.2">
      <c r="A486" s="136" t="s">
        <v>1646</v>
      </c>
      <c r="B486" s="148">
        <v>7</v>
      </c>
      <c r="C486" s="136" t="s">
        <v>963</v>
      </c>
      <c r="D486" s="136" t="s">
        <v>964</v>
      </c>
      <c r="E486" s="146"/>
    </row>
    <row r="487" spans="1:6" x14ac:dyDescent="0.15">
      <c r="E487" s="146"/>
    </row>
    <row r="488" spans="1:6" ht="15" customHeight="1" x14ac:dyDescent="0.2">
      <c r="A488" s="136" t="s">
        <v>1655</v>
      </c>
      <c r="B488" s="136" t="s">
        <v>1448</v>
      </c>
      <c r="C488" s="136" t="s">
        <v>1449</v>
      </c>
      <c r="D488" s="136" t="s">
        <v>1450</v>
      </c>
      <c r="E488" s="146"/>
      <c r="F488" s="140"/>
    </row>
    <row r="489" spans="1:6" ht="15" customHeight="1" x14ac:dyDescent="0.2">
      <c r="A489" s="136" t="s">
        <v>1655</v>
      </c>
      <c r="B489" s="136" t="s">
        <v>1451</v>
      </c>
      <c r="C489" s="136" t="s">
        <v>1656</v>
      </c>
      <c r="D489" s="136" t="s">
        <v>1657</v>
      </c>
      <c r="E489" s="146"/>
      <c r="F489" s="140"/>
    </row>
    <row r="490" spans="1:6" ht="15" customHeight="1" x14ac:dyDescent="0.2">
      <c r="A490" s="136" t="s">
        <v>1655</v>
      </c>
      <c r="B490" s="136" t="s">
        <v>1454</v>
      </c>
      <c r="C490" s="136" t="s">
        <v>1658</v>
      </c>
      <c r="D490" s="136" t="s">
        <v>1456</v>
      </c>
      <c r="E490" s="146"/>
      <c r="F490" s="140"/>
    </row>
    <row r="491" spans="1:6" ht="15" customHeight="1" x14ac:dyDescent="0.2">
      <c r="A491" s="136" t="s">
        <v>1655</v>
      </c>
      <c r="B491" s="136" t="s">
        <v>1457</v>
      </c>
      <c r="C491" s="136" t="s">
        <v>1659</v>
      </c>
      <c r="D491" s="136" t="s">
        <v>1459</v>
      </c>
      <c r="E491" s="146"/>
      <c r="F491" s="140"/>
    </row>
    <row r="492" spans="1:6" ht="15" customHeight="1" x14ac:dyDescent="0.2">
      <c r="A492" s="136" t="s">
        <v>1655</v>
      </c>
      <c r="B492" s="136" t="s">
        <v>1660</v>
      </c>
      <c r="C492" s="136" t="s">
        <v>1461</v>
      </c>
      <c r="D492" s="136" t="s">
        <v>1462</v>
      </c>
      <c r="E492" s="146"/>
      <c r="F492" s="140"/>
    </row>
    <row r="493" spans="1:6" ht="15" customHeight="1" x14ac:dyDescent="0.2">
      <c r="A493" s="136" t="s">
        <v>1655</v>
      </c>
      <c r="B493" s="136" t="s">
        <v>1463</v>
      </c>
      <c r="C493" s="136" t="s">
        <v>1661</v>
      </c>
      <c r="D493" s="136" t="s">
        <v>1662</v>
      </c>
      <c r="E493" s="146"/>
      <c r="F493" s="140"/>
    </row>
    <row r="494" spans="1:6" ht="15" customHeight="1" x14ac:dyDescent="0.2">
      <c r="A494" s="136" t="s">
        <v>1655</v>
      </c>
      <c r="B494" s="136" t="s">
        <v>1466</v>
      </c>
      <c r="C494" s="136" t="s">
        <v>1663</v>
      </c>
      <c r="D494" s="136" t="s">
        <v>1468</v>
      </c>
      <c r="E494" s="146"/>
      <c r="F494" s="140"/>
    </row>
    <row r="495" spans="1:6" x14ac:dyDescent="0.15">
      <c r="A495" s="136" t="s">
        <v>1655</v>
      </c>
      <c r="B495" s="136" t="s">
        <v>1078</v>
      </c>
      <c r="C495" s="136" t="s">
        <v>1366</v>
      </c>
      <c r="D495" s="136" t="s">
        <v>1367</v>
      </c>
      <c r="E495" s="146"/>
    </row>
    <row r="496" spans="1:6" x14ac:dyDescent="0.15">
      <c r="A496" s="136" t="s">
        <v>1655</v>
      </c>
      <c r="B496" s="136" t="s">
        <v>1084</v>
      </c>
      <c r="C496" s="136" t="s">
        <v>961</v>
      </c>
      <c r="D496" s="136" t="s">
        <v>962</v>
      </c>
      <c r="E496" s="146"/>
    </row>
    <row r="497" spans="1:5" x14ac:dyDescent="0.15">
      <c r="A497" s="136" t="s">
        <v>1655</v>
      </c>
      <c r="B497" s="136" t="s">
        <v>1085</v>
      </c>
      <c r="C497" s="136" t="s">
        <v>963</v>
      </c>
      <c r="D497" s="136" t="s">
        <v>964</v>
      </c>
      <c r="E497" s="146"/>
    </row>
    <row r="498" spans="1:5" x14ac:dyDescent="0.15">
      <c r="E498" s="146"/>
    </row>
    <row r="499" spans="1:5" x14ac:dyDescent="0.15">
      <c r="A499" s="136" t="s">
        <v>1664</v>
      </c>
      <c r="B499" s="136">
        <v>1</v>
      </c>
      <c r="C499" s="136" t="s">
        <v>1665</v>
      </c>
      <c r="D499" s="136" t="s">
        <v>1666</v>
      </c>
      <c r="E499" s="146"/>
    </row>
    <row r="500" spans="1:5" x14ac:dyDescent="0.15">
      <c r="A500" s="136" t="s">
        <v>1664</v>
      </c>
      <c r="B500" s="136">
        <v>2</v>
      </c>
      <c r="C500" s="136" t="s">
        <v>1667</v>
      </c>
      <c r="D500" s="136" t="s">
        <v>1668</v>
      </c>
      <c r="E500" s="146"/>
    </row>
    <row r="501" spans="1:5" x14ac:dyDescent="0.15">
      <c r="A501" s="136" t="s">
        <v>1664</v>
      </c>
      <c r="B501" s="136">
        <v>3</v>
      </c>
      <c r="C501" s="136" t="s">
        <v>1669</v>
      </c>
      <c r="D501" s="136" t="s">
        <v>1670</v>
      </c>
      <c r="E501" s="146"/>
    </row>
    <row r="502" spans="1:5" x14ac:dyDescent="0.15">
      <c r="A502" s="136" t="s">
        <v>1664</v>
      </c>
      <c r="B502" s="136">
        <v>4</v>
      </c>
      <c r="C502" s="136" t="s">
        <v>1671</v>
      </c>
      <c r="D502" s="136" t="s">
        <v>962</v>
      </c>
      <c r="E502" s="146"/>
    </row>
    <row r="503" spans="1:5" ht="15" customHeight="1" x14ac:dyDescent="0.2">
      <c r="A503" s="136" t="s">
        <v>1664</v>
      </c>
      <c r="B503" s="148">
        <v>5</v>
      </c>
      <c r="C503" s="136" t="s">
        <v>963</v>
      </c>
      <c r="D503" s="136" t="s">
        <v>964</v>
      </c>
      <c r="E503" s="146"/>
    </row>
    <row r="504" spans="1:5" x14ac:dyDescent="0.15">
      <c r="E504" s="146"/>
    </row>
    <row r="505" spans="1:5" x14ac:dyDescent="0.15">
      <c r="A505" s="136" t="s">
        <v>1672</v>
      </c>
      <c r="B505" s="136">
        <v>1</v>
      </c>
      <c r="C505" s="136" t="s">
        <v>957</v>
      </c>
      <c r="D505" s="136" t="s">
        <v>968</v>
      </c>
      <c r="E505" s="146"/>
    </row>
    <row r="506" spans="1:5" x14ac:dyDescent="0.15">
      <c r="A506" s="136" t="s">
        <v>1672</v>
      </c>
      <c r="B506" s="136">
        <v>2</v>
      </c>
      <c r="C506" s="136" t="s">
        <v>1673</v>
      </c>
      <c r="D506" s="136" t="s">
        <v>1674</v>
      </c>
      <c r="E506" s="146"/>
    </row>
    <row r="507" spans="1:5" x14ac:dyDescent="0.15">
      <c r="A507" s="136" t="s">
        <v>1672</v>
      </c>
      <c r="B507" s="136">
        <v>3</v>
      </c>
      <c r="C507" s="136" t="s">
        <v>1675</v>
      </c>
      <c r="D507" s="136" t="s">
        <v>1676</v>
      </c>
      <c r="E507" s="146"/>
    </row>
    <row r="508" spans="1:5" x14ac:dyDescent="0.15">
      <c r="A508" s="136" t="s">
        <v>1672</v>
      </c>
      <c r="B508" s="136">
        <v>4</v>
      </c>
      <c r="C508" s="136" t="s">
        <v>1677</v>
      </c>
      <c r="D508" s="136" t="s">
        <v>1678</v>
      </c>
      <c r="E508" s="146"/>
    </row>
    <row r="509" spans="1:5" ht="15" customHeight="1" x14ac:dyDescent="0.2">
      <c r="A509" s="136" t="s">
        <v>1672</v>
      </c>
      <c r="B509" s="148">
        <v>5</v>
      </c>
      <c r="C509" s="136" t="s">
        <v>961</v>
      </c>
      <c r="D509" s="136" t="s">
        <v>962</v>
      </c>
      <c r="E509" s="146"/>
    </row>
    <row r="510" spans="1:5" ht="15" customHeight="1" x14ac:dyDescent="0.2">
      <c r="A510" s="136" t="s">
        <v>1672</v>
      </c>
      <c r="B510" s="148">
        <v>6</v>
      </c>
      <c r="C510" s="136" t="s">
        <v>963</v>
      </c>
      <c r="D510" s="136" t="s">
        <v>964</v>
      </c>
      <c r="E510" s="146"/>
    </row>
    <row r="511" spans="1:5" x14ac:dyDescent="0.15">
      <c r="E511" s="146"/>
    </row>
    <row r="512" spans="1:5" x14ac:dyDescent="0.15">
      <c r="A512" s="136" t="s">
        <v>738</v>
      </c>
      <c r="B512" s="136" t="s">
        <v>1679</v>
      </c>
      <c r="C512" s="136" t="s">
        <v>1680</v>
      </c>
      <c r="D512" s="136" t="s">
        <v>1681</v>
      </c>
      <c r="E512" s="146"/>
    </row>
    <row r="513" spans="1:6" x14ac:dyDescent="0.15">
      <c r="A513" s="136" t="s">
        <v>738</v>
      </c>
      <c r="B513" s="136" t="s">
        <v>1682</v>
      </c>
      <c r="C513" s="136" t="s">
        <v>1683</v>
      </c>
      <c r="D513" s="136" t="s">
        <v>1684</v>
      </c>
      <c r="E513" s="146"/>
    </row>
    <row r="514" spans="1:6" x14ac:dyDescent="0.15">
      <c r="A514" s="136" t="s">
        <v>738</v>
      </c>
      <c r="B514" s="136" t="s">
        <v>1685</v>
      </c>
      <c r="C514" s="136" t="s">
        <v>1686</v>
      </c>
      <c r="D514" s="136" t="s">
        <v>1687</v>
      </c>
      <c r="E514" s="146"/>
    </row>
    <row r="515" spans="1:6" x14ac:dyDescent="0.15">
      <c r="A515" s="136" t="s">
        <v>738</v>
      </c>
      <c r="B515" s="136" t="s">
        <v>1688</v>
      </c>
      <c r="C515" s="136" t="s">
        <v>1689</v>
      </c>
      <c r="D515" s="136" t="s">
        <v>1690</v>
      </c>
      <c r="E515" s="146"/>
    </row>
    <row r="516" spans="1:6" x14ac:dyDescent="0.15">
      <c r="A516" s="136" t="s">
        <v>738</v>
      </c>
      <c r="B516" s="136" t="s">
        <v>1691</v>
      </c>
      <c r="C516" s="136" t="s">
        <v>1692</v>
      </c>
      <c r="D516" s="136" t="s">
        <v>1693</v>
      </c>
      <c r="E516" s="146"/>
    </row>
    <row r="517" spans="1:6" x14ac:dyDescent="0.15">
      <c r="A517" s="136" t="s">
        <v>738</v>
      </c>
      <c r="B517" s="136" t="s">
        <v>1694</v>
      </c>
      <c r="C517" s="136" t="s">
        <v>1573</v>
      </c>
      <c r="D517" s="136" t="s">
        <v>1574</v>
      </c>
      <c r="E517" s="146"/>
    </row>
    <row r="518" spans="1:6" x14ac:dyDescent="0.15">
      <c r="A518" s="136" t="s">
        <v>738</v>
      </c>
      <c r="B518" s="136" t="s">
        <v>1695</v>
      </c>
      <c r="C518" s="136" t="s">
        <v>1696</v>
      </c>
      <c r="D518" s="136" t="s">
        <v>1697</v>
      </c>
      <c r="E518" s="146"/>
    </row>
    <row r="519" spans="1:6" x14ac:dyDescent="0.15">
      <c r="A519" s="136" t="s">
        <v>738</v>
      </c>
      <c r="B519" s="136" t="s">
        <v>1698</v>
      </c>
      <c r="C519" s="136" t="s">
        <v>1699</v>
      </c>
      <c r="D519" s="136" t="s">
        <v>1700</v>
      </c>
      <c r="E519" s="146"/>
    </row>
    <row r="520" spans="1:6" x14ac:dyDescent="0.15">
      <c r="A520" s="136" t="s">
        <v>738</v>
      </c>
      <c r="B520" s="136" t="s">
        <v>1701</v>
      </c>
      <c r="C520" s="136" t="s">
        <v>1702</v>
      </c>
      <c r="D520" s="136" t="s">
        <v>1703</v>
      </c>
      <c r="E520" s="146"/>
    </row>
    <row r="521" spans="1:6" x14ac:dyDescent="0.15">
      <c r="A521" s="136" t="s">
        <v>738</v>
      </c>
      <c r="B521" s="136" t="s">
        <v>1704</v>
      </c>
      <c r="C521" s="136" t="s">
        <v>1705</v>
      </c>
      <c r="D521" s="136" t="s">
        <v>1706</v>
      </c>
      <c r="E521" s="146"/>
    </row>
    <row r="522" spans="1:6" x14ac:dyDescent="0.15">
      <c r="A522" s="136" t="s">
        <v>738</v>
      </c>
      <c r="B522" s="136" t="s">
        <v>1707</v>
      </c>
      <c r="C522" s="136" t="s">
        <v>1708</v>
      </c>
      <c r="D522" s="136" t="s">
        <v>1709</v>
      </c>
      <c r="E522" s="146"/>
    </row>
    <row r="523" spans="1:6" x14ac:dyDescent="0.15">
      <c r="A523" s="136" t="s">
        <v>738</v>
      </c>
      <c r="B523" s="136" t="s">
        <v>1710</v>
      </c>
      <c r="C523" s="136" t="s">
        <v>1711</v>
      </c>
      <c r="D523" s="136" t="s">
        <v>1712</v>
      </c>
      <c r="E523" s="146"/>
    </row>
    <row r="524" spans="1:6" x14ac:dyDescent="0.15">
      <c r="E524" s="146"/>
    </row>
    <row r="525" spans="1:6" ht="15" customHeight="1" x14ac:dyDescent="0.2">
      <c r="A525" s="136" t="s">
        <v>1713</v>
      </c>
      <c r="B525" s="136" t="s">
        <v>1714</v>
      </c>
      <c r="C525" s="136" t="s">
        <v>1715</v>
      </c>
      <c r="D525" s="136" t="s">
        <v>1716</v>
      </c>
      <c r="E525" s="146"/>
      <c r="F525" s="140"/>
    </row>
    <row r="526" spans="1:6" ht="15" customHeight="1" x14ac:dyDescent="0.2">
      <c r="A526" s="136" t="s">
        <v>1713</v>
      </c>
      <c r="B526" s="136" t="s">
        <v>1717</v>
      </c>
      <c r="C526" s="136" t="s">
        <v>1718</v>
      </c>
      <c r="D526" s="136" t="s">
        <v>1719</v>
      </c>
      <c r="E526" s="146"/>
      <c r="F526" s="140"/>
    </row>
    <row r="527" spans="1:6" ht="15" customHeight="1" x14ac:dyDescent="0.2">
      <c r="A527" s="136" t="s">
        <v>1713</v>
      </c>
      <c r="B527" s="136" t="s">
        <v>1720</v>
      </c>
      <c r="C527" s="136" t="s">
        <v>1721</v>
      </c>
      <c r="D527" s="136" t="s">
        <v>1722</v>
      </c>
      <c r="E527" s="146"/>
      <c r="F527" s="140"/>
    </row>
    <row r="528" spans="1:6" ht="15" customHeight="1" x14ac:dyDescent="0.2">
      <c r="A528" s="136" t="s">
        <v>1713</v>
      </c>
      <c r="B528" s="136" t="s">
        <v>1723</v>
      </c>
      <c r="C528" s="136" t="s">
        <v>1724</v>
      </c>
      <c r="D528" s="136" t="s">
        <v>1725</v>
      </c>
      <c r="E528" s="146"/>
      <c r="F528" s="140"/>
    </row>
    <row r="529" spans="1:6" ht="15" customHeight="1" x14ac:dyDescent="0.2">
      <c r="A529" s="136" t="s">
        <v>1713</v>
      </c>
      <c r="B529" s="136" t="s">
        <v>1726</v>
      </c>
      <c r="C529" s="136" t="s">
        <v>1727</v>
      </c>
      <c r="D529" s="136" t="s">
        <v>1728</v>
      </c>
      <c r="E529" s="146"/>
      <c r="F529" s="140"/>
    </row>
    <row r="530" spans="1:6" ht="15" customHeight="1" x14ac:dyDescent="0.2">
      <c r="A530" s="136" t="s">
        <v>1713</v>
      </c>
      <c r="B530" s="136" t="s">
        <v>1729</v>
      </c>
      <c r="C530" s="136" t="s">
        <v>1730</v>
      </c>
      <c r="D530" s="136" t="s">
        <v>1731</v>
      </c>
      <c r="E530" s="146"/>
      <c r="F530" s="140"/>
    </row>
    <row r="531" spans="1:6" ht="15" customHeight="1" x14ac:dyDescent="0.2">
      <c r="A531" s="136" t="s">
        <v>1713</v>
      </c>
      <c r="B531" s="136" t="s">
        <v>547</v>
      </c>
      <c r="C531" s="136" t="s">
        <v>1732</v>
      </c>
      <c r="D531" s="136" t="s">
        <v>1733</v>
      </c>
      <c r="E531" s="146"/>
      <c r="F531" s="140"/>
    </row>
    <row r="532" spans="1:6" ht="15" customHeight="1" x14ac:dyDescent="0.2">
      <c r="A532" s="136" t="s">
        <v>1713</v>
      </c>
      <c r="B532" s="136" t="s">
        <v>1734</v>
      </c>
      <c r="C532" s="136" t="s">
        <v>1735</v>
      </c>
      <c r="D532" s="136" t="s">
        <v>1736</v>
      </c>
      <c r="E532" s="146"/>
      <c r="F532" s="140"/>
    </row>
    <row r="533" spans="1:6" ht="15" customHeight="1" x14ac:dyDescent="0.2">
      <c r="A533" s="136" t="s">
        <v>1713</v>
      </c>
      <c r="B533" s="136" t="s">
        <v>1737</v>
      </c>
      <c r="C533" s="136" t="s">
        <v>1738</v>
      </c>
      <c r="D533" s="136" t="s">
        <v>1739</v>
      </c>
      <c r="E533" s="146"/>
      <c r="F533" s="140"/>
    </row>
    <row r="534" spans="1:6" ht="15" customHeight="1" x14ac:dyDescent="0.2">
      <c r="A534" s="136" t="s">
        <v>1713</v>
      </c>
      <c r="B534" s="136" t="s">
        <v>1740</v>
      </c>
      <c r="C534" s="136" t="s">
        <v>1741</v>
      </c>
      <c r="D534" s="136" t="s">
        <v>1742</v>
      </c>
      <c r="E534" s="146"/>
      <c r="F534" s="140"/>
    </row>
    <row r="535" spans="1:6" ht="15" customHeight="1" x14ac:dyDescent="0.2">
      <c r="A535" s="136" t="s">
        <v>1713</v>
      </c>
      <c r="B535" s="136" t="s">
        <v>1743</v>
      </c>
      <c r="C535" s="136" t="s">
        <v>1744</v>
      </c>
      <c r="D535" s="136" t="s">
        <v>1745</v>
      </c>
      <c r="E535" s="146"/>
      <c r="F535" s="140"/>
    </row>
    <row r="536" spans="1:6" ht="15" customHeight="1" x14ac:dyDescent="0.2">
      <c r="A536" s="136" t="s">
        <v>1713</v>
      </c>
      <c r="B536" s="136" t="s">
        <v>1746</v>
      </c>
      <c r="C536" s="136" t="s">
        <v>1747</v>
      </c>
      <c r="D536" s="136" t="s">
        <v>1748</v>
      </c>
      <c r="E536" s="146"/>
      <c r="F536" s="140"/>
    </row>
    <row r="537" spans="1:6" ht="15" customHeight="1" x14ac:dyDescent="0.2">
      <c r="A537" s="136" t="s">
        <v>1713</v>
      </c>
      <c r="B537" s="136" t="s">
        <v>1749</v>
      </c>
      <c r="C537" s="136" t="s">
        <v>1750</v>
      </c>
      <c r="D537" s="136" t="s">
        <v>1751</v>
      </c>
      <c r="E537" s="146"/>
      <c r="F537" s="140"/>
    </row>
    <row r="538" spans="1:6" ht="15" customHeight="1" x14ac:dyDescent="0.2">
      <c r="A538" s="136" t="s">
        <v>1713</v>
      </c>
      <c r="B538" s="136" t="s">
        <v>1752</v>
      </c>
      <c r="C538" s="136" t="s">
        <v>1753</v>
      </c>
      <c r="D538" s="136" t="s">
        <v>1754</v>
      </c>
      <c r="E538" s="146"/>
      <c r="F538" s="140"/>
    </row>
    <row r="539" spans="1:6" ht="15" customHeight="1" x14ac:dyDescent="0.2">
      <c r="A539" s="136" t="s">
        <v>1713</v>
      </c>
      <c r="B539" s="136" t="s">
        <v>1755</v>
      </c>
      <c r="C539" s="136" t="s">
        <v>1756</v>
      </c>
      <c r="D539" s="136" t="s">
        <v>1757</v>
      </c>
      <c r="E539" s="146"/>
      <c r="F539" s="140"/>
    </row>
    <row r="540" spans="1:6" ht="15" customHeight="1" x14ac:dyDescent="0.2">
      <c r="A540" s="136" t="s">
        <v>1713</v>
      </c>
      <c r="B540" s="136" t="s">
        <v>1758</v>
      </c>
      <c r="C540" s="136" t="s">
        <v>1759</v>
      </c>
      <c r="D540" s="136" t="s">
        <v>1760</v>
      </c>
      <c r="E540" s="146"/>
      <c r="F540" s="140"/>
    </row>
    <row r="541" spans="1:6" x14ac:dyDescent="0.15">
      <c r="A541" s="136" t="s">
        <v>1713</v>
      </c>
      <c r="B541" s="136" t="s">
        <v>1078</v>
      </c>
      <c r="C541" s="136" t="s">
        <v>1302</v>
      </c>
      <c r="D541" s="136" t="s">
        <v>1303</v>
      </c>
      <c r="E541" s="146"/>
    </row>
    <row r="542" spans="1:6" x14ac:dyDescent="0.15">
      <c r="A542" s="136" t="s">
        <v>1713</v>
      </c>
      <c r="B542" s="136" t="s">
        <v>1084</v>
      </c>
      <c r="C542" s="136" t="s">
        <v>961</v>
      </c>
      <c r="D542" s="136" t="s">
        <v>962</v>
      </c>
      <c r="E542" s="146"/>
    </row>
    <row r="543" spans="1:6" x14ac:dyDescent="0.15">
      <c r="A543" s="136" t="s">
        <v>1713</v>
      </c>
      <c r="B543" s="136" t="s">
        <v>1085</v>
      </c>
      <c r="C543" s="136" t="s">
        <v>963</v>
      </c>
      <c r="D543" s="136" t="s">
        <v>964</v>
      </c>
      <c r="E543" s="146"/>
    </row>
    <row r="544" spans="1:6" x14ac:dyDescent="0.15">
      <c r="E544" s="146"/>
    </row>
    <row r="545" spans="1:6" ht="15" customHeight="1" x14ac:dyDescent="0.2">
      <c r="A545" s="136" t="s">
        <v>1761</v>
      </c>
      <c r="B545" s="136" t="s">
        <v>1714</v>
      </c>
      <c r="C545" s="136" t="s">
        <v>1715</v>
      </c>
      <c r="D545" s="136" t="s">
        <v>1716</v>
      </c>
      <c r="E545" s="146"/>
      <c r="F545" s="140"/>
    </row>
    <row r="546" spans="1:6" ht="15" customHeight="1" x14ac:dyDescent="0.2">
      <c r="A546" s="136" t="s">
        <v>1761</v>
      </c>
      <c r="B546" s="136" t="s">
        <v>1717</v>
      </c>
      <c r="C546" s="136" t="s">
        <v>1762</v>
      </c>
      <c r="D546" s="136" t="s">
        <v>1719</v>
      </c>
      <c r="E546" s="146"/>
      <c r="F546" s="140"/>
    </row>
    <row r="547" spans="1:6" ht="15" customHeight="1" x14ac:dyDescent="0.2">
      <c r="A547" s="136" t="s">
        <v>1761</v>
      </c>
      <c r="B547" s="136" t="s">
        <v>1720</v>
      </c>
      <c r="C547" s="136" t="s">
        <v>1763</v>
      </c>
      <c r="D547" s="136" t="s">
        <v>1764</v>
      </c>
      <c r="E547" s="146"/>
      <c r="F547" s="140"/>
    </row>
    <row r="548" spans="1:6" ht="15" customHeight="1" x14ac:dyDescent="0.2">
      <c r="A548" s="136" t="s">
        <v>1761</v>
      </c>
      <c r="B548" s="136" t="s">
        <v>1765</v>
      </c>
      <c r="C548" s="136" t="s">
        <v>1766</v>
      </c>
      <c r="D548" s="136" t="s">
        <v>1767</v>
      </c>
      <c r="E548" s="146"/>
      <c r="F548" s="140"/>
    </row>
    <row r="549" spans="1:6" ht="15" customHeight="1" x14ac:dyDescent="0.2">
      <c r="A549" s="136" t="s">
        <v>1761</v>
      </c>
      <c r="B549" s="136" t="s">
        <v>1768</v>
      </c>
      <c r="C549" s="136" t="s">
        <v>1769</v>
      </c>
      <c r="D549" s="136" t="s">
        <v>1770</v>
      </c>
      <c r="E549" s="146"/>
      <c r="F549" s="140"/>
    </row>
    <row r="550" spans="1:6" ht="15" customHeight="1" x14ac:dyDescent="0.2">
      <c r="A550" s="136" t="s">
        <v>1761</v>
      </c>
      <c r="B550" s="136" t="s">
        <v>1771</v>
      </c>
      <c r="C550" s="136" t="s">
        <v>1772</v>
      </c>
      <c r="D550" s="136" t="s">
        <v>1773</v>
      </c>
      <c r="E550" s="146"/>
      <c r="F550" s="140"/>
    </row>
    <row r="551" spans="1:6" ht="15" customHeight="1" x14ac:dyDescent="0.2">
      <c r="A551" s="136" t="s">
        <v>1761</v>
      </c>
      <c r="B551" s="136" t="s">
        <v>1774</v>
      </c>
      <c r="C551" s="136" t="s">
        <v>1753</v>
      </c>
      <c r="D551" s="136" t="s">
        <v>1754</v>
      </c>
      <c r="E551" s="146"/>
      <c r="F551" s="140"/>
    </row>
    <row r="552" spans="1:6" ht="15" customHeight="1" x14ac:dyDescent="0.2">
      <c r="A552" s="136" t="s">
        <v>1761</v>
      </c>
      <c r="B552" s="136" t="s">
        <v>1775</v>
      </c>
      <c r="C552" s="136" t="s">
        <v>1759</v>
      </c>
      <c r="D552" s="136" t="s">
        <v>1776</v>
      </c>
      <c r="E552" s="146"/>
      <c r="F552" s="140"/>
    </row>
    <row r="553" spans="1:6" ht="15" customHeight="1" x14ac:dyDescent="0.2">
      <c r="A553" s="136" t="s">
        <v>1761</v>
      </c>
      <c r="B553" s="136" t="s">
        <v>1078</v>
      </c>
      <c r="C553" s="136" t="s">
        <v>1302</v>
      </c>
      <c r="D553" s="136" t="s">
        <v>1303</v>
      </c>
      <c r="E553" s="146"/>
      <c r="F553" s="140"/>
    </row>
    <row r="554" spans="1:6" ht="15" customHeight="1" x14ac:dyDescent="0.2">
      <c r="A554" s="136" t="s">
        <v>1761</v>
      </c>
      <c r="B554" s="136" t="s">
        <v>1081</v>
      </c>
      <c r="C554" s="136" t="s">
        <v>1777</v>
      </c>
      <c r="D554" s="136" t="s">
        <v>1778</v>
      </c>
      <c r="E554" s="146"/>
      <c r="F554" s="140"/>
    </row>
    <row r="555" spans="1:6" x14ac:dyDescent="0.15">
      <c r="A555" s="136" t="s">
        <v>1761</v>
      </c>
      <c r="B555" s="136" t="s">
        <v>1084</v>
      </c>
      <c r="C555" s="136" t="s">
        <v>1671</v>
      </c>
      <c r="D555" s="136" t="s">
        <v>962</v>
      </c>
      <c r="E555" s="146"/>
    </row>
    <row r="556" spans="1:6" x14ac:dyDescent="0.15">
      <c r="A556" s="136" t="s">
        <v>1761</v>
      </c>
      <c r="B556" s="136" t="s">
        <v>1085</v>
      </c>
      <c r="C556" s="136" t="s">
        <v>963</v>
      </c>
      <c r="D556" s="136" t="s">
        <v>964</v>
      </c>
      <c r="E556" s="146"/>
    </row>
    <row r="557" spans="1:6" x14ac:dyDescent="0.15">
      <c r="E557" s="146"/>
    </row>
    <row r="558" spans="1:6" ht="15" customHeight="1" x14ac:dyDescent="0.2">
      <c r="A558" s="136" t="s">
        <v>1779</v>
      </c>
      <c r="B558" s="136">
        <v>1</v>
      </c>
      <c r="C558" s="136" t="s">
        <v>957</v>
      </c>
      <c r="D558" s="136" t="s">
        <v>1780</v>
      </c>
      <c r="E558" s="146"/>
      <c r="F558" s="140"/>
    </row>
    <row r="559" spans="1:6" ht="15" customHeight="1" x14ac:dyDescent="0.2">
      <c r="A559" s="136" t="s">
        <v>1779</v>
      </c>
      <c r="B559" s="136">
        <v>2</v>
      </c>
      <c r="C559" s="136" t="s">
        <v>1781</v>
      </c>
      <c r="D559" s="136" t="s">
        <v>1782</v>
      </c>
      <c r="E559" s="146"/>
      <c r="F559" s="140"/>
    </row>
    <row r="560" spans="1:6" ht="15" customHeight="1" x14ac:dyDescent="0.2">
      <c r="A560" s="136" t="s">
        <v>1779</v>
      </c>
      <c r="B560" s="136">
        <v>3</v>
      </c>
      <c r="C560" s="136" t="s">
        <v>1783</v>
      </c>
      <c r="D560" s="136" t="s">
        <v>1784</v>
      </c>
      <c r="E560" s="146"/>
      <c r="F560" s="140"/>
    </row>
    <row r="561" spans="1:6" ht="15" customHeight="1" x14ac:dyDescent="0.2">
      <c r="A561" s="136" t="s">
        <v>1779</v>
      </c>
      <c r="B561" s="136">
        <v>4</v>
      </c>
      <c r="C561" s="136" t="s">
        <v>1785</v>
      </c>
      <c r="D561" s="136" t="s">
        <v>1786</v>
      </c>
      <c r="E561" s="146"/>
      <c r="F561" s="140"/>
    </row>
    <row r="562" spans="1:6" ht="15" customHeight="1" x14ac:dyDescent="0.2">
      <c r="A562" s="136" t="s">
        <v>1779</v>
      </c>
      <c r="B562" s="136">
        <v>5</v>
      </c>
      <c r="C562" s="136" t="s">
        <v>1787</v>
      </c>
      <c r="D562" s="136" t="s">
        <v>1788</v>
      </c>
      <c r="E562" s="146"/>
      <c r="F562" s="140"/>
    </row>
    <row r="563" spans="1:6" ht="15" customHeight="1" x14ac:dyDescent="0.2">
      <c r="A563" s="136" t="s">
        <v>1779</v>
      </c>
      <c r="B563" s="136">
        <v>6</v>
      </c>
      <c r="C563" s="136" t="s">
        <v>1789</v>
      </c>
      <c r="D563" s="136" t="s">
        <v>1790</v>
      </c>
      <c r="E563" s="146"/>
      <c r="F563" s="140"/>
    </row>
    <row r="564" spans="1:6" ht="15" customHeight="1" x14ac:dyDescent="0.2">
      <c r="A564" s="136" t="s">
        <v>1779</v>
      </c>
      <c r="B564" s="136">
        <v>7</v>
      </c>
      <c r="C564" s="136" t="s">
        <v>961</v>
      </c>
      <c r="D564" s="136" t="s">
        <v>962</v>
      </c>
      <c r="E564" s="146"/>
      <c r="F564" s="140"/>
    </row>
    <row r="565" spans="1:6" ht="15" customHeight="1" x14ac:dyDescent="0.2">
      <c r="A565" s="136" t="s">
        <v>1779</v>
      </c>
      <c r="B565" s="136">
        <v>8</v>
      </c>
      <c r="C565" s="136" t="s">
        <v>963</v>
      </c>
      <c r="D565" s="136" t="s">
        <v>964</v>
      </c>
      <c r="E565" s="146"/>
      <c r="F565" s="140"/>
    </row>
    <row r="566" spans="1:6" ht="15" customHeight="1" x14ac:dyDescent="0.2">
      <c r="E566" s="146"/>
      <c r="F566" s="140"/>
    </row>
    <row r="567" spans="1:6" ht="15" customHeight="1" x14ac:dyDescent="0.2">
      <c r="A567" s="136" t="s">
        <v>1791</v>
      </c>
      <c r="B567" s="136" t="s">
        <v>1792</v>
      </c>
      <c r="C567" s="136" t="s">
        <v>1793</v>
      </c>
      <c r="D567" s="136" t="s">
        <v>1793</v>
      </c>
      <c r="E567" s="146"/>
      <c r="F567" s="140"/>
    </row>
    <row r="568" spans="1:6" ht="15" customHeight="1" x14ac:dyDescent="0.2">
      <c r="A568" s="136" t="s">
        <v>1791</v>
      </c>
      <c r="B568" s="136" t="s">
        <v>1794</v>
      </c>
      <c r="C568" s="136" t="s">
        <v>1795</v>
      </c>
      <c r="D568" s="136" t="s">
        <v>1796</v>
      </c>
      <c r="E568" s="146"/>
      <c r="F568" s="140"/>
    </row>
    <row r="569" spans="1:6" ht="15" customHeight="1" x14ac:dyDescent="0.2">
      <c r="A569" s="136" t="s">
        <v>1791</v>
      </c>
      <c r="B569" s="136" t="s">
        <v>1797</v>
      </c>
      <c r="C569" s="136" t="s">
        <v>1798</v>
      </c>
      <c r="D569" s="136" t="s">
        <v>1799</v>
      </c>
      <c r="E569" s="146"/>
      <c r="F569" s="140"/>
    </row>
    <row r="570" spans="1:6" ht="15" customHeight="1" x14ac:dyDescent="0.2">
      <c r="A570" s="136" t="s">
        <v>1791</v>
      </c>
      <c r="B570" s="136" t="s">
        <v>1360</v>
      </c>
      <c r="C570" s="136" t="s">
        <v>1800</v>
      </c>
      <c r="D570" s="136" t="s">
        <v>1801</v>
      </c>
      <c r="E570" s="146"/>
      <c r="F570" s="140"/>
    </row>
    <row r="571" spans="1:6" ht="15" customHeight="1" x14ac:dyDescent="0.2">
      <c r="A571" s="136" t="s">
        <v>1791</v>
      </c>
      <c r="B571" s="136" t="s">
        <v>1354</v>
      </c>
      <c r="C571" s="136" t="s">
        <v>1802</v>
      </c>
      <c r="D571" s="136" t="s">
        <v>1803</v>
      </c>
      <c r="E571" s="146"/>
      <c r="F571" s="140"/>
    </row>
    <row r="572" spans="1:6" ht="15" customHeight="1" x14ac:dyDescent="0.2">
      <c r="A572" s="136" t="s">
        <v>1791</v>
      </c>
      <c r="B572" s="136" t="s">
        <v>1084</v>
      </c>
      <c r="C572" s="136" t="s">
        <v>961</v>
      </c>
      <c r="D572" s="136" t="s">
        <v>962</v>
      </c>
      <c r="E572" s="146"/>
      <c r="F572" s="140"/>
    </row>
    <row r="573" spans="1:6" x14ac:dyDescent="0.15">
      <c r="A573" s="136" t="s">
        <v>1791</v>
      </c>
      <c r="B573" s="136" t="s">
        <v>1085</v>
      </c>
      <c r="C573" s="136" t="s">
        <v>963</v>
      </c>
      <c r="D573" s="136" t="s">
        <v>964</v>
      </c>
      <c r="E573" s="146"/>
    </row>
    <row r="574" spans="1:6" x14ac:dyDescent="0.15">
      <c r="E574" s="146"/>
    </row>
    <row r="575" spans="1:6" x14ac:dyDescent="0.15">
      <c r="A575" s="136" t="s">
        <v>1804</v>
      </c>
      <c r="B575" s="136" t="s">
        <v>1805</v>
      </c>
      <c r="C575" s="136" t="s">
        <v>1806</v>
      </c>
      <c r="D575" s="136" t="s">
        <v>1807</v>
      </c>
      <c r="E575" s="146"/>
    </row>
    <row r="576" spans="1:6" x14ac:dyDescent="0.15">
      <c r="A576" s="136" t="s">
        <v>1804</v>
      </c>
      <c r="B576" s="136" t="s">
        <v>1808</v>
      </c>
      <c r="C576" s="136" t="s">
        <v>1809</v>
      </c>
      <c r="D576" s="136" t="s">
        <v>1810</v>
      </c>
      <c r="E576" s="146"/>
    </row>
    <row r="577" spans="1:6" x14ac:dyDescent="0.15">
      <c r="A577" s="136" t="s">
        <v>1804</v>
      </c>
      <c r="B577" s="136" t="s">
        <v>1811</v>
      </c>
      <c r="C577" s="136" t="s">
        <v>1812</v>
      </c>
      <c r="D577" s="136" t="s">
        <v>1813</v>
      </c>
      <c r="E577" s="146"/>
    </row>
    <row r="578" spans="1:6" x14ac:dyDescent="0.15">
      <c r="A578" s="136" t="s">
        <v>1804</v>
      </c>
      <c r="B578" s="136" t="s">
        <v>1814</v>
      </c>
      <c r="C578" s="136" t="s">
        <v>1815</v>
      </c>
      <c r="D578" s="136" t="s">
        <v>1816</v>
      </c>
      <c r="E578" s="146"/>
    </row>
    <row r="579" spans="1:6" x14ac:dyDescent="0.15">
      <c r="A579" s="136" t="s">
        <v>1804</v>
      </c>
      <c r="B579" s="136" t="s">
        <v>1817</v>
      </c>
      <c r="C579" s="136" t="s">
        <v>1818</v>
      </c>
      <c r="D579" s="136" t="s">
        <v>1819</v>
      </c>
      <c r="E579" s="146"/>
    </row>
    <row r="580" spans="1:6" x14ac:dyDescent="0.15">
      <c r="A580" s="136" t="s">
        <v>1804</v>
      </c>
      <c r="B580" s="136" t="s">
        <v>1820</v>
      </c>
      <c r="C580" s="136" t="s">
        <v>1821</v>
      </c>
      <c r="D580" s="136" t="s">
        <v>1822</v>
      </c>
      <c r="E580" s="146"/>
    </row>
    <row r="581" spans="1:6" x14ac:dyDescent="0.15">
      <c r="A581" s="136" t="s">
        <v>1804</v>
      </c>
      <c r="B581" s="136" t="s">
        <v>1823</v>
      </c>
      <c r="C581" s="136" t="s">
        <v>1824</v>
      </c>
      <c r="D581" s="136" t="s">
        <v>1825</v>
      </c>
      <c r="E581" s="146"/>
    </row>
    <row r="582" spans="1:6" x14ac:dyDescent="0.15">
      <c r="E582" s="146"/>
    </row>
    <row r="583" spans="1:6" x14ac:dyDescent="0.15">
      <c r="A583" s="136" t="s">
        <v>879</v>
      </c>
      <c r="B583" s="136" t="s">
        <v>1826</v>
      </c>
      <c r="C583" s="136" t="s">
        <v>1827</v>
      </c>
      <c r="D583" s="136" t="s">
        <v>1828</v>
      </c>
      <c r="E583" s="146"/>
    </row>
    <row r="584" spans="1:6" x14ac:dyDescent="0.15">
      <c r="A584" s="136" t="s">
        <v>879</v>
      </c>
      <c r="B584" s="136" t="s">
        <v>1829</v>
      </c>
      <c r="C584" s="136" t="s">
        <v>1830</v>
      </c>
      <c r="D584" s="136" t="s">
        <v>1831</v>
      </c>
      <c r="E584" s="146"/>
    </row>
    <row r="585" spans="1:6" x14ac:dyDescent="0.15">
      <c r="A585" s="136" t="s">
        <v>879</v>
      </c>
      <c r="B585" s="136" t="s">
        <v>1832</v>
      </c>
      <c r="C585" s="136" t="s">
        <v>1833</v>
      </c>
      <c r="D585" s="136" t="s">
        <v>1834</v>
      </c>
      <c r="E585" s="146"/>
    </row>
    <row r="586" spans="1:6" x14ac:dyDescent="0.15">
      <c r="E586" s="146"/>
    </row>
    <row r="587" spans="1:6" ht="15" customHeight="1" x14ac:dyDescent="0.2">
      <c r="A587" s="160" t="s">
        <v>1835</v>
      </c>
      <c r="B587" s="160">
        <v>1</v>
      </c>
      <c r="C587" s="160" t="s">
        <v>1836</v>
      </c>
      <c r="D587" s="160" t="s">
        <v>1837</v>
      </c>
    </row>
    <row r="588" spans="1:6" ht="15" customHeight="1" x14ac:dyDescent="0.2">
      <c r="A588" s="160" t="s">
        <v>1835</v>
      </c>
      <c r="B588" s="160">
        <v>2</v>
      </c>
      <c r="C588" s="160" t="s">
        <v>1838</v>
      </c>
      <c r="D588" s="160" t="s">
        <v>1839</v>
      </c>
      <c r="E588" s="151"/>
      <c r="F588" s="152"/>
    </row>
    <row r="589" spans="1:6" ht="15" customHeight="1" x14ac:dyDescent="0.2">
      <c r="A589" s="160" t="s">
        <v>1835</v>
      </c>
      <c r="B589" s="160">
        <v>3</v>
      </c>
      <c r="C589" s="160" t="s">
        <v>1840</v>
      </c>
      <c r="D589" s="160" t="s">
        <v>1840</v>
      </c>
    </row>
    <row r="590" spans="1:6" ht="15" customHeight="1" x14ac:dyDescent="0.2">
      <c r="A590" s="160" t="s">
        <v>1835</v>
      </c>
      <c r="B590" s="160">
        <v>4</v>
      </c>
      <c r="C590" s="160" t="s">
        <v>1841</v>
      </c>
      <c r="D590" s="160" t="s">
        <v>1842</v>
      </c>
    </row>
    <row r="591" spans="1:6" ht="15" customHeight="1" x14ac:dyDescent="0.2">
      <c r="A591" s="160" t="s">
        <v>1835</v>
      </c>
      <c r="B591" s="160">
        <v>5</v>
      </c>
      <c r="C591" s="160" t="s">
        <v>1843</v>
      </c>
      <c r="D591" s="160" t="s">
        <v>1844</v>
      </c>
    </row>
    <row r="593" spans="1:6" ht="14" customHeight="1" x14ac:dyDescent="0.15">
      <c r="A593" s="338" t="s">
        <v>310</v>
      </c>
      <c r="B593" s="136">
        <v>1</v>
      </c>
      <c r="C593" s="136" t="s">
        <v>1845</v>
      </c>
      <c r="D593" s="136" t="s">
        <v>1846</v>
      </c>
    </row>
    <row r="594" spans="1:6" ht="14" customHeight="1" x14ac:dyDescent="0.15">
      <c r="A594" s="338" t="s">
        <v>310</v>
      </c>
      <c r="B594" s="136">
        <v>2</v>
      </c>
      <c r="C594" s="136" t="s">
        <v>1847</v>
      </c>
      <c r="D594" s="136" t="s">
        <v>1848</v>
      </c>
    </row>
    <row r="595" spans="1:6" ht="14" customHeight="1" x14ac:dyDescent="0.15">
      <c r="A595" s="338" t="s">
        <v>310</v>
      </c>
      <c r="B595" s="136">
        <v>3</v>
      </c>
      <c r="C595" s="136" t="s">
        <v>1849</v>
      </c>
      <c r="D595" s="136" t="s">
        <v>1850</v>
      </c>
    </row>
    <row r="596" spans="1:6" ht="14" customHeight="1" x14ac:dyDescent="0.15">
      <c r="A596" s="338" t="s">
        <v>310</v>
      </c>
      <c r="B596" s="136">
        <v>4</v>
      </c>
      <c r="C596" s="136" t="s">
        <v>1851</v>
      </c>
      <c r="D596" s="136" t="s">
        <v>1852</v>
      </c>
    </row>
    <row r="597" spans="1:6" ht="14" customHeight="1" x14ac:dyDescent="0.15">
      <c r="A597" s="338" t="s">
        <v>310</v>
      </c>
      <c r="B597" s="136">
        <v>5</v>
      </c>
      <c r="C597" s="136" t="s">
        <v>1853</v>
      </c>
      <c r="D597" s="136" t="s">
        <v>1854</v>
      </c>
    </row>
    <row r="598" spans="1:6" ht="14" customHeight="1" x14ac:dyDescent="0.15">
      <c r="A598" s="338" t="s">
        <v>310</v>
      </c>
      <c r="B598" s="136">
        <v>6</v>
      </c>
      <c r="C598" s="136" t="s">
        <v>1855</v>
      </c>
      <c r="D598" s="136" t="s">
        <v>1856</v>
      </c>
    </row>
    <row r="599" spans="1:6" ht="14" customHeight="1" x14ac:dyDescent="0.15">
      <c r="A599" s="338" t="s">
        <v>310</v>
      </c>
      <c r="B599" s="136">
        <v>7</v>
      </c>
      <c r="C599" s="136" t="s">
        <v>1857</v>
      </c>
      <c r="D599" s="136" t="s">
        <v>1858</v>
      </c>
    </row>
    <row r="600" spans="1:6" ht="14" customHeight="1" x14ac:dyDescent="0.15">
      <c r="A600" s="338" t="s">
        <v>310</v>
      </c>
      <c r="B600" s="136">
        <v>8</v>
      </c>
      <c r="C600" s="136" t="s">
        <v>1859</v>
      </c>
      <c r="D600" s="136" t="s">
        <v>1860</v>
      </c>
    </row>
    <row r="601" spans="1:6" ht="15" customHeight="1" x14ac:dyDescent="0.2">
      <c r="A601" s="160"/>
      <c r="B601" s="160"/>
      <c r="C601" s="160"/>
      <c r="D601" s="160"/>
      <c r="E601" s="160"/>
      <c r="F601" s="160"/>
    </row>
    <row r="602" spans="1:6" x14ac:dyDescent="0.15">
      <c r="A602" s="136" t="s">
        <v>1861</v>
      </c>
      <c r="B602" s="136">
        <v>1</v>
      </c>
      <c r="C602" s="136" t="s">
        <v>1862</v>
      </c>
      <c r="D602" s="136" t="s">
        <v>1863</v>
      </c>
    </row>
    <row r="603" spans="1:6" ht="14" customHeight="1" x14ac:dyDescent="0.15">
      <c r="A603" s="136" t="s">
        <v>1861</v>
      </c>
      <c r="B603" s="136">
        <v>2</v>
      </c>
      <c r="C603" s="136" t="s">
        <v>1864</v>
      </c>
      <c r="D603" s="136" t="s">
        <v>1865</v>
      </c>
      <c r="E603" s="339"/>
      <c r="F603" s="340"/>
    </row>
    <row r="604" spans="1:6" x14ac:dyDescent="0.15">
      <c r="A604" s="136" t="s">
        <v>1861</v>
      </c>
      <c r="B604" s="136">
        <v>3</v>
      </c>
      <c r="C604" s="136" t="s">
        <v>1866</v>
      </c>
      <c r="D604" s="136" t="s">
        <v>1867</v>
      </c>
    </row>
    <row r="605" spans="1:6" x14ac:dyDescent="0.15">
      <c r="A605" s="136" t="s">
        <v>1861</v>
      </c>
      <c r="B605" s="136">
        <v>4</v>
      </c>
      <c r="C605" s="136" t="s">
        <v>1868</v>
      </c>
      <c r="D605" s="136" t="s">
        <v>1869</v>
      </c>
    </row>
    <row r="606" spans="1:6" x14ac:dyDescent="0.15">
      <c r="A606" s="136" t="s">
        <v>1861</v>
      </c>
      <c r="B606" s="136">
        <v>5</v>
      </c>
      <c r="C606" s="136" t="s">
        <v>1870</v>
      </c>
      <c r="D606" s="136" t="s">
        <v>1871</v>
      </c>
    </row>
    <row r="607" spans="1:6" ht="14" customHeight="1" x14ac:dyDescent="0.15">
      <c r="A607" s="136" t="s">
        <v>1861</v>
      </c>
      <c r="B607" s="341">
        <v>6</v>
      </c>
      <c r="C607" s="136" t="s">
        <v>1872</v>
      </c>
      <c r="D607" s="136" t="s">
        <v>1873</v>
      </c>
    </row>
    <row r="608" spans="1:6" ht="14" customHeight="1" x14ac:dyDescent="0.15">
      <c r="A608" s="136" t="s">
        <v>1861</v>
      </c>
      <c r="B608" s="341">
        <v>7</v>
      </c>
      <c r="C608" s="136" t="s">
        <v>1874</v>
      </c>
      <c r="D608" s="136" t="s">
        <v>1875</v>
      </c>
    </row>
    <row r="609" spans="1:6" ht="14" customHeight="1" x14ac:dyDescent="0.15">
      <c r="A609" s="136" t="s">
        <v>1861</v>
      </c>
      <c r="B609" s="341">
        <v>8</v>
      </c>
      <c r="C609" s="136" t="s">
        <v>1433</v>
      </c>
      <c r="D609" s="136" t="s">
        <v>1876</v>
      </c>
    </row>
    <row r="611" spans="1:6" ht="14" customHeight="1" x14ac:dyDescent="0.15">
      <c r="A611" s="338" t="s">
        <v>370</v>
      </c>
      <c r="B611" s="316">
        <v>1</v>
      </c>
      <c r="C611" s="316" t="s">
        <v>1877</v>
      </c>
      <c r="D611" s="316" t="s">
        <v>1878</v>
      </c>
    </row>
    <row r="612" spans="1:6" ht="14" customHeight="1" x14ac:dyDescent="0.15">
      <c r="A612" s="338" t="s">
        <v>370</v>
      </c>
      <c r="B612" s="316">
        <v>2</v>
      </c>
      <c r="C612" s="316" t="s">
        <v>1879</v>
      </c>
      <c r="D612" s="316" t="s">
        <v>1880</v>
      </c>
    </row>
    <row r="613" spans="1:6" ht="14" customHeight="1" x14ac:dyDescent="0.15">
      <c r="A613" s="338" t="s">
        <v>370</v>
      </c>
      <c r="B613" s="316">
        <v>3</v>
      </c>
      <c r="C613" s="316" t="s">
        <v>1881</v>
      </c>
      <c r="D613" s="316" t="s">
        <v>1175</v>
      </c>
    </row>
    <row r="614" spans="1:6" ht="15" customHeight="1" x14ac:dyDescent="0.2">
      <c r="A614" s="160"/>
      <c r="B614" s="160"/>
      <c r="C614" s="160"/>
      <c r="D614" s="160"/>
      <c r="E614" s="160"/>
      <c r="F614" s="160"/>
    </row>
    <row r="615" spans="1:6" ht="34" customHeight="1" x14ac:dyDescent="0.15">
      <c r="A615" s="310" t="s">
        <v>324</v>
      </c>
      <c r="B615" s="316">
        <v>1</v>
      </c>
      <c r="C615" s="316" t="s">
        <v>1882</v>
      </c>
      <c r="D615" s="342" t="s">
        <v>1883</v>
      </c>
    </row>
    <row r="616" spans="1:6" ht="68" customHeight="1" x14ac:dyDescent="0.15">
      <c r="A616" s="310" t="s">
        <v>324</v>
      </c>
      <c r="B616" s="316">
        <v>2</v>
      </c>
      <c r="C616" s="316" t="s">
        <v>1884</v>
      </c>
      <c r="D616" s="342" t="s">
        <v>1885</v>
      </c>
    </row>
    <row r="617" spans="1:6" ht="29" customHeight="1" x14ac:dyDescent="0.2">
      <c r="A617" s="310" t="s">
        <v>324</v>
      </c>
      <c r="B617" s="316">
        <v>3</v>
      </c>
      <c r="C617" s="316" t="s">
        <v>1886</v>
      </c>
      <c r="D617" s="343" t="s">
        <v>1887</v>
      </c>
    </row>
    <row r="618" spans="1:6" ht="28" customHeight="1" x14ac:dyDescent="0.15">
      <c r="A618" s="310" t="s">
        <v>324</v>
      </c>
      <c r="B618" s="316">
        <v>4</v>
      </c>
      <c r="C618" s="316" t="s">
        <v>1888</v>
      </c>
      <c r="D618" s="316" t="s">
        <v>1889</v>
      </c>
    </row>
    <row r="619" spans="1:6" ht="15" customHeight="1" x14ac:dyDescent="0.15">
      <c r="A619" s="310" t="s">
        <v>324</v>
      </c>
      <c r="B619" s="316">
        <v>5</v>
      </c>
      <c r="C619" s="316" t="s">
        <v>1890</v>
      </c>
      <c r="D619" s="316" t="s">
        <v>1891</v>
      </c>
    </row>
    <row r="620" spans="1:6" ht="15" customHeight="1" x14ac:dyDescent="0.15">
      <c r="A620" s="310" t="s">
        <v>324</v>
      </c>
      <c r="B620" s="316">
        <v>6</v>
      </c>
      <c r="C620" s="316" t="s">
        <v>1892</v>
      </c>
      <c r="D620" s="316" t="s">
        <v>1893</v>
      </c>
    </row>
    <row r="622" spans="1:6" x14ac:dyDescent="0.15">
      <c r="A622" t="s">
        <v>1894</v>
      </c>
      <c r="B622" t="s">
        <v>1895</v>
      </c>
      <c r="C622" t="s">
        <v>1896</v>
      </c>
      <c r="D622" t="s">
        <v>1897</v>
      </c>
    </row>
    <row r="623" spans="1:6" x14ac:dyDescent="0.15">
      <c r="A623" t="s">
        <v>1894</v>
      </c>
      <c r="B623" t="s">
        <v>1898</v>
      </c>
      <c r="C623" t="s">
        <v>1899</v>
      </c>
      <c r="D623" t="s">
        <v>1900</v>
      </c>
    </row>
    <row r="624" spans="1:6" x14ac:dyDescent="0.15">
      <c r="A624" t="s">
        <v>1894</v>
      </c>
      <c r="B624" t="s">
        <v>1901</v>
      </c>
      <c r="C624" t="s">
        <v>1902</v>
      </c>
      <c r="D624" t="s">
        <v>1903</v>
      </c>
    </row>
    <row r="625" spans="1:4" x14ac:dyDescent="0.15">
      <c r="A625" t="s">
        <v>1894</v>
      </c>
      <c r="B625" t="s">
        <v>1904</v>
      </c>
      <c r="C625" t="s">
        <v>1905</v>
      </c>
      <c r="D625" t="s">
        <v>1906</v>
      </c>
    </row>
    <row r="626" spans="1:4" x14ac:dyDescent="0.15">
      <c r="A626" t="s">
        <v>1894</v>
      </c>
      <c r="B626" t="s">
        <v>1907</v>
      </c>
      <c r="C626" t="s">
        <v>1908</v>
      </c>
      <c r="D626" t="s">
        <v>1909</v>
      </c>
    </row>
    <row r="627" spans="1:4" x14ac:dyDescent="0.15">
      <c r="A627" t="s">
        <v>1894</v>
      </c>
      <c r="B627" t="s">
        <v>1910</v>
      </c>
      <c r="C627" t="s">
        <v>1911</v>
      </c>
      <c r="D627" t="s">
        <v>1912</v>
      </c>
    </row>
    <row r="628" spans="1:4" x14ac:dyDescent="0.15">
      <c r="A628" t="s">
        <v>1894</v>
      </c>
      <c r="B628" t="s">
        <v>1913</v>
      </c>
      <c r="C628" t="s">
        <v>1914</v>
      </c>
      <c r="D628" t="s">
        <v>1915</v>
      </c>
    </row>
    <row r="629" spans="1:4" x14ac:dyDescent="0.15">
      <c r="A629" t="s">
        <v>1894</v>
      </c>
      <c r="B629" t="s">
        <v>1916</v>
      </c>
      <c r="C629" t="s">
        <v>1917</v>
      </c>
      <c r="D629" t="s">
        <v>1918</v>
      </c>
    </row>
    <row r="630" spans="1:4" x14ac:dyDescent="0.15">
      <c r="A630" t="s">
        <v>1894</v>
      </c>
      <c r="B630" t="s">
        <v>1919</v>
      </c>
      <c r="C630" t="s">
        <v>1920</v>
      </c>
      <c r="D630" t="s">
        <v>1921</v>
      </c>
    </row>
    <row r="631" spans="1:4" x14ac:dyDescent="0.15">
      <c r="A631" t="s">
        <v>1894</v>
      </c>
      <c r="B631" t="s">
        <v>1922</v>
      </c>
      <c r="C631" t="s">
        <v>1845</v>
      </c>
      <c r="D631" t="s">
        <v>1846</v>
      </c>
    </row>
    <row r="632" spans="1:4" x14ac:dyDescent="0.15">
      <c r="A632" t="s">
        <v>1894</v>
      </c>
      <c r="B632" t="s">
        <v>1923</v>
      </c>
      <c r="C632" t="s">
        <v>1924</v>
      </c>
      <c r="D632" t="s">
        <v>1925</v>
      </c>
    </row>
    <row r="633" spans="1:4" x14ac:dyDescent="0.15">
      <c r="A633" t="s">
        <v>1894</v>
      </c>
      <c r="B633" t="s">
        <v>1926</v>
      </c>
      <c r="C633" t="s">
        <v>1927</v>
      </c>
      <c r="D633" t="s">
        <v>1928</v>
      </c>
    </row>
    <row r="634" spans="1:4" x14ac:dyDescent="0.15">
      <c r="A634" t="s">
        <v>1894</v>
      </c>
      <c r="B634" t="s">
        <v>1929</v>
      </c>
      <c r="C634" t="s">
        <v>1930</v>
      </c>
      <c r="D634" t="s">
        <v>1931</v>
      </c>
    </row>
    <row r="635" spans="1:4" x14ac:dyDescent="0.15">
      <c r="A635" t="s">
        <v>1894</v>
      </c>
      <c r="B635" t="s">
        <v>1932</v>
      </c>
      <c r="C635" t="s">
        <v>1933</v>
      </c>
      <c r="D635" t="s">
        <v>1934</v>
      </c>
    </row>
    <row r="636" spans="1:4" x14ac:dyDescent="0.15">
      <c r="A636" t="s">
        <v>1894</v>
      </c>
      <c r="B636" t="s">
        <v>1935</v>
      </c>
      <c r="C636" t="s">
        <v>1936</v>
      </c>
      <c r="D636" t="s">
        <v>1937</v>
      </c>
    </row>
    <row r="637" spans="1:4" x14ac:dyDescent="0.15">
      <c r="A637" t="s">
        <v>1894</v>
      </c>
      <c r="B637" t="s">
        <v>1938</v>
      </c>
      <c r="C637" t="s">
        <v>1939</v>
      </c>
      <c r="D637" t="s">
        <v>1940</v>
      </c>
    </row>
    <row r="638" spans="1:4" x14ac:dyDescent="0.15">
      <c r="A638" t="s">
        <v>1894</v>
      </c>
      <c r="B638" t="s">
        <v>1941</v>
      </c>
      <c r="C638" t="s">
        <v>1942</v>
      </c>
      <c r="D638" t="s">
        <v>1943</v>
      </c>
    </row>
    <row r="639" spans="1:4" x14ac:dyDescent="0.15">
      <c r="A639" t="s">
        <v>1894</v>
      </c>
      <c r="B639" t="s">
        <v>1944</v>
      </c>
      <c r="C639" t="s">
        <v>1945</v>
      </c>
      <c r="D639" t="s">
        <v>1946</v>
      </c>
    </row>
    <row r="640" spans="1:4" x14ac:dyDescent="0.15">
      <c r="A640" t="s">
        <v>1894</v>
      </c>
      <c r="B640" t="s">
        <v>1947</v>
      </c>
      <c r="C640" t="s">
        <v>1948</v>
      </c>
      <c r="D640" t="s">
        <v>1949</v>
      </c>
    </row>
    <row r="641" spans="1:4" x14ac:dyDescent="0.15">
      <c r="A641" t="s">
        <v>1894</v>
      </c>
      <c r="B641" t="s">
        <v>1950</v>
      </c>
      <c r="C641" t="s">
        <v>1951</v>
      </c>
      <c r="D641" t="s">
        <v>1951</v>
      </c>
    </row>
    <row r="642" spans="1:4" x14ac:dyDescent="0.15">
      <c r="A642" t="s">
        <v>1894</v>
      </c>
      <c r="B642" t="s">
        <v>1952</v>
      </c>
      <c r="C642" t="s">
        <v>1953</v>
      </c>
      <c r="D642" t="s">
        <v>1954</v>
      </c>
    </row>
    <row r="643" spans="1:4" x14ac:dyDescent="0.15">
      <c r="A643" t="s">
        <v>1894</v>
      </c>
      <c r="B643" t="s">
        <v>1955</v>
      </c>
      <c r="C643" t="s">
        <v>1956</v>
      </c>
      <c r="D643" t="s">
        <v>1957</v>
      </c>
    </row>
    <row r="644" spans="1:4" x14ac:dyDescent="0.15">
      <c r="A644" t="s">
        <v>1894</v>
      </c>
      <c r="B644" t="s">
        <v>1958</v>
      </c>
      <c r="C644" t="s">
        <v>1959</v>
      </c>
      <c r="D644" t="s">
        <v>1960</v>
      </c>
    </row>
    <row r="645" spans="1:4" x14ac:dyDescent="0.15">
      <c r="A645" t="s">
        <v>1894</v>
      </c>
      <c r="B645" t="s">
        <v>1961</v>
      </c>
      <c r="C645" t="s">
        <v>1962</v>
      </c>
      <c r="D645" t="s">
        <v>1963</v>
      </c>
    </row>
    <row r="646" spans="1:4" x14ac:dyDescent="0.15">
      <c r="A646" t="s">
        <v>1894</v>
      </c>
      <c r="B646" t="s">
        <v>1964</v>
      </c>
      <c r="C646" t="s">
        <v>1965</v>
      </c>
      <c r="D646" t="s">
        <v>1966</v>
      </c>
    </row>
    <row r="647" spans="1:4" x14ac:dyDescent="0.15">
      <c r="A647" t="s">
        <v>1894</v>
      </c>
      <c r="B647" t="s">
        <v>1967</v>
      </c>
      <c r="C647" t="s">
        <v>1968</v>
      </c>
      <c r="D647" t="s">
        <v>1969</v>
      </c>
    </row>
    <row r="648" spans="1:4" x14ac:dyDescent="0.15">
      <c r="A648" t="s">
        <v>1894</v>
      </c>
      <c r="B648" t="s">
        <v>1970</v>
      </c>
      <c r="C648" t="s">
        <v>1971</v>
      </c>
      <c r="D648" t="s">
        <v>1969</v>
      </c>
    </row>
    <row r="649" spans="1:4" x14ac:dyDescent="0.15">
      <c r="A649" t="s">
        <v>1894</v>
      </c>
      <c r="B649" t="s">
        <v>1972</v>
      </c>
      <c r="C649" t="s">
        <v>1973</v>
      </c>
      <c r="D649" t="s">
        <v>1974</v>
      </c>
    </row>
    <row r="650" spans="1:4" x14ac:dyDescent="0.15">
      <c r="A650" t="s">
        <v>1894</v>
      </c>
      <c r="B650" t="s">
        <v>1975</v>
      </c>
      <c r="C650" t="s">
        <v>1976</v>
      </c>
      <c r="D650" t="s">
        <v>1977</v>
      </c>
    </row>
    <row r="651" spans="1:4" x14ac:dyDescent="0.15">
      <c r="A651" t="s">
        <v>1894</v>
      </c>
      <c r="B651" t="s">
        <v>1978</v>
      </c>
      <c r="C651" t="s">
        <v>1979</v>
      </c>
      <c r="D651" t="s">
        <v>1980</v>
      </c>
    </row>
    <row r="652" spans="1:4" x14ac:dyDescent="0.15">
      <c r="A652" t="s">
        <v>1894</v>
      </c>
      <c r="B652" t="s">
        <v>1981</v>
      </c>
      <c r="C652" t="s">
        <v>1982</v>
      </c>
      <c r="D652" t="s">
        <v>1983</v>
      </c>
    </row>
    <row r="653" spans="1:4" x14ac:dyDescent="0.15">
      <c r="A653" t="s">
        <v>1894</v>
      </c>
      <c r="B653" t="s">
        <v>1984</v>
      </c>
      <c r="C653" t="s">
        <v>1985</v>
      </c>
      <c r="D653" t="s">
        <v>1986</v>
      </c>
    </row>
    <row r="654" spans="1:4" x14ac:dyDescent="0.15">
      <c r="A654" t="s">
        <v>1894</v>
      </c>
      <c r="B654" t="s">
        <v>1987</v>
      </c>
      <c r="C654" t="s">
        <v>1988</v>
      </c>
      <c r="D654" t="s">
        <v>1988</v>
      </c>
    </row>
    <row r="655" spans="1:4" x14ac:dyDescent="0.15">
      <c r="A655" t="s">
        <v>1894</v>
      </c>
      <c r="B655" t="s">
        <v>1989</v>
      </c>
      <c r="C655" t="s">
        <v>1990</v>
      </c>
      <c r="D655" t="s">
        <v>1991</v>
      </c>
    </row>
    <row r="656" spans="1:4" x14ac:dyDescent="0.15">
      <c r="A656" t="s">
        <v>1894</v>
      </c>
      <c r="B656" t="s">
        <v>1992</v>
      </c>
      <c r="C656" t="s">
        <v>1993</v>
      </c>
      <c r="D656" t="s">
        <v>1994</v>
      </c>
    </row>
    <row r="657" spans="1:4" x14ac:dyDescent="0.15">
      <c r="A657" t="s">
        <v>1894</v>
      </c>
      <c r="B657" t="s">
        <v>1995</v>
      </c>
      <c r="C657" t="s">
        <v>1996</v>
      </c>
      <c r="D657" t="s">
        <v>1997</v>
      </c>
    </row>
    <row r="658" spans="1:4" x14ac:dyDescent="0.15">
      <c r="A658" t="s">
        <v>1894</v>
      </c>
      <c r="B658" t="s">
        <v>1998</v>
      </c>
      <c r="C658" t="s">
        <v>1999</v>
      </c>
      <c r="D658" t="s">
        <v>2000</v>
      </c>
    </row>
    <row r="659" spans="1:4" x14ac:dyDescent="0.15">
      <c r="A659" t="s">
        <v>1894</v>
      </c>
      <c r="B659" t="s">
        <v>2001</v>
      </c>
      <c r="C659" t="s">
        <v>2002</v>
      </c>
      <c r="D659" t="s">
        <v>2003</v>
      </c>
    </row>
    <row r="660" spans="1:4" x14ac:dyDescent="0.15">
      <c r="A660" t="s">
        <v>1894</v>
      </c>
      <c r="B660" t="s">
        <v>2004</v>
      </c>
      <c r="C660" t="s">
        <v>2005</v>
      </c>
      <c r="D660" t="s">
        <v>2006</v>
      </c>
    </row>
    <row r="661" spans="1:4" x14ac:dyDescent="0.15">
      <c r="A661" t="s">
        <v>1894</v>
      </c>
      <c r="B661" t="s">
        <v>2007</v>
      </c>
      <c r="C661" t="s">
        <v>2008</v>
      </c>
      <c r="D661" t="s">
        <v>2009</v>
      </c>
    </row>
    <row r="662" spans="1:4" x14ac:dyDescent="0.15">
      <c r="A662" t="s">
        <v>1894</v>
      </c>
      <c r="B662" t="s">
        <v>2010</v>
      </c>
      <c r="C662" t="s">
        <v>2011</v>
      </c>
      <c r="D662" t="s">
        <v>2012</v>
      </c>
    </row>
    <row r="663" spans="1:4" x14ac:dyDescent="0.15">
      <c r="A663" t="s">
        <v>1894</v>
      </c>
      <c r="B663" t="s">
        <v>2013</v>
      </c>
      <c r="C663" t="s">
        <v>2014</v>
      </c>
      <c r="D663" t="s">
        <v>2014</v>
      </c>
    </row>
    <row r="664" spans="1:4" x14ac:dyDescent="0.15">
      <c r="A664" t="s">
        <v>1894</v>
      </c>
      <c r="B664" t="s">
        <v>2015</v>
      </c>
      <c r="C664" t="s">
        <v>2016</v>
      </c>
      <c r="D664" t="s">
        <v>2017</v>
      </c>
    </row>
    <row r="665" spans="1:4" x14ac:dyDescent="0.15">
      <c r="A665" t="s">
        <v>1894</v>
      </c>
      <c r="B665" t="s">
        <v>2018</v>
      </c>
      <c r="C665" t="s">
        <v>2019</v>
      </c>
      <c r="D665" t="s">
        <v>2020</v>
      </c>
    </row>
    <row r="666" spans="1:4" x14ac:dyDescent="0.15">
      <c r="A666" t="s">
        <v>1894</v>
      </c>
      <c r="B666" t="s">
        <v>2021</v>
      </c>
      <c r="C666" t="s">
        <v>2022</v>
      </c>
      <c r="D666" t="s">
        <v>2023</v>
      </c>
    </row>
    <row r="667" spans="1:4" x14ac:dyDescent="0.15">
      <c r="A667" t="s">
        <v>1894</v>
      </c>
      <c r="B667" t="s">
        <v>2024</v>
      </c>
      <c r="C667" t="s">
        <v>2025</v>
      </c>
      <c r="D667" t="s">
        <v>2026</v>
      </c>
    </row>
    <row r="668" spans="1:4" x14ac:dyDescent="0.15">
      <c r="A668" t="s">
        <v>1894</v>
      </c>
      <c r="B668" t="s">
        <v>2027</v>
      </c>
      <c r="C668" t="s">
        <v>2028</v>
      </c>
      <c r="D668" t="s">
        <v>2029</v>
      </c>
    </row>
    <row r="669" spans="1:4" x14ac:dyDescent="0.15">
      <c r="A669" t="s">
        <v>1894</v>
      </c>
      <c r="B669" t="s">
        <v>2030</v>
      </c>
      <c r="C669" t="s">
        <v>2031</v>
      </c>
      <c r="D669" t="s">
        <v>2032</v>
      </c>
    </row>
    <row r="670" spans="1:4" x14ac:dyDescent="0.15">
      <c r="A670" t="s">
        <v>1894</v>
      </c>
      <c r="B670" t="s">
        <v>2033</v>
      </c>
      <c r="C670" t="s">
        <v>2034</v>
      </c>
      <c r="D670" t="s">
        <v>2035</v>
      </c>
    </row>
    <row r="671" spans="1:4" x14ac:dyDescent="0.15">
      <c r="A671" t="s">
        <v>1894</v>
      </c>
      <c r="B671" t="s">
        <v>2036</v>
      </c>
      <c r="C671" t="s">
        <v>2037</v>
      </c>
      <c r="D671" t="s">
        <v>2038</v>
      </c>
    </row>
    <row r="672" spans="1:4" x14ac:dyDescent="0.15">
      <c r="A672" t="s">
        <v>1894</v>
      </c>
      <c r="B672" t="s">
        <v>2039</v>
      </c>
      <c r="C672" t="s">
        <v>2040</v>
      </c>
      <c r="D672" t="s">
        <v>2041</v>
      </c>
    </row>
    <row r="673" spans="1:4" x14ac:dyDescent="0.15">
      <c r="A673" t="s">
        <v>1894</v>
      </c>
      <c r="B673" t="s">
        <v>2042</v>
      </c>
      <c r="C673" t="s">
        <v>2043</v>
      </c>
      <c r="D673" t="s">
        <v>2044</v>
      </c>
    </row>
    <row r="674" spans="1:4" x14ac:dyDescent="0.15">
      <c r="A674" t="s">
        <v>1894</v>
      </c>
      <c r="B674" t="s">
        <v>2045</v>
      </c>
      <c r="C674" t="s">
        <v>2046</v>
      </c>
      <c r="D674" t="s">
        <v>2047</v>
      </c>
    </row>
    <row r="675" spans="1:4" x14ac:dyDescent="0.15">
      <c r="A675" t="s">
        <v>1894</v>
      </c>
      <c r="B675" t="s">
        <v>2048</v>
      </c>
      <c r="C675" t="s">
        <v>2049</v>
      </c>
      <c r="D675" t="s">
        <v>2050</v>
      </c>
    </row>
    <row r="676" spans="1:4" x14ac:dyDescent="0.15">
      <c r="A676" t="s">
        <v>1894</v>
      </c>
      <c r="B676" t="s">
        <v>2051</v>
      </c>
      <c r="C676" t="s">
        <v>2052</v>
      </c>
      <c r="D676" t="s">
        <v>2053</v>
      </c>
    </row>
    <row r="677" spans="1:4" x14ac:dyDescent="0.15">
      <c r="A677" t="s">
        <v>1894</v>
      </c>
      <c r="B677" t="s">
        <v>2054</v>
      </c>
      <c r="C677" t="s">
        <v>2055</v>
      </c>
      <c r="D677" t="s">
        <v>2056</v>
      </c>
    </row>
    <row r="678" spans="1:4" x14ac:dyDescent="0.15">
      <c r="A678" t="s">
        <v>1894</v>
      </c>
      <c r="B678" t="s">
        <v>2057</v>
      </c>
      <c r="C678" t="s">
        <v>2058</v>
      </c>
      <c r="D678" t="s">
        <v>2059</v>
      </c>
    </row>
    <row r="679" spans="1:4" x14ac:dyDescent="0.15">
      <c r="A679" t="s">
        <v>1894</v>
      </c>
      <c r="B679" t="s">
        <v>2060</v>
      </c>
      <c r="C679" t="s">
        <v>2061</v>
      </c>
      <c r="D679" t="s">
        <v>2062</v>
      </c>
    </row>
    <row r="680" spans="1:4" x14ac:dyDescent="0.15">
      <c r="A680" t="s">
        <v>1894</v>
      </c>
      <c r="B680" t="s">
        <v>2063</v>
      </c>
      <c r="C680" t="s">
        <v>2064</v>
      </c>
      <c r="D680" t="s">
        <v>2065</v>
      </c>
    </row>
    <row r="681" spans="1:4" x14ac:dyDescent="0.15">
      <c r="A681" t="s">
        <v>1894</v>
      </c>
      <c r="B681" t="s">
        <v>2066</v>
      </c>
      <c r="C681" t="s">
        <v>2067</v>
      </c>
      <c r="D681" t="s">
        <v>2068</v>
      </c>
    </row>
    <row r="682" spans="1:4" x14ac:dyDescent="0.15">
      <c r="A682" t="s">
        <v>1894</v>
      </c>
      <c r="B682" t="s">
        <v>2069</v>
      </c>
      <c r="C682" t="s">
        <v>2070</v>
      </c>
      <c r="D682" t="s">
        <v>2071</v>
      </c>
    </row>
    <row r="683" spans="1:4" x14ac:dyDescent="0.15">
      <c r="A683" t="s">
        <v>1894</v>
      </c>
      <c r="B683" t="s">
        <v>2072</v>
      </c>
      <c r="C683" t="s">
        <v>2073</v>
      </c>
      <c r="D683" t="s">
        <v>2073</v>
      </c>
    </row>
    <row r="684" spans="1:4" x14ac:dyDescent="0.15">
      <c r="A684" t="s">
        <v>1894</v>
      </c>
      <c r="B684" t="s">
        <v>2074</v>
      </c>
      <c r="C684" t="s">
        <v>2075</v>
      </c>
      <c r="D684" t="s">
        <v>2075</v>
      </c>
    </row>
    <row r="685" spans="1:4" x14ac:dyDescent="0.15">
      <c r="A685" t="s">
        <v>1894</v>
      </c>
      <c r="B685" t="s">
        <v>2076</v>
      </c>
      <c r="C685" t="s">
        <v>2077</v>
      </c>
      <c r="D685" t="s">
        <v>2078</v>
      </c>
    </row>
    <row r="686" spans="1:4" x14ac:dyDescent="0.15">
      <c r="A686" t="s">
        <v>1894</v>
      </c>
      <c r="B686" t="s">
        <v>2079</v>
      </c>
      <c r="C686" t="s">
        <v>2080</v>
      </c>
      <c r="D686" t="s">
        <v>2081</v>
      </c>
    </row>
    <row r="687" spans="1:4" x14ac:dyDescent="0.15">
      <c r="A687" t="s">
        <v>1894</v>
      </c>
      <c r="B687" t="s">
        <v>2082</v>
      </c>
      <c r="C687" t="s">
        <v>2083</v>
      </c>
      <c r="D687" t="s">
        <v>2084</v>
      </c>
    </row>
    <row r="688" spans="1:4" x14ac:dyDescent="0.15">
      <c r="A688" t="s">
        <v>1894</v>
      </c>
      <c r="B688" t="s">
        <v>2085</v>
      </c>
      <c r="C688" t="s">
        <v>2086</v>
      </c>
      <c r="D688" t="s">
        <v>2087</v>
      </c>
    </row>
    <row r="689" spans="1:4" x14ac:dyDescent="0.15">
      <c r="A689" t="s">
        <v>1894</v>
      </c>
      <c r="B689" t="s">
        <v>2088</v>
      </c>
      <c r="C689" t="s">
        <v>2089</v>
      </c>
      <c r="D689" t="s">
        <v>2090</v>
      </c>
    </row>
    <row r="690" spans="1:4" x14ac:dyDescent="0.15">
      <c r="A690" t="s">
        <v>1894</v>
      </c>
      <c r="B690" t="s">
        <v>2091</v>
      </c>
      <c r="C690" t="s">
        <v>2092</v>
      </c>
      <c r="D690" t="s">
        <v>2093</v>
      </c>
    </row>
    <row r="691" spans="1:4" x14ac:dyDescent="0.15">
      <c r="A691" t="s">
        <v>1894</v>
      </c>
      <c r="B691" t="s">
        <v>2094</v>
      </c>
      <c r="C691" t="s">
        <v>2095</v>
      </c>
      <c r="D691" t="s">
        <v>2096</v>
      </c>
    </row>
    <row r="692" spans="1:4" x14ac:dyDescent="0.15">
      <c r="A692" t="s">
        <v>1894</v>
      </c>
      <c r="B692" t="s">
        <v>2097</v>
      </c>
      <c r="C692" t="s">
        <v>2098</v>
      </c>
      <c r="D692" t="s">
        <v>2099</v>
      </c>
    </row>
    <row r="693" spans="1:4" x14ac:dyDescent="0.15">
      <c r="A693" t="s">
        <v>1894</v>
      </c>
      <c r="B693" t="s">
        <v>2100</v>
      </c>
      <c r="C693" t="s">
        <v>2101</v>
      </c>
      <c r="D693" t="s">
        <v>2102</v>
      </c>
    </row>
    <row r="694" spans="1:4" x14ac:dyDescent="0.15">
      <c r="A694" t="s">
        <v>1894</v>
      </c>
      <c r="B694" t="s">
        <v>2103</v>
      </c>
      <c r="C694" t="s">
        <v>2104</v>
      </c>
      <c r="D694" t="s">
        <v>2105</v>
      </c>
    </row>
    <row r="695" spans="1:4" x14ac:dyDescent="0.15">
      <c r="A695" t="s">
        <v>1894</v>
      </c>
      <c r="B695" t="s">
        <v>2106</v>
      </c>
      <c r="C695" t="s">
        <v>2107</v>
      </c>
      <c r="D695" t="s">
        <v>2108</v>
      </c>
    </row>
    <row r="696" spans="1:4" x14ac:dyDescent="0.15">
      <c r="A696" t="s">
        <v>1894</v>
      </c>
      <c r="B696" t="s">
        <v>2109</v>
      </c>
      <c r="C696" t="s">
        <v>2110</v>
      </c>
      <c r="D696" t="s">
        <v>2111</v>
      </c>
    </row>
    <row r="697" spans="1:4" x14ac:dyDescent="0.15">
      <c r="A697" t="s">
        <v>1894</v>
      </c>
      <c r="B697" t="s">
        <v>2112</v>
      </c>
      <c r="C697" t="s">
        <v>2113</v>
      </c>
      <c r="D697" t="s">
        <v>2114</v>
      </c>
    </row>
    <row r="698" spans="1:4" x14ac:dyDescent="0.15">
      <c r="A698" t="s">
        <v>1894</v>
      </c>
      <c r="B698" t="s">
        <v>2115</v>
      </c>
      <c r="C698" t="s">
        <v>2116</v>
      </c>
      <c r="D698" t="s">
        <v>2117</v>
      </c>
    </row>
    <row r="699" spans="1:4" x14ac:dyDescent="0.15">
      <c r="A699" t="s">
        <v>1894</v>
      </c>
      <c r="B699" t="s">
        <v>2118</v>
      </c>
      <c r="C699" t="s">
        <v>2119</v>
      </c>
      <c r="D699" t="s">
        <v>2120</v>
      </c>
    </row>
    <row r="700" spans="1:4" x14ac:dyDescent="0.15">
      <c r="A700" t="s">
        <v>1894</v>
      </c>
      <c r="B700" t="s">
        <v>2121</v>
      </c>
      <c r="C700" t="s">
        <v>2122</v>
      </c>
      <c r="D700" t="s">
        <v>2123</v>
      </c>
    </row>
    <row r="701" spans="1:4" x14ac:dyDescent="0.15">
      <c r="A701" t="s">
        <v>1894</v>
      </c>
      <c r="B701" t="s">
        <v>2124</v>
      </c>
      <c r="C701" t="s">
        <v>2125</v>
      </c>
      <c r="D701" t="s">
        <v>2126</v>
      </c>
    </row>
    <row r="702" spans="1:4" x14ac:dyDescent="0.15">
      <c r="A702" t="s">
        <v>1894</v>
      </c>
      <c r="B702" t="s">
        <v>2127</v>
      </c>
      <c r="C702" t="s">
        <v>2128</v>
      </c>
      <c r="D702" t="s">
        <v>2129</v>
      </c>
    </row>
    <row r="703" spans="1:4" x14ac:dyDescent="0.15">
      <c r="A703" t="s">
        <v>1894</v>
      </c>
      <c r="B703" t="s">
        <v>2130</v>
      </c>
      <c r="C703" t="s">
        <v>2131</v>
      </c>
      <c r="D703" t="s">
        <v>2132</v>
      </c>
    </row>
    <row r="704" spans="1:4" x14ac:dyDescent="0.15">
      <c r="A704" t="s">
        <v>1894</v>
      </c>
      <c r="B704" t="s">
        <v>2133</v>
      </c>
      <c r="C704" t="s">
        <v>2134</v>
      </c>
      <c r="D704" t="s">
        <v>2135</v>
      </c>
    </row>
    <row r="705" spans="1:4" x14ac:dyDescent="0.15">
      <c r="A705" t="s">
        <v>1894</v>
      </c>
      <c r="B705" t="s">
        <v>2136</v>
      </c>
      <c r="C705" t="s">
        <v>2137</v>
      </c>
      <c r="D705" t="s">
        <v>2138</v>
      </c>
    </row>
    <row r="706" spans="1:4" x14ac:dyDescent="0.15">
      <c r="A706" t="s">
        <v>1894</v>
      </c>
      <c r="B706" t="s">
        <v>2139</v>
      </c>
      <c r="C706" t="s">
        <v>2140</v>
      </c>
      <c r="D706" t="s">
        <v>2141</v>
      </c>
    </row>
    <row r="707" spans="1:4" x14ac:dyDescent="0.15">
      <c r="A707" t="s">
        <v>1894</v>
      </c>
      <c r="B707" t="s">
        <v>2142</v>
      </c>
      <c r="C707" t="s">
        <v>2143</v>
      </c>
      <c r="D707" t="s">
        <v>2144</v>
      </c>
    </row>
    <row r="708" spans="1:4" x14ac:dyDescent="0.15">
      <c r="A708" t="s">
        <v>1894</v>
      </c>
      <c r="B708" t="s">
        <v>2145</v>
      </c>
      <c r="C708" t="s">
        <v>2146</v>
      </c>
      <c r="D708" t="s">
        <v>2147</v>
      </c>
    </row>
    <row r="709" spans="1:4" x14ac:dyDescent="0.15">
      <c r="A709" t="s">
        <v>1894</v>
      </c>
      <c r="B709" t="s">
        <v>2148</v>
      </c>
      <c r="C709" t="s">
        <v>2149</v>
      </c>
      <c r="D709" t="s">
        <v>2150</v>
      </c>
    </row>
    <row r="710" spans="1:4" x14ac:dyDescent="0.15">
      <c r="A710" t="s">
        <v>1894</v>
      </c>
      <c r="B710" t="s">
        <v>2151</v>
      </c>
      <c r="C710" t="s">
        <v>2152</v>
      </c>
      <c r="D710" t="s">
        <v>2152</v>
      </c>
    </row>
    <row r="711" spans="1:4" x14ac:dyDescent="0.15">
      <c r="A711" t="s">
        <v>1894</v>
      </c>
      <c r="B711" t="s">
        <v>2153</v>
      </c>
      <c r="C711" t="s">
        <v>2154</v>
      </c>
      <c r="D711" t="s">
        <v>2155</v>
      </c>
    </row>
    <row r="712" spans="1:4" x14ac:dyDescent="0.15">
      <c r="A712" t="s">
        <v>1894</v>
      </c>
      <c r="B712" t="s">
        <v>2156</v>
      </c>
      <c r="C712" t="s">
        <v>2157</v>
      </c>
      <c r="D712" t="s">
        <v>2158</v>
      </c>
    </row>
    <row r="713" spans="1:4" x14ac:dyDescent="0.15">
      <c r="A713" t="s">
        <v>1894</v>
      </c>
      <c r="B713" t="s">
        <v>2159</v>
      </c>
      <c r="C713" t="s">
        <v>2160</v>
      </c>
      <c r="D713" t="s">
        <v>2161</v>
      </c>
    </row>
    <row r="714" spans="1:4" x14ac:dyDescent="0.15">
      <c r="A714" t="s">
        <v>1894</v>
      </c>
      <c r="B714" t="s">
        <v>2162</v>
      </c>
      <c r="C714" t="s">
        <v>2163</v>
      </c>
      <c r="D714" t="s">
        <v>2164</v>
      </c>
    </row>
    <row r="716" spans="1:4" x14ac:dyDescent="0.15">
      <c r="A716" t="s">
        <v>2165</v>
      </c>
      <c r="B716" t="s">
        <v>1895</v>
      </c>
      <c r="C716" t="s">
        <v>1896</v>
      </c>
      <c r="D716" t="s">
        <v>1897</v>
      </c>
    </row>
    <row r="717" spans="1:4" x14ac:dyDescent="0.15">
      <c r="A717" t="s">
        <v>2165</v>
      </c>
      <c r="B717" t="s">
        <v>1898</v>
      </c>
      <c r="C717" t="s">
        <v>1899</v>
      </c>
      <c r="D717" t="s">
        <v>1900</v>
      </c>
    </row>
    <row r="718" spans="1:4" x14ac:dyDescent="0.15">
      <c r="A718" t="s">
        <v>2165</v>
      </c>
      <c r="B718" t="s">
        <v>1901</v>
      </c>
      <c r="C718" t="s">
        <v>1902</v>
      </c>
      <c r="D718" t="s">
        <v>1903</v>
      </c>
    </row>
    <row r="719" spans="1:4" x14ac:dyDescent="0.15">
      <c r="A719" t="s">
        <v>2165</v>
      </c>
      <c r="B719" t="s">
        <v>1904</v>
      </c>
      <c r="C719" t="s">
        <v>1905</v>
      </c>
      <c r="D719" t="s">
        <v>1906</v>
      </c>
    </row>
    <row r="720" spans="1:4" x14ac:dyDescent="0.15">
      <c r="A720" t="s">
        <v>2165</v>
      </c>
      <c r="B720" t="s">
        <v>1907</v>
      </c>
      <c r="C720" t="s">
        <v>1908</v>
      </c>
      <c r="D720" t="s">
        <v>1909</v>
      </c>
    </row>
    <row r="721" spans="1:4" x14ac:dyDescent="0.15">
      <c r="A721" t="s">
        <v>2165</v>
      </c>
      <c r="B721" t="s">
        <v>1910</v>
      </c>
      <c r="C721" t="s">
        <v>1911</v>
      </c>
      <c r="D721" t="s">
        <v>1912</v>
      </c>
    </row>
    <row r="722" spans="1:4" x14ac:dyDescent="0.15">
      <c r="A722" t="s">
        <v>2165</v>
      </c>
      <c r="B722" t="s">
        <v>1913</v>
      </c>
      <c r="C722" t="s">
        <v>1914</v>
      </c>
      <c r="D722" t="s">
        <v>1915</v>
      </c>
    </row>
    <row r="723" spans="1:4" x14ac:dyDescent="0.15">
      <c r="A723" t="s">
        <v>2165</v>
      </c>
      <c r="B723" t="s">
        <v>1916</v>
      </c>
      <c r="C723" t="s">
        <v>1917</v>
      </c>
      <c r="D723" t="s">
        <v>1918</v>
      </c>
    </row>
    <row r="724" spans="1:4" x14ac:dyDescent="0.15">
      <c r="A724" t="s">
        <v>2165</v>
      </c>
      <c r="B724" t="s">
        <v>1919</v>
      </c>
      <c r="C724" t="s">
        <v>1920</v>
      </c>
      <c r="D724" t="s">
        <v>1921</v>
      </c>
    </row>
    <row r="725" spans="1:4" x14ac:dyDescent="0.15">
      <c r="A725" t="s">
        <v>2165</v>
      </c>
      <c r="B725" t="s">
        <v>1922</v>
      </c>
      <c r="C725" t="s">
        <v>1845</v>
      </c>
      <c r="D725" t="s">
        <v>1846</v>
      </c>
    </row>
    <row r="726" spans="1:4" x14ac:dyDescent="0.15">
      <c r="A726" t="s">
        <v>2165</v>
      </c>
      <c r="B726" t="s">
        <v>1923</v>
      </c>
      <c r="C726" t="s">
        <v>1924</v>
      </c>
      <c r="D726" t="s">
        <v>1925</v>
      </c>
    </row>
    <row r="727" spans="1:4" x14ac:dyDescent="0.15">
      <c r="A727" t="s">
        <v>2165</v>
      </c>
      <c r="B727" t="s">
        <v>1926</v>
      </c>
      <c r="C727" t="s">
        <v>1927</v>
      </c>
      <c r="D727" t="s">
        <v>1928</v>
      </c>
    </row>
    <row r="728" spans="1:4" x14ac:dyDescent="0.15">
      <c r="A728" t="s">
        <v>2165</v>
      </c>
      <c r="B728" t="s">
        <v>1929</v>
      </c>
      <c r="C728" t="s">
        <v>1930</v>
      </c>
      <c r="D728" t="s">
        <v>1931</v>
      </c>
    </row>
    <row r="729" spans="1:4" x14ac:dyDescent="0.15">
      <c r="A729" t="s">
        <v>2165</v>
      </c>
      <c r="B729" t="s">
        <v>1932</v>
      </c>
      <c r="C729" t="s">
        <v>1933</v>
      </c>
      <c r="D729" t="s">
        <v>1934</v>
      </c>
    </row>
    <row r="730" spans="1:4" x14ac:dyDescent="0.15">
      <c r="A730" t="s">
        <v>2165</v>
      </c>
      <c r="B730" t="s">
        <v>1935</v>
      </c>
      <c r="C730" t="s">
        <v>1936</v>
      </c>
      <c r="D730" t="s">
        <v>1937</v>
      </c>
    </row>
    <row r="731" spans="1:4" x14ac:dyDescent="0.15">
      <c r="A731" t="s">
        <v>2165</v>
      </c>
      <c r="B731" t="s">
        <v>1938</v>
      </c>
      <c r="C731" t="s">
        <v>1939</v>
      </c>
      <c r="D731" t="s">
        <v>1940</v>
      </c>
    </row>
    <row r="732" spans="1:4" x14ac:dyDescent="0.15">
      <c r="A732" t="s">
        <v>2165</v>
      </c>
      <c r="B732" t="s">
        <v>1941</v>
      </c>
      <c r="C732" t="s">
        <v>1942</v>
      </c>
      <c r="D732" t="s">
        <v>1943</v>
      </c>
    </row>
    <row r="733" spans="1:4" x14ac:dyDescent="0.15">
      <c r="A733" t="s">
        <v>2165</v>
      </c>
      <c r="B733" t="s">
        <v>1944</v>
      </c>
      <c r="C733" t="s">
        <v>1945</v>
      </c>
      <c r="D733" t="s">
        <v>1946</v>
      </c>
    </row>
    <row r="734" spans="1:4" x14ac:dyDescent="0.15">
      <c r="A734" t="s">
        <v>2165</v>
      </c>
      <c r="B734" t="s">
        <v>1947</v>
      </c>
      <c r="C734" t="s">
        <v>1948</v>
      </c>
      <c r="D734" t="s">
        <v>1949</v>
      </c>
    </row>
    <row r="735" spans="1:4" x14ac:dyDescent="0.15">
      <c r="A735" t="s">
        <v>2165</v>
      </c>
      <c r="B735" t="s">
        <v>1950</v>
      </c>
      <c r="C735" t="s">
        <v>1951</v>
      </c>
      <c r="D735" t="s">
        <v>1951</v>
      </c>
    </row>
    <row r="736" spans="1:4" x14ac:dyDescent="0.15">
      <c r="A736" t="s">
        <v>2165</v>
      </c>
      <c r="B736" t="s">
        <v>1952</v>
      </c>
      <c r="C736" t="s">
        <v>1953</v>
      </c>
      <c r="D736" t="s">
        <v>1954</v>
      </c>
    </row>
    <row r="737" spans="1:4" x14ac:dyDescent="0.15">
      <c r="A737" t="s">
        <v>2165</v>
      </c>
      <c r="B737" t="s">
        <v>1955</v>
      </c>
      <c r="C737" t="s">
        <v>1956</v>
      </c>
      <c r="D737" t="s">
        <v>1957</v>
      </c>
    </row>
    <row r="738" spans="1:4" x14ac:dyDescent="0.15">
      <c r="A738" t="s">
        <v>2165</v>
      </c>
      <c r="B738" t="s">
        <v>1958</v>
      </c>
      <c r="C738" t="s">
        <v>1959</v>
      </c>
      <c r="D738" t="s">
        <v>1960</v>
      </c>
    </row>
    <row r="739" spans="1:4" x14ac:dyDescent="0.15">
      <c r="A739" t="s">
        <v>2165</v>
      </c>
      <c r="B739" t="s">
        <v>1961</v>
      </c>
      <c r="C739" t="s">
        <v>1962</v>
      </c>
      <c r="D739" t="s">
        <v>1963</v>
      </c>
    </row>
    <row r="740" spans="1:4" x14ac:dyDescent="0.15">
      <c r="A740" t="s">
        <v>2165</v>
      </c>
      <c r="B740" t="s">
        <v>1964</v>
      </c>
      <c r="C740" t="s">
        <v>1965</v>
      </c>
      <c r="D740" t="s">
        <v>1966</v>
      </c>
    </row>
    <row r="741" spans="1:4" x14ac:dyDescent="0.15">
      <c r="A741" t="s">
        <v>2165</v>
      </c>
      <c r="B741" t="s">
        <v>1967</v>
      </c>
      <c r="C741" t="s">
        <v>1968</v>
      </c>
      <c r="D741" t="s">
        <v>1969</v>
      </c>
    </row>
    <row r="742" spans="1:4" x14ac:dyDescent="0.15">
      <c r="A742" t="s">
        <v>2165</v>
      </c>
      <c r="B742" t="s">
        <v>1970</v>
      </c>
      <c r="C742" t="s">
        <v>1971</v>
      </c>
      <c r="D742" t="s">
        <v>1969</v>
      </c>
    </row>
    <row r="743" spans="1:4" x14ac:dyDescent="0.15">
      <c r="A743" t="s">
        <v>2165</v>
      </c>
      <c r="B743" t="s">
        <v>1972</v>
      </c>
      <c r="C743" t="s">
        <v>1973</v>
      </c>
      <c r="D743" t="s">
        <v>1974</v>
      </c>
    </row>
    <row r="744" spans="1:4" x14ac:dyDescent="0.15">
      <c r="A744" t="s">
        <v>2165</v>
      </c>
      <c r="B744" t="s">
        <v>1975</v>
      </c>
      <c r="C744" t="s">
        <v>1976</v>
      </c>
      <c r="D744" t="s">
        <v>1977</v>
      </c>
    </row>
    <row r="745" spans="1:4" x14ac:dyDescent="0.15">
      <c r="A745" t="s">
        <v>2165</v>
      </c>
      <c r="B745" t="s">
        <v>1978</v>
      </c>
      <c r="C745" t="s">
        <v>1979</v>
      </c>
      <c r="D745" t="s">
        <v>1980</v>
      </c>
    </row>
    <row r="746" spans="1:4" x14ac:dyDescent="0.15">
      <c r="A746" t="s">
        <v>2165</v>
      </c>
      <c r="B746" t="s">
        <v>1981</v>
      </c>
      <c r="C746" t="s">
        <v>1982</v>
      </c>
      <c r="D746" t="s">
        <v>1983</v>
      </c>
    </row>
    <row r="747" spans="1:4" x14ac:dyDescent="0.15">
      <c r="A747" t="s">
        <v>2165</v>
      </c>
      <c r="B747" t="s">
        <v>1984</v>
      </c>
      <c r="C747" t="s">
        <v>1985</v>
      </c>
      <c r="D747" t="s">
        <v>1986</v>
      </c>
    </row>
    <row r="748" spans="1:4" x14ac:dyDescent="0.15">
      <c r="A748" t="s">
        <v>2165</v>
      </c>
      <c r="B748" t="s">
        <v>1987</v>
      </c>
      <c r="C748" t="s">
        <v>1988</v>
      </c>
      <c r="D748" t="s">
        <v>1988</v>
      </c>
    </row>
    <row r="749" spans="1:4" x14ac:dyDescent="0.15">
      <c r="A749" t="s">
        <v>2165</v>
      </c>
      <c r="B749" t="s">
        <v>1989</v>
      </c>
      <c r="C749" t="s">
        <v>1990</v>
      </c>
      <c r="D749" t="s">
        <v>1991</v>
      </c>
    </row>
    <row r="750" spans="1:4" x14ac:dyDescent="0.15">
      <c r="A750" t="s">
        <v>2165</v>
      </c>
      <c r="B750" t="s">
        <v>1992</v>
      </c>
      <c r="C750" t="s">
        <v>1993</v>
      </c>
      <c r="D750" t="s">
        <v>1994</v>
      </c>
    </row>
    <row r="751" spans="1:4" x14ac:dyDescent="0.15">
      <c r="A751" t="s">
        <v>2165</v>
      </c>
      <c r="B751" t="s">
        <v>1995</v>
      </c>
      <c r="C751" t="s">
        <v>1996</v>
      </c>
      <c r="D751" t="s">
        <v>1997</v>
      </c>
    </row>
    <row r="752" spans="1:4" x14ac:dyDescent="0.15">
      <c r="A752" t="s">
        <v>2165</v>
      </c>
      <c r="B752" t="s">
        <v>1998</v>
      </c>
      <c r="C752" t="s">
        <v>1999</v>
      </c>
      <c r="D752" t="s">
        <v>2000</v>
      </c>
    </row>
    <row r="753" spans="1:4" x14ac:dyDescent="0.15">
      <c r="A753" t="s">
        <v>2165</v>
      </c>
      <c r="B753" t="s">
        <v>2001</v>
      </c>
      <c r="C753" t="s">
        <v>2002</v>
      </c>
      <c r="D753" t="s">
        <v>2003</v>
      </c>
    </row>
    <row r="754" spans="1:4" x14ac:dyDescent="0.15">
      <c r="A754" t="s">
        <v>2165</v>
      </c>
      <c r="B754" t="s">
        <v>2004</v>
      </c>
      <c r="C754" t="s">
        <v>2005</v>
      </c>
      <c r="D754" t="s">
        <v>2006</v>
      </c>
    </row>
    <row r="755" spans="1:4" x14ac:dyDescent="0.15">
      <c r="A755" t="s">
        <v>2165</v>
      </c>
      <c r="B755" t="s">
        <v>2007</v>
      </c>
      <c r="C755" t="s">
        <v>2008</v>
      </c>
      <c r="D755" t="s">
        <v>2009</v>
      </c>
    </row>
    <row r="756" spans="1:4" x14ac:dyDescent="0.15">
      <c r="A756" t="s">
        <v>2165</v>
      </c>
      <c r="B756" t="s">
        <v>2010</v>
      </c>
      <c r="C756" t="s">
        <v>2011</v>
      </c>
      <c r="D756" t="s">
        <v>2012</v>
      </c>
    </row>
    <row r="757" spans="1:4" x14ac:dyDescent="0.15">
      <c r="A757" t="s">
        <v>2165</v>
      </c>
      <c r="B757" t="s">
        <v>2013</v>
      </c>
      <c r="C757" t="s">
        <v>2014</v>
      </c>
      <c r="D757" t="s">
        <v>2014</v>
      </c>
    </row>
    <row r="758" spans="1:4" x14ac:dyDescent="0.15">
      <c r="A758" t="s">
        <v>2165</v>
      </c>
      <c r="B758" t="s">
        <v>2015</v>
      </c>
      <c r="C758" t="s">
        <v>2016</v>
      </c>
      <c r="D758" t="s">
        <v>2017</v>
      </c>
    </row>
    <row r="759" spans="1:4" x14ac:dyDescent="0.15">
      <c r="A759" t="s">
        <v>2165</v>
      </c>
      <c r="B759" t="s">
        <v>2018</v>
      </c>
      <c r="C759" t="s">
        <v>2019</v>
      </c>
      <c r="D759" t="s">
        <v>2020</v>
      </c>
    </row>
    <row r="760" spans="1:4" x14ac:dyDescent="0.15">
      <c r="A760" t="s">
        <v>2165</v>
      </c>
      <c r="B760" t="s">
        <v>2021</v>
      </c>
      <c r="C760" t="s">
        <v>2022</v>
      </c>
      <c r="D760" t="s">
        <v>2023</v>
      </c>
    </row>
    <row r="761" spans="1:4" x14ac:dyDescent="0.15">
      <c r="A761" t="s">
        <v>2165</v>
      </c>
      <c r="B761" t="s">
        <v>2024</v>
      </c>
      <c r="C761" t="s">
        <v>2025</v>
      </c>
      <c r="D761" t="s">
        <v>2026</v>
      </c>
    </row>
    <row r="762" spans="1:4" x14ac:dyDescent="0.15">
      <c r="A762" t="s">
        <v>2165</v>
      </c>
      <c r="B762" t="s">
        <v>2027</v>
      </c>
      <c r="C762" t="s">
        <v>2028</v>
      </c>
      <c r="D762" t="s">
        <v>2029</v>
      </c>
    </row>
    <row r="763" spans="1:4" x14ac:dyDescent="0.15">
      <c r="A763" t="s">
        <v>2165</v>
      </c>
      <c r="B763" t="s">
        <v>2030</v>
      </c>
      <c r="C763" t="s">
        <v>2031</v>
      </c>
      <c r="D763" t="s">
        <v>2032</v>
      </c>
    </row>
    <row r="764" spans="1:4" x14ac:dyDescent="0.15">
      <c r="A764" t="s">
        <v>2165</v>
      </c>
      <c r="B764" t="s">
        <v>2033</v>
      </c>
      <c r="C764" t="s">
        <v>2034</v>
      </c>
      <c r="D764" t="s">
        <v>2035</v>
      </c>
    </row>
    <row r="765" spans="1:4" x14ac:dyDescent="0.15">
      <c r="A765" t="s">
        <v>2165</v>
      </c>
      <c r="B765" t="s">
        <v>2036</v>
      </c>
      <c r="C765" t="s">
        <v>2037</v>
      </c>
      <c r="D765" t="s">
        <v>2038</v>
      </c>
    </row>
    <row r="766" spans="1:4" x14ac:dyDescent="0.15">
      <c r="A766" t="s">
        <v>2165</v>
      </c>
      <c r="B766" t="s">
        <v>2039</v>
      </c>
      <c r="C766" t="s">
        <v>2040</v>
      </c>
      <c r="D766" t="s">
        <v>2041</v>
      </c>
    </row>
    <row r="767" spans="1:4" x14ac:dyDescent="0.15">
      <c r="A767" t="s">
        <v>2165</v>
      </c>
      <c r="B767" t="s">
        <v>2042</v>
      </c>
      <c r="C767" t="s">
        <v>2043</v>
      </c>
      <c r="D767" t="s">
        <v>2044</v>
      </c>
    </row>
    <row r="768" spans="1:4" x14ac:dyDescent="0.15">
      <c r="A768" t="s">
        <v>2165</v>
      </c>
      <c r="B768" t="s">
        <v>2045</v>
      </c>
      <c r="C768" t="s">
        <v>2046</v>
      </c>
      <c r="D768" t="s">
        <v>2047</v>
      </c>
    </row>
    <row r="769" spans="1:4" x14ac:dyDescent="0.15">
      <c r="A769" t="s">
        <v>2165</v>
      </c>
      <c r="B769" t="s">
        <v>2048</v>
      </c>
      <c r="C769" t="s">
        <v>2049</v>
      </c>
      <c r="D769" t="s">
        <v>2050</v>
      </c>
    </row>
    <row r="770" spans="1:4" x14ac:dyDescent="0.15">
      <c r="A770" t="s">
        <v>2165</v>
      </c>
      <c r="B770" t="s">
        <v>2051</v>
      </c>
      <c r="C770" t="s">
        <v>2052</v>
      </c>
      <c r="D770" t="s">
        <v>2053</v>
      </c>
    </row>
    <row r="771" spans="1:4" x14ac:dyDescent="0.15">
      <c r="A771" t="s">
        <v>2165</v>
      </c>
      <c r="B771" t="s">
        <v>2054</v>
      </c>
      <c r="C771" t="s">
        <v>2055</v>
      </c>
      <c r="D771" t="s">
        <v>2056</v>
      </c>
    </row>
    <row r="772" spans="1:4" x14ac:dyDescent="0.15">
      <c r="A772" t="s">
        <v>2165</v>
      </c>
      <c r="B772" t="s">
        <v>2057</v>
      </c>
      <c r="C772" t="s">
        <v>2058</v>
      </c>
      <c r="D772" t="s">
        <v>2059</v>
      </c>
    </row>
    <row r="773" spans="1:4" x14ac:dyDescent="0.15">
      <c r="A773" t="s">
        <v>2165</v>
      </c>
      <c r="B773" t="s">
        <v>2060</v>
      </c>
      <c r="C773" t="s">
        <v>2061</v>
      </c>
      <c r="D773" t="s">
        <v>2062</v>
      </c>
    </row>
    <row r="774" spans="1:4" x14ac:dyDescent="0.15">
      <c r="A774" t="s">
        <v>2165</v>
      </c>
      <c r="B774" t="s">
        <v>2063</v>
      </c>
      <c r="C774" t="s">
        <v>2064</v>
      </c>
      <c r="D774" t="s">
        <v>2065</v>
      </c>
    </row>
    <row r="775" spans="1:4" x14ac:dyDescent="0.15">
      <c r="A775" t="s">
        <v>2165</v>
      </c>
      <c r="B775" t="s">
        <v>2066</v>
      </c>
      <c r="C775" t="s">
        <v>2067</v>
      </c>
      <c r="D775" t="s">
        <v>2068</v>
      </c>
    </row>
    <row r="776" spans="1:4" x14ac:dyDescent="0.15">
      <c r="A776" t="s">
        <v>2165</v>
      </c>
      <c r="B776" t="s">
        <v>2069</v>
      </c>
      <c r="C776" t="s">
        <v>2070</v>
      </c>
      <c r="D776" t="s">
        <v>2071</v>
      </c>
    </row>
    <row r="777" spans="1:4" x14ac:dyDescent="0.15">
      <c r="A777" t="s">
        <v>2165</v>
      </c>
      <c r="B777" t="s">
        <v>2072</v>
      </c>
      <c r="C777" t="s">
        <v>2073</v>
      </c>
      <c r="D777" t="s">
        <v>2073</v>
      </c>
    </row>
    <row r="778" spans="1:4" x14ac:dyDescent="0.15">
      <c r="A778" t="s">
        <v>2165</v>
      </c>
      <c r="B778" t="s">
        <v>2074</v>
      </c>
      <c r="C778" t="s">
        <v>2075</v>
      </c>
      <c r="D778" t="s">
        <v>2075</v>
      </c>
    </row>
    <row r="779" spans="1:4" x14ac:dyDescent="0.15">
      <c r="A779" t="s">
        <v>2165</v>
      </c>
      <c r="B779" t="s">
        <v>2076</v>
      </c>
      <c r="C779" t="s">
        <v>2077</v>
      </c>
      <c r="D779" t="s">
        <v>2078</v>
      </c>
    </row>
    <row r="780" spans="1:4" x14ac:dyDescent="0.15">
      <c r="A780" t="s">
        <v>2165</v>
      </c>
      <c r="B780" t="s">
        <v>2079</v>
      </c>
      <c r="C780" t="s">
        <v>2080</v>
      </c>
      <c r="D780" t="s">
        <v>2081</v>
      </c>
    </row>
    <row r="781" spans="1:4" x14ac:dyDescent="0.15">
      <c r="A781" t="s">
        <v>2165</v>
      </c>
      <c r="B781" t="s">
        <v>2082</v>
      </c>
      <c r="C781" t="s">
        <v>2083</v>
      </c>
      <c r="D781" t="s">
        <v>2084</v>
      </c>
    </row>
    <row r="782" spans="1:4" x14ac:dyDescent="0.15">
      <c r="A782" t="s">
        <v>2165</v>
      </c>
      <c r="B782" t="s">
        <v>2085</v>
      </c>
      <c r="C782" t="s">
        <v>2086</v>
      </c>
      <c r="D782" t="s">
        <v>2087</v>
      </c>
    </row>
    <row r="783" spans="1:4" x14ac:dyDescent="0.15">
      <c r="A783" t="s">
        <v>2165</v>
      </c>
      <c r="B783" t="s">
        <v>2088</v>
      </c>
      <c r="C783" t="s">
        <v>2089</v>
      </c>
      <c r="D783" t="s">
        <v>2090</v>
      </c>
    </row>
    <row r="784" spans="1:4" x14ac:dyDescent="0.15">
      <c r="A784" t="s">
        <v>2165</v>
      </c>
      <c r="B784" t="s">
        <v>2091</v>
      </c>
      <c r="C784" t="s">
        <v>2092</v>
      </c>
      <c r="D784" t="s">
        <v>2093</v>
      </c>
    </row>
    <row r="785" spans="1:4" x14ac:dyDescent="0.15">
      <c r="A785" t="s">
        <v>2165</v>
      </c>
      <c r="B785" t="s">
        <v>2094</v>
      </c>
      <c r="C785" t="s">
        <v>2095</v>
      </c>
      <c r="D785" t="s">
        <v>2096</v>
      </c>
    </row>
    <row r="786" spans="1:4" x14ac:dyDescent="0.15">
      <c r="A786" t="s">
        <v>2165</v>
      </c>
      <c r="B786" t="s">
        <v>2097</v>
      </c>
      <c r="C786" t="s">
        <v>2098</v>
      </c>
      <c r="D786" t="s">
        <v>2099</v>
      </c>
    </row>
    <row r="787" spans="1:4" x14ac:dyDescent="0.15">
      <c r="A787" t="s">
        <v>2165</v>
      </c>
      <c r="B787" t="s">
        <v>2100</v>
      </c>
      <c r="C787" t="s">
        <v>2101</v>
      </c>
      <c r="D787" t="s">
        <v>2102</v>
      </c>
    </row>
    <row r="788" spans="1:4" x14ac:dyDescent="0.15">
      <c r="A788" t="s">
        <v>2165</v>
      </c>
      <c r="B788" t="s">
        <v>2103</v>
      </c>
      <c r="C788" t="s">
        <v>2104</v>
      </c>
      <c r="D788" t="s">
        <v>2105</v>
      </c>
    </row>
    <row r="789" spans="1:4" x14ac:dyDescent="0.15">
      <c r="A789" t="s">
        <v>2165</v>
      </c>
      <c r="B789" t="s">
        <v>2106</v>
      </c>
      <c r="C789" t="s">
        <v>2107</v>
      </c>
      <c r="D789" t="s">
        <v>2108</v>
      </c>
    </row>
    <row r="790" spans="1:4" x14ac:dyDescent="0.15">
      <c r="A790" t="s">
        <v>2165</v>
      </c>
      <c r="B790" t="s">
        <v>2109</v>
      </c>
      <c r="C790" t="s">
        <v>2110</v>
      </c>
      <c r="D790" t="s">
        <v>2111</v>
      </c>
    </row>
    <row r="791" spans="1:4" x14ac:dyDescent="0.15">
      <c r="A791" t="s">
        <v>2165</v>
      </c>
      <c r="B791" t="s">
        <v>2112</v>
      </c>
      <c r="C791" t="s">
        <v>2113</v>
      </c>
      <c r="D791" t="s">
        <v>2114</v>
      </c>
    </row>
    <row r="792" spans="1:4" x14ac:dyDescent="0.15">
      <c r="A792" t="s">
        <v>2165</v>
      </c>
      <c r="B792" t="s">
        <v>2115</v>
      </c>
      <c r="C792" t="s">
        <v>2116</v>
      </c>
      <c r="D792" t="s">
        <v>2117</v>
      </c>
    </row>
    <row r="793" spans="1:4" x14ac:dyDescent="0.15">
      <c r="A793" t="s">
        <v>2165</v>
      </c>
      <c r="B793" t="s">
        <v>2118</v>
      </c>
      <c r="C793" t="s">
        <v>2119</v>
      </c>
      <c r="D793" t="s">
        <v>2120</v>
      </c>
    </row>
    <row r="794" spans="1:4" x14ac:dyDescent="0.15">
      <c r="A794" t="s">
        <v>2165</v>
      </c>
      <c r="B794" t="s">
        <v>2121</v>
      </c>
      <c r="C794" t="s">
        <v>2122</v>
      </c>
      <c r="D794" t="s">
        <v>2123</v>
      </c>
    </row>
    <row r="795" spans="1:4" x14ac:dyDescent="0.15">
      <c r="A795" t="s">
        <v>2165</v>
      </c>
      <c r="B795" t="s">
        <v>2124</v>
      </c>
      <c r="C795" t="s">
        <v>2125</v>
      </c>
      <c r="D795" t="s">
        <v>2126</v>
      </c>
    </row>
    <row r="796" spans="1:4" x14ac:dyDescent="0.15">
      <c r="A796" t="s">
        <v>2165</v>
      </c>
      <c r="B796" t="s">
        <v>2127</v>
      </c>
      <c r="C796" t="s">
        <v>2128</v>
      </c>
      <c r="D796" t="s">
        <v>2129</v>
      </c>
    </row>
    <row r="797" spans="1:4" x14ac:dyDescent="0.15">
      <c r="A797" t="s">
        <v>2165</v>
      </c>
      <c r="B797" t="s">
        <v>2130</v>
      </c>
      <c r="C797" t="s">
        <v>2131</v>
      </c>
      <c r="D797" t="s">
        <v>2132</v>
      </c>
    </row>
    <row r="798" spans="1:4" x14ac:dyDescent="0.15">
      <c r="A798" t="s">
        <v>2165</v>
      </c>
      <c r="B798" t="s">
        <v>2133</v>
      </c>
      <c r="C798" t="s">
        <v>2134</v>
      </c>
      <c r="D798" t="s">
        <v>2135</v>
      </c>
    </row>
    <row r="799" spans="1:4" x14ac:dyDescent="0.15">
      <c r="A799" t="s">
        <v>2165</v>
      </c>
      <c r="B799" t="s">
        <v>2136</v>
      </c>
      <c r="C799" t="s">
        <v>2137</v>
      </c>
      <c r="D799" t="s">
        <v>2138</v>
      </c>
    </row>
    <row r="800" spans="1:4" x14ac:dyDescent="0.15">
      <c r="A800" t="s">
        <v>2165</v>
      </c>
      <c r="B800" t="s">
        <v>2139</v>
      </c>
      <c r="C800" t="s">
        <v>2140</v>
      </c>
      <c r="D800" t="s">
        <v>2141</v>
      </c>
    </row>
    <row r="801" spans="1:4" x14ac:dyDescent="0.15">
      <c r="A801" t="s">
        <v>2165</v>
      </c>
      <c r="B801" t="s">
        <v>2142</v>
      </c>
      <c r="C801" t="s">
        <v>2143</v>
      </c>
      <c r="D801" t="s">
        <v>2144</v>
      </c>
    </row>
    <row r="802" spans="1:4" x14ac:dyDescent="0.15">
      <c r="A802" t="s">
        <v>2165</v>
      </c>
      <c r="B802" t="s">
        <v>2145</v>
      </c>
      <c r="C802" t="s">
        <v>2146</v>
      </c>
      <c r="D802" t="s">
        <v>2147</v>
      </c>
    </row>
    <row r="803" spans="1:4" x14ac:dyDescent="0.15">
      <c r="A803" t="s">
        <v>2165</v>
      </c>
      <c r="B803" t="s">
        <v>2148</v>
      </c>
      <c r="C803" t="s">
        <v>2149</v>
      </c>
      <c r="D803" t="s">
        <v>2150</v>
      </c>
    </row>
    <row r="804" spans="1:4" x14ac:dyDescent="0.15">
      <c r="A804" t="s">
        <v>2165</v>
      </c>
      <c r="B804" t="s">
        <v>2151</v>
      </c>
      <c r="C804" t="s">
        <v>2152</v>
      </c>
      <c r="D804" t="s">
        <v>2152</v>
      </c>
    </row>
    <row r="805" spans="1:4" x14ac:dyDescent="0.15">
      <c r="A805" t="s">
        <v>2165</v>
      </c>
      <c r="B805" t="s">
        <v>2153</v>
      </c>
      <c r="C805" t="s">
        <v>2154</v>
      </c>
      <c r="D805" t="s">
        <v>2155</v>
      </c>
    </row>
    <row r="806" spans="1:4" x14ac:dyDescent="0.15">
      <c r="A806" t="s">
        <v>2165</v>
      </c>
      <c r="B806" t="s">
        <v>2166</v>
      </c>
      <c r="C806" t="s">
        <v>2167</v>
      </c>
      <c r="D806" t="s">
        <v>2168</v>
      </c>
    </row>
    <row r="807" spans="1:4" x14ac:dyDescent="0.15">
      <c r="A807" t="s">
        <v>2165</v>
      </c>
      <c r="B807" t="s">
        <v>2159</v>
      </c>
      <c r="C807" t="s">
        <v>2160</v>
      </c>
      <c r="D807" t="s">
        <v>2161</v>
      </c>
    </row>
    <row r="808" spans="1:4" x14ac:dyDescent="0.15">
      <c r="A808" t="s">
        <v>2165</v>
      </c>
      <c r="B808" t="s">
        <v>2162</v>
      </c>
      <c r="C808" t="s">
        <v>2163</v>
      </c>
      <c r="D808" t="s">
        <v>2164</v>
      </c>
    </row>
    <row r="810" spans="1:4" x14ac:dyDescent="0.15">
      <c r="A810" t="s">
        <v>2169</v>
      </c>
      <c r="B810" t="s">
        <v>1895</v>
      </c>
      <c r="C810" t="s">
        <v>1896</v>
      </c>
      <c r="D810" t="s">
        <v>1897</v>
      </c>
    </row>
    <row r="811" spans="1:4" x14ac:dyDescent="0.15">
      <c r="A811" t="s">
        <v>2169</v>
      </c>
      <c r="B811" t="s">
        <v>1898</v>
      </c>
      <c r="C811" t="s">
        <v>1899</v>
      </c>
      <c r="D811" t="s">
        <v>1900</v>
      </c>
    </row>
    <row r="812" spans="1:4" x14ac:dyDescent="0.15">
      <c r="A812" t="s">
        <v>2169</v>
      </c>
      <c r="B812" t="s">
        <v>1901</v>
      </c>
      <c r="C812" t="s">
        <v>1902</v>
      </c>
      <c r="D812" t="s">
        <v>1903</v>
      </c>
    </row>
    <row r="813" spans="1:4" x14ac:dyDescent="0.15">
      <c r="A813" t="s">
        <v>2169</v>
      </c>
      <c r="B813" t="s">
        <v>1904</v>
      </c>
      <c r="C813" t="s">
        <v>1905</v>
      </c>
      <c r="D813" t="s">
        <v>1906</v>
      </c>
    </row>
    <row r="814" spans="1:4" x14ac:dyDescent="0.15">
      <c r="A814" t="s">
        <v>2169</v>
      </c>
      <c r="B814" t="s">
        <v>1907</v>
      </c>
      <c r="C814" t="s">
        <v>1908</v>
      </c>
      <c r="D814" t="s">
        <v>1909</v>
      </c>
    </row>
    <row r="815" spans="1:4" x14ac:dyDescent="0.15">
      <c r="A815" t="s">
        <v>2169</v>
      </c>
      <c r="B815" t="s">
        <v>1910</v>
      </c>
      <c r="C815" t="s">
        <v>1911</v>
      </c>
      <c r="D815" t="s">
        <v>1912</v>
      </c>
    </row>
    <row r="816" spans="1:4" x14ac:dyDescent="0.15">
      <c r="A816" t="s">
        <v>2169</v>
      </c>
      <c r="B816" t="s">
        <v>1913</v>
      </c>
      <c r="C816" t="s">
        <v>1914</v>
      </c>
      <c r="D816" t="s">
        <v>1915</v>
      </c>
    </row>
    <row r="817" spans="1:4" x14ac:dyDescent="0.15">
      <c r="A817" t="s">
        <v>2169</v>
      </c>
      <c r="B817" t="s">
        <v>1916</v>
      </c>
      <c r="C817" t="s">
        <v>1917</v>
      </c>
      <c r="D817" t="s">
        <v>1918</v>
      </c>
    </row>
    <row r="818" spans="1:4" x14ac:dyDescent="0.15">
      <c r="A818" t="s">
        <v>2169</v>
      </c>
      <c r="B818" t="s">
        <v>1919</v>
      </c>
      <c r="C818" t="s">
        <v>1920</v>
      </c>
      <c r="D818" t="s">
        <v>1921</v>
      </c>
    </row>
    <row r="819" spans="1:4" x14ac:dyDescent="0.15">
      <c r="A819" t="s">
        <v>2169</v>
      </c>
      <c r="B819" t="s">
        <v>1922</v>
      </c>
      <c r="C819" t="s">
        <v>1845</v>
      </c>
      <c r="D819" t="s">
        <v>1846</v>
      </c>
    </row>
    <row r="820" spans="1:4" x14ac:dyDescent="0.15">
      <c r="A820" t="s">
        <v>2169</v>
      </c>
      <c r="B820" t="s">
        <v>1923</v>
      </c>
      <c r="C820" t="s">
        <v>1924</v>
      </c>
      <c r="D820" t="s">
        <v>1925</v>
      </c>
    </row>
    <row r="821" spans="1:4" x14ac:dyDescent="0.15">
      <c r="A821" t="s">
        <v>2169</v>
      </c>
      <c r="B821" t="s">
        <v>1926</v>
      </c>
      <c r="C821" t="s">
        <v>1927</v>
      </c>
      <c r="D821" t="s">
        <v>1928</v>
      </c>
    </row>
    <row r="822" spans="1:4" x14ac:dyDescent="0.15">
      <c r="A822" t="s">
        <v>2169</v>
      </c>
      <c r="B822" t="s">
        <v>1929</v>
      </c>
      <c r="C822" t="s">
        <v>1930</v>
      </c>
      <c r="D822" t="s">
        <v>1931</v>
      </c>
    </row>
    <row r="823" spans="1:4" x14ac:dyDescent="0.15">
      <c r="A823" t="s">
        <v>2169</v>
      </c>
      <c r="B823" t="s">
        <v>1932</v>
      </c>
      <c r="C823" t="s">
        <v>1933</v>
      </c>
      <c r="D823" t="s">
        <v>1934</v>
      </c>
    </row>
    <row r="824" spans="1:4" x14ac:dyDescent="0.15">
      <c r="A824" t="s">
        <v>2169</v>
      </c>
      <c r="B824" t="s">
        <v>1935</v>
      </c>
      <c r="C824" t="s">
        <v>1936</v>
      </c>
      <c r="D824" t="s">
        <v>1937</v>
      </c>
    </row>
    <row r="825" spans="1:4" x14ac:dyDescent="0.15">
      <c r="A825" t="s">
        <v>2169</v>
      </c>
      <c r="B825" t="s">
        <v>1938</v>
      </c>
      <c r="C825" t="s">
        <v>1939</v>
      </c>
      <c r="D825" t="s">
        <v>1940</v>
      </c>
    </row>
    <row r="826" spans="1:4" x14ac:dyDescent="0.15">
      <c r="A826" t="s">
        <v>2169</v>
      </c>
      <c r="B826" t="s">
        <v>1941</v>
      </c>
      <c r="C826" t="s">
        <v>1942</v>
      </c>
      <c r="D826" t="s">
        <v>1943</v>
      </c>
    </row>
    <row r="827" spans="1:4" x14ac:dyDescent="0.15">
      <c r="A827" t="s">
        <v>2169</v>
      </c>
      <c r="B827" t="s">
        <v>1944</v>
      </c>
      <c r="C827" t="s">
        <v>1945</v>
      </c>
      <c r="D827" t="s">
        <v>1946</v>
      </c>
    </row>
    <row r="828" spans="1:4" x14ac:dyDescent="0.15">
      <c r="A828" t="s">
        <v>2169</v>
      </c>
      <c r="B828" t="s">
        <v>1947</v>
      </c>
      <c r="C828" t="s">
        <v>1948</v>
      </c>
      <c r="D828" t="s">
        <v>1949</v>
      </c>
    </row>
    <row r="829" spans="1:4" x14ac:dyDescent="0.15">
      <c r="A829" t="s">
        <v>2169</v>
      </c>
      <c r="B829" t="s">
        <v>1950</v>
      </c>
      <c r="C829" t="s">
        <v>1951</v>
      </c>
      <c r="D829" t="s">
        <v>1951</v>
      </c>
    </row>
    <row r="830" spans="1:4" x14ac:dyDescent="0.15">
      <c r="A830" t="s">
        <v>2169</v>
      </c>
      <c r="B830" t="s">
        <v>1952</v>
      </c>
      <c r="C830" t="s">
        <v>1953</v>
      </c>
      <c r="D830" t="s">
        <v>1954</v>
      </c>
    </row>
    <row r="831" spans="1:4" x14ac:dyDescent="0.15">
      <c r="A831" t="s">
        <v>2169</v>
      </c>
      <c r="B831" t="s">
        <v>1955</v>
      </c>
      <c r="C831" t="s">
        <v>1956</v>
      </c>
      <c r="D831" t="s">
        <v>1957</v>
      </c>
    </row>
    <row r="832" spans="1:4" x14ac:dyDescent="0.15">
      <c r="A832" t="s">
        <v>2169</v>
      </c>
      <c r="B832" t="s">
        <v>1958</v>
      </c>
      <c r="C832" t="s">
        <v>1959</v>
      </c>
      <c r="D832" t="s">
        <v>1960</v>
      </c>
    </row>
    <row r="833" spans="1:4" x14ac:dyDescent="0.15">
      <c r="A833" t="s">
        <v>2169</v>
      </c>
      <c r="B833" t="s">
        <v>1961</v>
      </c>
      <c r="C833" t="s">
        <v>1962</v>
      </c>
      <c r="D833" t="s">
        <v>1963</v>
      </c>
    </row>
    <row r="834" spans="1:4" x14ac:dyDescent="0.15">
      <c r="A834" t="s">
        <v>2169</v>
      </c>
      <c r="B834" t="s">
        <v>1964</v>
      </c>
      <c r="C834" t="s">
        <v>1965</v>
      </c>
      <c r="D834" t="s">
        <v>1966</v>
      </c>
    </row>
    <row r="835" spans="1:4" x14ac:dyDescent="0.15">
      <c r="A835" t="s">
        <v>2169</v>
      </c>
      <c r="B835" t="s">
        <v>1967</v>
      </c>
      <c r="C835" t="s">
        <v>1968</v>
      </c>
      <c r="D835" t="s">
        <v>1969</v>
      </c>
    </row>
    <row r="836" spans="1:4" x14ac:dyDescent="0.15">
      <c r="A836" t="s">
        <v>2169</v>
      </c>
      <c r="B836" t="s">
        <v>1970</v>
      </c>
      <c r="C836" t="s">
        <v>1971</v>
      </c>
      <c r="D836" t="s">
        <v>1969</v>
      </c>
    </row>
    <row r="837" spans="1:4" x14ac:dyDescent="0.15">
      <c r="A837" t="s">
        <v>2169</v>
      </c>
      <c r="B837" t="s">
        <v>1972</v>
      </c>
      <c r="C837" t="s">
        <v>1973</v>
      </c>
      <c r="D837" t="s">
        <v>1974</v>
      </c>
    </row>
    <row r="838" spans="1:4" x14ac:dyDescent="0.15">
      <c r="A838" t="s">
        <v>2169</v>
      </c>
      <c r="B838" t="s">
        <v>1975</v>
      </c>
      <c r="C838" t="s">
        <v>1976</v>
      </c>
      <c r="D838" t="s">
        <v>1977</v>
      </c>
    </row>
    <row r="839" spans="1:4" x14ac:dyDescent="0.15">
      <c r="A839" t="s">
        <v>2169</v>
      </c>
      <c r="B839" t="s">
        <v>1978</v>
      </c>
      <c r="C839" t="s">
        <v>1979</v>
      </c>
      <c r="D839" t="s">
        <v>1980</v>
      </c>
    </row>
    <row r="840" spans="1:4" x14ac:dyDescent="0.15">
      <c r="A840" t="s">
        <v>2169</v>
      </c>
      <c r="B840" t="s">
        <v>1981</v>
      </c>
      <c r="C840" t="s">
        <v>1982</v>
      </c>
      <c r="D840" t="s">
        <v>1983</v>
      </c>
    </row>
    <row r="841" spans="1:4" x14ac:dyDescent="0.15">
      <c r="A841" t="s">
        <v>2169</v>
      </c>
      <c r="B841" t="s">
        <v>1984</v>
      </c>
      <c r="C841" t="s">
        <v>1985</v>
      </c>
      <c r="D841" t="s">
        <v>1986</v>
      </c>
    </row>
    <row r="842" spans="1:4" x14ac:dyDescent="0.15">
      <c r="A842" t="s">
        <v>2169</v>
      </c>
      <c r="B842" t="s">
        <v>1987</v>
      </c>
      <c r="C842" t="s">
        <v>1988</v>
      </c>
      <c r="D842" t="s">
        <v>1988</v>
      </c>
    </row>
    <row r="843" spans="1:4" x14ac:dyDescent="0.15">
      <c r="A843" t="s">
        <v>2169</v>
      </c>
      <c r="B843" t="s">
        <v>1989</v>
      </c>
      <c r="C843" t="s">
        <v>1990</v>
      </c>
      <c r="D843" t="s">
        <v>1991</v>
      </c>
    </row>
    <row r="844" spans="1:4" x14ac:dyDescent="0.15">
      <c r="A844" t="s">
        <v>2169</v>
      </c>
      <c r="B844" t="s">
        <v>1992</v>
      </c>
      <c r="C844" t="s">
        <v>1993</v>
      </c>
      <c r="D844" t="s">
        <v>1994</v>
      </c>
    </row>
    <row r="845" spans="1:4" x14ac:dyDescent="0.15">
      <c r="A845" t="s">
        <v>2169</v>
      </c>
      <c r="B845" t="s">
        <v>1995</v>
      </c>
      <c r="C845" t="s">
        <v>1996</v>
      </c>
      <c r="D845" t="s">
        <v>1997</v>
      </c>
    </row>
    <row r="846" spans="1:4" x14ac:dyDescent="0.15">
      <c r="A846" t="s">
        <v>2169</v>
      </c>
      <c r="B846" t="s">
        <v>1998</v>
      </c>
      <c r="C846" t="s">
        <v>1999</v>
      </c>
      <c r="D846" t="s">
        <v>2000</v>
      </c>
    </row>
    <row r="847" spans="1:4" x14ac:dyDescent="0.15">
      <c r="A847" t="s">
        <v>2169</v>
      </c>
      <c r="B847" t="s">
        <v>2001</v>
      </c>
      <c r="C847" t="s">
        <v>2002</v>
      </c>
      <c r="D847" t="s">
        <v>2003</v>
      </c>
    </row>
    <row r="848" spans="1:4" x14ac:dyDescent="0.15">
      <c r="A848" t="s">
        <v>2169</v>
      </c>
      <c r="B848" t="s">
        <v>2004</v>
      </c>
      <c r="C848" t="s">
        <v>2005</v>
      </c>
      <c r="D848" t="s">
        <v>2006</v>
      </c>
    </row>
    <row r="849" spans="1:4" x14ac:dyDescent="0.15">
      <c r="A849" t="s">
        <v>2169</v>
      </c>
      <c r="B849" t="s">
        <v>2007</v>
      </c>
      <c r="C849" t="s">
        <v>2008</v>
      </c>
      <c r="D849" t="s">
        <v>2009</v>
      </c>
    </row>
    <row r="850" spans="1:4" x14ac:dyDescent="0.15">
      <c r="A850" t="s">
        <v>2169</v>
      </c>
      <c r="B850" t="s">
        <v>2010</v>
      </c>
      <c r="C850" t="s">
        <v>2011</v>
      </c>
      <c r="D850" t="s">
        <v>2012</v>
      </c>
    </row>
    <row r="851" spans="1:4" x14ac:dyDescent="0.15">
      <c r="A851" t="s">
        <v>2169</v>
      </c>
      <c r="B851" t="s">
        <v>2013</v>
      </c>
      <c r="C851" t="s">
        <v>2014</v>
      </c>
      <c r="D851" t="s">
        <v>2014</v>
      </c>
    </row>
    <row r="852" spans="1:4" x14ac:dyDescent="0.15">
      <c r="A852" t="s">
        <v>2169</v>
      </c>
      <c r="B852" t="s">
        <v>2015</v>
      </c>
      <c r="C852" t="s">
        <v>2016</v>
      </c>
      <c r="D852" t="s">
        <v>2017</v>
      </c>
    </row>
    <row r="853" spans="1:4" x14ac:dyDescent="0.15">
      <c r="A853" t="s">
        <v>2169</v>
      </c>
      <c r="B853" t="s">
        <v>2018</v>
      </c>
      <c r="C853" t="s">
        <v>2019</v>
      </c>
      <c r="D853" t="s">
        <v>2020</v>
      </c>
    </row>
    <row r="854" spans="1:4" x14ac:dyDescent="0.15">
      <c r="A854" t="s">
        <v>2169</v>
      </c>
      <c r="B854" t="s">
        <v>2021</v>
      </c>
      <c r="C854" t="s">
        <v>2022</v>
      </c>
      <c r="D854" t="s">
        <v>2023</v>
      </c>
    </row>
    <row r="855" spans="1:4" x14ac:dyDescent="0.15">
      <c r="A855" t="s">
        <v>2169</v>
      </c>
      <c r="B855" t="s">
        <v>2024</v>
      </c>
      <c r="C855" t="s">
        <v>2025</v>
      </c>
      <c r="D855" t="s">
        <v>2026</v>
      </c>
    </row>
    <row r="856" spans="1:4" x14ac:dyDescent="0.15">
      <c r="A856" t="s">
        <v>2169</v>
      </c>
      <c r="B856" t="s">
        <v>2027</v>
      </c>
      <c r="C856" t="s">
        <v>2028</v>
      </c>
      <c r="D856" t="s">
        <v>2029</v>
      </c>
    </row>
    <row r="857" spans="1:4" x14ac:dyDescent="0.15">
      <c r="A857" t="s">
        <v>2169</v>
      </c>
      <c r="B857" t="s">
        <v>2030</v>
      </c>
      <c r="C857" t="s">
        <v>2031</v>
      </c>
      <c r="D857" t="s">
        <v>2032</v>
      </c>
    </row>
    <row r="858" spans="1:4" x14ac:dyDescent="0.15">
      <c r="A858" t="s">
        <v>2169</v>
      </c>
      <c r="B858" t="s">
        <v>2033</v>
      </c>
      <c r="C858" t="s">
        <v>2034</v>
      </c>
      <c r="D858" t="s">
        <v>2035</v>
      </c>
    </row>
    <row r="859" spans="1:4" x14ac:dyDescent="0.15">
      <c r="A859" t="s">
        <v>2169</v>
      </c>
      <c r="B859" t="s">
        <v>2036</v>
      </c>
      <c r="C859" t="s">
        <v>2037</v>
      </c>
      <c r="D859" t="s">
        <v>2038</v>
      </c>
    </row>
    <row r="860" spans="1:4" x14ac:dyDescent="0.15">
      <c r="A860" t="s">
        <v>2169</v>
      </c>
      <c r="B860" t="s">
        <v>2039</v>
      </c>
      <c r="C860" t="s">
        <v>2040</v>
      </c>
      <c r="D860" t="s">
        <v>2041</v>
      </c>
    </row>
    <row r="861" spans="1:4" x14ac:dyDescent="0.15">
      <c r="A861" t="s">
        <v>2169</v>
      </c>
      <c r="B861" t="s">
        <v>2042</v>
      </c>
      <c r="C861" t="s">
        <v>2043</v>
      </c>
      <c r="D861" t="s">
        <v>2044</v>
      </c>
    </row>
    <row r="862" spans="1:4" x14ac:dyDescent="0.15">
      <c r="A862" t="s">
        <v>2169</v>
      </c>
      <c r="B862" t="s">
        <v>2045</v>
      </c>
      <c r="C862" t="s">
        <v>2046</v>
      </c>
      <c r="D862" t="s">
        <v>2047</v>
      </c>
    </row>
    <row r="863" spans="1:4" x14ac:dyDescent="0.15">
      <c r="A863" t="s">
        <v>2169</v>
      </c>
      <c r="B863" t="s">
        <v>2048</v>
      </c>
      <c r="C863" t="s">
        <v>2049</v>
      </c>
      <c r="D863" t="s">
        <v>2050</v>
      </c>
    </row>
    <row r="864" spans="1:4" x14ac:dyDescent="0.15">
      <c r="A864" t="s">
        <v>2169</v>
      </c>
      <c r="B864" t="s">
        <v>2051</v>
      </c>
      <c r="C864" t="s">
        <v>2052</v>
      </c>
      <c r="D864" t="s">
        <v>2053</v>
      </c>
    </row>
    <row r="865" spans="1:4" x14ac:dyDescent="0.15">
      <c r="A865" t="s">
        <v>2169</v>
      </c>
      <c r="B865" t="s">
        <v>2054</v>
      </c>
      <c r="C865" t="s">
        <v>2055</v>
      </c>
      <c r="D865" t="s">
        <v>2056</v>
      </c>
    </row>
    <row r="866" spans="1:4" x14ac:dyDescent="0.15">
      <c r="A866" t="s">
        <v>2169</v>
      </c>
      <c r="B866" t="s">
        <v>2057</v>
      </c>
      <c r="C866" t="s">
        <v>2058</v>
      </c>
      <c r="D866" t="s">
        <v>2059</v>
      </c>
    </row>
    <row r="867" spans="1:4" x14ac:dyDescent="0.15">
      <c r="A867" t="s">
        <v>2169</v>
      </c>
      <c r="B867" t="s">
        <v>2060</v>
      </c>
      <c r="C867" t="s">
        <v>2061</v>
      </c>
      <c r="D867" t="s">
        <v>2062</v>
      </c>
    </row>
    <row r="868" spans="1:4" x14ac:dyDescent="0.15">
      <c r="A868" t="s">
        <v>2169</v>
      </c>
      <c r="B868" t="s">
        <v>2063</v>
      </c>
      <c r="C868" t="s">
        <v>2064</v>
      </c>
      <c r="D868" t="s">
        <v>2065</v>
      </c>
    </row>
    <row r="869" spans="1:4" x14ac:dyDescent="0.15">
      <c r="A869" t="s">
        <v>2169</v>
      </c>
      <c r="B869" t="s">
        <v>2066</v>
      </c>
      <c r="C869" t="s">
        <v>2067</v>
      </c>
      <c r="D869" t="s">
        <v>2068</v>
      </c>
    </row>
    <row r="870" spans="1:4" x14ac:dyDescent="0.15">
      <c r="A870" t="s">
        <v>2169</v>
      </c>
      <c r="B870" t="s">
        <v>2069</v>
      </c>
      <c r="C870" t="s">
        <v>2070</v>
      </c>
      <c r="D870" t="s">
        <v>2071</v>
      </c>
    </row>
    <row r="871" spans="1:4" x14ac:dyDescent="0.15">
      <c r="A871" t="s">
        <v>2169</v>
      </c>
      <c r="B871" t="s">
        <v>2072</v>
      </c>
      <c r="C871" t="s">
        <v>2073</v>
      </c>
      <c r="D871" t="s">
        <v>2073</v>
      </c>
    </row>
    <row r="872" spans="1:4" x14ac:dyDescent="0.15">
      <c r="A872" t="s">
        <v>2169</v>
      </c>
      <c r="B872" t="s">
        <v>2074</v>
      </c>
      <c r="C872" t="s">
        <v>2075</v>
      </c>
      <c r="D872" t="s">
        <v>2075</v>
      </c>
    </row>
    <row r="873" spans="1:4" x14ac:dyDescent="0.15">
      <c r="A873" t="s">
        <v>2169</v>
      </c>
      <c r="B873" t="s">
        <v>2076</v>
      </c>
      <c r="C873" t="s">
        <v>2077</v>
      </c>
      <c r="D873" t="s">
        <v>2078</v>
      </c>
    </row>
    <row r="874" spans="1:4" x14ac:dyDescent="0.15">
      <c r="A874" t="s">
        <v>2169</v>
      </c>
      <c r="B874" t="s">
        <v>2079</v>
      </c>
      <c r="C874" t="s">
        <v>2080</v>
      </c>
      <c r="D874" t="s">
        <v>2081</v>
      </c>
    </row>
    <row r="875" spans="1:4" x14ac:dyDescent="0.15">
      <c r="A875" t="s">
        <v>2169</v>
      </c>
      <c r="B875" t="s">
        <v>2082</v>
      </c>
      <c r="C875" t="s">
        <v>2083</v>
      </c>
      <c r="D875" t="s">
        <v>2084</v>
      </c>
    </row>
    <row r="876" spans="1:4" x14ac:dyDescent="0.15">
      <c r="A876" t="s">
        <v>2169</v>
      </c>
      <c r="B876" t="s">
        <v>2085</v>
      </c>
      <c r="C876" t="s">
        <v>2086</v>
      </c>
      <c r="D876" t="s">
        <v>2087</v>
      </c>
    </row>
    <row r="877" spans="1:4" x14ac:dyDescent="0.15">
      <c r="A877" t="s">
        <v>2169</v>
      </c>
      <c r="B877" t="s">
        <v>2088</v>
      </c>
      <c r="C877" t="s">
        <v>2089</v>
      </c>
      <c r="D877" t="s">
        <v>2090</v>
      </c>
    </row>
    <row r="878" spans="1:4" x14ac:dyDescent="0.15">
      <c r="A878" t="s">
        <v>2169</v>
      </c>
      <c r="B878" t="s">
        <v>2091</v>
      </c>
      <c r="C878" t="s">
        <v>2092</v>
      </c>
      <c r="D878" t="s">
        <v>2093</v>
      </c>
    </row>
    <row r="879" spans="1:4" x14ac:dyDescent="0.15">
      <c r="A879" t="s">
        <v>2169</v>
      </c>
      <c r="B879" t="s">
        <v>2094</v>
      </c>
      <c r="C879" t="s">
        <v>2095</v>
      </c>
      <c r="D879" t="s">
        <v>2096</v>
      </c>
    </row>
    <row r="880" spans="1:4" x14ac:dyDescent="0.15">
      <c r="A880" t="s">
        <v>2169</v>
      </c>
      <c r="B880" t="s">
        <v>2097</v>
      </c>
      <c r="C880" t="s">
        <v>2098</v>
      </c>
      <c r="D880" t="s">
        <v>2099</v>
      </c>
    </row>
    <row r="881" spans="1:4" x14ac:dyDescent="0.15">
      <c r="A881" t="s">
        <v>2169</v>
      </c>
      <c r="B881" t="s">
        <v>2100</v>
      </c>
      <c r="C881" t="s">
        <v>2101</v>
      </c>
      <c r="D881" t="s">
        <v>2102</v>
      </c>
    </row>
    <row r="882" spans="1:4" x14ac:dyDescent="0.15">
      <c r="A882" t="s">
        <v>2169</v>
      </c>
      <c r="B882" t="s">
        <v>2103</v>
      </c>
      <c r="C882" t="s">
        <v>2104</v>
      </c>
      <c r="D882" t="s">
        <v>2105</v>
      </c>
    </row>
    <row r="883" spans="1:4" x14ac:dyDescent="0.15">
      <c r="A883" t="s">
        <v>2169</v>
      </c>
      <c r="B883" t="s">
        <v>2106</v>
      </c>
      <c r="C883" t="s">
        <v>2107</v>
      </c>
      <c r="D883" t="s">
        <v>2108</v>
      </c>
    </row>
    <row r="884" spans="1:4" x14ac:dyDescent="0.15">
      <c r="A884" t="s">
        <v>2169</v>
      </c>
      <c r="B884" t="s">
        <v>2109</v>
      </c>
      <c r="C884" t="s">
        <v>2110</v>
      </c>
      <c r="D884" t="s">
        <v>2111</v>
      </c>
    </row>
    <row r="885" spans="1:4" x14ac:dyDescent="0.15">
      <c r="A885" t="s">
        <v>2169</v>
      </c>
      <c r="B885" t="s">
        <v>2112</v>
      </c>
      <c r="C885" t="s">
        <v>2113</v>
      </c>
      <c r="D885" t="s">
        <v>2114</v>
      </c>
    </row>
    <row r="886" spans="1:4" x14ac:dyDescent="0.15">
      <c r="A886" t="s">
        <v>2169</v>
      </c>
      <c r="B886" t="s">
        <v>2115</v>
      </c>
      <c r="C886" t="s">
        <v>2116</v>
      </c>
      <c r="D886" t="s">
        <v>2117</v>
      </c>
    </row>
    <row r="887" spans="1:4" x14ac:dyDescent="0.15">
      <c r="A887" t="s">
        <v>2169</v>
      </c>
      <c r="B887" t="s">
        <v>2118</v>
      </c>
      <c r="C887" t="s">
        <v>2119</v>
      </c>
      <c r="D887" t="s">
        <v>2120</v>
      </c>
    </row>
    <row r="888" spans="1:4" x14ac:dyDescent="0.15">
      <c r="A888" t="s">
        <v>2169</v>
      </c>
      <c r="B888" t="s">
        <v>2121</v>
      </c>
      <c r="C888" t="s">
        <v>2122</v>
      </c>
      <c r="D888" t="s">
        <v>2123</v>
      </c>
    </row>
    <row r="889" spans="1:4" x14ac:dyDescent="0.15">
      <c r="A889" t="s">
        <v>2169</v>
      </c>
      <c r="B889" t="s">
        <v>2124</v>
      </c>
      <c r="C889" t="s">
        <v>2125</v>
      </c>
      <c r="D889" t="s">
        <v>2126</v>
      </c>
    </row>
    <row r="890" spans="1:4" x14ac:dyDescent="0.15">
      <c r="A890" t="s">
        <v>2169</v>
      </c>
      <c r="B890" t="s">
        <v>2127</v>
      </c>
      <c r="C890" t="s">
        <v>2128</v>
      </c>
      <c r="D890" t="s">
        <v>2129</v>
      </c>
    </row>
    <row r="891" spans="1:4" x14ac:dyDescent="0.15">
      <c r="A891" t="s">
        <v>2169</v>
      </c>
      <c r="B891" t="s">
        <v>2130</v>
      </c>
      <c r="C891" t="s">
        <v>2131</v>
      </c>
      <c r="D891" t="s">
        <v>2132</v>
      </c>
    </row>
    <row r="892" spans="1:4" x14ac:dyDescent="0.15">
      <c r="A892" t="s">
        <v>2169</v>
      </c>
      <c r="B892" t="s">
        <v>2133</v>
      </c>
      <c r="C892" t="s">
        <v>2134</v>
      </c>
      <c r="D892" t="s">
        <v>2135</v>
      </c>
    </row>
    <row r="893" spans="1:4" x14ac:dyDescent="0.15">
      <c r="A893" t="s">
        <v>2169</v>
      </c>
      <c r="B893" t="s">
        <v>2136</v>
      </c>
      <c r="C893" t="s">
        <v>2137</v>
      </c>
      <c r="D893" t="s">
        <v>2138</v>
      </c>
    </row>
    <row r="894" spans="1:4" x14ac:dyDescent="0.15">
      <c r="A894" t="s">
        <v>2169</v>
      </c>
      <c r="B894" t="s">
        <v>2139</v>
      </c>
      <c r="C894" t="s">
        <v>2140</v>
      </c>
      <c r="D894" t="s">
        <v>2141</v>
      </c>
    </row>
    <row r="895" spans="1:4" x14ac:dyDescent="0.15">
      <c r="A895" t="s">
        <v>2169</v>
      </c>
      <c r="B895" t="s">
        <v>2142</v>
      </c>
      <c r="C895" t="s">
        <v>2143</v>
      </c>
      <c r="D895" t="s">
        <v>2144</v>
      </c>
    </row>
    <row r="896" spans="1:4" x14ac:dyDescent="0.15">
      <c r="A896" t="s">
        <v>2169</v>
      </c>
      <c r="B896" t="s">
        <v>2145</v>
      </c>
      <c r="C896" t="s">
        <v>2146</v>
      </c>
      <c r="D896" t="s">
        <v>2147</v>
      </c>
    </row>
    <row r="897" spans="1:4" x14ac:dyDescent="0.15">
      <c r="A897" t="s">
        <v>2169</v>
      </c>
      <c r="B897" t="s">
        <v>2148</v>
      </c>
      <c r="C897" t="s">
        <v>2149</v>
      </c>
      <c r="D897" t="s">
        <v>2150</v>
      </c>
    </row>
    <row r="898" spans="1:4" x14ac:dyDescent="0.15">
      <c r="A898" t="s">
        <v>2169</v>
      </c>
      <c r="B898" t="s">
        <v>2151</v>
      </c>
      <c r="C898" t="s">
        <v>2152</v>
      </c>
      <c r="D898" t="s">
        <v>2152</v>
      </c>
    </row>
    <row r="899" spans="1:4" x14ac:dyDescent="0.15">
      <c r="A899" t="s">
        <v>2169</v>
      </c>
      <c r="B899" t="s">
        <v>2153</v>
      </c>
      <c r="C899" t="s">
        <v>2154</v>
      </c>
      <c r="D899" t="s">
        <v>2155</v>
      </c>
    </row>
    <row r="900" spans="1:4" x14ac:dyDescent="0.15">
      <c r="A900" t="s">
        <v>2169</v>
      </c>
      <c r="B900" t="s">
        <v>2159</v>
      </c>
      <c r="C900" t="s">
        <v>2160</v>
      </c>
      <c r="D900" t="s">
        <v>2161</v>
      </c>
    </row>
    <row r="901" spans="1:4" x14ac:dyDescent="0.15">
      <c r="A901" t="s">
        <v>2169</v>
      </c>
      <c r="B901" t="s">
        <v>2162</v>
      </c>
      <c r="C901" t="s">
        <v>2163</v>
      </c>
      <c r="D901" t="s">
        <v>2164</v>
      </c>
    </row>
    <row r="903" spans="1:4" x14ac:dyDescent="0.15">
      <c r="A903" t="s">
        <v>2170</v>
      </c>
      <c r="B903" t="s">
        <v>2171</v>
      </c>
      <c r="C903" t="s">
        <v>2172</v>
      </c>
      <c r="D903" s="136" t="s">
        <v>2172</v>
      </c>
    </row>
    <row r="904" spans="1:4" x14ac:dyDescent="0.15">
      <c r="A904" t="s">
        <v>2170</v>
      </c>
      <c r="B904" t="s">
        <v>2173</v>
      </c>
      <c r="C904" t="s">
        <v>2174</v>
      </c>
      <c r="D904" s="136" t="s">
        <v>2174</v>
      </c>
    </row>
    <row r="905" spans="1:4" x14ac:dyDescent="0.15">
      <c r="A905" t="s">
        <v>2170</v>
      </c>
      <c r="B905" t="s">
        <v>2175</v>
      </c>
      <c r="C905" t="s">
        <v>2176</v>
      </c>
      <c r="D905" s="136" t="s">
        <v>2176</v>
      </c>
    </row>
    <row r="906" spans="1:4" x14ac:dyDescent="0.15">
      <c r="A906" t="s">
        <v>2170</v>
      </c>
      <c r="B906" t="s">
        <v>2177</v>
      </c>
      <c r="C906" t="s">
        <v>2178</v>
      </c>
      <c r="D906" s="136" t="s">
        <v>2178</v>
      </c>
    </row>
    <row r="907" spans="1:4" x14ac:dyDescent="0.15">
      <c r="A907" t="s">
        <v>2170</v>
      </c>
      <c r="B907" t="s">
        <v>2179</v>
      </c>
      <c r="C907" t="s">
        <v>2180</v>
      </c>
      <c r="D907" s="136" t="s">
        <v>2180</v>
      </c>
    </row>
    <row r="908" spans="1:4" x14ac:dyDescent="0.15">
      <c r="A908" t="s">
        <v>2170</v>
      </c>
      <c r="B908" t="s">
        <v>2181</v>
      </c>
      <c r="C908" t="s">
        <v>2182</v>
      </c>
      <c r="D908" s="136" t="s">
        <v>2182</v>
      </c>
    </row>
    <row r="909" spans="1:4" x14ac:dyDescent="0.15">
      <c r="A909" t="s">
        <v>2170</v>
      </c>
      <c r="B909" t="s">
        <v>2183</v>
      </c>
      <c r="C909" t="s">
        <v>2184</v>
      </c>
      <c r="D909" s="136" t="s">
        <v>2184</v>
      </c>
    </row>
    <row r="910" spans="1:4" x14ac:dyDescent="0.15">
      <c r="A910" t="s">
        <v>2170</v>
      </c>
      <c r="B910" t="s">
        <v>2185</v>
      </c>
      <c r="C910" t="s">
        <v>2186</v>
      </c>
      <c r="D910" s="136" t="s">
        <v>2186</v>
      </c>
    </row>
    <row r="911" spans="1:4" x14ac:dyDescent="0.15">
      <c r="A911" t="s">
        <v>2170</v>
      </c>
      <c r="B911" t="s">
        <v>2187</v>
      </c>
      <c r="C911" t="s">
        <v>2188</v>
      </c>
      <c r="D911" s="136" t="s">
        <v>2188</v>
      </c>
    </row>
    <row r="912" spans="1:4" x14ac:dyDescent="0.15">
      <c r="A912" t="s">
        <v>2170</v>
      </c>
      <c r="B912" t="s">
        <v>2189</v>
      </c>
      <c r="C912" t="s">
        <v>2190</v>
      </c>
      <c r="D912" s="136" t="s">
        <v>2190</v>
      </c>
    </row>
    <row r="913" spans="1:6" x14ac:dyDescent="0.15">
      <c r="A913" t="s">
        <v>2170</v>
      </c>
      <c r="B913" t="s">
        <v>2191</v>
      </c>
      <c r="C913" t="s">
        <v>2192</v>
      </c>
      <c r="D913" s="136" t="s">
        <v>2192</v>
      </c>
    </row>
    <row r="914" spans="1:6" x14ac:dyDescent="0.15">
      <c r="A914" t="s">
        <v>2170</v>
      </c>
      <c r="B914" t="s">
        <v>2193</v>
      </c>
      <c r="C914" t="s">
        <v>2194</v>
      </c>
      <c r="D914" s="136" t="s">
        <v>2194</v>
      </c>
    </row>
    <row r="915" spans="1:6" x14ac:dyDescent="0.15">
      <c r="A915" t="s">
        <v>2170</v>
      </c>
      <c r="B915" t="s">
        <v>2195</v>
      </c>
      <c r="C915" t="s">
        <v>2196</v>
      </c>
      <c r="D915" s="136" t="s">
        <v>2196</v>
      </c>
    </row>
    <row r="916" spans="1:6" x14ac:dyDescent="0.15">
      <c r="A916" t="s">
        <v>2170</v>
      </c>
      <c r="B916" t="s">
        <v>2197</v>
      </c>
      <c r="C916" t="s">
        <v>2198</v>
      </c>
      <c r="D916" s="136" t="s">
        <v>2198</v>
      </c>
    </row>
    <row r="917" spans="1:6" x14ac:dyDescent="0.15">
      <c r="A917" t="s">
        <v>2170</v>
      </c>
      <c r="B917" t="s">
        <v>2199</v>
      </c>
      <c r="C917" t="s">
        <v>2200</v>
      </c>
      <c r="D917" s="136" t="s">
        <v>2200</v>
      </c>
    </row>
    <row r="918" spans="1:6" x14ac:dyDescent="0.15">
      <c r="A918" t="s">
        <v>2170</v>
      </c>
      <c r="B918" t="s">
        <v>2201</v>
      </c>
      <c r="C918" t="s">
        <v>2202</v>
      </c>
      <c r="D918" s="136" t="s">
        <v>2202</v>
      </c>
    </row>
    <row r="919" spans="1:6" x14ac:dyDescent="0.15">
      <c r="A919" t="s">
        <v>2170</v>
      </c>
      <c r="B919" t="s">
        <v>2203</v>
      </c>
      <c r="C919" t="s">
        <v>2204</v>
      </c>
      <c r="D919" s="136" t="s">
        <v>2204</v>
      </c>
    </row>
    <row r="920" spans="1:6" x14ac:dyDescent="0.15">
      <c r="A920" t="s">
        <v>2170</v>
      </c>
      <c r="B920" t="s">
        <v>2205</v>
      </c>
      <c r="C920" t="s">
        <v>2206</v>
      </c>
      <c r="D920" s="136" t="s">
        <v>2206</v>
      </c>
    </row>
    <row r="921" spans="1:6" x14ac:dyDescent="0.15">
      <c r="A921" t="s">
        <v>2170</v>
      </c>
      <c r="B921" t="s">
        <v>2207</v>
      </c>
      <c r="C921" t="s">
        <v>2208</v>
      </c>
      <c r="D921" s="136" t="s">
        <v>2208</v>
      </c>
    </row>
    <row r="922" spans="1:6" x14ac:dyDescent="0.15">
      <c r="A922" t="s">
        <v>2170</v>
      </c>
      <c r="B922" t="s">
        <v>2209</v>
      </c>
      <c r="C922" t="s">
        <v>2210</v>
      </c>
      <c r="D922" s="136" t="s">
        <v>2210</v>
      </c>
    </row>
    <row r="923" spans="1:6" x14ac:dyDescent="0.15">
      <c r="A923" t="s">
        <v>2170</v>
      </c>
      <c r="B923" t="s">
        <v>2211</v>
      </c>
      <c r="C923" t="s">
        <v>2212</v>
      </c>
      <c r="D923" s="136" t="s">
        <v>2212</v>
      </c>
    </row>
    <row r="924" spans="1:6" x14ac:dyDescent="0.15">
      <c r="A924" t="s">
        <v>2170</v>
      </c>
      <c r="B924" t="s">
        <v>2213</v>
      </c>
      <c r="C924" t="s">
        <v>2214</v>
      </c>
      <c r="D924" s="136" t="s">
        <v>2214</v>
      </c>
    </row>
    <row r="926" spans="1:6" x14ac:dyDescent="0.15">
      <c r="A926" t="s">
        <v>2215</v>
      </c>
      <c r="B926" t="s">
        <v>2216</v>
      </c>
      <c r="C926" t="s">
        <v>2217</v>
      </c>
      <c r="D926" s="136" t="s">
        <v>2217</v>
      </c>
      <c r="E926"/>
      <c r="F926" s="136" t="s">
        <v>2171</v>
      </c>
    </row>
    <row r="927" spans="1:6" x14ac:dyDescent="0.15">
      <c r="A927" t="s">
        <v>2215</v>
      </c>
      <c r="B927" t="s">
        <v>2218</v>
      </c>
      <c r="C927" t="s">
        <v>2219</v>
      </c>
      <c r="D927" s="136" t="s">
        <v>2219</v>
      </c>
      <c r="E927"/>
      <c r="F927" s="136" t="s">
        <v>2171</v>
      </c>
    </row>
    <row r="928" spans="1:6" x14ac:dyDescent="0.15">
      <c r="A928" t="s">
        <v>2215</v>
      </c>
      <c r="B928" t="s">
        <v>2220</v>
      </c>
      <c r="C928" t="s">
        <v>2221</v>
      </c>
      <c r="D928" s="136" t="s">
        <v>2221</v>
      </c>
      <c r="E928"/>
      <c r="F928" s="136" t="s">
        <v>2171</v>
      </c>
    </row>
    <row r="929" spans="1:6" x14ac:dyDescent="0.15">
      <c r="A929" t="s">
        <v>2215</v>
      </c>
      <c r="B929" t="s">
        <v>2222</v>
      </c>
      <c r="C929" t="s">
        <v>2223</v>
      </c>
      <c r="D929" s="136" t="s">
        <v>2223</v>
      </c>
      <c r="E929"/>
      <c r="F929" s="136" t="s">
        <v>2171</v>
      </c>
    </row>
    <row r="930" spans="1:6" x14ac:dyDescent="0.15">
      <c r="A930" t="s">
        <v>2215</v>
      </c>
      <c r="B930" t="s">
        <v>2224</v>
      </c>
      <c r="C930" t="s">
        <v>2225</v>
      </c>
      <c r="D930" s="136" t="s">
        <v>2225</v>
      </c>
      <c r="E930"/>
      <c r="F930" s="136" t="s">
        <v>2171</v>
      </c>
    </row>
    <row r="931" spans="1:6" x14ac:dyDescent="0.15">
      <c r="A931" t="s">
        <v>2215</v>
      </c>
      <c r="B931" t="s">
        <v>2226</v>
      </c>
      <c r="C931" t="s">
        <v>2227</v>
      </c>
      <c r="D931" s="136" t="s">
        <v>2227</v>
      </c>
      <c r="E931"/>
      <c r="F931" s="136" t="s">
        <v>2171</v>
      </c>
    </row>
    <row r="932" spans="1:6" x14ac:dyDescent="0.15">
      <c r="A932" t="s">
        <v>2215</v>
      </c>
      <c r="B932" t="s">
        <v>2228</v>
      </c>
      <c r="C932" t="s">
        <v>2229</v>
      </c>
      <c r="D932" s="136" t="s">
        <v>2229</v>
      </c>
      <c r="E932"/>
      <c r="F932" s="136" t="s">
        <v>2171</v>
      </c>
    </row>
    <row r="933" spans="1:6" x14ac:dyDescent="0.15">
      <c r="A933" t="s">
        <v>2215</v>
      </c>
      <c r="B933" t="s">
        <v>2230</v>
      </c>
      <c r="C933" t="s">
        <v>2231</v>
      </c>
      <c r="D933" s="136" t="s">
        <v>2231</v>
      </c>
      <c r="E933"/>
      <c r="F933" s="136" t="s">
        <v>2171</v>
      </c>
    </row>
    <row r="934" spans="1:6" x14ac:dyDescent="0.15">
      <c r="A934" t="s">
        <v>2215</v>
      </c>
      <c r="B934" t="s">
        <v>2232</v>
      </c>
      <c r="C934" t="s">
        <v>2233</v>
      </c>
      <c r="D934" s="136" t="s">
        <v>2233</v>
      </c>
      <c r="E934"/>
      <c r="F934" s="136" t="s">
        <v>2171</v>
      </c>
    </row>
    <row r="935" spans="1:6" x14ac:dyDescent="0.15">
      <c r="A935" t="s">
        <v>2215</v>
      </c>
      <c r="B935" t="s">
        <v>2234</v>
      </c>
      <c r="C935" t="s">
        <v>2235</v>
      </c>
      <c r="D935" s="136" t="s">
        <v>2235</v>
      </c>
      <c r="E935"/>
      <c r="F935" s="136" t="s">
        <v>2171</v>
      </c>
    </row>
    <row r="936" spans="1:6" x14ac:dyDescent="0.15">
      <c r="A936" t="s">
        <v>2215</v>
      </c>
      <c r="B936" t="s">
        <v>2236</v>
      </c>
      <c r="C936" t="s">
        <v>2237</v>
      </c>
      <c r="D936" s="136" t="s">
        <v>2237</v>
      </c>
      <c r="E936"/>
      <c r="F936" s="136" t="s">
        <v>2171</v>
      </c>
    </row>
    <row r="937" spans="1:6" x14ac:dyDescent="0.15">
      <c r="A937" t="s">
        <v>2215</v>
      </c>
      <c r="B937" t="s">
        <v>2238</v>
      </c>
      <c r="C937" t="s">
        <v>2239</v>
      </c>
      <c r="D937" s="136" t="s">
        <v>2239</v>
      </c>
      <c r="E937"/>
      <c r="F937" s="136" t="s">
        <v>2171</v>
      </c>
    </row>
    <row r="938" spans="1:6" x14ac:dyDescent="0.15">
      <c r="A938" t="s">
        <v>2215</v>
      </c>
      <c r="B938" t="s">
        <v>2240</v>
      </c>
      <c r="C938" t="s">
        <v>2241</v>
      </c>
      <c r="D938" s="136" t="s">
        <v>2241</v>
      </c>
      <c r="E938"/>
      <c r="F938" s="136" t="s">
        <v>2171</v>
      </c>
    </row>
    <row r="939" spans="1:6" x14ac:dyDescent="0.15">
      <c r="A939" t="s">
        <v>2215</v>
      </c>
      <c r="B939" t="s">
        <v>2242</v>
      </c>
      <c r="C939" t="s">
        <v>2243</v>
      </c>
      <c r="D939" s="136" t="s">
        <v>2243</v>
      </c>
      <c r="E939"/>
      <c r="F939" s="136" t="s">
        <v>2171</v>
      </c>
    </row>
    <row r="940" spans="1:6" x14ac:dyDescent="0.15">
      <c r="A940" t="s">
        <v>2215</v>
      </c>
      <c r="B940" t="s">
        <v>2244</v>
      </c>
      <c r="C940" t="s">
        <v>2245</v>
      </c>
      <c r="D940" s="136" t="s">
        <v>2245</v>
      </c>
      <c r="E940"/>
      <c r="F940" s="136" t="s">
        <v>2171</v>
      </c>
    </row>
    <row r="941" spans="1:6" x14ac:dyDescent="0.15">
      <c r="A941" t="s">
        <v>2215</v>
      </c>
      <c r="B941" t="s">
        <v>2246</v>
      </c>
      <c r="C941" t="s">
        <v>2247</v>
      </c>
      <c r="D941" s="136" t="s">
        <v>2247</v>
      </c>
      <c r="E941"/>
      <c r="F941" s="136" t="s">
        <v>2171</v>
      </c>
    </row>
    <row r="942" spans="1:6" x14ac:dyDescent="0.15">
      <c r="A942" t="s">
        <v>2215</v>
      </c>
      <c r="B942" t="s">
        <v>2248</v>
      </c>
      <c r="C942" t="s">
        <v>2249</v>
      </c>
      <c r="D942" s="136" t="s">
        <v>2249</v>
      </c>
      <c r="E942"/>
      <c r="F942" s="136" t="s">
        <v>2171</v>
      </c>
    </row>
    <row r="943" spans="1:6" x14ac:dyDescent="0.15">
      <c r="A943" t="s">
        <v>2215</v>
      </c>
      <c r="B943" t="s">
        <v>2250</v>
      </c>
      <c r="C943" t="s">
        <v>2251</v>
      </c>
      <c r="D943" s="136" t="s">
        <v>2251</v>
      </c>
      <c r="E943"/>
      <c r="F943" s="136" t="s">
        <v>2171</v>
      </c>
    </row>
    <row r="944" spans="1:6" x14ac:dyDescent="0.15">
      <c r="A944" t="s">
        <v>2215</v>
      </c>
      <c r="B944" t="s">
        <v>2252</v>
      </c>
      <c r="C944" t="s">
        <v>2253</v>
      </c>
      <c r="D944" s="136" t="s">
        <v>2253</v>
      </c>
      <c r="E944"/>
      <c r="F944" s="136" t="s">
        <v>2173</v>
      </c>
    </row>
    <row r="945" spans="1:6" x14ac:dyDescent="0.15">
      <c r="A945" t="s">
        <v>2215</v>
      </c>
      <c r="B945" t="s">
        <v>2254</v>
      </c>
      <c r="C945" t="s">
        <v>2255</v>
      </c>
      <c r="D945" s="136" t="s">
        <v>2255</v>
      </c>
      <c r="E945"/>
      <c r="F945" s="136" t="s">
        <v>2173</v>
      </c>
    </row>
    <row r="946" spans="1:6" x14ac:dyDescent="0.15">
      <c r="A946" t="s">
        <v>2215</v>
      </c>
      <c r="B946" t="s">
        <v>2256</v>
      </c>
      <c r="C946" t="s">
        <v>2257</v>
      </c>
      <c r="D946" s="136" t="s">
        <v>2257</v>
      </c>
      <c r="E946"/>
      <c r="F946" s="136" t="s">
        <v>2173</v>
      </c>
    </row>
    <row r="947" spans="1:6" x14ac:dyDescent="0.15">
      <c r="A947" t="s">
        <v>2215</v>
      </c>
      <c r="B947" t="s">
        <v>2258</v>
      </c>
      <c r="C947" t="s">
        <v>2259</v>
      </c>
      <c r="D947" s="136" t="s">
        <v>2259</v>
      </c>
      <c r="E947"/>
      <c r="F947" s="136" t="s">
        <v>2173</v>
      </c>
    </row>
    <row r="948" spans="1:6" x14ac:dyDescent="0.15">
      <c r="A948" t="s">
        <v>2215</v>
      </c>
      <c r="B948" t="s">
        <v>2260</v>
      </c>
      <c r="C948" t="s">
        <v>2261</v>
      </c>
      <c r="D948" s="136" t="s">
        <v>2261</v>
      </c>
      <c r="E948"/>
      <c r="F948" s="136" t="s">
        <v>2173</v>
      </c>
    </row>
    <row r="949" spans="1:6" x14ac:dyDescent="0.15">
      <c r="A949" t="s">
        <v>2215</v>
      </c>
      <c r="B949" t="s">
        <v>2262</v>
      </c>
      <c r="C949" t="s">
        <v>2263</v>
      </c>
      <c r="D949" s="136" t="s">
        <v>2263</v>
      </c>
      <c r="E949"/>
      <c r="F949" s="136" t="s">
        <v>2173</v>
      </c>
    </row>
    <row r="950" spans="1:6" x14ac:dyDescent="0.15">
      <c r="A950" t="s">
        <v>2215</v>
      </c>
      <c r="B950" t="s">
        <v>2264</v>
      </c>
      <c r="C950" t="s">
        <v>2265</v>
      </c>
      <c r="D950" s="136" t="s">
        <v>2265</v>
      </c>
      <c r="E950"/>
      <c r="F950" s="136" t="s">
        <v>2173</v>
      </c>
    </row>
    <row r="951" spans="1:6" x14ac:dyDescent="0.15">
      <c r="A951" t="s">
        <v>2215</v>
      </c>
      <c r="B951" t="s">
        <v>2266</v>
      </c>
      <c r="C951" t="s">
        <v>2267</v>
      </c>
      <c r="D951" s="136" t="s">
        <v>2267</v>
      </c>
      <c r="E951"/>
      <c r="F951" s="136" t="s">
        <v>2173</v>
      </c>
    </row>
    <row r="952" spans="1:6" x14ac:dyDescent="0.15">
      <c r="A952" t="s">
        <v>2215</v>
      </c>
      <c r="B952" t="s">
        <v>2268</v>
      </c>
      <c r="C952" t="s">
        <v>2269</v>
      </c>
      <c r="D952" s="136" t="s">
        <v>2269</v>
      </c>
      <c r="E952"/>
      <c r="F952" s="136" t="s">
        <v>2175</v>
      </c>
    </row>
    <row r="953" spans="1:6" x14ac:dyDescent="0.15">
      <c r="A953" t="s">
        <v>2215</v>
      </c>
      <c r="B953" t="s">
        <v>2270</v>
      </c>
      <c r="C953" t="s">
        <v>2271</v>
      </c>
      <c r="D953" s="136" t="s">
        <v>2271</v>
      </c>
      <c r="E953"/>
      <c r="F953" s="136" t="s">
        <v>2175</v>
      </c>
    </row>
    <row r="954" spans="1:6" x14ac:dyDescent="0.15">
      <c r="A954" t="s">
        <v>2215</v>
      </c>
      <c r="B954" t="s">
        <v>2272</v>
      </c>
      <c r="C954" t="s">
        <v>2273</v>
      </c>
      <c r="D954" s="136" t="s">
        <v>2273</v>
      </c>
      <c r="E954"/>
      <c r="F954" s="136" t="s">
        <v>2175</v>
      </c>
    </row>
    <row r="955" spans="1:6" x14ac:dyDescent="0.15">
      <c r="A955" t="s">
        <v>2215</v>
      </c>
      <c r="B955" t="s">
        <v>2274</v>
      </c>
      <c r="C955" t="s">
        <v>2275</v>
      </c>
      <c r="D955" s="136" t="s">
        <v>2275</v>
      </c>
      <c r="E955"/>
      <c r="F955" s="136" t="s">
        <v>2175</v>
      </c>
    </row>
    <row r="956" spans="1:6" x14ac:dyDescent="0.15">
      <c r="A956" t="s">
        <v>2215</v>
      </c>
      <c r="B956" t="s">
        <v>2276</v>
      </c>
      <c r="C956" t="s">
        <v>2277</v>
      </c>
      <c r="D956" s="136" t="s">
        <v>2277</v>
      </c>
      <c r="E956"/>
      <c r="F956" s="136" t="s">
        <v>2175</v>
      </c>
    </row>
    <row r="957" spans="1:6" x14ac:dyDescent="0.15">
      <c r="A957" t="s">
        <v>2215</v>
      </c>
      <c r="B957" t="s">
        <v>2278</v>
      </c>
      <c r="C957" t="s">
        <v>2279</v>
      </c>
      <c r="D957" s="136" t="s">
        <v>2279</v>
      </c>
      <c r="E957"/>
      <c r="F957" s="136" t="s">
        <v>2175</v>
      </c>
    </row>
    <row r="958" spans="1:6" x14ac:dyDescent="0.15">
      <c r="A958" t="s">
        <v>2215</v>
      </c>
      <c r="B958" t="s">
        <v>2280</v>
      </c>
      <c r="C958" t="s">
        <v>2281</v>
      </c>
      <c r="D958" s="136" t="s">
        <v>2281</v>
      </c>
      <c r="E958"/>
      <c r="F958" s="136" t="s">
        <v>2175</v>
      </c>
    </row>
    <row r="959" spans="1:6" x14ac:dyDescent="0.15">
      <c r="A959" t="s">
        <v>2215</v>
      </c>
      <c r="B959" t="s">
        <v>2282</v>
      </c>
      <c r="C959" t="s">
        <v>2283</v>
      </c>
      <c r="D959" s="136" t="s">
        <v>2283</v>
      </c>
      <c r="E959"/>
      <c r="F959" s="136" t="s">
        <v>2175</v>
      </c>
    </row>
    <row r="960" spans="1:6" x14ac:dyDescent="0.15">
      <c r="A960" t="s">
        <v>2215</v>
      </c>
      <c r="B960" t="s">
        <v>2284</v>
      </c>
      <c r="C960" t="s">
        <v>2285</v>
      </c>
      <c r="D960" s="136" t="s">
        <v>2285</v>
      </c>
      <c r="E960"/>
      <c r="F960" s="136" t="s">
        <v>2175</v>
      </c>
    </row>
    <row r="961" spans="1:6" x14ac:dyDescent="0.15">
      <c r="A961" t="s">
        <v>2215</v>
      </c>
      <c r="B961" t="s">
        <v>2286</v>
      </c>
      <c r="C961" t="s">
        <v>2287</v>
      </c>
      <c r="D961" s="136" t="s">
        <v>2287</v>
      </c>
      <c r="E961"/>
      <c r="F961" s="136" t="s">
        <v>2175</v>
      </c>
    </row>
    <row r="962" spans="1:6" x14ac:dyDescent="0.15">
      <c r="A962" t="s">
        <v>2215</v>
      </c>
      <c r="B962" t="s">
        <v>2288</v>
      </c>
      <c r="C962" t="s">
        <v>2289</v>
      </c>
      <c r="D962" s="136" t="s">
        <v>2289</v>
      </c>
      <c r="E962"/>
      <c r="F962" s="136" t="s">
        <v>2175</v>
      </c>
    </row>
    <row r="963" spans="1:6" x14ac:dyDescent="0.15">
      <c r="A963" t="s">
        <v>2215</v>
      </c>
      <c r="B963" t="s">
        <v>2290</v>
      </c>
      <c r="C963" t="s">
        <v>2291</v>
      </c>
      <c r="D963" s="136" t="s">
        <v>2291</v>
      </c>
      <c r="E963"/>
      <c r="F963" s="136" t="s">
        <v>2175</v>
      </c>
    </row>
    <row r="964" spans="1:6" x14ac:dyDescent="0.15">
      <c r="A964" t="s">
        <v>2215</v>
      </c>
      <c r="B964" t="s">
        <v>2292</v>
      </c>
      <c r="C964" t="s">
        <v>2293</v>
      </c>
      <c r="D964" s="136" t="s">
        <v>2293</v>
      </c>
      <c r="E964"/>
      <c r="F964" s="136" t="s">
        <v>2175</v>
      </c>
    </row>
    <row r="965" spans="1:6" x14ac:dyDescent="0.15">
      <c r="A965" t="s">
        <v>2215</v>
      </c>
      <c r="B965" t="s">
        <v>2294</v>
      </c>
      <c r="C965" t="s">
        <v>2295</v>
      </c>
      <c r="D965" s="136" t="s">
        <v>2295</v>
      </c>
      <c r="E965"/>
      <c r="F965" s="136" t="s">
        <v>2175</v>
      </c>
    </row>
    <row r="966" spans="1:6" x14ac:dyDescent="0.15">
      <c r="A966" t="s">
        <v>2215</v>
      </c>
      <c r="B966" t="s">
        <v>2296</v>
      </c>
      <c r="C966" t="s">
        <v>2297</v>
      </c>
      <c r="D966" s="136" t="s">
        <v>2297</v>
      </c>
      <c r="E966"/>
      <c r="F966" s="136" t="s">
        <v>2175</v>
      </c>
    </row>
    <row r="967" spans="1:6" x14ac:dyDescent="0.15">
      <c r="A967" t="s">
        <v>2215</v>
      </c>
      <c r="B967" t="s">
        <v>2298</v>
      </c>
      <c r="C967" t="s">
        <v>2299</v>
      </c>
      <c r="D967" s="136" t="s">
        <v>2299</v>
      </c>
      <c r="E967"/>
      <c r="F967" s="136" t="s">
        <v>2175</v>
      </c>
    </row>
    <row r="968" spans="1:6" x14ac:dyDescent="0.15">
      <c r="A968" t="s">
        <v>2215</v>
      </c>
      <c r="B968" t="s">
        <v>2300</v>
      </c>
      <c r="C968" t="s">
        <v>2178</v>
      </c>
      <c r="D968" s="136" t="s">
        <v>2178</v>
      </c>
      <c r="E968"/>
      <c r="F968" s="136" t="s">
        <v>2177</v>
      </c>
    </row>
    <row r="969" spans="1:6" x14ac:dyDescent="0.15">
      <c r="A969" t="s">
        <v>2215</v>
      </c>
      <c r="B969" t="s">
        <v>2301</v>
      </c>
      <c r="C969" t="s">
        <v>2302</v>
      </c>
      <c r="D969" s="136" t="s">
        <v>2302</v>
      </c>
      <c r="E969"/>
      <c r="F969" s="136" t="s">
        <v>2177</v>
      </c>
    </row>
    <row r="970" spans="1:6" x14ac:dyDescent="0.15">
      <c r="A970" t="s">
        <v>2215</v>
      </c>
      <c r="B970" t="s">
        <v>2303</v>
      </c>
      <c r="C970" t="s">
        <v>2304</v>
      </c>
      <c r="D970" s="136" t="s">
        <v>2304</v>
      </c>
      <c r="E970"/>
      <c r="F970" s="136" t="s">
        <v>2177</v>
      </c>
    </row>
    <row r="971" spans="1:6" x14ac:dyDescent="0.15">
      <c r="A971" t="s">
        <v>2215</v>
      </c>
      <c r="B971" t="s">
        <v>2305</v>
      </c>
      <c r="C971" t="s">
        <v>2306</v>
      </c>
      <c r="D971" s="136" t="s">
        <v>2306</v>
      </c>
      <c r="E971"/>
      <c r="F971" s="136" t="s">
        <v>2177</v>
      </c>
    </row>
    <row r="972" spans="1:6" x14ac:dyDescent="0.15">
      <c r="A972" t="s">
        <v>2215</v>
      </c>
      <c r="B972" t="s">
        <v>2307</v>
      </c>
      <c r="C972" t="s">
        <v>2308</v>
      </c>
      <c r="D972" s="136" t="s">
        <v>2308</v>
      </c>
      <c r="E972"/>
      <c r="F972" s="136" t="s">
        <v>2177</v>
      </c>
    </row>
    <row r="973" spans="1:6" x14ac:dyDescent="0.15">
      <c r="A973" t="s">
        <v>2215</v>
      </c>
      <c r="B973" t="s">
        <v>2309</v>
      </c>
      <c r="C973" t="s">
        <v>2310</v>
      </c>
      <c r="D973" s="136" t="s">
        <v>2310</v>
      </c>
      <c r="E973"/>
      <c r="F973" s="136" t="s">
        <v>2177</v>
      </c>
    </row>
    <row r="974" spans="1:6" x14ac:dyDescent="0.15">
      <c r="A974" t="s">
        <v>2215</v>
      </c>
      <c r="B974" t="s">
        <v>2311</v>
      </c>
      <c r="C974" t="s">
        <v>2312</v>
      </c>
      <c r="D974" s="136" t="s">
        <v>2312</v>
      </c>
      <c r="E974"/>
      <c r="F974" s="136" t="s">
        <v>2177</v>
      </c>
    </row>
    <row r="975" spans="1:6" x14ac:dyDescent="0.15">
      <c r="A975" t="s">
        <v>2215</v>
      </c>
      <c r="B975" t="s">
        <v>2313</v>
      </c>
      <c r="C975" t="s">
        <v>2314</v>
      </c>
      <c r="D975" s="136" t="s">
        <v>2314</v>
      </c>
      <c r="E975"/>
      <c r="F975" s="136" t="s">
        <v>2177</v>
      </c>
    </row>
    <row r="976" spans="1:6" x14ac:dyDescent="0.15">
      <c r="A976" t="s">
        <v>2215</v>
      </c>
      <c r="B976" t="s">
        <v>2315</v>
      </c>
      <c r="C976" t="s">
        <v>2316</v>
      </c>
      <c r="D976" s="136" t="s">
        <v>2316</v>
      </c>
      <c r="E976"/>
      <c r="F976" s="136" t="s">
        <v>2177</v>
      </c>
    </row>
    <row r="977" spans="1:6" x14ac:dyDescent="0.15">
      <c r="A977" t="s">
        <v>2215</v>
      </c>
      <c r="B977" t="s">
        <v>2317</v>
      </c>
      <c r="C977" t="s">
        <v>2318</v>
      </c>
      <c r="D977" s="136" t="s">
        <v>2318</v>
      </c>
      <c r="E977"/>
      <c r="F977" s="136" t="s">
        <v>2177</v>
      </c>
    </row>
    <row r="978" spans="1:6" x14ac:dyDescent="0.15">
      <c r="A978" t="s">
        <v>2215</v>
      </c>
      <c r="B978" t="s">
        <v>2319</v>
      </c>
      <c r="C978" t="s">
        <v>2320</v>
      </c>
      <c r="D978" s="136" t="s">
        <v>2320</v>
      </c>
      <c r="E978"/>
      <c r="F978" s="136" t="s">
        <v>2177</v>
      </c>
    </row>
    <row r="979" spans="1:6" x14ac:dyDescent="0.15">
      <c r="A979" t="s">
        <v>2215</v>
      </c>
      <c r="B979" t="s">
        <v>2321</v>
      </c>
      <c r="C979" t="s">
        <v>2322</v>
      </c>
      <c r="D979" s="136" t="s">
        <v>2322</v>
      </c>
      <c r="E979"/>
      <c r="F979" s="136" t="s">
        <v>2177</v>
      </c>
    </row>
    <row r="980" spans="1:6" x14ac:dyDescent="0.15">
      <c r="A980" t="s">
        <v>2215</v>
      </c>
      <c r="B980" t="s">
        <v>2323</v>
      </c>
      <c r="C980" t="s">
        <v>2324</v>
      </c>
      <c r="D980" s="136" t="s">
        <v>2324</v>
      </c>
      <c r="E980"/>
      <c r="F980" s="136" t="s">
        <v>2177</v>
      </c>
    </row>
    <row r="981" spans="1:6" x14ac:dyDescent="0.15">
      <c r="A981" t="s">
        <v>2215</v>
      </c>
      <c r="B981" t="s">
        <v>2325</v>
      </c>
      <c r="C981" t="s">
        <v>2326</v>
      </c>
      <c r="D981" s="136" t="s">
        <v>2326</v>
      </c>
      <c r="E981"/>
      <c r="F981" s="136" t="s">
        <v>2177</v>
      </c>
    </row>
    <row r="982" spans="1:6" x14ac:dyDescent="0.15">
      <c r="A982" t="s">
        <v>2215</v>
      </c>
      <c r="B982" t="s">
        <v>2327</v>
      </c>
      <c r="C982" t="s">
        <v>2328</v>
      </c>
      <c r="D982" s="136" t="s">
        <v>2328</v>
      </c>
      <c r="E982"/>
      <c r="F982" s="136" t="s">
        <v>2177</v>
      </c>
    </row>
    <row r="983" spans="1:6" x14ac:dyDescent="0.15">
      <c r="A983" t="s">
        <v>2215</v>
      </c>
      <c r="B983" t="s">
        <v>2329</v>
      </c>
      <c r="C983" t="s">
        <v>2330</v>
      </c>
      <c r="D983" s="136" t="s">
        <v>2330</v>
      </c>
      <c r="E983"/>
      <c r="F983" s="136" t="s">
        <v>2177</v>
      </c>
    </row>
    <row r="984" spans="1:6" x14ac:dyDescent="0.15">
      <c r="A984" t="s">
        <v>2215</v>
      </c>
      <c r="B984" t="s">
        <v>2331</v>
      </c>
      <c r="C984" t="s">
        <v>2180</v>
      </c>
      <c r="D984" s="136" t="s">
        <v>2180</v>
      </c>
      <c r="E984"/>
      <c r="F984" s="136" t="s">
        <v>2179</v>
      </c>
    </row>
    <row r="985" spans="1:6" x14ac:dyDescent="0.15">
      <c r="A985" t="s">
        <v>2215</v>
      </c>
      <c r="B985" t="s">
        <v>2332</v>
      </c>
      <c r="C985" t="s">
        <v>2333</v>
      </c>
      <c r="D985" s="136" t="s">
        <v>2333</v>
      </c>
      <c r="E985"/>
      <c r="F985" s="136" t="s">
        <v>2179</v>
      </c>
    </row>
    <row r="986" spans="1:6" x14ac:dyDescent="0.15">
      <c r="A986" t="s">
        <v>2215</v>
      </c>
      <c r="B986" t="s">
        <v>2334</v>
      </c>
      <c r="C986" t="s">
        <v>2335</v>
      </c>
      <c r="D986" s="136" t="s">
        <v>2335</v>
      </c>
      <c r="E986"/>
      <c r="F986" s="136" t="s">
        <v>2179</v>
      </c>
    </row>
    <row r="987" spans="1:6" x14ac:dyDescent="0.15">
      <c r="A987" t="s">
        <v>2215</v>
      </c>
      <c r="B987" t="s">
        <v>2336</v>
      </c>
      <c r="C987" t="s">
        <v>2337</v>
      </c>
      <c r="D987" s="136" t="s">
        <v>2337</v>
      </c>
      <c r="E987"/>
      <c r="F987" s="136" t="s">
        <v>2179</v>
      </c>
    </row>
    <row r="988" spans="1:6" x14ac:dyDescent="0.15">
      <c r="A988" t="s">
        <v>2215</v>
      </c>
      <c r="B988" t="s">
        <v>2338</v>
      </c>
      <c r="C988" t="s">
        <v>2339</v>
      </c>
      <c r="D988" s="136" t="s">
        <v>2339</v>
      </c>
      <c r="E988"/>
      <c r="F988" s="136" t="s">
        <v>2179</v>
      </c>
    </row>
    <row r="989" spans="1:6" x14ac:dyDescent="0.15">
      <c r="A989" t="s">
        <v>2215</v>
      </c>
      <c r="B989" t="s">
        <v>2340</v>
      </c>
      <c r="C989" t="s">
        <v>2341</v>
      </c>
      <c r="D989" s="136" t="s">
        <v>2341</v>
      </c>
      <c r="E989"/>
      <c r="F989" s="136" t="s">
        <v>2179</v>
      </c>
    </row>
    <row r="990" spans="1:6" x14ac:dyDescent="0.15">
      <c r="A990" t="s">
        <v>2215</v>
      </c>
      <c r="B990" t="s">
        <v>2342</v>
      </c>
      <c r="C990" t="s">
        <v>2343</v>
      </c>
      <c r="D990" s="136" t="s">
        <v>2343</v>
      </c>
      <c r="E990"/>
      <c r="F990" s="136" t="s">
        <v>2179</v>
      </c>
    </row>
    <row r="991" spans="1:6" x14ac:dyDescent="0.15">
      <c r="A991" t="s">
        <v>2215</v>
      </c>
      <c r="B991" t="s">
        <v>2344</v>
      </c>
      <c r="C991" t="s">
        <v>2345</v>
      </c>
      <c r="D991" s="136" t="s">
        <v>2345</v>
      </c>
      <c r="E991"/>
      <c r="F991" s="136" t="s">
        <v>2179</v>
      </c>
    </row>
    <row r="992" spans="1:6" x14ac:dyDescent="0.15">
      <c r="A992" t="s">
        <v>2215</v>
      </c>
      <c r="B992" t="s">
        <v>2346</v>
      </c>
      <c r="C992" t="s">
        <v>2347</v>
      </c>
      <c r="D992" s="136" t="s">
        <v>2347</v>
      </c>
      <c r="E992"/>
      <c r="F992" s="136" t="s">
        <v>2179</v>
      </c>
    </row>
    <row r="993" spans="1:6" x14ac:dyDescent="0.15">
      <c r="A993" t="s">
        <v>2215</v>
      </c>
      <c r="B993" t="s">
        <v>2348</v>
      </c>
      <c r="C993" t="s">
        <v>2349</v>
      </c>
      <c r="D993" s="136" t="s">
        <v>2349</v>
      </c>
      <c r="E993"/>
      <c r="F993" s="136" t="s">
        <v>2179</v>
      </c>
    </row>
    <row r="994" spans="1:6" x14ac:dyDescent="0.15">
      <c r="A994" t="s">
        <v>2215</v>
      </c>
      <c r="B994" t="s">
        <v>2350</v>
      </c>
      <c r="C994" t="s">
        <v>2351</v>
      </c>
      <c r="D994" s="136" t="s">
        <v>2351</v>
      </c>
      <c r="E994"/>
      <c r="F994" s="136" t="s">
        <v>2179</v>
      </c>
    </row>
    <row r="995" spans="1:6" x14ac:dyDescent="0.15">
      <c r="A995" t="s">
        <v>2215</v>
      </c>
      <c r="B995" t="s">
        <v>2352</v>
      </c>
      <c r="C995" t="s">
        <v>2353</v>
      </c>
      <c r="D995" s="136" t="s">
        <v>2353</v>
      </c>
      <c r="E995"/>
      <c r="F995" s="136" t="s">
        <v>2179</v>
      </c>
    </row>
    <row r="996" spans="1:6" x14ac:dyDescent="0.15">
      <c r="A996" t="s">
        <v>2215</v>
      </c>
      <c r="B996" t="s">
        <v>2354</v>
      </c>
      <c r="C996" t="s">
        <v>2355</v>
      </c>
      <c r="D996" s="136" t="s">
        <v>2355</v>
      </c>
      <c r="E996"/>
      <c r="F996" s="136" t="s">
        <v>2179</v>
      </c>
    </row>
    <row r="997" spans="1:6" x14ac:dyDescent="0.15">
      <c r="A997" t="s">
        <v>2215</v>
      </c>
      <c r="B997" t="s">
        <v>2356</v>
      </c>
      <c r="C997" t="s">
        <v>2357</v>
      </c>
      <c r="D997" s="136" t="s">
        <v>2357</v>
      </c>
      <c r="E997"/>
      <c r="F997" s="136" t="s">
        <v>2179</v>
      </c>
    </row>
    <row r="998" spans="1:6" x14ac:dyDescent="0.15">
      <c r="A998" t="s">
        <v>2215</v>
      </c>
      <c r="B998" t="s">
        <v>2358</v>
      </c>
      <c r="C998" t="s">
        <v>2359</v>
      </c>
      <c r="D998" s="136" t="s">
        <v>2359</v>
      </c>
      <c r="E998"/>
      <c r="F998" s="136" t="s">
        <v>2181</v>
      </c>
    </row>
    <row r="999" spans="1:6" x14ac:dyDescent="0.15">
      <c r="A999" t="s">
        <v>2215</v>
      </c>
      <c r="B999" t="s">
        <v>2360</v>
      </c>
      <c r="C999" t="s">
        <v>2361</v>
      </c>
      <c r="D999" s="136" t="s">
        <v>2361</v>
      </c>
      <c r="E999"/>
      <c r="F999" s="136" t="s">
        <v>2181</v>
      </c>
    </row>
    <row r="1000" spans="1:6" x14ac:dyDescent="0.15">
      <c r="A1000" t="s">
        <v>2215</v>
      </c>
      <c r="B1000" t="s">
        <v>2362</v>
      </c>
      <c r="C1000" t="s">
        <v>2363</v>
      </c>
      <c r="D1000" s="136" t="s">
        <v>2363</v>
      </c>
      <c r="E1000"/>
      <c r="F1000" s="136" t="s">
        <v>2181</v>
      </c>
    </row>
    <row r="1001" spans="1:6" x14ac:dyDescent="0.15">
      <c r="A1001" t="s">
        <v>2215</v>
      </c>
      <c r="B1001" t="s">
        <v>2364</v>
      </c>
      <c r="C1001" t="s">
        <v>2365</v>
      </c>
      <c r="D1001" s="136" t="s">
        <v>2365</v>
      </c>
      <c r="E1001"/>
      <c r="F1001" s="136" t="s">
        <v>2181</v>
      </c>
    </row>
    <row r="1002" spans="1:6" x14ac:dyDescent="0.15">
      <c r="A1002" t="s">
        <v>2215</v>
      </c>
      <c r="B1002" t="s">
        <v>2366</v>
      </c>
      <c r="C1002" t="s">
        <v>2367</v>
      </c>
      <c r="D1002" s="136" t="s">
        <v>2367</v>
      </c>
      <c r="E1002"/>
      <c r="F1002" s="136" t="s">
        <v>2181</v>
      </c>
    </row>
    <row r="1003" spans="1:6" x14ac:dyDescent="0.15">
      <c r="A1003" t="s">
        <v>2215</v>
      </c>
      <c r="B1003" t="s">
        <v>2368</v>
      </c>
      <c r="C1003" t="s">
        <v>2369</v>
      </c>
      <c r="D1003" s="136" t="s">
        <v>2369</v>
      </c>
      <c r="E1003"/>
      <c r="F1003" s="136" t="s">
        <v>2181</v>
      </c>
    </row>
    <row r="1004" spans="1:6" x14ac:dyDescent="0.15">
      <c r="A1004" t="s">
        <v>2215</v>
      </c>
      <c r="B1004" t="s">
        <v>2370</v>
      </c>
      <c r="C1004" t="s">
        <v>2371</v>
      </c>
      <c r="D1004" s="136" t="s">
        <v>2371</v>
      </c>
      <c r="E1004"/>
      <c r="F1004" s="136" t="s">
        <v>2181</v>
      </c>
    </row>
    <row r="1005" spans="1:6" x14ac:dyDescent="0.15">
      <c r="A1005" t="s">
        <v>2215</v>
      </c>
      <c r="B1005" t="s">
        <v>2372</v>
      </c>
      <c r="C1005" t="s">
        <v>2373</v>
      </c>
      <c r="D1005" s="136" t="s">
        <v>2373</v>
      </c>
      <c r="E1005"/>
      <c r="F1005" s="136" t="s">
        <v>2181</v>
      </c>
    </row>
    <row r="1006" spans="1:6" x14ac:dyDescent="0.15">
      <c r="A1006" t="s">
        <v>2215</v>
      </c>
      <c r="B1006" t="s">
        <v>2374</v>
      </c>
      <c r="C1006" t="s">
        <v>2375</v>
      </c>
      <c r="D1006" s="136" t="s">
        <v>2375</v>
      </c>
      <c r="E1006"/>
      <c r="F1006" s="136" t="s">
        <v>2181</v>
      </c>
    </row>
    <row r="1007" spans="1:6" x14ac:dyDescent="0.15">
      <c r="A1007" t="s">
        <v>2215</v>
      </c>
      <c r="B1007" t="s">
        <v>2376</v>
      </c>
      <c r="C1007" t="s">
        <v>2377</v>
      </c>
      <c r="D1007" s="136" t="s">
        <v>2377</v>
      </c>
      <c r="E1007"/>
      <c r="F1007" s="136" t="s">
        <v>2181</v>
      </c>
    </row>
    <row r="1008" spans="1:6" x14ac:dyDescent="0.15">
      <c r="A1008" t="s">
        <v>2215</v>
      </c>
      <c r="B1008" t="s">
        <v>2378</v>
      </c>
      <c r="C1008" t="s">
        <v>2379</v>
      </c>
      <c r="D1008" s="136" t="s">
        <v>2379</v>
      </c>
      <c r="E1008"/>
      <c r="F1008" s="136" t="s">
        <v>2181</v>
      </c>
    </row>
    <row r="1009" spans="1:6" x14ac:dyDescent="0.15">
      <c r="A1009" t="s">
        <v>2215</v>
      </c>
      <c r="B1009" t="s">
        <v>2380</v>
      </c>
      <c r="C1009" t="s">
        <v>2381</v>
      </c>
      <c r="D1009" s="136" t="s">
        <v>2381</v>
      </c>
      <c r="E1009"/>
      <c r="F1009" s="136" t="s">
        <v>2181</v>
      </c>
    </row>
    <row r="1010" spans="1:6" x14ac:dyDescent="0.15">
      <c r="A1010" t="s">
        <v>2215</v>
      </c>
      <c r="B1010" t="s">
        <v>2382</v>
      </c>
      <c r="C1010" t="s">
        <v>2383</v>
      </c>
      <c r="D1010" s="136" t="s">
        <v>2383</v>
      </c>
      <c r="E1010"/>
      <c r="F1010" s="136" t="s">
        <v>2181</v>
      </c>
    </row>
    <row r="1011" spans="1:6" x14ac:dyDescent="0.15">
      <c r="A1011" t="s">
        <v>2215</v>
      </c>
      <c r="B1011" t="s">
        <v>2384</v>
      </c>
      <c r="C1011" t="s">
        <v>2385</v>
      </c>
      <c r="D1011" s="136" t="s">
        <v>2385</v>
      </c>
      <c r="E1011"/>
      <c r="F1011" s="136" t="s">
        <v>2181</v>
      </c>
    </row>
    <row r="1012" spans="1:6" x14ac:dyDescent="0.15">
      <c r="A1012" t="s">
        <v>2215</v>
      </c>
      <c r="B1012" t="s">
        <v>2386</v>
      </c>
      <c r="C1012" t="s">
        <v>2387</v>
      </c>
      <c r="D1012" s="136" t="s">
        <v>2387</v>
      </c>
      <c r="E1012"/>
      <c r="F1012" s="136" t="s">
        <v>2183</v>
      </c>
    </row>
    <row r="1013" spans="1:6" x14ac:dyDescent="0.15">
      <c r="A1013" t="s">
        <v>2215</v>
      </c>
      <c r="B1013" t="s">
        <v>2388</v>
      </c>
      <c r="C1013" t="s">
        <v>2184</v>
      </c>
      <c r="D1013" s="136" t="s">
        <v>2184</v>
      </c>
      <c r="E1013"/>
      <c r="F1013" s="136" t="s">
        <v>2183</v>
      </c>
    </row>
    <row r="1014" spans="1:6" x14ac:dyDescent="0.15">
      <c r="A1014" t="s">
        <v>2215</v>
      </c>
      <c r="B1014" t="s">
        <v>2389</v>
      </c>
      <c r="C1014" t="s">
        <v>2390</v>
      </c>
      <c r="D1014" s="136" t="s">
        <v>2390</v>
      </c>
      <c r="E1014"/>
      <c r="F1014" s="136" t="s">
        <v>2183</v>
      </c>
    </row>
    <row r="1015" spans="1:6" x14ac:dyDescent="0.15">
      <c r="A1015" t="s">
        <v>2215</v>
      </c>
      <c r="B1015" t="s">
        <v>2391</v>
      </c>
      <c r="C1015" t="s">
        <v>2392</v>
      </c>
      <c r="D1015" s="136" t="s">
        <v>2392</v>
      </c>
      <c r="E1015"/>
      <c r="F1015" s="136" t="s">
        <v>2183</v>
      </c>
    </row>
    <row r="1016" spans="1:6" x14ac:dyDescent="0.15">
      <c r="A1016" t="s">
        <v>2215</v>
      </c>
      <c r="B1016" t="s">
        <v>2393</v>
      </c>
      <c r="C1016" t="s">
        <v>2394</v>
      </c>
      <c r="D1016" s="136" t="s">
        <v>2394</v>
      </c>
      <c r="E1016"/>
      <c r="F1016" s="136" t="s">
        <v>2183</v>
      </c>
    </row>
    <row r="1017" spans="1:6" x14ac:dyDescent="0.15">
      <c r="A1017" t="s">
        <v>2215</v>
      </c>
      <c r="B1017" t="s">
        <v>2395</v>
      </c>
      <c r="C1017" t="s">
        <v>2396</v>
      </c>
      <c r="D1017" s="136" t="s">
        <v>2396</v>
      </c>
      <c r="E1017"/>
      <c r="F1017" s="136" t="s">
        <v>2183</v>
      </c>
    </row>
    <row r="1018" spans="1:6" x14ac:dyDescent="0.15">
      <c r="A1018" t="s">
        <v>2215</v>
      </c>
      <c r="B1018" t="s">
        <v>2397</v>
      </c>
      <c r="C1018" t="s">
        <v>2398</v>
      </c>
      <c r="D1018" s="136" t="s">
        <v>2398</v>
      </c>
      <c r="E1018"/>
      <c r="F1018" s="136" t="s">
        <v>2183</v>
      </c>
    </row>
    <row r="1019" spans="1:6" x14ac:dyDescent="0.15">
      <c r="A1019" t="s">
        <v>2215</v>
      </c>
      <c r="B1019" t="s">
        <v>2399</v>
      </c>
      <c r="C1019" t="s">
        <v>2400</v>
      </c>
      <c r="D1019" s="136" t="s">
        <v>2400</v>
      </c>
      <c r="E1019"/>
      <c r="F1019" s="136" t="s">
        <v>2183</v>
      </c>
    </row>
    <row r="1020" spans="1:6" x14ac:dyDescent="0.15">
      <c r="A1020" t="s">
        <v>2215</v>
      </c>
      <c r="B1020" t="s">
        <v>2401</v>
      </c>
      <c r="C1020" t="s">
        <v>2402</v>
      </c>
      <c r="D1020" s="136" t="s">
        <v>2402</v>
      </c>
      <c r="E1020"/>
      <c r="F1020" s="136" t="s">
        <v>2183</v>
      </c>
    </row>
    <row r="1021" spans="1:6" x14ac:dyDescent="0.15">
      <c r="A1021" t="s">
        <v>2215</v>
      </c>
      <c r="B1021" t="s">
        <v>2403</v>
      </c>
      <c r="C1021" t="s">
        <v>2404</v>
      </c>
      <c r="D1021" s="136" t="s">
        <v>2404</v>
      </c>
      <c r="E1021"/>
      <c r="F1021" s="136" t="s">
        <v>2183</v>
      </c>
    </row>
    <row r="1022" spans="1:6" x14ac:dyDescent="0.15">
      <c r="A1022" t="s">
        <v>2215</v>
      </c>
      <c r="B1022" t="s">
        <v>2405</v>
      </c>
      <c r="C1022" t="s">
        <v>2406</v>
      </c>
      <c r="D1022" s="136" t="s">
        <v>2406</v>
      </c>
      <c r="E1022"/>
      <c r="F1022" s="136" t="s">
        <v>2183</v>
      </c>
    </row>
    <row r="1023" spans="1:6" x14ac:dyDescent="0.15">
      <c r="A1023" t="s">
        <v>2215</v>
      </c>
      <c r="B1023" t="s">
        <v>2407</v>
      </c>
      <c r="C1023" t="s">
        <v>2408</v>
      </c>
      <c r="D1023" s="136" t="s">
        <v>2408</v>
      </c>
      <c r="E1023"/>
      <c r="F1023" s="136" t="s">
        <v>2183</v>
      </c>
    </row>
    <row r="1024" spans="1:6" x14ac:dyDescent="0.15">
      <c r="A1024" t="s">
        <v>2215</v>
      </c>
      <c r="B1024" t="s">
        <v>2409</v>
      </c>
      <c r="C1024" t="s">
        <v>2410</v>
      </c>
      <c r="D1024" s="136" t="s">
        <v>2410</v>
      </c>
      <c r="E1024"/>
      <c r="F1024" s="136" t="s">
        <v>2183</v>
      </c>
    </row>
    <row r="1025" spans="1:6" x14ac:dyDescent="0.15">
      <c r="A1025" t="s">
        <v>2215</v>
      </c>
      <c r="B1025" t="s">
        <v>2411</v>
      </c>
      <c r="C1025" t="s">
        <v>2412</v>
      </c>
      <c r="D1025" s="136" t="s">
        <v>2412</v>
      </c>
      <c r="E1025"/>
      <c r="F1025" s="136" t="s">
        <v>2183</v>
      </c>
    </row>
    <row r="1026" spans="1:6" x14ac:dyDescent="0.15">
      <c r="A1026" t="s">
        <v>2215</v>
      </c>
      <c r="B1026" t="s">
        <v>2413</v>
      </c>
      <c r="C1026" t="s">
        <v>2414</v>
      </c>
      <c r="D1026" s="136" t="s">
        <v>2414</v>
      </c>
      <c r="E1026"/>
      <c r="F1026" s="136" t="s">
        <v>2183</v>
      </c>
    </row>
    <row r="1027" spans="1:6" x14ac:dyDescent="0.15">
      <c r="A1027" t="s">
        <v>2215</v>
      </c>
      <c r="B1027" t="s">
        <v>2415</v>
      </c>
      <c r="C1027" t="s">
        <v>2416</v>
      </c>
      <c r="D1027" s="136" t="s">
        <v>2416</v>
      </c>
      <c r="E1027"/>
      <c r="F1027" s="136" t="s">
        <v>2183</v>
      </c>
    </row>
    <row r="1028" spans="1:6" x14ac:dyDescent="0.15">
      <c r="A1028" t="s">
        <v>2215</v>
      </c>
      <c r="B1028" t="s">
        <v>2417</v>
      </c>
      <c r="C1028" t="s">
        <v>2418</v>
      </c>
      <c r="D1028" s="136" t="s">
        <v>2418</v>
      </c>
      <c r="E1028"/>
      <c r="F1028" s="136" t="s">
        <v>2183</v>
      </c>
    </row>
    <row r="1029" spans="1:6" x14ac:dyDescent="0.15">
      <c r="A1029" t="s">
        <v>2215</v>
      </c>
      <c r="B1029" t="s">
        <v>2419</v>
      </c>
      <c r="C1029" t="s">
        <v>2420</v>
      </c>
      <c r="D1029" s="136" t="s">
        <v>2420</v>
      </c>
      <c r="E1029"/>
      <c r="F1029" s="136" t="s">
        <v>2183</v>
      </c>
    </row>
    <row r="1030" spans="1:6" x14ac:dyDescent="0.15">
      <c r="A1030" t="s">
        <v>2215</v>
      </c>
      <c r="B1030" t="s">
        <v>2421</v>
      </c>
      <c r="C1030" t="s">
        <v>2422</v>
      </c>
      <c r="D1030" s="136" t="s">
        <v>2422</v>
      </c>
      <c r="E1030"/>
      <c r="F1030" s="136" t="s">
        <v>2183</v>
      </c>
    </row>
    <row r="1031" spans="1:6" x14ac:dyDescent="0.15">
      <c r="A1031" t="s">
        <v>2215</v>
      </c>
      <c r="B1031" t="s">
        <v>2423</v>
      </c>
      <c r="C1031" t="s">
        <v>2424</v>
      </c>
      <c r="D1031" s="136" t="s">
        <v>2424</v>
      </c>
      <c r="E1031"/>
      <c r="F1031" s="136" t="s">
        <v>2183</v>
      </c>
    </row>
    <row r="1032" spans="1:6" x14ac:dyDescent="0.15">
      <c r="A1032" t="s">
        <v>2215</v>
      </c>
      <c r="B1032" t="s">
        <v>2425</v>
      </c>
      <c r="C1032" t="s">
        <v>2186</v>
      </c>
      <c r="D1032" s="136" t="s">
        <v>2186</v>
      </c>
      <c r="E1032"/>
      <c r="F1032" s="136" t="s">
        <v>2185</v>
      </c>
    </row>
    <row r="1033" spans="1:6" x14ac:dyDescent="0.15">
      <c r="A1033" t="s">
        <v>2215</v>
      </c>
      <c r="B1033" t="s">
        <v>2426</v>
      </c>
      <c r="C1033" t="s">
        <v>2427</v>
      </c>
      <c r="D1033" s="136" t="s">
        <v>2427</v>
      </c>
      <c r="E1033"/>
      <c r="F1033" s="136" t="s">
        <v>2185</v>
      </c>
    </row>
    <row r="1034" spans="1:6" x14ac:dyDescent="0.15">
      <c r="A1034" t="s">
        <v>2215</v>
      </c>
      <c r="B1034" t="s">
        <v>2428</v>
      </c>
      <c r="C1034" t="s">
        <v>2429</v>
      </c>
      <c r="D1034" s="136" t="s">
        <v>2429</v>
      </c>
      <c r="E1034"/>
      <c r="F1034" s="136" t="s">
        <v>2185</v>
      </c>
    </row>
    <row r="1035" spans="1:6" x14ac:dyDescent="0.15">
      <c r="A1035" t="s">
        <v>2215</v>
      </c>
      <c r="B1035" t="s">
        <v>2430</v>
      </c>
      <c r="C1035" t="s">
        <v>2431</v>
      </c>
      <c r="D1035" s="136" t="s">
        <v>2431</v>
      </c>
      <c r="E1035"/>
      <c r="F1035" s="136" t="s">
        <v>2185</v>
      </c>
    </row>
    <row r="1036" spans="1:6" x14ac:dyDescent="0.15">
      <c r="A1036" t="s">
        <v>2215</v>
      </c>
      <c r="B1036" t="s">
        <v>2432</v>
      </c>
      <c r="C1036" t="s">
        <v>2433</v>
      </c>
      <c r="D1036" s="136" t="s">
        <v>2433</v>
      </c>
      <c r="E1036"/>
      <c r="F1036" s="136" t="s">
        <v>2185</v>
      </c>
    </row>
    <row r="1037" spans="1:6" x14ac:dyDescent="0.15">
      <c r="A1037" t="s">
        <v>2215</v>
      </c>
      <c r="B1037" t="s">
        <v>2434</v>
      </c>
      <c r="C1037" t="s">
        <v>2435</v>
      </c>
      <c r="D1037" s="136" t="s">
        <v>2435</v>
      </c>
      <c r="E1037"/>
      <c r="F1037" s="136" t="s">
        <v>2185</v>
      </c>
    </row>
    <row r="1038" spans="1:6" x14ac:dyDescent="0.15">
      <c r="A1038" t="s">
        <v>2215</v>
      </c>
      <c r="B1038" t="s">
        <v>2436</v>
      </c>
      <c r="C1038" t="s">
        <v>2437</v>
      </c>
      <c r="D1038" s="136" t="s">
        <v>2437</v>
      </c>
      <c r="E1038"/>
      <c r="F1038" s="136" t="s">
        <v>2185</v>
      </c>
    </row>
    <row r="1039" spans="1:6" x14ac:dyDescent="0.15">
      <c r="A1039" t="s">
        <v>2215</v>
      </c>
      <c r="B1039" t="s">
        <v>2438</v>
      </c>
      <c r="C1039" t="s">
        <v>2439</v>
      </c>
      <c r="D1039" s="136" t="s">
        <v>2439</v>
      </c>
      <c r="E1039"/>
      <c r="F1039" s="136" t="s">
        <v>2185</v>
      </c>
    </row>
    <row r="1040" spans="1:6" x14ac:dyDescent="0.15">
      <c r="A1040" t="s">
        <v>2215</v>
      </c>
      <c r="B1040" t="s">
        <v>2440</v>
      </c>
      <c r="C1040" t="s">
        <v>2188</v>
      </c>
      <c r="D1040" s="136" t="s">
        <v>2188</v>
      </c>
      <c r="E1040"/>
      <c r="F1040" s="136" t="s">
        <v>2187</v>
      </c>
    </row>
    <row r="1041" spans="1:6" x14ac:dyDescent="0.15">
      <c r="A1041" t="s">
        <v>2215</v>
      </c>
      <c r="B1041" t="s">
        <v>2441</v>
      </c>
      <c r="C1041" t="s">
        <v>2442</v>
      </c>
      <c r="D1041" s="136" t="s">
        <v>2442</v>
      </c>
      <c r="E1041"/>
      <c r="F1041" s="136" t="s">
        <v>2187</v>
      </c>
    </row>
    <row r="1042" spans="1:6" x14ac:dyDescent="0.15">
      <c r="A1042" t="s">
        <v>2215</v>
      </c>
      <c r="B1042" t="s">
        <v>2443</v>
      </c>
      <c r="C1042" t="s">
        <v>2444</v>
      </c>
      <c r="D1042" s="136" t="s">
        <v>2444</v>
      </c>
      <c r="E1042"/>
      <c r="F1042" s="136" t="s">
        <v>2187</v>
      </c>
    </row>
    <row r="1043" spans="1:6" x14ac:dyDescent="0.15">
      <c r="A1043" t="s">
        <v>2215</v>
      </c>
      <c r="B1043" t="s">
        <v>2445</v>
      </c>
      <c r="C1043" t="s">
        <v>2446</v>
      </c>
      <c r="D1043" s="136" t="s">
        <v>2446</v>
      </c>
      <c r="E1043"/>
      <c r="F1043" s="136" t="s">
        <v>2187</v>
      </c>
    </row>
    <row r="1044" spans="1:6" x14ac:dyDescent="0.15">
      <c r="A1044" t="s">
        <v>2215</v>
      </c>
      <c r="B1044" t="s">
        <v>2447</v>
      </c>
      <c r="C1044" t="s">
        <v>2448</v>
      </c>
      <c r="D1044" s="136" t="s">
        <v>2448</v>
      </c>
      <c r="E1044"/>
      <c r="F1044" s="136" t="s">
        <v>2187</v>
      </c>
    </row>
    <row r="1045" spans="1:6" x14ac:dyDescent="0.15">
      <c r="A1045" t="s">
        <v>2215</v>
      </c>
      <c r="B1045" t="s">
        <v>2449</v>
      </c>
      <c r="C1045" t="s">
        <v>2450</v>
      </c>
      <c r="D1045" s="136" t="s">
        <v>2450</v>
      </c>
      <c r="E1045"/>
      <c r="F1045" s="136" t="s">
        <v>2187</v>
      </c>
    </row>
    <row r="1046" spans="1:6" x14ac:dyDescent="0.15">
      <c r="A1046" t="s">
        <v>2215</v>
      </c>
      <c r="B1046" t="s">
        <v>2451</v>
      </c>
      <c r="C1046" t="s">
        <v>2452</v>
      </c>
      <c r="D1046" s="136" t="s">
        <v>2452</v>
      </c>
      <c r="E1046"/>
      <c r="F1046" s="136" t="s">
        <v>2187</v>
      </c>
    </row>
    <row r="1047" spans="1:6" x14ac:dyDescent="0.15">
      <c r="A1047" t="s">
        <v>2215</v>
      </c>
      <c r="B1047" t="s">
        <v>2453</v>
      </c>
      <c r="C1047" t="s">
        <v>2454</v>
      </c>
      <c r="D1047" s="136" t="s">
        <v>2454</v>
      </c>
      <c r="E1047"/>
      <c r="F1047" s="136" t="s">
        <v>2187</v>
      </c>
    </row>
    <row r="1048" spans="1:6" x14ac:dyDescent="0.15">
      <c r="A1048" t="s">
        <v>2215</v>
      </c>
      <c r="B1048" t="s">
        <v>2455</v>
      </c>
      <c r="C1048" t="s">
        <v>2456</v>
      </c>
      <c r="D1048" s="136" t="s">
        <v>2456</v>
      </c>
      <c r="E1048"/>
      <c r="F1048" s="136" t="s">
        <v>2187</v>
      </c>
    </row>
    <row r="1049" spans="1:6" x14ac:dyDescent="0.15">
      <c r="A1049" t="s">
        <v>2215</v>
      </c>
      <c r="B1049" t="s">
        <v>2457</v>
      </c>
      <c r="C1049" t="s">
        <v>2458</v>
      </c>
      <c r="D1049" s="136" t="s">
        <v>2458</v>
      </c>
      <c r="E1049"/>
      <c r="F1049" s="136" t="s">
        <v>2187</v>
      </c>
    </row>
    <row r="1050" spans="1:6" x14ac:dyDescent="0.15">
      <c r="A1050" t="s">
        <v>2215</v>
      </c>
      <c r="B1050" t="s">
        <v>2459</v>
      </c>
      <c r="C1050" t="s">
        <v>2460</v>
      </c>
      <c r="D1050" s="136" t="s">
        <v>2460</v>
      </c>
      <c r="E1050"/>
      <c r="F1050" s="136" t="s">
        <v>2187</v>
      </c>
    </row>
    <row r="1051" spans="1:6" x14ac:dyDescent="0.15">
      <c r="A1051" t="s">
        <v>2215</v>
      </c>
      <c r="B1051" t="s">
        <v>2461</v>
      </c>
      <c r="C1051" t="s">
        <v>2462</v>
      </c>
      <c r="D1051" s="136" t="s">
        <v>2462</v>
      </c>
      <c r="E1051"/>
      <c r="F1051" s="136" t="s">
        <v>2187</v>
      </c>
    </row>
    <row r="1052" spans="1:6" x14ac:dyDescent="0.15">
      <c r="A1052" t="s">
        <v>2215</v>
      </c>
      <c r="B1052" t="s">
        <v>2463</v>
      </c>
      <c r="C1052" t="s">
        <v>2464</v>
      </c>
      <c r="D1052" s="136" t="s">
        <v>2464</v>
      </c>
      <c r="E1052"/>
      <c r="F1052" s="136" t="s">
        <v>2187</v>
      </c>
    </row>
    <row r="1053" spans="1:6" x14ac:dyDescent="0.15">
      <c r="A1053" t="s">
        <v>2215</v>
      </c>
      <c r="B1053" t="s">
        <v>2465</v>
      </c>
      <c r="C1053" t="s">
        <v>2466</v>
      </c>
      <c r="D1053" s="136" t="s">
        <v>2466</v>
      </c>
      <c r="E1053"/>
      <c r="F1053" s="136" t="s">
        <v>2187</v>
      </c>
    </row>
    <row r="1054" spans="1:6" x14ac:dyDescent="0.15">
      <c r="A1054" t="s">
        <v>2215</v>
      </c>
      <c r="B1054" t="s">
        <v>2467</v>
      </c>
      <c r="C1054" t="s">
        <v>2468</v>
      </c>
      <c r="D1054" s="136" t="s">
        <v>2468</v>
      </c>
      <c r="E1054"/>
      <c r="F1054" s="136" t="s">
        <v>2187</v>
      </c>
    </row>
    <row r="1055" spans="1:6" x14ac:dyDescent="0.15">
      <c r="A1055" t="s">
        <v>2215</v>
      </c>
      <c r="B1055" t="s">
        <v>2469</v>
      </c>
      <c r="C1055" t="s">
        <v>2470</v>
      </c>
      <c r="D1055" s="136" t="s">
        <v>2470</v>
      </c>
      <c r="E1055"/>
      <c r="F1055" s="136" t="s">
        <v>2187</v>
      </c>
    </row>
    <row r="1056" spans="1:6" x14ac:dyDescent="0.15">
      <c r="A1056" t="s">
        <v>2215</v>
      </c>
      <c r="B1056" t="s">
        <v>2471</v>
      </c>
      <c r="C1056" t="s">
        <v>2472</v>
      </c>
      <c r="D1056" s="136" t="s">
        <v>2472</v>
      </c>
      <c r="E1056"/>
      <c r="F1056" s="136" t="s">
        <v>2187</v>
      </c>
    </row>
    <row r="1057" spans="1:6" x14ac:dyDescent="0.15">
      <c r="A1057" t="s">
        <v>2215</v>
      </c>
      <c r="B1057" t="s">
        <v>2473</v>
      </c>
      <c r="C1057" t="s">
        <v>2474</v>
      </c>
      <c r="D1057" s="136" t="s">
        <v>2474</v>
      </c>
      <c r="E1057"/>
      <c r="F1057" s="136" t="s">
        <v>2187</v>
      </c>
    </row>
    <row r="1058" spans="1:6" x14ac:dyDescent="0.15">
      <c r="A1058" t="s">
        <v>2215</v>
      </c>
      <c r="B1058" t="s">
        <v>2475</v>
      </c>
      <c r="C1058" t="s">
        <v>2476</v>
      </c>
      <c r="D1058" s="136" t="s">
        <v>2476</v>
      </c>
      <c r="E1058"/>
      <c r="F1058" s="136" t="s">
        <v>2187</v>
      </c>
    </row>
    <row r="1059" spans="1:6" x14ac:dyDescent="0.15">
      <c r="A1059" t="s">
        <v>2215</v>
      </c>
      <c r="B1059" t="s">
        <v>2477</v>
      </c>
      <c r="C1059" t="s">
        <v>2478</v>
      </c>
      <c r="D1059" s="136" t="s">
        <v>2478</v>
      </c>
      <c r="E1059"/>
      <c r="F1059" s="136" t="s">
        <v>2187</v>
      </c>
    </row>
    <row r="1060" spans="1:6" x14ac:dyDescent="0.15">
      <c r="A1060" t="s">
        <v>2215</v>
      </c>
      <c r="B1060" t="s">
        <v>2479</v>
      </c>
      <c r="C1060" t="s">
        <v>2480</v>
      </c>
      <c r="D1060" s="136" t="s">
        <v>2480</v>
      </c>
      <c r="E1060"/>
      <c r="F1060" s="136" t="s">
        <v>2187</v>
      </c>
    </row>
    <row r="1061" spans="1:6" x14ac:dyDescent="0.15">
      <c r="A1061" t="s">
        <v>2215</v>
      </c>
      <c r="B1061" t="s">
        <v>2481</v>
      </c>
      <c r="C1061" t="s">
        <v>2482</v>
      </c>
      <c r="D1061" s="136" t="s">
        <v>2482</v>
      </c>
      <c r="E1061"/>
      <c r="F1061" s="136" t="s">
        <v>2187</v>
      </c>
    </row>
    <row r="1062" spans="1:6" x14ac:dyDescent="0.15">
      <c r="A1062" t="s">
        <v>2215</v>
      </c>
      <c r="B1062" t="s">
        <v>2483</v>
      </c>
      <c r="C1062" t="s">
        <v>2484</v>
      </c>
      <c r="D1062" s="136" t="s">
        <v>2484</v>
      </c>
      <c r="E1062"/>
      <c r="F1062" s="136" t="s">
        <v>2187</v>
      </c>
    </row>
    <row r="1063" spans="1:6" x14ac:dyDescent="0.15">
      <c r="A1063" t="s">
        <v>2215</v>
      </c>
      <c r="B1063" t="s">
        <v>2485</v>
      </c>
      <c r="C1063" t="s">
        <v>2486</v>
      </c>
      <c r="D1063" s="136" t="s">
        <v>2486</v>
      </c>
      <c r="E1063"/>
      <c r="F1063" s="136" t="s">
        <v>2187</v>
      </c>
    </row>
    <row r="1064" spans="1:6" x14ac:dyDescent="0.15">
      <c r="A1064" t="s">
        <v>2215</v>
      </c>
      <c r="B1064" t="s">
        <v>2487</v>
      </c>
      <c r="C1064" t="s">
        <v>2488</v>
      </c>
      <c r="D1064" s="136" t="s">
        <v>2488</v>
      </c>
      <c r="E1064"/>
      <c r="F1064" s="136" t="s">
        <v>2189</v>
      </c>
    </row>
    <row r="1065" spans="1:6" x14ac:dyDescent="0.15">
      <c r="A1065" t="s">
        <v>2215</v>
      </c>
      <c r="B1065" t="s">
        <v>2489</v>
      </c>
      <c r="C1065" t="s">
        <v>2490</v>
      </c>
      <c r="D1065" s="136" t="s">
        <v>2490</v>
      </c>
      <c r="E1065"/>
      <c r="F1065" s="136" t="s">
        <v>2189</v>
      </c>
    </row>
    <row r="1066" spans="1:6" x14ac:dyDescent="0.15">
      <c r="A1066" t="s">
        <v>2215</v>
      </c>
      <c r="B1066" t="s">
        <v>2491</v>
      </c>
      <c r="C1066" t="s">
        <v>2492</v>
      </c>
      <c r="D1066" s="136" t="s">
        <v>2492</v>
      </c>
      <c r="E1066"/>
      <c r="F1066" s="136" t="s">
        <v>2189</v>
      </c>
    </row>
    <row r="1067" spans="1:6" x14ac:dyDescent="0.15">
      <c r="A1067" t="s">
        <v>2215</v>
      </c>
      <c r="B1067" t="s">
        <v>2493</v>
      </c>
      <c r="C1067" t="s">
        <v>2494</v>
      </c>
      <c r="D1067" s="136" t="s">
        <v>2494</v>
      </c>
      <c r="E1067"/>
      <c r="F1067" s="136" t="s">
        <v>2189</v>
      </c>
    </row>
    <row r="1068" spans="1:6" x14ac:dyDescent="0.15">
      <c r="A1068" t="s">
        <v>2215</v>
      </c>
      <c r="B1068" t="s">
        <v>2495</v>
      </c>
      <c r="C1068" t="s">
        <v>2496</v>
      </c>
      <c r="D1068" s="136" t="s">
        <v>2496</v>
      </c>
      <c r="E1068"/>
      <c r="F1068" s="136" t="s">
        <v>2189</v>
      </c>
    </row>
    <row r="1069" spans="1:6" x14ac:dyDescent="0.15">
      <c r="A1069" t="s">
        <v>2215</v>
      </c>
      <c r="B1069" t="s">
        <v>2497</v>
      </c>
      <c r="C1069" t="s">
        <v>2498</v>
      </c>
      <c r="D1069" s="136" t="s">
        <v>2498</v>
      </c>
      <c r="E1069"/>
      <c r="F1069" s="136" t="s">
        <v>2189</v>
      </c>
    </row>
    <row r="1070" spans="1:6" x14ac:dyDescent="0.15">
      <c r="A1070" t="s">
        <v>2215</v>
      </c>
      <c r="B1070" t="s">
        <v>2499</v>
      </c>
      <c r="C1070" t="s">
        <v>2500</v>
      </c>
      <c r="D1070" s="136" t="s">
        <v>2500</v>
      </c>
      <c r="E1070"/>
      <c r="F1070" s="136" t="s">
        <v>2189</v>
      </c>
    </row>
    <row r="1071" spans="1:6" x14ac:dyDescent="0.15">
      <c r="A1071" t="s">
        <v>2215</v>
      </c>
      <c r="B1071" t="s">
        <v>2501</v>
      </c>
      <c r="C1071" t="s">
        <v>2502</v>
      </c>
      <c r="D1071" s="136" t="s">
        <v>2502</v>
      </c>
      <c r="E1071"/>
      <c r="F1071" s="136" t="s">
        <v>2189</v>
      </c>
    </row>
    <row r="1072" spans="1:6" x14ac:dyDescent="0.15">
      <c r="A1072" t="s">
        <v>2215</v>
      </c>
      <c r="B1072" t="s">
        <v>2503</v>
      </c>
      <c r="C1072" t="s">
        <v>2504</v>
      </c>
      <c r="D1072" s="136" t="s">
        <v>2504</v>
      </c>
      <c r="E1072"/>
      <c r="F1072" s="136" t="s">
        <v>2189</v>
      </c>
    </row>
    <row r="1073" spans="1:6" x14ac:dyDescent="0.15">
      <c r="A1073" t="s">
        <v>2215</v>
      </c>
      <c r="B1073" t="s">
        <v>2505</v>
      </c>
      <c r="C1073" t="s">
        <v>2506</v>
      </c>
      <c r="D1073" s="136" t="s">
        <v>2506</v>
      </c>
      <c r="E1073"/>
      <c r="F1073" s="136" t="s">
        <v>2189</v>
      </c>
    </row>
    <row r="1074" spans="1:6" x14ac:dyDescent="0.15">
      <c r="A1074" t="s">
        <v>2215</v>
      </c>
      <c r="B1074" t="s">
        <v>2507</v>
      </c>
      <c r="C1074" t="s">
        <v>2508</v>
      </c>
      <c r="D1074" s="136" t="s">
        <v>2508</v>
      </c>
      <c r="E1074"/>
      <c r="F1074" s="136" t="s">
        <v>2189</v>
      </c>
    </row>
    <row r="1075" spans="1:6" x14ac:dyDescent="0.15">
      <c r="A1075" t="s">
        <v>2215</v>
      </c>
      <c r="B1075" t="s">
        <v>2509</v>
      </c>
      <c r="C1075" t="s">
        <v>2510</v>
      </c>
      <c r="D1075" s="136" t="s">
        <v>2510</v>
      </c>
      <c r="E1075"/>
      <c r="F1075" s="136" t="s">
        <v>2189</v>
      </c>
    </row>
    <row r="1076" spans="1:6" x14ac:dyDescent="0.15">
      <c r="A1076" t="s">
        <v>2215</v>
      </c>
      <c r="B1076" t="s">
        <v>2511</v>
      </c>
      <c r="C1076" t="s">
        <v>2512</v>
      </c>
      <c r="D1076" s="136" t="s">
        <v>2512</v>
      </c>
      <c r="E1076"/>
      <c r="F1076" s="136" t="s">
        <v>2189</v>
      </c>
    </row>
    <row r="1077" spans="1:6" x14ac:dyDescent="0.15">
      <c r="A1077" t="s">
        <v>2215</v>
      </c>
      <c r="B1077" t="s">
        <v>2513</v>
      </c>
      <c r="C1077" t="s">
        <v>2514</v>
      </c>
      <c r="D1077" s="136" t="s">
        <v>2514</v>
      </c>
      <c r="E1077"/>
      <c r="F1077" s="136" t="s">
        <v>2189</v>
      </c>
    </row>
    <row r="1078" spans="1:6" x14ac:dyDescent="0.15">
      <c r="A1078" t="s">
        <v>2215</v>
      </c>
      <c r="B1078" t="s">
        <v>2515</v>
      </c>
      <c r="C1078" t="s">
        <v>2516</v>
      </c>
      <c r="D1078" s="136" t="s">
        <v>2516</v>
      </c>
      <c r="E1078"/>
      <c r="F1078" s="136" t="s">
        <v>2189</v>
      </c>
    </row>
    <row r="1079" spans="1:6" x14ac:dyDescent="0.15">
      <c r="A1079" t="s">
        <v>2215</v>
      </c>
      <c r="B1079" t="s">
        <v>2517</v>
      </c>
      <c r="C1079" t="s">
        <v>2518</v>
      </c>
      <c r="D1079" s="136" t="s">
        <v>2518</v>
      </c>
      <c r="E1079"/>
      <c r="F1079" s="136" t="s">
        <v>2189</v>
      </c>
    </row>
    <row r="1080" spans="1:6" x14ac:dyDescent="0.15">
      <c r="A1080" t="s">
        <v>2215</v>
      </c>
      <c r="B1080" t="s">
        <v>2519</v>
      </c>
      <c r="C1080" t="s">
        <v>2520</v>
      </c>
      <c r="D1080" s="136" t="s">
        <v>2520</v>
      </c>
      <c r="E1080"/>
      <c r="F1080" s="136" t="s">
        <v>2189</v>
      </c>
    </row>
    <row r="1081" spans="1:6" x14ac:dyDescent="0.15">
      <c r="A1081" t="s">
        <v>2215</v>
      </c>
      <c r="B1081" t="s">
        <v>2521</v>
      </c>
      <c r="C1081" t="s">
        <v>2522</v>
      </c>
      <c r="D1081" s="136" t="s">
        <v>2522</v>
      </c>
      <c r="E1081"/>
      <c r="F1081" s="136" t="s">
        <v>2189</v>
      </c>
    </row>
    <row r="1082" spans="1:6" x14ac:dyDescent="0.15">
      <c r="A1082" t="s">
        <v>2215</v>
      </c>
      <c r="B1082" t="s">
        <v>2523</v>
      </c>
      <c r="C1082" t="s">
        <v>2524</v>
      </c>
      <c r="D1082" s="136" t="s">
        <v>2524</v>
      </c>
      <c r="E1082"/>
      <c r="F1082" s="136" t="s">
        <v>2189</v>
      </c>
    </row>
    <row r="1083" spans="1:6" x14ac:dyDescent="0.15">
      <c r="A1083" t="s">
        <v>2215</v>
      </c>
      <c r="B1083" t="s">
        <v>2525</v>
      </c>
      <c r="C1083" t="s">
        <v>2526</v>
      </c>
      <c r="D1083" s="136" t="s">
        <v>2526</v>
      </c>
      <c r="E1083"/>
      <c r="F1083" s="136" t="s">
        <v>2189</v>
      </c>
    </row>
    <row r="1084" spans="1:6" x14ac:dyDescent="0.15">
      <c r="A1084" t="s">
        <v>2215</v>
      </c>
      <c r="B1084" t="s">
        <v>2527</v>
      </c>
      <c r="C1084" t="s">
        <v>2528</v>
      </c>
      <c r="D1084" s="136" t="s">
        <v>2528</v>
      </c>
      <c r="E1084"/>
      <c r="F1084" s="136" t="s">
        <v>2189</v>
      </c>
    </row>
    <row r="1085" spans="1:6" x14ac:dyDescent="0.15">
      <c r="A1085" t="s">
        <v>2215</v>
      </c>
      <c r="B1085" t="s">
        <v>2529</v>
      </c>
      <c r="C1085" t="s">
        <v>2192</v>
      </c>
      <c r="D1085" s="136" t="s">
        <v>2192</v>
      </c>
      <c r="E1085"/>
      <c r="F1085" s="136" t="s">
        <v>2191</v>
      </c>
    </row>
    <row r="1086" spans="1:6" x14ac:dyDescent="0.15">
      <c r="A1086" t="s">
        <v>2215</v>
      </c>
      <c r="B1086" t="s">
        <v>2530</v>
      </c>
      <c r="C1086" t="s">
        <v>2531</v>
      </c>
      <c r="D1086" s="136" t="s">
        <v>2531</v>
      </c>
      <c r="E1086"/>
      <c r="F1086" s="136" t="s">
        <v>2191</v>
      </c>
    </row>
    <row r="1087" spans="1:6" x14ac:dyDescent="0.15">
      <c r="A1087" t="s">
        <v>2215</v>
      </c>
      <c r="B1087" t="s">
        <v>2532</v>
      </c>
      <c r="C1087" t="s">
        <v>2533</v>
      </c>
      <c r="D1087" s="136" t="s">
        <v>2533</v>
      </c>
      <c r="E1087"/>
      <c r="F1087" s="136" t="s">
        <v>2191</v>
      </c>
    </row>
    <row r="1088" spans="1:6" x14ac:dyDescent="0.15">
      <c r="A1088" t="s">
        <v>2215</v>
      </c>
      <c r="B1088" t="s">
        <v>2534</v>
      </c>
      <c r="C1088" t="s">
        <v>2535</v>
      </c>
      <c r="D1088" s="136" t="s">
        <v>2535</v>
      </c>
      <c r="E1088"/>
      <c r="F1088" s="136" t="s">
        <v>2191</v>
      </c>
    </row>
    <row r="1089" spans="1:6" x14ac:dyDescent="0.15">
      <c r="A1089" t="s">
        <v>2215</v>
      </c>
      <c r="B1089" t="s">
        <v>2536</v>
      </c>
      <c r="C1089" t="s">
        <v>2537</v>
      </c>
      <c r="D1089" s="136" t="s">
        <v>2537</v>
      </c>
      <c r="E1089"/>
      <c r="F1089" s="136" t="s">
        <v>2191</v>
      </c>
    </row>
    <row r="1090" spans="1:6" x14ac:dyDescent="0.15">
      <c r="A1090" t="s">
        <v>2215</v>
      </c>
      <c r="B1090" t="s">
        <v>2538</v>
      </c>
      <c r="C1090" t="s">
        <v>2539</v>
      </c>
      <c r="D1090" s="136" t="s">
        <v>2539</v>
      </c>
      <c r="E1090"/>
      <c r="F1090" s="136" t="s">
        <v>2191</v>
      </c>
    </row>
    <row r="1091" spans="1:6" x14ac:dyDescent="0.15">
      <c r="A1091" t="s">
        <v>2215</v>
      </c>
      <c r="B1091" t="s">
        <v>2540</v>
      </c>
      <c r="C1091" t="s">
        <v>2541</v>
      </c>
      <c r="D1091" s="136" t="s">
        <v>2541</v>
      </c>
      <c r="E1091"/>
      <c r="F1091" s="136" t="s">
        <v>2191</v>
      </c>
    </row>
    <row r="1092" spans="1:6" x14ac:dyDescent="0.15">
      <c r="A1092" t="s">
        <v>2215</v>
      </c>
      <c r="B1092" t="s">
        <v>2542</v>
      </c>
      <c r="C1092" t="s">
        <v>2543</v>
      </c>
      <c r="D1092" s="136" t="s">
        <v>2543</v>
      </c>
      <c r="E1092"/>
      <c r="F1092" s="136" t="s">
        <v>2191</v>
      </c>
    </row>
    <row r="1093" spans="1:6" x14ac:dyDescent="0.15">
      <c r="A1093" t="s">
        <v>2215</v>
      </c>
      <c r="B1093" t="s">
        <v>2544</v>
      </c>
      <c r="C1093" t="s">
        <v>2545</v>
      </c>
      <c r="D1093" s="136" t="s">
        <v>2545</v>
      </c>
      <c r="E1093"/>
      <c r="F1093" s="136" t="s">
        <v>2191</v>
      </c>
    </row>
    <row r="1094" spans="1:6" x14ac:dyDescent="0.15">
      <c r="A1094" t="s">
        <v>2215</v>
      </c>
      <c r="B1094" t="s">
        <v>2546</v>
      </c>
      <c r="C1094" t="s">
        <v>2194</v>
      </c>
      <c r="D1094" s="136" t="s">
        <v>2194</v>
      </c>
      <c r="E1094"/>
      <c r="F1094" s="136" t="s">
        <v>2193</v>
      </c>
    </row>
    <row r="1095" spans="1:6" x14ac:dyDescent="0.15">
      <c r="A1095" t="s">
        <v>2215</v>
      </c>
      <c r="B1095" t="s">
        <v>2547</v>
      </c>
      <c r="C1095" t="s">
        <v>2235</v>
      </c>
      <c r="D1095" s="136" t="s">
        <v>2235</v>
      </c>
      <c r="E1095"/>
      <c r="F1095" s="136" t="s">
        <v>2193</v>
      </c>
    </row>
    <row r="1096" spans="1:6" x14ac:dyDescent="0.15">
      <c r="A1096" t="s">
        <v>2215</v>
      </c>
      <c r="B1096" t="s">
        <v>2548</v>
      </c>
      <c r="C1096" t="s">
        <v>2549</v>
      </c>
      <c r="D1096" s="136" t="s">
        <v>2549</v>
      </c>
      <c r="E1096"/>
      <c r="F1096" s="136" t="s">
        <v>2193</v>
      </c>
    </row>
    <row r="1097" spans="1:6" x14ac:dyDescent="0.15">
      <c r="A1097" t="s">
        <v>2215</v>
      </c>
      <c r="B1097" t="s">
        <v>2550</v>
      </c>
      <c r="C1097" t="s">
        <v>2551</v>
      </c>
      <c r="D1097" s="136" t="s">
        <v>2551</v>
      </c>
      <c r="E1097"/>
      <c r="F1097" s="136" t="s">
        <v>2193</v>
      </c>
    </row>
    <row r="1098" spans="1:6" x14ac:dyDescent="0.15">
      <c r="A1098" t="s">
        <v>2215</v>
      </c>
      <c r="B1098" t="s">
        <v>2552</v>
      </c>
      <c r="C1098" t="s">
        <v>2553</v>
      </c>
      <c r="D1098" s="136" t="s">
        <v>2553</v>
      </c>
      <c r="E1098"/>
      <c r="F1098" s="136" t="s">
        <v>2193</v>
      </c>
    </row>
    <row r="1099" spans="1:6" x14ac:dyDescent="0.15">
      <c r="A1099" t="s">
        <v>2215</v>
      </c>
      <c r="B1099" t="s">
        <v>2554</v>
      </c>
      <c r="C1099" t="s">
        <v>2555</v>
      </c>
      <c r="D1099" s="136" t="s">
        <v>2555</v>
      </c>
      <c r="E1099"/>
      <c r="F1099" s="136" t="s">
        <v>2193</v>
      </c>
    </row>
    <row r="1100" spans="1:6" x14ac:dyDescent="0.15">
      <c r="A1100" t="s">
        <v>2215</v>
      </c>
      <c r="B1100" t="s">
        <v>2556</v>
      </c>
      <c r="C1100" t="s">
        <v>2557</v>
      </c>
      <c r="D1100" s="136" t="s">
        <v>2557</v>
      </c>
      <c r="E1100"/>
      <c r="F1100" s="136" t="s">
        <v>2193</v>
      </c>
    </row>
    <row r="1101" spans="1:6" x14ac:dyDescent="0.15">
      <c r="A1101" t="s">
        <v>2215</v>
      </c>
      <c r="B1101" t="s">
        <v>2558</v>
      </c>
      <c r="C1101" t="s">
        <v>2559</v>
      </c>
      <c r="D1101" s="136" t="s">
        <v>2559</v>
      </c>
      <c r="E1101"/>
      <c r="F1101" s="136" t="s">
        <v>2193</v>
      </c>
    </row>
    <row r="1102" spans="1:6" x14ac:dyDescent="0.15">
      <c r="A1102" t="s">
        <v>2215</v>
      </c>
      <c r="B1102" t="s">
        <v>2560</v>
      </c>
      <c r="C1102" t="s">
        <v>2561</v>
      </c>
      <c r="D1102" s="136" t="s">
        <v>2561</v>
      </c>
      <c r="E1102"/>
      <c r="F1102" s="136" t="s">
        <v>2193</v>
      </c>
    </row>
    <row r="1103" spans="1:6" x14ac:dyDescent="0.15">
      <c r="A1103" t="s">
        <v>2215</v>
      </c>
      <c r="B1103" t="s">
        <v>2562</v>
      </c>
      <c r="C1103" t="s">
        <v>2563</v>
      </c>
      <c r="D1103" s="136" t="s">
        <v>2563</v>
      </c>
      <c r="E1103"/>
      <c r="F1103" s="136" t="s">
        <v>2193</v>
      </c>
    </row>
    <row r="1104" spans="1:6" x14ac:dyDescent="0.15">
      <c r="A1104" t="s">
        <v>2215</v>
      </c>
      <c r="B1104" t="s">
        <v>2564</v>
      </c>
      <c r="C1104" t="s">
        <v>2565</v>
      </c>
      <c r="D1104" s="136" t="s">
        <v>2565</v>
      </c>
      <c r="E1104"/>
      <c r="F1104" s="136" t="s">
        <v>2193</v>
      </c>
    </row>
    <row r="1105" spans="1:6" x14ac:dyDescent="0.15">
      <c r="A1105" t="s">
        <v>2215</v>
      </c>
      <c r="B1105" t="s">
        <v>2566</v>
      </c>
      <c r="C1105" t="s">
        <v>2567</v>
      </c>
      <c r="D1105" s="136" t="s">
        <v>2567</v>
      </c>
      <c r="E1105"/>
      <c r="F1105" s="136" t="s">
        <v>2193</v>
      </c>
    </row>
    <row r="1106" spans="1:6" x14ac:dyDescent="0.15">
      <c r="A1106" t="s">
        <v>2215</v>
      </c>
      <c r="B1106" t="s">
        <v>2568</v>
      </c>
      <c r="C1106" t="s">
        <v>2569</v>
      </c>
      <c r="D1106" s="136" t="s">
        <v>2569</v>
      </c>
      <c r="E1106"/>
      <c r="F1106" s="136" t="s">
        <v>2193</v>
      </c>
    </row>
    <row r="1107" spans="1:6" x14ac:dyDescent="0.15">
      <c r="A1107" t="s">
        <v>2215</v>
      </c>
      <c r="B1107" t="s">
        <v>2570</v>
      </c>
      <c r="C1107" t="s">
        <v>2571</v>
      </c>
      <c r="D1107" s="136" t="s">
        <v>2571</v>
      </c>
      <c r="E1107"/>
      <c r="F1107" s="136" t="s">
        <v>2193</v>
      </c>
    </row>
    <row r="1108" spans="1:6" x14ac:dyDescent="0.15">
      <c r="A1108" t="s">
        <v>2215</v>
      </c>
      <c r="B1108" t="s">
        <v>2572</v>
      </c>
      <c r="C1108" t="s">
        <v>2573</v>
      </c>
      <c r="D1108" s="136" t="s">
        <v>2573</v>
      </c>
      <c r="E1108"/>
      <c r="F1108" s="136" t="s">
        <v>2193</v>
      </c>
    </row>
    <row r="1109" spans="1:6" x14ac:dyDescent="0.15">
      <c r="A1109" t="s">
        <v>2215</v>
      </c>
      <c r="B1109" t="s">
        <v>2574</v>
      </c>
      <c r="C1109" t="s">
        <v>2575</v>
      </c>
      <c r="D1109" s="136" t="s">
        <v>2575</v>
      </c>
      <c r="E1109"/>
      <c r="F1109" s="136" t="s">
        <v>2193</v>
      </c>
    </row>
    <row r="1110" spans="1:6" x14ac:dyDescent="0.15">
      <c r="A1110" t="s">
        <v>2215</v>
      </c>
      <c r="B1110" t="s">
        <v>2576</v>
      </c>
      <c r="C1110" t="s">
        <v>2577</v>
      </c>
      <c r="D1110" s="136" t="s">
        <v>2577</v>
      </c>
      <c r="E1110"/>
      <c r="F1110" s="136" t="s">
        <v>2193</v>
      </c>
    </row>
    <row r="1111" spans="1:6" x14ac:dyDescent="0.15">
      <c r="A1111" t="s">
        <v>2215</v>
      </c>
      <c r="B1111" t="s">
        <v>2578</v>
      </c>
      <c r="C1111" t="s">
        <v>2579</v>
      </c>
      <c r="D1111" s="136" t="s">
        <v>2579</v>
      </c>
      <c r="E1111"/>
      <c r="F1111" s="136" t="s">
        <v>2193</v>
      </c>
    </row>
    <row r="1112" spans="1:6" x14ac:dyDescent="0.15">
      <c r="A1112" t="s">
        <v>2215</v>
      </c>
      <c r="B1112" t="s">
        <v>2580</v>
      </c>
      <c r="C1112" t="s">
        <v>2581</v>
      </c>
      <c r="D1112" s="136" t="s">
        <v>2581</v>
      </c>
      <c r="E1112"/>
      <c r="F1112" s="136" t="s">
        <v>2193</v>
      </c>
    </row>
    <row r="1113" spans="1:6" x14ac:dyDescent="0.15">
      <c r="A1113" t="s">
        <v>2215</v>
      </c>
      <c r="B1113" t="s">
        <v>2582</v>
      </c>
      <c r="C1113" t="s">
        <v>2583</v>
      </c>
      <c r="D1113" s="136" t="s">
        <v>2583</v>
      </c>
      <c r="E1113"/>
      <c r="F1113" s="136" t="s">
        <v>2193</v>
      </c>
    </row>
    <row r="1114" spans="1:6" x14ac:dyDescent="0.15">
      <c r="A1114" t="s">
        <v>2215</v>
      </c>
      <c r="B1114" t="s">
        <v>2584</v>
      </c>
      <c r="C1114" t="s">
        <v>2585</v>
      </c>
      <c r="D1114" s="136" t="s">
        <v>2585</v>
      </c>
      <c r="E1114"/>
      <c r="F1114" s="136" t="s">
        <v>2193</v>
      </c>
    </row>
    <row r="1115" spans="1:6" x14ac:dyDescent="0.15">
      <c r="A1115" t="s">
        <v>2215</v>
      </c>
      <c r="B1115" t="s">
        <v>2586</v>
      </c>
      <c r="C1115" t="s">
        <v>2587</v>
      </c>
      <c r="D1115" s="136" t="s">
        <v>2587</v>
      </c>
      <c r="E1115"/>
      <c r="F1115" s="136" t="s">
        <v>2193</v>
      </c>
    </row>
    <row r="1116" spans="1:6" x14ac:dyDescent="0.15">
      <c r="A1116" t="s">
        <v>2215</v>
      </c>
      <c r="B1116" t="s">
        <v>2588</v>
      </c>
      <c r="C1116" t="s">
        <v>2589</v>
      </c>
      <c r="D1116" s="136" t="s">
        <v>2589</v>
      </c>
      <c r="E1116"/>
      <c r="F1116" s="136" t="s">
        <v>2193</v>
      </c>
    </row>
    <row r="1117" spans="1:6" x14ac:dyDescent="0.15">
      <c r="A1117" t="s">
        <v>2215</v>
      </c>
      <c r="B1117" t="s">
        <v>2590</v>
      </c>
      <c r="C1117" t="s">
        <v>2591</v>
      </c>
      <c r="D1117" s="136" t="s">
        <v>2591</v>
      </c>
      <c r="E1117"/>
      <c r="F1117" s="136" t="s">
        <v>2193</v>
      </c>
    </row>
    <row r="1118" spans="1:6" x14ac:dyDescent="0.15">
      <c r="A1118" t="s">
        <v>2215</v>
      </c>
      <c r="B1118" t="s">
        <v>2592</v>
      </c>
      <c r="C1118" t="s">
        <v>2593</v>
      </c>
      <c r="D1118" s="136" t="s">
        <v>2593</v>
      </c>
      <c r="E1118"/>
      <c r="F1118" s="136" t="s">
        <v>2193</v>
      </c>
    </row>
    <row r="1119" spans="1:6" x14ac:dyDescent="0.15">
      <c r="A1119" t="s">
        <v>2215</v>
      </c>
      <c r="B1119" t="s">
        <v>2594</v>
      </c>
      <c r="C1119" t="s">
        <v>2595</v>
      </c>
      <c r="D1119" s="136" t="s">
        <v>2595</v>
      </c>
      <c r="E1119"/>
      <c r="F1119" s="136" t="s">
        <v>2193</v>
      </c>
    </row>
    <row r="1120" spans="1:6" x14ac:dyDescent="0.15">
      <c r="A1120" t="s">
        <v>2215</v>
      </c>
      <c r="B1120" t="s">
        <v>2596</v>
      </c>
      <c r="C1120" t="s">
        <v>2597</v>
      </c>
      <c r="D1120" s="136" t="s">
        <v>2597</v>
      </c>
      <c r="E1120"/>
      <c r="F1120" s="136" t="s">
        <v>2193</v>
      </c>
    </row>
    <row r="1121" spans="1:6" x14ac:dyDescent="0.15">
      <c r="A1121" t="s">
        <v>2215</v>
      </c>
      <c r="B1121" t="s">
        <v>2598</v>
      </c>
      <c r="C1121" t="s">
        <v>2599</v>
      </c>
      <c r="D1121" s="136" t="s">
        <v>2599</v>
      </c>
      <c r="E1121"/>
      <c r="F1121" s="136" t="s">
        <v>2193</v>
      </c>
    </row>
    <row r="1122" spans="1:6" x14ac:dyDescent="0.15">
      <c r="A1122" t="s">
        <v>2215</v>
      </c>
      <c r="B1122" t="s">
        <v>2600</v>
      </c>
      <c r="C1122" t="s">
        <v>2500</v>
      </c>
      <c r="D1122" s="136" t="s">
        <v>2500</v>
      </c>
      <c r="E1122"/>
      <c r="F1122" s="136" t="s">
        <v>2193</v>
      </c>
    </row>
    <row r="1123" spans="1:6" x14ac:dyDescent="0.15">
      <c r="A1123" t="s">
        <v>2215</v>
      </c>
      <c r="B1123" t="s">
        <v>2601</v>
      </c>
      <c r="C1123" t="s">
        <v>2602</v>
      </c>
      <c r="D1123" s="136" t="s">
        <v>2602</v>
      </c>
      <c r="E1123"/>
      <c r="F1123" s="136" t="s">
        <v>2193</v>
      </c>
    </row>
    <row r="1124" spans="1:6" x14ac:dyDescent="0.15">
      <c r="A1124" t="s">
        <v>2215</v>
      </c>
      <c r="B1124" t="s">
        <v>2603</v>
      </c>
      <c r="C1124" t="s">
        <v>2196</v>
      </c>
      <c r="D1124" s="136" t="s">
        <v>2196</v>
      </c>
      <c r="E1124"/>
      <c r="F1124" s="136" t="s">
        <v>2195</v>
      </c>
    </row>
    <row r="1125" spans="1:6" x14ac:dyDescent="0.15">
      <c r="A1125" t="s">
        <v>2215</v>
      </c>
      <c r="B1125" t="s">
        <v>2604</v>
      </c>
      <c r="C1125" t="s">
        <v>2605</v>
      </c>
      <c r="D1125" s="136" t="s">
        <v>2605</v>
      </c>
      <c r="E1125"/>
      <c r="F1125" s="136" t="s">
        <v>2195</v>
      </c>
    </row>
    <row r="1126" spans="1:6" x14ac:dyDescent="0.15">
      <c r="A1126" t="s">
        <v>2215</v>
      </c>
      <c r="B1126" t="s">
        <v>2606</v>
      </c>
      <c r="C1126" t="s">
        <v>2607</v>
      </c>
      <c r="D1126" s="136" t="s">
        <v>2607</v>
      </c>
      <c r="E1126"/>
      <c r="F1126" s="136" t="s">
        <v>2195</v>
      </c>
    </row>
    <row r="1127" spans="1:6" x14ac:dyDescent="0.15">
      <c r="A1127" t="s">
        <v>2215</v>
      </c>
      <c r="B1127" t="s">
        <v>2608</v>
      </c>
      <c r="C1127" t="s">
        <v>2609</v>
      </c>
      <c r="D1127" s="136" t="s">
        <v>2609</v>
      </c>
      <c r="E1127"/>
      <c r="F1127" s="136" t="s">
        <v>2195</v>
      </c>
    </row>
    <row r="1128" spans="1:6" x14ac:dyDescent="0.15">
      <c r="A1128" t="s">
        <v>2215</v>
      </c>
      <c r="B1128" t="s">
        <v>2610</v>
      </c>
      <c r="C1128" t="s">
        <v>2611</v>
      </c>
      <c r="D1128" s="136" t="s">
        <v>2611</v>
      </c>
      <c r="E1128"/>
      <c r="F1128" s="136" t="s">
        <v>2195</v>
      </c>
    </row>
    <row r="1129" spans="1:6" x14ac:dyDescent="0.15">
      <c r="A1129" t="s">
        <v>2215</v>
      </c>
      <c r="B1129" t="s">
        <v>2612</v>
      </c>
      <c r="C1129" t="s">
        <v>2613</v>
      </c>
      <c r="D1129" s="136" t="s">
        <v>2613</v>
      </c>
      <c r="E1129"/>
      <c r="F1129" s="136" t="s">
        <v>2195</v>
      </c>
    </row>
    <row r="1130" spans="1:6" x14ac:dyDescent="0.15">
      <c r="A1130" t="s">
        <v>2215</v>
      </c>
      <c r="B1130" t="s">
        <v>2614</v>
      </c>
      <c r="C1130" t="s">
        <v>2615</v>
      </c>
      <c r="D1130" s="136" t="s">
        <v>2615</v>
      </c>
      <c r="E1130"/>
      <c r="F1130" s="136" t="s">
        <v>2195</v>
      </c>
    </row>
    <row r="1131" spans="1:6" x14ac:dyDescent="0.15">
      <c r="A1131" t="s">
        <v>2215</v>
      </c>
      <c r="B1131" t="s">
        <v>2616</v>
      </c>
      <c r="C1131" t="s">
        <v>2617</v>
      </c>
      <c r="D1131" s="136" t="s">
        <v>2617</v>
      </c>
      <c r="E1131"/>
      <c r="F1131" s="136" t="s">
        <v>2195</v>
      </c>
    </row>
    <row r="1132" spans="1:6" x14ac:dyDescent="0.15">
      <c r="A1132" t="s">
        <v>2215</v>
      </c>
      <c r="B1132" t="s">
        <v>2618</v>
      </c>
      <c r="C1132" t="s">
        <v>2619</v>
      </c>
      <c r="D1132" s="136" t="s">
        <v>2619</v>
      </c>
      <c r="E1132"/>
      <c r="F1132" s="136" t="s">
        <v>2195</v>
      </c>
    </row>
    <row r="1133" spans="1:6" x14ac:dyDescent="0.15">
      <c r="A1133" t="s">
        <v>2215</v>
      </c>
      <c r="B1133" t="s">
        <v>2620</v>
      </c>
      <c r="C1133" t="s">
        <v>2516</v>
      </c>
      <c r="D1133" s="136" t="s">
        <v>2516</v>
      </c>
      <c r="E1133"/>
      <c r="F1133" s="136" t="s">
        <v>2195</v>
      </c>
    </row>
    <row r="1134" spans="1:6" x14ac:dyDescent="0.15">
      <c r="A1134" t="s">
        <v>2215</v>
      </c>
      <c r="B1134" t="s">
        <v>2621</v>
      </c>
      <c r="C1134" t="s">
        <v>2622</v>
      </c>
      <c r="D1134" s="136" t="s">
        <v>2622</v>
      </c>
      <c r="E1134"/>
      <c r="F1134" s="136" t="s">
        <v>2195</v>
      </c>
    </row>
    <row r="1135" spans="1:6" x14ac:dyDescent="0.15">
      <c r="A1135" t="s">
        <v>2215</v>
      </c>
      <c r="B1135" t="s">
        <v>2623</v>
      </c>
      <c r="C1135" t="s">
        <v>2335</v>
      </c>
      <c r="D1135" s="136" t="s">
        <v>2335</v>
      </c>
      <c r="E1135"/>
      <c r="F1135" s="136" t="s">
        <v>2195</v>
      </c>
    </row>
    <row r="1136" spans="1:6" x14ac:dyDescent="0.15">
      <c r="A1136" t="s">
        <v>2215</v>
      </c>
      <c r="B1136" t="s">
        <v>2624</v>
      </c>
      <c r="C1136" t="s">
        <v>2625</v>
      </c>
      <c r="D1136" s="136" t="s">
        <v>2625</v>
      </c>
      <c r="E1136"/>
      <c r="F1136" s="136" t="s">
        <v>2195</v>
      </c>
    </row>
    <row r="1137" spans="1:6" x14ac:dyDescent="0.15">
      <c r="A1137" t="s">
        <v>2215</v>
      </c>
      <c r="B1137" t="s">
        <v>2626</v>
      </c>
      <c r="C1137" t="s">
        <v>2627</v>
      </c>
      <c r="D1137" s="136" t="s">
        <v>2627</v>
      </c>
      <c r="E1137"/>
      <c r="F1137" s="136" t="s">
        <v>2195</v>
      </c>
    </row>
    <row r="1138" spans="1:6" x14ac:dyDescent="0.15">
      <c r="A1138" t="s">
        <v>2215</v>
      </c>
      <c r="B1138" t="s">
        <v>2628</v>
      </c>
      <c r="C1138" t="s">
        <v>2629</v>
      </c>
      <c r="D1138" s="136" t="s">
        <v>2629</v>
      </c>
      <c r="E1138"/>
      <c r="F1138" s="136" t="s">
        <v>2195</v>
      </c>
    </row>
    <row r="1139" spans="1:6" x14ac:dyDescent="0.15">
      <c r="A1139" t="s">
        <v>2215</v>
      </c>
      <c r="B1139" t="s">
        <v>2630</v>
      </c>
      <c r="C1139" t="s">
        <v>2631</v>
      </c>
      <c r="D1139" s="136" t="s">
        <v>2631</v>
      </c>
      <c r="E1139"/>
      <c r="F1139" s="136" t="s">
        <v>2195</v>
      </c>
    </row>
    <row r="1140" spans="1:6" x14ac:dyDescent="0.15">
      <c r="A1140" t="s">
        <v>2215</v>
      </c>
      <c r="B1140" t="s">
        <v>2632</v>
      </c>
      <c r="C1140" t="s">
        <v>2633</v>
      </c>
      <c r="D1140" s="136" t="s">
        <v>2633</v>
      </c>
      <c r="E1140"/>
      <c r="F1140" s="136" t="s">
        <v>2195</v>
      </c>
    </row>
    <row r="1141" spans="1:6" x14ac:dyDescent="0.15">
      <c r="A1141" t="s">
        <v>2215</v>
      </c>
      <c r="B1141" t="s">
        <v>2634</v>
      </c>
      <c r="C1141" t="s">
        <v>2635</v>
      </c>
      <c r="D1141" s="136" t="s">
        <v>2635</v>
      </c>
      <c r="E1141"/>
      <c r="F1141" s="136" t="s">
        <v>2195</v>
      </c>
    </row>
    <row r="1142" spans="1:6" x14ac:dyDescent="0.15">
      <c r="A1142" t="s">
        <v>2215</v>
      </c>
      <c r="B1142" t="s">
        <v>2636</v>
      </c>
      <c r="C1142" t="s">
        <v>2637</v>
      </c>
      <c r="D1142" s="136" t="s">
        <v>2637</v>
      </c>
      <c r="E1142"/>
      <c r="F1142" s="136" t="s">
        <v>2195</v>
      </c>
    </row>
    <row r="1143" spans="1:6" x14ac:dyDescent="0.15">
      <c r="A1143" t="s">
        <v>2215</v>
      </c>
      <c r="B1143" t="s">
        <v>2638</v>
      </c>
      <c r="C1143" t="s">
        <v>2639</v>
      </c>
      <c r="D1143" s="136" t="s">
        <v>2639</v>
      </c>
      <c r="E1143"/>
      <c r="F1143" s="136" t="s">
        <v>2195</v>
      </c>
    </row>
    <row r="1144" spans="1:6" x14ac:dyDescent="0.15">
      <c r="A1144" t="s">
        <v>2215</v>
      </c>
      <c r="B1144" t="s">
        <v>2640</v>
      </c>
      <c r="C1144" t="s">
        <v>2641</v>
      </c>
      <c r="D1144" s="136" t="s">
        <v>2641</v>
      </c>
      <c r="E1144"/>
      <c r="F1144" s="136" t="s">
        <v>2195</v>
      </c>
    </row>
    <row r="1145" spans="1:6" x14ac:dyDescent="0.15">
      <c r="A1145" t="s">
        <v>2215</v>
      </c>
      <c r="B1145" t="s">
        <v>2642</v>
      </c>
      <c r="C1145" t="s">
        <v>2643</v>
      </c>
      <c r="D1145" s="136" t="s">
        <v>2643</v>
      </c>
      <c r="E1145"/>
      <c r="F1145" s="136" t="s">
        <v>2195</v>
      </c>
    </row>
    <row r="1146" spans="1:6" x14ac:dyDescent="0.15">
      <c r="A1146" t="s">
        <v>2215</v>
      </c>
      <c r="B1146" t="s">
        <v>2644</v>
      </c>
      <c r="C1146" t="s">
        <v>2645</v>
      </c>
      <c r="D1146" s="136" t="s">
        <v>2645</v>
      </c>
      <c r="E1146"/>
      <c r="F1146" s="136" t="s">
        <v>2195</v>
      </c>
    </row>
    <row r="1147" spans="1:6" x14ac:dyDescent="0.15">
      <c r="A1147" t="s">
        <v>2215</v>
      </c>
      <c r="B1147" t="s">
        <v>2646</v>
      </c>
      <c r="C1147" t="s">
        <v>2647</v>
      </c>
      <c r="D1147" s="136" t="s">
        <v>2647</v>
      </c>
      <c r="E1147"/>
      <c r="F1147" s="136" t="s">
        <v>2195</v>
      </c>
    </row>
    <row r="1148" spans="1:6" x14ac:dyDescent="0.15">
      <c r="A1148" t="s">
        <v>2215</v>
      </c>
      <c r="B1148" t="s">
        <v>2648</v>
      </c>
      <c r="C1148" t="s">
        <v>2649</v>
      </c>
      <c r="D1148" s="136" t="s">
        <v>2649</v>
      </c>
      <c r="E1148"/>
      <c r="F1148" s="136" t="s">
        <v>2195</v>
      </c>
    </row>
    <row r="1149" spans="1:6" x14ac:dyDescent="0.15">
      <c r="A1149" t="s">
        <v>2215</v>
      </c>
      <c r="B1149" t="s">
        <v>2650</v>
      </c>
      <c r="C1149" t="s">
        <v>2651</v>
      </c>
      <c r="D1149" s="136" t="s">
        <v>2651</v>
      </c>
      <c r="E1149"/>
      <c r="F1149" s="136" t="s">
        <v>2195</v>
      </c>
    </row>
    <row r="1150" spans="1:6" x14ac:dyDescent="0.15">
      <c r="A1150" t="s">
        <v>2215</v>
      </c>
      <c r="B1150" t="s">
        <v>2652</v>
      </c>
      <c r="C1150" t="s">
        <v>2653</v>
      </c>
      <c r="D1150" s="136" t="s">
        <v>2653</v>
      </c>
      <c r="E1150"/>
      <c r="F1150" s="136" t="s">
        <v>2195</v>
      </c>
    </row>
    <row r="1151" spans="1:6" x14ac:dyDescent="0.15">
      <c r="A1151" t="s">
        <v>2215</v>
      </c>
      <c r="B1151" t="s">
        <v>2654</v>
      </c>
      <c r="C1151" t="s">
        <v>2655</v>
      </c>
      <c r="D1151" s="136" t="s">
        <v>2655</v>
      </c>
      <c r="E1151"/>
      <c r="F1151" s="136" t="s">
        <v>2195</v>
      </c>
    </row>
    <row r="1152" spans="1:6" x14ac:dyDescent="0.15">
      <c r="A1152" t="s">
        <v>2215</v>
      </c>
      <c r="B1152" t="s">
        <v>2656</v>
      </c>
      <c r="C1152" t="s">
        <v>2657</v>
      </c>
      <c r="D1152" s="136" t="s">
        <v>2657</v>
      </c>
      <c r="E1152"/>
      <c r="F1152" s="136" t="s">
        <v>2195</v>
      </c>
    </row>
    <row r="1153" spans="1:6" x14ac:dyDescent="0.15">
      <c r="A1153" t="s">
        <v>2215</v>
      </c>
      <c r="B1153" t="s">
        <v>2658</v>
      </c>
      <c r="C1153" t="s">
        <v>2659</v>
      </c>
      <c r="D1153" s="136" t="s">
        <v>2659</v>
      </c>
      <c r="E1153"/>
      <c r="F1153" s="136" t="s">
        <v>2195</v>
      </c>
    </row>
    <row r="1154" spans="1:6" x14ac:dyDescent="0.15">
      <c r="A1154" t="s">
        <v>2215</v>
      </c>
      <c r="B1154" t="s">
        <v>2660</v>
      </c>
      <c r="C1154" t="s">
        <v>2661</v>
      </c>
      <c r="D1154" s="136" t="s">
        <v>2661</v>
      </c>
      <c r="E1154"/>
      <c r="F1154" s="136" t="s">
        <v>2195</v>
      </c>
    </row>
    <row r="1155" spans="1:6" x14ac:dyDescent="0.15">
      <c r="A1155" t="s">
        <v>2215</v>
      </c>
      <c r="B1155" t="s">
        <v>2662</v>
      </c>
      <c r="C1155" t="s">
        <v>2663</v>
      </c>
      <c r="D1155" s="136" t="s">
        <v>2663</v>
      </c>
      <c r="E1155"/>
      <c r="F1155" s="136" t="s">
        <v>2195</v>
      </c>
    </row>
    <row r="1156" spans="1:6" x14ac:dyDescent="0.15">
      <c r="A1156" t="s">
        <v>2215</v>
      </c>
      <c r="B1156" t="s">
        <v>2664</v>
      </c>
      <c r="C1156" t="s">
        <v>2665</v>
      </c>
      <c r="D1156" s="136" t="s">
        <v>2665</v>
      </c>
      <c r="E1156"/>
      <c r="F1156" s="136" t="s">
        <v>2195</v>
      </c>
    </row>
    <row r="1157" spans="1:6" x14ac:dyDescent="0.15">
      <c r="A1157" t="s">
        <v>2215</v>
      </c>
      <c r="B1157" t="s">
        <v>2666</v>
      </c>
      <c r="C1157" t="s">
        <v>2667</v>
      </c>
      <c r="D1157" s="136" t="s">
        <v>2667</v>
      </c>
      <c r="E1157"/>
      <c r="F1157" s="136" t="s">
        <v>2197</v>
      </c>
    </row>
    <row r="1158" spans="1:6" x14ac:dyDescent="0.15">
      <c r="A1158" t="s">
        <v>2215</v>
      </c>
      <c r="B1158" t="s">
        <v>2668</v>
      </c>
      <c r="C1158" t="s">
        <v>2669</v>
      </c>
      <c r="D1158" s="136" t="s">
        <v>2669</v>
      </c>
      <c r="E1158"/>
      <c r="F1158" s="136" t="s">
        <v>2197</v>
      </c>
    </row>
    <row r="1159" spans="1:6" x14ac:dyDescent="0.15">
      <c r="A1159" t="s">
        <v>2215</v>
      </c>
      <c r="B1159" t="s">
        <v>2670</v>
      </c>
      <c r="C1159" t="s">
        <v>2671</v>
      </c>
      <c r="D1159" s="136" t="s">
        <v>2671</v>
      </c>
      <c r="E1159"/>
      <c r="F1159" s="136" t="s">
        <v>2197</v>
      </c>
    </row>
    <row r="1160" spans="1:6" x14ac:dyDescent="0.15">
      <c r="A1160" t="s">
        <v>2215</v>
      </c>
      <c r="B1160" t="s">
        <v>2672</v>
      </c>
      <c r="C1160" t="s">
        <v>2673</v>
      </c>
      <c r="D1160" s="136" t="s">
        <v>2673</v>
      </c>
      <c r="E1160"/>
      <c r="F1160" s="136" t="s">
        <v>2197</v>
      </c>
    </row>
    <row r="1161" spans="1:6" x14ac:dyDescent="0.15">
      <c r="A1161" t="s">
        <v>2215</v>
      </c>
      <c r="B1161" t="s">
        <v>2674</v>
      </c>
      <c r="C1161" t="s">
        <v>2675</v>
      </c>
      <c r="D1161" s="136" t="s">
        <v>2675</v>
      </c>
      <c r="E1161"/>
      <c r="F1161" s="136" t="s">
        <v>2197</v>
      </c>
    </row>
    <row r="1162" spans="1:6" x14ac:dyDescent="0.15">
      <c r="A1162" t="s">
        <v>2215</v>
      </c>
      <c r="B1162" t="s">
        <v>2676</v>
      </c>
      <c r="C1162" t="s">
        <v>2677</v>
      </c>
      <c r="D1162" s="136" t="s">
        <v>2677</v>
      </c>
      <c r="E1162"/>
      <c r="F1162" s="136" t="s">
        <v>2197</v>
      </c>
    </row>
    <row r="1163" spans="1:6" x14ac:dyDescent="0.15">
      <c r="A1163" t="s">
        <v>2215</v>
      </c>
      <c r="B1163" t="s">
        <v>2678</v>
      </c>
      <c r="C1163" t="s">
        <v>2679</v>
      </c>
      <c r="D1163" s="136" t="s">
        <v>2679</v>
      </c>
      <c r="E1163"/>
      <c r="F1163" s="136" t="s">
        <v>2197</v>
      </c>
    </row>
    <row r="1164" spans="1:6" x14ac:dyDescent="0.15">
      <c r="A1164" t="s">
        <v>2215</v>
      </c>
      <c r="B1164" t="s">
        <v>2680</v>
      </c>
      <c r="C1164" t="s">
        <v>2681</v>
      </c>
      <c r="D1164" s="136" t="s">
        <v>2681</v>
      </c>
      <c r="E1164"/>
      <c r="F1164" s="136" t="s">
        <v>2197</v>
      </c>
    </row>
    <row r="1165" spans="1:6" x14ac:dyDescent="0.15">
      <c r="A1165" t="s">
        <v>2215</v>
      </c>
      <c r="B1165" t="s">
        <v>2682</v>
      </c>
      <c r="C1165" t="s">
        <v>2683</v>
      </c>
      <c r="D1165" s="136" t="s">
        <v>2683</v>
      </c>
      <c r="E1165"/>
      <c r="F1165" s="136" t="s">
        <v>2197</v>
      </c>
    </row>
    <row r="1166" spans="1:6" x14ac:dyDescent="0.15">
      <c r="A1166" t="s">
        <v>2215</v>
      </c>
      <c r="B1166" t="s">
        <v>2684</v>
      </c>
      <c r="C1166" t="s">
        <v>2685</v>
      </c>
      <c r="D1166" s="136" t="s">
        <v>2685</v>
      </c>
      <c r="E1166"/>
      <c r="F1166" s="136" t="s">
        <v>2197</v>
      </c>
    </row>
    <row r="1167" spans="1:6" x14ac:dyDescent="0.15">
      <c r="A1167" t="s">
        <v>2215</v>
      </c>
      <c r="B1167" t="s">
        <v>2686</v>
      </c>
      <c r="C1167" t="s">
        <v>2687</v>
      </c>
      <c r="D1167" s="136" t="s">
        <v>2687</v>
      </c>
      <c r="E1167"/>
      <c r="F1167" s="136" t="s">
        <v>2197</v>
      </c>
    </row>
    <row r="1168" spans="1:6" x14ac:dyDescent="0.15">
      <c r="A1168" t="s">
        <v>2215</v>
      </c>
      <c r="B1168" t="s">
        <v>2688</v>
      </c>
      <c r="C1168" t="s">
        <v>2689</v>
      </c>
      <c r="D1168" s="136" t="s">
        <v>2689</v>
      </c>
      <c r="E1168"/>
      <c r="F1168" s="136" t="s">
        <v>2197</v>
      </c>
    </row>
    <row r="1169" spans="1:6" x14ac:dyDescent="0.15">
      <c r="A1169" t="s">
        <v>2215</v>
      </c>
      <c r="B1169" t="s">
        <v>2690</v>
      </c>
      <c r="C1169" t="s">
        <v>2691</v>
      </c>
      <c r="D1169" s="136" t="s">
        <v>2691</v>
      </c>
      <c r="E1169"/>
      <c r="F1169" s="136" t="s">
        <v>2197</v>
      </c>
    </row>
    <row r="1170" spans="1:6" x14ac:dyDescent="0.15">
      <c r="A1170" t="s">
        <v>2215</v>
      </c>
      <c r="B1170" t="s">
        <v>2692</v>
      </c>
      <c r="C1170" t="s">
        <v>2693</v>
      </c>
      <c r="D1170" s="136" t="s">
        <v>2693</v>
      </c>
      <c r="E1170"/>
      <c r="F1170" s="136" t="s">
        <v>2197</v>
      </c>
    </row>
    <row r="1171" spans="1:6" x14ac:dyDescent="0.15">
      <c r="A1171" t="s">
        <v>2215</v>
      </c>
      <c r="B1171" t="s">
        <v>2694</v>
      </c>
      <c r="C1171" t="s">
        <v>2695</v>
      </c>
      <c r="D1171" s="136" t="s">
        <v>2695</v>
      </c>
      <c r="E1171"/>
      <c r="F1171" s="136" t="s">
        <v>2197</v>
      </c>
    </row>
    <row r="1172" spans="1:6" x14ac:dyDescent="0.15">
      <c r="A1172" t="s">
        <v>2215</v>
      </c>
      <c r="B1172" t="s">
        <v>2696</v>
      </c>
      <c r="C1172" t="s">
        <v>2697</v>
      </c>
      <c r="D1172" s="136" t="s">
        <v>2697</v>
      </c>
      <c r="E1172"/>
      <c r="F1172" s="136" t="s">
        <v>2197</v>
      </c>
    </row>
    <row r="1173" spans="1:6" x14ac:dyDescent="0.15">
      <c r="A1173" t="s">
        <v>2215</v>
      </c>
      <c r="B1173" t="s">
        <v>2698</v>
      </c>
      <c r="C1173" t="s">
        <v>2699</v>
      </c>
      <c r="D1173" s="136" t="s">
        <v>2699</v>
      </c>
      <c r="E1173"/>
      <c r="F1173" s="136" t="s">
        <v>2197</v>
      </c>
    </row>
    <row r="1174" spans="1:6" x14ac:dyDescent="0.15">
      <c r="A1174" t="s">
        <v>2215</v>
      </c>
      <c r="B1174" t="s">
        <v>2700</v>
      </c>
      <c r="C1174" t="s">
        <v>2701</v>
      </c>
      <c r="D1174" s="136" t="s">
        <v>2701</v>
      </c>
      <c r="E1174"/>
      <c r="F1174" s="136" t="s">
        <v>2197</v>
      </c>
    </row>
    <row r="1175" spans="1:6" x14ac:dyDescent="0.15">
      <c r="A1175" t="s">
        <v>2215</v>
      </c>
      <c r="B1175" t="s">
        <v>2702</v>
      </c>
      <c r="C1175" t="s">
        <v>2703</v>
      </c>
      <c r="D1175" s="136" t="s">
        <v>2703</v>
      </c>
      <c r="E1175"/>
      <c r="F1175" s="136" t="s">
        <v>2197</v>
      </c>
    </row>
    <row r="1176" spans="1:6" x14ac:dyDescent="0.15">
      <c r="A1176" t="s">
        <v>2215</v>
      </c>
      <c r="B1176" t="s">
        <v>2704</v>
      </c>
      <c r="C1176" t="s">
        <v>2705</v>
      </c>
      <c r="D1176" s="136" t="s">
        <v>2705</v>
      </c>
      <c r="E1176"/>
      <c r="F1176" s="136" t="s">
        <v>2197</v>
      </c>
    </row>
    <row r="1177" spans="1:6" x14ac:dyDescent="0.15">
      <c r="A1177" t="s">
        <v>2215</v>
      </c>
      <c r="B1177" t="s">
        <v>2706</v>
      </c>
      <c r="C1177" t="s">
        <v>2707</v>
      </c>
      <c r="D1177" s="136" t="s">
        <v>2707</v>
      </c>
      <c r="E1177"/>
      <c r="F1177" s="136" t="s">
        <v>2197</v>
      </c>
    </row>
    <row r="1178" spans="1:6" x14ac:dyDescent="0.15">
      <c r="A1178" t="s">
        <v>2215</v>
      </c>
      <c r="B1178" t="s">
        <v>2708</v>
      </c>
      <c r="C1178" t="s">
        <v>2709</v>
      </c>
      <c r="D1178" s="136" t="s">
        <v>2709</v>
      </c>
      <c r="E1178"/>
      <c r="F1178" s="136" t="s">
        <v>2199</v>
      </c>
    </row>
    <row r="1179" spans="1:6" x14ac:dyDescent="0.15">
      <c r="A1179" t="s">
        <v>2215</v>
      </c>
      <c r="B1179" t="s">
        <v>2710</v>
      </c>
      <c r="C1179" t="s">
        <v>2711</v>
      </c>
      <c r="D1179" s="136" t="s">
        <v>2711</v>
      </c>
      <c r="E1179"/>
      <c r="F1179" s="136" t="s">
        <v>2199</v>
      </c>
    </row>
    <row r="1180" spans="1:6" x14ac:dyDescent="0.15">
      <c r="A1180" t="s">
        <v>2215</v>
      </c>
      <c r="B1180" t="s">
        <v>2712</v>
      </c>
      <c r="C1180" t="s">
        <v>2713</v>
      </c>
      <c r="D1180" s="136" t="s">
        <v>2713</v>
      </c>
      <c r="E1180"/>
      <c r="F1180" s="136" t="s">
        <v>2199</v>
      </c>
    </row>
    <row r="1181" spans="1:6" x14ac:dyDescent="0.15">
      <c r="A1181" t="s">
        <v>2215</v>
      </c>
      <c r="B1181" t="s">
        <v>2714</v>
      </c>
      <c r="C1181" t="s">
        <v>2715</v>
      </c>
      <c r="D1181" s="136" t="s">
        <v>2715</v>
      </c>
      <c r="E1181"/>
      <c r="F1181" s="136" t="s">
        <v>2199</v>
      </c>
    </row>
    <row r="1182" spans="1:6" x14ac:dyDescent="0.15">
      <c r="A1182" t="s">
        <v>2215</v>
      </c>
      <c r="B1182" t="s">
        <v>2716</v>
      </c>
      <c r="C1182" t="s">
        <v>2717</v>
      </c>
      <c r="D1182" s="136" t="s">
        <v>2717</v>
      </c>
      <c r="E1182"/>
      <c r="F1182" s="136" t="s">
        <v>2199</v>
      </c>
    </row>
    <row r="1183" spans="1:6" x14ac:dyDescent="0.15">
      <c r="A1183" t="s">
        <v>2215</v>
      </c>
      <c r="B1183" t="s">
        <v>2718</v>
      </c>
      <c r="C1183" t="s">
        <v>2719</v>
      </c>
      <c r="D1183" s="136" t="s">
        <v>2719</v>
      </c>
      <c r="E1183"/>
      <c r="F1183" s="136" t="s">
        <v>2199</v>
      </c>
    </row>
    <row r="1184" spans="1:6" x14ac:dyDescent="0.15">
      <c r="A1184" t="s">
        <v>2215</v>
      </c>
      <c r="B1184" t="s">
        <v>2720</v>
      </c>
      <c r="C1184" t="s">
        <v>2721</v>
      </c>
      <c r="D1184" s="136" t="s">
        <v>2721</v>
      </c>
      <c r="E1184"/>
      <c r="F1184" s="136" t="s">
        <v>2199</v>
      </c>
    </row>
    <row r="1185" spans="1:6" x14ac:dyDescent="0.15">
      <c r="A1185" t="s">
        <v>2215</v>
      </c>
      <c r="B1185" t="s">
        <v>2722</v>
      </c>
      <c r="C1185" t="s">
        <v>2723</v>
      </c>
      <c r="D1185" s="136" t="s">
        <v>2723</v>
      </c>
      <c r="E1185"/>
      <c r="F1185" s="136" t="s">
        <v>2199</v>
      </c>
    </row>
    <row r="1186" spans="1:6" x14ac:dyDescent="0.15">
      <c r="A1186" t="s">
        <v>2215</v>
      </c>
      <c r="B1186" t="s">
        <v>2724</v>
      </c>
      <c r="C1186" t="s">
        <v>2725</v>
      </c>
      <c r="D1186" s="136" t="s">
        <v>2725</v>
      </c>
      <c r="E1186"/>
      <c r="F1186" s="136" t="s">
        <v>2201</v>
      </c>
    </row>
    <row r="1187" spans="1:6" x14ac:dyDescent="0.15">
      <c r="A1187" t="s">
        <v>2215</v>
      </c>
      <c r="B1187" t="s">
        <v>2726</v>
      </c>
      <c r="C1187" t="s">
        <v>2727</v>
      </c>
      <c r="D1187" s="136" t="s">
        <v>2727</v>
      </c>
      <c r="E1187"/>
      <c r="F1187" s="136" t="s">
        <v>2201</v>
      </c>
    </row>
    <row r="1188" spans="1:6" x14ac:dyDescent="0.15">
      <c r="A1188" t="s">
        <v>2215</v>
      </c>
      <c r="B1188" t="s">
        <v>2728</v>
      </c>
      <c r="C1188" t="s">
        <v>2729</v>
      </c>
      <c r="D1188" s="136" t="s">
        <v>2729</v>
      </c>
      <c r="E1188"/>
      <c r="F1188" s="136" t="s">
        <v>2201</v>
      </c>
    </row>
    <row r="1189" spans="1:6" x14ac:dyDescent="0.15">
      <c r="A1189" t="s">
        <v>2215</v>
      </c>
      <c r="B1189" t="s">
        <v>2730</v>
      </c>
      <c r="C1189" t="s">
        <v>2731</v>
      </c>
      <c r="D1189" s="136" t="s">
        <v>2731</v>
      </c>
      <c r="E1189"/>
      <c r="F1189" s="136" t="s">
        <v>2201</v>
      </c>
    </row>
    <row r="1190" spans="1:6" x14ac:dyDescent="0.15">
      <c r="A1190" t="s">
        <v>2215</v>
      </c>
      <c r="B1190" t="s">
        <v>2732</v>
      </c>
      <c r="C1190" t="s">
        <v>2733</v>
      </c>
      <c r="D1190" s="136" t="s">
        <v>2733</v>
      </c>
      <c r="E1190"/>
      <c r="F1190" s="136" t="s">
        <v>2201</v>
      </c>
    </row>
    <row r="1191" spans="1:6" x14ac:dyDescent="0.15">
      <c r="A1191" t="s">
        <v>2215</v>
      </c>
      <c r="B1191" t="s">
        <v>2734</v>
      </c>
      <c r="C1191" t="s">
        <v>2735</v>
      </c>
      <c r="D1191" s="136" t="s">
        <v>2735</v>
      </c>
      <c r="E1191"/>
      <c r="F1191" s="136" t="s">
        <v>2201</v>
      </c>
    </row>
    <row r="1192" spans="1:6" x14ac:dyDescent="0.15">
      <c r="A1192" t="s">
        <v>2215</v>
      </c>
      <c r="B1192" t="s">
        <v>2736</v>
      </c>
      <c r="C1192" t="s">
        <v>2737</v>
      </c>
      <c r="D1192" s="136" t="s">
        <v>2737</v>
      </c>
      <c r="E1192"/>
      <c r="F1192" s="136" t="s">
        <v>2201</v>
      </c>
    </row>
    <row r="1193" spans="1:6" x14ac:dyDescent="0.15">
      <c r="A1193" t="s">
        <v>2215</v>
      </c>
      <c r="B1193" t="s">
        <v>2738</v>
      </c>
      <c r="C1193" t="s">
        <v>2739</v>
      </c>
      <c r="D1193" s="136" t="s">
        <v>2739</v>
      </c>
      <c r="E1193"/>
      <c r="F1193" s="136" t="s">
        <v>2201</v>
      </c>
    </row>
    <row r="1194" spans="1:6" x14ac:dyDescent="0.15">
      <c r="A1194" t="s">
        <v>2215</v>
      </c>
      <c r="B1194" t="s">
        <v>2740</v>
      </c>
      <c r="C1194" t="s">
        <v>2741</v>
      </c>
      <c r="D1194" s="136" t="s">
        <v>2741</v>
      </c>
      <c r="E1194"/>
      <c r="F1194" s="136" t="s">
        <v>2201</v>
      </c>
    </row>
    <row r="1195" spans="1:6" x14ac:dyDescent="0.15">
      <c r="A1195" t="s">
        <v>2215</v>
      </c>
      <c r="B1195" t="s">
        <v>2742</v>
      </c>
      <c r="C1195" t="s">
        <v>2743</v>
      </c>
      <c r="D1195" s="136" t="s">
        <v>2743</v>
      </c>
      <c r="E1195"/>
      <c r="F1195" s="136" t="s">
        <v>2201</v>
      </c>
    </row>
    <row r="1196" spans="1:6" x14ac:dyDescent="0.15">
      <c r="A1196" t="s">
        <v>2215</v>
      </c>
      <c r="B1196" t="s">
        <v>2744</v>
      </c>
      <c r="C1196" t="s">
        <v>2745</v>
      </c>
      <c r="D1196" s="136" t="s">
        <v>2745</v>
      </c>
      <c r="E1196"/>
      <c r="F1196" s="136" t="s">
        <v>2201</v>
      </c>
    </row>
    <row r="1197" spans="1:6" x14ac:dyDescent="0.15">
      <c r="A1197" t="s">
        <v>2215</v>
      </c>
      <c r="B1197" t="s">
        <v>2746</v>
      </c>
      <c r="C1197" t="s">
        <v>2747</v>
      </c>
      <c r="D1197" s="136" t="s">
        <v>2747</v>
      </c>
      <c r="E1197"/>
      <c r="F1197" s="136" t="s">
        <v>2201</v>
      </c>
    </row>
    <row r="1198" spans="1:6" x14ac:dyDescent="0.15">
      <c r="A1198" t="s">
        <v>2215</v>
      </c>
      <c r="B1198" t="s">
        <v>2748</v>
      </c>
      <c r="C1198" t="s">
        <v>2749</v>
      </c>
      <c r="D1198" s="136" t="s">
        <v>2749</v>
      </c>
      <c r="E1198"/>
      <c r="F1198" s="136" t="s">
        <v>2201</v>
      </c>
    </row>
    <row r="1199" spans="1:6" x14ac:dyDescent="0.15">
      <c r="A1199" t="s">
        <v>2215</v>
      </c>
      <c r="B1199" t="s">
        <v>2750</v>
      </c>
      <c r="C1199" t="s">
        <v>2751</v>
      </c>
      <c r="D1199" s="136" t="s">
        <v>2751</v>
      </c>
      <c r="E1199"/>
      <c r="F1199" s="136" t="s">
        <v>2201</v>
      </c>
    </row>
    <row r="1200" spans="1:6" x14ac:dyDescent="0.15">
      <c r="A1200" t="s">
        <v>2215</v>
      </c>
      <c r="B1200" t="s">
        <v>2752</v>
      </c>
      <c r="C1200" t="s">
        <v>2753</v>
      </c>
      <c r="D1200" s="136" t="s">
        <v>2753</v>
      </c>
      <c r="E1200"/>
      <c r="F1200" s="136" t="s">
        <v>2201</v>
      </c>
    </row>
    <row r="1201" spans="1:6" x14ac:dyDescent="0.15">
      <c r="A1201" t="s">
        <v>2215</v>
      </c>
      <c r="B1201" t="s">
        <v>2754</v>
      </c>
      <c r="C1201" t="s">
        <v>2755</v>
      </c>
      <c r="D1201" s="136" t="s">
        <v>2755</v>
      </c>
      <c r="E1201"/>
      <c r="F1201" s="136" t="s">
        <v>2201</v>
      </c>
    </row>
    <row r="1202" spans="1:6" x14ac:dyDescent="0.15">
      <c r="A1202" t="s">
        <v>2215</v>
      </c>
      <c r="B1202" t="s">
        <v>2756</v>
      </c>
      <c r="C1202" t="s">
        <v>2757</v>
      </c>
      <c r="D1202" s="136" t="s">
        <v>2757</v>
      </c>
      <c r="E1202"/>
      <c r="F1202" s="136" t="s">
        <v>2201</v>
      </c>
    </row>
    <row r="1203" spans="1:6" x14ac:dyDescent="0.15">
      <c r="A1203" t="s">
        <v>2215</v>
      </c>
      <c r="B1203" t="s">
        <v>2758</v>
      </c>
      <c r="C1203" t="s">
        <v>2759</v>
      </c>
      <c r="D1203" s="136" t="s">
        <v>2759</v>
      </c>
      <c r="E1203"/>
      <c r="F1203" s="136" t="s">
        <v>2203</v>
      </c>
    </row>
    <row r="1204" spans="1:6" x14ac:dyDescent="0.15">
      <c r="A1204" t="s">
        <v>2215</v>
      </c>
      <c r="B1204" t="s">
        <v>2760</v>
      </c>
      <c r="C1204" t="s">
        <v>2347</v>
      </c>
      <c r="D1204" s="136" t="s">
        <v>2347</v>
      </c>
      <c r="E1204"/>
      <c r="F1204" s="136" t="s">
        <v>2203</v>
      </c>
    </row>
    <row r="1205" spans="1:6" x14ac:dyDescent="0.15">
      <c r="A1205" t="s">
        <v>2215</v>
      </c>
      <c r="B1205" t="s">
        <v>2761</v>
      </c>
      <c r="C1205" t="s">
        <v>2762</v>
      </c>
      <c r="D1205" s="136" t="s">
        <v>2762</v>
      </c>
      <c r="E1205"/>
      <c r="F1205" s="136" t="s">
        <v>2203</v>
      </c>
    </row>
    <row r="1206" spans="1:6" x14ac:dyDescent="0.15">
      <c r="A1206" t="s">
        <v>2215</v>
      </c>
      <c r="B1206" t="s">
        <v>2763</v>
      </c>
      <c r="C1206" t="s">
        <v>2764</v>
      </c>
      <c r="D1206" s="136" t="s">
        <v>2764</v>
      </c>
      <c r="E1206"/>
      <c r="F1206" s="136" t="s">
        <v>2203</v>
      </c>
    </row>
    <row r="1207" spans="1:6" x14ac:dyDescent="0.15">
      <c r="A1207" t="s">
        <v>2215</v>
      </c>
      <c r="B1207" t="s">
        <v>2765</v>
      </c>
      <c r="C1207" t="s">
        <v>2622</v>
      </c>
      <c r="D1207" s="136" t="s">
        <v>2622</v>
      </c>
      <c r="E1207"/>
      <c r="F1207" s="136" t="s">
        <v>2203</v>
      </c>
    </row>
    <row r="1208" spans="1:6" x14ac:dyDescent="0.15">
      <c r="A1208" t="s">
        <v>2215</v>
      </c>
      <c r="B1208" t="s">
        <v>2766</v>
      </c>
      <c r="C1208" t="s">
        <v>2767</v>
      </c>
      <c r="D1208" s="136" t="s">
        <v>2767</v>
      </c>
      <c r="E1208"/>
      <c r="F1208" s="136" t="s">
        <v>2203</v>
      </c>
    </row>
    <row r="1209" spans="1:6" x14ac:dyDescent="0.15">
      <c r="A1209" t="s">
        <v>2215</v>
      </c>
      <c r="B1209" t="s">
        <v>2768</v>
      </c>
      <c r="C1209" t="s">
        <v>2769</v>
      </c>
      <c r="D1209" s="136" t="s">
        <v>2769</v>
      </c>
      <c r="E1209"/>
      <c r="F1209" s="136" t="s">
        <v>2203</v>
      </c>
    </row>
    <row r="1210" spans="1:6" x14ac:dyDescent="0.15">
      <c r="A1210" t="s">
        <v>2215</v>
      </c>
      <c r="B1210" t="s">
        <v>2770</v>
      </c>
      <c r="C1210" t="s">
        <v>2771</v>
      </c>
      <c r="D1210" s="136" t="s">
        <v>2771</v>
      </c>
      <c r="E1210"/>
      <c r="F1210" s="136" t="s">
        <v>2203</v>
      </c>
    </row>
    <row r="1211" spans="1:6" x14ac:dyDescent="0.15">
      <c r="A1211" t="s">
        <v>2215</v>
      </c>
      <c r="B1211" t="s">
        <v>2772</v>
      </c>
      <c r="C1211" t="s">
        <v>2773</v>
      </c>
      <c r="D1211" s="136" t="s">
        <v>2773</v>
      </c>
      <c r="E1211"/>
      <c r="F1211" s="136" t="s">
        <v>2203</v>
      </c>
    </row>
    <row r="1212" spans="1:6" x14ac:dyDescent="0.15">
      <c r="A1212" t="s">
        <v>2215</v>
      </c>
      <c r="B1212" t="s">
        <v>2774</v>
      </c>
      <c r="C1212" t="s">
        <v>2775</v>
      </c>
      <c r="D1212" s="136" t="s">
        <v>2775</v>
      </c>
      <c r="E1212"/>
      <c r="F1212" s="136" t="s">
        <v>2203</v>
      </c>
    </row>
    <row r="1213" spans="1:6" x14ac:dyDescent="0.15">
      <c r="A1213" t="s">
        <v>2215</v>
      </c>
      <c r="B1213" t="s">
        <v>2776</v>
      </c>
      <c r="C1213" t="s">
        <v>2777</v>
      </c>
      <c r="D1213" s="136" t="s">
        <v>2777</v>
      </c>
      <c r="E1213"/>
      <c r="F1213" s="136" t="s">
        <v>2203</v>
      </c>
    </row>
    <row r="1214" spans="1:6" x14ac:dyDescent="0.15">
      <c r="A1214" t="s">
        <v>2215</v>
      </c>
      <c r="B1214" t="s">
        <v>2778</v>
      </c>
      <c r="C1214" t="s">
        <v>2779</v>
      </c>
      <c r="D1214" s="136" t="s">
        <v>2779</v>
      </c>
      <c r="E1214"/>
      <c r="F1214" s="136" t="s">
        <v>2203</v>
      </c>
    </row>
    <row r="1215" spans="1:6" x14ac:dyDescent="0.15">
      <c r="A1215" t="s">
        <v>2215</v>
      </c>
      <c r="B1215" t="s">
        <v>2780</v>
      </c>
      <c r="C1215" t="s">
        <v>2781</v>
      </c>
      <c r="D1215" s="136" t="s">
        <v>2781</v>
      </c>
      <c r="E1215"/>
      <c r="F1215" s="136" t="s">
        <v>2203</v>
      </c>
    </row>
    <row r="1216" spans="1:6" x14ac:dyDescent="0.15">
      <c r="A1216" t="s">
        <v>2215</v>
      </c>
      <c r="B1216" t="s">
        <v>2782</v>
      </c>
      <c r="C1216" t="s">
        <v>2783</v>
      </c>
      <c r="D1216" s="136" t="s">
        <v>2783</v>
      </c>
      <c r="E1216"/>
      <c r="F1216" s="136" t="s">
        <v>2203</v>
      </c>
    </row>
    <row r="1217" spans="1:6" x14ac:dyDescent="0.15">
      <c r="A1217" t="s">
        <v>2215</v>
      </c>
      <c r="B1217" t="s">
        <v>2784</v>
      </c>
      <c r="C1217" t="s">
        <v>2785</v>
      </c>
      <c r="D1217" s="136" t="s">
        <v>2785</v>
      </c>
      <c r="E1217"/>
      <c r="F1217" s="136" t="s">
        <v>2205</v>
      </c>
    </row>
    <row r="1218" spans="1:6" x14ac:dyDescent="0.15">
      <c r="A1218" t="s">
        <v>2215</v>
      </c>
      <c r="B1218" t="s">
        <v>2786</v>
      </c>
      <c r="C1218" t="s">
        <v>2787</v>
      </c>
      <c r="D1218" s="136" t="s">
        <v>2787</v>
      </c>
      <c r="E1218"/>
      <c r="F1218" s="136" t="s">
        <v>2205</v>
      </c>
    </row>
    <row r="1219" spans="1:6" x14ac:dyDescent="0.15">
      <c r="A1219" t="s">
        <v>2215</v>
      </c>
      <c r="B1219" t="s">
        <v>2788</v>
      </c>
      <c r="C1219" t="s">
        <v>2789</v>
      </c>
      <c r="D1219" s="136" t="s">
        <v>2789</v>
      </c>
      <c r="E1219"/>
      <c r="F1219" s="136" t="s">
        <v>2205</v>
      </c>
    </row>
    <row r="1220" spans="1:6" x14ac:dyDescent="0.15">
      <c r="A1220" t="s">
        <v>2215</v>
      </c>
      <c r="B1220" t="s">
        <v>2790</v>
      </c>
      <c r="C1220" t="s">
        <v>2791</v>
      </c>
      <c r="D1220" s="136" t="s">
        <v>2791</v>
      </c>
      <c r="E1220"/>
      <c r="F1220" s="136" t="s">
        <v>2205</v>
      </c>
    </row>
    <row r="1221" spans="1:6" x14ac:dyDescent="0.15">
      <c r="A1221" t="s">
        <v>2215</v>
      </c>
      <c r="B1221" t="s">
        <v>2792</v>
      </c>
      <c r="C1221" t="s">
        <v>2793</v>
      </c>
      <c r="D1221" s="136" t="s">
        <v>2793</v>
      </c>
      <c r="E1221"/>
      <c r="F1221" s="136" t="s">
        <v>2205</v>
      </c>
    </row>
    <row r="1222" spans="1:6" x14ac:dyDescent="0.15">
      <c r="A1222" t="s">
        <v>2215</v>
      </c>
      <c r="B1222" t="s">
        <v>2794</v>
      </c>
      <c r="C1222" t="s">
        <v>2208</v>
      </c>
      <c r="D1222" s="136" t="s">
        <v>2208</v>
      </c>
      <c r="E1222"/>
      <c r="F1222" s="136" t="s">
        <v>2207</v>
      </c>
    </row>
    <row r="1223" spans="1:6" x14ac:dyDescent="0.15">
      <c r="A1223" t="s">
        <v>2215</v>
      </c>
      <c r="B1223" t="s">
        <v>2795</v>
      </c>
      <c r="C1223" t="s">
        <v>2796</v>
      </c>
      <c r="D1223" s="136" t="s">
        <v>2796</v>
      </c>
      <c r="E1223"/>
      <c r="F1223" s="136" t="s">
        <v>2207</v>
      </c>
    </row>
    <row r="1224" spans="1:6" x14ac:dyDescent="0.15">
      <c r="A1224" t="s">
        <v>2215</v>
      </c>
      <c r="B1224" t="s">
        <v>2797</v>
      </c>
      <c r="C1224" t="s">
        <v>2798</v>
      </c>
      <c r="D1224" s="136" t="s">
        <v>2798</v>
      </c>
      <c r="E1224"/>
      <c r="F1224" s="136" t="s">
        <v>2207</v>
      </c>
    </row>
    <row r="1225" spans="1:6" x14ac:dyDescent="0.15">
      <c r="A1225" t="s">
        <v>2215</v>
      </c>
      <c r="B1225" t="s">
        <v>2799</v>
      </c>
      <c r="C1225" t="s">
        <v>2800</v>
      </c>
      <c r="D1225" s="136" t="s">
        <v>2800</v>
      </c>
      <c r="E1225"/>
      <c r="F1225" s="136" t="s">
        <v>2207</v>
      </c>
    </row>
    <row r="1226" spans="1:6" x14ac:dyDescent="0.15">
      <c r="A1226" t="s">
        <v>2215</v>
      </c>
      <c r="B1226" t="s">
        <v>2801</v>
      </c>
      <c r="C1226" t="s">
        <v>2802</v>
      </c>
      <c r="D1226" s="136" t="s">
        <v>2802</v>
      </c>
      <c r="E1226"/>
      <c r="F1226" s="136" t="s">
        <v>2207</v>
      </c>
    </row>
    <row r="1227" spans="1:6" x14ac:dyDescent="0.15">
      <c r="A1227" t="s">
        <v>2215</v>
      </c>
      <c r="B1227" t="s">
        <v>2803</v>
      </c>
      <c r="C1227" t="s">
        <v>2804</v>
      </c>
      <c r="D1227" s="136" t="s">
        <v>2804</v>
      </c>
      <c r="E1227"/>
      <c r="F1227" s="136" t="s">
        <v>2207</v>
      </c>
    </row>
    <row r="1228" spans="1:6" x14ac:dyDescent="0.15">
      <c r="A1228" t="s">
        <v>2215</v>
      </c>
      <c r="B1228" t="s">
        <v>2805</v>
      </c>
      <c r="C1228" t="s">
        <v>2806</v>
      </c>
      <c r="D1228" s="136" t="s">
        <v>2806</v>
      </c>
      <c r="E1228"/>
      <c r="F1228" s="136" t="s">
        <v>2207</v>
      </c>
    </row>
    <row r="1229" spans="1:6" x14ac:dyDescent="0.15">
      <c r="A1229" t="s">
        <v>2215</v>
      </c>
      <c r="B1229" t="s">
        <v>2807</v>
      </c>
      <c r="C1229" t="s">
        <v>2808</v>
      </c>
      <c r="D1229" s="136" t="s">
        <v>2808</v>
      </c>
      <c r="E1229"/>
      <c r="F1229" s="136" t="s">
        <v>2207</v>
      </c>
    </row>
    <row r="1230" spans="1:6" x14ac:dyDescent="0.15">
      <c r="A1230" t="s">
        <v>2215</v>
      </c>
      <c r="B1230" t="s">
        <v>2809</v>
      </c>
      <c r="C1230" t="s">
        <v>2810</v>
      </c>
      <c r="D1230" s="136" t="s">
        <v>2810</v>
      </c>
      <c r="E1230"/>
      <c r="F1230" s="136" t="s">
        <v>2207</v>
      </c>
    </row>
    <row r="1231" spans="1:6" x14ac:dyDescent="0.15">
      <c r="A1231" t="s">
        <v>2215</v>
      </c>
      <c r="B1231" t="s">
        <v>2811</v>
      </c>
      <c r="C1231" t="s">
        <v>2812</v>
      </c>
      <c r="D1231" s="136" t="s">
        <v>2812</v>
      </c>
      <c r="E1231"/>
      <c r="F1231" s="136" t="s">
        <v>2207</v>
      </c>
    </row>
    <row r="1232" spans="1:6" x14ac:dyDescent="0.15">
      <c r="A1232" t="s">
        <v>2215</v>
      </c>
      <c r="B1232" t="s">
        <v>2813</v>
      </c>
      <c r="C1232" t="s">
        <v>2814</v>
      </c>
      <c r="D1232" s="136" t="s">
        <v>2814</v>
      </c>
      <c r="E1232"/>
      <c r="F1232" s="136" t="s">
        <v>2207</v>
      </c>
    </row>
    <row r="1233" spans="1:6" x14ac:dyDescent="0.15">
      <c r="A1233" t="s">
        <v>2215</v>
      </c>
      <c r="B1233" t="s">
        <v>2815</v>
      </c>
      <c r="C1233" t="s">
        <v>2210</v>
      </c>
      <c r="D1233" s="136" t="s">
        <v>2210</v>
      </c>
      <c r="E1233"/>
      <c r="F1233" s="136" t="s">
        <v>2209</v>
      </c>
    </row>
    <row r="1234" spans="1:6" x14ac:dyDescent="0.15">
      <c r="A1234" t="s">
        <v>2215</v>
      </c>
      <c r="B1234" t="s">
        <v>2816</v>
      </c>
      <c r="C1234" t="s">
        <v>2817</v>
      </c>
      <c r="D1234" s="136" t="s">
        <v>2817</v>
      </c>
      <c r="E1234"/>
      <c r="F1234" s="136" t="s">
        <v>2209</v>
      </c>
    </row>
    <row r="1235" spans="1:6" x14ac:dyDescent="0.15">
      <c r="A1235" t="s">
        <v>2215</v>
      </c>
      <c r="B1235" t="s">
        <v>2818</v>
      </c>
      <c r="C1235" t="s">
        <v>2819</v>
      </c>
      <c r="D1235" s="136" t="s">
        <v>2819</v>
      </c>
      <c r="E1235"/>
      <c r="F1235" s="136" t="s">
        <v>2209</v>
      </c>
    </row>
    <row r="1236" spans="1:6" x14ac:dyDescent="0.15">
      <c r="A1236" t="s">
        <v>2215</v>
      </c>
      <c r="B1236" t="s">
        <v>2820</v>
      </c>
      <c r="C1236" t="s">
        <v>2821</v>
      </c>
      <c r="D1236" s="136" t="s">
        <v>2821</v>
      </c>
      <c r="E1236"/>
      <c r="F1236" s="136" t="s">
        <v>2209</v>
      </c>
    </row>
    <row r="1237" spans="1:6" x14ac:dyDescent="0.15">
      <c r="A1237" t="s">
        <v>2215</v>
      </c>
      <c r="B1237" t="s">
        <v>2822</v>
      </c>
      <c r="C1237" t="s">
        <v>2823</v>
      </c>
      <c r="D1237" s="136" t="s">
        <v>2823</v>
      </c>
      <c r="E1237"/>
      <c r="F1237" s="136" t="s">
        <v>2209</v>
      </c>
    </row>
    <row r="1238" spans="1:6" x14ac:dyDescent="0.15">
      <c r="A1238" t="s">
        <v>2215</v>
      </c>
      <c r="B1238" t="s">
        <v>2824</v>
      </c>
      <c r="C1238" t="s">
        <v>2825</v>
      </c>
      <c r="D1238" s="136" t="s">
        <v>2825</v>
      </c>
      <c r="E1238"/>
      <c r="F1238" s="136" t="s">
        <v>2209</v>
      </c>
    </row>
    <row r="1239" spans="1:6" x14ac:dyDescent="0.15">
      <c r="A1239" t="s">
        <v>2215</v>
      </c>
      <c r="B1239" t="s">
        <v>2826</v>
      </c>
      <c r="C1239" t="s">
        <v>2827</v>
      </c>
      <c r="D1239" s="136" t="s">
        <v>2827</v>
      </c>
      <c r="E1239"/>
      <c r="F1239" s="136" t="s">
        <v>2209</v>
      </c>
    </row>
    <row r="1240" spans="1:6" x14ac:dyDescent="0.15">
      <c r="A1240" t="s">
        <v>2215</v>
      </c>
      <c r="B1240" t="s">
        <v>2828</v>
      </c>
      <c r="C1240" t="s">
        <v>2829</v>
      </c>
      <c r="D1240" s="136" t="s">
        <v>2829</v>
      </c>
      <c r="E1240"/>
      <c r="F1240" s="136" t="s">
        <v>2209</v>
      </c>
    </row>
    <row r="1241" spans="1:6" x14ac:dyDescent="0.15">
      <c r="A1241" t="s">
        <v>2215</v>
      </c>
      <c r="B1241" t="s">
        <v>2830</v>
      </c>
      <c r="C1241" t="s">
        <v>2831</v>
      </c>
      <c r="D1241" s="136" t="s">
        <v>2831</v>
      </c>
      <c r="E1241"/>
      <c r="F1241" s="136" t="s">
        <v>2209</v>
      </c>
    </row>
    <row r="1242" spans="1:6" x14ac:dyDescent="0.15">
      <c r="A1242" t="s">
        <v>2215</v>
      </c>
      <c r="B1242" t="s">
        <v>2832</v>
      </c>
      <c r="C1242" t="s">
        <v>2833</v>
      </c>
      <c r="D1242" s="136" t="s">
        <v>2833</v>
      </c>
      <c r="E1242"/>
      <c r="F1242" s="136" t="s">
        <v>2209</v>
      </c>
    </row>
    <row r="1243" spans="1:6" x14ac:dyDescent="0.15">
      <c r="A1243" t="s">
        <v>2215</v>
      </c>
      <c r="B1243" t="s">
        <v>2834</v>
      </c>
      <c r="C1243" t="s">
        <v>2835</v>
      </c>
      <c r="D1243" s="136" t="s">
        <v>2835</v>
      </c>
      <c r="E1243"/>
      <c r="F1243" s="136" t="s">
        <v>2209</v>
      </c>
    </row>
    <row r="1244" spans="1:6" x14ac:dyDescent="0.15">
      <c r="A1244" t="s">
        <v>2215</v>
      </c>
      <c r="B1244" t="s">
        <v>2836</v>
      </c>
      <c r="C1244" t="s">
        <v>2212</v>
      </c>
      <c r="D1244" s="136" t="s">
        <v>2212</v>
      </c>
      <c r="E1244"/>
      <c r="F1244" s="136" t="s">
        <v>2211</v>
      </c>
    </row>
    <row r="1245" spans="1:6" x14ac:dyDescent="0.15">
      <c r="A1245" t="s">
        <v>2215</v>
      </c>
      <c r="B1245" t="s">
        <v>2837</v>
      </c>
      <c r="C1245" t="s">
        <v>2838</v>
      </c>
      <c r="D1245" s="136" t="s">
        <v>2838</v>
      </c>
      <c r="E1245"/>
      <c r="F1245" s="136" t="s">
        <v>2211</v>
      </c>
    </row>
    <row r="1246" spans="1:6" x14ac:dyDescent="0.15">
      <c r="A1246" t="s">
        <v>2215</v>
      </c>
      <c r="B1246" t="s">
        <v>2839</v>
      </c>
      <c r="C1246" t="s">
        <v>2840</v>
      </c>
      <c r="D1246" s="136" t="s">
        <v>2840</v>
      </c>
      <c r="E1246"/>
      <c r="F1246" s="136" t="s">
        <v>2211</v>
      </c>
    </row>
    <row r="1247" spans="1:6" x14ac:dyDescent="0.15">
      <c r="A1247" t="s">
        <v>2215</v>
      </c>
      <c r="B1247" t="s">
        <v>2841</v>
      </c>
      <c r="C1247" t="s">
        <v>2842</v>
      </c>
      <c r="D1247" s="136" t="s">
        <v>2842</v>
      </c>
      <c r="E1247"/>
      <c r="F1247" s="136" t="s">
        <v>2211</v>
      </c>
    </row>
    <row r="1248" spans="1:6" x14ac:dyDescent="0.15">
      <c r="A1248" t="s">
        <v>2215</v>
      </c>
      <c r="B1248" t="s">
        <v>2843</v>
      </c>
      <c r="C1248" t="s">
        <v>2844</v>
      </c>
      <c r="D1248" s="136" t="s">
        <v>2844</v>
      </c>
      <c r="E1248"/>
      <c r="F1248" s="136" t="s">
        <v>2211</v>
      </c>
    </row>
    <row r="1249" spans="1:6" x14ac:dyDescent="0.15">
      <c r="A1249" t="s">
        <v>2215</v>
      </c>
      <c r="B1249" t="s">
        <v>2845</v>
      </c>
      <c r="C1249" t="s">
        <v>2846</v>
      </c>
      <c r="D1249" s="136" t="s">
        <v>2846</v>
      </c>
      <c r="E1249"/>
      <c r="F1249" s="136" t="s">
        <v>2211</v>
      </c>
    </row>
    <row r="1250" spans="1:6" x14ac:dyDescent="0.15">
      <c r="A1250" t="s">
        <v>2215</v>
      </c>
      <c r="B1250" t="s">
        <v>2847</v>
      </c>
      <c r="C1250" t="s">
        <v>2848</v>
      </c>
      <c r="D1250" s="136" t="s">
        <v>2848</v>
      </c>
      <c r="E1250"/>
      <c r="F1250" s="136" t="s">
        <v>2211</v>
      </c>
    </row>
    <row r="1251" spans="1:6" x14ac:dyDescent="0.15">
      <c r="A1251" t="s">
        <v>2215</v>
      </c>
      <c r="B1251" t="s">
        <v>2849</v>
      </c>
      <c r="C1251" t="s">
        <v>2214</v>
      </c>
      <c r="D1251" s="136" t="s">
        <v>2214</v>
      </c>
      <c r="E1251"/>
      <c r="F1251" s="136" t="s">
        <v>2213</v>
      </c>
    </row>
    <row r="1252" spans="1:6" x14ac:dyDescent="0.15">
      <c r="A1252" t="s">
        <v>2215</v>
      </c>
      <c r="B1252" t="s">
        <v>2850</v>
      </c>
      <c r="C1252" t="s">
        <v>2174</v>
      </c>
      <c r="D1252" s="136" t="s">
        <v>2174</v>
      </c>
      <c r="E1252"/>
      <c r="F1252" s="136" t="s">
        <v>2213</v>
      </c>
    </row>
    <row r="1253" spans="1:6" x14ac:dyDescent="0.15">
      <c r="A1253" t="s">
        <v>2215</v>
      </c>
      <c r="B1253" t="s">
        <v>2851</v>
      </c>
      <c r="C1253" t="s">
        <v>2852</v>
      </c>
      <c r="D1253" s="136" t="s">
        <v>2852</v>
      </c>
      <c r="E1253"/>
      <c r="F1253" s="136" t="s">
        <v>2213</v>
      </c>
    </row>
    <row r="1254" spans="1:6" x14ac:dyDescent="0.15">
      <c r="A1254" t="s">
        <v>2215</v>
      </c>
      <c r="B1254" t="s">
        <v>2853</v>
      </c>
      <c r="C1254" t="s">
        <v>2854</v>
      </c>
      <c r="D1254" s="136" t="s">
        <v>2854</v>
      </c>
      <c r="E1254"/>
      <c r="F1254" s="136" t="s">
        <v>2213</v>
      </c>
    </row>
    <row r="1255" spans="1:6" x14ac:dyDescent="0.15">
      <c r="A1255" t="s">
        <v>2215</v>
      </c>
      <c r="B1255" t="s">
        <v>2855</v>
      </c>
      <c r="C1255" t="s">
        <v>2856</v>
      </c>
      <c r="D1255" s="136" t="s">
        <v>2856</v>
      </c>
      <c r="E1255"/>
      <c r="F1255" s="136" t="s">
        <v>2213</v>
      </c>
    </row>
    <row r="1256" spans="1:6" x14ac:dyDescent="0.15">
      <c r="A1256" t="s">
        <v>2215</v>
      </c>
      <c r="B1256" t="s">
        <v>2857</v>
      </c>
      <c r="C1256" t="s">
        <v>2858</v>
      </c>
      <c r="D1256" s="136" t="s">
        <v>2858</v>
      </c>
      <c r="E1256"/>
      <c r="F1256" s="136" t="s">
        <v>2213</v>
      </c>
    </row>
    <row r="1257" spans="1:6" x14ac:dyDescent="0.15">
      <c r="A1257" t="s">
        <v>2215</v>
      </c>
      <c r="B1257" t="s">
        <v>2859</v>
      </c>
      <c r="C1257" t="s">
        <v>2860</v>
      </c>
      <c r="D1257" s="136" t="s">
        <v>2860</v>
      </c>
      <c r="E1257"/>
      <c r="F1257" s="136" t="s">
        <v>2213</v>
      </c>
    </row>
    <row r="1258" spans="1:6" x14ac:dyDescent="0.15">
      <c r="A1258" t="s">
        <v>2215</v>
      </c>
      <c r="B1258" t="s">
        <v>2861</v>
      </c>
      <c r="C1258" t="s">
        <v>2862</v>
      </c>
      <c r="D1258" s="136" t="s">
        <v>2862</v>
      </c>
      <c r="E1258"/>
      <c r="F1258" s="136" t="s">
        <v>2213</v>
      </c>
    </row>
    <row r="1259" spans="1:6" x14ac:dyDescent="0.15">
      <c r="A1259" t="s">
        <v>2215</v>
      </c>
      <c r="B1259" t="s">
        <v>2863</v>
      </c>
      <c r="C1259" t="s">
        <v>2864</v>
      </c>
      <c r="D1259" s="136" t="s">
        <v>2864</v>
      </c>
      <c r="E1259"/>
      <c r="F1259" s="136" t="s">
        <v>2213</v>
      </c>
    </row>
    <row r="1260" spans="1:6" x14ac:dyDescent="0.15">
      <c r="A1260" t="s">
        <v>2215</v>
      </c>
      <c r="B1260" t="s">
        <v>2865</v>
      </c>
      <c r="C1260" t="s">
        <v>2866</v>
      </c>
      <c r="D1260" s="136" t="s">
        <v>2866</v>
      </c>
      <c r="E1260"/>
      <c r="F1260" s="136" t="s">
        <v>2213</v>
      </c>
    </row>
    <row r="1261" spans="1:6" x14ac:dyDescent="0.15">
      <c r="A1261" t="s">
        <v>2215</v>
      </c>
      <c r="B1261" t="s">
        <v>2867</v>
      </c>
      <c r="C1261" t="s">
        <v>2868</v>
      </c>
      <c r="D1261" s="136" t="s">
        <v>2868</v>
      </c>
      <c r="E1261"/>
      <c r="F1261" s="136" t="s">
        <v>2213</v>
      </c>
    </row>
    <row r="1262" spans="1:6" x14ac:dyDescent="0.15">
      <c r="A1262" t="s">
        <v>2215</v>
      </c>
      <c r="B1262" t="s">
        <v>2869</v>
      </c>
      <c r="C1262" t="s">
        <v>2870</v>
      </c>
      <c r="D1262" s="136" t="s">
        <v>2870</v>
      </c>
      <c r="E1262"/>
      <c r="F1262" s="136" t="s">
        <v>2213</v>
      </c>
    </row>
    <row r="1263" spans="1:6" x14ac:dyDescent="0.15">
      <c r="A1263" t="s">
        <v>2215</v>
      </c>
      <c r="B1263" t="s">
        <v>2871</v>
      </c>
      <c r="C1263" t="s">
        <v>2872</v>
      </c>
      <c r="D1263" s="136" t="s">
        <v>2872</v>
      </c>
      <c r="E1263"/>
      <c r="F1263" s="136" t="s">
        <v>2213</v>
      </c>
    </row>
    <row r="1264" spans="1:6" x14ac:dyDescent="0.15">
      <c r="A1264" t="s">
        <v>2215</v>
      </c>
      <c r="B1264" t="s">
        <v>2873</v>
      </c>
      <c r="C1264" t="s">
        <v>2874</v>
      </c>
      <c r="D1264" s="136" t="s">
        <v>2874</v>
      </c>
      <c r="E1264"/>
      <c r="F1264" s="136" t="s">
        <v>2213</v>
      </c>
    </row>
    <row r="1265" spans="1:6" x14ac:dyDescent="0.15">
      <c r="A1265" t="s">
        <v>2215</v>
      </c>
      <c r="B1265" t="s">
        <v>2875</v>
      </c>
      <c r="C1265" t="s">
        <v>2876</v>
      </c>
      <c r="D1265" s="136" t="s">
        <v>2876</v>
      </c>
      <c r="E1265"/>
      <c r="F1265" s="136" t="s">
        <v>2213</v>
      </c>
    </row>
    <row r="1266" spans="1:6" x14ac:dyDescent="0.15">
      <c r="A1266" t="s">
        <v>2215</v>
      </c>
      <c r="B1266" t="s">
        <v>2877</v>
      </c>
      <c r="C1266" t="s">
        <v>2878</v>
      </c>
      <c r="D1266" s="136" t="s">
        <v>2878</v>
      </c>
      <c r="E1266"/>
      <c r="F1266" s="136" t="s">
        <v>2213</v>
      </c>
    </row>
    <row r="1267" spans="1:6" x14ac:dyDescent="0.15">
      <c r="A1267" t="s">
        <v>2215</v>
      </c>
      <c r="B1267" t="s">
        <v>2879</v>
      </c>
      <c r="C1267" t="s">
        <v>2880</v>
      </c>
      <c r="D1267" s="136" t="s">
        <v>2880</v>
      </c>
      <c r="E1267"/>
      <c r="F1267" s="136" t="s">
        <v>2213</v>
      </c>
    </row>
  </sheetData>
  <sheetProtection algorithmName="SHA-512" hashValue="a63OAzt+Z0+I5o1maTnUgYDVlgOF657q+dlfMIQRNKmR1mYv8398eDefJGFcp8h7nLyaKIsmraTmTvTWVX7nPg==" saltValue="kfomscuK7G2bk3Rs/J7nPw==" spinCount="100000" sheet="1" formatCells="0" formatColumns="0" formatRows="0" insertColumns="0" insertRows="0" deleteColumns="0" deleteRows="0"/>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120" zoomScaleNormal="120" workbookViewId="0"/>
  </sheetViews>
  <sheetFormatPr baseColWidth="10" defaultColWidth="8.83203125" defaultRowHeight="13" x14ac:dyDescent="0.15"/>
  <cols>
    <col min="1" max="4" width="28.1640625" style="136" customWidth="1"/>
  </cols>
  <sheetData>
    <row r="1" spans="1:4" ht="15" customHeight="1" x14ac:dyDescent="0.2">
      <c r="A1" s="139" t="s">
        <v>2881</v>
      </c>
      <c r="B1" s="139" t="s">
        <v>2882</v>
      </c>
      <c r="C1" s="139" t="s">
        <v>2883</v>
      </c>
      <c r="D1" s="139" t="s">
        <v>2884</v>
      </c>
    </row>
    <row r="2" spans="1:4" x14ac:dyDescent="0.15">
      <c r="A2" s="136" t="s">
        <v>2885</v>
      </c>
      <c r="B2" s="146" t="s">
        <v>2886</v>
      </c>
      <c r="C2" s="136" t="s">
        <v>42</v>
      </c>
      <c r="D2" s="136" t="s">
        <v>2887</v>
      </c>
    </row>
  </sheetData>
  <sheetProtection algorithmName="SHA-512" hashValue="4zGZOFKtj0cm/SvWCXrhB5fiMv/u61q4GXGviRoahpIDhbiiqxvUjZeb4U5kpGOzrouF90KMwiGUsH1RzOm5qQ==" saltValue="mZgYSjWvoYG9Hsk+mjH7Vg==" spinCount="100000" sheet="1" formatCells="0"/>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94"/>
  <sheetViews>
    <sheetView zoomScale="120" zoomScaleNormal="120" workbookViewId="0"/>
  </sheetViews>
  <sheetFormatPr baseColWidth="10" defaultColWidth="10.83203125" defaultRowHeight="15" x14ac:dyDescent="0.15"/>
  <cols>
    <col min="1" max="2" width="10.83203125" style="161" customWidth="1"/>
    <col min="3" max="3" width="15.1640625" style="162" customWidth="1"/>
    <col min="4" max="4" width="10.83203125" style="163" customWidth="1"/>
    <col min="5" max="5" width="28.6640625" style="164" customWidth="1"/>
    <col min="6" max="6" width="38.83203125" style="164" customWidth="1"/>
  </cols>
  <sheetData>
    <row r="2" spans="2:6" x14ac:dyDescent="0.15">
      <c r="C2" s="165"/>
      <c r="D2" s="166"/>
      <c r="E2" s="167"/>
      <c r="F2" s="167"/>
    </row>
    <row r="3" spans="2:6" ht="32" customHeight="1" x14ac:dyDescent="0.15">
      <c r="B3" s="168"/>
      <c r="C3" s="169" t="s">
        <v>2888</v>
      </c>
      <c r="D3" s="170" t="s">
        <v>2889</v>
      </c>
      <c r="E3" s="171" t="s">
        <v>2890</v>
      </c>
      <c r="F3" s="171" t="s">
        <v>2891</v>
      </c>
    </row>
    <row r="4" spans="2:6" ht="16" customHeight="1" x14ac:dyDescent="0.2">
      <c r="B4" s="168"/>
      <c r="C4" s="172"/>
      <c r="D4" s="173" t="s">
        <v>1923</v>
      </c>
      <c r="E4" s="174" t="s">
        <v>1924</v>
      </c>
      <c r="F4" s="174" t="s">
        <v>1925</v>
      </c>
    </row>
    <row r="5" spans="2:6" ht="16" customHeight="1" x14ac:dyDescent="0.2">
      <c r="B5" s="168"/>
      <c r="C5" s="172"/>
      <c r="D5" s="173" t="s">
        <v>1926</v>
      </c>
      <c r="E5" s="174" t="s">
        <v>1927</v>
      </c>
      <c r="F5" s="174" t="s">
        <v>1928</v>
      </c>
    </row>
    <row r="6" spans="2:6" ht="16" customHeight="1" x14ac:dyDescent="0.2">
      <c r="B6" s="168"/>
      <c r="C6" s="172"/>
      <c r="D6" s="173" t="s">
        <v>1929</v>
      </c>
      <c r="E6" s="174" t="s">
        <v>1930</v>
      </c>
      <c r="F6" s="174" t="s">
        <v>1931</v>
      </c>
    </row>
    <row r="7" spans="2:6" ht="16" customHeight="1" x14ac:dyDescent="0.2">
      <c r="B7" s="168"/>
      <c r="C7" s="172" t="s">
        <v>2892</v>
      </c>
      <c r="D7" s="173" t="s">
        <v>1895</v>
      </c>
      <c r="E7" s="174" t="s">
        <v>1896</v>
      </c>
      <c r="F7" s="174" t="s">
        <v>1897</v>
      </c>
    </row>
    <row r="8" spans="2:6" ht="16" customHeight="1" x14ac:dyDescent="0.2">
      <c r="B8" s="168"/>
      <c r="C8" s="172" t="s">
        <v>2892</v>
      </c>
      <c r="D8" s="173" t="s">
        <v>1898</v>
      </c>
      <c r="E8" s="174" t="s">
        <v>1899</v>
      </c>
      <c r="F8" s="174" t="s">
        <v>1900</v>
      </c>
    </row>
    <row r="9" spans="2:6" ht="16" customHeight="1" x14ac:dyDescent="0.2">
      <c r="B9" s="168"/>
      <c r="C9" s="172"/>
      <c r="D9" s="173" t="s">
        <v>1932</v>
      </c>
      <c r="E9" s="174" t="s">
        <v>1933</v>
      </c>
      <c r="F9" s="174" t="s">
        <v>1934</v>
      </c>
    </row>
    <row r="10" spans="2:6" ht="16" customHeight="1" x14ac:dyDescent="0.2">
      <c r="B10" s="168"/>
      <c r="C10" s="175"/>
      <c r="D10" s="173" t="s">
        <v>1935</v>
      </c>
      <c r="E10" s="176" t="s">
        <v>1936</v>
      </c>
      <c r="F10" s="176" t="s">
        <v>1937</v>
      </c>
    </row>
    <row r="11" spans="2:6" ht="16" customHeight="1" x14ac:dyDescent="0.2">
      <c r="B11" s="168"/>
      <c r="C11" s="172"/>
      <c r="D11" s="173" t="s">
        <v>1938</v>
      </c>
      <c r="E11" s="174" t="s">
        <v>1939</v>
      </c>
      <c r="F11" s="174" t="s">
        <v>1940</v>
      </c>
    </row>
    <row r="12" spans="2:6" ht="16" customHeight="1" x14ac:dyDescent="0.2">
      <c r="B12" s="168"/>
      <c r="C12" s="172" t="s">
        <v>2892</v>
      </c>
      <c r="D12" s="173" t="s">
        <v>1901</v>
      </c>
      <c r="E12" s="174" t="s">
        <v>1902</v>
      </c>
      <c r="F12" s="174" t="s">
        <v>1903</v>
      </c>
    </row>
    <row r="13" spans="2:6" ht="16" customHeight="1" x14ac:dyDescent="0.2">
      <c r="B13" s="168"/>
      <c r="C13" s="172"/>
      <c r="D13" s="173" t="s">
        <v>1941</v>
      </c>
      <c r="E13" s="174" t="s">
        <v>1942</v>
      </c>
      <c r="F13" s="174" t="s">
        <v>1943</v>
      </c>
    </row>
    <row r="14" spans="2:6" ht="16" customHeight="1" x14ac:dyDescent="0.2">
      <c r="B14" s="168"/>
      <c r="C14" s="172"/>
      <c r="D14" s="173" t="s">
        <v>1944</v>
      </c>
      <c r="E14" s="174" t="s">
        <v>1945</v>
      </c>
      <c r="F14" s="174" t="s">
        <v>1946</v>
      </c>
    </row>
    <row r="15" spans="2:6" ht="16" customHeight="1" x14ac:dyDescent="0.2">
      <c r="B15" s="168"/>
      <c r="C15" s="172"/>
      <c r="D15" s="173" t="s">
        <v>1947</v>
      </c>
      <c r="E15" s="174" t="s">
        <v>1948</v>
      </c>
      <c r="F15" s="174" t="s">
        <v>1949</v>
      </c>
    </row>
    <row r="16" spans="2:6" ht="16" customHeight="1" x14ac:dyDescent="0.2">
      <c r="B16" s="168"/>
      <c r="C16" s="172"/>
      <c r="D16" s="173" t="s">
        <v>1950</v>
      </c>
      <c r="E16" s="174" t="s">
        <v>1951</v>
      </c>
      <c r="F16" s="174" t="s">
        <v>1951</v>
      </c>
    </row>
    <row r="17" spans="2:6" ht="16" customHeight="1" x14ac:dyDescent="0.2">
      <c r="B17" s="168"/>
      <c r="C17" s="175"/>
      <c r="D17" s="173" t="s">
        <v>1952</v>
      </c>
      <c r="E17" s="176" t="s">
        <v>1953</v>
      </c>
      <c r="F17" s="176" t="s">
        <v>1954</v>
      </c>
    </row>
    <row r="18" spans="2:6" ht="16" customHeight="1" x14ac:dyDescent="0.2">
      <c r="B18" s="168"/>
      <c r="C18" s="172" t="s">
        <v>2892</v>
      </c>
      <c r="D18" s="173" t="s">
        <v>1904</v>
      </c>
      <c r="E18" s="174" t="s">
        <v>1905</v>
      </c>
      <c r="F18" s="174" t="s">
        <v>1906</v>
      </c>
    </row>
    <row r="19" spans="2:6" ht="16" customHeight="1" x14ac:dyDescent="0.2">
      <c r="B19" s="168"/>
      <c r="C19" s="172"/>
      <c r="D19" s="173" t="s">
        <v>1955</v>
      </c>
      <c r="E19" s="174" t="s">
        <v>1956</v>
      </c>
      <c r="F19" s="174" t="s">
        <v>1957</v>
      </c>
    </row>
    <row r="20" spans="2:6" ht="16" customHeight="1" x14ac:dyDescent="0.2">
      <c r="B20" s="168"/>
      <c r="C20" s="172"/>
      <c r="D20" s="173" t="s">
        <v>1958</v>
      </c>
      <c r="E20" s="174" t="s">
        <v>1959</v>
      </c>
      <c r="F20" s="174" t="s">
        <v>1960</v>
      </c>
    </row>
    <row r="21" spans="2:6" ht="16" customHeight="1" x14ac:dyDescent="0.2">
      <c r="B21" s="168"/>
      <c r="C21" s="172"/>
      <c r="D21" s="173" t="s">
        <v>1961</v>
      </c>
      <c r="E21" s="174" t="s">
        <v>1962</v>
      </c>
      <c r="F21" s="174" t="s">
        <v>1963</v>
      </c>
    </row>
    <row r="22" spans="2:6" ht="16" customHeight="1" x14ac:dyDescent="0.2">
      <c r="B22" s="168"/>
      <c r="C22" s="172"/>
      <c r="D22" s="173" t="s">
        <v>1964</v>
      </c>
      <c r="E22" s="174" t="s">
        <v>1965</v>
      </c>
      <c r="F22" s="174" t="s">
        <v>1966</v>
      </c>
    </row>
    <row r="23" spans="2:6" ht="16" customHeight="1" x14ac:dyDescent="0.2">
      <c r="B23" s="168"/>
      <c r="C23" s="172"/>
      <c r="D23" s="173" t="s">
        <v>1967</v>
      </c>
      <c r="E23" s="174" t="s">
        <v>1968</v>
      </c>
      <c r="F23" s="174" t="s">
        <v>1969</v>
      </c>
    </row>
    <row r="24" spans="2:6" ht="16" customHeight="1" x14ac:dyDescent="0.2">
      <c r="B24" s="168"/>
      <c r="C24" s="172"/>
      <c r="D24" s="173" t="s">
        <v>1970</v>
      </c>
      <c r="E24" s="174" t="s">
        <v>1971</v>
      </c>
      <c r="F24" s="174" t="s">
        <v>1969</v>
      </c>
    </row>
    <row r="25" spans="2:6" ht="16" customHeight="1" x14ac:dyDescent="0.2">
      <c r="B25" s="168"/>
      <c r="C25" s="175"/>
      <c r="D25" s="173" t="s">
        <v>1972</v>
      </c>
      <c r="E25" s="176" t="s">
        <v>1973</v>
      </c>
      <c r="F25" s="176" t="s">
        <v>1974</v>
      </c>
    </row>
    <row r="26" spans="2:6" ht="16" customHeight="1" x14ac:dyDescent="0.2">
      <c r="B26" s="168"/>
      <c r="C26" s="172"/>
      <c r="D26" s="173" t="s">
        <v>1975</v>
      </c>
      <c r="E26" s="174" t="s">
        <v>1976</v>
      </c>
      <c r="F26" s="174" t="s">
        <v>1977</v>
      </c>
    </row>
    <row r="27" spans="2:6" ht="16" customHeight="1" x14ac:dyDescent="0.2">
      <c r="B27" s="168"/>
      <c r="C27" s="172" t="s">
        <v>2892</v>
      </c>
      <c r="D27" s="173" t="s">
        <v>1907</v>
      </c>
      <c r="E27" s="174" t="s">
        <v>1908</v>
      </c>
      <c r="F27" s="174" t="s">
        <v>1909</v>
      </c>
    </row>
    <row r="28" spans="2:6" ht="16" customHeight="1" x14ac:dyDescent="0.2">
      <c r="B28" s="168"/>
      <c r="C28" s="172" t="s">
        <v>2892</v>
      </c>
      <c r="D28" s="173" t="s">
        <v>1910</v>
      </c>
      <c r="E28" s="174" t="s">
        <v>1911</v>
      </c>
      <c r="F28" s="174" t="s">
        <v>1912</v>
      </c>
    </row>
    <row r="29" spans="2:6" ht="16" customHeight="1" x14ac:dyDescent="0.2">
      <c r="B29" s="168"/>
      <c r="C29" s="172"/>
      <c r="D29" s="173" t="s">
        <v>1981</v>
      </c>
      <c r="E29" s="174" t="s">
        <v>1982</v>
      </c>
      <c r="F29" s="174" t="s">
        <v>1983</v>
      </c>
    </row>
    <row r="30" spans="2:6" ht="16" customHeight="1" x14ac:dyDescent="0.2">
      <c r="B30" s="168"/>
      <c r="C30" s="172"/>
      <c r="D30" s="173" t="s">
        <v>1984</v>
      </c>
      <c r="E30" s="174" t="s">
        <v>1985</v>
      </c>
      <c r="F30" s="174" t="s">
        <v>1986</v>
      </c>
    </row>
    <row r="31" spans="2:6" ht="16" customHeight="1" x14ac:dyDescent="0.2">
      <c r="B31" s="168"/>
      <c r="C31" s="172"/>
      <c r="D31" s="173" t="s">
        <v>1987</v>
      </c>
      <c r="E31" s="174" t="s">
        <v>1988</v>
      </c>
      <c r="F31" s="174" t="s">
        <v>1988</v>
      </c>
    </row>
    <row r="32" spans="2:6" ht="16" customHeight="1" x14ac:dyDescent="0.2">
      <c r="B32" s="168"/>
      <c r="C32" s="172"/>
      <c r="D32" s="173" t="s">
        <v>1989</v>
      </c>
      <c r="E32" s="174" t="s">
        <v>1990</v>
      </c>
      <c r="F32" s="174" t="s">
        <v>1991</v>
      </c>
    </row>
    <row r="33" spans="2:6" ht="32" customHeight="1" x14ac:dyDescent="0.2">
      <c r="B33" s="168"/>
      <c r="C33" s="172" t="s">
        <v>2892</v>
      </c>
      <c r="D33" s="173" t="s">
        <v>1913</v>
      </c>
      <c r="E33" s="174" t="s">
        <v>1914</v>
      </c>
      <c r="F33" s="174" t="s">
        <v>1915</v>
      </c>
    </row>
    <row r="34" spans="2:6" ht="16" customHeight="1" x14ac:dyDescent="0.2">
      <c r="B34" s="168"/>
      <c r="C34" s="172"/>
      <c r="D34" s="173" t="s">
        <v>1978</v>
      </c>
      <c r="E34" s="174" t="s">
        <v>1979</v>
      </c>
      <c r="F34" s="174" t="s">
        <v>1980</v>
      </c>
    </row>
    <row r="35" spans="2:6" ht="16" customHeight="1" x14ac:dyDescent="0.2">
      <c r="B35" s="168"/>
      <c r="C35" s="175"/>
      <c r="D35" s="173" t="s">
        <v>1992</v>
      </c>
      <c r="E35" s="176" t="s">
        <v>1993</v>
      </c>
      <c r="F35" s="176" t="s">
        <v>1994</v>
      </c>
    </row>
    <row r="36" spans="2:6" ht="16" customHeight="1" x14ac:dyDescent="0.2">
      <c r="B36" s="168"/>
      <c r="C36" s="172" t="s">
        <v>2892</v>
      </c>
      <c r="D36" s="173" t="s">
        <v>1916</v>
      </c>
      <c r="E36" s="174" t="s">
        <v>1917</v>
      </c>
      <c r="F36" s="174" t="s">
        <v>1918</v>
      </c>
    </row>
    <row r="37" spans="2:6" ht="16" customHeight="1" x14ac:dyDescent="0.2">
      <c r="B37" s="168"/>
      <c r="C37" s="172"/>
      <c r="D37" s="173" t="s">
        <v>2001</v>
      </c>
      <c r="E37" s="174" t="s">
        <v>2002</v>
      </c>
      <c r="F37" s="174" t="s">
        <v>2003</v>
      </c>
    </row>
    <row r="38" spans="2:6" ht="16" customHeight="1" x14ac:dyDescent="0.2">
      <c r="B38" s="168"/>
      <c r="C38" s="172"/>
      <c r="D38" s="173" t="s">
        <v>2004</v>
      </c>
      <c r="E38" s="174" t="s">
        <v>2005</v>
      </c>
      <c r="F38" s="174" t="s">
        <v>2006</v>
      </c>
    </row>
    <row r="39" spans="2:6" ht="16" customHeight="1" x14ac:dyDescent="0.2">
      <c r="B39" s="168"/>
      <c r="C39" s="172"/>
      <c r="D39" s="173" t="s">
        <v>2007</v>
      </c>
      <c r="E39" s="174" t="s">
        <v>2008</v>
      </c>
      <c r="F39" s="174" t="s">
        <v>2009</v>
      </c>
    </row>
    <row r="40" spans="2:6" ht="16" customHeight="1" x14ac:dyDescent="0.2">
      <c r="B40" s="168"/>
      <c r="C40" s="172"/>
      <c r="D40" s="173" t="s">
        <v>2010</v>
      </c>
      <c r="E40" s="174" t="s">
        <v>2011</v>
      </c>
      <c r="F40" s="174" t="s">
        <v>2012</v>
      </c>
    </row>
    <row r="41" spans="2:6" ht="16" customHeight="1" x14ac:dyDescent="0.2">
      <c r="B41" s="168"/>
      <c r="C41" s="172"/>
      <c r="D41" s="173" t="s">
        <v>2013</v>
      </c>
      <c r="E41" s="174" t="s">
        <v>2014</v>
      </c>
      <c r="F41" s="174" t="s">
        <v>2014</v>
      </c>
    </row>
    <row r="42" spans="2:6" ht="16" customHeight="1" x14ac:dyDescent="0.2">
      <c r="B42" s="168"/>
      <c r="C42" s="172"/>
      <c r="D42" s="173" t="s">
        <v>2015</v>
      </c>
      <c r="E42" s="174" t="s">
        <v>2016</v>
      </c>
      <c r="F42" s="174" t="s">
        <v>2017</v>
      </c>
    </row>
    <row r="43" spans="2:6" ht="16" customHeight="1" x14ac:dyDescent="0.2">
      <c r="B43" s="168"/>
      <c r="C43" s="172" t="s">
        <v>2892</v>
      </c>
      <c r="D43" s="173" t="s">
        <v>1919</v>
      </c>
      <c r="E43" s="174" t="s">
        <v>1920</v>
      </c>
      <c r="F43" s="174" t="s">
        <v>1921</v>
      </c>
    </row>
    <row r="44" spans="2:6" ht="16" customHeight="1" x14ac:dyDescent="0.2">
      <c r="B44" s="168"/>
      <c r="C44" s="172"/>
      <c r="D44" s="173" t="s">
        <v>2018</v>
      </c>
      <c r="E44" s="174" t="s">
        <v>2019</v>
      </c>
      <c r="F44" s="174" t="s">
        <v>2020</v>
      </c>
    </row>
    <row r="45" spans="2:6" ht="16" customHeight="1" x14ac:dyDescent="0.2">
      <c r="B45" s="168"/>
      <c r="C45" s="172"/>
      <c r="D45" s="173" t="s">
        <v>1995</v>
      </c>
      <c r="E45" s="174" t="s">
        <v>1996</v>
      </c>
      <c r="F45" s="174" t="s">
        <v>1997</v>
      </c>
    </row>
    <row r="46" spans="2:6" ht="16" customHeight="1" x14ac:dyDescent="0.2">
      <c r="B46" s="168"/>
      <c r="C46" s="172"/>
      <c r="D46" s="173" t="s">
        <v>1998</v>
      </c>
      <c r="E46" s="174" t="s">
        <v>1999</v>
      </c>
      <c r="F46" s="174" t="s">
        <v>2000</v>
      </c>
    </row>
    <row r="47" spans="2:6" ht="16" customHeight="1" x14ac:dyDescent="0.2">
      <c r="B47" s="168"/>
      <c r="C47" s="175"/>
      <c r="D47" s="173" t="s">
        <v>2021</v>
      </c>
      <c r="E47" s="176" t="s">
        <v>2022</v>
      </c>
      <c r="F47" s="176" t="s">
        <v>2023</v>
      </c>
    </row>
    <row r="48" spans="2:6" ht="16" customHeight="1" x14ac:dyDescent="0.2">
      <c r="B48" s="168"/>
      <c r="C48" s="172"/>
      <c r="D48" s="173" t="s">
        <v>2024</v>
      </c>
      <c r="E48" s="174" t="s">
        <v>2025</v>
      </c>
      <c r="F48" s="174" t="s">
        <v>2026</v>
      </c>
    </row>
    <row r="49" spans="2:6" ht="16" customHeight="1" x14ac:dyDescent="0.2">
      <c r="B49" s="168"/>
      <c r="C49" s="172"/>
      <c r="D49" s="173" t="s">
        <v>2027</v>
      </c>
      <c r="E49" s="174" t="s">
        <v>2028</v>
      </c>
      <c r="F49" s="174" t="s">
        <v>2029</v>
      </c>
    </row>
    <row r="50" spans="2:6" ht="16" customHeight="1" x14ac:dyDescent="0.2">
      <c r="B50" s="168"/>
      <c r="C50" s="172"/>
      <c r="D50" s="173" t="s">
        <v>2030</v>
      </c>
      <c r="E50" s="174" t="s">
        <v>2031</v>
      </c>
      <c r="F50" s="174" t="s">
        <v>2032</v>
      </c>
    </row>
    <row r="51" spans="2:6" ht="16" customHeight="1" x14ac:dyDescent="0.2">
      <c r="B51" s="168"/>
      <c r="C51" s="172"/>
      <c r="D51" s="173" t="s">
        <v>2033</v>
      </c>
      <c r="E51" s="174" t="s">
        <v>2034</v>
      </c>
      <c r="F51" s="174" t="s">
        <v>2035</v>
      </c>
    </row>
    <row r="52" spans="2:6" ht="16" customHeight="1" x14ac:dyDescent="0.2">
      <c r="B52" s="168"/>
      <c r="C52" s="175"/>
      <c r="D52" s="173" t="s">
        <v>2036</v>
      </c>
      <c r="E52" s="176" t="s">
        <v>2037</v>
      </c>
      <c r="F52" s="176" t="s">
        <v>2038</v>
      </c>
    </row>
    <row r="53" spans="2:6" ht="16" customHeight="1" x14ac:dyDescent="0.2">
      <c r="B53" s="168"/>
      <c r="C53" s="172"/>
      <c r="D53" s="173" t="s">
        <v>2039</v>
      </c>
      <c r="E53" s="174" t="s">
        <v>2040</v>
      </c>
      <c r="F53" s="174" t="s">
        <v>2041</v>
      </c>
    </row>
    <row r="54" spans="2:6" ht="16" customHeight="1" x14ac:dyDescent="0.2">
      <c r="B54" s="168"/>
      <c r="C54" s="172"/>
      <c r="D54" s="173" t="s">
        <v>2069</v>
      </c>
      <c r="E54" s="174" t="s">
        <v>2070</v>
      </c>
      <c r="F54" s="174" t="s">
        <v>2071</v>
      </c>
    </row>
    <row r="55" spans="2:6" ht="16" customHeight="1" x14ac:dyDescent="0.2">
      <c r="B55" s="168"/>
      <c r="C55" s="172"/>
      <c r="D55" s="173" t="s">
        <v>2072</v>
      </c>
      <c r="E55" s="174" t="s">
        <v>2073</v>
      </c>
      <c r="F55" s="174" t="s">
        <v>2073</v>
      </c>
    </row>
    <row r="56" spans="2:6" ht="16" customHeight="1" x14ac:dyDescent="0.2">
      <c r="B56" s="168"/>
      <c r="C56" s="172"/>
      <c r="D56" s="173" t="s">
        <v>2074</v>
      </c>
      <c r="E56" s="174" t="s">
        <v>2075</v>
      </c>
      <c r="F56" s="174" t="s">
        <v>2075</v>
      </c>
    </row>
    <row r="57" spans="2:6" ht="16" customHeight="1" x14ac:dyDescent="0.2">
      <c r="B57" s="168"/>
      <c r="C57" s="172"/>
      <c r="D57" s="173" t="s">
        <v>2076</v>
      </c>
      <c r="E57" s="174" t="s">
        <v>2077</v>
      </c>
      <c r="F57" s="174" t="s">
        <v>2078</v>
      </c>
    </row>
    <row r="58" spans="2:6" ht="16" customHeight="1" x14ac:dyDescent="0.2">
      <c r="B58" s="168"/>
      <c r="C58" s="172"/>
      <c r="D58" s="173" t="s">
        <v>2079</v>
      </c>
      <c r="E58" s="174" t="s">
        <v>2080</v>
      </c>
      <c r="F58" s="174" t="s">
        <v>2081</v>
      </c>
    </row>
    <row r="59" spans="2:6" ht="16" customHeight="1" x14ac:dyDescent="0.2">
      <c r="B59" s="168"/>
      <c r="C59" s="172"/>
      <c r="D59" s="173" t="s">
        <v>2082</v>
      </c>
      <c r="E59" s="174" t="s">
        <v>2083</v>
      </c>
      <c r="F59" s="174" t="s">
        <v>2084</v>
      </c>
    </row>
    <row r="60" spans="2:6" ht="16" customHeight="1" x14ac:dyDescent="0.2">
      <c r="B60" s="168"/>
      <c r="C60" s="172"/>
      <c r="D60" s="173" t="s">
        <v>2085</v>
      </c>
      <c r="E60" s="174" t="s">
        <v>2086</v>
      </c>
      <c r="F60" s="174" t="s">
        <v>2087</v>
      </c>
    </row>
    <row r="61" spans="2:6" ht="16" customHeight="1" x14ac:dyDescent="0.2">
      <c r="B61" s="168"/>
      <c r="C61" s="172"/>
      <c r="D61" s="173" t="s">
        <v>2088</v>
      </c>
      <c r="E61" s="174" t="s">
        <v>2089</v>
      </c>
      <c r="F61" s="174" t="s">
        <v>2090</v>
      </c>
    </row>
    <row r="62" spans="2:6" ht="16" customHeight="1" x14ac:dyDescent="0.2">
      <c r="B62" s="168"/>
      <c r="C62" s="172"/>
      <c r="D62" s="173" t="s">
        <v>2042</v>
      </c>
      <c r="E62" s="174" t="s">
        <v>2043</v>
      </c>
      <c r="F62" s="174" t="s">
        <v>2044</v>
      </c>
    </row>
    <row r="63" spans="2:6" ht="16" customHeight="1" x14ac:dyDescent="0.2">
      <c r="B63" s="168"/>
      <c r="C63" s="172"/>
      <c r="D63" s="173" t="s">
        <v>2045</v>
      </c>
      <c r="E63" s="174" t="s">
        <v>2046</v>
      </c>
      <c r="F63" s="174" t="s">
        <v>2047</v>
      </c>
    </row>
    <row r="64" spans="2:6" ht="16" customHeight="1" x14ac:dyDescent="0.2">
      <c r="B64" s="168"/>
      <c r="C64" s="172"/>
      <c r="D64" s="173" t="s">
        <v>2048</v>
      </c>
      <c r="E64" s="174" t="s">
        <v>2049</v>
      </c>
      <c r="F64" s="174" t="s">
        <v>2050</v>
      </c>
    </row>
    <row r="65" spans="2:6" ht="16" customHeight="1" x14ac:dyDescent="0.2">
      <c r="B65" s="168"/>
      <c r="C65" s="172"/>
      <c r="D65" s="173" t="s">
        <v>2051</v>
      </c>
      <c r="E65" s="174" t="s">
        <v>2052</v>
      </c>
      <c r="F65" s="174" t="s">
        <v>2053</v>
      </c>
    </row>
    <row r="66" spans="2:6" ht="16" customHeight="1" x14ac:dyDescent="0.2">
      <c r="B66" s="168"/>
      <c r="C66" s="172"/>
      <c r="D66" s="173" t="s">
        <v>2054</v>
      </c>
      <c r="E66" s="174" t="s">
        <v>2055</v>
      </c>
      <c r="F66" s="174" t="s">
        <v>2056</v>
      </c>
    </row>
    <row r="67" spans="2:6" ht="16" customHeight="1" x14ac:dyDescent="0.2">
      <c r="B67" s="168"/>
      <c r="C67" s="172"/>
      <c r="D67" s="173" t="s">
        <v>2057</v>
      </c>
      <c r="E67" s="174" t="s">
        <v>2058</v>
      </c>
      <c r="F67" s="174" t="s">
        <v>2059</v>
      </c>
    </row>
    <row r="68" spans="2:6" ht="16" customHeight="1" x14ac:dyDescent="0.2">
      <c r="B68" s="168"/>
      <c r="C68" s="172"/>
      <c r="D68" s="173" t="s">
        <v>2060</v>
      </c>
      <c r="E68" s="174" t="s">
        <v>2061</v>
      </c>
      <c r="F68" s="174" t="s">
        <v>2062</v>
      </c>
    </row>
    <row r="69" spans="2:6" ht="16" customHeight="1" x14ac:dyDescent="0.2">
      <c r="B69" s="168"/>
      <c r="C69" s="172"/>
      <c r="D69" s="173" t="s">
        <v>2063</v>
      </c>
      <c r="E69" s="174" t="s">
        <v>2064</v>
      </c>
      <c r="F69" s="174" t="s">
        <v>2065</v>
      </c>
    </row>
    <row r="70" spans="2:6" ht="16" customHeight="1" x14ac:dyDescent="0.2">
      <c r="B70" s="168"/>
      <c r="C70" s="172"/>
      <c r="D70" s="173" t="s">
        <v>2066</v>
      </c>
      <c r="E70" s="174" t="s">
        <v>2067</v>
      </c>
      <c r="F70" s="174" t="s">
        <v>2068</v>
      </c>
    </row>
    <row r="71" spans="2:6" ht="16" customHeight="1" x14ac:dyDescent="0.2">
      <c r="B71" s="168"/>
      <c r="C71" s="175"/>
      <c r="D71" s="173" t="s">
        <v>2091</v>
      </c>
      <c r="E71" s="176" t="s">
        <v>2092</v>
      </c>
      <c r="F71" s="176" t="s">
        <v>2093</v>
      </c>
    </row>
    <row r="72" spans="2:6" ht="16" customHeight="1" x14ac:dyDescent="0.2">
      <c r="B72" s="168"/>
      <c r="C72" s="172"/>
      <c r="D72" s="173" t="s">
        <v>2094</v>
      </c>
      <c r="E72" s="174" t="s">
        <v>2095</v>
      </c>
      <c r="F72" s="174" t="s">
        <v>2096</v>
      </c>
    </row>
    <row r="73" spans="2:6" ht="16" customHeight="1" x14ac:dyDescent="0.2">
      <c r="B73" s="168"/>
      <c r="C73" s="172"/>
      <c r="D73" s="173" t="s">
        <v>2097</v>
      </c>
      <c r="E73" s="174" t="s">
        <v>2098</v>
      </c>
      <c r="F73" s="174" t="s">
        <v>2099</v>
      </c>
    </row>
    <row r="74" spans="2:6" ht="16" customHeight="1" x14ac:dyDescent="0.2">
      <c r="B74" s="168"/>
      <c r="C74" s="172"/>
      <c r="D74" s="173" t="s">
        <v>2100</v>
      </c>
      <c r="E74" s="174" t="s">
        <v>2101</v>
      </c>
      <c r="F74" s="174" t="s">
        <v>2102</v>
      </c>
    </row>
    <row r="75" spans="2:6" ht="16" customHeight="1" x14ac:dyDescent="0.2">
      <c r="B75" s="168"/>
      <c r="C75" s="172"/>
      <c r="D75" s="173" t="s">
        <v>2103</v>
      </c>
      <c r="E75" s="174" t="s">
        <v>2104</v>
      </c>
      <c r="F75" s="174" t="s">
        <v>2105</v>
      </c>
    </row>
    <row r="76" spans="2:6" ht="16" customHeight="1" x14ac:dyDescent="0.2">
      <c r="B76" s="168"/>
      <c r="C76" s="172"/>
      <c r="D76" s="173" t="s">
        <v>2106</v>
      </c>
      <c r="E76" s="174" t="s">
        <v>2107</v>
      </c>
      <c r="F76" s="174" t="s">
        <v>2108</v>
      </c>
    </row>
    <row r="77" spans="2:6" ht="16" customHeight="1" x14ac:dyDescent="0.2">
      <c r="B77" s="168"/>
      <c r="C77" s="172"/>
      <c r="D77" s="173" t="s">
        <v>2109</v>
      </c>
      <c r="E77" s="174" t="s">
        <v>2110</v>
      </c>
      <c r="F77" s="174" t="s">
        <v>2111</v>
      </c>
    </row>
    <row r="78" spans="2:6" ht="16" customHeight="1" x14ac:dyDescent="0.2">
      <c r="B78" s="168"/>
      <c r="C78" s="172"/>
      <c r="D78" s="173" t="s">
        <v>2112</v>
      </c>
      <c r="E78" s="174" t="s">
        <v>2113</v>
      </c>
      <c r="F78" s="174" t="s">
        <v>2114</v>
      </c>
    </row>
    <row r="79" spans="2:6" ht="16" customHeight="1" x14ac:dyDescent="0.2">
      <c r="B79" s="168"/>
      <c r="C79" s="172"/>
      <c r="D79" s="173" t="s">
        <v>2115</v>
      </c>
      <c r="E79" s="174" t="s">
        <v>2116</v>
      </c>
      <c r="F79" s="174" t="s">
        <v>2117</v>
      </c>
    </row>
    <row r="80" spans="2:6" ht="16" customHeight="1" x14ac:dyDescent="0.2">
      <c r="B80" s="168"/>
      <c r="C80" s="175"/>
      <c r="D80" s="173" t="s">
        <v>2118</v>
      </c>
      <c r="E80" s="176" t="s">
        <v>2119</v>
      </c>
      <c r="F80" s="176" t="s">
        <v>2120</v>
      </c>
    </row>
    <row r="81" spans="1:6" ht="16" customHeight="1" x14ac:dyDescent="0.2">
      <c r="B81" s="168"/>
      <c r="C81" s="172"/>
      <c r="D81" s="173" t="s">
        <v>2121</v>
      </c>
      <c r="E81" s="174" t="s">
        <v>2122</v>
      </c>
      <c r="F81" s="174" t="s">
        <v>2123</v>
      </c>
    </row>
    <row r="82" spans="1:6" ht="16" customHeight="1" x14ac:dyDescent="0.2">
      <c r="B82" s="168"/>
      <c r="C82" s="172" t="s">
        <v>2892</v>
      </c>
      <c r="D82" s="173" t="s">
        <v>1922</v>
      </c>
      <c r="E82" s="174" t="s">
        <v>1845</v>
      </c>
      <c r="F82" s="174" t="s">
        <v>1846</v>
      </c>
    </row>
    <row r="83" spans="1:6" ht="16" customHeight="1" x14ac:dyDescent="0.2">
      <c r="B83" s="168"/>
      <c r="C83" s="172"/>
      <c r="D83" s="173" t="s">
        <v>2124</v>
      </c>
      <c r="E83" s="174" t="s">
        <v>2125</v>
      </c>
      <c r="F83" s="174" t="s">
        <v>2126</v>
      </c>
    </row>
    <row r="84" spans="1:6" ht="16" customHeight="1" x14ac:dyDescent="0.2">
      <c r="B84" s="168"/>
      <c r="C84" s="172"/>
      <c r="D84" s="173" t="s">
        <v>2127</v>
      </c>
      <c r="E84" s="174" t="s">
        <v>2128</v>
      </c>
      <c r="F84" s="174" t="s">
        <v>2129</v>
      </c>
    </row>
    <row r="85" spans="1:6" ht="16" customHeight="1" x14ac:dyDescent="0.2">
      <c r="B85" s="168"/>
      <c r="C85" s="172"/>
      <c r="D85" s="173" t="s">
        <v>2130</v>
      </c>
      <c r="E85" s="174" t="s">
        <v>2131</v>
      </c>
      <c r="F85" s="174" t="s">
        <v>2132</v>
      </c>
    </row>
    <row r="86" spans="1:6" ht="16" customHeight="1" x14ac:dyDescent="0.2">
      <c r="B86" s="168"/>
      <c r="C86" s="175"/>
      <c r="D86" s="173" t="s">
        <v>2133</v>
      </c>
      <c r="E86" s="176" t="s">
        <v>2134</v>
      </c>
      <c r="F86" s="176" t="s">
        <v>2135</v>
      </c>
    </row>
    <row r="87" spans="1:6" ht="16" customHeight="1" x14ac:dyDescent="0.2">
      <c r="B87" s="168"/>
      <c r="C87" s="172"/>
      <c r="D87" s="173" t="s">
        <v>2136</v>
      </c>
      <c r="E87" s="174" t="s">
        <v>2137</v>
      </c>
      <c r="F87" s="174" t="s">
        <v>2138</v>
      </c>
    </row>
    <row r="88" spans="1:6" ht="16" customHeight="1" x14ac:dyDescent="0.2">
      <c r="B88" s="168"/>
      <c r="C88" s="172"/>
      <c r="D88" s="173" t="s">
        <v>2139</v>
      </c>
      <c r="E88" s="174" t="s">
        <v>2140</v>
      </c>
      <c r="F88" s="174" t="s">
        <v>2141</v>
      </c>
    </row>
    <row r="89" spans="1:6" ht="16" customHeight="1" x14ac:dyDescent="0.2">
      <c r="B89" s="168"/>
      <c r="C89" s="172"/>
      <c r="D89" s="173" t="s">
        <v>2142</v>
      </c>
      <c r="E89" s="174" t="s">
        <v>2143</v>
      </c>
      <c r="F89" s="174" t="s">
        <v>2144</v>
      </c>
    </row>
    <row r="90" spans="1:6" ht="16" customHeight="1" x14ac:dyDescent="0.2">
      <c r="B90" s="168"/>
      <c r="C90" s="172"/>
      <c r="D90" s="173" t="s">
        <v>2145</v>
      </c>
      <c r="E90" s="174" t="s">
        <v>2146</v>
      </c>
      <c r="F90" s="174" t="s">
        <v>2147</v>
      </c>
    </row>
    <row r="91" spans="1:6" ht="16" customHeight="1" x14ac:dyDescent="0.2">
      <c r="B91" s="168"/>
      <c r="C91" s="172"/>
      <c r="D91" s="173" t="s">
        <v>2148</v>
      </c>
      <c r="E91" s="174" t="s">
        <v>2149</v>
      </c>
      <c r="F91" s="174" t="s">
        <v>2150</v>
      </c>
    </row>
    <row r="92" spans="1:6" ht="16" customHeight="1" x14ac:dyDescent="0.2">
      <c r="B92" s="168"/>
      <c r="C92" s="172"/>
      <c r="D92" s="173" t="s">
        <v>2151</v>
      </c>
      <c r="E92" s="174" t="s">
        <v>2152</v>
      </c>
      <c r="F92" s="174" t="s">
        <v>2152</v>
      </c>
    </row>
    <row r="93" spans="1:6" ht="16" customHeight="1" x14ac:dyDescent="0.2">
      <c r="A93" s="164"/>
      <c r="B93" s="177"/>
      <c r="C93" s="178"/>
      <c r="D93" s="179" t="s">
        <v>2153</v>
      </c>
      <c r="E93" s="176" t="s">
        <v>2154</v>
      </c>
      <c r="F93" s="176" t="s">
        <v>2155</v>
      </c>
    </row>
    <row r="94" spans="1:6" x14ac:dyDescent="0.15">
      <c r="C94" s="180"/>
      <c r="D94" s="181"/>
      <c r="E94" s="182"/>
      <c r="F94" s="182"/>
    </row>
  </sheetData>
  <sheetProtection algorithmName="SHA-512" hashValue="4x9QBwmmpf14RH0wMmt486Zh17eApxgzQvdyAdM6ZbOp8lWkhkx1Fu3fkBuqh8/YYI/5TBKj1KlB+8vpFJO9Kg==" saltValue="/61zWf5pyzpbPCyumjZE6Q=="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120" zoomScaleNormal="120" workbookViewId="0">
      <selection activeCell="E8" sqref="E8"/>
    </sheetView>
  </sheetViews>
  <sheetFormatPr baseColWidth="10" defaultColWidth="10.83203125" defaultRowHeight="16" x14ac:dyDescent="0.2"/>
  <cols>
    <col min="1" max="1" width="10.83203125" style="183" customWidth="1"/>
    <col min="2" max="2" width="8.83203125" style="183" customWidth="1"/>
    <col min="3" max="3" width="27.6640625" style="183" customWidth="1"/>
    <col min="4" max="5" width="20.83203125" style="183" customWidth="1"/>
    <col min="6" max="7" width="46.5" style="184" customWidth="1"/>
    <col min="8" max="8" width="20.83203125" style="185" customWidth="1"/>
    <col min="9" max="9" width="20.83203125" style="183" customWidth="1"/>
    <col min="10" max="11" width="10.83203125" style="183" customWidth="1"/>
  </cols>
  <sheetData>
    <row r="1" spans="1:11" x14ac:dyDescent="0.2">
      <c r="C1" s="186"/>
      <c r="D1" s="186"/>
      <c r="E1" s="186"/>
      <c r="F1" s="187"/>
      <c r="G1" s="187"/>
      <c r="H1" s="188"/>
      <c r="I1" s="186"/>
    </row>
    <row r="2" spans="1:11" x14ac:dyDescent="0.15">
      <c r="A2" s="189"/>
      <c r="B2" s="190"/>
      <c r="C2" s="191" t="s">
        <v>2893</v>
      </c>
      <c r="D2" s="192" t="s">
        <v>2894</v>
      </c>
      <c r="E2" s="192" t="s">
        <v>2895</v>
      </c>
      <c r="F2" s="193" t="s">
        <v>2896</v>
      </c>
      <c r="G2" s="192" t="s">
        <v>2897</v>
      </c>
      <c r="H2" s="194" t="s">
        <v>2898</v>
      </c>
      <c r="I2" s="195" t="s">
        <v>2899</v>
      </c>
      <c r="J2" s="196"/>
      <c r="K2" s="184"/>
    </row>
    <row r="3" spans="1:11" ht="62.25" customHeight="1" x14ac:dyDescent="0.2">
      <c r="A3" s="197"/>
      <c r="B3" s="344" t="s">
        <v>2900</v>
      </c>
      <c r="C3" s="198" t="s">
        <v>2901</v>
      </c>
      <c r="D3" s="199" t="s">
        <v>2902</v>
      </c>
      <c r="E3" s="200" t="str">
        <f>IF(D3="","",D3)</f>
        <v>502********</v>
      </c>
      <c r="F3" s="201" t="s">
        <v>2903</v>
      </c>
      <c r="G3" s="201" t="s">
        <v>2904</v>
      </c>
      <c r="H3" s="202" t="s">
        <v>2905</v>
      </c>
      <c r="I3" s="203" t="s">
        <v>2905</v>
      </c>
      <c r="J3" s="204"/>
    </row>
    <row r="4" spans="1:11" ht="31.5" customHeight="1" x14ac:dyDescent="0.2">
      <c r="A4" s="197"/>
      <c r="B4" s="345"/>
      <c r="C4" s="205" t="s">
        <v>2906</v>
      </c>
      <c r="D4" s="206">
        <v>18</v>
      </c>
      <c r="E4" s="207">
        <f>IF(D4="","",D4)</f>
        <v>18</v>
      </c>
      <c r="F4" s="208" t="s">
        <v>2907</v>
      </c>
      <c r="G4" s="209" t="s">
        <v>2908</v>
      </c>
      <c r="H4" s="210">
        <v>18</v>
      </c>
      <c r="I4" s="211">
        <v>18</v>
      </c>
      <c r="J4" s="204"/>
    </row>
    <row r="5" spans="1:11" ht="66" customHeight="1" x14ac:dyDescent="0.2">
      <c r="A5" s="197"/>
      <c r="B5" s="345"/>
      <c r="C5" s="212" t="s">
        <v>2909</v>
      </c>
      <c r="D5" s="213" t="s">
        <v>2170</v>
      </c>
      <c r="E5" s="214" t="str">
        <f>IF(D5="","",D5)</f>
        <v>Departamento</v>
      </c>
      <c r="F5" s="215" t="s">
        <v>2910</v>
      </c>
      <c r="G5" s="209" t="s">
        <v>2911</v>
      </c>
      <c r="H5" s="216" t="s">
        <v>2912</v>
      </c>
      <c r="I5" s="217" t="s">
        <v>2913</v>
      </c>
      <c r="J5" s="204"/>
    </row>
    <row r="6" spans="1:11" ht="48" customHeight="1" x14ac:dyDescent="0.2">
      <c r="A6" s="197"/>
      <c r="B6" s="345"/>
      <c r="C6" s="218" t="s">
        <v>2914</v>
      </c>
      <c r="D6" s="213" t="s">
        <v>2215</v>
      </c>
      <c r="E6" s="214" t="str">
        <f>IF(D6="","",D6)</f>
        <v>Municipio</v>
      </c>
      <c r="F6" s="215" t="s">
        <v>2915</v>
      </c>
      <c r="G6" s="208" t="s">
        <v>2916</v>
      </c>
      <c r="H6" s="219" t="s">
        <v>2917</v>
      </c>
      <c r="I6" s="220" t="s">
        <v>2918</v>
      </c>
      <c r="J6" s="204"/>
    </row>
    <row r="7" spans="1:11" ht="100.5" customHeight="1" x14ac:dyDescent="0.2">
      <c r="A7" s="221"/>
      <c r="B7" s="345"/>
      <c r="C7" s="222" t="s">
        <v>2919</v>
      </c>
      <c r="D7" s="214" t="s">
        <v>2920</v>
      </c>
      <c r="E7" s="223" t="str">
        <f>IF(D7="el año pasado","last year",IF(D7="un año normal","a normal year",""))</f>
        <v>last year</v>
      </c>
      <c r="F7" s="215" t="s">
        <v>2921</v>
      </c>
      <c r="G7" s="224" t="s">
        <v>2922</v>
      </c>
      <c r="H7" s="219" t="s">
        <v>2923</v>
      </c>
      <c r="I7" s="225" t="s">
        <v>2924</v>
      </c>
      <c r="J7" s="226"/>
      <c r="K7" s="227"/>
    </row>
    <row r="8" spans="1:11" ht="120.75" customHeight="1" x14ac:dyDescent="0.2">
      <c r="A8" s="197"/>
      <c r="B8" s="345"/>
      <c r="C8" s="218" t="s">
        <v>2925</v>
      </c>
      <c r="D8" s="213" t="s">
        <v>2926</v>
      </c>
      <c r="E8" s="213" t="s">
        <v>2926</v>
      </c>
      <c r="F8" s="228" t="s">
        <v>2927</v>
      </c>
      <c r="G8" s="229" t="s">
        <v>2928</v>
      </c>
      <c r="H8" s="230" t="s">
        <v>2929</v>
      </c>
      <c r="I8" s="231" t="s">
        <v>2930</v>
      </c>
      <c r="J8" s="204"/>
    </row>
    <row r="9" spans="1:11" ht="96" customHeight="1" x14ac:dyDescent="0.2">
      <c r="A9" s="197"/>
      <c r="B9" s="345"/>
      <c r="C9" s="218" t="s">
        <v>2931</v>
      </c>
      <c r="D9" s="232" t="s">
        <v>2932</v>
      </c>
      <c r="E9" s="233" t="str">
        <f>IF(D9="todavía no está en temporada","Not yet in season",IF(D9="preparación de tierra","land preparation",IF(D9="plantación","Planting",IF(D9="crecimiento temprano","Early growing",IF(D9="crecimiento","Growing",IF(D9="maduración","Maturing",IF(D9="cosecha","Harvesting",IF(D9="terminado recientemente","Recently Finished",""))))))))</f>
        <v>Recently Finished</v>
      </c>
      <c r="F9" s="228" t="s">
        <v>2933</v>
      </c>
      <c r="G9" s="229" t="s">
        <v>2934</v>
      </c>
      <c r="H9" s="230" t="s">
        <v>2935</v>
      </c>
      <c r="I9" s="220" t="s">
        <v>2936</v>
      </c>
      <c r="J9" s="204"/>
    </row>
    <row r="10" spans="1:11" ht="84.75" customHeight="1" x14ac:dyDescent="0.2">
      <c r="A10" s="221"/>
      <c r="B10" s="345"/>
      <c r="C10" s="234" t="s">
        <v>2937</v>
      </c>
      <c r="D10" s="235" t="s">
        <v>2053</v>
      </c>
      <c r="E10" s="235" t="s">
        <v>2053</v>
      </c>
      <c r="F10" s="236" t="s">
        <v>2938</v>
      </c>
      <c r="G10" s="229" t="s">
        <v>2939</v>
      </c>
      <c r="H10" s="230" t="s">
        <v>2053</v>
      </c>
      <c r="I10" s="237" t="s">
        <v>2053</v>
      </c>
      <c r="J10" s="226"/>
      <c r="K10" s="227"/>
    </row>
    <row r="11" spans="1:11" ht="50.25" customHeight="1" x14ac:dyDescent="0.2">
      <c r="A11" s="221"/>
      <c r="B11" s="346"/>
      <c r="C11" s="238" t="s">
        <v>2940</v>
      </c>
      <c r="D11" s="239">
        <v>1.43</v>
      </c>
      <c r="E11" s="240">
        <f>IF(D11&lt;&gt;"",D11,"")</f>
        <v>1.43</v>
      </c>
      <c r="F11" s="241" t="s">
        <v>2941</v>
      </c>
      <c r="G11" s="242" t="s">
        <v>2942</v>
      </c>
      <c r="H11" s="243">
        <v>1.43</v>
      </c>
      <c r="I11" s="244">
        <v>1.43</v>
      </c>
      <c r="J11" s="226"/>
      <c r="K11" s="227"/>
    </row>
    <row r="12" spans="1:11" ht="57" customHeight="1" x14ac:dyDescent="0.2">
      <c r="A12" s="197"/>
      <c r="B12" s="347" t="s">
        <v>2943</v>
      </c>
      <c r="C12" s="245" t="s">
        <v>2944</v>
      </c>
      <c r="D12" s="246" t="s">
        <v>2945</v>
      </c>
      <c r="E12" s="207" t="str">
        <f>IF(D12="","",D12)</f>
        <v>Quetzal</v>
      </c>
      <c r="F12" s="247" t="s">
        <v>2946</v>
      </c>
      <c r="G12" s="248" t="s">
        <v>2947</v>
      </c>
      <c r="H12" s="216" t="s">
        <v>2948</v>
      </c>
      <c r="I12" s="249" t="s">
        <v>2948</v>
      </c>
      <c r="J12" s="204"/>
    </row>
    <row r="13" spans="1:11" ht="145.5" customHeight="1" x14ac:dyDescent="0.2">
      <c r="A13" s="197"/>
      <c r="B13" s="345"/>
      <c r="C13" s="250" t="s">
        <v>2949</v>
      </c>
      <c r="D13" s="251">
        <v>1</v>
      </c>
      <c r="E13" s="207">
        <f>IF(D13="","",D13)</f>
        <v>1</v>
      </c>
      <c r="F13" s="228" t="s">
        <v>2950</v>
      </c>
      <c r="G13" s="252" t="s">
        <v>2951</v>
      </c>
      <c r="H13" s="230">
        <v>5</v>
      </c>
      <c r="I13" s="253">
        <v>5</v>
      </c>
      <c r="J13" s="254"/>
      <c r="K13" s="255"/>
    </row>
    <row r="14" spans="1:11" ht="198" customHeight="1" x14ac:dyDescent="0.2">
      <c r="A14" s="197"/>
      <c r="B14" s="345"/>
      <c r="C14" s="250" t="s">
        <v>2952</v>
      </c>
      <c r="D14" s="251">
        <v>80000</v>
      </c>
      <c r="E14" s="207">
        <f>IF(D14="","",D14)</f>
        <v>80000</v>
      </c>
      <c r="F14" s="256" t="s">
        <v>2953</v>
      </c>
      <c r="G14" s="229" t="s">
        <v>2954</v>
      </c>
      <c r="H14" s="230">
        <v>1200000</v>
      </c>
      <c r="I14" s="253">
        <v>1200000</v>
      </c>
      <c r="J14" s="204"/>
    </row>
    <row r="15" spans="1:11" ht="48" customHeight="1" x14ac:dyDescent="0.2">
      <c r="A15" s="197"/>
      <c r="B15" s="345"/>
      <c r="C15" s="257" t="s">
        <v>2955</v>
      </c>
      <c r="D15" s="213" t="s">
        <v>2956</v>
      </c>
      <c r="E15" s="213" t="s">
        <v>2956</v>
      </c>
      <c r="F15" s="236" t="s">
        <v>2957</v>
      </c>
      <c r="G15" s="229" t="s">
        <v>2958</v>
      </c>
      <c r="H15" s="230" t="s">
        <v>2959</v>
      </c>
      <c r="I15" s="231" t="s">
        <v>2960</v>
      </c>
      <c r="J15" s="204"/>
    </row>
    <row r="16" spans="1:11" ht="48" customHeight="1" x14ac:dyDescent="0.2">
      <c r="A16" s="197"/>
      <c r="B16" s="346"/>
      <c r="C16" s="258" t="s">
        <v>2961</v>
      </c>
      <c r="D16" s="259" t="s">
        <v>2962</v>
      </c>
      <c r="E16" s="259" t="s">
        <v>2962</v>
      </c>
      <c r="F16" s="260" t="s">
        <v>2963</v>
      </c>
      <c r="G16" s="261" t="s">
        <v>2964</v>
      </c>
      <c r="H16" s="262" t="s">
        <v>2965</v>
      </c>
      <c r="I16" s="263" t="s">
        <v>2966</v>
      </c>
      <c r="J16" s="204"/>
    </row>
    <row r="17" spans="1:11" ht="5.25" customHeight="1" x14ac:dyDescent="0.2">
      <c r="A17" s="264"/>
      <c r="B17" s="265"/>
      <c r="C17" s="266"/>
      <c r="D17" s="267"/>
      <c r="E17" s="268"/>
      <c r="F17" s="269"/>
      <c r="G17" s="270"/>
      <c r="H17" s="271"/>
      <c r="I17" s="272"/>
      <c r="J17" s="255"/>
      <c r="K17" s="269"/>
    </row>
    <row r="18" spans="1:11" ht="176" customHeight="1" x14ac:dyDescent="0.2">
      <c r="A18" s="197"/>
      <c r="B18" s="348" t="s">
        <v>2967</v>
      </c>
      <c r="C18" s="273" t="s">
        <v>2968</v>
      </c>
      <c r="D18" s="274">
        <v>0.6</v>
      </c>
      <c r="E18" s="275">
        <f>IF(D18="","",D18)</f>
        <v>0.6</v>
      </c>
      <c r="F18" s="276" t="s">
        <v>2969</v>
      </c>
      <c r="G18" s="277" t="s">
        <v>2970</v>
      </c>
      <c r="H18" s="278">
        <v>0.91</v>
      </c>
      <c r="I18" s="279">
        <v>0.91</v>
      </c>
      <c r="J18" s="204"/>
    </row>
    <row r="19" spans="1:11" ht="176" customHeight="1" x14ac:dyDescent="0.2">
      <c r="A19" s="197"/>
      <c r="B19" s="345"/>
      <c r="C19" s="280" t="s">
        <v>2971</v>
      </c>
      <c r="D19" s="281">
        <v>0.2</v>
      </c>
      <c r="E19" s="282">
        <f>IF(D19="","",D19)</f>
        <v>0.2</v>
      </c>
      <c r="F19" s="283" t="s">
        <v>2972</v>
      </c>
      <c r="G19" s="284" t="s">
        <v>2973</v>
      </c>
      <c r="H19" s="285">
        <v>0.91</v>
      </c>
      <c r="I19" s="286">
        <v>0.91</v>
      </c>
      <c r="J19" s="204"/>
    </row>
    <row r="20" spans="1:11" ht="141" customHeight="1" x14ac:dyDescent="0.2">
      <c r="A20" s="197"/>
      <c r="B20" s="346"/>
      <c r="C20" s="287" t="s">
        <v>2974</v>
      </c>
      <c r="D20" s="288">
        <v>0.05</v>
      </c>
      <c r="E20" s="289">
        <f>IF(D20="","",D20)</f>
        <v>0.05</v>
      </c>
      <c r="F20" s="290" t="s">
        <v>2975</v>
      </c>
      <c r="G20" s="291" t="s">
        <v>2976</v>
      </c>
      <c r="H20" s="292">
        <v>0.05</v>
      </c>
      <c r="I20" s="293">
        <v>0.05</v>
      </c>
      <c r="J20" s="204"/>
    </row>
    <row r="21" spans="1:11" x14ac:dyDescent="0.2">
      <c r="B21" s="294"/>
      <c r="C21" s="294"/>
      <c r="D21" s="294"/>
      <c r="E21" s="294"/>
      <c r="F21" s="295"/>
      <c r="G21" s="295"/>
      <c r="H21" s="296"/>
      <c r="I21" s="294"/>
    </row>
  </sheetData>
  <sheetProtection algorithmName="SHA-512" hashValue="FEaE7F5kSOgVOhFPvWODTdjWguDnlCJRbELbWw9fHWm1j95Hw74oY4eaDr6m7GbluLBvZN1H05l4ZTqLdan0eA==" saltValue="4lOUVH9VpjgYtA/kONe1NA==" spinCount="100000" sheet="1" objects="1" scenarios="1"/>
  <mergeCells count="3">
    <mergeCell ref="B3:B11"/>
    <mergeCell ref="B12:B16"/>
    <mergeCell ref="B18:B20"/>
  </mergeCells>
  <dataValidations count="2">
    <dataValidation type="list" showInputMessage="1" showErrorMessage="1" sqref="D7" xr:uid="{00000000-0002-0000-0400-000000000000}">
      <formula1>"el año pasado,un año normal"</formula1>
      <formula2>0</formula2>
    </dataValidation>
    <dataValidation type="list" showInputMessage="1" showErrorMessage="1" sqref="D9" xr:uid="{00000000-0002-0000-0400-000001000000}">
      <formula1>"todavía no está en temporada,preparación de tierra,plantación,crecimiento temprano,crecimiento,maduración,cosecha,terminado recientemente"</formula1>
      <formula2>0</formula2>
    </dataValidation>
  </dataValidations>
  <pageMargins left="0.78749999999999998" right="0.78749999999999998" top="1.05277777777778" bottom="1.05277777777778" header="0.78749999999999998" footer="0.78749999999999998"/>
  <pageSetup orientation="portrait" horizontalDpi="300" verticalDpi="300"/>
  <headerFooter>
    <oddHeader>&amp;C&amp;"Times New Roman,Normal"&amp;12 &amp;A</oddHeader>
    <oddFooter>&amp;C&amp;"Times New Roman,Normal"&amp;12 Página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Ali Ahmad</cp:lastModifiedBy>
  <cp:revision>2</cp:revision>
  <dcterms:created xsi:type="dcterms:W3CDTF">2023-11-14T12:25:28Z</dcterms:created>
  <dcterms:modified xsi:type="dcterms:W3CDTF">2023-11-20T09:33:54Z</dcterms:modified>
  <dc:language>es-GT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2023-11-20T09:27:07Z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cb3ad78e-b763-4435-8a82-afb3656a964b</vt:lpwstr>
  </property>
  <property fmtid="{D5CDD505-2E9C-101B-9397-08002B2CF9AE}" pid="8" name="MSIP_Label_46ec50b2-b191-4ad7-ba82-7deb0436e358_ContentBits">
    <vt:lpwstr>0</vt:lpwstr>
  </property>
</Properties>
</file>