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860" windowWidth="29040" windowHeight="157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hidden" r:id="rId4"/>
    <sheet xmlns:r="http://schemas.openxmlformats.org/officeDocument/2006/relationships" name="Additional information" sheetId="5" state="hidden" r:id="rId5"/>
  </sheets>
  <externalReferences>
    <externalReference xmlns:r="http://schemas.openxmlformats.org/officeDocument/2006/relationships" r:id="rId6"/>
    <externalReference xmlns:r="http://schemas.openxmlformats.org/officeDocument/2006/relationships" r:id="rId7"/>
  </externalReferences>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0\ %"/>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Body)"/>
      <sz val="11"/>
    </font>
    <font>
      <name val="Calibri"/>
      <family val="2"/>
      <i val="1"/>
      <color theme="0" tint="-0.3499862666707358"/>
      <sz val="11"/>
    </font>
    <font>
      <name val="Calibri (Body)"/>
      <i val="1"/>
      <color theme="0" tint="-0.3499862666707358"/>
      <sz val="11"/>
    </font>
    <font>
      <name val="Calibri"/>
      <family val="2"/>
      <color theme="0" tint="-0.3499557481612598"/>
      <sz val="11"/>
      <scheme val="minor"/>
    </font>
    <font>
      <name val="Calibri"/>
      <family val="2"/>
      <color theme="9" tint="-0.499984740745262"/>
      <sz val="12"/>
      <scheme val="minor"/>
    </font>
    <font>
      <name val="Calibri"/>
      <family val="2"/>
      <color rgb="FF000000"/>
      <sz val="11"/>
    </font>
    <font>
      <name val="Calibri"/>
      <family val="2"/>
      <sz val="10"/>
      <scheme val="minor"/>
    </font>
    <font>
      <name val="Calibri"/>
      <charset val="1"/>
      <family val="2"/>
      <color theme="0" tint="-0.3499862666707358"/>
      <sz val="11"/>
    </font>
    <font>
      <name val="Calibri"/>
      <charset val="1"/>
      <family val="2"/>
      <sz val="11"/>
    </font>
    <font>
      <name val="Calibri"/>
      <charset val="1"/>
      <family val="2"/>
      <color rgb="FF0070C0"/>
      <sz val="11"/>
    </font>
    <font>
      <name val="Calibri (Cuerpo)"/>
      <charset val="1"/>
      <color theme="0" tint="-0.3499862666707358"/>
      <sz val="11"/>
    </font>
    <font>
      <name val="Calibri"/>
      <family val="2"/>
      <color theme="1"/>
      <sz val="12"/>
      <scheme val="minor"/>
    </font>
    <font>
      <name val="Calibri"/>
      <charset val="1"/>
      <family val="2"/>
      <b val="1"/>
      <color theme="0"/>
      <sz val="12"/>
    </font>
    <font>
      <name val="Calibri"/>
      <charset val="1"/>
      <family val="2"/>
      <b val="1"/>
      <sz val="12"/>
    </font>
  </fonts>
  <fills count="15">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theme="5" tint="0.7999511703848384"/>
        <bgColor indexed="64"/>
      </patternFill>
    </fill>
    <fill>
      <patternFill patternType="solid">
        <fgColor rgb="FFF2DCDB"/>
        <bgColor indexed="64"/>
      </patternFill>
    </fill>
    <fill>
      <patternFill patternType="solid">
        <fgColor theme="7" tint="0.3999755851924192"/>
        <bgColor indexed="64"/>
      </patternFill>
    </fill>
    <fill>
      <patternFill patternType="solid">
        <fgColor theme="9" tint="0.5999938962981048"/>
        <bgColor indexed="64"/>
      </patternFill>
    </fill>
    <fill>
      <patternFill patternType="solid">
        <fgColor rgb="FFA5A5A5"/>
        <bgColor rgb="FFA6A6A6"/>
      </patternFill>
    </fill>
    <fill>
      <patternFill patternType="solid">
        <fgColor theme="5" tint="0.7998901333658864"/>
        <bgColor rgb="FFF6DFDC"/>
      </patternFill>
    </fill>
    <fill>
      <patternFill patternType="solid">
        <fgColor rgb="FFF6DFDC"/>
        <bgColor rgb="FFF2DCDB"/>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bottom/>
      <diagonal/>
    </border>
  </borders>
  <cellStyleXfs count="21">
    <xf numFmtId="0" fontId="8" fillId="0" borderId="0"/>
    <xf numFmtId="0" fontId="39" fillId="0" borderId="0"/>
    <xf numFmtId="0" fontId="8" fillId="0" borderId="0"/>
    <xf numFmtId="0" fontId="14" fillId="0" borderId="0"/>
    <xf numFmtId="0" fontId="39" fillId="0" borderId="0"/>
    <xf numFmtId="0" fontId="39" fillId="0" borderId="0"/>
    <xf numFmtId="0" fontId="18" fillId="4" borderId="14"/>
    <xf numFmtId="9" fontId="8" fillId="0" borderId="0"/>
    <xf numFmtId="0" fontId="39" fillId="0" borderId="0"/>
    <xf numFmtId="0" fontId="39" fillId="0" borderId="0"/>
    <xf numFmtId="0" fontId="39" fillId="0" borderId="0"/>
    <xf numFmtId="0" fontId="39" fillId="0" borderId="0"/>
    <xf numFmtId="0" fontId="8" fillId="0" borderId="0"/>
    <xf numFmtId="0" fontId="39" fillId="0" borderId="0"/>
    <xf numFmtId="0" fontId="8" fillId="0" borderId="0"/>
    <xf numFmtId="0" fontId="39" fillId="0" borderId="0"/>
    <xf numFmtId="0" fontId="8" fillId="0" borderId="0"/>
    <xf numFmtId="0" fontId="39" fillId="0" borderId="0"/>
    <xf numFmtId="0" fontId="39" fillId="0" borderId="0"/>
    <xf numFmtId="0" fontId="39" fillId="0" borderId="0"/>
    <xf numFmtId="0" fontId="40" fillId="12" borderId="14"/>
  </cellStyleXfs>
  <cellXfs count="347">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4" fillId="3" borderId="7" applyAlignment="1" applyProtection="1" pivotButton="0" quotePrefix="0" xfId="10">
      <alignment horizontal="center" vertical="center"/>
      <protection locked="0" hidden="0"/>
    </xf>
    <xf numFmtId="0" fontId="4" fillId="3" borderId="4" applyAlignment="1" applyProtection="1" pivotButton="0" quotePrefix="0" xfId="10">
      <alignment horizontal="center" vertical="center"/>
      <protection locked="0" hidden="0"/>
    </xf>
    <xf numFmtId="0" fontId="20" fillId="0" borderId="39"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4"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4" fillId="0" borderId="0" applyAlignment="1" applyProtection="1" pivotButton="0" quotePrefix="0" xfId="0">
      <alignment vertical="center"/>
      <protection locked="0" hidden="0"/>
    </xf>
    <xf numFmtId="0" fontId="24"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7" fillId="0" borderId="0" applyAlignment="1" pivotButton="0" quotePrefix="0" xfId="0">
      <alignment vertical="center"/>
    </xf>
    <xf numFmtId="0" fontId="27" fillId="0" borderId="0" applyAlignment="1" pivotButton="0" quotePrefix="0" xfId="0">
      <alignment vertical="top"/>
    </xf>
    <xf numFmtId="0" fontId="27" fillId="0" borderId="0" applyAlignment="1" pivotButton="0" quotePrefix="0" xfId="0">
      <alignment vertical="top" wrapText="1"/>
    </xf>
    <xf numFmtId="0" fontId="27" fillId="0" borderId="0" applyAlignment="1" applyProtection="1" pivotButton="0" quotePrefix="0" xfId="0">
      <alignment vertical="top"/>
      <protection locked="0" hidden="0"/>
    </xf>
    <xf numFmtId="0" fontId="27" fillId="2" borderId="0" applyAlignment="1" applyProtection="1" pivotButton="0" quotePrefix="0" xfId="0">
      <alignment vertical="top" wrapText="1"/>
      <protection locked="0" hidden="0"/>
    </xf>
    <xf numFmtId="0" fontId="27" fillId="2" borderId="0" applyAlignment="1" applyProtection="1" pivotButton="0" quotePrefix="0" xfId="0">
      <alignment vertical="top"/>
      <protection locked="0" hidden="0"/>
    </xf>
    <xf numFmtId="0" fontId="21" fillId="0" borderId="0" applyAlignment="1" applyProtection="1" pivotButton="0" quotePrefix="0" xfId="0">
      <alignment vertical="top" wrapText="1"/>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49" fontId="27" fillId="0" borderId="0" applyAlignment="1" pivotButton="0" quotePrefix="0" xfId="0">
      <alignment horizontal="left" vertical="top" wrapText="1"/>
    </xf>
    <xf numFmtId="0" fontId="23" fillId="0" borderId="0" applyProtection="1" pivotButton="0" quotePrefix="0" xfId="0">
      <protection locked="0" hidden="0"/>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0"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0" fontId="9" fillId="0" borderId="0" applyAlignment="1" pivotButton="0" quotePrefix="0" xfId="0">
      <alignment horizontal="left" vertical="top"/>
    </xf>
    <xf numFmtId="164" fontId="16" fillId="0" borderId="50"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49" applyAlignment="1" pivotButton="0" quotePrefix="0" xfId="7">
      <alignment horizontal="center" vertical="center" wrapText="1"/>
    </xf>
    <xf numFmtId="164" fontId="16" fillId="0" borderId="22" applyAlignment="1" pivotButton="0" quotePrefix="0" xfId="7">
      <alignment horizontal="center" vertical="center" wrapText="1"/>
    </xf>
    <xf numFmtId="0" fontId="3" fillId="2" borderId="7" applyAlignment="1" applyProtection="1" pivotButton="0" quotePrefix="0" xfId="17">
      <alignment horizontal="center" vertical="center"/>
      <protection locked="0" hidden="0"/>
    </xf>
    <xf numFmtId="0" fontId="4" fillId="0" borderId="2" pivotButton="0" quotePrefix="0" xfId="10"/>
    <xf numFmtId="0" fontId="4" fillId="0" borderId="13" pivotButton="0" quotePrefix="0" xfId="10"/>
    <xf numFmtId="0" fontId="4" fillId="0" borderId="13" applyAlignment="1" pivotButton="0" quotePrefix="0" xfId="10">
      <alignment vertical="center"/>
    </xf>
    <xf numFmtId="0" fontId="3" fillId="0" borderId="13" pivotButton="0" quotePrefix="0" xfId="17"/>
    <xf numFmtId="0" fontId="4" fillId="0" borderId="6" applyAlignment="1" pivotButton="0" quotePrefix="0" xfId="10">
      <alignment vertical="center"/>
    </xf>
    <xf numFmtId="0" fontId="4" fillId="0" borderId="25" applyAlignment="1" pivotButton="0" quotePrefix="0" xfId="10">
      <alignment vertical="center"/>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46" applyAlignment="1" pivotButton="0" quotePrefix="0" xfId="10">
      <alignment horizontal="center" vertical="center"/>
    </xf>
    <xf numFmtId="0" fontId="17" fillId="0" borderId="26" applyAlignment="1" pivotButton="0" quotePrefix="0" xfId="10">
      <alignment horizontal="center" vertical="center"/>
    </xf>
    <xf numFmtId="0" fontId="17" fillId="0" borderId="46" applyAlignment="1" pivotButton="0" quotePrefix="0" xfId="17">
      <alignment horizontal="center" vertical="center"/>
    </xf>
    <xf numFmtId="0" fontId="17" fillId="0" borderId="18" applyAlignment="1" pivotButton="0" quotePrefix="0" xfId="10">
      <alignment horizontal="center" vertical="center"/>
    </xf>
    <xf numFmtId="0" fontId="4" fillId="0" borderId="23" applyAlignment="1" pivotButton="0" quotePrefix="0" xfId="10">
      <alignment vertical="center"/>
    </xf>
    <xf numFmtId="0" fontId="4" fillId="0" borderId="2" applyAlignment="1" pivotButton="0" quotePrefix="0" xfId="10">
      <alignment vertical="center"/>
    </xf>
    <xf numFmtId="0" fontId="4" fillId="0" borderId="6" pivotButton="0" quotePrefix="0" xfId="10"/>
    <xf numFmtId="0" fontId="15" fillId="0" borderId="15" applyAlignment="1" pivotButton="0" quotePrefix="0" xfId="5">
      <alignment horizontal="left" vertical="center" wrapText="1"/>
    </xf>
    <xf numFmtId="0" fontId="3" fillId="5" borderId="54" applyAlignment="1" pivotButton="0" quotePrefix="0" xfId="17">
      <alignment horizontal="center" vertical="center"/>
    </xf>
    <xf numFmtId="0" fontId="16" fillId="0" borderId="47" applyAlignment="1" pivotButton="0" quotePrefix="0" xfId="5">
      <alignment vertical="center" wrapText="1"/>
    </xf>
    <xf numFmtId="0" fontId="16" fillId="0" borderId="16" applyAlignment="1" pivotButton="0" quotePrefix="0" xfId="5">
      <alignment vertical="center" wrapText="1"/>
    </xf>
    <xf numFmtId="0" fontId="8" fillId="0" borderId="52" applyAlignment="1" pivotButton="0" quotePrefix="0" xfId="17">
      <alignment horizontal="center" vertical="center"/>
    </xf>
    <xf numFmtId="0" fontId="30" fillId="0" borderId="42" applyAlignment="1" pivotButton="0" quotePrefix="0" xfId="5">
      <alignment horizontal="center" vertical="center"/>
    </xf>
    <xf numFmtId="0" fontId="4" fillId="0" borderId="23" pivotButton="0" quotePrefix="0" xfId="10"/>
    <xf numFmtId="0" fontId="15" fillId="0" borderId="10" applyAlignment="1" pivotButton="0" quotePrefix="0" xfId="5">
      <alignment horizontal="left" vertical="center"/>
    </xf>
    <xf numFmtId="0" fontId="3" fillId="5" borderId="7" applyAlignment="1" pivotButton="0" quotePrefix="0" xfId="17">
      <alignment horizontal="center" vertical="center"/>
    </xf>
    <xf numFmtId="0" fontId="15" fillId="0" borderId="7" applyAlignment="1" pivotButton="0" quotePrefix="0" xfId="5">
      <alignment vertical="center" wrapText="1"/>
    </xf>
    <xf numFmtId="0" fontId="15" fillId="0" borderId="9" applyAlignment="1" pivotButton="0" quotePrefix="0" xfId="5">
      <alignment vertical="center" wrapText="1"/>
    </xf>
    <xf numFmtId="0" fontId="8" fillId="0" borderId="53" applyAlignment="1" pivotButton="0" quotePrefix="0" xfId="17">
      <alignment horizontal="center" vertical="center"/>
    </xf>
    <xf numFmtId="0" fontId="30" fillId="0" borderId="43" applyAlignment="1" pivotButton="0" quotePrefix="0" xfId="5">
      <alignment horizontal="center" vertical="center"/>
    </xf>
    <xf numFmtId="0" fontId="15" fillId="0" borderId="38" applyAlignment="1" pivotButton="0" quotePrefix="0" xfId="10">
      <alignment horizontal="left" vertical="center"/>
    </xf>
    <xf numFmtId="0" fontId="15" fillId="0" borderId="38" applyAlignment="1" pivotButton="0" quotePrefix="0" xfId="17">
      <alignment horizontal="center" vertical="center" wrapText="1"/>
    </xf>
    <xf numFmtId="0" fontId="30" fillId="0" borderId="32" applyAlignment="1" pivotButton="0" quotePrefix="0" xfId="10">
      <alignment horizontal="center" vertical="center" wrapText="1"/>
    </xf>
    <xf numFmtId="0" fontId="15" fillId="0" borderId="37" applyAlignment="1" pivotButton="0" quotePrefix="0" xfId="10">
      <alignment horizontal="left" vertical="center"/>
    </xf>
    <xf numFmtId="0" fontId="15" fillId="0" borderId="37" applyAlignment="1" pivotButton="0" quotePrefix="0" xfId="17">
      <alignment horizontal="center" vertical="center" wrapText="1"/>
    </xf>
    <xf numFmtId="0" fontId="30" fillId="0" borderId="28" applyAlignment="1" pivotButton="0" quotePrefix="0" xfId="10">
      <alignment horizontal="center" vertical="center" wrapText="1"/>
    </xf>
    <xf numFmtId="0" fontId="5" fillId="0" borderId="6" pivotButton="0" quotePrefix="0" xfId="5"/>
    <xf numFmtId="0" fontId="15" fillId="0" borderId="8" applyAlignment="1" pivotButton="0" quotePrefix="0" xfId="5">
      <alignment vertical="center"/>
    </xf>
    <xf numFmtId="0" fontId="15" fillId="0" borderId="19" applyAlignment="1" pivotButton="0" quotePrefix="0" xfId="5">
      <alignment horizontal="left" vertical="center" wrapText="1"/>
    </xf>
    <xf numFmtId="0" fontId="30" fillId="0" borderId="28" applyAlignment="1" pivotButton="0" quotePrefix="0" xfId="5">
      <alignment horizontal="center" vertical="center" wrapText="1"/>
    </xf>
    <xf numFmtId="0" fontId="5" fillId="0" borderId="23" pivotButton="0" quotePrefix="0" xfId="5"/>
    <xf numFmtId="0" fontId="5" fillId="0" borderId="2" pivotButton="0" quotePrefix="0" xfId="5"/>
    <xf numFmtId="0" fontId="16" fillId="0" borderId="7" applyAlignment="1" pivotButton="0" quotePrefix="0" xfId="10">
      <alignment vertical="center" wrapText="1"/>
    </xf>
    <xf numFmtId="0" fontId="16" fillId="0" borderId="37" applyAlignment="1" pivotButton="0" quotePrefix="0" xfId="17">
      <alignment horizontal="center" vertical="center" wrapText="1"/>
    </xf>
    <xf numFmtId="0" fontId="16" fillId="0" borderId="28" applyAlignment="1" pivotButton="0" quotePrefix="0" xfId="10">
      <alignment horizontal="center" vertical="center" wrapText="1"/>
    </xf>
    <xf numFmtId="0" fontId="3" fillId="5" borderId="7" applyAlignment="1" pivotButton="0" quotePrefix="0" xfId="17">
      <alignment horizontal="center" vertical="center" wrapText="1"/>
    </xf>
    <xf numFmtId="0" fontId="15" fillId="0" borderId="44" applyAlignment="1" pivotButton="0" quotePrefix="0" xfId="5">
      <alignment vertical="center"/>
    </xf>
    <xf numFmtId="0" fontId="16" fillId="0" borderId="19" applyAlignment="1" pivotButton="0" quotePrefix="0" xfId="10">
      <alignment vertical="center" wrapText="1"/>
    </xf>
    <xf numFmtId="0" fontId="16" fillId="0" borderId="28" applyAlignment="1" pivotButton="0" quotePrefix="0" xfId="5">
      <alignment horizontal="center" vertical="center" wrapText="1"/>
    </xf>
    <xf numFmtId="0" fontId="15" fillId="0" borderId="34" applyAlignment="1" pivotButton="0" quotePrefix="0" xfId="5">
      <alignment vertical="center"/>
    </xf>
    <xf numFmtId="4" fontId="3" fillId="5" borderId="4" applyAlignment="1" pivotButton="0" quotePrefix="0" xfId="17">
      <alignment horizontal="center" vertical="center"/>
    </xf>
    <xf numFmtId="0" fontId="16" fillId="0" borderId="35" applyAlignment="1" pivotButton="0" quotePrefix="0" xfId="10">
      <alignment vertical="center" wrapText="1"/>
    </xf>
    <xf numFmtId="2" fontId="16" fillId="0" borderId="48" applyAlignment="1" pivotButton="0" quotePrefix="0" xfId="17">
      <alignment horizontal="center" vertical="center" wrapText="1"/>
    </xf>
    <xf numFmtId="0" fontId="30" fillId="0" borderId="36" applyAlignment="1" pivotButton="0" quotePrefix="0" xfId="5">
      <alignment horizontal="center" vertical="center" wrapText="1"/>
    </xf>
    <xf numFmtId="0" fontId="15" fillId="0" borderId="10" applyAlignment="1" pivotButton="0" quotePrefix="0" xfId="10">
      <alignment horizontal="left" vertical="center"/>
    </xf>
    <xf numFmtId="0" fontId="15" fillId="0" borderId="31" applyAlignment="1" pivotButton="0" quotePrefix="0" xfId="10">
      <alignment vertical="center" wrapText="1"/>
    </xf>
    <xf numFmtId="0" fontId="29" fillId="0" borderId="32" applyAlignment="1" pivotButton="0" quotePrefix="0" xfId="10">
      <alignment horizontal="center"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29" fillId="0" borderId="28" applyAlignment="1" pivotButton="0" quotePrefix="0" xfId="10">
      <alignment horizontal="center" vertical="center" wrapText="1"/>
    </xf>
    <xf numFmtId="0" fontId="4" fillId="0" borderId="40" pivotButton="0" quotePrefix="0" xfId="10"/>
    <xf numFmtId="0" fontId="4" fillId="5" borderId="23" pivotButton="0" quotePrefix="0" xfId="10"/>
    <xf numFmtId="0" fontId="15" fillId="0" borderId="8" applyAlignment="1" pivotButton="0" quotePrefix="0" xfId="10">
      <alignment horizontal="left" vertical="center" wrapText="1"/>
    </xf>
    <xf numFmtId="0" fontId="15" fillId="0" borderId="5" applyAlignment="1" pivotButton="0" quotePrefix="0" xfId="10">
      <alignment horizontal="left" vertical="center" wrapText="1"/>
    </xf>
    <xf numFmtId="0" fontId="16" fillId="0" borderId="30" applyAlignment="1" pivotButton="0" quotePrefix="0" xfId="10">
      <alignment vertical="center" wrapText="1"/>
    </xf>
    <xf numFmtId="0" fontId="16" fillId="0" borderId="49" applyAlignment="1" pivotButton="0" quotePrefix="0" xfId="17">
      <alignment horizontal="center" vertical="center" wrapText="1"/>
    </xf>
    <xf numFmtId="0" fontId="16" fillId="0" borderId="22" applyAlignment="1" pivotButton="0" quotePrefix="0" xfId="10">
      <alignment horizontal="center" vertical="center" wrapText="1"/>
    </xf>
    <xf numFmtId="0" fontId="4" fillId="5" borderId="6" pivotButton="0" quotePrefix="0" xfId="10"/>
    <xf numFmtId="0" fontId="4" fillId="5" borderId="33" applyAlignment="1" pivotButton="0" quotePrefix="0" xfId="10">
      <alignment wrapText="1"/>
    </xf>
    <xf numFmtId="0" fontId="15" fillId="5" borderId="34" applyAlignment="1" pivotButton="0" quotePrefix="0" xfId="10">
      <alignment vertical="center"/>
    </xf>
    <xf numFmtId="0" fontId="4" fillId="5" borderId="24" applyAlignment="1" pivotButton="0" quotePrefix="0" xfId="10">
      <alignment horizontal="center" vertical="center"/>
    </xf>
    <xf numFmtId="0" fontId="4" fillId="5" borderId="45" applyAlignment="1" pivotButton="0" quotePrefix="0" xfId="10">
      <alignment horizontal="center" vertical="center"/>
    </xf>
    <xf numFmtId="0" fontId="16" fillId="5" borderId="35" applyAlignment="1" pivotButton="0" quotePrefix="0" xfId="10">
      <alignment vertical="center" wrapText="1"/>
    </xf>
    <xf numFmtId="0" fontId="16" fillId="5" borderId="48" applyAlignment="1" pivotButton="0" quotePrefix="0" xfId="17">
      <alignment horizontal="center" vertical="center" wrapText="1"/>
    </xf>
    <xf numFmtId="0" fontId="16" fillId="5" borderId="36" applyAlignment="1" pivotButton="0" quotePrefix="0" xfId="10">
      <alignment horizontal="center" vertical="center" wrapText="1"/>
    </xf>
    <xf numFmtId="0" fontId="4" fillId="5" borderId="2" pivotButton="0" quotePrefix="0" xfId="10"/>
    <xf numFmtId="0" fontId="22" fillId="0" borderId="15" applyAlignment="1" pivotButton="0" quotePrefix="0" xfId="10">
      <alignment horizontal="center" vertical="center" wrapText="1"/>
    </xf>
    <xf numFmtId="0" fontId="26" fillId="0" borderId="16" applyAlignment="1" pivotButton="0" quotePrefix="0" xfId="10">
      <alignment vertical="center" wrapText="1"/>
    </xf>
    <xf numFmtId="0" fontId="22" fillId="0" borderId="8" applyAlignment="1" pivotButton="0" quotePrefix="0" xfId="10">
      <alignment horizontal="center" vertical="center" wrapText="1"/>
    </xf>
    <xf numFmtId="0" fontId="26" fillId="0" borderId="7" applyAlignment="1" pivotButton="0" quotePrefix="0" xfId="10">
      <alignment vertical="center" wrapText="1"/>
    </xf>
    <xf numFmtId="0" fontId="22" fillId="0" borderId="5" applyAlignment="1" pivotButton="0" quotePrefix="0" xfId="10">
      <alignment horizontal="center" vertical="center" wrapText="1"/>
    </xf>
    <xf numFmtId="0" fontId="26" fillId="0" borderId="4" applyAlignment="1" pivotButton="0" quotePrefix="0" xfId="10">
      <alignment vertical="center" wrapText="1"/>
    </xf>
    <xf numFmtId="0" fontId="4" fillId="0" borderId="3" pivotButton="0" quotePrefix="0" xfId="10"/>
    <xf numFmtId="0" fontId="4" fillId="0" borderId="3" applyAlignment="1" pivotButton="0" quotePrefix="0" xfId="10">
      <alignment vertical="center"/>
    </xf>
    <xf numFmtId="0" fontId="3" fillId="0" borderId="3" pivotButton="0" quotePrefix="0" xfId="17"/>
    <xf numFmtId="0" fontId="3" fillId="0" borderId="2" pivotButton="0" quotePrefix="0" xfId="17"/>
    <xf numFmtId="164" fontId="4" fillId="2" borderId="16" applyAlignment="1" applyProtection="1" pivotButton="0" quotePrefix="0" xfId="10">
      <alignment horizontal="center" vertical="center"/>
      <protection locked="0" hidden="0"/>
    </xf>
    <xf numFmtId="164" fontId="4" fillId="2" borderId="7" applyAlignment="1" applyProtection="1" pivotButton="0" quotePrefix="0" xfId="10">
      <alignment horizontal="center" vertical="center"/>
      <protection locked="0" hidden="0"/>
    </xf>
    <xf numFmtId="164" fontId="4" fillId="2" borderId="4" applyAlignment="1" applyProtection="1" pivotButton="0" quotePrefix="0" xfId="10">
      <alignment horizontal="center" vertical="center"/>
      <protection locked="0" hidden="0"/>
    </xf>
    <xf numFmtId="0" fontId="0" fillId="0" borderId="6" applyAlignment="1" pivotButton="0" quotePrefix="0" xfId="0">
      <alignment wrapText="1"/>
    </xf>
    <xf numFmtId="0" fontId="19" fillId="0" borderId="7" applyAlignment="1" pivotButton="0" quotePrefix="0" xfId="6">
      <alignment horizontal="center" vertical="center" wrapText="1"/>
    </xf>
    <xf numFmtId="0" fontId="9" fillId="0" borderId="7" applyAlignment="1" pivotButton="0" quotePrefix="0" xfId="0">
      <alignment horizontal="center" vertical="center" wrapText="1"/>
    </xf>
    <xf numFmtId="0" fontId="9" fillId="0" borderId="0" applyAlignment="1" pivotButton="0" quotePrefix="0" xfId="0">
      <alignment horizontal="left" vertical="center" wrapText="1"/>
    </xf>
    <xf numFmtId="0" fontId="31" fillId="8" borderId="0" applyProtection="1" pivotButton="0" quotePrefix="0" xfId="0">
      <protection locked="0" hidden="0"/>
    </xf>
    <xf numFmtId="0" fontId="9" fillId="8" borderId="0" applyProtection="1" pivotButton="0" quotePrefix="0" xfId="0">
      <protection locked="0" hidden="0"/>
    </xf>
    <xf numFmtId="0" fontId="31" fillId="0" borderId="0" applyProtection="1" pivotButton="0" quotePrefix="0" xfId="0">
      <protection locked="0" hidden="0"/>
    </xf>
    <xf numFmtId="0" fontId="15" fillId="0" borderId="7" applyAlignment="1" pivotButton="0" quotePrefix="0" xfId="17">
      <alignment vertical="center" wrapText="1"/>
    </xf>
    <xf numFmtId="0" fontId="16" fillId="0" borderId="7" applyAlignment="1" pivotButton="0" quotePrefix="0" xfId="17">
      <alignment vertical="center" wrapText="1"/>
    </xf>
    <xf numFmtId="0" fontId="16" fillId="0" borderId="37" applyAlignment="1" pivotButton="0" quotePrefix="0" xfId="17">
      <alignment vertical="center" wrapText="1"/>
    </xf>
    <xf numFmtId="0" fontId="16" fillId="0" borderId="48" applyAlignment="1" pivotButton="0" quotePrefix="0" xfId="17">
      <alignment vertical="center" wrapText="1"/>
    </xf>
    <xf numFmtId="0" fontId="15" fillId="0" borderId="55" applyAlignment="1" pivotButton="0" quotePrefix="0" xfId="17">
      <alignment vertical="center" wrapText="1"/>
    </xf>
    <xf numFmtId="0" fontId="16" fillId="0" borderId="56" applyAlignment="1" pivotButton="0" quotePrefix="0" xfId="17">
      <alignment vertical="center" wrapText="1"/>
    </xf>
    <xf numFmtId="0" fontId="16" fillId="0" borderId="56" applyAlignment="1" pivotButton="0" quotePrefix="0" xfId="17">
      <alignment wrapText="1"/>
    </xf>
    <xf numFmtId="0" fontId="16" fillId="0" borderId="49" applyAlignment="1" pivotButton="0" quotePrefix="0" xfId="17">
      <alignment vertical="center" wrapText="1"/>
    </xf>
    <xf numFmtId="0" fontId="26" fillId="0" borderId="50" applyAlignment="1" pivotButton="0" quotePrefix="0" xfId="17">
      <alignment vertical="center" wrapText="1"/>
    </xf>
    <xf numFmtId="0" fontId="26" fillId="0" borderId="51" applyAlignment="1" pivotButton="0" quotePrefix="0" xfId="17">
      <alignment vertical="center" wrapText="1"/>
    </xf>
    <xf numFmtId="0" fontId="26" fillId="0" borderId="49" applyAlignment="1" pivotButton="0" quotePrefix="0" xfId="17">
      <alignment vertical="center" wrapText="1"/>
    </xf>
    <xf numFmtId="0" fontId="3" fillId="9" borderId="7" applyAlignment="1" applyProtection="1" pivotButton="0" quotePrefix="0" xfId="17">
      <alignment horizontal="center" vertical="center"/>
      <protection locked="0" hidden="0"/>
    </xf>
    <xf numFmtId="0" fontId="9" fillId="0" borderId="7" applyAlignment="1" applyProtection="1" pivotButton="0" quotePrefix="0" xfId="3">
      <alignment horizontal="center" vertical="center" wrapText="1"/>
      <protection locked="0" hidden="0"/>
    </xf>
    <xf numFmtId="0" fontId="9" fillId="0" borderId="0" applyAlignment="1" applyProtection="1" pivotButton="0" quotePrefix="0" xfId="2">
      <alignment wrapText="1"/>
      <protection locked="0" hidden="0"/>
    </xf>
    <xf numFmtId="0" fontId="11" fillId="0" borderId="0" pivotButton="0" quotePrefix="0" xfId="0"/>
    <xf numFmtId="0" fontId="9" fillId="0" borderId="0" pivotButton="0" quotePrefix="0" xfId="0"/>
    <xf numFmtId="0" fontId="10" fillId="0" borderId="0" pivotButton="0" quotePrefix="0" xfId="0"/>
    <xf numFmtId="0" fontId="31" fillId="0" borderId="0" pivotButton="0" quotePrefix="0" xfId="0"/>
    <xf numFmtId="0" fontId="23" fillId="0" borderId="0" pivotButton="0" quotePrefix="0" xfId="0"/>
    <xf numFmtId="49" fontId="32" fillId="5" borderId="57" applyAlignment="1" pivotButton="0" quotePrefix="0" xfId="0">
      <alignment vertical="center" wrapText="1"/>
    </xf>
    <xf numFmtId="0" fontId="33" fillId="0" borderId="0" applyAlignment="1" pivotButton="0" quotePrefix="0" xfId="0">
      <alignment vertical="top" wrapText="1"/>
    </xf>
    <xf numFmtId="0" fontId="2" fillId="0" borderId="7" applyAlignment="1" pivotButton="0" quotePrefix="0" xfId="5">
      <alignment horizontal="center" vertical="center"/>
    </xf>
    <xf numFmtId="0" fontId="2" fillId="0" borderId="2" pivotButton="0" quotePrefix="0" xfId="10"/>
    <xf numFmtId="0" fontId="2" fillId="3" borderId="7" applyAlignment="1" applyProtection="1" pivotButton="0" quotePrefix="0" xfId="5">
      <alignment horizontal="center" vertical="center"/>
      <protection locked="0" hidden="0"/>
    </xf>
    <xf numFmtId="164" fontId="2" fillId="5" borderId="16" applyAlignment="1" pivotButton="0" quotePrefix="0" xfId="7">
      <alignment horizontal="center" vertical="center"/>
    </xf>
    <xf numFmtId="164" fontId="2" fillId="5" borderId="7" applyAlignment="1" pivotButton="0" quotePrefix="0" xfId="7">
      <alignment horizontal="center" vertical="center"/>
    </xf>
    <xf numFmtId="164" fontId="2" fillId="5" borderId="4" applyAlignment="1" pivotButton="0" quotePrefix="0" xfId="7">
      <alignment horizontal="center" vertical="center"/>
    </xf>
    <xf numFmtId="0" fontId="20" fillId="0" borderId="0" applyAlignment="1" applyProtection="1" pivotButton="0" quotePrefix="0" xfId="0">
      <alignment vertical="center"/>
      <protection locked="0" hidden="0"/>
    </xf>
    <xf numFmtId="0" fontId="9" fillId="7" borderId="0" applyAlignment="1" applyProtection="1" pivotButton="0" quotePrefix="0" xfId="0">
      <alignment vertical="top"/>
      <protection locked="0" hidden="0"/>
    </xf>
    <xf numFmtId="0" fontId="9" fillId="7" borderId="0" applyAlignment="1" applyProtection="1" pivotButton="0" quotePrefix="0" xfId="0">
      <alignment vertical="top" wrapText="1"/>
      <protection locked="0" hidden="0"/>
    </xf>
    <xf numFmtId="0" fontId="21" fillId="7" borderId="0" applyAlignment="1" applyProtection="1" pivotButton="0" quotePrefix="0" xfId="0">
      <alignment vertical="top"/>
      <protection locked="0" hidden="0"/>
    </xf>
    <xf numFmtId="0" fontId="28" fillId="7" borderId="0" applyProtection="1" pivotButton="0" quotePrefix="0" xfId="0">
      <protection locked="0" hidden="0"/>
    </xf>
    <xf numFmtId="0" fontId="9" fillId="7" borderId="0" applyAlignment="1" applyProtection="1" pivotButton="0" quotePrefix="0" xfId="0">
      <alignment vertical="center"/>
      <protection locked="0" hidden="0"/>
    </xf>
    <xf numFmtId="0" fontId="10" fillId="7" borderId="0" applyAlignment="1" applyProtection="1" pivotButton="0" quotePrefix="0" xfId="0">
      <alignment vertical="center"/>
      <protection locked="0" hidden="0"/>
    </xf>
    <xf numFmtId="0" fontId="34" fillId="0" borderId="0" applyAlignment="1" applyProtection="1" pivotButton="0" quotePrefix="0" xfId="0">
      <alignment vertical="top"/>
      <protection locked="0" hidden="0"/>
    </xf>
    <xf numFmtId="9" fontId="34" fillId="0" borderId="0" applyAlignment="1" applyProtection="1" pivotButton="0" quotePrefix="0" xfId="7">
      <alignment vertical="top"/>
      <protection locked="0" hidden="0"/>
    </xf>
    <xf numFmtId="165" fontId="34" fillId="0" borderId="0" applyAlignment="1" applyProtection="1" pivotButton="0" quotePrefix="0" xfId="0">
      <alignment vertical="top"/>
      <protection locked="0" hidden="0"/>
    </xf>
    <xf numFmtId="0" fontId="20" fillId="7" borderId="0" applyAlignment="1" applyProtection="1" pivotButton="0" quotePrefix="0" xfId="0">
      <alignment vertical="top"/>
      <protection locked="0" hidden="0"/>
    </xf>
    <xf numFmtId="0" fontId="9" fillId="7" borderId="1" applyAlignment="1" applyProtection="1" pivotButton="0" quotePrefix="0" xfId="0">
      <alignment vertical="top"/>
      <protection locked="0" hidden="0"/>
    </xf>
    <xf numFmtId="0" fontId="9" fillId="7" borderId="1" applyAlignment="1" applyProtection="1" pivotButton="0" quotePrefix="0" xfId="0">
      <alignment vertical="top" wrapText="1"/>
      <protection locked="0" hidden="0"/>
    </xf>
    <xf numFmtId="0" fontId="9" fillId="7" borderId="1" applyAlignment="1" applyProtection="1" pivotButton="0" quotePrefix="0" xfId="0">
      <alignment vertical="center"/>
      <protection locked="0" hidden="0"/>
    </xf>
    <xf numFmtId="0" fontId="9" fillId="7" borderId="0" applyProtection="1" pivotButton="0" quotePrefix="0" xfId="0">
      <protection locked="0" hidden="0"/>
    </xf>
    <xf numFmtId="0" fontId="9" fillId="7" borderId="0" applyAlignment="1" applyProtection="1" pivotButton="0" quotePrefix="0" xfId="0">
      <alignment horizontal="left" vertical="top"/>
      <protection locked="0" hidden="0"/>
    </xf>
    <xf numFmtId="0" fontId="0" fillId="10" borderId="0" applyAlignment="1" pivotButton="0" quotePrefix="0" xfId="0">
      <alignment vertical="top"/>
    </xf>
    <xf numFmtId="0" fontId="10" fillId="0" borderId="0" applyAlignment="1" applyProtection="1" pivotButton="0" quotePrefix="0" xfId="0">
      <alignment horizontal="left" vertical="center" wrapText="1"/>
      <protection locked="0" hidden="0"/>
    </xf>
    <xf numFmtId="0" fontId="0" fillId="10" borderId="0" applyAlignment="1" pivotButton="0" quotePrefix="0" xfId="0">
      <alignment vertical="top" wrapText="1"/>
    </xf>
    <xf numFmtId="0" fontId="0" fillId="2" borderId="0" applyAlignment="1" applyProtection="1" pivotButton="0" quotePrefix="0" xfId="0">
      <alignment horizontal="left" vertical="center" wrapText="1"/>
      <protection locked="0" hidden="0"/>
    </xf>
    <xf numFmtId="165" fontId="9" fillId="0" borderId="0" applyAlignment="1" applyProtection="1" pivotButton="0" quotePrefix="0" xfId="0">
      <alignment horizontal="left" vertical="center" wrapText="1"/>
      <protection locked="0" hidden="0"/>
    </xf>
    <xf numFmtId="9" fontId="9" fillId="0" borderId="0" applyAlignment="1" applyProtection="1" pivotButton="0" quotePrefix="0" xfId="7">
      <alignment horizontal="left" vertical="center" wrapText="1"/>
      <protection locked="0" hidden="0"/>
    </xf>
    <xf numFmtId="0" fontId="9" fillId="0" borderId="0" applyAlignment="1" applyProtection="1" pivotButton="0" quotePrefix="0" xfId="0">
      <alignment horizontal="left" vertical="center" wrapText="1"/>
      <protection locked="0" hidden="0"/>
    </xf>
    <xf numFmtId="0" fontId="8" fillId="11" borderId="0" applyAlignment="1" applyProtection="1" pivotButton="0" quotePrefix="0" xfId="0">
      <alignment horizontal="left" vertical="center" wrapText="1"/>
      <protection locked="0" hidden="0"/>
    </xf>
    <xf numFmtId="0" fontId="10" fillId="2" borderId="0" applyAlignment="1" applyProtection="1" pivotButton="0" quotePrefix="0" xfId="0">
      <alignment horizontal="left" vertical="center" wrapText="1"/>
      <protection locked="0" hidden="0"/>
    </xf>
    <xf numFmtId="0" fontId="0" fillId="0" borderId="0" applyAlignment="1" pivotButton="0" quotePrefix="0" xfId="0">
      <alignment horizontal="left" vertical="center" wrapText="1"/>
    </xf>
    <xf numFmtId="0" fontId="9" fillId="0" borderId="1" applyAlignment="1" pivotButton="0" quotePrefix="0" xfId="0">
      <alignment horizontal="left" vertical="center" wrapText="1"/>
    </xf>
    <xf numFmtId="0" fontId="9" fillId="2" borderId="1" applyAlignment="1" applyProtection="1" pivotButton="0" quotePrefix="0" xfId="0">
      <alignment horizontal="left" vertical="center" wrapText="1"/>
      <protection locked="0" hidden="0"/>
    </xf>
    <xf numFmtId="0" fontId="0" fillId="7" borderId="0" applyAlignment="1" applyProtection="1" pivotButton="0" quotePrefix="0" xfId="0">
      <alignment vertical="center"/>
      <protection locked="0" hidden="0"/>
    </xf>
    <xf numFmtId="0" fontId="0" fillId="7" borderId="0" applyAlignment="1" applyProtection="1" pivotButton="0" quotePrefix="0" xfId="0">
      <alignment vertical="top"/>
      <protection locked="0" hidden="0"/>
    </xf>
    <xf numFmtId="164" fontId="9" fillId="0" borderId="0" applyAlignment="1" applyProtection="1" pivotButton="0" quotePrefix="0" xfId="0">
      <alignment horizontal="left" vertical="center" wrapText="1"/>
      <protection locked="0" hidden="0"/>
    </xf>
    <xf numFmtId="0" fontId="21" fillId="0" borderId="0" applyAlignment="1" applyProtection="1" pivotButton="0" quotePrefix="0" xfId="0">
      <alignment horizontal="left" vertical="center" wrapText="1"/>
      <protection locked="0" hidden="0"/>
    </xf>
    <xf numFmtId="165" fontId="10" fillId="0" borderId="0" applyAlignment="1" applyProtection="1" pivotButton="0" quotePrefix="0" xfId="0">
      <alignment horizontal="left" vertical="center" wrapText="1"/>
      <protection locked="0" hidden="0"/>
    </xf>
    <xf numFmtId="9" fontId="10" fillId="0" borderId="0" applyAlignment="1" applyProtection="1" pivotButton="0" quotePrefix="0" xfId="0">
      <alignment horizontal="left" vertical="center" wrapText="1"/>
      <protection locked="0" hidden="0"/>
    </xf>
    <xf numFmtId="0" fontId="35" fillId="0" borderId="0" applyAlignment="1" applyProtection="1" pivotButton="0" quotePrefix="0" xfId="0">
      <alignment vertical="top"/>
      <protection locked="0" hidden="0"/>
    </xf>
    <xf numFmtId="0" fontId="35" fillId="0" borderId="0" applyAlignment="1" applyProtection="1" pivotButton="0" quotePrefix="0" xfId="0">
      <alignment vertical="top" wrapText="1"/>
      <protection locked="0" hidden="0"/>
    </xf>
    <xf numFmtId="0" fontId="35" fillId="0" borderId="0" applyAlignment="1" applyProtection="1" pivotButton="0" quotePrefix="0" xfId="0">
      <alignment vertical="center"/>
      <protection locked="0" hidden="0"/>
    </xf>
    <xf numFmtId="165" fontId="35" fillId="0" borderId="0" applyAlignment="1" applyProtection="1" pivotButton="0" quotePrefix="0" xfId="0">
      <alignment horizontal="right" vertical="top"/>
      <protection locked="0" hidden="0"/>
    </xf>
    <xf numFmtId="166" fontId="35" fillId="0" borderId="0" applyAlignment="1" applyProtection="1" pivotButton="0" quotePrefix="0" xfId="0">
      <alignment vertical="top"/>
      <protection locked="0" hidden="0"/>
    </xf>
    <xf numFmtId="165" fontId="35" fillId="0" borderId="0" applyAlignment="1" applyProtection="1" pivotButton="0" quotePrefix="0" xfId="0">
      <alignment vertical="top"/>
      <protection locked="0" hidden="0"/>
    </xf>
    <xf numFmtId="0" fontId="36" fillId="0" borderId="0" applyAlignment="1" applyProtection="1" pivotButton="0" quotePrefix="0" xfId="0">
      <alignment horizontal="right" vertical="top"/>
      <protection locked="0" hidden="0"/>
    </xf>
    <xf numFmtId="9" fontId="36" fillId="0" borderId="0" applyAlignment="1" applyProtection="1" pivotButton="0" quotePrefix="0" xfId="7">
      <alignment vertical="top"/>
      <protection locked="0" hidden="0"/>
    </xf>
    <xf numFmtId="0" fontId="36" fillId="0" borderId="0" applyAlignment="1" applyProtection="1" pivotButton="0" quotePrefix="0" xfId="0">
      <alignment vertical="top"/>
      <protection locked="0" hidden="0"/>
    </xf>
    <xf numFmtId="0" fontId="37" fillId="0" borderId="0" applyAlignment="1" applyProtection="1" pivotButton="0" quotePrefix="0" xfId="0">
      <alignment vertical="top"/>
      <protection locked="0" hidden="0"/>
    </xf>
    <xf numFmtId="0" fontId="37" fillId="0" borderId="0" applyAlignment="1" applyProtection="1" pivotButton="0" quotePrefix="0" xfId="0">
      <alignment vertical="center"/>
      <protection locked="0" hidden="0"/>
    </xf>
    <xf numFmtId="165" fontId="36" fillId="0" borderId="0" applyAlignment="1" applyProtection="1" pivotButton="0" quotePrefix="0" xfId="0">
      <alignment horizontal="right" vertical="top"/>
      <protection locked="0" hidden="0"/>
    </xf>
    <xf numFmtId="166" fontId="36" fillId="0" borderId="0" applyAlignment="1" applyProtection="1" pivotButton="0" quotePrefix="0" xfId="0">
      <alignment vertical="top"/>
      <protection locked="0" hidden="0"/>
    </xf>
    <xf numFmtId="165" fontId="36" fillId="0" borderId="0" applyAlignment="1" applyProtection="1" pivotButton="0" quotePrefix="0" xfId="0">
      <alignment vertical="top"/>
      <protection locked="0" hidden="0"/>
    </xf>
    <xf numFmtId="0" fontId="38" fillId="0" borderId="0" applyAlignment="1" applyProtection="1" pivotButton="0" quotePrefix="0" xfId="0">
      <alignment vertical="top" wrapText="1"/>
      <protection locked="0" hidden="0"/>
    </xf>
    <xf numFmtId="9" fontId="9"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left"/>
      <protection locked="0" hidden="0"/>
    </xf>
    <xf numFmtId="0" fontId="12" fillId="0" borderId="0" applyAlignment="1" applyProtection="1" pivotButton="0" quotePrefix="0" xfId="0">
      <alignment horizontal="left"/>
      <protection locked="0" hidden="0"/>
    </xf>
    <xf numFmtId="0" fontId="39" fillId="0" borderId="0" applyProtection="1" pivotButton="0" quotePrefix="0" xfId="0">
      <protection locked="0" hidden="0"/>
    </xf>
    <xf numFmtId="0" fontId="0" fillId="0" borderId="0" applyAlignment="1" applyProtection="1" pivotButton="0" quotePrefix="0" xfId="0">
      <alignment horizontal="right"/>
      <protection locked="0" hidden="0"/>
    </xf>
    <xf numFmtId="0" fontId="12" fillId="0" borderId="0" applyAlignment="1" applyProtection="1" pivotButton="0" quotePrefix="0" xfId="0">
      <alignment horizontal="right"/>
      <protection locked="0" hidden="0"/>
    </xf>
    <xf numFmtId="0" fontId="0" fillId="0" borderId="0" applyAlignment="1" applyProtection="1" pivotButton="0" quotePrefix="0" xfId="0">
      <alignment wrapText="1"/>
      <protection locked="0" hidden="0"/>
    </xf>
    <xf numFmtId="0" fontId="0" fillId="7" borderId="0" applyProtection="1" pivotButton="0" quotePrefix="0" xfId="0">
      <protection locked="0" hidden="0"/>
    </xf>
    <xf numFmtId="0" fontId="41" fillId="13" borderId="7" applyAlignment="1" applyProtection="1" pivotButton="0" quotePrefix="0" xfId="20">
      <alignment horizontal="center" vertical="center"/>
      <protection locked="0" hidden="0"/>
    </xf>
    <xf numFmtId="0" fontId="41" fillId="0" borderId="7" applyAlignment="1" pivotButton="0" quotePrefix="0" xfId="20">
      <alignment horizontal="center" vertical="center"/>
    </xf>
    <xf numFmtId="49" fontId="5" fillId="14" borderId="16" applyAlignment="1" applyProtection="1" pivotButton="0" quotePrefix="0" xfId="5">
      <alignment horizontal="center" vertical="center"/>
      <protection locked="0" hidden="0"/>
    </xf>
    <xf numFmtId="1" fontId="25" fillId="2" borderId="7" applyAlignment="1" applyProtection="1" pivotButton="0" quotePrefix="0" xfId="10">
      <alignment horizontal="center" vertical="center"/>
      <protection locked="0" hidden="0"/>
    </xf>
    <xf numFmtId="0" fontId="4" fillId="14" borderId="7" applyAlignment="1" applyProtection="1" pivotButton="0" quotePrefix="0" xfId="10">
      <alignment horizontal="center" vertical="center"/>
      <protection locked="0" hidden="0"/>
    </xf>
    <xf numFmtId="0" fontId="3" fillId="3" borderId="7" applyAlignment="1" applyProtection="1" pivotButton="0" quotePrefix="0" xfId="17">
      <alignment horizontal="center" vertical="center" wrapText="1"/>
      <protection locked="0" hidden="0"/>
    </xf>
    <xf numFmtId="0" fontId="5" fillId="14" borderId="7" applyAlignment="1" applyProtection="1" pivotButton="0" quotePrefix="0" xfId="5">
      <alignment horizontal="center" vertical="center"/>
      <protection locked="0" hidden="0"/>
    </xf>
    <xf numFmtId="2" fontId="5" fillId="14" borderId="24" applyAlignment="1" applyProtection="1" pivotButton="0" quotePrefix="0" xfId="5">
      <alignment horizontal="center" vertical="center"/>
      <protection locked="0" hidden="0"/>
    </xf>
    <xf numFmtId="0" fontId="4" fillId="14" borderId="9" applyAlignment="1" applyProtection="1" pivotButton="0" quotePrefix="0" xfId="10">
      <alignment horizontal="center" vertical="center"/>
      <protection locked="0" hidden="0"/>
    </xf>
    <xf numFmtId="1" fontId="4" fillId="14" borderId="7" applyAlignment="1" applyProtection="1" pivotButton="0" quotePrefix="0" xfId="10">
      <alignment horizontal="center" vertical="center"/>
      <protection locked="0" hidden="0"/>
    </xf>
    <xf numFmtId="0" fontId="4" fillId="14" borderId="4" applyAlignment="1" applyProtection="1" pivotButton="0" quotePrefix="0" xfId="10">
      <alignment horizontal="center" vertical="center"/>
      <protection locked="0" hidden="0"/>
    </xf>
    <xf numFmtId="0" fontId="1" fillId="3" borderId="7" applyAlignment="1" applyProtection="1" pivotButton="0" quotePrefix="0" xfId="10">
      <alignment horizontal="center" vertical="center"/>
      <protection locked="0" hidden="0"/>
    </xf>
    <xf numFmtId="0" fontId="4"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4" fillId="0" borderId="33" applyAlignment="1" pivotButton="0" quotePrefix="0" xfId="10">
      <alignment horizontal="center" vertical="top" textRotation="90"/>
    </xf>
    <xf numFmtId="0" fontId="4" fillId="0" borderId="33" applyAlignment="1" pivotButton="0" quotePrefix="0" xfId="10">
      <alignment horizontal="center" vertical="top" textRotation="90" wrapText="1"/>
    </xf>
  </cellXfs>
  <cellStyles count="21">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Normal 4 2 2 3" xfId="18"/>
    <cellStyle name="Normal 4 2 2 2 2" xfId="19"/>
    <cellStyle name="Excel Built-in Check Cell"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2.xml.rels><Relationships xmlns="http://schemas.openxmlformats.org/package/2006/relationships"><Relationship Type="http://schemas.openxmlformats.org/officeDocument/2006/relationships/externalLinkPath" Target="file:///C:\Users\juanpablotribinrivera\Documents\FAO\DIEM%20Monitoring\Sexta%20Ronda\Mo&#769;dulo%20regional\household_questionnaire_kobo_ES_template_20240131_ISO3_F2F.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 val="Crop list"/>
      <sheetName val="Additional information"/>
      <sheetName val="New Durations"/>
    </sheetNames>
    <sheetDataSet>
      <sheetData sheetId="0" refreshError="1"/>
      <sheetData sheetId="1" refreshError="1"/>
      <sheetData sheetId="2" refreshError="1"/>
      <sheetData sheetId="3" refreshError="1"/>
      <sheetData sheetId="4" refreshError="1">
        <row r="17">
          <cell r="D17">
            <v>0.91</v>
          </cell>
        </row>
        <row r="18">
          <cell r="D18">
            <v>0.91</v>
          </cell>
        </row>
      </sheetData>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dditional inform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6"/>
  <sheetViews>
    <sheetView tabSelected="1" zoomScale="115" zoomScaleNormal="115" workbookViewId="0">
      <pane ySplit="1" topLeftCell="A153" activePane="bottomLeft" state="frozen"/>
      <selection pane="bottomLeft" activeCell="D154" sqref="D154"/>
    </sheetView>
  </sheetViews>
  <sheetFormatPr baseColWidth="8" defaultColWidth="8.85546875" defaultRowHeight="15"/>
  <cols>
    <col width="21.140625" customWidth="1" style="20" min="1" max="1"/>
    <col width="25.85546875" customWidth="1" style="20" min="2" max="2"/>
    <col width="66" customWidth="1" style="21" min="3" max="4"/>
    <col width="16.85546875" customWidth="1" style="21" min="5" max="5"/>
    <col width="28" customWidth="1" style="20" min="6" max="7"/>
    <col width="15.42578125" customWidth="1" style="20" min="8" max="8"/>
    <col width="8.85546875" customWidth="1" style="78" min="9" max="10"/>
    <col width="14.7109375" customWidth="1" style="78" min="11" max="11"/>
    <col width="8.85546875" customWidth="1" style="78" min="12" max="16"/>
    <col width="8.85546875" customWidth="1" style="20" min="17" max="20"/>
    <col hidden="1" width="9.42578125" customWidth="1" style="20" min="21" max="21"/>
    <col hidden="1" width="8.85546875" customWidth="1" style="20" min="22" max="22"/>
    <col hidden="1" width="18.140625" customWidth="1" style="125" min="23" max="23"/>
    <col hidden="1" width="18.28515625" customWidth="1" style="113" min="24" max="24"/>
    <col width="14.140625" customWidth="1" style="29" min="25" max="25"/>
    <col hidden="1" width="19.7109375" customWidth="1" style="29" min="26" max="26"/>
    <col width="8.85546875" customWidth="1" style="29" min="27" max="27"/>
    <col width="8.85546875" customWidth="1" style="20" min="28" max="28"/>
    <col width="8.85546875" customWidth="1" style="20" min="29" max="16384"/>
  </cols>
  <sheetData>
    <row r="1" ht="33" customFormat="1" customHeight="1" s="69" thickBot="1">
      <c r="A1" s="65" t="inlineStr">
        <is>
          <t>type</t>
        </is>
      </c>
      <c r="B1" s="65" t="inlineStr">
        <is>
          <t>name</t>
        </is>
      </c>
      <c r="C1" s="66" t="inlineStr">
        <is>
          <t>label::English (en)</t>
        </is>
      </c>
      <c r="D1" s="66" t="inlineStr">
        <is>
          <t>label::Spanish (es)</t>
        </is>
      </c>
      <c r="E1" s="67" t="inlineStr">
        <is>
          <t>label::</t>
        </is>
      </c>
      <c r="F1" s="65" t="inlineStr">
        <is>
          <t>hint::English (en)</t>
        </is>
      </c>
      <c r="G1" s="65" t="inlineStr">
        <is>
          <t>hint::Spanish (es)</t>
        </is>
      </c>
      <c r="H1" s="68" t="inlineStr">
        <is>
          <t>hint::</t>
        </is>
      </c>
      <c r="I1" s="65" t="inlineStr">
        <is>
          <t>required</t>
        </is>
      </c>
      <c r="J1" s="65" t="inlineStr">
        <is>
          <t>appearance</t>
        </is>
      </c>
      <c r="K1" s="65" t="inlineStr">
        <is>
          <t>constraint</t>
        </is>
      </c>
      <c r="L1" s="65" t="inlineStr">
        <is>
          <t>constraint_message</t>
        </is>
      </c>
      <c r="M1" s="65" t="inlineStr">
        <is>
          <t>relevant</t>
        </is>
      </c>
      <c r="N1" s="65" t="inlineStr">
        <is>
          <t>choice_filter</t>
        </is>
      </c>
      <c r="O1" s="65" t="inlineStr">
        <is>
          <t>parameters</t>
        </is>
      </c>
      <c r="P1" s="65" t="inlineStr">
        <is>
          <t>calculation</t>
        </is>
      </c>
      <c r="U1" s="130" t="inlineStr">
        <is>
          <t xml:space="preserve">Mandatory </t>
        </is>
      </c>
      <c r="W1" s="131" t="inlineStr">
        <is>
          <t>New question duration (sec)</t>
        </is>
      </c>
      <c r="X1" s="132" t="inlineStr">
        <is>
          <t>Estimated percentage of repondents</t>
        </is>
      </c>
      <c r="Y1" s="133" t="inlineStr">
        <is>
          <t>Weighted time</t>
        </is>
      </c>
      <c r="Z1" s="17" t="inlineStr">
        <is>
          <t>Weighted time for core vars</t>
        </is>
      </c>
      <c r="AA1" s="70" t="n"/>
    </row>
    <row r="2">
      <c r="A2" s="28" t="inlineStr">
        <is>
          <t>start</t>
        </is>
      </c>
      <c r="B2" s="28" t="inlineStr">
        <is>
          <t>start</t>
        </is>
      </c>
      <c r="C2" s="19" t="n"/>
      <c r="D2" s="19" t="n"/>
      <c r="E2" s="41" t="n"/>
      <c r="F2" s="28" t="n"/>
      <c r="G2" s="28" t="n"/>
      <c r="H2" s="42" t="n"/>
      <c r="I2" s="71" t="n"/>
      <c r="J2" s="71" t="n"/>
      <c r="K2" s="71" t="n"/>
      <c r="L2" s="71" t="n"/>
      <c r="M2" s="71" t="n"/>
      <c r="N2" s="71" t="n"/>
      <c r="O2" s="71" t="n"/>
      <c r="P2" s="71" t="n"/>
      <c r="W2" s="126" t="n"/>
      <c r="Y2" s="114">
        <f>IF(W2&lt;&gt;"",W2*X2,"")</f>
        <v/>
      </c>
      <c r="Z2" s="114">
        <f>IF(AND(W2&lt;&gt;"",U2="yes"),W2*X2,"")</f>
        <v/>
      </c>
    </row>
    <row r="3">
      <c r="A3" s="28" t="inlineStr">
        <is>
          <t>end</t>
        </is>
      </c>
      <c r="B3" s="28" t="inlineStr">
        <is>
          <t>end</t>
        </is>
      </c>
      <c r="C3" s="19" t="n"/>
      <c r="D3" s="19" t="n"/>
      <c r="E3" s="41" t="n"/>
      <c r="F3" s="28" t="n"/>
      <c r="G3" s="28" t="n"/>
      <c r="H3" s="42" t="n"/>
      <c r="I3" s="71" t="n"/>
      <c r="J3" s="71" t="n"/>
      <c r="K3" s="71" t="n"/>
      <c r="L3" s="71" t="n"/>
      <c r="M3" s="71" t="n"/>
      <c r="N3" s="71" t="n"/>
      <c r="O3" s="71" t="n"/>
      <c r="P3" s="71" t="n"/>
      <c r="W3" s="126" t="n"/>
      <c r="Y3" s="114">
        <f>IF(W3&lt;&gt;"",W3*X3,"")</f>
        <v/>
      </c>
      <c r="Z3" s="114">
        <f>IF(AND(W3&lt;&gt;"",U3="yes"),W3*X3,"")</f>
        <v/>
      </c>
    </row>
    <row r="4">
      <c r="A4" s="28" t="inlineStr">
        <is>
          <t>today</t>
        </is>
      </c>
      <c r="B4" s="28" t="inlineStr">
        <is>
          <t>today</t>
        </is>
      </c>
      <c r="C4" s="19" t="n"/>
      <c r="D4" s="19" t="n"/>
      <c r="E4" s="41" t="n"/>
      <c r="F4" s="28" t="n"/>
      <c r="G4" s="28" t="n"/>
      <c r="H4" s="42" t="n"/>
      <c r="I4" s="71" t="n"/>
      <c r="J4" s="71" t="n"/>
      <c r="K4" s="71" t="n"/>
      <c r="L4" s="71" t="n"/>
      <c r="M4" s="71" t="n"/>
      <c r="N4" s="71" t="n"/>
      <c r="O4" s="71" t="n"/>
      <c r="P4" s="71" t="n"/>
      <c r="W4" s="126" t="n"/>
      <c r="Y4" s="114">
        <f>IF(W4&lt;&gt;"",W4*X4,"")</f>
        <v/>
      </c>
      <c r="Z4" s="114">
        <f>IF(AND(W4&lt;&gt;"",U4="yes"),W4*X4,"")</f>
        <v/>
      </c>
    </row>
    <row r="5">
      <c r="A5" s="28" t="inlineStr">
        <is>
          <t>deviceid</t>
        </is>
      </c>
      <c r="B5" s="28" t="inlineStr">
        <is>
          <t>deviceid</t>
        </is>
      </c>
      <c r="C5" s="19" t="n"/>
      <c r="D5" s="19" t="n"/>
      <c r="E5" s="41" t="n"/>
      <c r="F5" s="28" t="n"/>
      <c r="G5" s="28" t="n"/>
      <c r="H5" s="42" t="n"/>
      <c r="I5" s="71" t="n"/>
      <c r="J5" s="71" t="n"/>
      <c r="K5" s="71" t="n"/>
      <c r="L5" s="71" t="n"/>
      <c r="M5" s="71" t="n"/>
      <c r="N5" s="71" t="n"/>
      <c r="O5" s="71" t="n"/>
      <c r="P5" s="71" t="n"/>
      <c r="W5" s="126" t="n"/>
      <c r="Y5" s="114">
        <f>IF(W5&lt;&gt;"",W5*X5,"")</f>
        <v/>
      </c>
      <c r="Z5" s="114">
        <f>IF(AND(W5&lt;&gt;"",U5="yes"),W5*X5,"")</f>
        <v/>
      </c>
    </row>
    <row r="6">
      <c r="A6" s="28" t="inlineStr">
        <is>
          <t>audit</t>
        </is>
      </c>
      <c r="B6" s="28" t="inlineStr">
        <is>
          <t>audit</t>
        </is>
      </c>
      <c r="C6" s="19" t="n"/>
      <c r="D6" s="19" t="n"/>
      <c r="E6" s="41" t="n"/>
      <c r="F6" s="28" t="n"/>
      <c r="G6" s="28" t="n"/>
      <c r="H6" s="42" t="n"/>
      <c r="I6" s="71" t="n"/>
      <c r="J6" s="71" t="n"/>
      <c r="K6" s="71" t="n"/>
      <c r="L6" s="71" t="n"/>
      <c r="M6" s="71" t="n"/>
      <c r="N6" s="71" t="n"/>
      <c r="O6" s="71" t="n"/>
      <c r="P6" s="71" t="n"/>
      <c r="W6" s="126" t="n"/>
      <c r="Y6" s="114" t="n"/>
      <c r="Z6" s="114" t="n"/>
    </row>
    <row r="7">
      <c r="A7" s="28" t="inlineStr">
        <is>
          <t>calculate</t>
        </is>
      </c>
      <c r="B7" s="28" t="inlineStr">
        <is>
          <t>audio_random</t>
        </is>
      </c>
      <c r="C7" s="19" t="n"/>
      <c r="D7" s="19" t="n"/>
      <c r="E7" s="41" t="n"/>
      <c r="F7" s="28" t="n"/>
      <c r="G7" s="28" t="n"/>
      <c r="H7" s="42" t="n"/>
      <c r="I7" s="71" t="n"/>
      <c r="J7" s="71" t="n"/>
      <c r="K7" s="71" t="n"/>
      <c r="L7" s="71" t="n"/>
      <c r="M7" s="20" t="n"/>
      <c r="N7" s="71" t="n"/>
      <c r="O7" s="71" t="n"/>
      <c r="P7" s="71" t="inlineStr">
        <is>
          <t>once(random())</t>
        </is>
      </c>
      <c r="W7" s="126" t="n"/>
      <c r="Y7" s="114" t="n"/>
      <c r="Z7" s="114" t="n"/>
    </row>
    <row r="8">
      <c r="A8" s="28" t="inlineStr">
        <is>
          <t>background-audio</t>
        </is>
      </c>
      <c r="B8" s="28" t="inlineStr">
        <is>
          <t>background-audio</t>
        </is>
      </c>
      <c r="C8" s="19" t="n"/>
      <c r="D8" s="19" t="n"/>
      <c r="E8" s="41" t="n"/>
      <c r="F8" s="28" t="n"/>
      <c r="G8" s="28" t="n"/>
      <c r="H8" s="42" t="n"/>
      <c r="I8" s="71" t="n"/>
      <c r="J8" s="71" t="n"/>
      <c r="K8" s="71" t="n"/>
      <c r="L8" s="71" t="n"/>
      <c r="M8" s="71" t="inlineStr">
        <is>
          <t>${audio_random}&lt;=0.02</t>
        </is>
      </c>
      <c r="N8" s="71" t="n"/>
      <c r="O8" s="71" t="inlineStr">
        <is>
          <t>quality=low</t>
        </is>
      </c>
      <c r="P8" s="71" t="n"/>
      <c r="W8" s="126" t="n"/>
      <c r="Y8" s="114" t="n"/>
      <c r="Z8" s="114" t="n"/>
    </row>
    <row r="9" ht="15.95" customHeight="1">
      <c r="A9" s="28" t="inlineStr">
        <is>
          <t>select_one enumerator</t>
        </is>
      </c>
      <c r="B9" s="28" t="inlineStr">
        <is>
          <t>enumerator</t>
        </is>
      </c>
      <c r="C9" s="19" t="inlineStr">
        <is>
          <t>Name of enumerator</t>
        </is>
      </c>
      <c r="D9" s="19" t="inlineStr">
        <is>
          <t>Nombre del encuestador</t>
        </is>
      </c>
      <c r="E9" s="41" t="n"/>
      <c r="F9" s="28" t="n"/>
      <c r="G9" s="28" t="n"/>
      <c r="H9" s="42" t="n"/>
      <c r="I9" s="71" t="inlineStr">
        <is>
          <t>true</t>
        </is>
      </c>
      <c r="J9" s="71" t="n"/>
      <c r="K9" s="71" t="n"/>
      <c r="L9" s="71" t="n"/>
      <c r="M9" s="71" t="n"/>
      <c r="N9" s="72" t="n"/>
      <c r="O9" s="71" t="n"/>
      <c r="P9" s="71" t="n"/>
      <c r="U9" s="20" t="inlineStr">
        <is>
          <t>yes</t>
        </is>
      </c>
      <c r="W9" s="126" t="n"/>
      <c r="Y9" s="114">
        <f>IF(W9&lt;&gt;"",W9*X9,"")</f>
        <v/>
      </c>
      <c r="Z9" s="114">
        <f>IF(AND(W9&lt;&gt;"",U9="yes"),W9*X9,"")</f>
        <v/>
      </c>
    </row>
    <row r="10">
      <c r="A10" s="28" t="inlineStr">
        <is>
          <t>calculate</t>
        </is>
      </c>
      <c r="B10" s="28" t="inlineStr">
        <is>
          <t>enumerator_</t>
        </is>
      </c>
      <c r="C10" s="19" t="n"/>
      <c r="D10" s="19" t="n"/>
      <c r="E10" s="41" t="n"/>
      <c r="F10" s="28" t="n"/>
      <c r="G10" s="28" t="n"/>
      <c r="H10" s="42" t="n"/>
      <c r="I10" s="71" t="n"/>
      <c r="J10" s="71" t="n"/>
      <c r="K10" s="71" t="n"/>
      <c r="L10" s="71" t="n"/>
      <c r="M10" s="71" t="n"/>
      <c r="N10" s="71" t="n"/>
      <c r="O10" s="71" t="n"/>
      <c r="P10" s="71" t="inlineStr">
        <is>
          <t>jr:choice-name(${enumerator},'${enumerator}')</t>
        </is>
      </c>
      <c r="U10" s="20" t="inlineStr">
        <is>
          <t>yes</t>
        </is>
      </c>
      <c r="W10" s="126" t="n"/>
      <c r="Y10" s="114">
        <f>IF(W10&lt;&gt;"",W10*X10,"")</f>
        <v/>
      </c>
      <c r="Z10" s="114">
        <f>IF(AND(W10&lt;&gt;"",U10="yes"),W10*X10,"")</f>
        <v/>
      </c>
    </row>
    <row r="11">
      <c r="A11" s="20" t="inlineStr">
        <is>
          <t>calculate</t>
        </is>
      </c>
      <c r="B11" s="28" t="inlineStr">
        <is>
          <t>Sample</t>
        </is>
      </c>
      <c r="E11" s="41" t="n"/>
      <c r="H11" s="42" t="n"/>
      <c r="P11" s="78" t="inlineStr">
        <is>
          <t>concat('F2F')</t>
        </is>
      </c>
      <c r="W11" s="126" t="n"/>
      <c r="Y11" s="114" t="n"/>
      <c r="Z11" s="114" t="n"/>
    </row>
    <row r="12" ht="15.95" customFormat="1" customHeight="1" s="30" thickBot="1">
      <c r="A12" s="37" t="n"/>
      <c r="B12" s="37" t="n"/>
      <c r="C12" s="38" t="n"/>
      <c r="D12" s="38" t="n"/>
      <c r="E12" s="39" t="n"/>
      <c r="F12" s="37" t="n"/>
      <c r="G12" s="37" t="n"/>
      <c r="H12" s="40" t="n"/>
      <c r="I12" s="74" t="n"/>
      <c r="J12" s="74" t="n"/>
      <c r="K12" s="74" t="n"/>
      <c r="L12" s="74" t="n"/>
      <c r="M12" s="74" t="n"/>
      <c r="N12" s="74" t="n"/>
      <c r="O12" s="74" t="n"/>
      <c r="P12" s="74" t="n"/>
      <c r="W12" s="126" t="n"/>
      <c r="X12" s="113" t="n"/>
      <c r="Y12" s="114" t="n"/>
      <c r="Z12" s="114" t="n"/>
      <c r="AA12" s="29" t="n"/>
    </row>
    <row r="13" ht="14.1" customFormat="1" customHeight="1" s="29" thickTop="1">
      <c r="A13" s="274" t="inlineStr">
        <is>
          <t>text</t>
        </is>
      </c>
      <c r="B13" s="274" t="inlineStr">
        <is>
          <t>phone_number</t>
        </is>
      </c>
      <c r="C13" s="275" t="inlineStr">
        <is>
          <t>Input the phone number that you are contacting:</t>
        </is>
      </c>
      <c r="D13" s="275" t="inlineStr">
        <is>
          <t>Inserte el número de teléfono contactado</t>
        </is>
      </c>
      <c r="E13" s="275" t="n"/>
      <c r="F13" s="276" t="inlineStr">
        <is>
          <t>use the format ********</t>
        </is>
      </c>
      <c r="G13" s="277" t="inlineStr">
        <is>
          <t>utilise el formato ********</t>
        </is>
      </c>
      <c r="H13" s="277" t="n"/>
      <c r="I13" s="278" t="inlineStr">
        <is>
          <t>true</t>
        </is>
      </c>
      <c r="J13" s="278" t="inlineStr">
        <is>
          <t>numbers</t>
        </is>
      </c>
      <c r="K13" s="279" t="inlineStr">
        <is>
          <t>regex(.,’^[0-9]{8}$’)</t>
        </is>
      </c>
      <c r="L13" s="278" t="inlineStr">
        <is>
          <t>Please enter the telephone number in the correct format.</t>
        </is>
      </c>
      <c r="M13" s="278" t="n"/>
      <c r="N13" s="278" t="n"/>
      <c r="O13" s="278" t="n"/>
      <c r="P13" s="278" t="n"/>
      <c r="U13" s="29" t="inlineStr">
        <is>
          <t>no</t>
        </is>
      </c>
      <c r="W13" s="280" t="n"/>
      <c r="X13" s="280" t="n">
        <v>0</v>
      </c>
      <c r="Y13" s="281" t="n"/>
      <c r="Z13" s="282">
        <f>IF(X13&lt;&gt;"",X13*Y13,"")</f>
        <v/>
      </c>
      <c r="AA13" s="282">
        <f>IF(AND(X13&lt;&gt;"",U13="yes"),X13*Y13,"")</f>
        <v/>
      </c>
    </row>
    <row r="14" ht="14.1" customFormat="1" customHeight="1" s="29">
      <c r="A14" s="274" t="inlineStr">
        <is>
          <t>text</t>
        </is>
      </c>
      <c r="B14" s="274" t="inlineStr">
        <is>
          <t>hh_id</t>
        </is>
      </c>
      <c r="C14" s="275" t="inlineStr">
        <is>
          <t>Input the household ID, if applicable:</t>
        </is>
      </c>
      <c r="D14" s="275" t="inlineStr">
        <is>
          <t>Inserte el número de identificación del hogar (household ID), si aplica</t>
        </is>
      </c>
      <c r="E14" s="275" t="n"/>
      <c r="F14" s="283" t="n"/>
      <c r="G14" s="283" t="n"/>
      <c r="H14" s="283" t="n"/>
      <c r="I14" s="278" t="inlineStr">
        <is>
          <t>false</t>
        </is>
      </c>
      <c r="J14" s="278" t="n"/>
      <c r="K14" s="278" t="n"/>
      <c r="L14" s="278" t="n"/>
      <c r="M14" s="278" t="n"/>
      <c r="N14" s="278" t="n"/>
      <c r="O14" s="278" t="n"/>
      <c r="P14" s="278" t="n"/>
      <c r="U14" s="29" t="inlineStr">
        <is>
          <t>yes</t>
        </is>
      </c>
      <c r="W14" s="280" t="n"/>
      <c r="X14" s="280" t="n">
        <v>0</v>
      </c>
      <c r="Y14" s="281" t="n"/>
      <c r="Z14" s="282">
        <f>IF(X14&lt;&gt;"",X14*Y14,"")</f>
        <v/>
      </c>
      <c r="AA14" s="282">
        <f>IF(AND(X14&lt;&gt;"",U14="yes"),X14*Y14,"")</f>
        <v/>
      </c>
    </row>
    <row r="15" ht="14.1" customFormat="1" customHeight="1" s="29">
      <c r="A15" s="274" t="inlineStr">
        <is>
          <t>select_one calldispo</t>
        </is>
      </c>
      <c r="B15" s="274" t="inlineStr">
        <is>
          <t>calldispo</t>
        </is>
      </c>
      <c r="C15" s="275" t="inlineStr">
        <is>
          <t>Call status:</t>
        </is>
      </c>
      <c r="D15" s="275" t="inlineStr">
        <is>
          <t>Estatus de la llamada</t>
        </is>
      </c>
      <c r="E15" s="275" t="n"/>
      <c r="F15" s="274" t="n"/>
      <c r="G15" s="274" t="n"/>
      <c r="H15" s="274" t="n"/>
      <c r="I15" s="278" t="n"/>
      <c r="J15" s="278" t="n"/>
      <c r="K15" s="278" t="n"/>
      <c r="L15" s="278" t="n"/>
      <c r="M15" s="278" t="n"/>
      <c r="N15" s="278" t="n"/>
      <c r="O15" s="278" t="n"/>
      <c r="P15" s="278" t="n"/>
      <c r="U15" s="29" t="inlineStr">
        <is>
          <t>no</t>
        </is>
      </c>
      <c r="X15" s="280" t="n">
        <v>0</v>
      </c>
      <c r="Z15" s="282">
        <f>IF(X15&lt;&gt;"",X15*Y15,"")</f>
        <v/>
      </c>
      <c r="AA15" s="282">
        <f>IF(AND(X15&lt;&gt;"",U15="yes"),X15*Y15,"")</f>
        <v/>
      </c>
    </row>
    <row r="16" ht="17.1" customFormat="1" customHeight="1" s="29" thickBot="1">
      <c r="A16" s="284" t="inlineStr">
        <is>
          <t>begin_group</t>
        </is>
      </c>
      <c r="B16" s="284" t="inlineStr">
        <is>
          <t>callstat</t>
        </is>
      </c>
      <c r="C16" s="285" t="inlineStr">
        <is>
          <t>Call status:</t>
        </is>
      </c>
      <c r="D16" s="285" t="inlineStr">
        <is>
          <t>Estatus de la llamada</t>
        </is>
      </c>
      <c r="E16" s="285" t="n"/>
      <c r="F16" s="284" t="n"/>
      <c r="G16" s="284" t="n"/>
      <c r="H16" s="284" t="n"/>
      <c r="I16" s="286" t="inlineStr">
        <is>
          <t>false</t>
        </is>
      </c>
      <c r="J16" s="286" t="n"/>
      <c r="K16" s="286" t="n"/>
      <c r="L16" s="286" t="n"/>
      <c r="M16" s="286" t="inlineStr">
        <is>
          <t>${calldispo} = '1'</t>
        </is>
      </c>
      <c r="N16" s="286" t="n"/>
      <c r="O16" s="286" t="n"/>
      <c r="P16" s="286" t="n"/>
      <c r="U16" s="29" t="inlineStr">
        <is>
          <t>no</t>
        </is>
      </c>
      <c r="W16" s="282" t="n"/>
      <c r="X16" s="280" t="n"/>
      <c r="Y16" s="281" t="n"/>
      <c r="Z16" s="282">
        <f>IF(X16&lt;&gt;"",X16*Y16,"")</f>
        <v/>
      </c>
      <c r="AA16" s="282">
        <f>IF(AND(X16&lt;&gt;"",U16="yes"),X16*Y16,"")</f>
        <v/>
      </c>
    </row>
    <row r="17" ht="240.95" customHeight="1" thickTop="1">
      <c r="A17" s="28" t="inlineStr">
        <is>
          <t>note</t>
        </is>
      </c>
      <c r="B17" s="28" t="inlineStr">
        <is>
          <t>introduction</t>
        </is>
      </c>
      <c r="C17" s="143"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7" s="143" t="inlineStr">
        <is>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is>
      </c>
      <c r="E17" s="41" t="n"/>
      <c r="F17" s="28" t="inlineStr">
        <is>
          <t>[INSTRUCTIONS: ADDRESS QUESTIONS FROM RESPONDENT, IF ANY.]</t>
        </is>
      </c>
      <c r="G17" s="28" t="inlineStr">
        <is>
          <t>[ENCUESTADOR/A: RESPONDA LAS PREGUNTAS DEL ENCUESTADO, SI LAS HAY.]</t>
        </is>
      </c>
      <c r="H17" s="42" t="n"/>
      <c r="I17" s="71" t="inlineStr">
        <is>
          <t>false</t>
        </is>
      </c>
      <c r="J17" s="71" t="n"/>
      <c r="K17" s="71" t="n"/>
      <c r="L17" s="71" t="n"/>
      <c r="M17" s="71" t="n"/>
      <c r="N17" s="71" t="n"/>
      <c r="O17" s="71" t="n"/>
      <c r="P17" s="71" t="n"/>
      <c r="U17" s="20" t="inlineStr">
        <is>
          <t>no</t>
        </is>
      </c>
      <c r="W17" s="126" t="n">
        <v>50.82254028320312</v>
      </c>
      <c r="Y17" s="114">
        <f>IF(W17&lt;&gt;"",W17*X17,"")</f>
        <v/>
      </c>
      <c r="Z17" s="114">
        <f>IF(AND(W17&lt;&gt;"",U17="yes"),W17*X17,"")</f>
        <v/>
      </c>
    </row>
    <row r="18" ht="15.95" customHeight="1">
      <c r="A18" s="28" t="inlineStr">
        <is>
          <t>select_one yesno</t>
        </is>
      </c>
      <c r="B18" s="28" t="inlineStr">
        <is>
          <t>resp_agree</t>
        </is>
      </c>
      <c r="C18" s="19" t="inlineStr">
        <is>
          <t>Are you interested in participating in this survey?</t>
        </is>
      </c>
      <c r="D18" s="19" t="inlineStr">
        <is>
          <t>¿Está interesado en participar en esta encuesta?</t>
        </is>
      </c>
      <c r="E18" s="41" t="n"/>
      <c r="F18" s="28" t="n"/>
      <c r="G18" s="28" t="n"/>
      <c r="H18" s="42" t="n"/>
      <c r="I18" s="71" t="inlineStr">
        <is>
          <t>false</t>
        </is>
      </c>
      <c r="J18" s="71" t="n"/>
      <c r="K18" s="71" t="n"/>
      <c r="L18" s="71" t="n"/>
      <c r="M18" s="71" t="n"/>
      <c r="N18" s="71" t="n"/>
      <c r="O18" s="71" t="n"/>
      <c r="P18" s="71" t="n"/>
      <c r="U18" s="20" t="inlineStr">
        <is>
          <t>yes</t>
        </is>
      </c>
      <c r="W18" s="126" t="n">
        <v>3.5</v>
      </c>
      <c r="X18" s="113">
        <f>1</f>
        <v/>
      </c>
      <c r="Y18" s="114">
        <f>IF(W18&lt;&gt;"",W18*X18,"")</f>
        <v/>
      </c>
      <c r="Z18" s="114">
        <f>IF(AND(W18&lt;&gt;"",U18="yes"),W18*X18,"")</f>
        <v/>
      </c>
    </row>
    <row r="19" ht="15" customFormat="1" customHeight="1" s="29">
      <c r="A19" s="274" t="inlineStr">
        <is>
          <t>datetime</t>
        </is>
      </c>
      <c r="B19" s="274" t="inlineStr">
        <is>
          <t>WhenCallBack</t>
        </is>
      </c>
      <c r="C19" s="275" t="inlineStr">
        <is>
          <t>When would it be a good time to call you back?</t>
        </is>
      </c>
      <c r="D19" s="275" t="inlineStr">
        <is>
          <t>En qué momento lo puedo volver a llamar?</t>
        </is>
      </c>
      <c r="E19" s="275" t="n"/>
      <c r="F19" s="274" t="inlineStr">
        <is>
          <t>[RECORD HH/MM/DD/MM OF CALLBACK]</t>
        </is>
      </c>
      <c r="G19" s="287" t="inlineStr">
        <is>
          <t>[NOTEZ HH/MM/JJ/MM DU RAPPEL]</t>
        </is>
      </c>
      <c r="H19" s="287" t="n"/>
      <c r="I19" s="278" t="inlineStr">
        <is>
          <t>false</t>
        </is>
      </c>
      <c r="J19" s="278" t="n"/>
      <c r="K19" s="278" t="n"/>
      <c r="L19" s="278" t="n"/>
      <c r="M19" s="278" t="inlineStr">
        <is>
          <t>${resp_agree} = '3'</t>
        </is>
      </c>
      <c r="N19" s="278" t="n"/>
      <c r="O19" s="278" t="n"/>
      <c r="P19" s="278" t="n"/>
      <c r="U19" s="29" t="inlineStr">
        <is>
          <t>no</t>
        </is>
      </c>
      <c r="W19" s="282" t="n">
        <v>0</v>
      </c>
      <c r="X19" s="280" t="n">
        <v>0</v>
      </c>
      <c r="Y19" s="281" t="n"/>
      <c r="Z19" s="282">
        <f>IF(X19&lt;&gt;"",X19*Y19,"")</f>
        <v/>
      </c>
      <c r="AA19" s="282">
        <f>IF(AND(X19&lt;&gt;"",U19="yes"),X19*Y19,"")</f>
        <v/>
      </c>
    </row>
    <row r="20" ht="27.6" customFormat="1" customHeight="1" s="29">
      <c r="A20" s="274" t="inlineStr">
        <is>
          <t>text</t>
        </is>
      </c>
      <c r="B20" s="274" t="inlineStr">
        <is>
          <t>CallbackMessageEN</t>
        </is>
      </c>
      <c r="C20" s="275" t="inlineStr">
        <is>
          <t>Thank you, we will call you back at the time and date requested. Thank you again and have a great day!</t>
        </is>
      </c>
      <c r="D20" s="275" t="inlineStr">
        <is>
          <t>Gracias, lo volveremos a llamar a la hora y fecha indicadas. Nuevamente gracias y que tenga un excelente dia!</t>
        </is>
      </c>
      <c r="E20" s="275" t="n"/>
      <c r="F20" s="274" t="inlineStr">
        <is>
          <t>[OPERATOR: ENTER CALL NOTES BELOW, WHO YOU SPOKE TO AND WHAT THEY SAID]</t>
        </is>
      </c>
      <c r="G20" s="288" t="inlineStr">
        <is>
          <t>[OPERATEUR/OPERATRICE : SAISIR LES DONNÉES D'APPEL CI-DESSOUS, LE PERSONNE A QUI VOUS AVEZ PARLE ET CE QU'ELLE A DIT]</t>
        </is>
      </c>
      <c r="H20" s="288" t="n"/>
      <c r="I20" s="278" t="inlineStr">
        <is>
          <t>false</t>
        </is>
      </c>
      <c r="J20" s="278" t="n"/>
      <c r="K20" s="278" t="n"/>
      <c r="L20" s="278" t="n"/>
      <c r="M20" s="278" t="inlineStr">
        <is>
          <t>${resp_agree} = '3'</t>
        </is>
      </c>
      <c r="N20" s="278" t="n"/>
      <c r="O20" s="278" t="n"/>
      <c r="P20" s="278" t="n"/>
      <c r="U20" s="29" t="inlineStr">
        <is>
          <t>no</t>
        </is>
      </c>
      <c r="W20" s="282" t="n">
        <v>0</v>
      </c>
      <c r="X20" s="280" t="n">
        <v>0</v>
      </c>
      <c r="Y20" s="281" t="n"/>
      <c r="Z20" s="282">
        <f>IF(X20&lt;&gt;"",X20*Y20,"")</f>
        <v/>
      </c>
      <c r="AA20" s="282">
        <f>IF(AND(X20&lt;&gt;"",U20="yes"),X20*Y20,"")</f>
        <v/>
      </c>
    </row>
    <row r="21" ht="15.95" customFormat="1" customHeight="1" s="29">
      <c r="A21" s="33" t="inlineStr">
        <is>
          <t>note</t>
        </is>
      </c>
      <c r="B21" s="33" t="inlineStr">
        <is>
          <t>Refusal</t>
        </is>
      </c>
      <c r="C21" s="34" t="inlineStr">
        <is>
          <t>Thank you for your time, you will be removed from today's survey.</t>
        </is>
      </c>
      <c r="D21" s="34" t="inlineStr">
        <is>
          <t xml:space="preserve">Gracias por su tiempo, será descartado para la encuesta de hoy. </t>
        </is>
      </c>
      <c r="E21" s="52" t="n"/>
      <c r="F21" s="33" t="n"/>
      <c r="G21" s="33" t="n"/>
      <c r="H21" s="54" t="n"/>
      <c r="I21" s="73" t="inlineStr">
        <is>
          <t>false</t>
        </is>
      </c>
      <c r="J21" s="73" t="n"/>
      <c r="K21" s="73" t="n"/>
      <c r="L21" s="73" t="n"/>
      <c r="M21" s="73" t="inlineStr">
        <is>
          <t>${resp_agree} = '2'</t>
        </is>
      </c>
      <c r="N21" s="73" t="n"/>
      <c r="O21" s="73" t="n"/>
      <c r="P21" s="73" t="n"/>
      <c r="U21" s="29" t="inlineStr">
        <is>
          <t>no</t>
        </is>
      </c>
      <c r="W21" s="126" t="n">
        <v>0</v>
      </c>
      <c r="X21" s="113" t="n">
        <v>1</v>
      </c>
      <c r="Y21" s="114">
        <f>IF(W21&lt;&gt;"",W21*X21,"")</f>
        <v/>
      </c>
      <c r="Z21" s="114">
        <f>IF(AND(W21&lt;&gt;"",U21="yes"),W21*X21,"")</f>
        <v/>
      </c>
    </row>
    <row r="22" ht="15.95" customFormat="1" customHeight="1" s="29" thickBot="1">
      <c r="A22" s="43" t="n"/>
      <c r="B22" s="43" t="n"/>
      <c r="C22" s="44" t="n"/>
      <c r="D22" s="44" t="n"/>
      <c r="E22" s="45" t="n"/>
      <c r="F22" s="43" t="n"/>
      <c r="G22" s="43" t="n"/>
      <c r="H22" s="46" t="n"/>
      <c r="I22" s="75" t="n"/>
      <c r="J22" s="75" t="n"/>
      <c r="K22" s="75" t="n"/>
      <c r="L22" s="75" t="n"/>
      <c r="M22" s="75" t="n"/>
      <c r="N22" s="75" t="n"/>
      <c r="O22" s="75" t="n"/>
      <c r="P22" s="75" t="n"/>
      <c r="W22" s="126" t="n"/>
      <c r="X22" s="113" t="n"/>
      <c r="Y22" s="114">
        <f>IF(W22&lt;&gt;"",W22*X22,"")</f>
        <v/>
      </c>
      <c r="Z22" s="114">
        <f>IF(AND(W22&lt;&gt;"",U22="yes"),W22*X22,"")</f>
        <v/>
      </c>
    </row>
    <row r="23" ht="15.95" customFormat="1" customHeight="1" s="29" thickBot="1" thickTop="1">
      <c r="A23" s="43" t="inlineStr">
        <is>
          <t>end_group</t>
        </is>
      </c>
      <c r="B23" s="43" t="n"/>
      <c r="C23" s="44" t="n"/>
      <c r="D23" s="44" t="n"/>
      <c r="E23" s="45" t="n"/>
      <c r="F23" s="43" t="n"/>
      <c r="G23" s="43" t="n"/>
      <c r="H23" s="46" t="n"/>
      <c r="I23" s="75" t="n"/>
      <c r="J23" s="75" t="n"/>
      <c r="K23" s="75" t="n"/>
      <c r="L23" s="75" t="n"/>
      <c r="M23" s="75" t="n"/>
      <c r="N23" s="75" t="n"/>
      <c r="O23" s="75" t="n"/>
      <c r="P23" s="75" t="n"/>
      <c r="W23" s="126" t="n"/>
      <c r="X23" s="113" t="n"/>
      <c r="Y23" s="114">
        <f>IF(W23&lt;&gt;"",W23*X23,"")</f>
        <v/>
      </c>
      <c r="Z23" s="114">
        <f>IF(AND(W23&lt;&gt;"",U23="yes"),W23*X23,"")</f>
        <v/>
      </c>
    </row>
    <row r="24" ht="17.1" customFormat="1" customHeight="1" s="26" thickTop="1">
      <c r="A24" s="23" t="inlineStr">
        <is>
          <t>begin_group</t>
        </is>
      </c>
      <c r="B24" s="23" t="inlineStr">
        <is>
          <t>eligibility</t>
        </is>
      </c>
      <c r="C24" s="47" t="inlineStr">
        <is>
          <t>ELIGIBILITY CRITERIA</t>
        </is>
      </c>
      <c r="D24" s="47" t="inlineStr">
        <is>
          <t>Criterios de eligibilidad</t>
        </is>
      </c>
      <c r="E24" s="24" t="n"/>
      <c r="F24" s="23" t="n"/>
      <c r="G24" s="23" t="n"/>
      <c r="H24" s="25" t="n"/>
      <c r="I24" s="76" t="inlineStr">
        <is>
          <t>false</t>
        </is>
      </c>
      <c r="J24" s="76" t="n"/>
      <c r="K24" s="76" t="n"/>
      <c r="L24" s="76" t="n"/>
      <c r="M24" s="77" t="inlineStr">
        <is>
          <t>${resp_agree} = '1'</t>
        </is>
      </c>
      <c r="N24" s="76" t="n"/>
      <c r="O24" s="76" t="n"/>
      <c r="P24" s="76" t="n"/>
      <c r="U24" s="20" t="inlineStr">
        <is>
          <t>yes</t>
        </is>
      </c>
      <c r="W24" s="126" t="n"/>
      <c r="X24" s="113" t="n"/>
      <c r="Y24" s="114">
        <f>IF(W24&lt;&gt;"",W24*X24,"")</f>
        <v/>
      </c>
      <c r="Z24" s="114">
        <f>IF(AND(W24&lt;&gt;"",U24="yes"),W24*X24,"")</f>
        <v/>
      </c>
      <c r="AA24" s="27" t="n"/>
    </row>
    <row r="25" customFormat="1" s="30">
      <c r="C25" s="31" t="n"/>
      <c r="D25" s="31" t="n"/>
      <c r="E25" s="32" t="n"/>
      <c r="H25" s="36" t="n"/>
      <c r="I25" s="72" t="n"/>
      <c r="J25" s="72" t="n"/>
      <c r="K25" s="72" t="n"/>
      <c r="L25" s="72" t="n"/>
      <c r="M25" s="72" t="n"/>
      <c r="N25" s="72" t="n"/>
      <c r="O25" s="72" t="n"/>
      <c r="P25" s="72" t="n"/>
      <c r="W25" s="126" t="n"/>
      <c r="X25" s="29" t="n"/>
      <c r="Y25" s="114">
        <f>IF(W25&lt;&gt;"",W25*X25,"")</f>
        <v/>
      </c>
      <c r="Z25" s="114">
        <f>IF(AND(W25&lt;&gt;"",U25="yes"),W25*X25,"")</f>
        <v/>
      </c>
      <c r="AA25" s="29" t="n"/>
    </row>
    <row r="26" ht="15.95" customFormat="1" customHeight="1" s="30">
      <c r="A26" s="33" t="inlineStr">
        <is>
          <t>text</t>
        </is>
      </c>
      <c r="B26" s="33" t="inlineStr">
        <is>
          <t>resp_firstname</t>
        </is>
      </c>
      <c r="C26" s="34" t="inlineStr">
        <is>
          <t>What is your first name?</t>
        </is>
      </c>
      <c r="D26" s="34" t="inlineStr">
        <is>
          <t>¿Cuál es su nombre?</t>
        </is>
      </c>
      <c r="E26" s="32" t="n"/>
      <c r="F26" s="29" t="inlineStr">
        <is>
          <t>[INSTRUCTIONS: RECORD THE RESPONDENT'S FIRST NAME. ENTER 999 FOR REFUSED]</t>
        </is>
      </c>
      <c r="G26" s="28" t="inlineStr">
        <is>
          <t>[ENCUESTADOR/A: REGISTRE EL NOMBRE DEL ENCUESTADO.ESCRIBA 999 PARA "NO RESPONDE"]</t>
        </is>
      </c>
      <c r="H26" s="36" t="n"/>
      <c r="I26" s="73" t="inlineStr">
        <is>
          <t>true</t>
        </is>
      </c>
      <c r="J26" s="73" t="n"/>
      <c r="K26" s="73" t="n"/>
      <c r="L26" s="73" t="n"/>
      <c r="M26" s="73" t="n"/>
      <c r="N26" s="73" t="n"/>
      <c r="O26" s="73" t="n"/>
      <c r="P26" s="73" t="n"/>
      <c r="U26" s="29" t="inlineStr">
        <is>
          <t>yes</t>
        </is>
      </c>
      <c r="W26" s="126" t="n">
        <v>10</v>
      </c>
      <c r="X26" s="113">
        <f>1</f>
        <v/>
      </c>
      <c r="Y26" s="114">
        <f>IF(W26&lt;&gt;"",W26*X26,"")</f>
        <v/>
      </c>
      <c r="Z26" s="114">
        <f>IF(AND(W26&lt;&gt;"",U26="yes"),W26*X26,"")</f>
        <v/>
      </c>
      <c r="AA26" s="29" t="n"/>
    </row>
    <row r="27" ht="15.95" customFormat="1" customHeight="1" s="30">
      <c r="A27" s="33" t="inlineStr">
        <is>
          <t>text</t>
        </is>
      </c>
      <c r="B27" s="33" t="inlineStr">
        <is>
          <t>resp_lastname</t>
        </is>
      </c>
      <c r="C27" s="34" t="inlineStr">
        <is>
          <t>What is your last name?</t>
        </is>
      </c>
      <c r="D27" s="34" t="inlineStr">
        <is>
          <t>¿Cuál es su apellido?</t>
        </is>
      </c>
      <c r="E27" s="32" t="n"/>
      <c r="F27" s="29" t="inlineStr">
        <is>
          <t>[INSTRUCTIONS: RECORD THE RESPONDENT'S LAST NAME. ENTER 999 FOR REFUSED]</t>
        </is>
      </c>
      <c r="G27" s="28" t="inlineStr">
        <is>
          <t>[ENCUESTADOR/A: REGISTRE EL APELLIDO DEL ENCUESTADO.ESCRIBA 999 PARA "NO RESPONDE"]</t>
        </is>
      </c>
      <c r="H27" s="36" t="n"/>
      <c r="I27" s="73" t="inlineStr">
        <is>
          <t>true</t>
        </is>
      </c>
      <c r="J27" s="73" t="n"/>
      <c r="K27" s="73" t="n"/>
      <c r="L27" s="73" t="n"/>
      <c r="M27" s="73" t="n"/>
      <c r="N27" s="73" t="n"/>
      <c r="O27" s="73" t="n"/>
      <c r="P27" s="73" t="n"/>
      <c r="U27" s="29" t="inlineStr">
        <is>
          <t>yes</t>
        </is>
      </c>
      <c r="W27" s="126" t="n">
        <v>10</v>
      </c>
      <c r="X27" s="113">
        <f>1</f>
        <v/>
      </c>
      <c r="Y27" s="114">
        <f>IF(W27&lt;&gt;"",W27*X27,"")</f>
        <v/>
      </c>
      <c r="Z27" s="114">
        <f>IF(AND(W27&lt;&gt;"",U27="yes"),W27*X27,"")</f>
        <v/>
      </c>
      <c r="AA27" s="29" t="n"/>
    </row>
    <row r="28" customFormat="1" s="30">
      <c r="C28" s="31" t="n"/>
      <c r="D28" s="31" t="n"/>
      <c r="E28" s="32" t="n"/>
      <c r="H28" s="36" t="n"/>
      <c r="I28" s="72" t="n"/>
      <c r="J28" s="72" t="n"/>
      <c r="K28" s="72" t="n"/>
      <c r="L28" s="72" t="n"/>
      <c r="M28" s="72" t="n"/>
      <c r="N28" s="72" t="n"/>
      <c r="O28" s="72" t="n"/>
      <c r="P28" s="72" t="n"/>
      <c r="W28" s="126" t="n"/>
      <c r="X28" s="113">
        <f>1</f>
        <v/>
      </c>
      <c r="Y28" s="114">
        <f>IF(W28&lt;&gt;"",W28*X28,"")</f>
        <v/>
      </c>
      <c r="Z28" s="114">
        <f>IF(AND(W28&lt;&gt;"",U28="yes"),W28*X28,"")</f>
        <v/>
      </c>
      <c r="AA28" s="29" t="n"/>
    </row>
    <row r="29" ht="15.95" customHeight="1">
      <c r="A29" s="28" t="inlineStr">
        <is>
          <t>integer</t>
        </is>
      </c>
      <c r="B29" s="28" t="inlineStr">
        <is>
          <t>resp_age</t>
        </is>
      </c>
      <c r="C29" s="19" t="inlineStr">
        <is>
          <t>How old are you?</t>
        </is>
      </c>
      <c r="D29" s="19" t="inlineStr">
        <is>
          <t>¿Qué edad tiene?</t>
        </is>
      </c>
      <c r="E29" s="52" t="n"/>
      <c r="F29" s="33" t="inlineStr">
        <is>
          <t>[INSTRUCTIONS: RECORD AGE IN NUMBER OF YEARS. ROUND UP TO NEAREST WHOLE NUMBER. IF THE RESPONDENT GIVES BIRTH YEAR, REPEAT THE QUESTION. ENTER 888 FOR DON'T KNOW.]</t>
        </is>
      </c>
      <c r="G29" s="28" t="inlineStr">
        <is>
          <t>[ENCUESTADOR/A: REGISTRE LA EDAD EN AÑOS. REDONDEE AL NÚMERO ENTERO MÁS CERCANO. SI EL ENCUESTADO DA SU FECHA DE NACIMIENTO, VUELVA A REPETIR LA PREGUNTA. ESCRIBA 888 PARA "NO SABE"]</t>
        </is>
      </c>
      <c r="H29" s="42" t="n"/>
      <c r="I29" s="71" t="inlineStr">
        <is>
          <t>true</t>
        </is>
      </c>
      <c r="J29" s="71" t="n"/>
      <c r="K29" s="71" t="inlineStr">
        <is>
          <t>(. &gt;= 18 and . &lt;= 100) or . = 888</t>
        </is>
      </c>
      <c r="L29" s="71" t="n"/>
      <c r="M29" s="71" t="n"/>
      <c r="N29" s="71" t="n"/>
      <c r="O29" s="71" t="n"/>
      <c r="P29" s="71" t="n"/>
      <c r="U29" s="20" t="inlineStr">
        <is>
          <t>yes</t>
        </is>
      </c>
      <c r="W29" s="126" t="n">
        <v>13.75307273864746</v>
      </c>
      <c r="X29" s="113">
        <f>1</f>
        <v/>
      </c>
      <c r="Y29" s="114">
        <f>IF(W29&lt;&gt;"",W29*X29,"")</f>
        <v/>
      </c>
      <c r="Z29" s="114">
        <f>IF(AND(W29&lt;&gt;"",U29="yes"),W29*X29,"")</f>
        <v/>
      </c>
    </row>
    <row r="30">
      <c r="E30" s="41" t="n"/>
      <c r="H30" s="42" t="n"/>
      <c r="W30" s="126" t="n"/>
      <c r="X30" s="113">
        <f>1</f>
        <v/>
      </c>
      <c r="Y30" s="114">
        <f>IF(W30&lt;&gt;"",W30*X30,"")</f>
        <v/>
      </c>
      <c r="Z30" s="114">
        <f>IF(AND(W30&lt;&gt;"",U30="yes"),W30*X30,"")</f>
        <v/>
      </c>
    </row>
    <row r="31" ht="15.95" customFormat="1" customHeight="1" s="29">
      <c r="A31" s="33" t="inlineStr">
        <is>
          <t>select_one gender</t>
        </is>
      </c>
      <c r="B31" s="33" t="inlineStr">
        <is>
          <t>resp_gender</t>
        </is>
      </c>
      <c r="C31" s="34" t="inlineStr">
        <is>
          <t>What is the gender of the respondent?</t>
        </is>
      </c>
      <c r="D31" s="22" t="inlineStr">
        <is>
          <t>¿Cuál es el género del encuestado?</t>
        </is>
      </c>
      <c r="E31" s="52" t="n"/>
      <c r="F31" s="29" t="inlineStr">
        <is>
          <t>[INSTRUCTIONS: DO NOT ASK THIS QUESTION OUT LOUD. SELECT THE GENDER OF THE RESPONDENT.]</t>
        </is>
      </c>
      <c r="G31" s="29" t="inlineStr">
        <is>
          <t>[ENCUESTADOR/A: NO LEA LA PREGUNTA EN VOZ ALTA. SELECCIONE EL GENERO DEL ENCUESTADO.]</t>
        </is>
      </c>
      <c r="H31" s="54" t="n"/>
      <c r="I31" s="83" t="inlineStr">
        <is>
          <t>true</t>
        </is>
      </c>
      <c r="J31" s="83" t="n"/>
      <c r="K31" s="83" t="n"/>
      <c r="L31" s="83" t="n"/>
      <c r="M31" s="83" t="n"/>
      <c r="N31" s="83" t="n"/>
      <c r="O31" s="83" t="n"/>
      <c r="P31" s="83" t="n"/>
      <c r="U31" s="29" t="inlineStr">
        <is>
          <t>yes</t>
        </is>
      </c>
      <c r="W31" s="126" t="n">
        <v>2.117356061935425</v>
      </c>
      <c r="X31" s="113">
        <f>1</f>
        <v/>
      </c>
      <c r="Y31" s="114">
        <f>IF(W31&lt;&gt;"",W31*X31,"")</f>
        <v/>
      </c>
      <c r="Z31" s="114">
        <f>IF(AND(W31&lt;&gt;"",U31="yes"),W31*X31,"")</f>
        <v/>
      </c>
    </row>
    <row r="32" customFormat="1" s="30">
      <c r="C32" s="31" t="n"/>
      <c r="D32" s="31" t="n"/>
      <c r="E32" s="32" t="n"/>
      <c r="H32" s="36" t="n"/>
      <c r="I32" s="72" t="n"/>
      <c r="J32" s="72" t="n"/>
      <c r="K32" s="72" t="n"/>
      <c r="L32" s="79" t="n"/>
      <c r="M32" s="72" t="n"/>
      <c r="N32" s="72" t="n"/>
      <c r="O32" s="72" t="n"/>
      <c r="P32" s="72" t="n"/>
      <c r="W32" s="126" t="n"/>
      <c r="X32" s="113">
        <f>1</f>
        <v/>
      </c>
      <c r="Y32" s="114">
        <f>IF(W32&lt;&gt;"",W32*X32,"")</f>
        <v/>
      </c>
      <c r="Z32" s="114">
        <f>IF(AND(W32&lt;&gt;"",U32="yes"),W32*X32,"")</f>
        <v/>
      </c>
      <c r="AA32" s="29" t="n"/>
    </row>
    <row r="33" ht="15.95" customFormat="1" customHeight="1" s="49">
      <c r="A33" s="107" t="inlineStr">
        <is>
          <t>text</t>
        </is>
      </c>
      <c r="B33" s="107" t="inlineStr">
        <is>
          <t>phone_number_personal</t>
        </is>
      </c>
      <c r="C33" s="108" t="inlineStr">
        <is>
          <t>What is your phone number?</t>
        </is>
      </c>
      <c r="D33" s="108" t="inlineStr">
        <is>
          <t>¿Cuál es su número de teléfono?</t>
        </is>
      </c>
      <c r="E33" s="110" t="n"/>
      <c r="F33" s="109" t="n"/>
      <c r="G33" s="109" t="n"/>
      <c r="H33" s="111" t="n"/>
      <c r="I33" s="106" t="inlineStr">
        <is>
          <t>true</t>
        </is>
      </c>
      <c r="J33" s="106" t="inlineStr">
        <is>
          <t>numbers</t>
        </is>
      </c>
      <c r="K33" s="81" t="inlineStr">
        <is>
          <t>regex(.,’^[0-9]{8}$’)</t>
        </is>
      </c>
      <c r="L33" s="106" t="inlineStr">
        <is>
          <t>Please enter the telephone number in the correct format, e.g. ********</t>
        </is>
      </c>
      <c r="M33" s="106" t="n"/>
      <c r="N33" s="106" t="n"/>
      <c r="O33" s="106" t="n"/>
      <c r="P33" s="80" t="n"/>
      <c r="U33" s="109" t="inlineStr">
        <is>
          <t>yes - panel</t>
        </is>
      </c>
      <c r="W33" s="126" t="n">
        <v>10</v>
      </c>
      <c r="X33" s="113">
        <f>1</f>
        <v/>
      </c>
      <c r="Y33" s="114">
        <f>IF(W33&lt;&gt;"",W33*X33,"")</f>
        <v/>
      </c>
      <c r="Z33" s="114">
        <f>IF(AND(W33&lt;&gt;"",U33="yes"),W33*X33,"")</f>
        <v/>
      </c>
    </row>
    <row r="34" ht="48" customFormat="1" customHeight="1" s="49">
      <c r="A34" s="107" t="inlineStr">
        <is>
          <t>select_one contact_info</t>
        </is>
      </c>
      <c r="B34" s="107" t="inlineStr">
        <is>
          <t>contact_2</t>
        </is>
      </c>
      <c r="C34" s="108" t="inlineStr">
        <is>
          <t>Can you give me an additional phone number belonging to you, another household member or a close relation living outside of the household at which you can be reached?</t>
        </is>
      </c>
      <c r="D34" s="108" t="inlineStr">
        <is>
          <t>¿Me podría dar un número de teléfono adicional que le pertenezca a usted, algún miembro de su hogar, o algún pariente o amigo cercano que viva fuera del hogar, y en el cuál pueda ser contactado en el futuro?</t>
        </is>
      </c>
      <c r="E34" s="110" t="n"/>
      <c r="F34" s="109" t="n"/>
      <c r="G34" s="109" t="n"/>
      <c r="H34" s="111" t="n"/>
      <c r="I34" s="106" t="inlineStr">
        <is>
          <t>true</t>
        </is>
      </c>
      <c r="J34" s="106" t="n"/>
      <c r="K34" s="80" t="n"/>
      <c r="L34" s="106" t="n"/>
      <c r="M34" s="106" t="n"/>
      <c r="N34" s="106" t="n"/>
      <c r="O34" s="106" t="n"/>
      <c r="P34" s="80" t="n"/>
      <c r="U34" s="109" t="inlineStr">
        <is>
          <t>yes - panel</t>
        </is>
      </c>
      <c r="W34" s="126" t="n">
        <v>10</v>
      </c>
      <c r="X34" s="113">
        <f>1</f>
        <v/>
      </c>
      <c r="Y34" s="114">
        <f>IF(W34&lt;&gt;"",W34*X34,"")</f>
        <v/>
      </c>
      <c r="Z34" s="114">
        <f>IF(AND(W34&lt;&gt;"",U34="yes"),W34*X34,"")</f>
        <v/>
      </c>
    </row>
    <row r="35" ht="15.95" customFormat="1" customHeight="1" s="49">
      <c r="A35" s="107" t="inlineStr">
        <is>
          <t>text</t>
        </is>
      </c>
      <c r="B35" s="107" t="inlineStr">
        <is>
          <t>phone_number_2</t>
        </is>
      </c>
      <c r="C35" s="108" t="inlineStr">
        <is>
          <t>What is the additional phone number?</t>
        </is>
      </c>
      <c r="D35" s="108" t="inlineStr">
        <is>
          <t>¿Cuál es el número telefónico adicional?</t>
        </is>
      </c>
      <c r="E35" s="110" t="n"/>
      <c r="F35" s="109" t="n"/>
      <c r="G35" s="109" t="n"/>
      <c r="H35" s="111" t="n"/>
      <c r="I35" s="106" t="inlineStr">
        <is>
          <t>true</t>
        </is>
      </c>
      <c r="J35" s="106" t="inlineStr">
        <is>
          <t>numbers</t>
        </is>
      </c>
      <c r="K35" s="81" t="inlineStr">
        <is>
          <t>regex(.,’^[0-9]{8}$’)</t>
        </is>
      </c>
      <c r="L35" s="106" t="inlineStr">
        <is>
          <t>Please enter the telephone number in the correct format, e.g. ********</t>
        </is>
      </c>
      <c r="M35" s="106" t="inlineStr">
        <is>
          <t xml:space="preserve">${contact_2} = '1' or ${contact_2} = '2' or ${contact_2} = '3' </t>
        </is>
      </c>
      <c r="N35" s="106" t="n"/>
      <c r="O35" s="106" t="n"/>
      <c r="P35" s="80" t="n"/>
      <c r="U35" s="109" t="inlineStr">
        <is>
          <t>yes - panel</t>
        </is>
      </c>
      <c r="W35" s="126" t="n">
        <v>10</v>
      </c>
      <c r="X35" s="113">
        <f>1</f>
        <v/>
      </c>
      <c r="Y35" s="114">
        <f>IF(W35&lt;&gt;"",W35*X35,"")</f>
        <v/>
      </c>
      <c r="Z35" s="114">
        <f>IF(AND(W35&lt;&gt;"",U35="yes"),W35*X35,"")</f>
        <v/>
      </c>
    </row>
    <row r="36" ht="15.95" customFormat="1" customHeight="1" s="49">
      <c r="A36" s="107" t="inlineStr">
        <is>
          <t>text</t>
        </is>
      </c>
      <c r="B36" s="107" t="inlineStr">
        <is>
          <t>contact_2_name</t>
        </is>
      </c>
      <c r="C36" s="108" t="inlineStr">
        <is>
          <t>What is the name of the contact?</t>
        </is>
      </c>
      <c r="D36" s="108" t="inlineStr">
        <is>
          <t>¿Cuál es el nombre del dueño del teléfono adicional?</t>
        </is>
      </c>
      <c r="E36" s="110" t="n"/>
      <c r="F36" s="109" t="n"/>
      <c r="G36" s="109" t="n"/>
      <c r="H36" s="111" t="n"/>
      <c r="I36" s="106" t="inlineStr">
        <is>
          <t>true</t>
        </is>
      </c>
      <c r="J36" s="106" t="n"/>
      <c r="K36" s="80" t="n"/>
      <c r="L36" s="106" t="n"/>
      <c r="M36" s="106" t="inlineStr">
        <is>
          <t xml:space="preserve">${contact_2} = '2' or ${contact_2} = '3' </t>
        </is>
      </c>
      <c r="N36" s="106" t="n"/>
      <c r="O36" s="106" t="n"/>
      <c r="P36" s="80" t="n"/>
      <c r="U36" s="109" t="inlineStr">
        <is>
          <t>yes - panel</t>
        </is>
      </c>
      <c r="W36" s="126" t="n">
        <v>10</v>
      </c>
      <c r="X36" s="113">
        <f>1</f>
        <v/>
      </c>
      <c r="Y36" s="114">
        <f>IF(W36&lt;&gt;"",W36*X36,"")</f>
        <v/>
      </c>
      <c r="Z36" s="114">
        <f>IF(AND(W36&lt;&gt;"",U36="yes"),W36*X36,"")</f>
        <v/>
      </c>
    </row>
    <row r="37" ht="48" customFormat="1" customHeight="1" s="49">
      <c r="A37" s="107" t="inlineStr">
        <is>
          <t>select_one contact_info</t>
        </is>
      </c>
      <c r="B37" s="107" t="inlineStr">
        <is>
          <t>contact_3</t>
        </is>
      </c>
      <c r="C37" s="108" t="inlineStr">
        <is>
          <t>Can you give me an additional phone number belonging to you, another household member or a close relation living outside of the household at which you can be reached?</t>
        </is>
      </c>
      <c r="D37" s="108" t="inlineStr">
        <is>
          <t>¿Me podría dar un número de teléfono adicional que le pertenezca a usted, algún miembro de su hogar, o algún pariente o amigo cercano que viva fuera del hogar, y en el cuál pueda ser contactado en el futuro?</t>
        </is>
      </c>
      <c r="E37" s="110" t="n"/>
      <c r="F37" s="20" t="n"/>
      <c r="G37" s="20" t="n"/>
      <c r="H37" s="111" t="n"/>
      <c r="I37" s="106" t="inlineStr">
        <is>
          <t>true</t>
        </is>
      </c>
      <c r="J37" s="106" t="n"/>
      <c r="K37" s="80" t="n"/>
      <c r="L37" s="106" t="n"/>
      <c r="M37" s="106" t="inlineStr">
        <is>
          <t xml:space="preserve">${contact_2} = '1' or ${contact_2} = '2' or ${contact_2} = '3' </t>
        </is>
      </c>
      <c r="N37" s="106" t="n"/>
      <c r="O37" s="106" t="n"/>
      <c r="P37" s="80" t="n"/>
      <c r="U37" s="109" t="inlineStr">
        <is>
          <t>yes - panel</t>
        </is>
      </c>
      <c r="W37" s="126" t="n">
        <v>10</v>
      </c>
      <c r="X37" s="113">
        <f>1</f>
        <v/>
      </c>
      <c r="Y37" s="114">
        <f>IF(W37&lt;&gt;"",W37*X37,"")</f>
        <v/>
      </c>
      <c r="Z37" s="114">
        <f>IF(AND(W37&lt;&gt;"",U37="yes"),W37*X37,"")</f>
        <v/>
      </c>
    </row>
    <row r="38" ht="15.95" customFormat="1" customHeight="1" s="49">
      <c r="A38" s="107" t="inlineStr">
        <is>
          <t>text</t>
        </is>
      </c>
      <c r="B38" s="107" t="inlineStr">
        <is>
          <t>phone_number_3</t>
        </is>
      </c>
      <c r="C38" s="108" t="inlineStr">
        <is>
          <t>What is the additional phone number?</t>
        </is>
      </c>
      <c r="D38" s="108" t="inlineStr">
        <is>
          <t>¿Cuál es el número telefónico adicional?</t>
        </is>
      </c>
      <c r="E38" s="110" t="n"/>
      <c r="F38" s="109" t="n"/>
      <c r="G38" s="109" t="n"/>
      <c r="H38" s="111" t="n"/>
      <c r="I38" s="106" t="inlineStr">
        <is>
          <t>true</t>
        </is>
      </c>
      <c r="J38" s="106" t="inlineStr">
        <is>
          <t>numbers</t>
        </is>
      </c>
      <c r="K38" s="81" t="inlineStr">
        <is>
          <t>regex(.,’^[0-9]{8}$’)</t>
        </is>
      </c>
      <c r="L38" s="106" t="inlineStr">
        <is>
          <t>Please enter the telephone number in the correct format, e.g. ********</t>
        </is>
      </c>
      <c r="M38" s="106" t="inlineStr">
        <is>
          <t xml:space="preserve">${contact_3} = '1' or ${contact_3} = '2' or ${contact_3} = '3' </t>
        </is>
      </c>
      <c r="N38" s="106" t="n"/>
      <c r="O38" s="106" t="n"/>
      <c r="P38" s="80" t="n"/>
      <c r="U38" s="109" t="inlineStr">
        <is>
          <t>yes - panel</t>
        </is>
      </c>
      <c r="W38" s="126" t="n">
        <v>10</v>
      </c>
      <c r="X38" s="113">
        <f>1</f>
        <v/>
      </c>
      <c r="Y38" s="114">
        <f>IF(W38&lt;&gt;"",W38*X38,"")</f>
        <v/>
      </c>
      <c r="Z38" s="114">
        <f>IF(AND(W38&lt;&gt;"",U38="yes"),W38*X38,"")</f>
        <v/>
      </c>
    </row>
    <row r="39" ht="15.95" customFormat="1" customHeight="1" s="49">
      <c r="A39" s="107" t="inlineStr">
        <is>
          <t>text</t>
        </is>
      </c>
      <c r="B39" s="107" t="inlineStr">
        <is>
          <t>contact_3_name</t>
        </is>
      </c>
      <c r="C39" s="108" t="inlineStr">
        <is>
          <t>What is the name of the contact?</t>
        </is>
      </c>
      <c r="D39" s="108" t="inlineStr">
        <is>
          <t>¿Cuál es el nombre del dueño del teléfono adicional?</t>
        </is>
      </c>
      <c r="E39" s="110" t="n"/>
      <c r="F39" s="109" t="n"/>
      <c r="G39" s="109" t="n"/>
      <c r="H39" s="111" t="n"/>
      <c r="I39" s="106" t="inlineStr">
        <is>
          <t>true</t>
        </is>
      </c>
      <c r="J39" s="106" t="n"/>
      <c r="K39" s="80" t="n"/>
      <c r="L39" s="106" t="n"/>
      <c r="M39" s="106" t="inlineStr">
        <is>
          <t xml:space="preserve">${contact_3} = '2' or ${contact_3} = '3' </t>
        </is>
      </c>
      <c r="N39" s="106" t="n"/>
      <c r="O39" s="106" t="n"/>
      <c r="P39" s="80" t="n"/>
      <c r="U39" s="109" t="inlineStr">
        <is>
          <t>yes - panel</t>
        </is>
      </c>
      <c r="W39" s="126" t="n">
        <v>10</v>
      </c>
      <c r="X39" s="113">
        <f>1</f>
        <v/>
      </c>
      <c r="Y39" s="114">
        <f>IF(W39&lt;&gt;"",W39*X39,"")</f>
        <v/>
      </c>
      <c r="Z39" s="114">
        <f>IF(AND(W39&lt;&gt;"",U39="yes"),W39*X39,"")</f>
        <v/>
      </c>
    </row>
    <row r="40" customFormat="1" s="30">
      <c r="C40" s="31" t="n"/>
      <c r="D40" s="31" t="n"/>
      <c r="E40" s="32" t="n"/>
      <c r="H40" s="36" t="n"/>
      <c r="I40" s="72" t="n"/>
      <c r="J40" s="72" t="n"/>
      <c r="K40" s="72" t="n"/>
      <c r="L40" s="79" t="n"/>
      <c r="M40" s="72" t="n"/>
      <c r="N40" s="72" t="n"/>
      <c r="O40" s="72" t="n"/>
      <c r="P40" s="72" t="n"/>
      <c r="W40" s="126" t="n"/>
      <c r="X40" s="113">
        <f>1</f>
        <v/>
      </c>
      <c r="Y40" s="114">
        <f>IF(W40&lt;&gt;"",W40*X40,"")</f>
        <v/>
      </c>
      <c r="Z40" s="114">
        <f>IF(AND(W40&lt;&gt;"",U40="yes"),W40*X40,"")</f>
        <v/>
      </c>
      <c r="AA40" s="29" t="n"/>
    </row>
    <row r="41" ht="15.95" customHeight="1">
      <c r="A41" s="28" t="inlineStr">
        <is>
          <t>select_one admin1</t>
        </is>
      </c>
      <c r="B41" s="28" t="inlineStr">
        <is>
          <t>adm1_pcode</t>
        </is>
      </c>
      <c r="C41" s="19" t="inlineStr">
        <is>
          <t>Currently, in which Departamento does your household reside?</t>
        </is>
      </c>
      <c r="D41" s="19" t="inlineStr">
        <is>
          <t>Actualmente, ¿en qué #ADMIN1 ES# reside su hogar?</t>
        </is>
      </c>
      <c r="E41" s="41" t="n"/>
      <c r="F41" s="28" t="inlineStr">
        <is>
          <t>[HINT: HOUSEHOLD CONSISTS OF ALL MEMBERS LIVING TOGETHER, SHARING RESOURCES &amp; EATING FROM THE SAME POT.]</t>
        </is>
      </c>
      <c r="G41" s="28" t="inlineStr">
        <is>
          <t>[PISTA: EL HOGAR ES EL ESPACIO DONDE TODOS LOS MIEMBROS VIVEN JUNTOS, COMPARTEN RECURSOS Y COMEN DE LA MISMA OLLA.]</t>
        </is>
      </c>
      <c r="H41" s="42" t="n"/>
      <c r="I41" s="71" t="inlineStr">
        <is>
          <t>true</t>
        </is>
      </c>
      <c r="J41" s="71" t="inlineStr">
        <is>
          <t>autocomplete</t>
        </is>
      </c>
      <c r="K41" s="71" t="n"/>
      <c r="L41" s="80" t="n"/>
      <c r="M41" s="71" t="n"/>
      <c r="N41" s="71" t="n"/>
      <c r="O41" s="71" t="n"/>
      <c r="P41" s="71" t="n"/>
      <c r="U41" s="20" t="inlineStr">
        <is>
          <t>yes</t>
        </is>
      </c>
      <c r="W41" s="126" t="n">
        <v>8.800000000000001</v>
      </c>
      <c r="X41" s="113">
        <f>1</f>
        <v/>
      </c>
      <c r="Y41" s="114">
        <f>IF(W41&lt;&gt;"",W41*X41,"")</f>
        <v/>
      </c>
      <c r="Z41" s="114">
        <f>IF(AND(W41&lt;&gt;"",U41="yes"),W41*X41,"")</f>
        <v/>
      </c>
    </row>
    <row r="42">
      <c r="A42" s="28" t="inlineStr">
        <is>
          <t>calculate</t>
        </is>
      </c>
      <c r="B42" s="28" t="inlineStr">
        <is>
          <t>adm1_name</t>
        </is>
      </c>
      <c r="C42" s="19" t="n"/>
      <c r="D42" s="19" t="n"/>
      <c r="E42" s="41" t="n"/>
      <c r="F42" s="28" t="n"/>
      <c r="G42" s="28" t="n"/>
      <c r="H42" s="42" t="n"/>
      <c r="I42" s="71" t="n"/>
      <c r="J42" s="71" t="n"/>
      <c r="K42" s="71" t="n"/>
      <c r="L42" s="71" t="n"/>
      <c r="M42" s="71" t="n"/>
      <c r="N42" s="71" t="n"/>
      <c r="O42" s="71" t="n"/>
      <c r="P42" s="71" t="inlineStr">
        <is>
          <t>jr:choice-name(${adm1_pcode},'${adm1_pcode}')</t>
        </is>
      </c>
      <c r="U42" s="20" t="inlineStr">
        <is>
          <t>yes</t>
        </is>
      </c>
      <c r="W42" s="126" t="n"/>
      <c r="X42" s="113">
        <f>1</f>
        <v/>
      </c>
      <c r="Y42" s="114">
        <f>IF(W42&lt;&gt;"",W42*X42,"")</f>
        <v/>
      </c>
      <c r="Z42" s="114">
        <f>IF(AND(W42&lt;&gt;"",U42="yes"),W42*X42,"")</f>
        <v/>
      </c>
    </row>
    <row r="43" ht="15.95" customHeight="1">
      <c r="A43" s="28" t="inlineStr">
        <is>
          <t>select_one admin2</t>
        </is>
      </c>
      <c r="B43" s="28" t="inlineStr">
        <is>
          <t xml:space="preserve">adm2_pcode </t>
        </is>
      </c>
      <c r="C43" s="19" t="inlineStr">
        <is>
          <t>Currently, in which Municipio does your household reside?</t>
        </is>
      </c>
      <c r="D43" s="19" t="inlineStr">
        <is>
          <t>Actualmente, ¿en qué #ADMIN2 ES# reside su hogar?</t>
        </is>
      </c>
      <c r="E43" s="41" t="n"/>
      <c r="F43" s="28" t="n"/>
      <c r="G43" s="19" t="n"/>
      <c r="H43" s="42" t="n"/>
      <c r="I43" s="71" t="inlineStr">
        <is>
          <t>true</t>
        </is>
      </c>
      <c r="J43" s="71" t="inlineStr">
        <is>
          <t>autocomplete</t>
        </is>
      </c>
      <c r="K43" s="71" t="n"/>
      <c r="L43" s="71" t="n"/>
      <c r="M43" s="71" t="n"/>
      <c r="N43" s="71" t="inlineStr">
        <is>
          <t>my_filter_admin=${adm1_pcode}</t>
        </is>
      </c>
      <c r="O43" s="71" t="n"/>
      <c r="P43" s="71" t="n"/>
      <c r="U43" s="20" t="inlineStr">
        <is>
          <t>yes</t>
        </is>
      </c>
      <c r="W43" s="126" t="n">
        <v>10.4</v>
      </c>
      <c r="X43" s="113">
        <f>1</f>
        <v/>
      </c>
      <c r="Y43" s="114">
        <f>IF(W43&lt;&gt;"",W43*X43,"")</f>
        <v/>
      </c>
      <c r="Z43" s="114">
        <f>IF(AND(W43&lt;&gt;"",U43="yes"),W43*X43,"")</f>
        <v/>
      </c>
    </row>
    <row r="44">
      <c r="A44" s="28" t="inlineStr">
        <is>
          <t>calculate</t>
        </is>
      </c>
      <c r="B44" s="28" t="inlineStr">
        <is>
          <t>adm2_name</t>
        </is>
      </c>
      <c r="C44" s="19" t="n"/>
      <c r="D44" s="19" t="n"/>
      <c r="E44" s="41" t="n"/>
      <c r="F44" s="28" t="n"/>
      <c r="G44" s="28" t="n"/>
      <c r="H44" s="42" t="n"/>
      <c r="I44" s="71" t="n"/>
      <c r="J44" s="71" t="n"/>
      <c r="K44" s="71" t="n"/>
      <c r="L44" s="71" t="n"/>
      <c r="M44" s="71" t="n"/>
      <c r="N44" s="71" t="n"/>
      <c r="O44" s="71" t="n"/>
      <c r="P44" s="71" t="inlineStr">
        <is>
          <t>jr:choice-name(${adm2_pcode},'${adm2_pcode}')</t>
        </is>
      </c>
      <c r="U44" s="20" t="inlineStr">
        <is>
          <t>yes</t>
        </is>
      </c>
      <c r="W44" s="126" t="n"/>
      <c r="X44" s="113">
        <f>1</f>
        <v/>
      </c>
      <c r="Y44" s="114">
        <f>IF(W44&lt;&gt;"",W44*X44,"")</f>
        <v/>
      </c>
      <c r="Z44" s="114">
        <f>IF(AND(W44&lt;&gt;"",U44="yes"),W44*X44,"")</f>
        <v/>
      </c>
    </row>
    <row r="45" ht="32.1" customFormat="1" customHeight="1" s="29">
      <c r="A45" s="29" t="inlineStr">
        <is>
          <t>select_one ea</t>
        </is>
      </c>
      <c r="B45" s="29" t="inlineStr">
        <is>
          <t>cluster</t>
        </is>
      </c>
      <c r="C45" s="22" t="inlineStr">
        <is>
          <t>[DO NOT READ TO RESPONDENT] Select the enumeration area in which you are conducting this interview.</t>
        </is>
      </c>
      <c r="D45" s="22" t="inlineStr">
        <is>
          <t>[NO LEA AL ENCUESTADO] Seleccione el área de enumeración en la que está realizando esta entrevista.</t>
        </is>
      </c>
      <c r="E45" s="52" t="n"/>
      <c r="H45" s="54" t="n"/>
      <c r="I45" s="78" t="inlineStr">
        <is>
          <t>true</t>
        </is>
      </c>
      <c r="J45" s="78" t="inlineStr">
        <is>
          <t>autocomplete</t>
        </is>
      </c>
      <c r="K45" s="83" t="n"/>
      <c r="L45" s="83" t="n"/>
      <c r="M45" s="83" t="n"/>
      <c r="N45" s="83" t="inlineStr">
        <is>
          <t>my_filter_admin=${adm2_pcode}</t>
        </is>
      </c>
      <c r="O45" s="83" t="n"/>
      <c r="P45" s="83" t="n"/>
      <c r="W45" s="126" t="n"/>
      <c r="X45" s="113" t="n"/>
      <c r="Y45" s="114" t="n"/>
      <c r="Z45" s="114" t="n"/>
    </row>
    <row r="46">
      <c r="E46" s="41" t="n"/>
      <c r="H46" s="42" t="n"/>
      <c r="W46" s="126" t="n"/>
      <c r="X46" s="113">
        <f>1</f>
        <v/>
      </c>
      <c r="Y46" s="114">
        <f>IF(W46&lt;&gt;"",W46*X46,"")</f>
        <v/>
      </c>
      <c r="Z46" s="114">
        <f>IF(AND(W46&lt;&gt;"",U46="yes"),W46*X46,"")</f>
        <v/>
      </c>
    </row>
    <row r="47" ht="48" customFormat="1" customHeight="1" s="21">
      <c r="A47" s="19" t="inlineStr">
        <is>
          <t>select_one agricactivity</t>
        </is>
      </c>
      <c r="B47" s="19" t="inlineStr">
        <is>
          <t>hh_agricactivity</t>
        </is>
      </c>
      <c r="C47" s="19" t="inlineStr">
        <is>
          <t>Has anybody in your household produced crops or livestock for household consumption or for sale in the past 12 months, including household members currently away for transhumance?</t>
        </is>
      </c>
      <c r="D47" s="19" t="inlineStr">
        <is>
          <t>¿Alguien de su hogar ha producido cultivos o criado animales para el consumo doméstico o para la venta en los últimos 12 meses, incluyendo aquellos miembros del hogar que se encuentran ausentes por trashumancia?</t>
        </is>
      </c>
      <c r="E47" s="41" t="n"/>
      <c r="F47" s="28"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7" s="28" t="inlineStr">
        <is>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is>
      </c>
      <c r="H47" s="41" t="n"/>
      <c r="I47" s="18" t="inlineStr">
        <is>
          <t>true</t>
        </is>
      </c>
      <c r="J47" s="18" t="n"/>
      <c r="K47" s="18" t="n"/>
      <c r="L47" s="18" t="n"/>
      <c r="M47" s="18" t="n"/>
      <c r="N47" s="18" t="n"/>
      <c r="O47" s="18" t="n"/>
      <c r="P47" s="18" t="n"/>
      <c r="U47" s="21" t="inlineStr">
        <is>
          <t>yes</t>
        </is>
      </c>
      <c r="W47" s="129" t="n">
        <v>31.37237739562988</v>
      </c>
      <c r="X47" s="113">
        <f>1</f>
        <v/>
      </c>
      <c r="Y47" s="115">
        <f>IF(W47&lt;&gt;"",W47*X47,"")</f>
        <v/>
      </c>
      <c r="Z47" s="115">
        <f>IF(AND(W47&lt;&gt;"",U47="yes"),W47*X47,"")</f>
        <v/>
      </c>
      <c r="AA47" s="22" t="n"/>
    </row>
    <row r="48" ht="32.1" customFormat="1" customHeight="1" s="143">
      <c r="A48" s="289" t="inlineStr">
        <is>
          <t>select_multiple ethnic</t>
        </is>
      </c>
      <c r="B48" s="289" t="inlineStr">
        <is>
          <t>o_hh_ethnic</t>
        </is>
      </c>
      <c r="C48" s="290" t="n"/>
      <c r="D48" s="291" t="inlineStr">
        <is>
          <t>¿Usted o algún miembro de su hogar se autorreconoce bajo alguno de los siguientes grupos étnicos?</t>
        </is>
      </c>
      <c r="E48" s="292" t="n"/>
      <c r="F48" s="290" t="n"/>
      <c r="G48" s="290" t="n"/>
      <c r="H48" s="292" t="n"/>
      <c r="I48" s="291" t="inlineStr">
        <is>
          <t>true</t>
        </is>
      </c>
      <c r="U48" s="290" t="n"/>
      <c r="V48" s="290" t="n"/>
      <c r="W48" s="293" t="n"/>
      <c r="X48" s="294" t="n"/>
      <c r="Y48" s="293" t="n"/>
      <c r="Z48" s="293" t="n"/>
      <c r="AA48" s="295" t="n"/>
    </row>
    <row r="49">
      <c r="E49" s="41" t="n"/>
      <c r="H49" s="42" t="n"/>
      <c r="W49" s="126" t="n"/>
      <c r="X49" s="113">
        <f>1</f>
        <v/>
      </c>
      <c r="Y49" s="114">
        <f>IF(W49&lt;&gt;"",W49*X49,"")</f>
        <v/>
      </c>
      <c r="Z49" s="114">
        <f>IF(AND(W49&lt;&gt;"",U49="yes"),W49*X49,"")</f>
        <v/>
      </c>
    </row>
    <row r="50" ht="15.95" customFormat="1" customHeight="1" s="29" thickBot="1">
      <c r="A50" s="50" t="inlineStr">
        <is>
          <t>end_group</t>
        </is>
      </c>
      <c r="B50" s="50" t="n"/>
      <c r="C50" s="51" t="n"/>
      <c r="D50" s="51" t="n"/>
      <c r="E50" s="45" t="n"/>
      <c r="F50" s="50" t="n"/>
      <c r="G50" s="50" t="n"/>
      <c r="H50" s="46" t="n"/>
      <c r="I50" s="82" t="n"/>
      <c r="J50" s="82" t="n"/>
      <c r="K50" s="82" t="n"/>
      <c r="L50" s="82" t="n"/>
      <c r="M50" s="82" t="n"/>
      <c r="N50" s="82" t="n"/>
      <c r="O50" s="82" t="n"/>
      <c r="P50" s="82" t="n"/>
      <c r="W50" s="126" t="n"/>
      <c r="X50" s="113" t="n"/>
      <c r="Y50" s="114">
        <f>IF(W50&lt;&gt;"",W50*X50,"")</f>
        <v/>
      </c>
      <c r="Z50" s="114">
        <f>IF(AND(W50&lt;&gt;"",U50="yes"),W50*X50,"")</f>
        <v/>
      </c>
    </row>
    <row r="51" ht="17.1" customFormat="1" customHeight="1" s="26" thickTop="1">
      <c r="A51" s="23" t="inlineStr">
        <is>
          <t>begin_group</t>
        </is>
      </c>
      <c r="B51" s="23" t="inlineStr">
        <is>
          <t>generalInfo</t>
        </is>
      </c>
      <c r="C51" s="47" t="inlineStr">
        <is>
          <t>GENERAL INFORMATION</t>
        </is>
      </c>
      <c r="D51" s="47" t="inlineStr">
        <is>
          <t>INFORMACIÓN GENERAL</t>
        </is>
      </c>
      <c r="E51" s="24" t="n"/>
      <c r="F51" s="23" t="n"/>
      <c r="G51" s="23" t="n"/>
      <c r="H51" s="25" t="n"/>
      <c r="I51" s="76" t="inlineStr">
        <is>
          <t>false</t>
        </is>
      </c>
      <c r="J51" s="76" t="n"/>
      <c r="K51" s="76" t="n"/>
      <c r="L51" s="76" t="n"/>
      <c r="M51" s="77" t="inlineStr">
        <is>
          <t>${resp_agree} = '1' and ${hh_agricactivity} != '5' and ${hh_agricactivity} != '6'</t>
        </is>
      </c>
      <c r="N51" s="76" t="n"/>
      <c r="O51" s="76" t="n"/>
      <c r="P51" s="76" t="n"/>
      <c r="U51" s="20" t="inlineStr">
        <is>
          <t>yes</t>
        </is>
      </c>
      <c r="W51" s="126" t="n"/>
      <c r="X51" s="113" t="n"/>
      <c r="Y51" s="114">
        <f>IF(W51&lt;&gt;"",W51*X51,"")</f>
        <v/>
      </c>
      <c r="Z51" s="114">
        <f>IF(AND(W51&lt;&gt;"",U51="yes"),W51*X51,"")</f>
        <v/>
      </c>
      <c r="AA51" s="27" t="n"/>
    </row>
    <row r="52">
      <c r="E52" s="41" t="n"/>
      <c r="H52" s="42" t="n"/>
      <c r="W52" s="126" t="n"/>
      <c r="X52" s="113">
        <f>1</f>
        <v/>
      </c>
      <c r="Y52" s="114">
        <f>IF(W52&lt;&gt;"",W52*X52,"")</f>
        <v/>
      </c>
      <c r="Z52" s="114">
        <f>IF(AND(W52&lt;&gt;"",U52="yes"),W52*X52,"")</f>
        <v/>
      </c>
    </row>
    <row r="53" ht="15.95" customHeight="1">
      <c r="A53" s="28" t="inlineStr">
        <is>
          <t>select_one yes_no</t>
        </is>
      </c>
      <c r="B53" s="28" t="inlineStr">
        <is>
          <t>resp_id</t>
        </is>
      </c>
      <c r="C53" s="19" t="inlineStr">
        <is>
          <t>Are you the head of household?</t>
        </is>
      </c>
      <c r="D53" s="19" t="inlineStr">
        <is>
          <t>¿Es usted la cabeza del hogar?</t>
        </is>
      </c>
      <c r="E53" s="41" t="n"/>
      <c r="F53" s="28" t="n"/>
      <c r="G53" s="28" t="n"/>
      <c r="H53" s="42" t="n"/>
      <c r="I53" s="71" t="inlineStr">
        <is>
          <t>true</t>
        </is>
      </c>
      <c r="J53" s="71" t="n"/>
      <c r="K53" s="71" t="n"/>
      <c r="L53" s="71" t="n"/>
      <c r="M53" s="71" t="n"/>
      <c r="N53" s="71" t="n"/>
      <c r="O53" s="71" t="n"/>
      <c r="P53" s="71" t="n"/>
      <c r="U53" s="20" t="inlineStr">
        <is>
          <t>yes</t>
        </is>
      </c>
      <c r="W53" s="140" t="n"/>
      <c r="X53" s="141" t="n"/>
      <c r="Y53" s="142" t="n"/>
      <c r="Z53" s="114" t="n"/>
    </row>
    <row r="54" ht="15.95" customHeight="1">
      <c r="A54" s="28" t="inlineStr">
        <is>
          <t>select_one gender</t>
        </is>
      </c>
      <c r="B54" s="28" t="inlineStr">
        <is>
          <t>hh_gender</t>
        </is>
      </c>
      <c r="C54" s="19" t="inlineStr">
        <is>
          <t xml:space="preserve">Is the head of your household male or female? </t>
        </is>
      </c>
      <c r="D54" s="19" t="inlineStr">
        <is>
          <t>¿Cuál es el género de la persona cabeza de hogar?</t>
        </is>
      </c>
      <c r="E54" s="41" t="n"/>
      <c r="F54" s="28" t="n"/>
      <c r="G54" s="28" t="n"/>
      <c r="H54" s="42" t="n"/>
      <c r="I54" s="71" t="inlineStr">
        <is>
          <t>true</t>
        </is>
      </c>
      <c r="J54" s="71" t="n"/>
      <c r="K54" s="71" t="n"/>
      <c r="L54" s="71" t="n"/>
      <c r="M54" s="71" t="inlineStr">
        <is>
          <t>${resp_id} != '1'</t>
        </is>
      </c>
      <c r="N54" s="71" t="n"/>
      <c r="O54" s="71" t="n"/>
      <c r="P54" s="71" t="n"/>
      <c r="U54" s="20" t="inlineStr">
        <is>
          <t>yes</t>
        </is>
      </c>
      <c r="W54" s="126" t="n">
        <v>10.08573150634766</v>
      </c>
      <c r="X54" s="113">
        <f>1</f>
        <v/>
      </c>
      <c r="Y54" s="114">
        <f>IF(W54&lt;&gt;"",W54*X54,"")</f>
        <v/>
      </c>
      <c r="Z54" s="114">
        <f>IF(AND(W54&lt;&gt;"",U54="yes"),W54*X54,"")</f>
        <v/>
      </c>
    </row>
    <row r="55">
      <c r="E55" s="41" t="n"/>
      <c r="H55" s="42" t="n"/>
      <c r="W55" s="126" t="n"/>
      <c r="X55" s="113">
        <f>1</f>
        <v/>
      </c>
      <c r="Y55" s="114">
        <f>IF(W55&lt;&gt;"",W55*X55,"")</f>
        <v/>
      </c>
      <c r="Z55" s="114">
        <f>IF(AND(W55&lt;&gt;"",U55="yes"),W55*X55,"")</f>
        <v/>
      </c>
    </row>
    <row r="56" ht="15.95" customHeight="1">
      <c r="A56" s="28" t="inlineStr">
        <is>
          <t>select_one edu</t>
        </is>
      </c>
      <c r="B56" s="28" t="inlineStr">
        <is>
          <t>hh_education</t>
        </is>
      </c>
      <c r="C56" s="19" t="inlineStr">
        <is>
          <t xml:space="preserve">What is the educational level attained by the head of household? </t>
        </is>
      </c>
      <c r="D56" s="19" t="inlineStr">
        <is>
          <t>¿Cuál es el nivel de educación de la persona cabeza de hogar?</t>
        </is>
      </c>
      <c r="E56" s="41" t="n"/>
      <c r="F56" s="28" t="n"/>
      <c r="G56" s="28" t="n"/>
      <c r="H56" s="42" t="n"/>
      <c r="I56" s="71" t="inlineStr">
        <is>
          <t>true</t>
        </is>
      </c>
      <c r="J56" s="71" t="n"/>
      <c r="K56" s="71" t="n"/>
      <c r="L56" s="71" t="n"/>
      <c r="M56" s="71" t="n"/>
      <c r="N56" s="71" t="n"/>
      <c r="O56" s="71" t="n"/>
      <c r="P56" s="71" t="n"/>
      <c r="U56" s="20" t="inlineStr">
        <is>
          <t>yes</t>
        </is>
      </c>
      <c r="W56" s="126" t="n">
        <v>12.89403438568115</v>
      </c>
      <c r="X56" s="113">
        <f>1</f>
        <v/>
      </c>
      <c r="Y56" s="114">
        <f>IF(W56&lt;&gt;"",W56*X56,"")</f>
        <v/>
      </c>
      <c r="Z56" s="114">
        <f>IF(AND(W56&lt;&gt;"",U56="yes"),W56*X56,"")</f>
        <v/>
      </c>
    </row>
    <row r="57">
      <c r="E57" s="41" t="n"/>
      <c r="H57" s="42" t="n"/>
      <c r="W57" s="126" t="n"/>
      <c r="X57" s="113">
        <f>1</f>
        <v/>
      </c>
      <c r="Y57" s="114">
        <f>IF(W57&lt;&gt;"",W57*X57,"")</f>
        <v/>
      </c>
      <c r="Z57" s="114">
        <f>IF(AND(W57&lt;&gt;"",U57="yes"),W57*X57,"")</f>
        <v/>
      </c>
    </row>
    <row r="58" ht="15.95" customFormat="1" customHeight="1" s="29">
      <c r="A58" s="29" t="inlineStr">
        <is>
          <t>select_one water</t>
        </is>
      </c>
      <c r="B58" s="29" t="inlineStr">
        <is>
          <t>hh_wealth_water</t>
        </is>
      </c>
      <c r="C58" s="22" t="inlineStr">
        <is>
          <t>Where does the water that you drink at home come from?</t>
        </is>
      </c>
      <c r="D58" s="22" t="inlineStr">
        <is>
          <t>¿De dónde proviene el agua que bebe en su hogar?</t>
        </is>
      </c>
      <c r="E58" s="52" t="n"/>
      <c r="F58" s="53" t="n"/>
      <c r="G58" s="53" t="n"/>
      <c r="H58" s="54" t="n"/>
      <c r="I58" s="78" t="inlineStr">
        <is>
          <t>true</t>
        </is>
      </c>
      <c r="J58" s="83" t="n"/>
      <c r="K58" s="83" t="n"/>
      <c r="L58" s="83" t="n"/>
      <c r="M58" s="83" t="n"/>
      <c r="N58" s="83" t="n"/>
      <c r="O58" s="83" t="n"/>
      <c r="P58" s="83" t="n"/>
      <c r="U58" s="29" t="inlineStr">
        <is>
          <t>yes</t>
        </is>
      </c>
      <c r="W58" s="126" t="n">
        <v>15.26582908630371</v>
      </c>
      <c r="X58" s="113">
        <f>1</f>
        <v/>
      </c>
      <c r="Y58" s="114">
        <f>IF(W58&lt;&gt;"",W58*X58,"")</f>
        <v/>
      </c>
      <c r="Z58" s="114">
        <f>IF(AND(W58&lt;&gt;"",U58="yes"),W58*X58,"")</f>
        <v/>
      </c>
    </row>
    <row r="59" ht="15.95" customFormat="1" customHeight="1" s="29">
      <c r="A59" s="29" t="inlineStr">
        <is>
          <t>select_one toilet</t>
        </is>
      </c>
      <c r="B59" s="29" t="inlineStr">
        <is>
          <t>hh_wealth_toilet</t>
        </is>
      </c>
      <c r="C59" s="22" t="inlineStr">
        <is>
          <t>Where do household members typically go to use the toilet?</t>
        </is>
      </c>
      <c r="D59" s="22" t="inlineStr">
        <is>
          <t>¿A dónde suelen ir usted y los miembros de su hogar al baño?</t>
        </is>
      </c>
      <c r="E59" s="52" t="n"/>
      <c r="F59" s="53" t="n"/>
      <c r="G59" s="53" t="n"/>
      <c r="H59" s="54" t="n"/>
      <c r="I59" s="78" t="inlineStr">
        <is>
          <t>true</t>
        </is>
      </c>
      <c r="J59" s="83" t="n"/>
      <c r="K59" s="83" t="n"/>
      <c r="L59" s="83" t="n"/>
      <c r="M59" s="83" t="n"/>
      <c r="N59" s="83" t="n"/>
      <c r="O59" s="83" t="n"/>
      <c r="P59" s="83" t="n"/>
      <c r="U59" s="29" t="inlineStr">
        <is>
          <t>yes</t>
        </is>
      </c>
      <c r="W59" s="126" t="n">
        <v>15.12371826171875</v>
      </c>
      <c r="X59" s="113">
        <f>1</f>
        <v/>
      </c>
      <c r="Y59" s="114">
        <f>IF(W59&lt;&gt;"",W59*X59,"")</f>
        <v/>
      </c>
      <c r="Z59" s="114">
        <f>IF(AND(W59&lt;&gt;"",U59="yes"),W59*X59,"")</f>
        <v/>
      </c>
    </row>
    <row r="60" ht="15.95" customFormat="1" customHeight="1" s="29">
      <c r="A60" s="29" t="inlineStr">
        <is>
          <t>select_one light</t>
        </is>
      </c>
      <c r="B60" s="29" t="inlineStr">
        <is>
          <t>hh_wealth_light</t>
        </is>
      </c>
      <c r="C60" s="22" t="inlineStr">
        <is>
          <t>What is the main source of light in your dwelling?</t>
        </is>
      </c>
      <c r="D60" s="22" t="inlineStr">
        <is>
          <t>¿Cuál es la principal fuente de luz en su vivienda?</t>
        </is>
      </c>
      <c r="E60" s="52" t="n"/>
      <c r="F60" s="53" t="n"/>
      <c r="G60" s="53" t="n"/>
      <c r="H60" s="54" t="n"/>
      <c r="I60" s="78" t="inlineStr">
        <is>
          <t>true</t>
        </is>
      </c>
      <c r="J60" s="83" t="n"/>
      <c r="K60" s="83" t="n"/>
      <c r="L60" s="83" t="n"/>
      <c r="M60" s="83" t="n"/>
      <c r="N60" s="83" t="n"/>
      <c r="O60" s="83" t="n"/>
      <c r="P60" s="83" t="n"/>
      <c r="U60" s="29" t="inlineStr">
        <is>
          <t>yes</t>
        </is>
      </c>
      <c r="W60" s="126" t="n">
        <v>13.76013851165771</v>
      </c>
      <c r="X60" s="113">
        <f>1</f>
        <v/>
      </c>
      <c r="Y60" s="114">
        <f>IF(W60&lt;&gt;"",W60*X60,"")</f>
        <v/>
      </c>
      <c r="Z60" s="114">
        <f>IF(AND(W60&lt;&gt;"",U60="yes"),W60*X60,"")</f>
        <v/>
      </c>
    </row>
    <row r="61" customFormat="1" s="29">
      <c r="C61" s="22" t="n"/>
      <c r="D61" s="22" t="n"/>
      <c r="E61" s="52" t="n"/>
      <c r="F61" s="53" t="n"/>
      <c r="G61" s="53" t="n"/>
      <c r="H61" s="54" t="n"/>
      <c r="I61" s="83" t="n"/>
      <c r="J61" s="83" t="n"/>
      <c r="K61" s="83" t="n"/>
      <c r="L61" s="83" t="n"/>
      <c r="M61" s="83" t="n"/>
      <c r="N61" s="83" t="n"/>
      <c r="O61" s="83" t="n"/>
      <c r="P61" s="83" t="n"/>
      <c r="W61" s="126" t="n"/>
      <c r="X61" s="113">
        <f>1</f>
        <v/>
      </c>
      <c r="Y61" s="114">
        <f>IF(W61&lt;&gt;"",W61*X61,"")</f>
        <v/>
      </c>
      <c r="Z61" s="114">
        <f>IF(AND(W61&lt;&gt;"",U61="yes"),W61*X61,"")</f>
        <v/>
      </c>
    </row>
    <row r="62" ht="15.95" customFormat="1" customHeight="1" s="30">
      <c r="A62" s="30" t="inlineStr">
        <is>
          <t>select_one residence</t>
        </is>
      </c>
      <c r="B62" s="30" t="inlineStr">
        <is>
          <t>hh_residencetype</t>
        </is>
      </c>
      <c r="C62" s="31" t="inlineStr">
        <is>
          <t>Which in the following types of residence best describes your residence?</t>
        </is>
      </c>
      <c r="D62" s="31" t="inlineStr">
        <is>
          <t>¿Cuál de las siguientes opciones describe mejor su tipo de residencia?</t>
        </is>
      </c>
      <c r="E62" s="32" t="n"/>
      <c r="F62" s="30" t="inlineStr">
        <is>
          <t>[INSTRUCTIONS: READ OUT THE OPTIONS.]
[HINT: IF RESPONDENT IS ONLY AWAY FROM THE HOUSEHOLD FOR SHORT SEASONAL WORK (&lt;6 MONTHS) OR TRANSHUMANCE, MAKE SURE TO REFER TO THEIR HOUSEHOLD BACK WHERE THEY TYPICALLY ARE LOCATED.]</t>
        </is>
      </c>
      <c r="G62" s="30" t="inlineStr">
        <is>
          <t>[ENCUESTADOR/A: LEA EN VOZ ALTA LAS OPCIONES. RESPUESTA ÚNICA.]
[PISTA: SI EL ENCUESTADO ESTÁ FUERA DE CASA SOLO POR TRABAJO ESTACIONAL DE CORTA DURACIÓN (&lt;6 MESES) O POR TRASHUMANCIA, HAGA REFERENCIA AL HOGAR COMO EL LUGAR AL QUE RETORNA Y DONDE VIVE HABITUALMENTE.]</t>
        </is>
      </c>
      <c r="H62" s="36" t="n"/>
      <c r="I62" s="72" t="inlineStr">
        <is>
          <t>true</t>
        </is>
      </c>
      <c r="J62" s="72" t="n"/>
      <c r="K62" s="72" t="n"/>
      <c r="L62" s="72" t="n"/>
      <c r="M62" s="72" t="n"/>
      <c r="N62" s="72" t="n"/>
      <c r="O62" s="72" t="n"/>
      <c r="P62" s="72" t="n"/>
      <c r="U62" s="30" t="inlineStr">
        <is>
          <t>no</t>
        </is>
      </c>
      <c r="W62" s="126" t="n">
        <v>30.64618873596191</v>
      </c>
      <c r="X62" s="113">
        <f>1</f>
        <v/>
      </c>
      <c r="Y62" s="114">
        <f>IF(W62&lt;&gt;"",W62*X62,"")</f>
        <v/>
      </c>
      <c r="Z62" s="114">
        <f>IF(AND(W62&lt;&gt;"",U62="yes"),W62*X62,"")</f>
        <v/>
      </c>
      <c r="AA62" s="29" t="n"/>
    </row>
    <row r="63" ht="96" customFormat="1" customHeight="1" s="290">
      <c r="A63" s="296" t="inlineStr">
        <is>
          <t>select_one o_hh_residencetype</t>
        </is>
      </c>
      <c r="B63" s="296" t="inlineStr">
        <is>
          <t>o_hh_residencetype_why</t>
        </is>
      </c>
      <c r="C63" s="296" t="n"/>
      <c r="D63" s="296" t="inlineStr">
        <is>
          <t>¿Por qué ha migrado?</t>
        </is>
      </c>
      <c r="E63" s="296" t="n"/>
      <c r="F63" s="296" t="n"/>
      <c r="G63" s="296" t="n"/>
      <c r="H63" s="296" t="n"/>
      <c r="I63" s="296" t="b">
        <v>1</v>
      </c>
      <c r="J63" s="296" t="n"/>
      <c r="K63" s="296" t="n"/>
      <c r="L63" s="296" t="n"/>
      <c r="M63" s="296" t="inlineStr">
        <is>
          <t xml:space="preserve">${hh_residencetype} = '4' or ${hh_residencetype} = '5' </t>
        </is>
      </c>
      <c r="W63" s="293" t="n"/>
      <c r="X63" s="294" t="n"/>
      <c r="Y63" s="293" t="n"/>
      <c r="Z63" s="293" t="n"/>
      <c r="AA63" s="295" t="n"/>
    </row>
    <row r="64" ht="32.1" customFormat="1" customHeight="1" s="290">
      <c r="A64" s="296" t="inlineStr">
        <is>
          <t>select_one yes_no</t>
        </is>
      </c>
      <c r="B64" s="296" t="inlineStr">
        <is>
          <t>o_migration</t>
        </is>
      </c>
      <c r="C64" s="296" t="n"/>
      <c r="D64" s="296" t="inlineStr">
        <is>
          <t>¿En los últimos 6 meses, algún miembro del hogar algún miembro de su hogar ha emigrado dentro o  fuera del país en forma permanente?</t>
        </is>
      </c>
      <c r="E64" s="296" t="n"/>
      <c r="F64" s="296" t="n"/>
      <c r="G64" s="296" t="n"/>
      <c r="H64" s="296" t="n"/>
      <c r="I64" s="296" t="b">
        <v>1</v>
      </c>
      <c r="J64" s="296" t="n"/>
      <c r="K64" s="296" t="n"/>
      <c r="L64" s="296" t="n"/>
      <c r="M64" s="296" t="n"/>
      <c r="W64" s="293" t="n"/>
      <c r="X64" s="294" t="n"/>
      <c r="Y64" s="293" t="n"/>
      <c r="Z64" s="293" t="n"/>
      <c r="AA64" s="295" t="n"/>
    </row>
    <row r="65" ht="32.1" customFormat="1" customHeight="1" s="290">
      <c r="A65" s="296" t="inlineStr">
        <is>
          <t>select_one o_migration_where</t>
        </is>
      </c>
      <c r="B65" s="296" t="inlineStr">
        <is>
          <t>o_migration_where</t>
        </is>
      </c>
      <c r="C65" s="296" t="n"/>
      <c r="D65" s="296" t="inlineStr">
        <is>
          <t>¿A dónde emigraron?</t>
        </is>
      </c>
      <c r="E65" s="296" t="n"/>
      <c r="F65" s="296" t="n"/>
      <c r="G65" s="296" t="n"/>
      <c r="H65" s="296" t="n"/>
      <c r="I65" s="296" t="b">
        <v>1</v>
      </c>
      <c r="J65" s="296" t="n"/>
      <c r="K65" s="296" t="n"/>
      <c r="L65" s="296" t="n"/>
      <c r="M65" s="296" t="inlineStr">
        <is>
          <t>${o_migration} = '1'</t>
        </is>
      </c>
      <c r="W65" s="293" t="n"/>
      <c r="X65" s="294" t="n"/>
      <c r="Y65" s="293" t="n"/>
      <c r="Z65" s="293" t="n"/>
      <c r="AA65" s="295" t="n"/>
    </row>
    <row r="66" customFormat="1" s="290">
      <c r="A66" s="289" t="inlineStr">
        <is>
          <t>integer</t>
        </is>
      </c>
      <c r="B66" s="289" t="inlineStr">
        <is>
          <t>o_migration_cantidad</t>
        </is>
      </c>
      <c r="C66" s="289" t="n"/>
      <c r="D66" s="289" t="inlineStr">
        <is>
          <t>¿Cuántas personas ha(n) emigrado en los últimos 6 meses?</t>
        </is>
      </c>
      <c r="E66" s="289" t="n"/>
      <c r="F66" s="289" t="n"/>
      <c r="G66" s="289" t="n"/>
      <c r="H66" s="289" t="n"/>
      <c r="I66" s="289" t="b">
        <v>1</v>
      </c>
      <c r="J66" s="289" t="n"/>
      <c r="K66" s="289" t="n"/>
      <c r="L66" s="289" t="n"/>
      <c r="M66" s="289" t="inlineStr">
        <is>
          <t>${o_migration} = '1'</t>
        </is>
      </c>
      <c r="W66" s="293" t="n"/>
      <c r="X66" s="294" t="n"/>
      <c r="Y66" s="293" t="n"/>
      <c r="Z66" s="293" t="n"/>
      <c r="AA66" s="295" t="n"/>
    </row>
    <row r="67" customFormat="1" s="290">
      <c r="A67" s="289" t="inlineStr">
        <is>
          <t>select_one o_migration_genero</t>
        </is>
      </c>
      <c r="B67" s="289" t="inlineStr">
        <is>
          <t>o_migration_genero</t>
        </is>
      </c>
      <c r="C67" s="289" t="n"/>
      <c r="D67" s="289" t="inlineStr">
        <is>
          <t>¿Cuál es el género de las personas que emigraron?</t>
        </is>
      </c>
      <c r="E67" s="289" t="n"/>
      <c r="F67" s="289" t="n"/>
      <c r="G67" s="289" t="n"/>
      <c r="H67" s="289" t="n"/>
      <c r="I67" s="289" t="b">
        <v>1</v>
      </c>
      <c r="J67" s="289" t="n"/>
      <c r="K67" s="289" t="n"/>
      <c r="L67" s="289" t="n"/>
      <c r="M67" s="289" t="inlineStr">
        <is>
          <t>${o_migration} = '1'</t>
        </is>
      </c>
      <c r="W67" s="293" t="n"/>
      <c r="X67" s="294" t="n"/>
      <c r="Y67" s="293" t="n"/>
      <c r="Z67" s="293" t="n"/>
      <c r="AA67" s="295" t="n"/>
    </row>
    <row r="68" ht="32.1" customFormat="1" customHeight="1" s="290">
      <c r="A68" s="296" t="inlineStr">
        <is>
          <t>select_one o_migration_why</t>
        </is>
      </c>
      <c r="B68" s="296" t="inlineStr">
        <is>
          <t>o_migration_why</t>
        </is>
      </c>
      <c r="C68" s="296" t="n"/>
      <c r="D68" s="296" t="inlineStr">
        <is>
          <t>¿Por qué ha migrado?</t>
        </is>
      </c>
      <c r="E68" s="296" t="n"/>
      <c r="F68" s="296" t="n"/>
      <c r="G68" s="296" t="n"/>
      <c r="H68" s="296" t="n"/>
      <c r="I68" s="296" t="b">
        <v>1</v>
      </c>
      <c r="J68" s="296" t="n"/>
      <c r="K68" s="296" t="n"/>
      <c r="L68" s="296" t="n"/>
      <c r="M68" s="296" t="inlineStr">
        <is>
          <t>${o_migration} = '1'</t>
        </is>
      </c>
      <c r="W68" s="293" t="n"/>
      <c r="X68" s="294" t="n"/>
      <c r="Y68" s="293" t="n"/>
      <c r="Z68" s="293" t="n"/>
      <c r="AA68" s="295" t="n"/>
    </row>
    <row r="69" ht="32.1" customFormat="1" customHeight="1" s="290">
      <c r="A69" s="296" t="inlineStr">
        <is>
          <t>select_one o_remittances</t>
        </is>
      </c>
      <c r="B69" s="296" t="inlineStr">
        <is>
          <t>o_remittances</t>
        </is>
      </c>
      <c r="C69" s="296" t="n"/>
      <c r="D69" s="296" t="inlineStr">
        <is>
          <t>¿Su hogar recibe remesas?  (incluyendo por parte de personas que trabajan en otra región del mismo país, pero no si se trata de migración estacional o temporaria)</t>
        </is>
      </c>
      <c r="E69" s="296" t="n"/>
      <c r="F69" s="296" t="n"/>
      <c r="G69" s="296" t="n"/>
      <c r="H69" s="296" t="n"/>
      <c r="I69" s="296" t="b">
        <v>1</v>
      </c>
      <c r="J69" s="296" t="n"/>
      <c r="K69" s="296" t="n"/>
      <c r="L69" s="296" t="n"/>
      <c r="M69" s="296" t="n"/>
      <c r="W69" s="293" t="n"/>
      <c r="X69" s="294" t="n"/>
      <c r="Y69" s="293" t="n"/>
      <c r="Z69" s="293" t="n"/>
      <c r="AA69" s="295" t="n"/>
    </row>
    <row r="70" customFormat="1" s="290">
      <c r="A70" s="289" t="inlineStr">
        <is>
          <t>select_one o_remittances_frequency</t>
        </is>
      </c>
      <c r="B70" s="289" t="inlineStr">
        <is>
          <t>o_remittances_frequency</t>
        </is>
      </c>
      <c r="C70" s="289" t="n"/>
      <c r="D70" s="289" t="inlineStr">
        <is>
          <t>¿Con que frecuencia?</t>
        </is>
      </c>
      <c r="E70" s="289" t="n"/>
      <c r="F70" s="289" t="n"/>
      <c r="G70" s="289" t="n"/>
      <c r="H70" s="289" t="n"/>
      <c r="I70" s="289" t="b">
        <v>1</v>
      </c>
      <c r="J70" s="289" t="n"/>
      <c r="K70" s="289" t="n"/>
      <c r="L70" s="289" t="n"/>
      <c r="M70" s="289" t="inlineStr">
        <is>
          <t>${o_remittances} = '1' or ${o_remittances} = '2'</t>
        </is>
      </c>
      <c r="W70" s="293" t="n"/>
      <c r="X70" s="294" t="n"/>
      <c r="Y70" s="293" t="n"/>
      <c r="Z70" s="293" t="n"/>
      <c r="AA70" s="295" t="n"/>
    </row>
    <row r="71" ht="96" customFormat="1" customHeight="1" s="290">
      <c r="A71" s="296" t="inlineStr">
        <is>
          <t>select_multiple o_remittances_usage</t>
        </is>
      </c>
      <c r="B71" s="296" t="inlineStr">
        <is>
          <t>o_remittances_usage</t>
        </is>
      </c>
      <c r="C71" s="296" t="n"/>
      <c r="D71" s="296" t="inlineStr">
        <is>
          <t>¿Cuál es el uso que le han dado a las remesas del hogar en los últimos 3 meses (o la última vez que recibieron remesas en este año)?</t>
        </is>
      </c>
      <c r="E71" s="296" t="n"/>
      <c r="F71" s="296" t="n"/>
      <c r="G71" s="296" t="n"/>
      <c r="H71" s="296" t="n"/>
      <c r="I71" s="296" t="b">
        <v>1</v>
      </c>
      <c r="J71" s="296" t="n"/>
      <c r="K71" s="296" t="n"/>
      <c r="L71" s="296" t="n"/>
      <c r="M71" s="296" t="inlineStr">
        <is>
          <t>${o_remittances} = '1' or ${o_remittances} = '2'</t>
        </is>
      </c>
      <c r="W71" s="293" t="n"/>
      <c r="X71" s="294" t="n"/>
      <c r="Y71" s="293" t="n"/>
      <c r="Z71" s="293" t="n"/>
      <c r="AA71" s="295" t="n"/>
    </row>
    <row r="72" ht="144" customFormat="1" customHeight="1" s="290">
      <c r="A72" s="290" t="inlineStr">
        <is>
          <t>integer</t>
        </is>
      </c>
      <c r="B72" s="290" t="inlineStr">
        <is>
          <t>o_hh_U5</t>
        </is>
      </c>
      <c r="C72" s="290" t="inlineStr">
        <is>
          <t>How many people are part of the household?</t>
        </is>
      </c>
      <c r="D72" s="290" t="inlineStr">
        <is>
          <t>¿Cuántos niños menores de 5 años viven en su hogar?</t>
        </is>
      </c>
      <c r="E72" s="297" t="n"/>
      <c r="F72" s="290" t="inlineStr">
        <is>
          <t>[INSTRUCTIONS: RECORD NUMBER OF MEMBERS IN HOUSEHOLD. ENTER 888 FOR DON'T KNOW &amp; 999 FOR REFUSED.]
[HINT: TO BE A PART OF THE SAME HOUSEHOLD, MEMBERS MUST LIVE UNDER THE SAME ROOF, SHARE THE SAME RESOURCES &amp; EAT FROM THE SAME POT.]</t>
        </is>
      </c>
      <c r="G72" s="290" t="inlineStr">
        <is>
          <t>[ENCUESTADOR/A: REGISTRE EL NÚMERO DE MIEMBROS. ESCRIBA 888 PARA "NO SABE" Y 999 PARA "NO RESPONDE"]
[PISTA: PARA SER PARTE DEL MISMO HOGAR, LOS MIEMBROS DEBEN VIVIR BAJO EL MISMO TECHO, COMPARTIR RECURSOS Y COMER DE LA MISMA OLLA. ]</t>
        </is>
      </c>
      <c r="H72" s="297" t="n"/>
      <c r="I72" s="290" t="inlineStr">
        <is>
          <t>true</t>
        </is>
      </c>
      <c r="K72" s="290" t="inlineStr">
        <is>
          <t xml:space="preserve">(. &gt;= 1 and . &lt;= 50) or . = 888 or . = 999 </t>
        </is>
      </c>
      <c r="U72" s="290" t="inlineStr">
        <is>
          <t>no</t>
        </is>
      </c>
      <c r="W72" s="293" t="n">
        <v>15.21184825897217</v>
      </c>
      <c r="X72" s="294">
        <f>1</f>
        <v/>
      </c>
      <c r="Y72" s="293">
        <f>IF(W72&lt;&gt;"",W72*X72,"")</f>
        <v/>
      </c>
      <c r="Z72" s="293">
        <f>IF(AND(W72&lt;&gt;"",U72="yes"),W72*X72,"")</f>
        <v/>
      </c>
      <c r="AA72" s="295" t="n"/>
    </row>
    <row r="73" customFormat="1" s="30">
      <c r="C73" s="31" t="n"/>
      <c r="D73" s="31" t="n"/>
      <c r="E73" s="32" t="n"/>
      <c r="H73" s="36" t="n"/>
      <c r="I73" s="72" t="n"/>
      <c r="J73" s="72" t="n"/>
      <c r="K73" s="72" t="n"/>
      <c r="L73" s="72" t="n"/>
      <c r="M73" s="72" t="n"/>
      <c r="N73" s="72" t="n"/>
      <c r="O73" s="72" t="n"/>
      <c r="P73" s="72" t="n"/>
      <c r="W73" s="126" t="n"/>
      <c r="X73" s="113">
        <f>1</f>
        <v/>
      </c>
      <c r="Y73" s="114">
        <f>IF(W73&lt;&gt;"",W73*X73,"")</f>
        <v/>
      </c>
      <c r="Z73" s="114">
        <f>IF(AND(W73&lt;&gt;"",U73="yes"),W73*X73,"")</f>
        <v/>
      </c>
      <c r="AA73" s="29" t="n"/>
    </row>
    <row r="74" ht="15.95" customHeight="1" thickBot="1">
      <c r="A74" s="55" t="inlineStr">
        <is>
          <t>end_group</t>
        </is>
      </c>
      <c r="B74" s="55" t="n"/>
      <c r="C74" s="56" t="n"/>
      <c r="D74" s="56" t="n"/>
      <c r="E74" s="63" t="n"/>
      <c r="F74" s="55" t="n"/>
      <c r="G74" s="55" t="n"/>
      <c r="H74" s="64" t="n"/>
      <c r="I74" s="84" t="n"/>
      <c r="J74" s="84" t="n"/>
      <c r="K74" s="84" t="n"/>
      <c r="L74" s="84" t="n"/>
      <c r="M74" s="84" t="n"/>
      <c r="N74" s="84" t="n"/>
      <c r="O74" s="84" t="n"/>
      <c r="P74" s="84" t="n"/>
      <c r="W74" s="126" t="n"/>
      <c r="X74" s="113">
        <f>1</f>
        <v/>
      </c>
      <c r="Y74" s="114">
        <f>IF(W74&lt;&gt;"",W74*X74,"")</f>
        <v/>
      </c>
      <c r="Z74" s="114">
        <f>IF(AND(W74&lt;&gt;"",U74="yes"),W74*X74,"")</f>
        <v/>
      </c>
    </row>
    <row r="75" ht="17.1" customFormat="1" customHeight="1" s="26" thickTop="1">
      <c r="A75" s="35" t="inlineStr">
        <is>
          <t>begin_group</t>
        </is>
      </c>
      <c r="B75" s="35" t="inlineStr">
        <is>
          <t>Income_Shocks_group</t>
        </is>
      </c>
      <c r="C75" s="57" t="inlineStr">
        <is>
          <t>INCOME SOURCES, LIVELIHOODS AND SHOCKS</t>
        </is>
      </c>
      <c r="D75" s="57" t="inlineStr">
        <is>
          <t>INCOME SOURCES, LIVELIHOODS AND SHOCKS</t>
        </is>
      </c>
      <c r="E75" s="121" t="n"/>
      <c r="F75" s="35" t="n"/>
      <c r="G75" s="35" t="n"/>
      <c r="H75" s="122" t="n"/>
      <c r="I75" s="85" t="inlineStr">
        <is>
          <t>false</t>
        </is>
      </c>
      <c r="J75" s="85" t="n"/>
      <c r="K75" s="85" t="n"/>
      <c r="L75" s="85" t="n"/>
      <c r="M75" s="273" t="inlineStr">
        <is>
          <t>${resp_agree} = '1' and ${hh_agricactivity} != '5' and ${hh_agricactivity} != '6'</t>
        </is>
      </c>
      <c r="N75" s="85" t="n"/>
      <c r="O75" s="85" t="n"/>
      <c r="P75" s="85" t="n"/>
      <c r="U75" s="20" t="inlineStr">
        <is>
          <t>yes</t>
        </is>
      </c>
      <c r="W75" s="126" t="n"/>
      <c r="X75" s="113">
        <f>1</f>
        <v/>
      </c>
      <c r="Y75" s="114">
        <f>IF(W75&lt;&gt;"",W75*X75,"")</f>
        <v/>
      </c>
      <c r="Z75" s="114">
        <f>IF(AND(W75&lt;&gt;"",U75="yes"),W75*X75,"")</f>
        <v/>
      </c>
      <c r="AA75" s="27" t="n"/>
    </row>
    <row r="76">
      <c r="E76" s="41" t="n"/>
      <c r="H76" s="42" t="n"/>
      <c r="W76" s="126" t="n"/>
      <c r="X76" s="113">
        <f>1</f>
        <v/>
      </c>
      <c r="Y76" s="114">
        <f>IF(W76&lt;&gt;"",W76*X76,"")</f>
        <v/>
      </c>
      <c r="Z76" s="114">
        <f>IF(AND(W76&lt;&gt;"",U76="yes"),W76*X76,"")</f>
        <v/>
      </c>
    </row>
    <row r="77" ht="15.95" customHeight="1">
      <c r="A77" s="33" t="inlineStr">
        <is>
          <t>select_one incomesource1</t>
        </is>
      </c>
      <c r="B77" s="33" t="inlineStr">
        <is>
          <t>income_main</t>
        </is>
      </c>
      <c r="C77" s="34" t="inlineStr">
        <is>
          <t>What was your household's main source of income in the past 3 months?</t>
        </is>
      </c>
      <c r="D77" s="34" t="inlineStr">
        <is>
          <t>¿Cuál ha sido la principal fuente de ingresos de su hogar en los últimos 3 meses?</t>
        </is>
      </c>
      <c r="E77" s="52" t="n"/>
      <c r="F77" s="29" t="inlineStr">
        <is>
          <t>[INSTRUCTIONS: REFUSED OPTIONS SHOULD BE AVOIDED AS MUCH AS POSSIBLE.]</t>
        </is>
      </c>
      <c r="G77" s="20" t="inlineStr">
        <is>
          <t>[OPERADOR:LA OPCIÓN "NO RESPONDE" DEBE EVITARSE EN LA MEDIDA DE LO POSIBLE.]</t>
        </is>
      </c>
      <c r="H77" s="54" t="n"/>
      <c r="I77" s="73" t="inlineStr">
        <is>
          <t>true</t>
        </is>
      </c>
      <c r="J77" s="73" t="inlineStr">
        <is>
          <t>minimal</t>
        </is>
      </c>
      <c r="K77" s="73" t="n"/>
      <c r="L77" s="73" t="n"/>
      <c r="M77" s="73" t="n"/>
      <c r="N77" s="73" t="n"/>
      <c r="O77" s="73" t="n"/>
      <c r="P77" s="73" t="n"/>
      <c r="U77" s="20" t="inlineStr">
        <is>
          <t>yes</t>
        </is>
      </c>
      <c r="W77" s="126" t="n">
        <v>36.92873382568359</v>
      </c>
      <c r="X77" s="113">
        <f>1</f>
        <v/>
      </c>
      <c r="Y77" s="114">
        <f>IF(W77&lt;&gt;"",W77*X77,"")</f>
        <v/>
      </c>
      <c r="Z77" s="114">
        <f>IF(AND(W77&lt;&gt;"",U77="yes"),W77*X77,"")</f>
        <v/>
      </c>
    </row>
    <row r="78">
      <c r="A78" s="33" t="inlineStr">
        <is>
          <t>calculate</t>
        </is>
      </c>
      <c r="B78" s="33" t="inlineStr">
        <is>
          <t>incomemain</t>
        </is>
      </c>
      <c r="C78" s="34" t="n"/>
      <c r="D78" s="34" t="n"/>
      <c r="E78" s="52" t="n"/>
      <c r="F78" s="29" t="n"/>
      <c r="G78" s="29" t="n"/>
      <c r="H78" s="54" t="n"/>
      <c r="I78" s="73" t="n"/>
      <c r="J78" s="73" t="n"/>
      <c r="K78" s="73" t="n"/>
      <c r="L78" s="73" t="n"/>
      <c r="M78" s="73" t="n"/>
      <c r="N78" s="73" t="n"/>
      <c r="O78" s="73" t="n"/>
      <c r="P78" s="73" t="inlineStr">
        <is>
          <t>jr:choice-name(${income_main},'${income_main}')</t>
        </is>
      </c>
      <c r="U78" s="20" t="inlineStr">
        <is>
          <t>yes</t>
        </is>
      </c>
      <c r="W78" s="126" t="n"/>
      <c r="X78" s="113">
        <f>1</f>
        <v/>
      </c>
      <c r="Y78" s="114">
        <f>IF(W78&lt;&gt;"",W78*X78,"")</f>
        <v/>
      </c>
      <c r="Z78" s="114">
        <f>IF(AND(W78&lt;&gt;"",U78="yes"),W78*X78,"")</f>
        <v/>
      </c>
    </row>
    <row r="79" ht="32.1" customHeight="1">
      <c r="A79" s="33" t="inlineStr">
        <is>
          <t>select_one yes_no</t>
        </is>
      </c>
      <c r="B79" s="33" t="inlineStr">
        <is>
          <t>income_main_crop_check</t>
        </is>
      </c>
      <c r="C79" s="34" t="inlineStr">
        <is>
          <t xml:space="preserve">Are the crops sold also produced by you or anyone in your household? </t>
        </is>
      </c>
      <c r="D79" s="34" t="inlineStr">
        <is>
          <t xml:space="preserve">¿Los cultivos vendidos son también producidos por usted o algún miembro de su hogar? </t>
        </is>
      </c>
      <c r="E79" s="52" t="n"/>
      <c r="F79" s="29" t="n"/>
      <c r="G79" s="29" t="n"/>
      <c r="H79" s="54" t="n"/>
      <c r="I79" s="73" t="inlineStr">
        <is>
          <t>true</t>
        </is>
      </c>
      <c r="J79" s="73" t="n"/>
      <c r="K79" s="73" t="n"/>
      <c r="L79" s="73" t="n"/>
      <c r="M79" s="73" t="inlineStr">
        <is>
          <t xml:space="preserve">${income_main} = '1' or ${income_main} = '2' or ${income_main} = '3' </t>
        </is>
      </c>
      <c r="N79" s="73" t="n"/>
      <c r="O79" s="73" t="n"/>
      <c r="P79" s="73" t="n"/>
      <c r="U79" s="20" t="inlineStr">
        <is>
          <t>yes</t>
        </is>
      </c>
      <c r="W79" s="126" t="n">
        <v>0</v>
      </c>
      <c r="X79" s="113">
        <f>1</f>
        <v/>
      </c>
      <c r="Y79" s="114">
        <f>IF(W79&lt;&gt;"",W79*X79,"")</f>
        <v/>
      </c>
      <c r="Z79" s="114">
        <f>IF(AND(W79&lt;&gt;"",U79="yes"),W79*X79,"")</f>
        <v/>
      </c>
    </row>
    <row r="80" ht="32.1" customHeight="1">
      <c r="A80" s="33" t="inlineStr">
        <is>
          <t>select_one yes_no</t>
        </is>
      </c>
      <c r="B80" s="33" t="inlineStr">
        <is>
          <t>income_main_ls_check</t>
        </is>
      </c>
      <c r="C80" s="34" t="inlineStr">
        <is>
          <t xml:space="preserve">Are the livestock or livestock products sold also produced by you or anyone in your household? </t>
        </is>
      </c>
      <c r="D80" s="34" t="inlineStr">
        <is>
          <t>¿Los animales o productos de origen animal vendidos son también producidos por usted o algún miembro de su hogar?</t>
        </is>
      </c>
      <c r="E80" s="52" t="n"/>
      <c r="F80" s="29" t="n"/>
      <c r="G80" s="29" t="n"/>
      <c r="H80" s="54" t="n"/>
      <c r="I80" s="73" t="inlineStr">
        <is>
          <t>true</t>
        </is>
      </c>
      <c r="J80" s="73" t="n"/>
      <c r="K80" s="73" t="n"/>
      <c r="L80" s="73" t="n"/>
      <c r="M80" s="73" t="inlineStr">
        <is>
          <t>${income_main} = '4'</t>
        </is>
      </c>
      <c r="N80" s="73" t="n"/>
      <c r="O80" s="73" t="n"/>
      <c r="P80" s="73" t="n"/>
      <c r="U80" s="20" t="inlineStr">
        <is>
          <t>yes</t>
        </is>
      </c>
      <c r="W80" s="126" t="n">
        <v>0</v>
      </c>
      <c r="X80" s="113">
        <f>1</f>
        <v/>
      </c>
      <c r="Y80" s="114">
        <f>IF(W80&lt;&gt;"",W80*X80,"")</f>
        <v/>
      </c>
      <c r="Z80" s="114">
        <f>IF(AND(W80&lt;&gt;"",U80="yes"),W80*X80,"")</f>
        <v/>
      </c>
    </row>
    <row r="81" ht="32.1" customHeight="1">
      <c r="A81" s="33" t="inlineStr">
        <is>
          <t>select_one yes_no</t>
        </is>
      </c>
      <c r="B81" s="33" t="inlineStr">
        <is>
          <t>income_main_fish_check</t>
        </is>
      </c>
      <c r="C81" s="34" t="inlineStr">
        <is>
          <t>Are the fish or aquatic products sold also captured/harvested by you or anyone in your household?</t>
        </is>
      </c>
      <c r="D81" s="34" t="inlineStr">
        <is>
          <t>¿Los productos pesqueros o acuícolas que vende son también capturados/cosechados por usted o algún miembro de su hogar?</t>
        </is>
      </c>
      <c r="E81" s="52" t="n"/>
      <c r="F81" s="29" t="n"/>
      <c r="G81" s="29" t="n"/>
      <c r="H81" s="54" t="n"/>
      <c r="I81" s="73" t="inlineStr">
        <is>
          <t>true</t>
        </is>
      </c>
      <c r="J81" s="73" t="n"/>
      <c r="K81" s="73" t="n"/>
      <c r="L81" s="73" t="n"/>
      <c r="M81" s="73" t="inlineStr">
        <is>
          <t>${income_main} = '6'</t>
        </is>
      </c>
      <c r="N81" s="73" t="n"/>
      <c r="O81" s="73" t="n"/>
      <c r="P81" s="73" t="n"/>
      <c r="U81" s="20" t="inlineStr">
        <is>
          <t>yes</t>
        </is>
      </c>
      <c r="W81" s="126" t="n">
        <v>0</v>
      </c>
      <c r="X81" s="113">
        <f>1</f>
        <v/>
      </c>
      <c r="Y81" s="114">
        <f>IF(W81&lt;&gt;"",W81*X81,"")</f>
        <v/>
      </c>
      <c r="Z81" s="114">
        <f>IF(AND(W81&lt;&gt;"",U81="yes"),W81*X81,"")</f>
        <v/>
      </c>
    </row>
    <row r="82">
      <c r="E82" s="41" t="n"/>
      <c r="H82" s="42" t="n"/>
      <c r="W82" s="126" t="n"/>
      <c r="X82" s="113">
        <f>1</f>
        <v/>
      </c>
      <c r="Y82" s="114">
        <f>IF(W82&lt;&gt;"",W82*X82,"")</f>
        <v/>
      </c>
      <c r="Z82" s="114">
        <f>IF(AND(W82&lt;&gt;"",U82="yes"),W82*X82,"")</f>
        <v/>
      </c>
    </row>
    <row r="83" ht="32.1" customFormat="1" customHeight="1" s="30">
      <c r="A83" s="30" t="inlineStr">
        <is>
          <t>decimal</t>
        </is>
      </c>
      <c r="B83" s="30" t="inlineStr">
        <is>
          <t>income_main_amount</t>
        </is>
      </c>
      <c r="C83" s="31" t="inlineStr">
        <is>
          <t>How much was earned (in Quetzal) from your main income source, ${incomemain}, in the past 3 months ?</t>
        </is>
      </c>
      <c r="D83" s="31" t="inlineStr">
        <is>
          <t>¿Cuánto ganó (en Quetzal) por su principal fuente de ingresos, ${incomemain}, en los últimos 3 meses?</t>
        </is>
      </c>
      <c r="E83" s="32" t="n"/>
      <c r="F83" s="30" t="inlineStr">
        <is>
          <t>[INSTRUCTIONS: MAKE SURE THE INFORMATION IS RECORDED IN THE CORRECT CURRENCY. ENTER 888 FOR DON'T KNOW AND 999 FOR REFUSED. IT IS THE CUMULATED AMOUNT FOR THE LAST 3 MONTHS]</t>
        </is>
      </c>
      <c r="G83" s="30" t="inlineStr">
        <is>
          <t>[ENCUESTADOR/A: COMPRUEBE QUE LA RESPUESTA ESTÉ REGISTRADA EN LA MONEDA CORRECTA. ESCRIBA 888 PARA "NO SABE" Y 999 PARA "NO RESPONDE". SE TRATA DEL MONTO TOTAL ACUMULADO EN LOS 3 ÚLTIMOS MESES]</t>
        </is>
      </c>
      <c r="H83" s="36" t="n"/>
      <c r="I83" s="72" t="inlineStr">
        <is>
          <t>true</t>
        </is>
      </c>
      <c r="J83" s="72" t="n"/>
      <c r="K83" s="72" t="inlineStr">
        <is>
          <t>. &gt; 1 or . = 888 or . = 999</t>
        </is>
      </c>
      <c r="L83" s="72" t="n"/>
      <c r="M83" s="72" t="inlineStr">
        <is>
          <t>${income_main} != '19' and ${income_main} != '20'</t>
        </is>
      </c>
      <c r="N83" s="72" t="n"/>
      <c r="O83" s="72" t="n"/>
      <c r="P83" s="72" t="n"/>
      <c r="U83" s="30" t="inlineStr">
        <is>
          <t>no</t>
        </is>
      </c>
      <c r="W83" s="126" t="n">
        <v>40.04731750488281</v>
      </c>
      <c r="X83" s="113">
        <f>1</f>
        <v/>
      </c>
      <c r="Y83" s="114">
        <f>IF(W83&lt;&gt;"",W83*X83,"")</f>
        <v/>
      </c>
      <c r="Z83" s="114">
        <f>IF(AND(W83&lt;&gt;"",U83="yes"),W83*X83,"")</f>
        <v/>
      </c>
      <c r="AA83" s="29" t="n"/>
    </row>
    <row r="84" ht="15.95" customFormat="1" customHeight="1" s="30">
      <c r="A84" s="30" t="inlineStr">
        <is>
          <t>select_one continue</t>
        </is>
      </c>
      <c r="B84" s="30" t="inlineStr">
        <is>
          <t>income_main_amount_conf</t>
        </is>
      </c>
      <c r="C84" s="30" t="inlineStr">
        <is>
          <t>Can you confirm the amount of income you just stated is correct?</t>
        </is>
      </c>
      <c r="D84" s="31" t="inlineStr">
        <is>
          <t>¿Podría confirmar que la cantidad de ingresos que acaba de indicar es correcta?</t>
        </is>
      </c>
      <c r="E84" s="36" t="n"/>
      <c r="F84" s="30" t="inlineStr">
        <is>
          <t>[INSTRUCTIONS: IF THE RESPONDENT CONFIRMS THAT THE INCOME AMOUNT EARNED FROM THIS INCOME SOURCE OVER THE PAST 3 MONTH IS INDEED OVER 80000, CLICK ON CONTINUE. OTHERWISE, GO BACK AND CHANGE THE AMOUNT ENTERED.]</t>
        </is>
      </c>
      <c r="G84" s="30" t="inlineStr">
        <is>
          <t>[ENCUESTADOR/A: SI LA CANTIDAD GANADA POR ESTA FUENTE DE INGRESOS EN LOS ÚLTIMOS 3 MESES ESTÁ POR ENCIMA DE 80000 ,HAGA CLICK EN CONTINUAR. DE LO CONTRARIO, REGRESE Y CAMBIE LA CANTIDAD INGRESADA.]</t>
        </is>
      </c>
      <c r="H84" s="36" t="n"/>
      <c r="I84" s="72" t="inlineStr">
        <is>
          <t>false</t>
        </is>
      </c>
      <c r="J84" s="72" t="n"/>
      <c r="K84" s="72" t="n"/>
      <c r="L84" s="72" t="n"/>
      <c r="M84" s="72" t="inlineStr">
        <is>
          <t xml:space="preserve">${income_main_amount} &gt;= 80000 and (${income_main} != '19' and ${income_main} != '20') </t>
        </is>
      </c>
      <c r="N84" s="72" t="n"/>
      <c r="O84" s="72" t="n"/>
      <c r="P84" s="72" t="n"/>
      <c r="U84" s="30" t="inlineStr">
        <is>
          <t>no</t>
        </is>
      </c>
      <c r="W84" s="126" t="n">
        <v>3.687011003494263</v>
      </c>
      <c r="X84" s="113">
        <f>1</f>
        <v/>
      </c>
      <c r="Y84" s="114">
        <f>IF(W84&lt;&gt;"",W84*X84,"")</f>
        <v/>
      </c>
      <c r="Z84" s="114">
        <f>IF(AND(W84&lt;&gt;"",U84="yes"),W84*X84,"")</f>
        <v/>
      </c>
      <c r="AA84" s="29" t="n"/>
    </row>
    <row r="85">
      <c r="D85" s="31" t="n"/>
      <c r="E85" s="36" t="n"/>
      <c r="G85" s="30" t="n"/>
      <c r="H85" s="36" t="n"/>
    </row>
    <row r="86" ht="15.95" customFormat="1" customHeight="1" s="29">
      <c r="A86" s="33" t="inlineStr">
        <is>
          <t>select_one gender_inc_1</t>
        </is>
      </c>
      <c r="B86" s="33" t="inlineStr">
        <is>
          <t>income_main_gender</t>
        </is>
      </c>
      <c r="C86" s="33" t="inlineStr">
        <is>
          <t xml:space="preserve">What is the gender of the household member(s) generating income from this source? </t>
        </is>
      </c>
      <c r="D86" s="34" t="inlineStr">
        <is>
          <t>¿Cuál es el género del miembro[s] del hogar que genera[n] el ingreso de esta fuente?</t>
        </is>
      </c>
      <c r="E86" s="54" t="n"/>
      <c r="F86" s="33" t="n"/>
      <c r="G86" s="33" t="n"/>
      <c r="H86" s="54" t="n"/>
      <c r="I86" s="73" t="inlineStr">
        <is>
          <t>true</t>
        </is>
      </c>
      <c r="J86" s="73" t="n"/>
      <c r="K86" s="73" t="n"/>
      <c r="L86" s="73" t="n"/>
      <c r="M86" s="73" t="inlineStr">
        <is>
          <t>${income_main} != '19' and ${income_main} != '20'</t>
        </is>
      </c>
      <c r="N86" s="73" t="n"/>
      <c r="O86" s="73" t="n"/>
      <c r="P86" s="73" t="n"/>
      <c r="U86" s="29" t="inlineStr">
        <is>
          <t>yes</t>
        </is>
      </c>
      <c r="W86" s="126" t="n"/>
      <c r="X86" s="113" t="n"/>
      <c r="Y86" s="114" t="n"/>
      <c r="Z86" s="114" t="n"/>
    </row>
    <row r="87" ht="15.95" customFormat="1" customHeight="1" s="29">
      <c r="A87" s="33" t="inlineStr">
        <is>
          <t>select_one gender_inc_2</t>
        </is>
      </c>
      <c r="B87" s="33" t="inlineStr">
        <is>
          <t>income_main_control</t>
        </is>
      </c>
      <c r="C87" s="33" t="inlineStr">
        <is>
          <t xml:space="preserve">Who controls the revenue that is earned from this source? </t>
        </is>
      </c>
      <c r="D87" s="34" t="inlineStr">
        <is>
          <t>¿Quién maneja los ingresos que se obtienen de esta fuente?</t>
        </is>
      </c>
      <c r="E87" s="54" t="n"/>
      <c r="F87" s="33" t="n"/>
      <c r="G87" s="33" t="n"/>
      <c r="H87" s="54" t="n"/>
      <c r="I87" s="73" t="inlineStr">
        <is>
          <t>true</t>
        </is>
      </c>
      <c r="J87" s="73" t="n"/>
      <c r="K87" s="73" t="n"/>
      <c r="L87" s="73" t="n"/>
      <c r="M87" s="73" t="inlineStr">
        <is>
          <t>${income_main} != '19' and ${income_main} != '20'</t>
        </is>
      </c>
      <c r="N87" s="73" t="n"/>
      <c r="O87" s="73" t="n"/>
      <c r="P87" s="73" t="n"/>
      <c r="U87" s="29" t="inlineStr">
        <is>
          <t>yes</t>
        </is>
      </c>
      <c r="W87" s="126" t="n"/>
      <c r="X87" s="113" t="n"/>
      <c r="Y87" s="114" t="n"/>
      <c r="Z87" s="114" t="n"/>
    </row>
    <row r="88">
      <c r="E88" s="41" t="n"/>
      <c r="H88" s="42" t="n"/>
      <c r="W88" s="126" t="n"/>
      <c r="X88" s="113">
        <f>1</f>
        <v/>
      </c>
      <c r="Y88" s="114">
        <f>IF(W88&lt;&gt;"",W88*X88,"")</f>
        <v/>
      </c>
      <c r="Z88" s="114">
        <f>IF(AND(W88&lt;&gt;"",U88="yes"),W88*X88,"")</f>
        <v/>
      </c>
    </row>
    <row r="89" ht="32.1" customHeight="1">
      <c r="A89" s="33" t="inlineStr">
        <is>
          <t>select_one change</t>
        </is>
      </c>
      <c r="B89" s="33" t="inlineStr">
        <is>
          <t>income_main_comp</t>
        </is>
      </c>
      <c r="C89" s="34" t="inlineStr">
        <is>
          <t>Has your household's income from ${incomemain} changed in the last 3 months compared to the same period of a normal year?</t>
        </is>
      </c>
      <c r="D89" s="34" t="inlineStr">
        <is>
          <t>En los últimos 3 meses, ¿han cambiado los ingresos del hogar provenientes de la ${incomemain} comparado con el mismo periodo en un año normal?</t>
        </is>
      </c>
      <c r="E89" s="52" t="n"/>
      <c r="F89" s="33" t="n"/>
      <c r="G89" s="33" t="n"/>
      <c r="H89" s="54" t="n"/>
      <c r="I89" s="73" t="inlineStr">
        <is>
          <t>true</t>
        </is>
      </c>
      <c r="J89" s="73" t="n"/>
      <c r="K89" s="73" t="n"/>
      <c r="L89" s="73" t="n"/>
      <c r="M89" s="73" t="inlineStr">
        <is>
          <t>${income_main} != '19' and ${income_main} != '20'</t>
        </is>
      </c>
      <c r="N89" s="73" t="n"/>
      <c r="O89" s="73" t="n"/>
      <c r="P89" s="73" t="n"/>
      <c r="U89" s="20" t="inlineStr">
        <is>
          <t>yes</t>
        </is>
      </c>
      <c r="W89" s="126" t="n">
        <v>27.24216651916504</v>
      </c>
      <c r="X89" s="113">
        <f>1</f>
        <v/>
      </c>
      <c r="Y89" s="114">
        <f>IF(W89&lt;&gt;"",W89*X89,"")</f>
        <v/>
      </c>
      <c r="Z89" s="114">
        <f>IF(AND(W89&lt;&gt;"",U89="yes"),W89*X89,"")</f>
        <v/>
      </c>
    </row>
    <row r="90">
      <c r="D90" s="22" t="n"/>
      <c r="E90" s="41" t="n"/>
      <c r="H90" s="42" t="n"/>
      <c r="W90" s="126" t="n"/>
      <c r="X90" s="113">
        <f>1</f>
        <v/>
      </c>
      <c r="Y90" s="114">
        <f>IF(W90&lt;&gt;"",W90*X90,"")</f>
        <v/>
      </c>
      <c r="Z90" s="114">
        <f>IF(AND(W90&lt;&gt;"",U90="yes"),W90*X90,"")</f>
        <v/>
      </c>
    </row>
    <row r="91" ht="32.1" customHeight="1">
      <c r="A91" s="33" t="inlineStr">
        <is>
          <t>select_one incomesource2</t>
        </is>
      </c>
      <c r="B91" s="33" t="inlineStr">
        <is>
          <t>income_sec</t>
        </is>
      </c>
      <c r="C91" s="34" t="inlineStr">
        <is>
          <t>What was your household's second most important source of income in the past 3 months?</t>
        </is>
      </c>
      <c r="D91" s="34" t="inlineStr">
        <is>
          <t>¿Cuál fue la segunda fuente de ingresos de su hogar en los últimos 3 meses?</t>
        </is>
      </c>
      <c r="E91" s="52" t="n"/>
      <c r="F91" s="29" t="inlineStr">
        <is>
          <t>[INSTRUCTIONS: DON'T KNOW AND REFUSED OPTIONS SHOULD BE AVOIDED AS MUCH AS POSSIBLE.]</t>
        </is>
      </c>
      <c r="G91" s="29" t="inlineStr">
        <is>
          <t>LAS OPCIONES “NO SABE” Y “NO RESPONDE” DEBEN EVITARSE EN LA MEDIDA DE LO POSIBLE.</t>
        </is>
      </c>
      <c r="H91" s="54" t="n"/>
      <c r="I91" s="73" t="inlineStr">
        <is>
          <t>true</t>
        </is>
      </c>
      <c r="J91" s="73" t="inlineStr">
        <is>
          <t>minimal</t>
        </is>
      </c>
      <c r="K91" s="73" t="n"/>
      <c r="L91" s="73" t="n"/>
      <c r="M91" s="73" t="inlineStr">
        <is>
          <t>${income_main} != '19' and ${income_main} != '20'</t>
        </is>
      </c>
      <c r="N91" s="73" t="inlineStr">
        <is>
          <t>not(selected(${income_main}, name))</t>
        </is>
      </c>
      <c r="O91" s="73" t="n"/>
      <c r="P91" s="73" t="n"/>
      <c r="U91" s="20" t="inlineStr">
        <is>
          <t>yes</t>
        </is>
      </c>
      <c r="W91" s="126" t="n">
        <v>25.30800437927246</v>
      </c>
      <c r="X91" s="113">
        <f>1</f>
        <v/>
      </c>
      <c r="Y91" s="114">
        <f>IF(W91&lt;&gt;"",W91*X91,"")</f>
        <v/>
      </c>
      <c r="Z91" s="114">
        <f>IF(AND(W91&lt;&gt;"",U91="yes"),W91*X91,"")</f>
        <v/>
      </c>
    </row>
    <row r="92">
      <c r="A92" s="33" t="inlineStr">
        <is>
          <t>calculate</t>
        </is>
      </c>
      <c r="B92" s="33" t="inlineStr">
        <is>
          <t>incomesec</t>
        </is>
      </c>
      <c r="C92" s="34" t="n"/>
      <c r="D92" s="34" t="n"/>
      <c r="E92" s="52" t="n"/>
      <c r="F92" s="29" t="n"/>
      <c r="G92" s="29" t="n"/>
      <c r="H92" s="54" t="n"/>
      <c r="I92" s="73" t="n"/>
      <c r="J92" s="73" t="n"/>
      <c r="K92" s="73" t="n"/>
      <c r="L92" s="73" t="n"/>
      <c r="M92" s="73" t="n"/>
      <c r="N92" s="73" t="n"/>
      <c r="O92" s="73" t="n"/>
      <c r="P92" s="73" t="inlineStr">
        <is>
          <t>jr:choice-name(${income_sec},'${income_sec}')</t>
        </is>
      </c>
      <c r="U92" s="20" t="inlineStr">
        <is>
          <t>yes</t>
        </is>
      </c>
      <c r="W92" s="126" t="n"/>
      <c r="X92" s="113">
        <f>1</f>
        <v/>
      </c>
      <c r="Y92" s="114">
        <f>IF(W92&lt;&gt;"",W92*X92,"")</f>
        <v/>
      </c>
      <c r="Z92" s="114">
        <f>IF(AND(W92&lt;&gt;"",U92="yes"),W92*X92,"")</f>
        <v/>
      </c>
    </row>
    <row r="93" ht="32.1" customHeight="1">
      <c r="A93" s="33" t="inlineStr">
        <is>
          <t>select_one yes_no</t>
        </is>
      </c>
      <c r="B93" s="33" t="inlineStr">
        <is>
          <t>income_sec_crop_check</t>
        </is>
      </c>
      <c r="C93" s="34" t="inlineStr">
        <is>
          <t xml:space="preserve">Are the crops sold also produced by you or anyone in your household? </t>
        </is>
      </c>
      <c r="D93" s="266" t="inlineStr">
        <is>
          <t xml:space="preserve">¿Las cosechas de los cultivos vendidos son también producidas por usted o algún miembro de su hogar? </t>
        </is>
      </c>
      <c r="E93" s="52" t="n"/>
      <c r="F93" s="29" t="n"/>
      <c r="G93" s="29" t="n"/>
      <c r="H93" s="54" t="n"/>
      <c r="I93" s="73" t="inlineStr">
        <is>
          <t>true</t>
        </is>
      </c>
      <c r="J93" s="73" t="n"/>
      <c r="K93" s="73" t="n"/>
      <c r="L93" s="73" t="n"/>
      <c r="M93" s="73" t="inlineStr">
        <is>
          <t xml:space="preserve">${income_sec} = '1' or ${income_sec} = '2' or ${income_sec} = '3' </t>
        </is>
      </c>
      <c r="N93" s="73" t="n"/>
      <c r="O93" s="73" t="n"/>
      <c r="P93" s="73" t="n"/>
      <c r="U93" s="20" t="inlineStr">
        <is>
          <t>yes</t>
        </is>
      </c>
      <c r="W93" s="126" t="n">
        <v>0</v>
      </c>
      <c r="X93" s="113">
        <f>1</f>
        <v/>
      </c>
      <c r="Y93" s="114">
        <f>IF(W93&lt;&gt;"",W93*X93,"")</f>
        <v/>
      </c>
      <c r="Z93" s="114">
        <f>IF(AND(W93&lt;&gt;"",U93="yes"),W93*X93,"")</f>
        <v/>
      </c>
    </row>
    <row r="94" ht="32.1" customHeight="1">
      <c r="A94" s="33" t="inlineStr">
        <is>
          <t>select_one yes_no</t>
        </is>
      </c>
      <c r="B94" s="33" t="inlineStr">
        <is>
          <t>income_sec_ls_check</t>
        </is>
      </c>
      <c r="C94" s="34" t="inlineStr">
        <is>
          <t>Are the livestock or livestock products sold also produced by you or anyone in your household?</t>
        </is>
      </c>
      <c r="D94" s="34" t="inlineStr">
        <is>
          <t>¿Los animales o productos de origen animal vendidos son también producidos por usted o algún miembro de su hogar?</t>
        </is>
      </c>
      <c r="E94" s="52" t="n"/>
      <c r="F94" s="29" t="n"/>
      <c r="G94" s="29" t="n"/>
      <c r="H94" s="54" t="n"/>
      <c r="I94" s="73" t="inlineStr">
        <is>
          <t>true</t>
        </is>
      </c>
      <c r="J94" s="73" t="n"/>
      <c r="K94" s="73" t="n"/>
      <c r="L94" s="73" t="n"/>
      <c r="M94" s="73" t="inlineStr">
        <is>
          <t>${income_sec} = '4'</t>
        </is>
      </c>
      <c r="N94" s="73" t="n"/>
      <c r="O94" s="73" t="n"/>
      <c r="P94" s="73" t="n"/>
      <c r="U94" s="20" t="inlineStr">
        <is>
          <t>yes</t>
        </is>
      </c>
      <c r="W94" s="126" t="n">
        <v>0</v>
      </c>
      <c r="X94" s="113">
        <f>1</f>
        <v/>
      </c>
      <c r="Y94" s="114">
        <f>IF(W94&lt;&gt;"",W94*X94,"")</f>
        <v/>
      </c>
      <c r="Z94" s="114">
        <f>IF(AND(W94&lt;&gt;"",U94="yes"),W94*X94,"")</f>
        <v/>
      </c>
    </row>
    <row r="95" ht="32.1" customHeight="1">
      <c r="A95" s="33" t="inlineStr">
        <is>
          <t>select_one yes_no</t>
        </is>
      </c>
      <c r="B95" s="33" t="inlineStr">
        <is>
          <t>income_sec_fish_check</t>
        </is>
      </c>
      <c r="C95" s="34" t="inlineStr">
        <is>
          <t>Are the fish or aquatic products sold also captured/harvested by you or anyone in your household?</t>
        </is>
      </c>
      <c r="D95" s="34" t="inlineStr">
        <is>
          <t>¿Los productos pesqueros o acuícolas que vende son también capturados/cosechados por usted o algún miembro de su hogar?</t>
        </is>
      </c>
      <c r="E95" s="52" t="n"/>
      <c r="F95" s="29" t="n"/>
      <c r="G95" s="29" t="n"/>
      <c r="H95" s="54" t="n"/>
      <c r="I95" s="73" t="inlineStr">
        <is>
          <t>true</t>
        </is>
      </c>
      <c r="J95" s="73" t="n"/>
      <c r="K95" s="73" t="n"/>
      <c r="L95" s="73" t="n"/>
      <c r="M95" s="73" t="inlineStr">
        <is>
          <t>${income_sec} = '6'</t>
        </is>
      </c>
      <c r="N95" s="73" t="n"/>
      <c r="O95" s="73" t="n"/>
      <c r="P95" s="73" t="n"/>
      <c r="U95" s="20" t="inlineStr">
        <is>
          <t>yes</t>
        </is>
      </c>
      <c r="W95" s="126" t="n">
        <v>0</v>
      </c>
      <c r="X95" s="113">
        <f>1</f>
        <v/>
      </c>
      <c r="Y95" s="114">
        <f>IF(W95&lt;&gt;"",W95*X95,"")</f>
        <v/>
      </c>
      <c r="Z95" s="114">
        <f>IF(AND(W95&lt;&gt;"",U95="yes"),W95*X95,"")</f>
        <v/>
      </c>
    </row>
    <row r="96">
      <c r="E96" s="41" t="n"/>
      <c r="H96" s="42" t="n"/>
      <c r="W96" s="126" t="n"/>
      <c r="X96" s="113">
        <f>1</f>
        <v/>
      </c>
      <c r="Y96" s="114">
        <f>IF(W96&lt;&gt;"",W96*X96,"")</f>
        <v/>
      </c>
      <c r="Z96" s="114">
        <f>IF(AND(W96&lt;&gt;"",U96="yes"),W96*X96,"")</f>
        <v/>
      </c>
    </row>
    <row r="97" customFormat="1" s="30">
      <c r="C97" s="31" t="n"/>
      <c r="D97" s="31" t="n"/>
      <c r="E97" s="32" t="n"/>
      <c r="H97" s="36" t="n"/>
      <c r="I97" s="72" t="n"/>
      <c r="J97" s="72" t="n"/>
      <c r="K97" s="72" t="n"/>
      <c r="L97" s="72" t="n"/>
      <c r="M97" s="72" t="n"/>
      <c r="N97" s="72" t="n"/>
      <c r="O97" s="72" t="n"/>
      <c r="P97" s="72" t="n"/>
      <c r="W97" s="126" t="n"/>
      <c r="X97" s="113">
        <f>1</f>
        <v/>
      </c>
      <c r="Y97" s="114">
        <f>IF(W97&lt;&gt;"",W97*X97,"")</f>
        <v/>
      </c>
      <c r="Z97" s="114">
        <f>IF(AND(W97&lt;&gt;"",U97="yes"),W97*X97,"")</f>
        <v/>
      </c>
      <c r="AA97" s="29" t="n"/>
    </row>
    <row r="98" ht="32.1" customHeight="1">
      <c r="A98" s="33" t="inlineStr">
        <is>
          <t>select_one change</t>
        </is>
      </c>
      <c r="B98" s="33" t="inlineStr">
        <is>
          <t>income_sec_comp</t>
        </is>
      </c>
      <c r="C98" s="34" t="inlineStr">
        <is>
          <t>Has your household's income from ${incomesec} changed in the last 3 months compared to the same period of a normal year?</t>
        </is>
      </c>
      <c r="D98" s="34" t="inlineStr">
        <is>
          <t>En los últimos 3 meses, ¿han cambiado los ingresos del hogar provenientes de la ${incomesec} comparado con el mismo periodo en un año normal?</t>
        </is>
      </c>
      <c r="E98" s="52" t="n"/>
      <c r="F98" s="33" t="n"/>
      <c r="G98" s="33" t="n"/>
      <c r="H98" s="54" t="n"/>
      <c r="I98" s="73" t="inlineStr">
        <is>
          <t>true</t>
        </is>
      </c>
      <c r="J98" s="73" t="n"/>
      <c r="K98" s="73" t="n"/>
      <c r="L98" s="73" t="n"/>
      <c r="M98" s="73" t="inlineStr">
        <is>
          <t xml:space="preserve">${income_main} != '19' and ${income_main} != '20' and ${income_sec} != '19' and ${income_sec} != '20' and ${income_sec} != '21' </t>
        </is>
      </c>
      <c r="N98" s="73" t="n"/>
      <c r="O98" s="73" t="n"/>
      <c r="P98" s="73" t="n"/>
      <c r="U98" s="20" t="inlineStr">
        <is>
          <t>yes</t>
        </is>
      </c>
      <c r="W98" s="126" t="n">
        <v>21.19325637817383</v>
      </c>
      <c r="X98" s="113">
        <f>1</f>
        <v/>
      </c>
      <c r="Y98" s="114">
        <f>IF(W98&lt;&gt;"",W98*X98,"")</f>
        <v/>
      </c>
      <c r="Z98" s="114">
        <f>IF(AND(W98&lt;&gt;"",U98="yes"),W98*X98,"")</f>
        <v/>
      </c>
    </row>
    <row r="99">
      <c r="D99" s="22" t="n"/>
      <c r="E99" s="41" t="n"/>
      <c r="H99" s="42" t="n"/>
      <c r="M99" s="83" t="n"/>
      <c r="W99" s="126" t="n"/>
      <c r="X99" s="113">
        <f>1</f>
        <v/>
      </c>
      <c r="Y99" s="114">
        <f>IF(W99&lt;&gt;"",W99*X99,"")</f>
        <v/>
      </c>
      <c r="Z99" s="114">
        <f>IF(AND(W99&lt;&gt;"",U99="yes"),W99*X99,"")</f>
        <v/>
      </c>
    </row>
    <row r="100" ht="15.95" customHeight="1">
      <c r="A100" s="33" t="inlineStr">
        <is>
          <t>select_one incomesource3</t>
        </is>
      </c>
      <c r="B100" s="33" t="inlineStr">
        <is>
          <t>income_third</t>
        </is>
      </c>
      <c r="C100" s="33" t="inlineStr">
        <is>
          <t>What was your household's third most important source of income in the past 3 months?</t>
        </is>
      </c>
      <c r="D100" s="34" t="inlineStr">
        <is>
          <t>¿Cuál fue la tercera fuente de ingresos de su hogar en los últimos 3 meses?</t>
        </is>
      </c>
      <c r="E100" s="54" t="n"/>
      <c r="F100" s="29" t="inlineStr">
        <is>
          <t>[INSTRUCTIONS: DON'T KNOW AND REFUSED OPTIONS SHOULD BE AVOIDED AS MUCH AS POSSIBLE.]</t>
        </is>
      </c>
      <c r="G100" s="29" t="inlineStr">
        <is>
          <t>[OPERADOR: LAS OPCIONES "NO SABE" Y "NO RESPONDE" DEBEN EVITARSE EN LA MEDIDA DE LO POSIBLE.]</t>
        </is>
      </c>
      <c r="H100" s="54" t="n"/>
      <c r="I100" s="73" t="inlineStr">
        <is>
          <t>true</t>
        </is>
      </c>
      <c r="J100" s="73" t="inlineStr">
        <is>
          <t>minimal</t>
        </is>
      </c>
      <c r="K100" s="73" t="n"/>
      <c r="L100" s="73" t="n"/>
      <c r="M100" s="73" t="inlineStr">
        <is>
          <t xml:space="preserve">${income_main} != '19' and ${income_main} != '20' and ${income_sec} != '19' and ${income_sec} != '20' and ${income_sec} != '21' </t>
        </is>
      </c>
      <c r="N100" s="73" t="inlineStr">
        <is>
          <t>not(selected(${income_main}, name) or selected(${income_sec}, name))</t>
        </is>
      </c>
      <c r="O100" s="73" t="n"/>
      <c r="P100" s="73" t="n"/>
      <c r="U100" s="20" t="inlineStr">
        <is>
          <t>yes</t>
        </is>
      </c>
      <c r="W100" s="126" t="n">
        <v>20.22992706298828</v>
      </c>
      <c r="X100" s="113">
        <f>1</f>
        <v/>
      </c>
      <c r="Y100" s="114">
        <f>IF(W100&lt;&gt;"",W100*X100,"")</f>
        <v/>
      </c>
      <c r="Z100" s="114">
        <f>IF(AND(W100&lt;&gt;"",U100="yes"),W100*X100,"")</f>
        <v/>
      </c>
    </row>
    <row r="101">
      <c r="A101" s="33" t="inlineStr">
        <is>
          <t>calculate</t>
        </is>
      </c>
      <c r="B101" s="33" t="inlineStr">
        <is>
          <t>incomethird</t>
        </is>
      </c>
      <c r="C101" s="34" t="n"/>
      <c r="D101" s="34" t="n"/>
      <c r="E101" s="52" t="n"/>
      <c r="F101" s="29" t="n"/>
      <c r="G101" s="29" t="n"/>
      <c r="H101" s="54" t="n"/>
      <c r="I101" s="73" t="n"/>
      <c r="J101" s="73" t="n"/>
      <c r="K101" s="73" t="n"/>
      <c r="L101" s="73" t="n"/>
      <c r="M101" s="73" t="n"/>
      <c r="N101" s="73" t="n"/>
      <c r="O101" s="73" t="n"/>
      <c r="P101" s="73" t="inlineStr">
        <is>
          <t>jr:choice-name(${income_third},'${income_third}')</t>
        </is>
      </c>
      <c r="U101" s="20" t="inlineStr">
        <is>
          <t>yes</t>
        </is>
      </c>
      <c r="W101" s="126" t="n"/>
      <c r="X101" s="113">
        <f>1</f>
        <v/>
      </c>
      <c r="Y101" s="114">
        <f>IF(W101&lt;&gt;"",W101*X101,"")</f>
        <v/>
      </c>
      <c r="Z101" s="114">
        <f>IF(AND(W101&lt;&gt;"",U101="yes"),W101*X101,"")</f>
        <v/>
      </c>
    </row>
    <row r="102" ht="32.1" customHeight="1">
      <c r="A102" s="33" t="inlineStr">
        <is>
          <t>select_one yes_no</t>
        </is>
      </c>
      <c r="B102" s="33" t="inlineStr">
        <is>
          <t>income_third_crop_check</t>
        </is>
      </c>
      <c r="C102" s="34" t="inlineStr">
        <is>
          <t xml:space="preserve">Are the crops sold also produced by you or anyone in your household? </t>
        </is>
      </c>
      <c r="D102" s="266" t="inlineStr">
        <is>
          <t xml:space="preserve">¿Las cosechas de los cultivos vendidos son también producidas por usted o algún miembro de su hogar? </t>
        </is>
      </c>
      <c r="E102" s="52" t="n"/>
      <c r="F102" s="29" t="n"/>
      <c r="G102" s="29" t="n"/>
      <c r="H102" s="54" t="n"/>
      <c r="I102" s="73" t="inlineStr">
        <is>
          <t>true</t>
        </is>
      </c>
      <c r="J102" s="73" t="n"/>
      <c r="K102" s="73" t="n"/>
      <c r="L102" s="73" t="n"/>
      <c r="M102" s="73" t="inlineStr">
        <is>
          <t xml:space="preserve">${income_third} = '1' or ${income_third} = '2' or ${income_third} = '3' </t>
        </is>
      </c>
      <c r="N102" s="73" t="n"/>
      <c r="O102" s="73" t="n"/>
      <c r="P102" s="73" t="n"/>
      <c r="U102" s="20" t="inlineStr">
        <is>
          <t>yes</t>
        </is>
      </c>
      <c r="W102" s="126" t="n">
        <v>0</v>
      </c>
      <c r="X102" s="113">
        <f>1</f>
        <v/>
      </c>
      <c r="Y102" s="114">
        <f>IF(W102&lt;&gt;"",W102*X102,"")</f>
        <v/>
      </c>
      <c r="Z102" s="114">
        <f>IF(AND(W102&lt;&gt;"",U102="yes"),W102*X102,"")</f>
        <v/>
      </c>
    </row>
    <row r="103" ht="32.1" customHeight="1">
      <c r="A103" s="33" t="inlineStr">
        <is>
          <t>select_one yes_no</t>
        </is>
      </c>
      <c r="B103" s="33" t="inlineStr">
        <is>
          <t>income_third_ls_check</t>
        </is>
      </c>
      <c r="C103" s="34" t="inlineStr">
        <is>
          <t xml:space="preserve">Are the livestock or livestock products sold also produced by you or anyone in your household? </t>
        </is>
      </c>
      <c r="D103" s="34" t="inlineStr">
        <is>
          <t>¿Los animales o productos de origen animal vendidos son también producidos por usted o algún miembro de su hogar?</t>
        </is>
      </c>
      <c r="E103" s="52" t="n"/>
      <c r="F103" s="29" t="n"/>
      <c r="G103" s="29" t="n"/>
      <c r="H103" s="54" t="n"/>
      <c r="I103" s="73" t="inlineStr">
        <is>
          <t>true</t>
        </is>
      </c>
      <c r="J103" s="73" t="n"/>
      <c r="K103" s="73" t="n"/>
      <c r="L103" s="73" t="n"/>
      <c r="M103" s="73" t="inlineStr">
        <is>
          <t>${income_third} = '4'</t>
        </is>
      </c>
      <c r="N103" s="73" t="n"/>
      <c r="O103" s="73" t="n"/>
      <c r="P103" s="73" t="n"/>
      <c r="U103" s="20" t="inlineStr">
        <is>
          <t>yes</t>
        </is>
      </c>
      <c r="W103" s="126" t="n">
        <v>0</v>
      </c>
      <c r="X103" s="113">
        <f>1</f>
        <v/>
      </c>
      <c r="Y103" s="114">
        <f>IF(W103&lt;&gt;"",W103*X103,"")</f>
        <v/>
      </c>
      <c r="Z103" s="114">
        <f>IF(AND(W103&lt;&gt;"",U103="yes"),W103*X103,"")</f>
        <v/>
      </c>
    </row>
    <row r="104" ht="32.1" customHeight="1">
      <c r="A104" s="33" t="inlineStr">
        <is>
          <t>select_one yes_no</t>
        </is>
      </c>
      <c r="B104" s="33" t="inlineStr">
        <is>
          <t>income_third_fish_check</t>
        </is>
      </c>
      <c r="C104" s="34" t="inlineStr">
        <is>
          <t>Are the fish or aquatic products sold also captured/harvested by you or anyone in your household?</t>
        </is>
      </c>
      <c r="D104" s="34" t="inlineStr">
        <is>
          <t>¿Los productos pesqueros o acuícolas que vende son también capturados/cosechados por usted o algún miembro de su hogar?</t>
        </is>
      </c>
      <c r="E104" s="52" t="n"/>
      <c r="F104" s="29" t="n"/>
      <c r="G104" s="29" t="n"/>
      <c r="H104" s="54" t="n"/>
      <c r="I104" s="73" t="inlineStr">
        <is>
          <t>true</t>
        </is>
      </c>
      <c r="J104" s="73" t="n"/>
      <c r="K104" s="73" t="n"/>
      <c r="L104" s="73" t="n"/>
      <c r="M104" s="73" t="inlineStr">
        <is>
          <t>${income_third} = '6'</t>
        </is>
      </c>
      <c r="N104" s="73" t="n"/>
      <c r="O104" s="73" t="n"/>
      <c r="P104" s="73" t="n"/>
      <c r="U104" s="20" t="inlineStr">
        <is>
          <t>yes</t>
        </is>
      </c>
      <c r="W104" s="126" t="n">
        <v>0</v>
      </c>
      <c r="X104" s="113">
        <f>1</f>
        <v/>
      </c>
      <c r="Y104" s="114">
        <f>IF(W104&lt;&gt;"",W104*X104,"")</f>
        <v/>
      </c>
      <c r="Z104" s="114">
        <f>IF(AND(W104&lt;&gt;"",U104="yes"),W104*X104,"")</f>
        <v/>
      </c>
    </row>
    <row r="105">
      <c r="E105" s="41" t="n"/>
      <c r="H105" s="42" t="n"/>
      <c r="W105" s="126" t="n"/>
      <c r="X105" s="113">
        <f>1</f>
        <v/>
      </c>
      <c r="Y105" s="114">
        <f>IF(W105&lt;&gt;"",W105*X105,"")</f>
        <v/>
      </c>
      <c r="Z105" s="114">
        <f>IF(AND(W105&lt;&gt;"",U105="yes"),W105*X105,"")</f>
        <v/>
      </c>
    </row>
    <row r="106" customFormat="1" s="30">
      <c r="C106" s="31" t="n"/>
      <c r="D106" s="31" t="n"/>
      <c r="E106" s="32" t="n"/>
      <c r="H106" s="58" t="n"/>
      <c r="I106" s="72" t="n"/>
      <c r="J106" s="72" t="n"/>
      <c r="K106" s="72" t="n"/>
      <c r="L106" s="72" t="n"/>
      <c r="M106" s="86" t="n"/>
      <c r="N106" s="72" t="n"/>
      <c r="O106" s="72" t="n"/>
      <c r="P106" s="72" t="n"/>
      <c r="W106" s="126" t="n"/>
      <c r="X106" s="113">
        <f>1</f>
        <v/>
      </c>
      <c r="Y106" s="114">
        <f>IF(W106&lt;&gt;"",W106*X106,"")</f>
        <v/>
      </c>
      <c r="Z106" s="114">
        <f>IF(AND(W106&lt;&gt;"",U106="yes"),W106*X106,"")</f>
        <v/>
      </c>
      <c r="AA106" s="29" t="n"/>
    </row>
    <row r="107" ht="32.1" customHeight="1">
      <c r="A107" s="33" t="inlineStr">
        <is>
          <t>select_one change</t>
        </is>
      </c>
      <c r="B107" s="33" t="inlineStr">
        <is>
          <t>income_third_comp</t>
        </is>
      </c>
      <c r="C107" s="34" t="inlineStr">
        <is>
          <t>Has your household's income from ${incomethird} changed in the last 3 months compared to the same period of a normal year?</t>
        </is>
      </c>
      <c r="D107" s="34" t="inlineStr">
        <is>
          <t>En los últimos 3 meses, ¿han cambiado los ingresos del hogar provenientes de la ${incomethird} comparado con el mismo periodo en un año normal?</t>
        </is>
      </c>
      <c r="E107" s="52" t="n"/>
      <c r="F107" s="33" t="n"/>
      <c r="G107" s="33" t="n"/>
      <c r="H107" s="54" t="n"/>
      <c r="I107" s="73" t="inlineStr">
        <is>
          <t>true</t>
        </is>
      </c>
      <c r="J107" s="73" t="n"/>
      <c r="K107" s="73" t="n"/>
      <c r="L107" s="73" t="n"/>
      <c r="M107" s="73" t="inlineStr">
        <is>
          <t xml:space="preserve">${income_main} != '19' and ${income_main} != '20' and ${income_sec} != '19' and ${income_sec} != '20' and ${income_sec} != '21' and ${income_third} != '19' and ${income_third} != '20' and ${income_third} != '21' </t>
        </is>
      </c>
      <c r="N107" s="73" t="n"/>
      <c r="O107" s="73" t="n"/>
      <c r="P107" s="73" t="n"/>
      <c r="U107" s="20" t="inlineStr">
        <is>
          <t>yes</t>
        </is>
      </c>
      <c r="W107" s="126" t="n">
        <v>16.34839630126953</v>
      </c>
      <c r="X107" s="113">
        <f>1</f>
        <v/>
      </c>
      <c r="Y107" s="114">
        <f>IF(W107&lt;&gt;"",W107*X107,"")</f>
        <v/>
      </c>
      <c r="Z107" s="114">
        <f>IF(AND(W107&lt;&gt;"",U107="yes"),W107*X107,"")</f>
        <v/>
      </c>
    </row>
    <row r="108" customFormat="1" s="30">
      <c r="C108" s="31" t="n"/>
      <c r="D108" s="22" t="n"/>
      <c r="E108" s="32" t="n"/>
      <c r="H108" s="36" t="n"/>
      <c r="I108" s="72" t="n"/>
      <c r="J108" s="72" t="n"/>
      <c r="K108" s="72" t="n"/>
      <c r="L108" s="72" t="n"/>
      <c r="M108" s="72" t="n"/>
      <c r="N108" s="72" t="n"/>
      <c r="O108" s="72" t="n"/>
      <c r="P108" s="72" t="n"/>
      <c r="W108" s="126" t="n"/>
      <c r="X108" s="113">
        <f>1</f>
        <v/>
      </c>
      <c r="Y108" s="114">
        <f>IF(W108&lt;&gt;"",W108*X108,"")</f>
        <v/>
      </c>
      <c r="Z108" s="114">
        <f>IF(AND(W108&lt;&gt;"",U108="yes"),W108*X108,"")</f>
        <v/>
      </c>
      <c r="AA108" s="29" t="n"/>
    </row>
    <row r="109" ht="63.95" customFormat="1" customHeight="1" s="143">
      <c r="A109" s="296" t="inlineStr">
        <is>
          <t>select_one yes_no</t>
        </is>
      </c>
      <c r="B109" s="296" t="inlineStr">
        <is>
          <t>o_jornal</t>
        </is>
      </c>
      <c r="C109" s="296" t="n"/>
      <c r="D109" s="296" t="inlineStr">
        <is>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is>
      </c>
      <c r="E109" s="296" t="n"/>
      <c r="F109" s="296" t="n"/>
      <c r="G109" s="296" t="n"/>
      <c r="H109" s="296" t="n"/>
      <c r="I109" s="296" t="inlineStr">
        <is>
          <t>true</t>
        </is>
      </c>
      <c r="J109" s="296" t="n"/>
      <c r="K109" s="296" t="n"/>
      <c r="L109" s="296" t="n"/>
      <c r="M109" s="296" t="n"/>
      <c r="N109" s="242" t="n"/>
      <c r="O109" s="242" t="n"/>
      <c r="P109" s="242" t="n"/>
      <c r="W109" s="293" t="n"/>
      <c r="X109" s="294" t="n"/>
      <c r="Y109" s="293" t="n"/>
      <c r="Z109" s="293" t="n"/>
      <c r="AA109" s="295" t="n"/>
    </row>
    <row r="110" ht="176.1" customFormat="1" customHeight="1" s="143">
      <c r="A110" s="296" t="inlineStr">
        <is>
          <t>select_multiple o_jornal_where</t>
        </is>
      </c>
      <c r="B110" s="296" t="inlineStr">
        <is>
          <t>o_jornal_where</t>
        </is>
      </c>
      <c r="C110" s="296" t="n"/>
      <c r="D110" s="296" t="inlineStr">
        <is>
          <t>¿En dónde han trabajado las personas de su hogar que han trabajado como jornalero o trabajador agrícola?</t>
        </is>
      </c>
      <c r="E110" s="296" t="n"/>
      <c r="F110" s="296" t="n"/>
      <c r="G110" s="296" t="n"/>
      <c r="H110" s="296" t="n"/>
      <c r="I110" s="296" t="inlineStr">
        <is>
          <t>true</t>
        </is>
      </c>
      <c r="J110" s="296" t="n"/>
      <c r="K110" s="296" t="n"/>
      <c r="L110" s="296" t="n"/>
      <c r="M110" s="296" t="inlineStr">
        <is>
          <t>${o_jornal} = '1' or  ${income_main} = '9' or
${income_sec} = '9' or
${income_third} = '9'</t>
        </is>
      </c>
      <c r="N110" s="242" t="n"/>
      <c r="O110" s="242" t="n"/>
      <c r="P110" s="242" t="n"/>
      <c r="W110" s="293" t="n"/>
      <c r="X110" s="294" t="n"/>
      <c r="Y110" s="293" t="n"/>
      <c r="Z110" s="293" t="n"/>
      <c r="AA110" s="295" t="n"/>
    </row>
    <row r="111" ht="176.1" customFormat="1" customHeight="1" s="143">
      <c r="A111" s="296" t="inlineStr">
        <is>
          <t>select_multiple o_jornal_crop</t>
        </is>
      </c>
      <c r="B111" s="296" t="inlineStr">
        <is>
          <t>o_jornal_crop</t>
        </is>
      </c>
      <c r="C111" s="296" t="n"/>
      <c r="D111" s="296" t="inlineStr">
        <is>
          <t>¿Para qué cultivo/s o actividad los miembros de su hogar trabajaron como jornaleros? (Si hay varias actividades ingresar la actividad mas importante en términos de cantidad de dias trabajados)</t>
        </is>
      </c>
      <c r="E111" s="296" t="n"/>
      <c r="F111" s="296" t="n"/>
      <c r="G111" s="296" t="n"/>
      <c r="H111" s="296" t="n"/>
      <c r="I111" s="296" t="inlineStr">
        <is>
          <t>true</t>
        </is>
      </c>
      <c r="J111" s="296" t="n"/>
      <c r="K111" s="296" t="n"/>
      <c r="L111" s="296" t="n"/>
      <c r="M111" s="296" t="inlineStr">
        <is>
          <t>${o_jornal} = '1' or ${income_main} = '9' or ${income_sec} = '9' or ${income_third} = '9'</t>
        </is>
      </c>
      <c r="N111" s="242" t="n"/>
      <c r="O111" s="242" t="n"/>
      <c r="P111" s="242" t="n"/>
      <c r="W111" s="293" t="n"/>
      <c r="X111" s="294" t="n"/>
      <c r="Y111" s="293" t="n"/>
      <c r="Z111" s="293" t="n"/>
      <c r="AA111" s="295" t="n"/>
    </row>
    <row r="112" ht="176.1" customFormat="1" customHeight="1" s="143">
      <c r="A112" s="296" t="inlineStr">
        <is>
          <t>integer</t>
        </is>
      </c>
      <c r="B112" s="296" t="inlineStr">
        <is>
          <t>o_jornal_amount</t>
        </is>
      </c>
      <c r="C112" s="296" t="n"/>
      <c r="D112" s="296" t="inlineStr">
        <is>
          <t>¿Cuál es el valor del jornal en moneda local (lo que se paga por dia)? (Si hay varios valores ingresar el valor del jornal de la actividad mas importante en términos de cantidad de dias trabajados)</t>
        </is>
      </c>
      <c r="E112" s="296" t="n"/>
      <c r="F112" s="296" t="n"/>
      <c r="G112" s="296" t="n"/>
      <c r="H112" s="296" t="n"/>
      <c r="I112" s="296" t="inlineStr">
        <is>
          <t>true</t>
        </is>
      </c>
      <c r="J112" s="296" t="n"/>
      <c r="K112" s="296" t="n"/>
      <c r="L112" s="296" t="n"/>
      <c r="M112" s="296" t="inlineStr">
        <is>
          <t>${o_jornal} = '1' or ${income_main} = '9' or ${income_sec} = '9' or ${income_third} = '9'</t>
        </is>
      </c>
      <c r="N112" s="242" t="n"/>
      <c r="O112" s="242" t="n"/>
      <c r="P112" s="242" t="n"/>
      <c r="W112" s="293" t="n"/>
      <c r="X112" s="294" t="n"/>
      <c r="Y112" s="293" t="n"/>
      <c r="Z112" s="293" t="n"/>
      <c r="AA112" s="295" t="n"/>
    </row>
    <row r="113" ht="176.1" customFormat="1" customHeight="1" s="143">
      <c r="A113" s="296" t="inlineStr">
        <is>
          <t>decimal</t>
        </is>
      </c>
      <c r="B113" s="296" t="inlineStr">
        <is>
          <t>o_jornal_duration</t>
        </is>
      </c>
      <c r="C113" s="296" t="n"/>
      <c r="D113" s="296" t="inlineStr">
        <is>
          <t>¿Cuánto tiempo (en meses) realiza labores como jornalero agrícola durante el año? (Si hay varias duraciones ingresar la duración de la actividad mas importante en términos de cantidad de dias trabajados)</t>
        </is>
      </c>
      <c r="E113" s="296" t="n"/>
      <c r="F113" s="296" t="n"/>
      <c r="G113" s="296" t="n"/>
      <c r="H113" s="296" t="n"/>
      <c r="I113" s="296" t="inlineStr">
        <is>
          <t>true</t>
        </is>
      </c>
      <c r="J113" s="296" t="n"/>
      <c r="K113" s="296" t="n"/>
      <c r="L113" s="296" t="n"/>
      <c r="M113" s="296" t="inlineStr">
        <is>
          <t>${o_jornal} = '1' or ${income_main} = '9' or ${income_sec} = '9' or ${income_third} = '9'</t>
        </is>
      </c>
      <c r="N113" s="242" t="n"/>
      <c r="O113" s="242" t="n"/>
      <c r="P113" s="242" t="n"/>
      <c r="W113" s="293" t="n"/>
      <c r="X113" s="294" t="n"/>
      <c r="Y113" s="293" t="n"/>
      <c r="Z113" s="293" t="n"/>
      <c r="AA113" s="295" t="n"/>
    </row>
    <row r="114" ht="176.1" customFormat="1" customHeight="1" s="143">
      <c r="A114" s="296" t="inlineStr">
        <is>
          <t>select_one o_jornal_importance</t>
        </is>
      </c>
      <c r="B114" s="296" t="inlineStr">
        <is>
          <t>o_jornal_importance</t>
        </is>
      </c>
      <c r="C114" s="296" t="n"/>
      <c r="D114" s="296" t="inlineStr">
        <is>
          <t>¿Qué importancia relativa tiene el ingreso del jornal en relación al total de los ingresos anuales del hogar?</t>
        </is>
      </c>
      <c r="E114" s="296" t="n"/>
      <c r="F114" s="296" t="n"/>
      <c r="G114" s="296" t="n"/>
      <c r="H114" s="296" t="n"/>
      <c r="I114" s="296" t="inlineStr">
        <is>
          <t>true</t>
        </is>
      </c>
      <c r="J114" s="296" t="n"/>
      <c r="K114" s="296" t="n"/>
      <c r="L114" s="296" t="n"/>
      <c r="M114" s="296" t="inlineStr">
        <is>
          <t>${o_jornal} = '1' or ${income_main} = '9' or ${income_sec} = '9' or ${income_third} = '9'</t>
        </is>
      </c>
      <c r="N114" s="242" t="n"/>
      <c r="O114" s="242" t="n"/>
      <c r="P114" s="242" t="n"/>
      <c r="W114" s="293" t="n"/>
      <c r="X114" s="294" t="n"/>
      <c r="Y114" s="293" t="n"/>
      <c r="Z114" s="293" t="n"/>
      <c r="AA114" s="295" t="n"/>
    </row>
    <row r="115" ht="48" customHeight="1">
      <c r="A115" s="33" t="inlineStr">
        <is>
          <t>select_multiple shock</t>
        </is>
      </c>
      <c r="B115" s="33" t="inlineStr">
        <is>
          <t>shock</t>
        </is>
      </c>
      <c r="C115" s="34" t="inlineStr">
        <is>
          <t xml:space="preserve">Has your household or community faced any particular disaster or crisis affecting your household's ability to raise an income and/or to produce food for self consumption in the last 3 months, and if so, which ones? </t>
        </is>
      </c>
      <c r="D115" s="34" t="inlineStr">
        <is>
          <t>¿Su hogar ha afrontado algún desastre o crisis particular que haya afectado a su hogar o comunidad, disminuyendo la capacidad para generar ingreso y/o producir alimentos para el autoconsumo en los últimos 3 meses?</t>
        </is>
      </c>
      <c r="E115" s="52" t="n"/>
      <c r="F115" s="33" t="inlineStr">
        <is>
          <t>[INSTRUCTIONS: SELECT RELEVANT SHOCKS EXPERIENCED BY THE HOUSEHOLD. MULTIPLE RESPONSES POSSIBLE. REFER TO ECONOMIC SHOCKS, CROP AND LIVESTOCK SHOCKS, INTRA-HOUSEHOLD SHOCK, NATURAL HAZARDS AND HUMAN-INDUCED HAZARDS.]</t>
        </is>
      </c>
      <c r="G115" s="33" t="inlineStr">
        <is>
          <t>[ENCUESTADOR/A: SELECCIONE LAS CRISIS EXPERIMENTADAS POR EL HOGAR. ES POSIBLE SELECCIONAR MÚLTIPLES RESPUESTAS.CONSULTE CRISIS ECONÓMICAS, CRISIS EN CULTIVOS Y GANADERÍA, CRISIS INTRAFAMILIARES, PELIGROS NATURALES Y PELIGROS INDUCIDOS POR EL HOMBRE.]</t>
        </is>
      </c>
      <c r="H115" s="54" t="n"/>
      <c r="I115" s="73" t="inlineStr">
        <is>
          <t>true</t>
        </is>
      </c>
      <c r="J115" s="73" t="n"/>
      <c r="K115" s="73" t="inlineStr">
        <is>
          <t>if(selected(.,'noshock') or selected(.,'dk') or selected(.,'ref'), count-selected(.) = 1, count-selected(.) &gt;= 1)</t>
        </is>
      </c>
      <c r="L115" s="73" t="n"/>
      <c r="M115" s="73" t="n"/>
      <c r="N115" s="73" t="n"/>
      <c r="O115" s="73" t="n"/>
      <c r="P115" s="73" t="n"/>
      <c r="U115" s="20" t="inlineStr">
        <is>
          <t>yes</t>
        </is>
      </c>
      <c r="W115" s="126" t="n">
        <v>46.24752807617188</v>
      </c>
      <c r="X115" s="113">
        <f>1</f>
        <v/>
      </c>
      <c r="Y115" s="114">
        <f>IF(W115&lt;&gt;"",W115*X115,"")</f>
        <v/>
      </c>
      <c r="Z115" s="114">
        <f>IF(AND(W115&lt;&gt;"",U115="yes"),W115*X115,"")</f>
        <v/>
      </c>
    </row>
    <row r="116" ht="144" customFormat="1" customHeight="1" s="143">
      <c r="A116" s="296" t="inlineStr">
        <is>
          <t>select_one followup_climate</t>
        </is>
      </c>
      <c r="B116" s="296" t="inlineStr">
        <is>
          <t>o_shock_followup_climate</t>
        </is>
      </c>
      <c r="C116" s="296" t="n"/>
      <c r="D116" s="296" t="inlineStr">
        <is>
          <t>¿Estos desastres o crisis medioambientales han sido más frecuentes en los últimos 5 años?</t>
        </is>
      </c>
      <c r="E116" s="296" t="n"/>
      <c r="F116" s="296" t="n"/>
      <c r="G116" s="296" t="n"/>
      <c r="H116" s="296" t="n"/>
      <c r="I116" s="296" t="b">
        <v>1</v>
      </c>
      <c r="J116" s="296" t="n"/>
      <c r="K116" s="296" t="n"/>
      <c r="L116" s="296" t="n"/>
      <c r="M116" s="296" t="inlineStr">
        <is>
          <t>${shock} != 'noshock' and ${shock} != 'dk' and ${shock} != 'ref'</t>
        </is>
      </c>
      <c r="O116" s="242" t="n"/>
      <c r="P116" s="242" t="n"/>
      <c r="W116" s="293" t="n"/>
      <c r="X116" s="294" t="n"/>
      <c r="Y116" s="293" t="n"/>
      <c r="Z116" s="293" t="n"/>
      <c r="AA116" s="295" t="n"/>
    </row>
    <row r="117">
      <c r="E117" s="41" t="n"/>
      <c r="H117" s="42" t="n"/>
      <c r="W117" s="126" t="n"/>
      <c r="X117" s="113">
        <f>1</f>
        <v/>
      </c>
      <c r="Y117" s="114">
        <f>IF(W117&lt;&gt;"",W117*X117,"")</f>
        <v/>
      </c>
      <c r="Z117" s="114">
        <f>IF(AND(W117&lt;&gt;"",U117="yes"),W117*X117,"")</f>
        <v/>
      </c>
    </row>
    <row r="118" customFormat="1" s="30">
      <c r="C118" s="31" t="n"/>
      <c r="D118" s="31" t="n"/>
      <c r="E118" s="32" t="n"/>
      <c r="H118" s="36" t="n"/>
      <c r="I118" s="72" t="n"/>
      <c r="J118" s="72" t="n"/>
      <c r="K118" s="78" t="n"/>
      <c r="L118" s="72" t="n"/>
      <c r="M118" s="72" t="n"/>
      <c r="N118" s="72" t="n"/>
      <c r="O118" s="72" t="n"/>
      <c r="P118" s="72" t="n"/>
      <c r="W118" s="126" t="n"/>
      <c r="X118" s="113">
        <f>1</f>
        <v/>
      </c>
      <c r="Y118" s="114">
        <f>IF(W118&lt;&gt;"",W118*X118,"")</f>
        <v/>
      </c>
      <c r="Z118" s="114">
        <f>IF(AND(W118&lt;&gt;"",U118="yes"),W118*X118,"")</f>
        <v/>
      </c>
      <c r="AA118" s="29" t="n"/>
    </row>
    <row r="119" ht="15.95" customHeight="1" thickBot="1">
      <c r="A119" s="50" t="inlineStr">
        <is>
          <t>end_group</t>
        </is>
      </c>
      <c r="B119" s="50" t="n"/>
      <c r="C119" s="51" t="n"/>
      <c r="D119" s="51" t="n"/>
      <c r="E119" s="45" t="n"/>
      <c r="F119" s="50" t="n"/>
      <c r="G119" s="50" t="n"/>
      <c r="H119" s="46" t="n"/>
      <c r="I119" s="82" t="n"/>
      <c r="J119" s="82" t="n"/>
      <c r="K119" s="82" t="n"/>
      <c r="L119" s="82" t="n"/>
      <c r="M119" s="82" t="n"/>
      <c r="N119" s="82" t="n"/>
      <c r="O119" s="82" t="n"/>
      <c r="P119" s="82" t="n"/>
      <c r="W119" s="126" t="n"/>
      <c r="X119" s="29" t="n"/>
      <c r="Y119" s="114">
        <f>IF(W119&lt;&gt;"",W119*X119,"")</f>
        <v/>
      </c>
      <c r="Z119" s="114">
        <f>IF(AND(W119&lt;&gt;"",U119="yes"),W119*X119,"")</f>
        <v/>
      </c>
    </row>
    <row r="120" ht="17.1" customFormat="1" customHeight="1" s="143" thickTop="1">
      <c r="A120" s="143" t="inlineStr">
        <is>
          <t>begin_group</t>
        </is>
      </c>
      <c r="B120" s="143" t="inlineStr">
        <is>
          <t>reserves_group</t>
        </is>
      </c>
      <c r="D120" s="143" t="inlineStr">
        <is>
          <t>Reservas</t>
        </is>
      </c>
      <c r="E120" s="292" t="n"/>
      <c r="H120" s="292" t="n"/>
      <c r="I120" s="143" t="b">
        <v>1</v>
      </c>
      <c r="M120" s="77" t="inlineStr">
        <is>
          <t>${resp_agree} = '1'</t>
        </is>
      </c>
      <c r="W120" s="293" t="n"/>
      <c r="X120" s="294">
        <f>1</f>
        <v/>
      </c>
      <c r="Y120" s="293">
        <f>IF(W120&lt;&gt;"",W120*X120,"")</f>
        <v/>
      </c>
      <c r="Z120" s="293">
        <f>IF(AND(W120&lt;&gt;"",U120="yes"),W120*X120,"")</f>
        <v/>
      </c>
      <c r="AA120" s="295" t="n"/>
    </row>
    <row r="121" customFormat="1" s="143">
      <c r="A121" s="289" t="inlineStr">
        <is>
          <t>select_one yes_no</t>
        </is>
      </c>
      <c r="B121" s="289" t="inlineStr">
        <is>
          <t>o_reserves_corn</t>
        </is>
      </c>
      <c r="C121" s="289" t="n"/>
      <c r="D121" s="289" t="inlineStr">
        <is>
          <t>¿Tiene reservas de maíz para consumo en el hogar?</t>
        </is>
      </c>
      <c r="E121" s="289" t="n"/>
      <c r="F121" s="289" t="n"/>
      <c r="G121" s="289" t="n"/>
      <c r="H121" s="289" t="n"/>
      <c r="I121" s="289" t="inlineStr">
        <is>
          <t>true</t>
        </is>
      </c>
      <c r="J121" s="289" t="n"/>
      <c r="K121" s="289" t="n"/>
      <c r="L121" s="289" t="n"/>
      <c r="M121" s="289" t="n"/>
      <c r="N121" s="298" t="n"/>
      <c r="O121" s="298" t="n"/>
      <c r="P121" s="298" t="n"/>
      <c r="W121" s="293" t="n"/>
      <c r="X121" s="294" t="n"/>
      <c r="Y121" s="293" t="n"/>
      <c r="Z121" s="293" t="n"/>
      <c r="AA121" s="295" t="n"/>
    </row>
    <row r="122" customFormat="1" s="143">
      <c r="A122" s="289" t="inlineStr">
        <is>
          <t>decimal</t>
        </is>
      </c>
      <c r="B122" s="289" t="inlineStr">
        <is>
          <t>o_reserves_corn_qty</t>
        </is>
      </c>
      <c r="C122" s="289" t="n"/>
      <c r="D122" s="289" t="inlineStr">
        <is>
          <t>¿Cuántos quintales de maíz de reserva tiene?</t>
        </is>
      </c>
      <c r="E122" s="289" t="n"/>
      <c r="F122" s="289" t="n"/>
      <c r="G122" s="289" t="n"/>
      <c r="H122" s="289" t="n"/>
      <c r="I122" s="289" t="inlineStr">
        <is>
          <t>true</t>
        </is>
      </c>
      <c r="J122" s="289" t="n"/>
      <c r="K122" s="289" t="n"/>
      <c r="L122" s="289" t="n"/>
      <c r="M122" s="289" t="inlineStr">
        <is>
          <t>${o_reserves_corn} = '1'</t>
        </is>
      </c>
      <c r="N122" s="298" t="n"/>
      <c r="O122" s="298" t="n"/>
      <c r="P122" s="298" t="n"/>
      <c r="W122" s="293" t="n"/>
      <c r="X122" s="294" t="n"/>
      <c r="Y122" s="293" t="n"/>
      <c r="Z122" s="293" t="n"/>
      <c r="AA122" s="295" t="n"/>
    </row>
    <row r="123" customFormat="1" s="143">
      <c r="A123" s="289" t="inlineStr">
        <is>
          <t>select_multiple reserve_origin</t>
        </is>
      </c>
      <c r="B123" s="289" t="inlineStr">
        <is>
          <t>o_reserves_cornorigin</t>
        </is>
      </c>
      <c r="C123" s="289" t="n"/>
      <c r="D123" s="289" t="inlineStr">
        <is>
          <t>¿Cuál es la procedencia de las reservas de maíz que tiene o ha tenido en este año?</t>
        </is>
      </c>
      <c r="E123" s="289" t="n"/>
      <c r="F123" s="289" t="n"/>
      <c r="G123" s="289" t="n"/>
      <c r="H123" s="289" t="n"/>
      <c r="I123" s="289" t="inlineStr">
        <is>
          <t>true</t>
        </is>
      </c>
      <c r="J123" s="289" t="n"/>
      <c r="K123" s="289" t="n"/>
      <c r="L123" s="289" t="n"/>
      <c r="M123" s="289" t="inlineStr">
        <is>
          <t>${o_reserves_corn} = '1'</t>
        </is>
      </c>
      <c r="N123" s="298" t="n"/>
      <c r="O123" s="298" t="n"/>
      <c r="P123" s="298" t="n"/>
      <c r="W123" s="293" t="n"/>
      <c r="X123" s="294" t="n"/>
      <c r="Y123" s="293" t="n"/>
      <c r="Z123" s="293" t="n"/>
      <c r="AA123" s="295" t="n"/>
    </row>
    <row r="124" customFormat="1" s="143">
      <c r="A124" s="289" t="inlineStr">
        <is>
          <t>integer</t>
        </is>
      </c>
      <c r="B124" s="289" t="inlineStr">
        <is>
          <t>o_reserves_cornlast</t>
        </is>
      </c>
      <c r="C124" s="289" t="n"/>
      <c r="D124" s="289" t="inlineStr">
        <is>
          <t>¿Para cuántos meses le dura la reserva de maíz que tiene para consumo en el hogar?</t>
        </is>
      </c>
      <c r="E124" s="289" t="n"/>
      <c r="F124" s="289" t="n"/>
      <c r="G124" s="289" t="n"/>
      <c r="H124" s="289" t="n"/>
      <c r="I124" s="289" t="inlineStr">
        <is>
          <t>true</t>
        </is>
      </c>
      <c r="J124" s="289" t="n"/>
      <c r="K124" s="289" t="inlineStr">
        <is>
          <t>. &lt; 13</t>
        </is>
      </c>
      <c r="L124" s="289" t="n"/>
      <c r="M124" s="289" t="inlineStr">
        <is>
          <t>${o_reserves_corn} = '1'</t>
        </is>
      </c>
      <c r="N124" s="298" t="n"/>
      <c r="O124" s="298" t="n"/>
      <c r="P124" s="298" t="n"/>
      <c r="W124" s="293" t="n"/>
      <c r="X124" s="294" t="n"/>
      <c r="Y124" s="293" t="n"/>
      <c r="Z124" s="293" t="n"/>
      <c r="AA124" s="295" t="n"/>
    </row>
    <row r="125" customFormat="1" s="143">
      <c r="A125" s="289" t="inlineStr">
        <is>
          <t>select_one yes_no</t>
        </is>
      </c>
      <c r="B125" s="289" t="inlineStr">
        <is>
          <t>o_reserves_bean</t>
        </is>
      </c>
      <c r="C125" s="289" t="n"/>
      <c r="D125" s="289" t="inlineStr">
        <is>
          <t>¿Tiene reservas de frijol para consumo en el hogar?</t>
        </is>
      </c>
      <c r="E125" s="289" t="n"/>
      <c r="F125" s="289" t="n"/>
      <c r="G125" s="289" t="n"/>
      <c r="H125" s="289" t="n"/>
      <c r="I125" s="289" t="inlineStr">
        <is>
          <t>true</t>
        </is>
      </c>
      <c r="J125" s="289" t="n"/>
      <c r="K125" s="289" t="n"/>
      <c r="L125" s="289" t="n"/>
      <c r="M125" s="289" t="n"/>
      <c r="N125" s="298" t="n"/>
      <c r="O125" s="298" t="n"/>
      <c r="P125" s="298" t="n"/>
      <c r="W125" s="293" t="n"/>
      <c r="X125" s="294" t="n"/>
      <c r="Y125" s="293" t="n"/>
      <c r="Z125" s="293" t="n"/>
      <c r="AA125" s="295" t="n"/>
    </row>
    <row r="126" customFormat="1" s="143">
      <c r="A126" s="289" t="inlineStr">
        <is>
          <t>decimal</t>
        </is>
      </c>
      <c r="B126" s="289" t="inlineStr">
        <is>
          <t>o_reserves_bean_qty</t>
        </is>
      </c>
      <c r="C126" s="289" t="n"/>
      <c r="D126" s="289" t="inlineStr">
        <is>
          <t>¿Cuántos quintales de frijol de reserva tiene?</t>
        </is>
      </c>
      <c r="E126" s="289" t="n"/>
      <c r="F126" s="289" t="n"/>
      <c r="G126" s="289" t="n"/>
      <c r="H126" s="289" t="n"/>
      <c r="I126" s="289" t="inlineStr">
        <is>
          <t>true</t>
        </is>
      </c>
      <c r="J126" s="289" t="n"/>
      <c r="K126" s="289" t="n"/>
      <c r="L126" s="289" t="n"/>
      <c r="M126" s="289" t="inlineStr">
        <is>
          <t>${o_reserves_bean} = '1'</t>
        </is>
      </c>
      <c r="N126" s="298" t="n"/>
      <c r="O126" s="298" t="n"/>
      <c r="P126" s="298" t="n"/>
      <c r="W126" s="293" t="n"/>
      <c r="X126" s="294" t="n"/>
      <c r="Y126" s="293" t="n"/>
      <c r="Z126" s="293" t="n"/>
      <c r="AA126" s="295" t="n"/>
    </row>
    <row r="127" customFormat="1" s="143">
      <c r="A127" s="289" t="inlineStr">
        <is>
          <t>select_multiple reserve_origin</t>
        </is>
      </c>
      <c r="B127" s="289" t="inlineStr">
        <is>
          <t>o_reserves_beanorigin</t>
        </is>
      </c>
      <c r="C127" s="289" t="n"/>
      <c r="D127" s="289" t="inlineStr">
        <is>
          <t>¿Cuál es la procedencia de las reservas de frijol que tiene o ha tenido en este año?</t>
        </is>
      </c>
      <c r="E127" s="289" t="n"/>
      <c r="F127" s="289" t="n"/>
      <c r="G127" s="289" t="n"/>
      <c r="H127" s="289" t="n"/>
      <c r="I127" s="289" t="inlineStr">
        <is>
          <t>true</t>
        </is>
      </c>
      <c r="J127" s="289" t="n"/>
      <c r="K127" s="289" t="n"/>
      <c r="L127" s="289" t="n"/>
      <c r="M127" s="289" t="inlineStr">
        <is>
          <t>${o_reserves_bean} = '1'</t>
        </is>
      </c>
      <c r="N127" s="298" t="n"/>
      <c r="O127" s="298" t="n"/>
      <c r="P127" s="298" t="n"/>
      <c r="W127" s="293" t="n"/>
      <c r="X127" s="294" t="n"/>
      <c r="Y127" s="293" t="n"/>
      <c r="Z127" s="293" t="n"/>
      <c r="AA127" s="295" t="n"/>
    </row>
    <row r="128" customFormat="1" s="143">
      <c r="A128" s="289" t="inlineStr">
        <is>
          <t>integer</t>
        </is>
      </c>
      <c r="B128" s="289" t="inlineStr">
        <is>
          <t>o_reserves_beanlast</t>
        </is>
      </c>
      <c r="C128" s="289" t="n"/>
      <c r="D128" s="289" t="inlineStr">
        <is>
          <t>¿Para cuántos meses le dura la reserva de frijol que tiene para consumo en el hogar?</t>
        </is>
      </c>
      <c r="E128" s="289" t="n"/>
      <c r="F128" s="289" t="n"/>
      <c r="G128" s="289" t="n"/>
      <c r="H128" s="289" t="n"/>
      <c r="I128" s="289" t="inlineStr">
        <is>
          <t>true</t>
        </is>
      </c>
      <c r="J128" s="289" t="n"/>
      <c r="K128" s="289" t="inlineStr">
        <is>
          <t>. &lt; 13</t>
        </is>
      </c>
      <c r="L128" s="289" t="n"/>
      <c r="M128" s="289" t="inlineStr">
        <is>
          <t>${o_reserves_bean} = '1'</t>
        </is>
      </c>
      <c r="N128" s="298" t="n"/>
      <c r="O128" s="298" t="n"/>
      <c r="P128" s="298" t="n"/>
      <c r="W128" s="293" t="n"/>
      <c r="X128" s="294" t="n"/>
      <c r="Y128" s="293" t="n"/>
      <c r="Z128" s="293" t="n"/>
      <c r="AA128" s="295" t="n"/>
    </row>
    <row r="129" customFormat="1" s="143">
      <c r="A129" s="289" t="inlineStr">
        <is>
          <t>decimal</t>
        </is>
      </c>
      <c r="B129" s="289" t="inlineStr">
        <is>
          <t>o_corn_price_market</t>
        </is>
      </c>
      <c r="C129" s="289" t="n"/>
      <c r="D129" s="289" t="inlineStr">
        <is>
          <t>¿Cuál es el precio actual (en Quetzal) del quintal de maíz en el mercado?</t>
        </is>
      </c>
      <c r="E129" s="289" t="n"/>
      <c r="F129" s="289" t="n"/>
      <c r="G129" s="289" t="n"/>
      <c r="H129" s="289" t="n"/>
      <c r="I129" s="289" t="inlineStr">
        <is>
          <t>true</t>
        </is>
      </c>
      <c r="J129" s="289" t="n"/>
      <c r="K129" s="289" t="inlineStr">
        <is>
          <t>. &lt; 999</t>
        </is>
      </c>
      <c r="L129" s="289" t="n"/>
      <c r="M129" s="289" t="n"/>
      <c r="N129" s="298" t="n"/>
      <c r="O129" s="298" t="n"/>
      <c r="P129" s="298" t="n"/>
      <c r="W129" s="293" t="n"/>
      <c r="X129" s="294" t="n"/>
      <c r="Y129" s="293" t="n"/>
      <c r="Z129" s="293" t="n"/>
      <c r="AA129" s="295" t="n"/>
    </row>
    <row r="130" customFormat="1" s="143">
      <c r="A130" s="289" t="inlineStr">
        <is>
          <t>decimal</t>
        </is>
      </c>
      <c r="B130" s="289" t="inlineStr">
        <is>
          <t>o_beans_price_market</t>
        </is>
      </c>
      <c r="C130" s="289" t="n"/>
      <c r="D130" s="289" t="inlineStr">
        <is>
          <t>¿Cuál es el precio actual (en Quetzal) del quintal de frijol en el mercado?</t>
        </is>
      </c>
      <c r="E130" s="289" t="n"/>
      <c r="F130" s="289" t="n"/>
      <c r="G130" s="289" t="n"/>
      <c r="H130" s="289" t="n"/>
      <c r="I130" s="289" t="inlineStr">
        <is>
          <t>true</t>
        </is>
      </c>
      <c r="J130" s="289" t="n"/>
      <c r="K130" s="289" t="inlineStr">
        <is>
          <t>. &lt; 999</t>
        </is>
      </c>
      <c r="L130" s="289" t="n"/>
      <c r="M130" s="289" t="n"/>
      <c r="N130" s="298" t="n"/>
      <c r="O130" s="298" t="n"/>
      <c r="P130" s="298" t="n"/>
      <c r="W130" s="293" t="n"/>
      <c r="X130" s="294" t="n"/>
      <c r="Y130" s="293" t="n"/>
      <c r="Z130" s="293" t="n"/>
      <c r="AA130" s="295" t="n"/>
    </row>
    <row r="131" ht="17.1" customFormat="1" customHeight="1" s="143" thickBot="1">
      <c r="A131" s="299" t="inlineStr">
        <is>
          <t>end_group</t>
        </is>
      </c>
      <c r="B131" s="299" t="inlineStr">
        <is>
          <t>end_group</t>
        </is>
      </c>
      <c r="C131" s="299" t="n"/>
      <c r="D131" s="299" t="n"/>
      <c r="E131" s="300" t="n"/>
      <c r="F131" s="299" t="n"/>
      <c r="G131" s="299" t="n"/>
      <c r="H131" s="300" t="n"/>
      <c r="I131" s="299" t="n"/>
      <c r="J131" s="299" t="n"/>
      <c r="K131" s="299" t="n"/>
      <c r="L131" s="299" t="n"/>
      <c r="M131" s="299" t="n"/>
      <c r="N131" s="299" t="n"/>
      <c r="O131" s="299" t="n"/>
      <c r="P131" s="299" t="n"/>
      <c r="W131" s="293" t="n"/>
      <c r="X131" s="295" t="n"/>
      <c r="Y131" s="293">
        <f>IF(W131&lt;&gt;"",W131*X131,"")</f>
        <v/>
      </c>
      <c r="Z131" s="293">
        <f>IF(AND(W131&lt;&gt;"",U131="yes"),W131*X131,"")</f>
        <v/>
      </c>
      <c r="AA131" s="295" t="n"/>
    </row>
    <row r="132" ht="17.1" customFormat="1" customHeight="1" s="26" thickTop="1">
      <c r="A132" s="23" t="inlineStr">
        <is>
          <t>begin_group</t>
        </is>
      </c>
      <c r="B132" s="23" t="inlineStr">
        <is>
          <t>CropProduction_group</t>
        </is>
      </c>
      <c r="C132" s="47" t="inlineStr">
        <is>
          <t>CROP PRODUCTION</t>
        </is>
      </c>
      <c r="D132" s="47" t="inlineStr">
        <is>
          <t>PRODUCCIÓN DE CULTIVOS</t>
        </is>
      </c>
      <c r="E132" s="24" t="n"/>
      <c r="F132" s="23" t="n"/>
      <c r="G132" s="23" t="n"/>
      <c r="H132" s="25" t="n"/>
      <c r="I132" s="76" t="inlineStr">
        <is>
          <t>false</t>
        </is>
      </c>
      <c r="J132" s="76" t="n"/>
      <c r="K132" s="76" t="n"/>
      <c r="L132" s="76" t="n"/>
      <c r="M132" s="77" t="inlineStr">
        <is>
          <t>${resp_agree} = '1' and (${hh_agricactivity}='1' or ${hh_agricactivity} = '3' or ${income_main_crop_check}='1' or ${income_sec_crop_check}='1' or ${income_third_crop_check}='1')</t>
        </is>
      </c>
      <c r="N132" s="76" t="n"/>
      <c r="O132" s="76" t="n"/>
      <c r="P132" s="76" t="n"/>
      <c r="U132" s="20" t="inlineStr">
        <is>
          <t>yes</t>
        </is>
      </c>
      <c r="W132" s="126" t="n"/>
      <c r="X132" s="27" t="n"/>
      <c r="Y132" s="114">
        <f>IF(W132&lt;&gt;"",W132*X132,"")</f>
        <v/>
      </c>
      <c r="Z132" s="114">
        <f>IF(AND(W132&lt;&gt;"",U132="yes"),W132*X132,"")</f>
        <v/>
      </c>
      <c r="AA132" s="27" t="n"/>
    </row>
    <row r="133" ht="63.95" customFormat="1" customHeight="1" s="21">
      <c r="A133" s="19" t="inlineStr">
        <is>
          <t>note</t>
        </is>
      </c>
      <c r="B133" s="19" t="inlineStr">
        <is>
          <t>crp_intro</t>
        </is>
      </c>
      <c r="C133" s="19" t="inlineStr">
        <is>
          <t>We will now ask you some questions about crop production which apply to you and anyone in your household that is involved in crop production or sales. All questions refer to the crops grown during The last season or the current season.</t>
        </is>
      </c>
      <c r="D133" s="19" t="inlineStr">
        <is>
          <t>Ahora me gustaría preguntarle sobre la producción de cultivos. Estas preguntas aplican para usted o cualquier miembro de su hogar que esté involucrado/a en la producción de cultivos. Todas las preguntas se refieren a lo producido durante La última temporada o la temporada en curso.</t>
        </is>
      </c>
      <c r="E133" s="41" t="n"/>
      <c r="F133" s="19" t="n"/>
      <c r="G133" s="19" t="n"/>
      <c r="H133" s="41" t="n"/>
      <c r="I133" s="18" t="n"/>
      <c r="J133" s="18" t="n"/>
      <c r="K133" s="18" t="n"/>
      <c r="L133" s="18" t="n"/>
      <c r="M133" s="18" t="n"/>
      <c r="N133" s="18" t="n"/>
      <c r="O133" s="18" t="n"/>
      <c r="P133" s="18" t="n"/>
      <c r="U133" s="21" t="inlineStr">
        <is>
          <t>yes</t>
        </is>
      </c>
      <c r="W133" s="129" t="n">
        <v>7.5</v>
      </c>
      <c r="X133" s="116">
        <f>'Additional information'!$D$18</f>
        <v/>
      </c>
      <c r="Y133" s="115">
        <f>IF(W133&lt;&gt;"",W133*X133,"")</f>
        <v/>
      </c>
      <c r="Z133" s="115">
        <f>IF(AND(W133&lt;&gt;"",U133="yes"),W133*X133,"")</f>
        <v/>
      </c>
      <c r="AA133" s="22" t="n"/>
    </row>
    <row r="134">
      <c r="E134" s="41" t="n"/>
      <c r="H134" s="42" t="n"/>
      <c r="W134" s="126" t="n"/>
      <c r="X134" s="113">
        <f>'Additional information'!$D$18</f>
        <v/>
      </c>
      <c r="Y134" s="114">
        <f>IF(W134&lt;&gt;"",W134*X134,"")</f>
        <v/>
      </c>
      <c r="Z134" s="114">
        <f>IF(AND(W134&lt;&gt;"",U134="yes"),W134*X134,"")</f>
        <v/>
      </c>
    </row>
    <row r="135" ht="15.95" customFormat="1" customHeight="1" s="143">
      <c r="A135" s="296" t="inlineStr">
        <is>
          <t>select_one o_crp_season</t>
        </is>
      </c>
      <c r="B135" s="296" t="inlineStr">
        <is>
          <t>o_crp_season</t>
        </is>
      </c>
      <c r="C135" s="296" t="n"/>
      <c r="D135" s="296" t="inlineStr">
        <is>
          <t xml:space="preserve">¿Cuál es la temporada en curso o la última temporada agrícola en la que participó? </t>
        </is>
      </c>
      <c r="E135" s="296" t="n"/>
      <c r="F135" s="296" t="n"/>
      <c r="G135" s="296" t="n"/>
      <c r="H135" s="296" t="n"/>
      <c r="I135" s="296" t="b">
        <v>1</v>
      </c>
      <c r="J135" s="296" t="n"/>
      <c r="K135" s="296" t="n"/>
      <c r="L135" s="296" t="n"/>
      <c r="M135" s="296" t="n"/>
      <c r="N135" s="298" t="n"/>
      <c r="O135" s="298" t="n"/>
      <c r="P135" s="298" t="n"/>
      <c r="W135" s="293" t="n"/>
      <c r="X135" s="294" t="n"/>
      <c r="Y135" s="293" t="n"/>
      <c r="Z135" s="293" t="n"/>
      <c r="AA135" s="295" t="n"/>
    </row>
    <row r="136" ht="32.1" customFormat="1" customHeight="1" s="143">
      <c r="A136" s="296" t="inlineStr">
        <is>
          <t>select_one o_crp_season_harvested</t>
        </is>
      </c>
      <c r="B136" s="296" t="inlineStr">
        <is>
          <t>o_crp_season_harvested</t>
        </is>
      </c>
      <c r="C136" s="296" t="n"/>
      <c r="D136" s="296" t="inlineStr">
        <is>
          <t>¿Ya cosechó para la última temporada o la temporada en curso?</t>
        </is>
      </c>
      <c r="E136" s="296" t="n"/>
      <c r="F136" s="296" t="n"/>
      <c r="G136" s="296" t="n"/>
      <c r="H136" s="296" t="n"/>
      <c r="I136" s="296" t="b">
        <v>1</v>
      </c>
      <c r="J136" s="296" t="n"/>
      <c r="K136" s="296" t="n"/>
      <c r="L136" s="296" t="n"/>
      <c r="M136" s="296" t="n"/>
      <c r="N136" s="298" t="n"/>
      <c r="O136" s="298" t="n"/>
      <c r="P136" s="298" t="n"/>
      <c r="W136" s="293" t="n"/>
      <c r="X136" s="294" t="n"/>
      <c r="Y136" s="293" t="n"/>
      <c r="Z136" s="293" t="n"/>
      <c r="AA136" s="295" t="n"/>
    </row>
    <row r="137" ht="15.95" customFormat="1" customHeight="1" s="29">
      <c r="A137" s="33" t="inlineStr">
        <is>
          <t>decimal</t>
        </is>
      </c>
      <c r="B137" s="33" t="inlineStr">
        <is>
          <t>crp_landsize_num</t>
        </is>
      </c>
      <c r="C137" s="34" t="inlineStr">
        <is>
          <t>What is the total size of the land you can cultivate?</t>
        </is>
      </c>
      <c r="D137" s="19" t="inlineStr">
        <is>
          <t>¿Cuál es el tamaño total de terreno que puede cultivar?</t>
        </is>
      </c>
      <c r="E137" s="52" t="n"/>
      <c r="F137" s="33" t="inlineStr">
        <is>
          <t>[INSTRUCTIONS: RECORD THE TOTAL LAND SIZE PROVIDED BY THE RESPONDENT. WRITE 888 FOR DON'T KNOW AND 999 FOR REFUSED. MEASUREMENT UNIT WILL BE SPECIFIED IN THE FOLLOWING QUESTION.]</t>
        </is>
      </c>
      <c r="G137" s="33" t="inlineStr">
        <is>
          <t>[ENCUESTADOR/A: ESCRIBA EL ÁREA TOTAL QUE LE DICE EL ENCUESTADO. ESCRIBA 888 PARA "NO SABE" Y 999 PARA "NO RESPONDE". LA UNIDAD DE MEDIDA SE ESPECIFICARÁ EN LA SIGUIENTE PREGUNTA.]</t>
        </is>
      </c>
      <c r="H137" s="54" t="n"/>
      <c r="I137" s="73" t="inlineStr">
        <is>
          <t>true</t>
        </is>
      </c>
      <c r="J137" s="73" t="n"/>
      <c r="K137" s="73" t="inlineStr">
        <is>
          <t>. &gt;= 0</t>
        </is>
      </c>
      <c r="L137" s="73" t="n"/>
      <c r="M137" s="73" t="n"/>
      <c r="N137" s="73" t="n"/>
      <c r="O137" s="73" t="n"/>
      <c r="P137" s="73" t="n"/>
      <c r="U137" s="29" t="inlineStr">
        <is>
          <t>yes</t>
        </is>
      </c>
      <c r="W137" s="126" t="n">
        <v>17</v>
      </c>
      <c r="X137" s="113">
        <f>'Additional information'!$D$18</f>
        <v/>
      </c>
      <c r="Y137" s="114">
        <f>IF(W137&lt;&gt;"",W137*X137,"")</f>
        <v/>
      </c>
      <c r="Z137" s="114">
        <f>IF(AND(W137&lt;&gt;"",U137="yes"),W137*X137,"")</f>
        <v/>
      </c>
    </row>
    <row r="138" ht="15.95" customFormat="1" customHeight="1" s="29">
      <c r="A138" s="33" t="inlineStr">
        <is>
          <t>select_one landsize_unit</t>
        </is>
      </c>
      <c r="B138" s="33" t="inlineStr">
        <is>
          <t>crp_landsize_unit</t>
        </is>
      </c>
      <c r="C138" s="34" t="inlineStr">
        <is>
          <t xml:space="preserve">Unit of measurement for land size: </t>
        </is>
      </c>
      <c r="D138" s="19" t="inlineStr">
        <is>
          <t>Unidad de medida para el terreno cultivado:</t>
        </is>
      </c>
      <c r="E138" s="52" t="n"/>
      <c r="F138" s="33" t="inlineStr">
        <is>
          <t>[INSTRUCTIONS: DO NOT READ QUESTION. SELECT UNIT OF MEASUREMENT IN WHICH LAND SIZE WAS PROVIDED.]</t>
        </is>
      </c>
      <c r="G138" s="144" t="inlineStr">
        <is>
          <t>[ENCUESTADOR/A: NO LEA LAS OPCIONES.]</t>
        </is>
      </c>
      <c r="H138" s="54" t="n"/>
      <c r="I138" s="73" t="inlineStr">
        <is>
          <t>true</t>
        </is>
      </c>
      <c r="J138" s="73" t="n"/>
      <c r="K138" s="73" t="n"/>
      <c r="L138" s="73" t="n"/>
      <c r="M138" s="73" t="inlineStr">
        <is>
          <t>${crp_landsize_num} != 888 and ${crp_landsize_num} != 999</t>
        </is>
      </c>
      <c r="N138" s="73" t="n"/>
      <c r="O138" s="73" t="n"/>
      <c r="P138" s="73" t="n"/>
      <c r="U138" s="29" t="inlineStr">
        <is>
          <t>yes</t>
        </is>
      </c>
      <c r="W138" s="126" t="n">
        <v>0</v>
      </c>
      <c r="X138" s="113">
        <f>'Additional information'!$D$18</f>
        <v/>
      </c>
      <c r="Y138" s="114">
        <f>IF(W138&lt;&gt;"",W138*X138,"")</f>
        <v/>
      </c>
      <c r="Z138" s="114">
        <f>IF(AND(W138&lt;&gt;"",U138="yes"),W138*X138,"")</f>
        <v/>
      </c>
    </row>
    <row r="139" customFormat="1" s="26">
      <c r="C139" s="48" t="n"/>
      <c r="D139" s="21" t="n"/>
      <c r="E139" s="24" t="n"/>
      <c r="H139" s="25" t="n"/>
      <c r="I139" s="77" t="n"/>
      <c r="J139" s="77" t="n"/>
      <c r="K139" s="77" t="n"/>
      <c r="L139" s="77" t="n"/>
      <c r="M139" s="77" t="n"/>
      <c r="N139" s="77" t="n"/>
      <c r="O139" s="77" t="n"/>
      <c r="P139" s="77" t="n"/>
      <c r="U139" s="20" t="n"/>
      <c r="W139" s="126" t="n"/>
      <c r="X139" s="113">
        <f>'Additional information'!$D$18</f>
        <v/>
      </c>
      <c r="Y139" s="114">
        <f>IF(W139&lt;&gt;"",W139*X139,"")</f>
        <v/>
      </c>
      <c r="Z139" s="114">
        <f>IF(AND(W139&lt;&gt;"",U139="yes"),W139*X139,"")</f>
        <v/>
      </c>
      <c r="AA139" s="27" t="n"/>
    </row>
    <row r="140" customFormat="1" s="295">
      <c r="A140" s="289" t="inlineStr">
        <is>
          <t>select_one yes_no</t>
        </is>
      </c>
      <c r="B140" s="289" t="inlineStr">
        <is>
          <t>o_landtenure</t>
        </is>
      </c>
      <c r="C140" s="289" t="n"/>
      <c r="D140" s="289" t="inlineStr">
        <is>
          <t>¿El terreno que cultivó o cultiva es propio?</t>
        </is>
      </c>
      <c r="E140" s="289" t="n"/>
      <c r="F140" s="289" t="n"/>
      <c r="G140" s="289" t="n"/>
      <c r="H140" s="289" t="n"/>
      <c r="I140" s="289" t="inlineStr">
        <is>
          <t>true</t>
        </is>
      </c>
      <c r="J140" s="289" t="n"/>
      <c r="K140" s="289" t="n"/>
      <c r="L140" s="289" t="n"/>
      <c r="M140" s="289" t="inlineStr">
        <is>
          <t>${crp_landsize_num}&gt;0</t>
        </is>
      </c>
      <c r="N140" s="242" t="n"/>
      <c r="O140" s="242" t="n"/>
      <c r="P140" s="242" t="n"/>
      <c r="W140" s="293" t="n"/>
      <c r="X140" s="294" t="n"/>
      <c r="Y140" s="293" t="n"/>
      <c r="Z140" s="293" t="n"/>
    </row>
    <row r="141" ht="32.1" customHeight="1">
      <c r="A141" s="28" t="inlineStr">
        <is>
          <t>select_one crop</t>
        </is>
      </c>
      <c r="B141" s="28" t="inlineStr">
        <is>
          <t>crp_main</t>
        </is>
      </c>
      <c r="C141" s="19" t="inlineStr">
        <is>
          <t>What is the main crop that your household grows for food or income generation in The last season or the current season, if any?</t>
        </is>
      </c>
      <c r="D141" s="19" t="inlineStr">
        <is>
          <t>De haber alguno, ¿cuál es el principal cultivo que su hogar produce para la alimentación o la generación de ingresos en La última temporada o la temporada en curso?</t>
        </is>
      </c>
      <c r="E141" s="41" t="n"/>
      <c r="F141" s="28" t="inlineStr">
        <is>
          <t>[INSTRUCTIONS: "NO CROP PRODUCTION" APPEARS AT THE END OF THE LIST OF OPTIONS.]</t>
        </is>
      </c>
      <c r="G141" s="28" t="inlineStr">
        <is>
          <t>ENCUESTADOR/A: LA OPCIÓN "NO HAY PRODUCCIÓN DE CULTIVOS" SE ENCUENTRA ENTRE LAS ÚLTIMAS OPCIONES AL FINAL DE LA LISTA.]</t>
        </is>
      </c>
      <c r="H141" s="42" t="n"/>
      <c r="I141" s="71" t="inlineStr">
        <is>
          <t>true</t>
        </is>
      </c>
      <c r="J141" s="71" t="inlineStr">
        <is>
          <t>autocomplete</t>
        </is>
      </c>
      <c r="K141" s="71" t="n"/>
      <c r="L141" s="71" t="n"/>
      <c r="M141" s="71" t="n"/>
      <c r="N141" s="71" t="n"/>
      <c r="O141" s="71" t="n"/>
      <c r="P141" s="71" t="n"/>
      <c r="U141" s="20" t="inlineStr">
        <is>
          <t>yes</t>
        </is>
      </c>
      <c r="W141" s="126" t="n">
        <v>27.05755233764648</v>
      </c>
      <c r="X141" s="113">
        <f>'Additional information'!$D$18</f>
        <v/>
      </c>
      <c r="Y141" s="114">
        <f>IF(W141&lt;&gt;"",W141*X141,"")</f>
        <v/>
      </c>
      <c r="Z141" s="114">
        <f>IF(AND(W141&lt;&gt;"",U141="yes"),W141*X141,"")</f>
        <v/>
      </c>
    </row>
    <row r="142">
      <c r="A142" s="28" t="inlineStr">
        <is>
          <t>calculate</t>
        </is>
      </c>
      <c r="B142" s="28" t="inlineStr">
        <is>
          <t>crpmain</t>
        </is>
      </c>
      <c r="C142" s="19" t="n"/>
      <c r="D142" s="19" t="n"/>
      <c r="E142" s="41" t="n"/>
      <c r="H142" s="42" t="n"/>
      <c r="I142" s="71" t="n"/>
      <c r="J142" s="71" t="n"/>
      <c r="K142" s="71" t="n"/>
      <c r="L142" s="71" t="n"/>
      <c r="M142" s="71" t="n"/>
      <c r="N142" s="71" t="n"/>
      <c r="O142" s="71" t="n"/>
      <c r="P142" s="71" t="inlineStr">
        <is>
          <t>jr:choice-name(${crp_main},'${crp_main}')</t>
        </is>
      </c>
      <c r="U142" s="20" t="inlineStr">
        <is>
          <t>yes</t>
        </is>
      </c>
      <c r="W142" s="126" t="n"/>
      <c r="X142" s="113">
        <f>'Additional information'!$D$18</f>
        <v/>
      </c>
      <c r="Y142" s="114">
        <f>IF(W142&lt;&gt;"",W142*X142,"")</f>
        <v/>
      </c>
      <c r="Z142" s="114">
        <f>IF(AND(W142&lt;&gt;"",U142="yes"),W142*X142,"")</f>
        <v/>
      </c>
    </row>
    <row r="143" ht="15.95" customHeight="1">
      <c r="A143" s="28" t="inlineStr">
        <is>
          <t>select_one cropcheck</t>
        </is>
      </c>
      <c r="B143" s="28" t="inlineStr">
        <is>
          <t>crp_main_check</t>
        </is>
      </c>
      <c r="C143" s="19" t="inlineStr">
        <is>
          <t>Why did you not produce any crops in The last season or the current season?</t>
        </is>
      </c>
      <c r="D143" s="19" t="inlineStr">
        <is>
          <t>¿Por qué no produjo ningún cultivo en La última temporada o la temporada en curso</t>
        </is>
      </c>
      <c r="E143" s="41" t="n"/>
      <c r="H143" s="42" t="n"/>
      <c r="I143" s="71" t="inlineStr">
        <is>
          <t>true</t>
        </is>
      </c>
      <c r="J143" s="71" t="n"/>
      <c r="K143" s="71" t="n"/>
      <c r="L143" s="71" t="n"/>
      <c r="M143" s="71" t="inlineStr">
        <is>
          <t>${crp_main}='777'</t>
        </is>
      </c>
      <c r="N143" s="71" t="n"/>
      <c r="O143" s="71" t="n"/>
      <c r="P143" s="71" t="n"/>
      <c r="U143" s="20" t="inlineStr">
        <is>
          <t>yes</t>
        </is>
      </c>
      <c r="W143" s="126" t="n">
        <v>0</v>
      </c>
      <c r="X143" s="113">
        <f>'Additional information'!$D$18</f>
        <v/>
      </c>
      <c r="Y143" s="114">
        <f>IF(W143&lt;&gt;"",W143*X143,"")</f>
        <v/>
      </c>
      <c r="Z143" s="114">
        <f>IF(AND(W143&lt;&gt;"",U143="yes"),W143*X143,"")</f>
        <v/>
      </c>
    </row>
    <row r="144" customFormat="1" s="29">
      <c r="C144" s="22" t="n"/>
      <c r="D144" s="21" t="n"/>
      <c r="E144" s="52" t="n"/>
      <c r="H144" s="54" t="n"/>
      <c r="I144" s="83" t="n"/>
      <c r="J144" s="83" t="n"/>
      <c r="K144" s="83" t="n"/>
      <c r="L144" s="83" t="n"/>
      <c r="M144" s="83" t="n"/>
      <c r="N144" s="83" t="n"/>
      <c r="O144" s="83" t="n"/>
      <c r="P144" s="83" t="n"/>
      <c r="W144" s="126" t="n"/>
      <c r="X144" s="113">
        <f>'Additional information'!$D$18</f>
        <v/>
      </c>
      <c r="Y144" s="114">
        <f>IF(W144&lt;&gt;"",W144*X144,"")</f>
        <v/>
      </c>
      <c r="Z144" s="114">
        <f>IF(AND(W144&lt;&gt;"",U144="yes"),W144*X144,"")</f>
        <v/>
      </c>
    </row>
    <row r="145" ht="30" customHeight="1">
      <c r="A145" s="289" t="inlineStr">
        <is>
          <t>select_one o_production_use</t>
        </is>
      </c>
      <c r="B145" s="289" t="inlineStr">
        <is>
          <t>o_production_use</t>
        </is>
      </c>
      <c r="C145" s="289" t="inlineStr">
        <is>
          <t>Your crop production is intended for consumption, sale or both?</t>
        </is>
      </c>
      <c r="D145" s="289" t="inlineStr">
        <is>
          <t>¿Su producción de cultivos es destinada al consumo, venta o ambos?</t>
        </is>
      </c>
      <c r="E145" s="289" t="n"/>
      <c r="F145" s="289" t="inlineStr">
        <is>
          <t>[INSTRUCTIONS: SINGLE RESPONSE.]</t>
        </is>
      </c>
      <c r="G145" s="289" t="inlineStr">
        <is>
          <t>[ENCUESTADOR/A: RESPUESTA ÚNICA.]</t>
        </is>
      </c>
      <c r="H145" s="289" t="n"/>
      <c r="I145" s="289" t="b">
        <v>1</v>
      </c>
      <c r="J145" s="289" t="n"/>
      <c r="K145" s="289" t="n"/>
      <c r="L145" s="289" t="n"/>
      <c r="M145" s="289" t="n"/>
      <c r="P145" s="20" t="n"/>
      <c r="V145" s="126" t="n"/>
      <c r="W145" s="113">
        <f>'[1]Additional information'!$D$18</f>
        <v/>
      </c>
      <c r="X145" s="114">
        <f>IF(V145&lt;&gt;"",V145*W145,"")</f>
        <v/>
      </c>
      <c r="Y145" s="114">
        <f>IF(AND(V145&lt;&gt;"",T145="yes"),V145*W145,"")</f>
        <v/>
      </c>
      <c r="AA145" s="20" t="n"/>
    </row>
    <row r="146" ht="176.1" customFormat="1" customHeight="1" s="143">
      <c r="A146" s="296" t="inlineStr">
        <is>
          <t>integer</t>
        </is>
      </c>
      <c r="B146" s="296" t="inlineStr">
        <is>
          <t>o_crp_grain_frequency</t>
        </is>
      </c>
      <c r="C146" s="296" t="n"/>
      <c r="D146" s="296" t="inlineStr">
        <is>
          <t>¿Cuántas siembras de &lt;span style="color:red"&gt;${crpmain}&lt;/span&gt; realiza al año habitualmente?</t>
        </is>
      </c>
      <c r="E146" s="296" t="n"/>
      <c r="F146" s="296" t="n"/>
      <c r="G146" s="296" t="n"/>
      <c r="H146" s="296" t="n"/>
      <c r="I146" s="296" t="inlineStr">
        <is>
          <t>true</t>
        </is>
      </c>
      <c r="J146" s="296" t="n"/>
      <c r="K146" s="296" t="n"/>
      <c r="L146" s="296" t="n"/>
      <c r="M146" s="296" t="inlineStr">
        <is>
          <t>${crp_main} = 1.5 or ${crp_main} = 1.4 or ${crp_main} = 1.5 or ${crp_main} = 3.1</t>
        </is>
      </c>
      <c r="N146" s="298" t="n"/>
      <c r="O146" s="298" t="n"/>
      <c r="P146" s="298" t="n"/>
      <c r="W146" s="293" t="n"/>
      <c r="X146" s="294" t="n"/>
      <c r="Y146" s="293" t="n"/>
      <c r="Z146" s="293" t="n"/>
      <c r="AA146" s="295" t="n"/>
    </row>
    <row r="147" ht="176.1" customFormat="1" customHeight="1" s="143">
      <c r="A147" s="296" t="inlineStr">
        <is>
          <t>select_one meses</t>
        </is>
      </c>
      <c r="B147" s="296" t="inlineStr">
        <is>
          <t>o_crp_grain_datemonth</t>
        </is>
      </c>
      <c r="C147" s="296" t="n"/>
      <c r="D147" s="296" t="inlineStr">
        <is>
          <t>¿En que mes sembró el &lt;span style="color:red"&gt;${crpmain}&lt;/span&gt;  para la última temporada en que sembró &lt;span style="color:red"&gt;${crpmain}&lt;/span&gt; ?</t>
        </is>
      </c>
      <c r="E147" s="296" t="n"/>
      <c r="F147" s="296" t="n"/>
      <c r="G147" s="296" t="n"/>
      <c r="H147" s="296" t="n"/>
      <c r="I147" s="296" t="inlineStr">
        <is>
          <t>true</t>
        </is>
      </c>
      <c r="J147" s="296" t="n"/>
      <c r="K147" s="296" t="n"/>
      <c r="L147" s="296" t="n"/>
      <c r="M147" s="296" t="inlineStr">
        <is>
          <t>${crp_main} = 1.5 or ${crp_main} = 1.4 or ${crp_main} = 1.5 or ${crp_main} = 3.1</t>
        </is>
      </c>
      <c r="N147" s="298" t="n"/>
      <c r="O147" s="298" t="n"/>
      <c r="P147" s="298" t="n"/>
      <c r="W147" s="293" t="n"/>
      <c r="X147" s="294" t="n"/>
      <c r="Y147" s="293" t="n"/>
      <c r="Z147" s="293" t="n"/>
      <c r="AA147" s="295" t="n"/>
    </row>
    <row r="148" ht="176.1" customFormat="1" customHeight="1" s="143">
      <c r="A148" s="296" t="inlineStr">
        <is>
          <t>select_one o_crp_grain_datemonth2</t>
        </is>
      </c>
      <c r="B148" s="296" t="inlineStr">
        <is>
          <t>o_crp_grain_datemonth2</t>
        </is>
      </c>
      <c r="C148" s="296" t="n"/>
      <c r="D148" s="296" t="inlineStr">
        <is>
          <t>¿En que parte del mes sembró el &lt;span style="color:red"&gt;${crpmain}&lt;/span&gt;  para la última temporada en que sembró &lt;span style="color:red"&gt;${crpmain}&lt;/span&gt; ?</t>
        </is>
      </c>
      <c r="E148" s="296" t="n"/>
      <c r="F148" s="296" t="n"/>
      <c r="G148" s="296" t="n"/>
      <c r="H148" s="296" t="n"/>
      <c r="I148" s="296" t="inlineStr">
        <is>
          <t>true</t>
        </is>
      </c>
      <c r="J148" s="296" t="n"/>
      <c r="K148" s="296" t="n"/>
      <c r="L148" s="296" t="n"/>
      <c r="M148" s="296" t="inlineStr">
        <is>
          <t>${crp_main} = 1.5 or ${crp_main} = 1.4 or ${crp_main} = 1.5 or ${crp_main} = 3.1</t>
        </is>
      </c>
      <c r="N148" s="298" t="n"/>
      <c r="O148" s="298" t="n"/>
      <c r="P148" s="298" t="n"/>
      <c r="W148" s="293" t="n"/>
      <c r="X148" s="294" t="n"/>
      <c r="Y148" s="293" t="n"/>
      <c r="Z148" s="293" t="n"/>
      <c r="AA148" s="295" t="n"/>
    </row>
    <row r="149" ht="176.1" customFormat="1" customHeight="1" s="143">
      <c r="A149" s="296" t="inlineStr">
        <is>
          <t>select_one yes_no</t>
        </is>
      </c>
      <c r="B149" s="296" t="inlineStr">
        <is>
          <t>o_crp_grain_datechange</t>
        </is>
      </c>
      <c r="C149" s="296" t="n"/>
      <c r="D149" s="296" t="inlineStr">
        <is>
          <t xml:space="preserve">¿Ha cambiado la fecha en que siembra habitualmente el &lt;span style="color:red"&gt;${crpmain}&lt;/span&gt; en esa temporada? </t>
        </is>
      </c>
      <c r="E149" s="296" t="n"/>
      <c r="F149" s="296" t="n"/>
      <c r="G149" s="296" t="n"/>
      <c r="H149" s="296" t="n"/>
      <c r="I149" s="296" t="inlineStr">
        <is>
          <t>true</t>
        </is>
      </c>
      <c r="J149" s="296" t="n"/>
      <c r="K149" s="296" t="n"/>
      <c r="L149" s="296" t="n"/>
      <c r="M149" s="296" t="inlineStr">
        <is>
          <t>${crp_main} = 1.5 or ${crp_main} = 1.4 or ${crp_main} = 1.5 or ${crp_main} = 3.1</t>
        </is>
      </c>
      <c r="N149" s="298" t="n"/>
      <c r="O149" s="298" t="n"/>
      <c r="P149" s="298" t="n"/>
      <c r="W149" s="293" t="n"/>
      <c r="X149" s="294" t="n"/>
      <c r="Y149" s="293" t="n"/>
      <c r="Z149" s="293" t="n"/>
      <c r="AA149" s="295" t="n"/>
    </row>
    <row r="150" ht="63.95" customFormat="1" customHeight="1" s="143">
      <c r="A150" s="296" t="inlineStr">
        <is>
          <t>select_one o_crp_grain_datechange_why</t>
        </is>
      </c>
      <c r="B150" s="296" t="inlineStr">
        <is>
          <t>o_crp_grain_datechange_why</t>
        </is>
      </c>
      <c r="C150" s="296" t="n"/>
      <c r="D150" s="296" t="inlineStr">
        <is>
          <t>¿Por qué cambió la fecha de siembra habitual del &lt;span style="color:red"&gt;${crpmain}&lt;/span&gt;  en época de primera de este año?</t>
        </is>
      </c>
      <c r="E150" s="296" t="n"/>
      <c r="F150" s="296" t="n"/>
      <c r="G150" s="296" t="n"/>
      <c r="H150" s="296" t="n"/>
      <c r="I150" s="296" t="inlineStr">
        <is>
          <t>true</t>
        </is>
      </c>
      <c r="J150" s="296" t="n"/>
      <c r="K150" s="296" t="n"/>
      <c r="L150" s="296" t="n"/>
      <c r="M150" s="296" t="inlineStr">
        <is>
          <t>${crp_main} = 1.5 or ${crp_main} = 1.4 or ${crp_main} = 1.5 or ${crp_main} = 3.1</t>
        </is>
      </c>
      <c r="N150" s="298" t="n"/>
      <c r="O150" s="298" t="n"/>
      <c r="P150" s="298" t="n"/>
      <c r="W150" s="293" t="n"/>
      <c r="X150" s="294" t="n"/>
      <c r="Y150" s="293" t="n"/>
      <c r="Z150" s="293" t="n"/>
      <c r="AA150" s="295" t="n"/>
    </row>
    <row r="151" ht="176.1" customFormat="1" customHeight="1" s="143">
      <c r="A151" s="296" t="inlineStr">
        <is>
          <t>select_one meses</t>
        </is>
      </c>
      <c r="B151" s="296" t="inlineStr">
        <is>
          <t>o_crp_grain_harvest_month</t>
        </is>
      </c>
      <c r="C151" s="296" t="n"/>
      <c r="D151" s="296" t="inlineStr">
        <is>
          <t>¿En qué mes cosechó el &lt;span style="color:red"&gt;${crpmain}&lt;/span&gt;  en la última temporada?</t>
        </is>
      </c>
      <c r="E151" s="296" t="n"/>
      <c r="F151" s="296" t="n"/>
      <c r="G151" s="296" t="n"/>
      <c r="H151" s="296" t="n"/>
      <c r="I151" s="296" t="inlineStr">
        <is>
          <t>true</t>
        </is>
      </c>
      <c r="J151" s="296" t="n"/>
      <c r="K151" s="296" t="n"/>
      <c r="L151" s="296" t="n"/>
      <c r="M151" s="296" t="inlineStr">
        <is>
          <t>${crp_main} = 1.5 or ${crp_main} = 1.4 or ${crp_main} = 1.5 or ${crp_main} = 3.1</t>
        </is>
      </c>
      <c r="N151" s="298" t="n"/>
      <c r="O151" s="298" t="n"/>
      <c r="P151" s="298" t="n"/>
      <c r="W151" s="293" t="n"/>
      <c r="X151" s="294" t="n"/>
      <c r="Y151" s="293" t="n"/>
      <c r="Z151" s="293" t="n"/>
      <c r="AA151" s="295" t="n"/>
    </row>
    <row r="152" ht="176.1" customFormat="1" customHeight="1" s="143">
      <c r="A152" s="296" t="inlineStr">
        <is>
          <t>select_one o_crp_grain_harvest_month2</t>
        </is>
      </c>
      <c r="B152" s="296" t="inlineStr">
        <is>
          <t>o_crp_grain_harvest_month2</t>
        </is>
      </c>
      <c r="C152" s="296" t="n"/>
      <c r="D152" s="296" t="inlineStr">
        <is>
          <t>¿En qué parte del mes cosechó el &lt;span style="color:red"&gt;${crpmain}&lt;/span&gt;en la última temporada?</t>
        </is>
      </c>
      <c r="E152" s="296" t="n"/>
      <c r="F152" s="296" t="n"/>
      <c r="G152" s="296" t="n"/>
      <c r="H152" s="296" t="n"/>
      <c r="I152" s="296" t="inlineStr">
        <is>
          <t>true</t>
        </is>
      </c>
      <c r="J152" s="296" t="n"/>
      <c r="K152" s="296" t="n"/>
      <c r="L152" s="296" t="n"/>
      <c r="M152" s="296" t="inlineStr">
        <is>
          <t>${crp_main} = 1.5 or ${crp_main} = 1.4 or ${crp_main} = 1.5 or ${crp_main} = 3.1</t>
        </is>
      </c>
      <c r="N152" s="298" t="n"/>
      <c r="O152" s="298" t="n"/>
      <c r="P152" s="298" t="n"/>
      <c r="W152" s="293" t="n"/>
      <c r="X152" s="294" t="n"/>
      <c r="Y152" s="293" t="n"/>
      <c r="Z152" s="293" t="n"/>
      <c r="AA152" s="295" t="n"/>
    </row>
    <row r="153" ht="176.1" customFormat="1" customHeight="1" s="143">
      <c r="A153" s="296" t="inlineStr">
        <is>
          <t>select_one o_crp_grain_next</t>
        </is>
      </c>
      <c r="B153" s="296" t="inlineStr">
        <is>
          <t>o_crp_grain_next</t>
        </is>
      </c>
      <c r="C153" s="296" t="n"/>
      <c r="D153" s="296" t="inlineStr">
        <is>
          <t>¿En que temporada va a volver a sembrar &lt;span style="color:red"&gt;${crpmain}&lt;/span&gt; ?</t>
        </is>
      </c>
      <c r="E153" s="296" t="n"/>
      <c r="F153" s="296" t="n"/>
      <c r="G153" s="296" t="n"/>
      <c r="H153" s="296" t="n"/>
      <c r="I153" s="296" t="inlineStr">
        <is>
          <t>true</t>
        </is>
      </c>
      <c r="J153" s="296" t="n"/>
      <c r="K153" s="296" t="n"/>
      <c r="L153" s="296" t="n"/>
      <c r="M153" s="296" t="inlineStr">
        <is>
          <t>${crp_main} = 1.5 or ${crp_main} = 1.4 or ${crp_main} = 1.5 or ${crp_main} = 3.1</t>
        </is>
      </c>
      <c r="N153" s="298" t="n"/>
      <c r="O153" s="298" t="n"/>
      <c r="P153" s="298" t="n"/>
      <c r="W153" s="293" t="n"/>
      <c r="X153" s="294" t="n"/>
      <c r="Y153" s="293" t="n"/>
      <c r="Z153" s="293" t="n"/>
      <c r="AA153" s="295" t="n"/>
    </row>
    <row r="154" customFormat="1" s="143">
      <c r="A154" s="298" t="n"/>
      <c r="B154" s="298" t="n"/>
      <c r="C154" s="298" t="n"/>
      <c r="D154" s="298" t="n"/>
      <c r="E154" s="292" t="n"/>
      <c r="H154" s="292" t="n"/>
      <c r="I154" s="298" t="n"/>
      <c r="J154" s="298" t="n"/>
      <c r="K154" s="298" t="n"/>
      <c r="L154" s="298" t="n"/>
      <c r="M154" s="298" t="n"/>
      <c r="N154" s="298" t="n"/>
      <c r="O154" s="298" t="n"/>
      <c r="P154" s="298" t="n"/>
      <c r="W154" s="293" t="n"/>
      <c r="X154" s="294" t="n"/>
      <c r="Y154" s="293" t="n"/>
      <c r="Z154" s="293" t="n"/>
      <c r="AA154" s="295" t="n"/>
    </row>
    <row r="155" customFormat="1" s="143">
      <c r="A155" s="289" t="inlineStr">
        <is>
          <t>integer</t>
        </is>
      </c>
      <c r="B155" s="289" t="inlineStr">
        <is>
          <t>o_crp_destinocosecha_cons</t>
        </is>
      </c>
      <c r="C155" s="289" t="n"/>
      <c r="D155" s="289" t="inlineStr">
        <is>
          <t xml:space="preserve">¿Del total de la producción de ${crpmain}, cuánto destinó para consumo en el hogar en porcentaje (%)? </t>
        </is>
      </c>
      <c r="E155" s="289" t="n"/>
      <c r="F155" s="289" t="n"/>
      <c r="G155" s="289" t="n"/>
      <c r="H155" s="289" t="n"/>
      <c r="I155" s="289" t="b">
        <v>1</v>
      </c>
      <c r="J155" s="289" t="n"/>
      <c r="K155" s="289" t="inlineStr">
        <is>
          <t>.&gt;= 0 and .&lt;=100</t>
        </is>
      </c>
      <c r="L155" s="289" t="n"/>
      <c r="M155" s="289" t="n"/>
      <c r="N155" s="298" t="n"/>
      <c r="O155" s="298" t="n"/>
      <c r="P155" s="298" t="n"/>
      <c r="W155" s="293" t="n"/>
      <c r="X155" s="294" t="n"/>
      <c r="Y155" s="293" t="n"/>
      <c r="Z155" s="293" t="n"/>
      <c r="AA155" s="295" t="n"/>
    </row>
    <row r="156" customFormat="1" s="143">
      <c r="A156" s="289" t="inlineStr">
        <is>
          <t>integer</t>
        </is>
      </c>
      <c r="B156" s="289" t="inlineStr">
        <is>
          <t>o_crp_destinocosecha_com</t>
        </is>
      </c>
      <c r="C156" s="289" t="n"/>
      <c r="D156" s="289" t="inlineStr">
        <is>
          <t xml:space="preserve">¿Del total de la producción de ${crpmain}, cuánto destinó para la comercialización en porcentaje (%)? </t>
        </is>
      </c>
      <c r="E156" s="289" t="n"/>
      <c r="F156" s="289" t="n"/>
      <c r="G156" s="289" t="n"/>
      <c r="H156" s="289" t="n"/>
      <c r="I156" s="289" t="b">
        <v>1</v>
      </c>
      <c r="J156" s="289" t="n"/>
      <c r="K156" s="289" t="inlineStr">
        <is>
          <t>.&gt;= 0 and .&lt;=100</t>
        </is>
      </c>
      <c r="L156" s="289" t="n"/>
      <c r="M156" s="289" t="n"/>
      <c r="N156" s="298" t="n"/>
      <c r="O156" s="298" t="n"/>
      <c r="P156" s="298" t="n"/>
      <c r="W156" s="293" t="n"/>
      <c r="X156" s="294" t="n"/>
      <c r="Y156" s="293" t="n"/>
      <c r="Z156" s="293" t="n"/>
      <c r="AA156" s="295" t="n"/>
    </row>
    <row r="157" customFormat="1" s="143">
      <c r="A157" s="289" t="inlineStr">
        <is>
          <t>integer</t>
        </is>
      </c>
      <c r="B157" s="289" t="inlineStr">
        <is>
          <t>o_crp_destinocosecha_otro</t>
        </is>
      </c>
      <c r="C157" s="289" t="n"/>
      <c r="D157" s="289" t="inlineStr">
        <is>
          <t xml:space="preserve">¿Del total de la producción de ${crpmain}, cuánto destinó para otros usos (%)? </t>
        </is>
      </c>
      <c r="E157" s="289" t="n"/>
      <c r="F157" s="289" t="n"/>
      <c r="G157" s="289" t="n"/>
      <c r="H157" s="289" t="n"/>
      <c r="I157" s="289" t="b">
        <v>1</v>
      </c>
      <c r="J157" s="289" t="n"/>
      <c r="K157" s="289" t="inlineStr">
        <is>
          <t>.&gt;= 0 and .&lt;=100</t>
        </is>
      </c>
      <c r="L157" s="289" t="n"/>
      <c r="M157" s="289" t="n"/>
      <c r="N157" s="298" t="n"/>
      <c r="O157" s="298" t="n"/>
      <c r="P157" s="298" t="n"/>
      <c r="W157" s="293" t="n"/>
      <c r="X157" s="294" t="n"/>
      <c r="Y157" s="293" t="n"/>
      <c r="Z157" s="293" t="n"/>
      <c r="AA157" s="295" t="n"/>
    </row>
    <row r="158" ht="31.7" customHeight="1">
      <c r="A158" s="28" t="inlineStr">
        <is>
          <t>select_one irrigation</t>
        </is>
      </c>
      <c r="B158" s="28" t="inlineStr">
        <is>
          <t>crp_irrig_source</t>
        </is>
      </c>
      <c r="C158" s="28" t="inlineStr">
        <is>
          <t xml:space="preserve">Where do you normally and mainly obtain water for the production of ${crpmain}? </t>
        </is>
      </c>
      <c r="D158" s="34" t="inlineStr">
        <is>
          <t>Normalmente, ¿Cuál es la fuente principal de donde obtiene el agua para la producción de su ${crpmain}?</t>
        </is>
      </c>
      <c r="E158" s="42" t="n"/>
      <c r="H158" s="42" t="n"/>
      <c r="I158" s="71" t="inlineStr">
        <is>
          <t>true</t>
        </is>
      </c>
      <c r="J158" s="71" t="n"/>
      <c r="K158" s="71" t="n"/>
      <c r="L158" s="71" t="n"/>
      <c r="M158" s="71" t="inlineStr">
        <is>
          <t>${crp_main} != '777' and ${crp_main} != '888' and ${crp_main} != '999'</t>
        </is>
      </c>
      <c r="N158" s="71" t="n"/>
      <c r="O158" s="71" t="n"/>
      <c r="P158" s="71" t="n"/>
      <c r="U158" s="20" t="inlineStr">
        <is>
          <t>yes</t>
        </is>
      </c>
      <c r="W158" s="126" t="n">
        <v>15.95429515838623</v>
      </c>
      <c r="X158" s="113">
        <f>'Additional information'!$D$18</f>
        <v/>
      </c>
      <c r="Y158" s="114">
        <f>IF(W158&lt;&gt;"",W158*X158,"")</f>
        <v/>
      </c>
      <c r="Z158" s="114">
        <f>IF(AND(W158&lt;&gt;"",U158="yes"),W158*X158,"")</f>
        <v/>
      </c>
    </row>
    <row r="159" ht="15.75" customHeight="1">
      <c r="A159" s="28" t="inlineStr">
        <is>
          <t>text</t>
        </is>
      </c>
      <c r="B159" s="28" t="inlineStr">
        <is>
          <t>crp_irrig_source_otherspecify</t>
        </is>
      </c>
      <c r="C159" s="34" t="inlineStr">
        <is>
          <t>If other, specify.</t>
        </is>
      </c>
      <c r="D159" s="34" t="inlineStr">
        <is>
          <t xml:space="preserve">Si otro, especifique. </t>
        </is>
      </c>
      <c r="E159" s="52" t="n"/>
      <c r="F159" s="29" t="inlineStr">
        <is>
          <t>[INSTRUCTIONS: RECORD THE OPEN RESPONSE GIVEN IN FEW WORDS. ENTER 888 FOR DON'T KNOW AND 999 FOR REFUSED]</t>
        </is>
      </c>
      <c r="G159" s="29" t="n"/>
      <c r="H159" s="42" t="n"/>
      <c r="I159" s="71" t="inlineStr">
        <is>
          <t>true</t>
        </is>
      </c>
      <c r="J159" s="71" t="n"/>
      <c r="K159" s="71" t="n"/>
      <c r="L159" s="71" t="n"/>
      <c r="M159" s="71" t="inlineStr">
        <is>
          <t>${crp_irrig_source}='6' and (${crp_main} != '777' and ${crp_main} != '888' and ${crp_main} != '999')</t>
        </is>
      </c>
      <c r="N159" s="71" t="n"/>
      <c r="O159" s="71" t="n"/>
      <c r="P159" s="71" t="n"/>
      <c r="U159" s="20" t="inlineStr">
        <is>
          <t>yes</t>
        </is>
      </c>
      <c r="W159" s="126" t="n"/>
      <c r="X159" s="113">
        <f>'Additional information'!$D$18</f>
        <v/>
      </c>
      <c r="Y159" s="114">
        <f>IF(W159&lt;&gt;"",W159*X159,"")</f>
        <v/>
      </c>
      <c r="Z159" s="114">
        <f>IF(AND(W159&lt;&gt;"",U159="yes"),W159*X159,"")</f>
        <v/>
      </c>
    </row>
    <row r="160" ht="15.75" customFormat="1" customHeight="1" s="30">
      <c r="C160" s="31" t="n"/>
      <c r="D160" s="31" t="n"/>
      <c r="E160" s="32" t="n"/>
      <c r="H160" s="36" t="n"/>
      <c r="I160" s="72" t="n"/>
      <c r="J160" s="72" t="n"/>
      <c r="K160" s="72" t="n"/>
      <c r="L160" s="72" t="n"/>
      <c r="M160" s="72" t="n"/>
      <c r="N160" s="72" t="n"/>
      <c r="O160" s="72" t="n"/>
      <c r="P160" s="72" t="n"/>
      <c r="W160" s="126" t="n"/>
      <c r="X160" s="113">
        <f>'Additional information'!$D$18</f>
        <v/>
      </c>
      <c r="Y160" s="114">
        <f>IF(W160&lt;&gt;"",W160*X160,"")</f>
        <v/>
      </c>
      <c r="Z160" s="114">
        <f>IF(AND(W160&lt;&gt;"",U160="yes"),W160*X160,"")</f>
        <v/>
      </c>
      <c r="AA160" s="29" t="n"/>
    </row>
    <row r="161" ht="15.75" customFormat="1" customHeight="1" s="30">
      <c r="A161" s="30" t="inlineStr">
        <is>
          <t>select_one irrigpump</t>
        </is>
      </c>
      <c r="B161" s="30" t="inlineStr">
        <is>
          <t>crp_irrig_system</t>
        </is>
      </c>
      <c r="C161" s="31" t="inlineStr">
        <is>
          <t>Do you [your community] use a pump for your own [the communal] irrigation system?</t>
        </is>
      </c>
      <c r="D161" s="31" t="inlineStr">
        <is>
          <t>¿Usted [su comunidad] utiliza una bomba de agua para su propio sistema de riego [comunal]?</t>
        </is>
      </c>
      <c r="E161" s="32" t="n"/>
      <c r="H161" s="36" t="n"/>
      <c r="I161" s="72" t="n"/>
      <c r="J161" s="72" t="n"/>
      <c r="K161" s="72" t="n"/>
      <c r="L161" s="72" t="n"/>
      <c r="M161" s="72" t="inlineStr">
        <is>
          <t>not(${crp_irrig_source}='7' or ${crp_irrig_source}='8') and (${crp_main} != '777' and ${crp_main} != '888' and ${crp_main} != '999')</t>
        </is>
      </c>
      <c r="N161" s="72" t="n"/>
      <c r="O161" s="72" t="n"/>
      <c r="P161" s="72" t="n"/>
      <c r="U161" s="30" t="inlineStr">
        <is>
          <t>no</t>
        </is>
      </c>
      <c r="W161" s="126" t="n"/>
      <c r="X161" s="113" t="n"/>
      <c r="Y161" s="114" t="n"/>
      <c r="Z161" s="114" t="n"/>
      <c r="AA161" s="29" t="n"/>
    </row>
    <row r="162" ht="15.95" customFormat="1" customHeight="1" s="30">
      <c r="A162" s="30" t="inlineStr">
        <is>
          <t xml:space="preserve">select_multiple seedsupply </t>
        </is>
      </c>
      <c r="B162" s="30" t="inlineStr">
        <is>
          <t>crp_seed</t>
        </is>
      </c>
      <c r="C162" s="31" t="inlineStr">
        <is>
          <t xml:space="preserve">Who do you normally procure your seeds from? </t>
        </is>
      </c>
      <c r="D162" s="31" t="inlineStr">
        <is>
          <t>¿De dónde adquiere normalmente las semillas?</t>
        </is>
      </c>
      <c r="E162" s="32" t="n"/>
      <c r="F162" s="30" t="inlineStr">
        <is>
          <t>[INSTRUCTIONS: MULTIPLE RESPONSES POSSIBLE.]</t>
        </is>
      </c>
      <c r="G162" s="30" t="inlineStr">
        <is>
          <t>[ENCUESTADOR/A: ES POSIBLE SELECCIONAR MÚLTIPLES RESPUESTAS.]</t>
        </is>
      </c>
      <c r="H162" s="36" t="n"/>
      <c r="I162" s="72" t="inlineStr">
        <is>
          <t>true</t>
        </is>
      </c>
      <c r="J162" s="72" t="n"/>
      <c r="K162" s="72" t="inlineStr">
        <is>
          <t>if(selected(., 'ref') or selected(., 'dk'), count-selected(.) = 1, count-selected(.) &gt;= 1)</t>
        </is>
      </c>
      <c r="L162" s="72" t="n"/>
      <c r="M162" s="72" t="inlineStr">
        <is>
          <t>${crp_main} != '777' and ${crp_main} != '888' and ${crp_main} != '999'</t>
        </is>
      </c>
      <c r="N162" s="72" t="n"/>
      <c r="O162" s="72" t="n"/>
      <c r="P162" s="72" t="n"/>
      <c r="U162" s="30" t="inlineStr">
        <is>
          <t>no</t>
        </is>
      </c>
      <c r="W162" s="126" t="n">
        <v>17.92890930175781</v>
      </c>
      <c r="X162" s="113">
        <f>'Additional information'!$D$18</f>
        <v/>
      </c>
      <c r="Y162" s="114">
        <f>IF(W162&lt;&gt;"",W162*X162,"")</f>
        <v/>
      </c>
      <c r="Z162" s="114">
        <f>IF(AND(W162&lt;&gt;"",U162="yes"),W162*X162,"")</f>
        <v/>
      </c>
      <c r="AA162" s="29" t="n"/>
    </row>
    <row r="163" customFormat="1" s="30">
      <c r="C163" s="31" t="n"/>
      <c r="D163" s="258" t="n"/>
      <c r="E163" s="32" t="n"/>
      <c r="G163" s="20" t="n"/>
      <c r="H163" s="36" t="n"/>
      <c r="I163" s="72" t="n"/>
      <c r="J163" s="72" t="n"/>
      <c r="K163" s="72" t="n"/>
      <c r="L163" s="72" t="n"/>
      <c r="M163" s="72" t="n"/>
      <c r="N163" s="72" t="n"/>
      <c r="O163" s="72" t="n"/>
      <c r="P163" s="72" t="n"/>
      <c r="W163" s="126" t="n"/>
      <c r="X163" s="113">
        <f>'Additional information'!$D$18</f>
        <v/>
      </c>
      <c r="Y163" s="114">
        <f>IF(W163&lt;&gt;"",W163*X163,"")</f>
        <v/>
      </c>
      <c r="Z163" s="114">
        <f>IF(AND(W163&lt;&gt;"",U163="yes"),W163*X163,"")</f>
        <v/>
      </c>
      <c r="AA163" s="29" t="n"/>
    </row>
    <row r="164" ht="32.1" customHeight="1">
      <c r="A164" s="28" t="inlineStr">
        <is>
          <t>select_one change</t>
        </is>
      </c>
      <c r="B164" s="28" t="inlineStr">
        <is>
          <t>crp_area_change</t>
        </is>
      </c>
      <c r="C164" s="19" t="inlineStr">
        <is>
          <t>How did the ***area planted*** for ${crpmain} from The last season or the current season compare to a normal year?</t>
        </is>
      </c>
      <c r="D164" s="19" t="inlineStr">
        <is>
          <t>¿Cómo se compara el ***área sembrada*** de ${crpmain} en La última temporada o la temporada en curso con respecto a un año normal?</t>
        </is>
      </c>
      <c r="E164" s="41" t="n"/>
      <c r="F164" s="28" t="n"/>
      <c r="G164" s="28" t="n"/>
      <c r="H164" s="42" t="n"/>
      <c r="I164" s="71" t="inlineStr">
        <is>
          <t>true</t>
        </is>
      </c>
      <c r="J164" s="71" t="n"/>
      <c r="K164" s="71" t="n"/>
      <c r="L164" s="71" t="n"/>
      <c r="M164" s="73" t="inlineStr">
        <is>
          <t>${crp_main} != '777' and ${crp_main} != '888' and ${crp_main} != '999'</t>
        </is>
      </c>
      <c r="N164" s="71" t="n"/>
      <c r="O164" s="71" t="n"/>
      <c r="P164" s="71" t="n"/>
      <c r="U164" s="20" t="inlineStr">
        <is>
          <t>yes</t>
        </is>
      </c>
      <c r="W164" s="126" t="n">
        <v>25.43687438964844</v>
      </c>
      <c r="X164" s="113">
        <f>'Additional information'!$D$18</f>
        <v/>
      </c>
      <c r="Y164" s="114">
        <f>IF(W164&lt;&gt;"",W164*X164,"")</f>
        <v/>
      </c>
      <c r="Z164" s="114">
        <f>IF(AND(W164&lt;&gt;"",U164="yes"),W164*X164,"")</f>
        <v/>
      </c>
    </row>
    <row r="165">
      <c r="E165" s="41" t="n"/>
      <c r="H165" s="42" t="n"/>
      <c r="M165" s="83" t="n"/>
      <c r="W165" s="126" t="n"/>
      <c r="X165" s="113">
        <f>'Additional information'!$D$18</f>
        <v/>
      </c>
      <c r="Y165" s="114">
        <f>IF(W165&lt;&gt;"",W165*X165,"")</f>
        <v/>
      </c>
      <c r="Z165" s="114">
        <f>IF(AND(W165&lt;&gt;"",U165="yes"),W165*X165,"")</f>
        <v/>
      </c>
    </row>
    <row r="166" customFormat="1" s="143">
      <c r="A166" s="289" t="inlineStr">
        <is>
          <t>select_one o_crp_area_changewhy</t>
        </is>
      </c>
      <c r="B166" s="289" t="inlineStr">
        <is>
          <t>o_crp_area_changewhy</t>
        </is>
      </c>
      <c r="C166" s="289" t="n"/>
      <c r="D166" s="289" t="inlineStr">
        <is>
          <t>¿Por qué sembró menos ${crpmain} que el año pasado?</t>
        </is>
      </c>
      <c r="E166" s="289" t="n"/>
      <c r="F166" s="289" t="n"/>
      <c r="G166" s="289" t="n"/>
      <c r="H166" s="289" t="n"/>
      <c r="I166" s="289" t="inlineStr">
        <is>
          <t>true</t>
        </is>
      </c>
      <c r="J166" s="289" t="n"/>
      <c r="K166" s="289" t="n"/>
      <c r="L166" s="289" t="n"/>
      <c r="M166" s="289" t="inlineStr">
        <is>
          <t xml:space="preserve">${crp_area_change} = '4' or ${crp_area_change} = '5' </t>
        </is>
      </c>
      <c r="W166" s="295" t="n"/>
      <c r="X166" s="294" t="n"/>
      <c r="Y166" s="295" t="n"/>
      <c r="Z166" s="295" t="n"/>
      <c r="AA166" s="295" t="n"/>
    </row>
    <row r="167" ht="32.1" customHeight="1">
      <c r="A167" s="28" t="inlineStr">
        <is>
          <t>select_one change</t>
        </is>
      </c>
      <c r="B167" s="28" t="inlineStr">
        <is>
          <t>crp_harv_change</t>
        </is>
      </c>
      <c r="C167" s="19" t="inlineStr">
        <is>
          <t xml:space="preserve">How does the  ***harvest*** of ${crpmain} in the The last season or the current season compare to a normal year? </t>
        </is>
      </c>
      <c r="D167" s="19" t="inlineStr">
        <is>
          <t>¿Cómo compara la ***cosecha***  para su ${crpmain} en La última temporada o la temporada en curso comparado con un año normal?</t>
        </is>
      </c>
      <c r="E167" s="41" t="n"/>
      <c r="G167" s="30" t="n"/>
      <c r="H167" s="42" t="n"/>
      <c r="I167" s="71" t="inlineStr">
        <is>
          <t>true</t>
        </is>
      </c>
      <c r="J167" s="71" t="n"/>
      <c r="K167" s="71" t="n"/>
      <c r="L167" s="71" t="n"/>
      <c r="M167" s="73" t="inlineStr">
        <is>
          <t>${crp_main} != '777' and ${crp_main} != '888' and ${crp_main} != '999'</t>
        </is>
      </c>
      <c r="N167" s="71" t="n"/>
      <c r="O167" s="71" t="n"/>
      <c r="P167" s="71" t="n"/>
      <c r="U167" s="20" t="inlineStr">
        <is>
          <t>yes</t>
        </is>
      </c>
      <c r="W167" s="126" t="n">
        <v>19.36494636535645</v>
      </c>
      <c r="X167" s="113">
        <f>'Additional information'!$D$18</f>
        <v/>
      </c>
      <c r="Y167" s="114">
        <f>IF(W167&lt;&gt;"",W167*X167,"")</f>
        <v/>
      </c>
      <c r="Z167" s="114">
        <f>IF(AND(W167&lt;&gt;"",U167="yes"),W167*X167,"")</f>
        <v/>
      </c>
    </row>
    <row r="168" customFormat="1" s="30">
      <c r="C168" s="31" t="n"/>
      <c r="D168" s="21" t="n"/>
      <c r="E168" s="32" t="n"/>
      <c r="G168" s="20" t="n"/>
      <c r="H168" s="36" t="n"/>
      <c r="I168" s="72" t="n"/>
      <c r="J168" s="72" t="n"/>
      <c r="K168" s="72" t="n"/>
      <c r="L168" s="72" t="n"/>
      <c r="M168" s="72" t="n"/>
      <c r="N168" s="72" t="n"/>
      <c r="O168" s="72" t="n"/>
      <c r="P168" s="72" t="n"/>
      <c r="W168" s="126" t="n"/>
      <c r="X168" s="113">
        <f>'Additional information'!$D$18</f>
        <v/>
      </c>
      <c r="Y168" s="114">
        <f>IF(W168&lt;&gt;"",W168*X168,"")</f>
        <v/>
      </c>
      <c r="Z168" s="114">
        <f>IF(AND(W168&lt;&gt;"",U168="yes"),W168*X168,"")</f>
        <v/>
      </c>
      <c r="AA168" s="29" t="n"/>
    </row>
    <row r="169" ht="32.1" customHeight="1">
      <c r="A169" s="28" t="inlineStr">
        <is>
          <t>select_one yes_no</t>
        </is>
      </c>
      <c r="B169" s="28" t="inlineStr">
        <is>
          <t>crp_proddif</t>
        </is>
      </c>
      <c r="C169" s="19" t="inlineStr">
        <is>
          <t>Has your household faced any significant difficulty ***in terms of crop production*** in The last season or the current season?</t>
        </is>
      </c>
      <c r="D169" s="19" t="inlineStr">
        <is>
          <t xml:space="preserve">¿Ha enfrentado su hogar algún tipo de dificultad con la ***producción de cultivos*** en La última temporada o la temporada en curso? </t>
        </is>
      </c>
      <c r="E169" s="41" t="n"/>
      <c r="H169" s="42" t="n"/>
      <c r="I169" s="71" t="inlineStr">
        <is>
          <t>true</t>
        </is>
      </c>
      <c r="J169" s="71" t="n"/>
      <c r="K169" s="71" t="n"/>
      <c r="L169" s="71" t="n"/>
      <c r="M169" s="73" t="inlineStr">
        <is>
          <t>${crp_main} != '888' and ${crp_main} != '999' and ${crp_main_check} != 1</t>
        </is>
      </c>
      <c r="N169" s="71" t="n"/>
      <c r="O169" s="71" t="n"/>
      <c r="P169" s="71" t="n"/>
      <c r="U169" s="20" t="inlineStr">
        <is>
          <t>yes</t>
        </is>
      </c>
      <c r="W169" s="126" t="n">
        <v>13.45886421203613</v>
      </c>
      <c r="X169" s="113">
        <f>'Additional information'!$D$18</f>
        <v/>
      </c>
      <c r="Y169" s="114">
        <f>IF(W169&lt;&gt;"",W169*X169,"")</f>
        <v/>
      </c>
      <c r="Z169" s="114">
        <f>IF(AND(W169&lt;&gt;"",U169="yes"),W169*X169,"")</f>
        <v/>
      </c>
    </row>
    <row r="170" ht="32.1" customHeight="1">
      <c r="A170" s="28" t="inlineStr">
        <is>
          <t>select_multiple cropproddiff</t>
        </is>
      </c>
      <c r="B170" s="28" t="inlineStr">
        <is>
          <t>crp_proddif_</t>
        </is>
      </c>
      <c r="C170" s="19" t="inlineStr">
        <is>
          <t>Which difficulties has your household faced with crop production in The last season or the current season?</t>
        </is>
      </c>
      <c r="D170" s="19" t="inlineStr">
        <is>
          <t>¿Cuáles dificultades ha enfrentado su hogar con la producción de cultivos en La última temporada o la temporada en curso?</t>
        </is>
      </c>
      <c r="E170" s="41" t="n"/>
      <c r="F170" s="20" t="inlineStr">
        <is>
          <t>[INSTRUCTIONS: MULTIPLE RESPONSES POSSIBLE. SELECT OPTION(S) THAT BEST FIT THE INFORMATION PROVIDED BY THE RESPONDENTS.]</t>
        </is>
      </c>
      <c r="G170" s="20" t="inlineStr">
        <is>
          <t>[ENCUESTADOR/A: ES POSIBLE SELECCIONAR MÚLTIPLES RESPUESTAS.SELECCIONE LA(S) OPCIÓN(ES) QUE MEJOR SE AJUSTE(N) A LA INFORMACIÓN PROPORCIONADA POR EL ENCUESTADO.]</t>
        </is>
      </c>
      <c r="H170" s="42" t="n"/>
      <c r="I170" s="71" t="inlineStr">
        <is>
          <t>true</t>
        </is>
      </c>
      <c r="J170" s="71" t="n"/>
      <c r="K170" s="73" t="inlineStr">
        <is>
          <t>if(selected(., 'ref') or selected(., 'dk'), count-selected(.) = 1, count-selected(.) &gt;= 1)</t>
        </is>
      </c>
      <c r="L170" s="71" t="n"/>
      <c r="M170" s="73" t="inlineStr">
        <is>
          <t>${crp_proddif} = '1' and (${crp_main} != '888' and ${crp_main} != '999' and ${crp_main_check} != 1)</t>
        </is>
      </c>
      <c r="N170" s="71" t="n"/>
      <c r="O170" s="71" t="n"/>
      <c r="P170" s="71" t="n"/>
      <c r="U170" s="20" t="inlineStr">
        <is>
          <t>yes</t>
        </is>
      </c>
      <c r="W170" s="126" t="n">
        <v>37.52328872680664</v>
      </c>
      <c r="X170" s="113">
        <f>'Additional information'!$D$18</f>
        <v/>
      </c>
      <c r="Y170" s="114">
        <f>IF(W170&lt;&gt;"",W170*X170,"")</f>
        <v/>
      </c>
      <c r="Z170" s="114">
        <f>IF(AND(W170&lt;&gt;"",U170="yes"),W170*X170,"")</f>
        <v/>
      </c>
    </row>
    <row r="171">
      <c r="E171" s="41" t="n"/>
      <c r="G171" s="30" t="n"/>
      <c r="H171" s="42" t="n"/>
      <c r="M171" s="83" t="n"/>
      <c r="W171" s="126" t="n"/>
      <c r="X171" s="113">
        <f>'Additional information'!$D$18</f>
        <v/>
      </c>
      <c r="Y171" s="114">
        <f>IF(W171&lt;&gt;"",W171*X171,"")</f>
        <v/>
      </c>
      <c r="Z171" s="114">
        <f>IF(AND(W171&lt;&gt;"",U171="yes"),W171*X171,"")</f>
        <v/>
      </c>
    </row>
    <row r="172" ht="32.1" customFormat="1" customHeight="1" s="143">
      <c r="A172" s="296" t="inlineStr">
        <is>
          <t>select_one o_crp_proddif_followup</t>
        </is>
      </c>
      <c r="B172" s="296" t="inlineStr">
        <is>
          <t>o_crp_proddif_followup</t>
        </is>
      </c>
      <c r="C172" s="296" t="n"/>
      <c r="D172" s="296" t="inlineStr">
        <is>
          <t>¿Estas dificultades han sido mas frecuentes en los últimos 5 años?</t>
        </is>
      </c>
      <c r="E172" s="296" t="n"/>
      <c r="F172" s="296" t="n"/>
      <c r="G172" s="296" t="n"/>
      <c r="H172" s="296" t="n"/>
      <c r="I172" s="296" t="b">
        <v>1</v>
      </c>
      <c r="J172" s="296" t="n"/>
      <c r="K172" s="296" t="n"/>
      <c r="L172" s="296" t="n"/>
      <c r="M172" s="296" t="inlineStr">
        <is>
          <t>${crp_proddif} = '1'</t>
        </is>
      </c>
      <c r="N172" s="298" t="n"/>
      <c r="O172" s="298" t="n"/>
      <c r="P172" s="298" t="n"/>
      <c r="W172" s="293" t="n"/>
      <c r="X172" s="294" t="n"/>
      <c r="Y172" s="293" t="n"/>
      <c r="Z172" s="293" t="n"/>
      <c r="AA172" s="295" t="n"/>
    </row>
    <row r="173" ht="32.1" customFormat="1" customHeight="1" s="143">
      <c r="A173" s="296" t="inlineStr">
        <is>
          <t>select_one o_crp_proddif_impact</t>
        </is>
      </c>
      <c r="B173" s="296" t="inlineStr">
        <is>
          <t>o_crp_proddif_impact</t>
        </is>
      </c>
      <c r="C173" s="296" t="n"/>
      <c r="D173" s="296" t="inlineStr">
        <is>
          <t>¿Esas dificultades produjeron pérdidas en los cultivos en relación a un año normal?</t>
        </is>
      </c>
      <c r="E173" s="296" t="n"/>
      <c r="F173" s="296" t="n"/>
      <c r="G173" s="296" t="n"/>
      <c r="H173" s="296" t="n"/>
      <c r="I173" s="296" t="b">
        <v>1</v>
      </c>
      <c r="J173" s="296" t="n"/>
      <c r="K173" s="296" t="n"/>
      <c r="L173" s="296" t="n"/>
      <c r="M173" s="296" t="inlineStr">
        <is>
          <t>${crp_proddif} = '1'</t>
        </is>
      </c>
      <c r="N173" s="298" t="n"/>
      <c r="O173" s="298" t="n"/>
      <c r="P173" s="298" t="n"/>
      <c r="W173" s="293" t="n"/>
      <c r="X173" s="294" t="n"/>
      <c r="Y173" s="293" t="n"/>
      <c r="Z173" s="293" t="n"/>
      <c r="AA173" s="295" t="n"/>
    </row>
    <row r="174" ht="176.1" customFormat="1" customHeight="1" s="143">
      <c r="A174" s="296" t="inlineStr">
        <is>
          <t>select_one yes_no</t>
        </is>
      </c>
      <c r="B174" s="296" t="inlineStr">
        <is>
          <t>o_crp_proddif_replanting</t>
        </is>
      </c>
      <c r="C174" s="296" t="n"/>
      <c r="D174" s="296" t="inlineStr">
        <is>
          <t>Si perdió parte de la superficie en pie de sus cultivos ¿Pudo sembrar de nuevo una parte?</t>
        </is>
      </c>
      <c r="E174" s="296" t="n"/>
      <c r="F174" s="296" t="n"/>
      <c r="G174" s="296" t="n"/>
      <c r="H174" s="296" t="n"/>
      <c r="I174" s="296" t="b">
        <v>1</v>
      </c>
      <c r="J174" s="296" t="n"/>
      <c r="K174" s="296" t="n"/>
      <c r="L174" s="296" t="n"/>
      <c r="M174" s="296" t="inlineStr">
        <is>
          <t>${o_crp_proddif_impact} != '1' and ${o_crp_proddif_impact} != '8' and ${o_crp_proddif_impact} != '9'</t>
        </is>
      </c>
      <c r="W174" s="293" t="n"/>
      <c r="X174" s="294">
        <f>'[2]Additional information'!$D$18</f>
        <v/>
      </c>
      <c r="Y174" s="293">
        <f>IF(W174&lt;&gt;"",W174*X174,"")</f>
        <v/>
      </c>
      <c r="Z174" s="293">
        <f>IF(AND(W174&lt;&gt;"",U174="yes"),W174*X174,"")</f>
        <v/>
      </c>
      <c r="AA174" s="295" t="n"/>
    </row>
    <row r="175" ht="63.95" customFormat="1" customHeight="1" s="143">
      <c r="A175" s="296" t="inlineStr">
        <is>
          <t>select_multiple meses</t>
        </is>
      </c>
      <c r="B175" s="296" t="inlineStr">
        <is>
          <t>o_crp_proddif_replanting_mo</t>
        </is>
      </c>
      <c r="C175" s="296" t="n"/>
      <c r="D175" s="296" t="inlineStr">
        <is>
          <t>¿En qué meses sembró de nuevo?</t>
        </is>
      </c>
      <c r="E175" s="296" t="n"/>
      <c r="F175" s="296" t="n"/>
      <c r="G175" s="296" t="n"/>
      <c r="H175" s="296" t="n"/>
      <c r="I175" s="296" t="b">
        <v>1</v>
      </c>
      <c r="J175" s="296" t="n"/>
      <c r="K175" s="296" t="n"/>
      <c r="L175" s="296" t="n"/>
      <c r="M175" s="296" t="inlineStr">
        <is>
          <t>${o_crp_proddif_replanting} = '1'</t>
        </is>
      </c>
      <c r="W175" s="293" t="n"/>
      <c r="X175" s="294" t="n"/>
      <c r="Y175" s="293" t="n"/>
      <c r="Z175" s="293" t="n"/>
      <c r="AA175" s="295" t="n"/>
    </row>
    <row r="176" ht="63.95" customFormat="1" customHeight="1" s="143">
      <c r="A176" s="296" t="inlineStr">
        <is>
          <t>select_one o_crp_proddif_replanting_month_period</t>
        </is>
      </c>
      <c r="B176" s="296" t="inlineStr">
        <is>
          <t>o_crp_proddif_replanting_pe</t>
        </is>
      </c>
      <c r="C176" s="296" t="n"/>
      <c r="D176" s="296" t="inlineStr">
        <is>
          <t>¿En que parte del mes sembró de nuevo?</t>
        </is>
      </c>
      <c r="E176" s="296" t="n"/>
      <c r="F176" s="296" t="n"/>
      <c r="G176" s="296" t="n"/>
      <c r="H176" s="296" t="n"/>
      <c r="I176" s="296" t="b">
        <v>1</v>
      </c>
      <c r="J176" s="296" t="n"/>
      <c r="K176" s="296" t="n"/>
      <c r="L176" s="296" t="n"/>
      <c r="M176" s="296" t="inlineStr">
        <is>
          <t>${o_crp_proddif_replanting} = '1'</t>
        </is>
      </c>
      <c r="W176" s="293" t="n"/>
      <c r="X176" s="294" t="n"/>
      <c r="Y176" s="293" t="n"/>
      <c r="Z176" s="293" t="n"/>
      <c r="AA176" s="295" t="n"/>
    </row>
    <row r="177" customFormat="1" s="143">
      <c r="W177" s="295" t="n"/>
      <c r="X177" s="294" t="n"/>
      <c r="Y177" s="295" t="n"/>
      <c r="Z177" s="295" t="n"/>
      <c r="AA177" s="295" t="n"/>
    </row>
    <row r="178" ht="30" customFormat="1" customHeight="1" s="302">
      <c r="A178" s="289" t="inlineStr">
        <is>
          <t>select_one change</t>
        </is>
      </c>
      <c r="B178" s="289" t="inlineStr">
        <is>
          <t>o_fertilizer_price</t>
        </is>
      </c>
      <c r="C178" s="289" t="inlineStr">
        <is>
          <t>How the current price of chemical fertilizers compares to last year?</t>
        </is>
      </c>
      <c r="D178" s="289" t="inlineStr">
        <is>
          <t>Como se compara el precio actual de los fertilizantes químicos respecto al año pasado?</t>
        </is>
      </c>
      <c r="E178" s="289" t="n"/>
      <c r="F178" s="289" t="inlineStr">
        <is>
          <t>[INSTRUCTIONS: SINGLE RESPONSE.]</t>
        </is>
      </c>
      <c r="G178" s="289" t="inlineStr">
        <is>
          <t>[ENCUESTADOR/A: RESPUESTA ÚNICA.]</t>
        </is>
      </c>
      <c r="H178" s="289" t="n"/>
      <c r="I178" s="289" t="inlineStr">
        <is>
          <t>true</t>
        </is>
      </c>
      <c r="J178" s="289" t="n"/>
      <c r="K178" s="289" t="n"/>
      <c r="L178" s="289" t="n"/>
      <c r="M178" s="289" t="n"/>
      <c r="N178" s="289" t="n"/>
      <c r="O178" s="289" t="n"/>
      <c r="P178" s="301" t="n"/>
      <c r="W178" s="140" t="n"/>
      <c r="X178" s="141" t="n"/>
      <c r="Y178" s="142" t="n"/>
      <c r="Z178" s="142" t="n"/>
      <c r="AA178" s="274" t="n"/>
    </row>
    <row r="179" ht="28.35" customFormat="1" customHeight="1" s="302">
      <c r="A179" s="289" t="inlineStr">
        <is>
          <t>select_one yes_no</t>
        </is>
      </c>
      <c r="B179" s="289" t="inlineStr">
        <is>
          <t>o_affected_fertilizer_price</t>
        </is>
      </c>
      <c r="C179" s="289" t="inlineStr">
        <is>
          <t>Have you been affected by the high costs of fertilizers?</t>
        </is>
      </c>
      <c r="D179" s="289" t="inlineStr">
        <is>
          <t>Ha sido afectado por los altos costos de los fertilizantes?</t>
        </is>
      </c>
      <c r="E179" s="289" t="n"/>
      <c r="F179" s="289" t="inlineStr">
        <is>
          <t>[INSTRUCTIONS: SINGLE RESPONSE.]</t>
        </is>
      </c>
      <c r="G179" s="289" t="inlineStr">
        <is>
          <t>[ENCUESTADOR/A: RESPUESTA ÚNICA.]</t>
        </is>
      </c>
      <c r="H179" s="289" t="n"/>
      <c r="I179" s="289" t="inlineStr">
        <is>
          <t>true</t>
        </is>
      </c>
      <c r="J179" s="289" t="n"/>
      <c r="K179" s="289" t="n"/>
      <c r="L179" s="289" t="n"/>
      <c r="M179" s="289" t="n"/>
      <c r="N179" s="289" t="n"/>
      <c r="O179" s="289" t="n"/>
      <c r="P179" s="301" t="n"/>
      <c r="W179" s="140" t="n"/>
      <c r="X179" s="141" t="n"/>
      <c r="Y179" s="142" t="n"/>
      <c r="Z179" s="142" t="n"/>
      <c r="AA179" s="274" t="n"/>
    </row>
    <row r="180" ht="28.35" customFormat="1" customHeight="1" s="302">
      <c r="A180" s="289" t="inlineStr">
        <is>
          <t>select_one o_alternative_fertilizerprice</t>
        </is>
      </c>
      <c r="B180" s="289" t="inlineStr">
        <is>
          <t>o_impact_fertilizerprice</t>
        </is>
      </c>
      <c r="C180" s="289" t="inlineStr">
        <is>
          <t>What would you expect to be the main impact of the high cost of fertilizers?</t>
        </is>
      </c>
      <c r="D180" s="289" t="inlineStr">
        <is>
          <t>Cuál esperaría que fuera el principal impacto por el alto costo de los fertilizantes?</t>
        </is>
      </c>
      <c r="E180" s="289" t="n"/>
      <c r="F180" s="289" t="inlineStr">
        <is>
          <t>[INSTRUCTIONS: SINGLE RESPONSE.]</t>
        </is>
      </c>
      <c r="G180" s="289" t="inlineStr">
        <is>
          <t>[ENCUESTADOR/A: RESPUESTA ÚNICA.]</t>
        </is>
      </c>
      <c r="H180" s="289" t="n"/>
      <c r="I180" s="289" t="b">
        <v>1</v>
      </c>
      <c r="J180" s="289" t="n"/>
      <c r="K180" s="289" t="n"/>
      <c r="L180" s="289" t="n"/>
      <c r="M180" s="289" t="n"/>
      <c r="N180" s="289" t="n"/>
      <c r="O180" s="289" t="n"/>
      <c r="P180" s="301" t="n"/>
      <c r="W180" s="140" t="n"/>
      <c r="X180" s="141" t="n"/>
      <c r="Y180" s="142" t="n"/>
      <c r="Z180" s="142" t="n"/>
      <c r="AA180" s="274" t="n"/>
    </row>
    <row r="181">
      <c r="E181" s="41" t="n"/>
      <c r="H181" s="42" t="n"/>
      <c r="M181" s="83" t="n"/>
      <c r="W181" s="126" t="n"/>
      <c r="X181" s="113">
        <f>'Additional information'!$D$18</f>
        <v/>
      </c>
      <c r="Y181" s="114">
        <f>IF(W181&lt;&gt;"",W181*X181,"")</f>
        <v/>
      </c>
      <c r="Z181" s="114">
        <f>IF(AND(W181&lt;&gt;"",U181="yes"),W181*X181,"")</f>
        <v/>
      </c>
    </row>
    <row r="182" ht="128.1" customFormat="1" customHeight="1" s="290">
      <c r="A182" s="290" t="inlineStr">
        <is>
          <t>select_multiple o_crop2</t>
        </is>
      </c>
      <c r="B182" s="290" t="inlineStr">
        <is>
          <t>o_crp_all</t>
        </is>
      </c>
      <c r="C182" s="290" t="inlineStr">
        <is>
          <t>Do you cultivate any other crops aside from ${crpmain}, and if so which ones?</t>
        </is>
      </c>
      <c r="D182" s="290" t="inlineStr">
        <is>
          <t>¿Cultiva otros productos además de ${crpmain}? y en caso de hacerlo ¿Cuáles?</t>
        </is>
      </c>
      <c r="E182" s="297" t="n"/>
      <c r="F182" s="290" t="inlineStr">
        <is>
          <t>[INSTRUCTIONS: "No other crops" APPEARS AT THE END OF THE LIST OF OPTIONS. SELECT ALL CROPS LISTED BY THE RESPONDENT.]</t>
        </is>
      </c>
      <c r="G182" s="290" t="inlineStr">
        <is>
          <t>[ENCUESTADOR/A: "Ningún otro cultivo" APARECE AL FINAL DE LA LISTA DE OPCIONES. SELECCIONE TODOS LOS CULTIVOS LISTADOS.]</t>
        </is>
      </c>
      <c r="H182" s="297" t="n"/>
      <c r="I182" s="290" t="inlineStr">
        <is>
          <t>true</t>
        </is>
      </c>
      <c r="J182" s="290" t="inlineStr">
        <is>
          <t>autocomplete</t>
        </is>
      </c>
      <c r="K182" s="290" t="inlineStr">
        <is>
          <t>if(selected(., '888') or selected(., '999') or selected(.,'666'), count-selected(.) = 1, count-selected(.) &gt;= 1)</t>
        </is>
      </c>
      <c r="M182" s="290" t="inlineStr">
        <is>
          <t>${crp_main} != '888' and ${crp_main} != '999' and ${crp_main} != '777'</t>
        </is>
      </c>
      <c r="N182" s="290" t="inlineStr">
        <is>
          <t>not(selected(${crp_main}, name))</t>
        </is>
      </c>
      <c r="O182" s="143" t="n"/>
      <c r="P182" s="143" t="n"/>
      <c r="Q182" s="143" t="n"/>
      <c r="U182" s="290" t="inlineStr">
        <is>
          <t>no</t>
        </is>
      </c>
      <c r="W182" s="293" t="n">
        <v>17</v>
      </c>
      <c r="X182" s="294">
        <f>'[2]Additional information'!$D$18</f>
        <v/>
      </c>
      <c r="Y182" s="293">
        <f>IF(W182&lt;&gt;"",W182*X182,"")</f>
        <v/>
      </c>
      <c r="Z182" s="293">
        <f>IF(AND(W182&lt;&gt;"",U182="yes"),W182*X182,"")</f>
        <v/>
      </c>
      <c r="AA182" s="295" t="n"/>
    </row>
    <row r="183" customFormat="1" s="143">
      <c r="A183" s="289" t="inlineStr">
        <is>
          <t>select_one yes_no</t>
        </is>
      </c>
      <c r="B183" s="289" t="inlineStr">
        <is>
          <t>o_credit</t>
        </is>
      </c>
      <c r="C183" s="289" t="n"/>
      <c r="D183" s="289" t="inlineStr">
        <is>
          <t>En este año, ¿Estan pagando o han pagado algún crédito o préstamo que hicieron para apoyar las actividades agropecuarias del hogar (agricultura, ganadería, pesca/acuicultura)?</t>
        </is>
      </c>
      <c r="E183" s="289" t="n"/>
      <c r="F183" s="289" t="n"/>
      <c r="G183" s="289" t="n"/>
      <c r="H183" s="289" t="n"/>
      <c r="I183" s="289" t="inlineStr">
        <is>
          <t>true</t>
        </is>
      </c>
      <c r="J183" s="289" t="n"/>
      <c r="K183" s="289" t="n"/>
      <c r="L183" s="289" t="n"/>
      <c r="M183" s="289" t="inlineStr">
        <is>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is>
      </c>
      <c r="N183" s="242" t="n"/>
      <c r="O183" s="242" t="n"/>
      <c r="P183" s="242" t="n"/>
      <c r="W183" s="293" t="n"/>
      <c r="X183" s="294" t="n"/>
      <c r="Y183" s="293" t="n"/>
      <c r="Z183" s="293" t="n"/>
      <c r="AA183" s="295" t="n"/>
    </row>
    <row r="184" ht="144" customFormat="1" customHeight="1" s="143">
      <c r="A184" s="296" t="inlineStr">
        <is>
          <t>select_one yes_no</t>
        </is>
      </c>
      <c r="B184" s="296" t="inlineStr">
        <is>
          <t>o_crp_jornal</t>
        </is>
      </c>
      <c r="C184" s="296" t="inlineStr">
        <is>
          <t xml:space="preserve">Usted contrató empleados temporales o jornaleros para sus cultivos este año? </t>
        </is>
      </c>
      <c r="D184" s="296" t="inlineStr">
        <is>
          <t xml:space="preserve">¿Usted contrató empleados temporales o jornaleros para sus cultivos este año? </t>
        </is>
      </c>
      <c r="E184" s="296" t="n"/>
      <c r="F184" s="296" t="n"/>
      <c r="G184" s="296" t="n"/>
      <c r="H184" s="296" t="n"/>
      <c r="I184" s="296" t="inlineStr">
        <is>
          <t>true</t>
        </is>
      </c>
      <c r="J184" s="296" t="n"/>
      <c r="K184" s="296" t="n"/>
      <c r="L184" s="296" t="n"/>
      <c r="M184" s="296" t="inlineStr">
        <is>
          <t xml:space="preserve">${income_main} = '1' or ${income_main} = '2' or ${income_main} = '3' </t>
        </is>
      </c>
      <c r="N184" s="242" t="n"/>
      <c r="O184" s="242" t="n"/>
      <c r="P184" s="242" t="n"/>
      <c r="W184" s="293" t="n"/>
      <c r="X184" s="294" t="n"/>
      <c r="Y184" s="293" t="n"/>
      <c r="Z184" s="293" t="n"/>
      <c r="AA184" s="295" t="n"/>
    </row>
    <row r="185" ht="80.09999999999999" customFormat="1" customHeight="1" s="143">
      <c r="A185" s="296" t="inlineStr">
        <is>
          <t>select_multiple o_crp_jornal_crop</t>
        </is>
      </c>
      <c r="B185" s="296" t="inlineStr">
        <is>
          <t>o_crp_jornal_crop</t>
        </is>
      </c>
      <c r="C185" s="296" t="n"/>
      <c r="D185" s="296" t="inlineStr">
        <is>
          <t>¿Para qué cultivos contrató mano de obra?</t>
        </is>
      </c>
      <c r="E185" s="296" t="n"/>
      <c r="F185" s="296" t="n"/>
      <c r="G185" s="296" t="n"/>
      <c r="H185" s="296" t="n"/>
      <c r="I185" s="296" t="inlineStr">
        <is>
          <t>true</t>
        </is>
      </c>
      <c r="J185" s="296" t="n"/>
      <c r="K185" s="296" t="inlineStr">
        <is>
          <t>if(selected(.,'6') or selected(.,'7'), count-selected(.) = 1, count-selected(.) &gt;= 1)</t>
        </is>
      </c>
      <c r="L185" s="296" t="n"/>
      <c r="M185" s="296" t="inlineStr">
        <is>
          <t>${o_crp_jornal} = '1'</t>
        </is>
      </c>
      <c r="N185" s="242" t="n"/>
      <c r="O185" s="242" t="n"/>
      <c r="P185" s="242" t="n"/>
      <c r="W185" s="293" t="n"/>
      <c r="X185" s="294" t="n"/>
      <c r="Y185" s="293" t="n"/>
      <c r="Z185" s="293" t="n"/>
      <c r="AA185" s="295" t="n"/>
    </row>
    <row r="186" ht="32.1" customFormat="1" customHeight="1" s="143">
      <c r="A186" s="296" t="inlineStr">
        <is>
          <t>select_multiple o_crp_jornal_season</t>
        </is>
      </c>
      <c r="B186" s="296" t="inlineStr">
        <is>
          <t>o_crp_jornal_season</t>
        </is>
      </c>
      <c r="C186" s="296" t="n"/>
      <c r="D186" s="296" t="inlineStr">
        <is>
          <t>¿Cuáles son las principales temporadas en que contrata jornaleros?</t>
        </is>
      </c>
      <c r="E186" s="296" t="n"/>
      <c r="F186" s="296" t="n"/>
      <c r="G186" s="296" t="n"/>
      <c r="H186" s="296" t="n"/>
      <c r="I186" s="296" t="inlineStr">
        <is>
          <t>true</t>
        </is>
      </c>
      <c r="J186" s="296" t="n"/>
      <c r="K186" s="296" t="n"/>
      <c r="L186" s="296" t="n"/>
      <c r="M186" s="296" t="inlineStr">
        <is>
          <t>${o_crp_jornal} = '1'</t>
        </is>
      </c>
      <c r="N186" s="242" t="n"/>
      <c r="O186" s="242" t="n"/>
      <c r="P186" s="242" t="n"/>
      <c r="W186" s="293" t="n"/>
      <c r="X186" s="294" t="n"/>
      <c r="Y186" s="293" t="n"/>
      <c r="Z186" s="293" t="n"/>
      <c r="AA186" s="295" t="n"/>
    </row>
    <row r="187" ht="32.1" customFormat="1" customHeight="1" s="143">
      <c r="A187" s="296" t="inlineStr">
        <is>
          <t>integer</t>
        </is>
      </c>
      <c r="B187" s="296" t="inlineStr">
        <is>
          <t>o_crp_jornal_amount</t>
        </is>
      </c>
      <c r="C187" s="296" t="n"/>
      <c r="D187" s="296" t="inlineStr">
        <is>
          <t>¿Cuánto paga por jornal en moneda local?</t>
        </is>
      </c>
      <c r="E187" s="296" t="n"/>
      <c r="F187" s="296" t="n"/>
      <c r="G187" s="296" t="n"/>
      <c r="H187" s="296" t="n"/>
      <c r="I187" s="296" t="inlineStr">
        <is>
          <t>true</t>
        </is>
      </c>
      <c r="J187" s="296" t="n"/>
      <c r="K187" s="296" t="inlineStr">
        <is>
          <t>(. &gt;= 1 and . &lt;= 100) or . = 888</t>
        </is>
      </c>
      <c r="L187" s="296" t="n"/>
      <c r="M187" s="296" t="inlineStr">
        <is>
          <t>${o_crp_jornal} = '1'</t>
        </is>
      </c>
      <c r="N187" s="242" t="n"/>
      <c r="O187" s="242" t="n"/>
      <c r="P187" s="242" t="n"/>
      <c r="W187" s="293" t="n"/>
      <c r="X187" s="294" t="n"/>
      <c r="Y187" s="293" t="n"/>
      <c r="Z187" s="293" t="n"/>
      <c r="AA187" s="295" t="n"/>
    </row>
    <row r="188" ht="32.1" customFormat="1" customHeight="1" s="143">
      <c r="A188" s="296" t="inlineStr">
        <is>
          <t>integer</t>
        </is>
      </c>
      <c r="B188" s="296" t="inlineStr">
        <is>
          <t>o_crp_jornal_number</t>
        </is>
      </c>
      <c r="C188" s="296" t="n"/>
      <c r="D188" s="296" t="inlineStr">
        <is>
          <t>¿Cuántos jornaleros trabajaron en la temporada alta en su cultivo este año?</t>
        </is>
      </c>
      <c r="E188" s="296" t="n"/>
      <c r="F188" s="296" t="n"/>
      <c r="G188" s="296" t="n"/>
      <c r="H188" s="296" t="n"/>
      <c r="I188" s="296" t="inlineStr">
        <is>
          <t>true</t>
        </is>
      </c>
      <c r="J188" s="296" t="n"/>
      <c r="K188" s="296" t="inlineStr">
        <is>
          <t>(. &gt;= 1 and . &lt;= 100) or . = 888</t>
        </is>
      </c>
      <c r="L188" s="296" t="n"/>
      <c r="M188" s="296" t="inlineStr">
        <is>
          <t>${o_crp_jornal} = '1'</t>
        </is>
      </c>
      <c r="N188" s="242" t="n"/>
      <c r="O188" s="242" t="n"/>
      <c r="P188" s="242" t="n"/>
      <c r="W188" s="293" t="n"/>
      <c r="X188" s="294" t="n"/>
      <c r="Y188" s="293" t="n"/>
      <c r="Z188" s="293" t="n"/>
      <c r="AA188" s="295" t="n"/>
    </row>
    <row r="189" ht="32.1" customFormat="1" customHeight="1" s="143">
      <c r="A189" s="296" t="inlineStr">
        <is>
          <t>integer</t>
        </is>
      </c>
      <c r="B189" s="296" t="inlineStr">
        <is>
          <t>o_crp_jornal_number_lastyr</t>
        </is>
      </c>
      <c r="C189" s="296" t="n"/>
      <c r="D189" s="296" t="inlineStr">
        <is>
          <t>¿Cuántos jornaleros trabajaron en la temporada alta en su cultivo el año pasado?</t>
        </is>
      </c>
      <c r="E189" s="296" t="n"/>
      <c r="F189" s="296" t="n"/>
      <c r="G189" s="296" t="n"/>
      <c r="H189" s="296" t="n"/>
      <c r="I189" s="296" t="inlineStr">
        <is>
          <t>true</t>
        </is>
      </c>
      <c r="J189" s="296" t="n"/>
      <c r="K189" s="296" t="inlineStr">
        <is>
          <t>(. &gt;= 1 and . &lt;= 100) or . = 888</t>
        </is>
      </c>
      <c r="L189" s="296" t="n"/>
      <c r="M189" s="296" t="inlineStr">
        <is>
          <t>${o_crp_jornal} = '1'</t>
        </is>
      </c>
      <c r="N189" s="242" t="n"/>
      <c r="O189" s="242" t="n"/>
      <c r="P189" s="242" t="n"/>
      <c r="W189" s="293" t="n"/>
      <c r="X189" s="294" t="n"/>
      <c r="Y189" s="293" t="n"/>
      <c r="Z189" s="293" t="n"/>
      <c r="AA189" s="295" t="n"/>
    </row>
    <row r="190" ht="15.95" customHeight="1" thickBot="1">
      <c r="A190" s="55" t="inlineStr">
        <is>
          <t>end_group</t>
        </is>
      </c>
      <c r="B190" s="55" t="n"/>
      <c r="C190" s="56" t="n"/>
      <c r="D190" s="56" t="n"/>
      <c r="E190" s="63" t="n"/>
      <c r="F190" s="55" t="n"/>
      <c r="G190" s="55" t="n"/>
      <c r="H190" s="64" t="n"/>
      <c r="I190" s="84" t="n"/>
      <c r="J190" s="84" t="n"/>
      <c r="K190" s="84" t="n"/>
      <c r="L190" s="84" t="n"/>
      <c r="M190" s="84" t="n"/>
      <c r="N190" s="84" t="n"/>
      <c r="O190" s="84" t="n"/>
      <c r="P190" s="84" t="n"/>
      <c r="W190" s="126" t="n"/>
      <c r="Y190" s="114">
        <f>IF(W190&lt;&gt;"",W190*X190,"")</f>
        <v/>
      </c>
      <c r="Z190" s="114">
        <f>IF(AND(W190&lt;&gt;"",U190="yes"),W190*X190,"")</f>
        <v/>
      </c>
    </row>
    <row r="191" ht="17.1" customFormat="1" customHeight="1" s="26" thickTop="1">
      <c r="A191" s="23" t="inlineStr">
        <is>
          <t>begin_group</t>
        </is>
      </c>
      <c r="B191" s="23" t="inlineStr">
        <is>
          <t>CropSales_group</t>
        </is>
      </c>
      <c r="C191" s="47" t="inlineStr">
        <is>
          <t>CROP MARKETING</t>
        </is>
      </c>
      <c r="D191" s="47" t="inlineStr">
        <is>
          <t>VENTA DE CULTIVOS</t>
        </is>
      </c>
      <c r="E191" s="24" t="n"/>
      <c r="F191" s="23" t="n"/>
      <c r="G191" s="23" t="n"/>
      <c r="H191" s="25" t="n"/>
      <c r="I191" s="76" t="inlineStr">
        <is>
          <t>false</t>
        </is>
      </c>
      <c r="J191" s="76" t="n"/>
      <c r="K191" s="76" t="n"/>
      <c r="L191" s="76" t="n"/>
      <c r="M191" s="77" t="inlineStr">
        <is>
          <t>${resp_agree} = '1' and (${income_main}='1' or ${income_sec}='1' or ${income_third}='1' or ${income_main}='2' or ${income_sec}='2' or ${income_third}='2' or ${income_main}='3' or ${income_sec}='3' or ${income_third}='3')</t>
        </is>
      </c>
      <c r="N191" s="76" t="n"/>
      <c r="O191" s="76" t="n"/>
      <c r="P191" s="76" t="n"/>
      <c r="U191" s="20" t="inlineStr">
        <is>
          <t>yes</t>
        </is>
      </c>
      <c r="W191" s="126" t="n"/>
      <c r="X191" s="113" t="n"/>
      <c r="Y191" s="114">
        <f>IF(W191&lt;&gt;"",W191*X191,"")</f>
        <v/>
      </c>
      <c r="Z191" s="114">
        <f>IF(AND(W191&lt;&gt;"",U191="yes"),W191*X191,"")</f>
        <v/>
      </c>
      <c r="AA191" s="27" t="n"/>
    </row>
    <row r="192" ht="15.95" customHeight="1">
      <c r="A192" s="28" t="inlineStr">
        <is>
          <t>select_one yes_no</t>
        </is>
      </c>
      <c r="B192" s="28" t="inlineStr">
        <is>
          <t>crp_sales_main_1</t>
        </is>
      </c>
      <c r="C192" s="34" t="inlineStr">
        <is>
          <t xml:space="preserve">Was ${crpmain} the main crop that you sold over the *last 3 months*? </t>
        </is>
      </c>
      <c r="D192" s="242" t="inlineStr">
        <is>
          <t>¿Fue ${crpmain} el cultivo que más vendió en los *últimos 3 meses*?</t>
        </is>
      </c>
      <c r="E192" s="41" t="n"/>
      <c r="H192" s="42" t="n"/>
      <c r="I192" s="73" t="inlineStr">
        <is>
          <t>true</t>
        </is>
      </c>
      <c r="K192" s="73" t="n"/>
      <c r="L192" s="73" t="n"/>
      <c r="M192" s="73" t="inlineStr">
        <is>
          <t>${crp_main} != '' and ${crp_main} != '888' and ${crp_main} != '999' and ${crp_main} != '777'</t>
        </is>
      </c>
      <c r="N192" s="33" t="n"/>
      <c r="O192" s="73" t="n"/>
      <c r="P192" s="73" t="n"/>
      <c r="U192" s="20" t="inlineStr">
        <is>
          <t>yes</t>
        </is>
      </c>
      <c r="W192" s="126" t="n">
        <v>13.55</v>
      </c>
      <c r="X192" s="113">
        <f>'Additional information'!$D$18</f>
        <v/>
      </c>
      <c r="Y192" s="114">
        <f>IF(W192&lt;&gt;"",W192*X192,"")</f>
        <v/>
      </c>
      <c r="Z192" s="114" t="n"/>
    </row>
    <row r="193" ht="15.95" customHeight="1">
      <c r="A193" s="28" t="inlineStr">
        <is>
          <t>select_one crop3</t>
        </is>
      </c>
      <c r="B193" s="28" t="inlineStr">
        <is>
          <t>crp_sales_main_2</t>
        </is>
      </c>
      <c r="C193" s="19" t="inlineStr">
        <is>
          <t>What was the main crop that you sold over the *last 3 months*?</t>
        </is>
      </c>
      <c r="D193" s="242" t="inlineStr">
        <is>
          <t>¿Cuál ha sido el principal producto que ha vendido en los *últimos 3 meses*?</t>
        </is>
      </c>
      <c r="E193" s="41" t="n"/>
      <c r="H193" s="42" t="n"/>
      <c r="I193" s="73" t="inlineStr">
        <is>
          <t>true</t>
        </is>
      </c>
      <c r="J193" s="71" t="inlineStr">
        <is>
          <t>autocomplete</t>
        </is>
      </c>
      <c r="K193" s="73" t="n"/>
      <c r="L193" s="73" t="n"/>
      <c r="M193" s="73" t="inlineStr">
        <is>
          <t>${crp_sales_main_1}='2' or ${crp_sales_main_1}=''</t>
        </is>
      </c>
      <c r="N193" s="73" t="inlineStr">
        <is>
          <t>not(selected(${crp_main}, name))</t>
        </is>
      </c>
      <c r="O193" s="73" t="n"/>
      <c r="P193" s="73" t="n"/>
      <c r="U193" s="20" t="inlineStr">
        <is>
          <t>yes</t>
        </is>
      </c>
      <c r="W193" s="126" t="n">
        <v>13.55</v>
      </c>
      <c r="X193" s="113">
        <f>'Additional information'!$D$18</f>
        <v/>
      </c>
      <c r="Y193" s="114">
        <f>IF(W193&lt;&gt;"",W193*X193,"")</f>
        <v/>
      </c>
      <c r="Z193" s="114" t="n"/>
    </row>
    <row r="194">
      <c r="A194" s="28" t="inlineStr">
        <is>
          <t>calculate</t>
        </is>
      </c>
      <c r="B194" s="28" t="inlineStr">
        <is>
          <t>crp_salesmain</t>
        </is>
      </c>
      <c r="C194" s="19" t="n"/>
      <c r="D194" s="19" t="n"/>
      <c r="E194" s="41" t="n"/>
      <c r="H194" s="42" t="n"/>
      <c r="I194" s="73" t="n"/>
      <c r="J194" s="73" t="n"/>
      <c r="K194" s="73" t="n"/>
      <c r="L194" s="73" t="n"/>
      <c r="M194" s="73" t="n"/>
      <c r="N194" s="73" t="n"/>
      <c r="O194" s="73" t="n"/>
      <c r="P194" s="73" t="inlineStr">
        <is>
          <t>if(${crp_sales_main_1}='1',${crp_main},${crp_sales_main_2})</t>
        </is>
      </c>
      <c r="U194" s="20" t="inlineStr">
        <is>
          <t>yes</t>
        </is>
      </c>
      <c r="W194" s="126" t="n"/>
      <c r="X194" s="113">
        <f>'Additional information'!$D$18</f>
        <v/>
      </c>
      <c r="Y194" s="114" t="n"/>
      <c r="Z194" s="114" t="n"/>
    </row>
    <row r="195">
      <c r="A195" s="28" t="inlineStr">
        <is>
          <t>calculate</t>
        </is>
      </c>
      <c r="B195" s="28" t="inlineStr">
        <is>
          <t>crp_sales_main</t>
        </is>
      </c>
      <c r="C195" s="19" t="n"/>
      <c r="D195" s="19" t="n"/>
      <c r="E195" s="41" t="n"/>
      <c r="H195" s="42" t="n"/>
      <c r="I195" s="73" t="n"/>
      <c r="J195" s="73" t="n"/>
      <c r="K195" s="73" t="n"/>
      <c r="L195" s="73" t="n"/>
      <c r="M195" s="73" t="n"/>
      <c r="N195" s="73" t="n"/>
      <c r="O195" s="73" t="n"/>
      <c r="P195" s="73" t="inlineStr">
        <is>
          <t>if(${crp_sales_main_1}='1',${crpmain},jr:choice-name(${crp_sales_main_2},'${crp_sales_main_2}'))</t>
        </is>
      </c>
      <c r="U195" s="20" t="inlineStr">
        <is>
          <t>yes</t>
        </is>
      </c>
      <c r="W195" s="126" t="n"/>
      <c r="X195" s="113">
        <f>'Additional information'!$D$18</f>
        <v/>
      </c>
      <c r="Y195" s="114" t="n"/>
      <c r="Z195" s="114" t="n"/>
    </row>
    <row r="196">
      <c r="E196" s="41" t="n"/>
      <c r="H196" s="42" t="n"/>
      <c r="W196" s="126" t="n"/>
      <c r="X196" s="113">
        <f>'Additional information'!$D$18</f>
        <v/>
      </c>
      <c r="Y196" s="114" t="n"/>
      <c r="Z196" s="114" t="n"/>
    </row>
    <row r="197" ht="32.1" customHeight="1">
      <c r="A197" s="28" t="inlineStr">
        <is>
          <t>select_one yes_no</t>
        </is>
      </c>
      <c r="B197" s="28" t="inlineStr">
        <is>
          <t>crp_salesdif</t>
        </is>
      </c>
      <c r="C197" s="19" t="inlineStr">
        <is>
          <t>Has your household faced any significant difficulty in the last 3 months **selling** your ${crp_sales_main}?</t>
        </is>
      </c>
      <c r="D197" s="19" t="inlineStr">
        <is>
          <t>¿Su hogar ha enfrentado alguna dificultad para vender la cosecha ${crp_sales_main} en los últimos tres meses?</t>
        </is>
      </c>
      <c r="E197" s="41" t="n"/>
      <c r="F197" s="53" t="n"/>
      <c r="G197" s="53" t="n"/>
      <c r="H197" s="59" t="n"/>
      <c r="I197" s="71" t="inlineStr">
        <is>
          <t>true</t>
        </is>
      </c>
      <c r="J197" s="71" t="n"/>
      <c r="K197" s="71" t="n"/>
      <c r="L197" s="71" t="n"/>
      <c r="M197" s="71" t="inlineStr">
        <is>
          <t>${crp_salesmain}!='888' and ${crp_salesmain}!='999'</t>
        </is>
      </c>
      <c r="N197" s="71" t="n"/>
      <c r="O197" s="71" t="n"/>
      <c r="P197" s="71" t="n"/>
      <c r="U197" s="20" t="inlineStr">
        <is>
          <t>yes</t>
        </is>
      </c>
      <c r="W197" s="126" t="n">
        <v>12.68148708343506</v>
      </c>
      <c r="X197" s="113">
        <f>'Additional information'!$D$18</f>
        <v/>
      </c>
      <c r="Y197" s="114">
        <f>IF(W197&lt;&gt;"",W197*X197,"")</f>
        <v/>
      </c>
      <c r="Z197" s="114">
        <f>IF(AND(W197&lt;&gt;"",U197="yes"),W197*X197,"")</f>
        <v/>
      </c>
    </row>
    <row r="198" ht="32.1" customHeight="1">
      <c r="A198" s="28" t="inlineStr">
        <is>
          <t>select_multiple cropsalesdiff</t>
        </is>
      </c>
      <c r="B198" s="28" t="inlineStr">
        <is>
          <t>crp_saledif</t>
        </is>
      </c>
      <c r="C198" s="34" t="inlineStr">
        <is>
          <t xml:space="preserve">Which difficulties has your household faced in the last 3 months selling your ${crp_sales_main}? </t>
        </is>
      </c>
      <c r="D198" s="19" t="inlineStr">
        <is>
          <t>¿Qué dificultades ha enfrentado su hogar para vender la cosecha ${crp_sales_main} en los últimos 3 meses?</t>
        </is>
      </c>
      <c r="E198" s="52" t="n"/>
      <c r="F198" s="20" t="inlineStr">
        <is>
          <t>[INSTRUCTIONS: MULTIPLE RESPONSES POSSIBLE. SELECT OPTION(S) THAT BEST FIT THE INFORMATION PROVIDED BY THE RESPONDENTS.]</t>
        </is>
      </c>
      <c r="G198" s="20" t="inlineStr">
        <is>
          <t>[ENCUESTADOR/A: ES POSIBLE SELECCIONAR MÚLTIPLES RESPUESTAS. SELECCIONES LA(S) OPCIÓN(ES) QUE MEJOR SE AJUSTE(N) A LA INFORMACIÓN PROPORCIONADA POR EL ENCUESTADO.]</t>
        </is>
      </c>
      <c r="H198" s="42" t="n"/>
      <c r="I198" s="71" t="inlineStr">
        <is>
          <t>true</t>
        </is>
      </c>
      <c r="J198" s="71" t="n"/>
      <c r="K198" s="73" t="inlineStr">
        <is>
          <t>if(selected(., 'dk') or selected(., 'ref'), count-selected(.) = 1, count-selected(.) &gt;= 1)</t>
        </is>
      </c>
      <c r="L198" s="71" t="n"/>
      <c r="M198" s="73" t="inlineStr">
        <is>
          <t xml:space="preserve">${crp_salesdif} = '1' </t>
        </is>
      </c>
      <c r="N198" s="71" t="n"/>
      <c r="O198" s="71" t="n"/>
      <c r="P198" s="71" t="n"/>
      <c r="U198" s="20" t="inlineStr">
        <is>
          <t>yes</t>
        </is>
      </c>
      <c r="W198" s="126" t="n">
        <v>22.61360931396484</v>
      </c>
      <c r="X198" s="113">
        <f>'Additional information'!$D$18</f>
        <v/>
      </c>
      <c r="Y198" s="114">
        <f>IF(W198&lt;&gt;"",W198*X198,"")</f>
        <v/>
      </c>
      <c r="Z198" s="114">
        <f>IF(AND(W198&lt;&gt;"",U198="yes"),W198*X198,"")</f>
        <v/>
      </c>
    </row>
    <row r="199">
      <c r="E199" s="41" t="n"/>
      <c r="H199" s="42" t="n"/>
      <c r="M199" s="83" t="n"/>
      <c r="W199" s="126" t="n"/>
      <c r="X199" s="113">
        <f>'Additional information'!$D$18</f>
        <v/>
      </c>
      <c r="Y199" s="114">
        <f>IF(W199&lt;&gt;"",W199*X199,"")</f>
        <v/>
      </c>
      <c r="Z199" s="114">
        <f>IF(AND(W199&lt;&gt;"",U199="yes"),W199*X199,"")</f>
        <v/>
      </c>
    </row>
    <row r="200" ht="32.1" customHeight="1">
      <c r="A200" s="28" t="inlineStr">
        <is>
          <t>select_one change</t>
        </is>
      </c>
      <c r="B200" s="28" t="inlineStr">
        <is>
          <t>crp_salesprice</t>
        </is>
      </c>
      <c r="C200" s="34" t="inlineStr">
        <is>
          <t>How does the current price of your household's ${crp_sales_main} compare to the average price in the same period of a normal year?</t>
        </is>
      </c>
      <c r="D200" s="19" t="inlineStr">
        <is>
          <t>¿Cómo compararía el precio actual de la cosecha principal de su hogar ${crp_sales_main} con respecto al precio promedio en un año normal?</t>
        </is>
      </c>
      <c r="E200" s="52" t="n"/>
      <c r="F200" s="60" t="inlineStr">
        <is>
          <t>[INSTRUCTIONS: INSIST ON THE MAIN PRODUCT MENTIONED.]</t>
        </is>
      </c>
      <c r="G200" s="60" t="inlineStr">
        <is>
          <t>[PISTA: INSISTA EN EL PRINCIPAL PRODUCTO MENCIONADO.]</t>
        </is>
      </c>
      <c r="H200" s="59" t="n"/>
      <c r="I200" s="71" t="inlineStr">
        <is>
          <t>true</t>
        </is>
      </c>
      <c r="J200" s="71" t="n"/>
      <c r="K200" s="71" t="n"/>
      <c r="L200" s="71" t="n"/>
      <c r="M200" s="73" t="inlineStr">
        <is>
          <t>${crp_salesmain}!='888' and ${crp_salesmain}!='999'</t>
        </is>
      </c>
      <c r="N200" s="71" t="n"/>
      <c r="O200" s="71" t="n"/>
      <c r="P200" s="71" t="n"/>
      <c r="U200" s="20" t="inlineStr">
        <is>
          <t>yes</t>
        </is>
      </c>
      <c r="W200" s="126" t="n">
        <v>21.70190811157227</v>
      </c>
      <c r="X200" s="113">
        <f>'Additional information'!$D$18</f>
        <v/>
      </c>
      <c r="Y200" s="114">
        <f>IF(W200&lt;&gt;"",W200*X200,"")</f>
        <v/>
      </c>
      <c r="Z200" s="114">
        <f>IF(AND(W200&lt;&gt;"",U200="yes"),W200*X200,"")</f>
        <v/>
      </c>
    </row>
    <row r="201">
      <c r="C201" s="22" t="n"/>
      <c r="D201" s="22" t="n"/>
      <c r="E201" s="52" t="n"/>
      <c r="F201" s="53" t="n"/>
      <c r="G201" s="53" t="n"/>
      <c r="H201" s="59" t="n"/>
      <c r="M201" s="83" t="n"/>
      <c r="W201" s="126" t="n"/>
      <c r="X201" s="113">
        <f>'Additional information'!$D$18</f>
        <v/>
      </c>
      <c r="Y201" s="114">
        <f>IF(W201&lt;&gt;"",W201*X201,"")</f>
        <v/>
      </c>
      <c r="Z201" s="114">
        <f>IF(AND(W201&lt;&gt;"",U201="yes"),W201*X201,"")</f>
        <v/>
      </c>
    </row>
    <row r="202" ht="15.95" customHeight="1" thickBot="1">
      <c r="A202" s="55" t="inlineStr">
        <is>
          <t>end_group</t>
        </is>
      </c>
      <c r="B202" s="55" t="n"/>
      <c r="C202" s="56" t="n"/>
      <c r="D202" s="56" t="n"/>
      <c r="E202" s="63" t="n"/>
      <c r="F202" s="55" t="n"/>
      <c r="G202" s="55" t="n"/>
      <c r="H202" s="64" t="n"/>
      <c r="I202" s="84" t="n"/>
      <c r="J202" s="84" t="n"/>
      <c r="K202" s="84" t="n"/>
      <c r="L202" s="84" t="n"/>
      <c r="M202" s="84" t="n"/>
      <c r="N202" s="84" t="n"/>
      <c r="O202" s="84" t="n"/>
      <c r="P202" s="84" t="n"/>
      <c r="W202" s="126" t="n"/>
      <c r="Y202" s="114">
        <f>IF(W202&lt;&gt;"",W202*X202,"")</f>
        <v/>
      </c>
      <c r="Z202" s="114">
        <f>IF(AND(W202&lt;&gt;"",U202="yes"),W202*X202,"")</f>
        <v/>
      </c>
    </row>
    <row r="203" ht="17.1" customFormat="1" customHeight="1" s="26" thickTop="1">
      <c r="A203" s="23" t="inlineStr">
        <is>
          <t>begin_group</t>
        </is>
      </c>
      <c r="B203" s="23" t="inlineStr">
        <is>
          <t>Livestock_group</t>
        </is>
      </c>
      <c r="C203" s="47" t="inlineStr">
        <is>
          <t>LIVESTOCK PRODUCTION</t>
        </is>
      </c>
      <c r="D203" s="47" t="inlineStr">
        <is>
          <t>PRODUCCIÓN ANIMAL</t>
        </is>
      </c>
      <c r="E203" s="24" t="n"/>
      <c r="F203" s="23" t="n"/>
      <c r="G203" s="23" t="n"/>
      <c r="H203" s="25" t="n"/>
      <c r="I203" s="76" t="inlineStr">
        <is>
          <t>false</t>
        </is>
      </c>
      <c r="J203" s="76" t="n"/>
      <c r="K203" s="76" t="n"/>
      <c r="L203" s="76" t="n"/>
      <c r="M203" s="77" t="inlineStr">
        <is>
          <t>${resp_agree} = '1' and (${hh_agricactivity}='2' or ${hh_agricactivity} = '3' or ${income_main_ls_check}='1' or ${income_sec_ls_check}='1' or ${income_third_ls_check}='1')</t>
        </is>
      </c>
      <c r="N203" s="76" t="n"/>
      <c r="O203" s="76" t="n"/>
      <c r="P203" s="76" t="n"/>
      <c r="U203" s="20" t="inlineStr">
        <is>
          <t>yes</t>
        </is>
      </c>
      <c r="W203" s="126" t="n"/>
      <c r="X203" s="27" t="n"/>
      <c r="Y203" s="114">
        <f>IF(W203&lt;&gt;"",W203*X203,"")</f>
        <v/>
      </c>
      <c r="Z203" s="114">
        <f>IF(AND(W203&lt;&gt;"",U203="yes"),W203*X203,"")</f>
        <v/>
      </c>
      <c r="AA203" s="27" t="n"/>
    </row>
    <row r="204" ht="48" customHeight="1">
      <c r="A204" s="28" t="inlineStr">
        <is>
          <t>note</t>
        </is>
      </c>
      <c r="B204" s="28" t="inlineStr">
        <is>
          <t>ls_intro</t>
        </is>
      </c>
      <c r="C204" s="19" t="inlineStr">
        <is>
          <t xml:space="preserve">We will now ask you some questions about livestock production which apply to you and anyone in your household that is involved in livestock production or sales. </t>
        </is>
      </c>
      <c r="D204" s="19" t="inlineStr">
        <is>
          <t>Ahora me gustaría preguntarle sobre la producción de ganado/animales. Estas preguntas aplican para usted o cualquier miembro de su hogar que esté involucrado/a en la producción o venta de ganado/animales.</t>
        </is>
      </c>
      <c r="E204" s="41" t="n"/>
      <c r="F204" s="28" t="n"/>
      <c r="G204" s="28" t="n"/>
      <c r="H204" s="42" t="n"/>
      <c r="I204" s="71" t="n"/>
      <c r="J204" s="71" t="n"/>
      <c r="K204" s="71" t="n"/>
      <c r="L204" s="71" t="n"/>
      <c r="M204" s="71" t="n"/>
      <c r="N204" s="71" t="n"/>
      <c r="O204" s="71" t="n"/>
      <c r="P204" s="71" t="n"/>
      <c r="U204" s="20" t="inlineStr">
        <is>
          <t>yes</t>
        </is>
      </c>
      <c r="W204" s="126" t="n">
        <v>7.5</v>
      </c>
      <c r="X204" s="61">
        <f>'Additional information'!$D$19</f>
        <v/>
      </c>
      <c r="Y204" s="114">
        <f>IF(W204&lt;&gt;"",W204*X204,"")</f>
        <v/>
      </c>
      <c r="Z204" s="114">
        <f>IF(AND(W204&lt;&gt;"",U204="yes"),W204*X204,"")</f>
        <v/>
      </c>
    </row>
    <row r="205" customFormat="1" s="26">
      <c r="C205" s="48" t="n"/>
      <c r="D205" s="21" t="n"/>
      <c r="E205" s="24" t="n"/>
      <c r="H205" s="25" t="n"/>
      <c r="I205" s="77" t="n"/>
      <c r="J205" s="77" t="n"/>
      <c r="K205" s="77" t="n"/>
      <c r="L205" s="77" t="n"/>
      <c r="M205" s="77" t="n"/>
      <c r="N205" s="77" t="n"/>
      <c r="O205" s="77" t="n"/>
      <c r="P205" s="77" t="n"/>
      <c r="U205" s="20" t="n"/>
      <c r="W205" s="126" t="n"/>
      <c r="X205" s="61">
        <f>'Additional information'!$D$19</f>
        <v/>
      </c>
      <c r="Y205" s="114">
        <f>IF(W205&lt;&gt;"",W205*X205,"")</f>
        <v/>
      </c>
      <c r="Z205" s="114">
        <f>IF(AND(W205&lt;&gt;"",U205="yes"),W205*X205,"")</f>
        <v/>
      </c>
      <c r="AA205" s="27" t="n"/>
    </row>
    <row r="206" ht="32.1" customHeight="1">
      <c r="A206" s="28" t="inlineStr">
        <is>
          <t>select_one lsmain</t>
        </is>
      </c>
      <c r="B206" s="28" t="inlineStr">
        <is>
          <t>ls_main</t>
        </is>
      </c>
      <c r="C206" s="19" t="inlineStr">
        <is>
          <t>What was the main animal raised by your household for food or income generation in the last 12 months?</t>
        </is>
      </c>
      <c r="D206" s="19" t="inlineStr">
        <is>
          <t>¿Cuál ha sido la principal especie animal que ha criado su hogar para la alimentación y la generación de ingresos en los últimos 12 meses?</t>
        </is>
      </c>
      <c r="E206" s="41" t="n"/>
      <c r="F206" s="20" t="inlineStr">
        <is>
          <t>[INSTRUCTIONS: ASK ABOUT THE MOST IMPORTANT ANIMAL ONLY.] [HINT: DON'T FORGET TO PROBE ABOUT TRANSHUMANCE - MOVING LIVESTOCK FROM ONE GRAZING GROUND TO ANOTHER.]</t>
        </is>
      </c>
      <c r="G206" s="20" t="inlineStr">
        <is>
          <t>[ENCUESTADOR/A: RESPUESTA ÚNICA. PREGUNTE POR LA ESPECIE ANIMAL MÁS IMPORTANTE ÚNICAMENTE.][PISTA: NO OLVIDE PREGUNTAR SOBRE LA TRASHUMANCIA, ES DECIR, EL DESPLAZAMIENTO DEL GANADO DE UN TERRENO DONDE PASTAN A OTRO POR UN TIEMPO QUE PUEDE IR DE VARIOS DIAS HASTA VARIOS MESES.]</t>
        </is>
      </c>
      <c r="H206" s="42" t="n"/>
      <c r="I206" s="71" t="inlineStr">
        <is>
          <t>true</t>
        </is>
      </c>
      <c r="J206" s="71" t="inlineStr">
        <is>
          <t>minimal</t>
        </is>
      </c>
      <c r="K206" s="71" t="n"/>
      <c r="L206" s="71" t="n"/>
      <c r="M206" s="71" t="n"/>
      <c r="N206" s="71" t="n"/>
      <c r="O206" s="71" t="n"/>
      <c r="P206" s="71" t="n"/>
      <c r="U206" s="20" t="inlineStr">
        <is>
          <t>yes</t>
        </is>
      </c>
      <c r="W206" s="126" t="n">
        <v>20.2944221496582</v>
      </c>
      <c r="X206" s="61">
        <f>'Additional information'!$D$19</f>
        <v/>
      </c>
      <c r="Y206" s="114">
        <f>IF(W206&lt;&gt;"",W206*X206,"")</f>
        <v/>
      </c>
      <c r="Z206" s="114">
        <f>IF(AND(W206&lt;&gt;"",U206="yes"),W206*X206,"")</f>
        <v/>
      </c>
    </row>
    <row r="207">
      <c r="A207" s="28" t="inlineStr">
        <is>
          <t>calculate</t>
        </is>
      </c>
      <c r="B207" s="28" t="inlineStr">
        <is>
          <t>lsmain</t>
        </is>
      </c>
      <c r="C207" s="19" t="n"/>
      <c r="D207" s="19" t="n"/>
      <c r="E207" s="41" t="n"/>
      <c r="H207" s="42" t="n"/>
      <c r="I207" s="71" t="n"/>
      <c r="J207" s="71" t="n"/>
      <c r="K207" s="71" t="n"/>
      <c r="L207" s="71" t="n"/>
      <c r="M207" s="71" t="n"/>
      <c r="N207" s="71" t="n"/>
      <c r="O207" s="71" t="n"/>
      <c r="P207" s="71" t="inlineStr">
        <is>
          <t>jr:choice-name(${ls_main},'${ls_main}')</t>
        </is>
      </c>
      <c r="U207" s="20" t="inlineStr">
        <is>
          <t>yes</t>
        </is>
      </c>
      <c r="W207" s="126" t="n"/>
      <c r="X207" s="61">
        <f>'Additional information'!$D$19</f>
        <v/>
      </c>
      <c r="Y207" s="114">
        <f>IF(W207&lt;&gt;"",W207*X207,"")</f>
        <v/>
      </c>
      <c r="Z207" s="114">
        <f>IF(AND(W207&lt;&gt;"",U207="yes"),W207*X207,"")</f>
        <v/>
      </c>
    </row>
    <row r="208">
      <c r="E208" s="41" t="n"/>
      <c r="H208" s="42" t="n"/>
      <c r="M208" s="83" t="n"/>
      <c r="W208" s="126" t="n"/>
      <c r="X208" s="61">
        <f>'Additional information'!$D$19</f>
        <v/>
      </c>
      <c r="Y208" s="114">
        <f>IF(W208&lt;&gt;"",W208*X208,"")</f>
        <v/>
      </c>
      <c r="Z208" s="114">
        <f>IF(AND(W208&lt;&gt;"",U208="yes"),W208*X208,"")</f>
        <v/>
      </c>
    </row>
    <row r="209" ht="15.95" customHeight="1">
      <c r="A209" s="28" t="inlineStr">
        <is>
          <t>integer</t>
        </is>
      </c>
      <c r="B209" s="28" t="inlineStr">
        <is>
          <t>ls_num_lastyr</t>
        </is>
      </c>
      <c r="C209" s="19" t="inlineStr">
        <is>
          <t>How many ${lsmain} did you have at the same time last year?</t>
        </is>
      </c>
      <c r="D209" s="19" t="inlineStr">
        <is>
          <t>¿Cuántos ${lsmain} tenía en el mismo período del año pasado?</t>
        </is>
      </c>
      <c r="E209" s="41" t="n"/>
      <c r="F209" s="28" t="inlineStr">
        <is>
          <t>[INSTRUCTIONS: RECORD THE NUMBER OF ANIMALS. ENTER 888 FOR DON'T KNOW AND 999 FOR REFUSED.]</t>
        </is>
      </c>
      <c r="G209" s="28" t="inlineStr">
        <is>
          <t>[ENCUESTADOR/A: REGISTRE EL NÚMERO DE ANIMALES. ESCRIBA 888 PARA "NO SABE" Y 999 PARA "NO RESPONDE".]</t>
        </is>
      </c>
      <c r="H209" s="42" t="n"/>
      <c r="I209" s="71" t="inlineStr">
        <is>
          <t>true</t>
        </is>
      </c>
      <c r="J209" s="71" t="n"/>
      <c r="K209" s="71" t="inlineStr">
        <is>
          <t xml:space="preserve">. &gt;= 0 </t>
        </is>
      </c>
      <c r="L209" s="71" t="n"/>
      <c r="M209" s="71" t="inlineStr">
        <is>
          <t>${ls_main} != '10' and ${ls_main} != '11'</t>
        </is>
      </c>
      <c r="N209" s="71" t="n"/>
      <c r="O209" s="71" t="n"/>
      <c r="P209" s="71" t="n"/>
      <c r="U209" s="20" t="inlineStr">
        <is>
          <t>yes</t>
        </is>
      </c>
      <c r="W209" s="126" t="n">
        <v>18.53907775878906</v>
      </c>
      <c r="X209" s="61">
        <f>'Additional information'!$D$19</f>
        <v/>
      </c>
      <c r="Y209" s="114">
        <f>IF(W209&lt;&gt;"",W209*X209,"")</f>
        <v/>
      </c>
      <c r="Z209" s="114">
        <f>IF(AND(W209&lt;&gt;"",U209="yes"),W209*X209,"")</f>
        <v/>
      </c>
    </row>
    <row r="210" ht="15.95" customHeight="1">
      <c r="A210" s="28" t="inlineStr">
        <is>
          <t>integer</t>
        </is>
      </c>
      <c r="B210" s="28" t="inlineStr">
        <is>
          <t>ls_num_now</t>
        </is>
      </c>
      <c r="C210" s="19" t="inlineStr">
        <is>
          <t>How many ${lsmain} do you have now?</t>
        </is>
      </c>
      <c r="D210" s="19" t="inlineStr">
        <is>
          <t>¿Cuántos ${lsmain} tiene ahora?</t>
        </is>
      </c>
      <c r="E210" s="41" t="n"/>
      <c r="F210" s="28" t="inlineStr">
        <is>
          <t>[INSTRUCTIONS: RECORD THE NUMBER OF ANIMALS. ENTER 888 FOR DON'T KNOW AND 999 FOR REFUSED.]</t>
        </is>
      </c>
      <c r="G210" s="28" t="inlineStr">
        <is>
          <t>[ENCUESTADOR/A: REGISTRE EL NÚMERO DE ANIMALES. ESCRIBA 888 PARA "NO SABE" Y 999 PARA "NO RESPONDE".]</t>
        </is>
      </c>
      <c r="H210" s="42" t="n"/>
      <c r="I210" s="71" t="inlineStr">
        <is>
          <t>true</t>
        </is>
      </c>
      <c r="J210" s="71" t="n"/>
      <c r="K210" s="71" t="inlineStr">
        <is>
          <t xml:space="preserve">. &gt;= 0 </t>
        </is>
      </c>
      <c r="L210" s="71" t="n"/>
      <c r="M210" s="71" t="inlineStr">
        <is>
          <t>${ls_main} != '10' and ${ls_main} != '11'</t>
        </is>
      </c>
      <c r="N210" s="71" t="n"/>
      <c r="O210" s="71" t="n"/>
      <c r="P210" s="71" t="n"/>
      <c r="U210" s="20" t="inlineStr">
        <is>
          <t>yes</t>
        </is>
      </c>
      <c r="W210" s="126" t="n">
        <v>8.915891647338867</v>
      </c>
      <c r="X210" s="61">
        <f>'Additional information'!$D$19</f>
        <v/>
      </c>
      <c r="Y210" s="114">
        <f>IF(W210&lt;&gt;"",W210*X210,"")</f>
        <v/>
      </c>
      <c r="Z210" s="114">
        <f>IF(AND(W210&lt;&gt;"",U210="yes"),W210*X210,"")</f>
        <v/>
      </c>
    </row>
    <row r="211" ht="15.95" customHeight="1">
      <c r="A211" s="28" t="inlineStr">
        <is>
          <t>calculate</t>
        </is>
      </c>
      <c r="B211" s="28" t="inlineStr">
        <is>
          <t>ls_num_diff</t>
        </is>
      </c>
      <c r="C211" s="19" t="inlineStr">
        <is>
          <t xml:space="preserve">Change in ${lsmain}: </t>
        </is>
      </c>
      <c r="D211" s="19" t="inlineStr">
        <is>
          <t>Cambio en ${lsmain}:</t>
        </is>
      </c>
      <c r="E211" s="41" t="n"/>
      <c r="F211" s="28" t="n"/>
      <c r="G211" s="28" t="n"/>
      <c r="H211" s="42" t="n"/>
      <c r="I211" s="71" t="inlineStr">
        <is>
          <t>true</t>
        </is>
      </c>
      <c r="J211" s="71" t="n"/>
      <c r="K211" s="71" t="n"/>
      <c r="L211" s="71" t="n"/>
      <c r="M211" s="71" t="inlineStr">
        <is>
          <t>(${ls_main} != '10' and ${ls_main} != '11') and (${ls_num_lastyr} != '888' and ${ls_num_lastyr} != '999' and ${ls_num_now} != '888' and ${ls_num_now} != '999')</t>
        </is>
      </c>
      <c r="N211" s="71" t="n"/>
      <c r="O211" s="71" t="n"/>
      <c r="P211" s="71" t="inlineStr">
        <is>
          <t>${ls_num_now} - ${ls_num_lastyr}</t>
        </is>
      </c>
      <c r="U211" s="20" t="inlineStr">
        <is>
          <t>yes</t>
        </is>
      </c>
      <c r="W211" s="126" t="n"/>
      <c r="X211" s="61">
        <f>'Additional information'!$D$19</f>
        <v/>
      </c>
      <c r="Y211" s="114">
        <f>IF(W211&lt;&gt;"",W211*X211,"")</f>
        <v/>
      </c>
      <c r="Z211" s="114">
        <f>IF(AND(W211&lt;&gt;"",U211="yes"),W211*X211,"")</f>
        <v/>
      </c>
    </row>
    <row r="212">
      <c r="E212" s="41" t="n"/>
      <c r="H212" s="42" t="n"/>
      <c r="W212" s="126" t="n"/>
      <c r="X212" s="61">
        <f>'Additional information'!$D$19</f>
        <v/>
      </c>
      <c r="Y212" s="114">
        <f>IF(W212&lt;&gt;"",W212*X212,"")</f>
        <v/>
      </c>
      <c r="Z212" s="114">
        <f>IF(AND(W212&lt;&gt;"",U212="yes"),W212*X212,"")</f>
        <v/>
      </c>
    </row>
    <row r="213" ht="15.95" customHeight="1">
      <c r="A213" s="28" t="inlineStr">
        <is>
          <t>select_multiple lsnum</t>
        </is>
      </c>
      <c r="B213" s="28" t="inlineStr">
        <is>
          <t>ls_num</t>
        </is>
      </c>
      <c r="C213" s="19" t="inlineStr">
        <is>
          <t>Why did the number of livestock change?</t>
        </is>
      </c>
      <c r="D213" s="19" t="inlineStr">
        <is>
          <t>¿Por qué cambió el número de cabezas de ganado/animales?</t>
        </is>
      </c>
      <c r="E213" s="41" t="n"/>
      <c r="F213" s="20" t="inlineStr">
        <is>
          <t>[INSTRUCTIONS: MULTIPLE RESPONSES POSSIBLE.]</t>
        </is>
      </c>
      <c r="G213" s="20" t="inlineStr">
        <is>
          <t>[ENCUESTADOR/A: ES POSIBLE SELECCIONAR MÚLTIPLES RESPUESTAS.]</t>
        </is>
      </c>
      <c r="H213" s="42" t="n"/>
      <c r="I213" s="71" t="inlineStr">
        <is>
          <t>true</t>
        </is>
      </c>
      <c r="J213" s="71" t="n"/>
      <c r="K213" s="71" t="inlineStr">
        <is>
          <t>if(selected(., 'inc_dec_dk') or selected(., 'inc_dec_ref'), count-selected(.) = 1, count-selected(.) &gt;= 1)</t>
        </is>
      </c>
      <c r="L213" s="71" t="n"/>
      <c r="M213" s="71" t="inlineStr">
        <is>
          <t>${ls_main} != '10' and ${ls_main} != '11'</t>
        </is>
      </c>
      <c r="N213" s="71" t="n"/>
      <c r="O213" s="71" t="n"/>
      <c r="P213" s="71" t="n"/>
      <c r="U213" s="20" t="inlineStr">
        <is>
          <t>yes</t>
        </is>
      </c>
      <c r="W213" s="126" t="n">
        <v>25.81001091003418</v>
      </c>
      <c r="X213" s="61">
        <f>'Additional information'!$D$19</f>
        <v/>
      </c>
      <c r="Y213" s="114">
        <f>IF(W213&lt;&gt;"",W213*X213,"")</f>
        <v/>
      </c>
      <c r="Z213" s="114">
        <f>IF(AND(W213&lt;&gt;"",U213="yes"),W213*X213,"")</f>
        <v/>
      </c>
    </row>
    <row r="214">
      <c r="E214" s="41" t="n"/>
      <c r="H214" s="42" t="n"/>
      <c r="M214" s="83" t="n"/>
      <c r="W214" s="126" t="n"/>
      <c r="X214" s="61">
        <f>'Additional information'!$D$19</f>
        <v/>
      </c>
      <c r="Y214" s="114">
        <f>IF(W214&lt;&gt;"",W214*X214,"")</f>
        <v/>
      </c>
      <c r="Z214" s="114">
        <f>IF(AND(W214&lt;&gt;"",U214="yes"),W214*X214,"")</f>
        <v/>
      </c>
    </row>
    <row r="215" ht="15.95" customFormat="1" customHeight="1" s="30">
      <c r="A215" s="30" t="inlineStr">
        <is>
          <t>select_multiple lsfood</t>
        </is>
      </c>
      <c r="B215" s="30" t="inlineStr">
        <is>
          <t>ls_feed</t>
        </is>
      </c>
      <c r="C215" s="31" t="inlineStr">
        <is>
          <t xml:space="preserve">Where do you usually access feed for your ${lsmain}? </t>
        </is>
      </c>
      <c r="D215" s="31" t="inlineStr">
        <is>
          <t>¿En dónde accede a comida para su ${lsmain} habitualmente?</t>
        </is>
      </c>
      <c r="E215" s="32" t="n"/>
      <c r="F215" s="30" t="inlineStr">
        <is>
          <t>[INSTRUCTIONS: MULTIPLE RESPONSES POSSIBLE.]</t>
        </is>
      </c>
      <c r="G215" s="30" t="inlineStr">
        <is>
          <t>[ENCUESTADOR/A: ES POSIBLE SELECCIONAR MÚLTIPLES RESPUESTAS.]</t>
        </is>
      </c>
      <c r="H215" s="36" t="n"/>
      <c r="I215" s="72" t="inlineStr">
        <is>
          <t>true</t>
        </is>
      </c>
      <c r="J215" s="72" t="n"/>
      <c r="K215" s="72" t="inlineStr">
        <is>
          <t>if(selected(., 'dk') or selected(., 'ref'), count-selected(.) = 1, count-selected(.) &gt;= 1)</t>
        </is>
      </c>
      <c r="L215" s="72" t="n"/>
      <c r="M215" s="72" t="inlineStr">
        <is>
          <t>${ls_main} != '10' and ${ls_main} != '11'</t>
        </is>
      </c>
      <c r="N215" s="72" t="n"/>
      <c r="O215" s="72" t="n"/>
      <c r="P215" s="72" t="n"/>
      <c r="U215" s="30" t="inlineStr">
        <is>
          <t>no</t>
        </is>
      </c>
      <c r="W215" s="126" t="n">
        <v>19.55319786071777</v>
      </c>
      <c r="X215" s="61">
        <f>'Additional information'!$D$19</f>
        <v/>
      </c>
      <c r="Y215" s="114">
        <f>IF(W215&lt;&gt;"",W215*X215,"")</f>
        <v/>
      </c>
      <c r="Z215" s="114">
        <f>IF(AND(W215&lt;&gt;"",U215="yes"),W215*X215,"")</f>
        <v/>
      </c>
      <c r="AA215" s="29" t="n"/>
    </row>
    <row r="216" customFormat="1" s="30">
      <c r="C216" s="31" t="n"/>
      <c r="D216" s="259" t="n"/>
      <c r="E216" s="32" t="n"/>
      <c r="H216" s="36" t="n"/>
      <c r="I216" s="72" t="n"/>
      <c r="J216" s="72" t="n"/>
      <c r="K216" s="72" t="n"/>
      <c r="L216" s="72" t="n"/>
      <c r="M216" s="72" t="n"/>
      <c r="N216" s="72" t="n"/>
      <c r="O216" s="72" t="n"/>
      <c r="P216" s="72" t="n"/>
      <c r="W216" s="126" t="n"/>
      <c r="X216" s="61">
        <f>'Additional information'!$D$19</f>
        <v/>
      </c>
      <c r="Y216" s="114">
        <f>IF(W216&lt;&gt;"",W216*X216,"")</f>
        <v/>
      </c>
      <c r="Z216" s="114">
        <f>IF(AND(W216&lt;&gt;"",U216="yes"),W216*X216,"")</f>
        <v/>
      </c>
      <c r="AA216" s="29" t="n"/>
    </row>
    <row r="217" ht="32.1" customHeight="1">
      <c r="A217" s="28" t="inlineStr">
        <is>
          <t>select_one yes_no</t>
        </is>
      </c>
      <c r="B217" s="28" t="inlineStr">
        <is>
          <t>ls_proddif</t>
        </is>
      </c>
      <c r="C217" s="19" t="inlineStr">
        <is>
          <t>Has your household faced any significant difficulty with livestock production over the last 3 months?</t>
        </is>
      </c>
      <c r="D217" s="19" t="inlineStr">
        <is>
          <t>¿Ha enfretado su hogar alguna dificultad con la producción ganadera / de animales durante los últimos 3 meses?</t>
        </is>
      </c>
      <c r="E217" s="41" t="n"/>
      <c r="H217" s="42" t="n"/>
      <c r="I217" s="71" t="inlineStr">
        <is>
          <t>true</t>
        </is>
      </c>
      <c r="J217" s="71" t="n"/>
      <c r="K217" s="71" t="n"/>
      <c r="L217" s="71" t="n"/>
      <c r="M217" s="73" t="inlineStr">
        <is>
          <t>${ls_main} != '10' and ${ls_main} != '11'</t>
        </is>
      </c>
      <c r="N217" s="71" t="n"/>
      <c r="O217" s="71" t="n"/>
      <c r="P217" s="71" t="n"/>
      <c r="U217" s="20" t="inlineStr">
        <is>
          <t>yes</t>
        </is>
      </c>
      <c r="W217" s="126" t="n">
        <v>13.61331653594971</v>
      </c>
      <c r="X217" s="61">
        <f>'Additional information'!$D$19</f>
        <v/>
      </c>
      <c r="Y217" s="114">
        <f>IF(W217&lt;&gt;"",W217*X217,"")</f>
        <v/>
      </c>
      <c r="Z217" s="114">
        <f>IF(AND(W217&lt;&gt;"",U217="yes"),W217*X217,"")</f>
        <v/>
      </c>
    </row>
    <row r="218" ht="32.1" customHeight="1">
      <c r="A218" s="28" t="inlineStr">
        <is>
          <t>select_multiple lsproddiff</t>
        </is>
      </c>
      <c r="B218" s="28" t="inlineStr">
        <is>
          <t>ls_proddif_</t>
        </is>
      </c>
      <c r="C218" s="19" t="inlineStr">
        <is>
          <t>Which difficulties has your household faced with livestock production in the last 3 months?</t>
        </is>
      </c>
      <c r="D218" s="19" t="inlineStr">
        <is>
          <t>¿Qué dificultades ha enfrentado su hogar con la producción ganadera/ de animales en los últimos 3 meses?</t>
        </is>
      </c>
      <c r="E218" s="41" t="n"/>
      <c r="F218" s="20" t="inlineStr">
        <is>
          <t>[INSTRUCTIONS: MULTIPLE RESPONSES POSSIBLE. SELECT OPTION(S) THAT BEST FIT THE INFORMATION PROVIDED BY THE RESPONDENTS.]</t>
        </is>
      </c>
      <c r="G218" s="20" t="inlineStr">
        <is>
          <t>[ENCUESTADOR/A: ES POSIBLE SELECCIONAR MÚLTIPLES RESPUESTAS. SELECCIONES LA(S) OPCIÓN(ES) QUE MEJOR SE AJUSTE(N) A LA INFORMACIÓN PROPORCIONADA POR EL ENCUESTADO.]</t>
        </is>
      </c>
      <c r="H218" s="42" t="n"/>
      <c r="I218" s="71" t="inlineStr">
        <is>
          <t>true</t>
        </is>
      </c>
      <c r="J218" s="71" t="n"/>
      <c r="K218" s="73" t="inlineStr">
        <is>
          <t>if(selected(., 'dk') or selected(., 'ref'), count-selected(.) = 1, count-selected(.) &gt;= 1)</t>
        </is>
      </c>
      <c r="L218" s="71" t="n"/>
      <c r="M218" s="73" t="inlineStr">
        <is>
          <t>${ls_proddif}='1'</t>
        </is>
      </c>
      <c r="N218" s="71" t="n"/>
      <c r="O218" s="71" t="n"/>
      <c r="P218" s="71" t="n"/>
      <c r="U218" s="20" t="inlineStr">
        <is>
          <t>yes</t>
        </is>
      </c>
      <c r="W218" s="126" t="n">
        <v>27.75464820861816</v>
      </c>
      <c r="X218" s="61">
        <f>'Additional information'!$D$19</f>
        <v/>
      </c>
      <c r="Y218" s="114">
        <f>IF(W218&lt;&gt;"",W218*X218,"")</f>
        <v/>
      </c>
      <c r="Z218" s="114">
        <f>IF(AND(W218&lt;&gt;"",U218="yes"),W218*X218,"")</f>
        <v/>
      </c>
    </row>
    <row r="219">
      <c r="E219" s="41" t="n"/>
      <c r="H219" s="42" t="n"/>
      <c r="M219" s="83" t="n"/>
      <c r="W219" s="126" t="n"/>
      <c r="X219" s="61">
        <f>'Additional information'!$D$19</f>
        <v/>
      </c>
      <c r="Y219" s="114">
        <f>IF(W219&lt;&gt;"",W219*X219,"")</f>
        <v/>
      </c>
      <c r="Z219" s="114">
        <f>IF(AND(W219&lt;&gt;"",U219="yes"),W219*X219,"")</f>
        <v/>
      </c>
    </row>
    <row r="220" ht="80.09999999999999" customFormat="1" customHeight="1" s="143">
      <c r="A220" s="296" t="inlineStr">
        <is>
          <t>select_one o_ls_proddif_followup</t>
        </is>
      </c>
      <c r="B220" s="296" t="inlineStr">
        <is>
          <t>o_ls_proddif_followup</t>
        </is>
      </c>
      <c r="C220" s="296" t="n"/>
      <c r="D220" s="296" t="inlineStr">
        <is>
          <t>¿Estas dificultades han sido mas frecuentes en los últimos 5 años?</t>
        </is>
      </c>
      <c r="E220" s="296" t="n"/>
      <c r="F220" s="296" t="n"/>
      <c r="G220" s="296" t="n"/>
      <c r="H220" s="296" t="n"/>
      <c r="I220" s="296" t="inlineStr">
        <is>
          <t>true</t>
        </is>
      </c>
      <c r="J220" s="296" t="n"/>
      <c r="K220" s="296" t="n"/>
      <c r="L220" s="296" t="n"/>
      <c r="M220" s="296" t="inlineStr">
        <is>
          <t>${ls_proddif_} != 'dk' and ${ls_proddif_} != 'rf'</t>
        </is>
      </c>
      <c r="N220" s="298" t="n"/>
      <c r="O220" s="298" t="n"/>
      <c r="P220" s="298" t="n"/>
      <c r="W220" s="293" t="n"/>
      <c r="X220" s="303" t="n"/>
      <c r="Y220" s="293" t="n"/>
      <c r="Z220" s="293" t="n"/>
      <c r="AA220" s="295" t="n"/>
    </row>
    <row r="221" ht="15.95" customFormat="1" customHeight="1" s="30">
      <c r="A221" s="30" t="inlineStr">
        <is>
          <t>select_multiple lsmain2</t>
        </is>
      </c>
      <c r="B221" s="30" t="inlineStr">
        <is>
          <t>ls_all</t>
        </is>
      </c>
      <c r="C221" s="31" t="inlineStr">
        <is>
          <t>Do you own any other livestock aside from ${lsmain}, and if so which ones?</t>
        </is>
      </c>
      <c r="D221" s="31" t="inlineStr">
        <is>
          <t>¿Tiene otros animales aparte de ${lsmain}, cuáles?</t>
        </is>
      </c>
      <c r="E221" s="32" t="n"/>
      <c r="F221" s="30" t="inlineStr">
        <is>
          <t>[INSTRUCTIONS: "No other livestock" APPEARS AT THE END OF THE LIST OF OPTIONS. SELECT ALL LIVESTOCK LISTED BY THE RESPONDENT.]</t>
        </is>
      </c>
      <c r="G221" s="30" t="inlineStr">
        <is>
          <t>[ENCUESTADOR/A: "No tiene otros animales" APARECE AL FINAL DE LA LISTA DE OPCIONES. SELECCIONE TODOS LOS ANIMALES QUE MENCIONA EL ENCUESTADO.]</t>
        </is>
      </c>
      <c r="H221" s="36" t="n"/>
      <c r="I221" s="72" t="inlineStr">
        <is>
          <t>true</t>
        </is>
      </c>
      <c r="J221" s="72" t="inlineStr">
        <is>
          <t>minimal</t>
        </is>
      </c>
      <c r="K221" s="72" t="inlineStr">
        <is>
          <t>if(selected(., '10') or selected(., '11') or selected(.,'666'), count-selected(.) = 1, count-selected(.) &gt;= 1)</t>
        </is>
      </c>
      <c r="L221" s="72" t="n"/>
      <c r="M221" s="72" t="inlineStr">
        <is>
          <t>${ls_main} != '10' and ${ls_main} != '11'</t>
        </is>
      </c>
      <c r="N221" s="72" t="inlineStr">
        <is>
          <t>not(selected(${ls_main}, name))</t>
        </is>
      </c>
      <c r="O221" s="78" t="n"/>
      <c r="P221" s="78" t="n"/>
      <c r="Q221" s="20" t="n"/>
      <c r="U221" s="30" t="inlineStr">
        <is>
          <t>no</t>
        </is>
      </c>
      <c r="W221" s="126" t="n">
        <v>17</v>
      </c>
      <c r="X221" s="61">
        <f>'Additional information'!$D$19</f>
        <v/>
      </c>
      <c r="Y221" s="114">
        <f>IF(W221&lt;&gt;"",W221*X221,"")</f>
        <v/>
      </c>
      <c r="Z221" s="114">
        <f>IF(AND(W221&lt;&gt;"",U221="yes"),W221*X221,"")</f>
        <v/>
      </c>
      <c r="AA221" s="29" t="n"/>
    </row>
    <row r="222">
      <c r="E222" s="41" t="n"/>
      <c r="H222" s="42" t="n"/>
      <c r="M222" s="83" t="n"/>
      <c r="W222" s="126" t="n"/>
      <c r="X222" s="61">
        <f>'Additional information'!$D$19</f>
        <v/>
      </c>
      <c r="Y222" s="114">
        <f>IF(W222&lt;&gt;"",W222*X222,"")</f>
        <v/>
      </c>
      <c r="Z222" s="114">
        <f>IF(AND(W222&lt;&gt;"",U222="yes"),W222*X222,"")</f>
        <v/>
      </c>
    </row>
    <row r="223" ht="144" customFormat="1" customHeight="1" s="143">
      <c r="A223" s="296" t="inlineStr">
        <is>
          <t>select_one yes_no</t>
        </is>
      </c>
      <c r="B223" s="296" t="inlineStr">
        <is>
          <t>o_ls_jornal</t>
        </is>
      </c>
      <c r="C223" s="296" t="inlineStr">
        <is>
          <t xml:space="preserve">Usted contrató empleados temporales o jornaleros para sus cultivos este año? </t>
        </is>
      </c>
      <c r="D223" s="296" t="inlineStr">
        <is>
          <t xml:space="preserve">¿Usted contrató empleados temporales o jornaleros para sus animales este año? </t>
        </is>
      </c>
      <c r="E223" s="296" t="n"/>
      <c r="F223" s="296" t="n"/>
      <c r="G223" s="296" t="n"/>
      <c r="H223" s="296" t="n"/>
      <c r="I223" s="296" t="inlineStr">
        <is>
          <t>true</t>
        </is>
      </c>
      <c r="J223" s="296" t="n"/>
      <c r="K223" s="296" t="n"/>
      <c r="L223" s="296" t="n"/>
      <c r="M223" s="296" t="inlineStr">
        <is>
          <t xml:space="preserve">${income_main} = '1' or ${income_main} = '2' or ${income_main} = '3' </t>
        </is>
      </c>
      <c r="N223" s="242" t="n"/>
      <c r="O223" s="242" t="n"/>
      <c r="P223" s="242" t="n"/>
      <c r="W223" s="293" t="n"/>
      <c r="X223" s="294" t="n"/>
      <c r="Y223" s="293" t="n"/>
      <c r="Z223" s="293" t="n"/>
      <c r="AA223" s="295" t="n"/>
    </row>
    <row r="224" ht="32.1" customFormat="1" customHeight="1" s="143">
      <c r="A224" s="296" t="inlineStr">
        <is>
          <t>select_multiple meses</t>
        </is>
      </c>
      <c r="B224" s="296" t="inlineStr">
        <is>
          <t>o_ls_jornal_month</t>
        </is>
      </c>
      <c r="C224" s="296" t="n"/>
      <c r="D224" s="296" t="inlineStr">
        <is>
          <t>¿Cuáles son los principales meses en que contrata jornaleros?</t>
        </is>
      </c>
      <c r="E224" s="296" t="n"/>
      <c r="F224" s="296" t="n"/>
      <c r="G224" s="296" t="n"/>
      <c r="H224" s="296" t="n"/>
      <c r="I224" s="296" t="inlineStr">
        <is>
          <t>true</t>
        </is>
      </c>
      <c r="J224" s="296" t="n"/>
      <c r="K224" s="296" t="n"/>
      <c r="L224" s="296" t="n"/>
      <c r="M224" s="296" t="inlineStr">
        <is>
          <t>${o_crp_jornal} = '1'</t>
        </is>
      </c>
      <c r="N224" s="242" t="n"/>
      <c r="O224" s="242" t="n"/>
      <c r="P224" s="242" t="n"/>
      <c r="W224" s="293" t="n"/>
      <c r="X224" s="294" t="n"/>
      <c r="Y224" s="293" t="n"/>
      <c r="Z224" s="293" t="n"/>
      <c r="AA224" s="295" t="n"/>
    </row>
    <row r="225" ht="32.1" customFormat="1" customHeight="1" s="143">
      <c r="A225" s="296" t="inlineStr">
        <is>
          <t>integer</t>
        </is>
      </c>
      <c r="B225" s="296" t="inlineStr">
        <is>
          <t>o_ls_jornal_amount</t>
        </is>
      </c>
      <c r="C225" s="296" t="n"/>
      <c r="D225" s="296" t="inlineStr">
        <is>
          <t>¿Cuánto paga por jornal (por dia en moneda local)?</t>
        </is>
      </c>
      <c r="E225" s="296" t="n"/>
      <c r="F225" s="296" t="n"/>
      <c r="G225" s="296" t="n"/>
      <c r="H225" s="296" t="n"/>
      <c r="I225" s="296" t="inlineStr">
        <is>
          <t>true</t>
        </is>
      </c>
      <c r="J225" s="296" t="n"/>
      <c r="K225" s="296" t="inlineStr">
        <is>
          <t>(. &gt;= 1 and . &lt;= 100) or . = 888</t>
        </is>
      </c>
      <c r="L225" s="296" t="n"/>
      <c r="M225" s="296" t="inlineStr">
        <is>
          <t>${o_crp_jornal} = '1'</t>
        </is>
      </c>
      <c r="N225" s="242" t="n"/>
      <c r="O225" s="242" t="n"/>
      <c r="P225" s="242" t="n"/>
      <c r="W225" s="293" t="n"/>
      <c r="X225" s="294" t="n"/>
      <c r="Y225" s="293" t="n"/>
      <c r="Z225" s="293" t="n"/>
      <c r="AA225" s="295" t="n"/>
    </row>
    <row r="226" ht="32.1" customFormat="1" customHeight="1" s="143">
      <c r="A226" s="296" t="inlineStr">
        <is>
          <t>integer</t>
        </is>
      </c>
      <c r="B226" s="296" t="inlineStr">
        <is>
          <t>o_ls_jornal_number</t>
        </is>
      </c>
      <c r="C226" s="296" t="n"/>
      <c r="D226" s="296" t="inlineStr">
        <is>
          <t>¿Cuántos jornaleros contrata para cuidar sus animales en el periodo de mayor intensidad?</t>
        </is>
      </c>
      <c r="E226" s="296" t="n"/>
      <c r="F226" s="296" t="n"/>
      <c r="G226" s="296" t="n"/>
      <c r="H226" s="296" t="n"/>
      <c r="I226" s="296" t="inlineStr">
        <is>
          <t>true</t>
        </is>
      </c>
      <c r="J226" s="296" t="n"/>
      <c r="K226" s="296" t="inlineStr">
        <is>
          <t>(. &gt;= 1 and . &lt;= 100) or . = 888</t>
        </is>
      </c>
      <c r="L226" s="296" t="n"/>
      <c r="M226" s="296" t="inlineStr">
        <is>
          <t>${o_crp_jornal} = '1'</t>
        </is>
      </c>
      <c r="N226" s="242" t="n"/>
      <c r="O226" s="242" t="n"/>
      <c r="P226" s="242" t="n"/>
      <c r="W226" s="293" t="n"/>
      <c r="X226" s="294" t="n"/>
      <c r="Y226" s="293" t="n"/>
      <c r="Z226" s="293" t="n"/>
      <c r="AA226" s="295" t="n"/>
    </row>
    <row r="227" ht="32.1" customFormat="1" customHeight="1" s="143">
      <c r="A227" s="296" t="inlineStr">
        <is>
          <t>integer</t>
        </is>
      </c>
      <c r="B227" s="296" t="inlineStr">
        <is>
          <t>o_ls_jornal_number_lastyr</t>
        </is>
      </c>
      <c r="C227" s="296" t="n"/>
      <c r="D227" s="296" t="inlineStr">
        <is>
          <t>¿Cuántos jornaleros contrató para cuidar sus animales el año pasado?</t>
        </is>
      </c>
      <c r="E227" s="296" t="n"/>
      <c r="F227" s="296" t="n"/>
      <c r="G227" s="296" t="n"/>
      <c r="H227" s="296" t="n"/>
      <c r="I227" s="296" t="inlineStr">
        <is>
          <t>true</t>
        </is>
      </c>
      <c r="J227" s="296" t="n"/>
      <c r="K227" s="296" t="inlineStr">
        <is>
          <t>(. &gt;= 1 and . &lt;= 100) or . = 888</t>
        </is>
      </c>
      <c r="L227" s="296" t="n"/>
      <c r="M227" s="296" t="inlineStr">
        <is>
          <t>${o_crp_jornal} = '1'</t>
        </is>
      </c>
      <c r="N227" s="242" t="n"/>
      <c r="O227" s="242" t="n"/>
      <c r="P227" s="242" t="n"/>
      <c r="W227" s="293" t="n"/>
      <c r="X227" s="294" t="n"/>
      <c r="Y227" s="293" t="n"/>
      <c r="Z227" s="293" t="n"/>
      <c r="AA227" s="295" t="n"/>
    </row>
    <row r="228" ht="15.95" customHeight="1" thickBot="1">
      <c r="A228" s="55" t="inlineStr">
        <is>
          <t>end_group</t>
        </is>
      </c>
      <c r="B228" s="55" t="n"/>
      <c r="C228" s="56" t="n"/>
      <c r="D228" s="56" t="n"/>
      <c r="E228" s="63" t="n"/>
      <c r="F228" s="55" t="n"/>
      <c r="G228" s="55" t="n"/>
      <c r="H228" s="64" t="n"/>
      <c r="I228" s="84" t="n"/>
      <c r="J228" s="84" t="n"/>
      <c r="K228" s="84" t="n"/>
      <c r="L228" s="84" t="n"/>
      <c r="M228" s="84" t="n"/>
      <c r="N228" s="84" t="n"/>
      <c r="O228" s="84" t="n"/>
      <c r="P228" s="84" t="n"/>
      <c r="W228" s="126" t="n"/>
      <c r="Y228" s="114">
        <f>IF(W228&lt;&gt;"",W228*X228,"")</f>
        <v/>
      </c>
      <c r="Z228" s="114">
        <f>IF(AND(W228&lt;&gt;"",U228="yes"),W228*X228,"")</f>
        <v/>
      </c>
    </row>
    <row r="229" ht="17.1" customFormat="1" customHeight="1" s="26" thickTop="1">
      <c r="A229" s="23" t="inlineStr">
        <is>
          <t>begin_group</t>
        </is>
      </c>
      <c r="B229" s="23" t="inlineStr">
        <is>
          <t>LivestockSales_group</t>
        </is>
      </c>
      <c r="C229" s="47" t="inlineStr">
        <is>
          <t xml:space="preserve">LIVESTOCK &amp; LIVESTOCK PRODUCT MARKETING </t>
        </is>
      </c>
      <c r="D229" s="47" t="inlineStr">
        <is>
          <t>PRODUCCIÓN Y VENTA DE ANIMALES Y PRODUCTOS DE ORIGEN ANIMAL</t>
        </is>
      </c>
      <c r="E229" s="24" t="n"/>
      <c r="F229" s="23" t="n"/>
      <c r="G229" s="23" t="n"/>
      <c r="H229" s="25" t="n"/>
      <c r="I229" s="76" t="inlineStr">
        <is>
          <t>false</t>
        </is>
      </c>
      <c r="J229" s="76" t="n"/>
      <c r="K229" s="76" t="n"/>
      <c r="L229" s="76" t="n"/>
      <c r="M229" s="77" t="inlineStr">
        <is>
          <t>${resp_agree} = '1' and (${income_main}='4' or ${income_sec}='4' or ${income_third}='4')</t>
        </is>
      </c>
      <c r="N229" s="76" t="n"/>
      <c r="O229" s="76" t="n"/>
      <c r="P229" s="76" t="n"/>
      <c r="U229" s="20" t="inlineStr">
        <is>
          <t>yes</t>
        </is>
      </c>
      <c r="W229" s="126" t="n"/>
      <c r="X229" s="113" t="n"/>
      <c r="Y229" s="114">
        <f>IF(W229&lt;&gt;"",W229*X229,"")</f>
        <v/>
      </c>
      <c r="Z229" s="114">
        <f>IF(AND(W229&lt;&gt;"",U229="yes"),W229*X229,"")</f>
        <v/>
      </c>
      <c r="AA229" s="27" t="n"/>
    </row>
    <row r="230" customFormat="1" s="26">
      <c r="C230" s="48" t="n"/>
      <c r="D230" s="48" t="n"/>
      <c r="E230" s="24" t="n"/>
      <c r="H230" s="25" t="n"/>
      <c r="I230" s="77" t="n"/>
      <c r="J230" s="77" t="n"/>
      <c r="K230" s="77" t="n"/>
      <c r="L230" s="77" t="n"/>
      <c r="M230" s="77" t="n"/>
      <c r="N230" s="77" t="n"/>
      <c r="O230" s="77" t="n"/>
      <c r="P230" s="77" t="n"/>
      <c r="U230" s="20" t="n"/>
      <c r="W230" s="126" t="n"/>
      <c r="X230" s="61">
        <f>'Additional information'!$D$19</f>
        <v/>
      </c>
      <c r="Y230" s="114">
        <f>IF(W230&lt;&gt;"",W230*X230,"")</f>
        <v/>
      </c>
      <c r="Z230" s="114">
        <f>IF(AND(W230&lt;&gt;"",U230="yes"),W230*X230,"")</f>
        <v/>
      </c>
      <c r="AA230" s="27" t="n"/>
    </row>
    <row r="231" ht="32.1" customFormat="1" customHeight="1" s="26">
      <c r="A231" s="28" t="inlineStr">
        <is>
          <t>select_one salesmain</t>
        </is>
      </c>
      <c r="B231" s="28" t="inlineStr">
        <is>
          <t>ls_salesmain</t>
        </is>
      </c>
      <c r="C231" s="19" t="inlineStr">
        <is>
          <t>What was the main livestock or livestock product sold by the household in the last 3 months?</t>
        </is>
      </c>
      <c r="D231" s="19" t="inlineStr">
        <is>
          <t>¿Cuál ha sido la principal especie animal que ha vendido su hogar en los últimos 3 meses?</t>
        </is>
      </c>
      <c r="E231" s="41" t="n"/>
      <c r="F231" s="60" t="n"/>
      <c r="G231" s="60" t="n"/>
      <c r="H231" s="42" t="n"/>
      <c r="I231" s="71" t="inlineStr">
        <is>
          <t>true</t>
        </is>
      </c>
      <c r="J231" s="71" t="inlineStr">
        <is>
          <t>minimal</t>
        </is>
      </c>
      <c r="K231" s="76" t="n"/>
      <c r="L231" s="76" t="n"/>
      <c r="M231" s="76" t="n"/>
      <c r="N231" s="76" t="n"/>
      <c r="O231" s="76" t="n"/>
      <c r="P231" s="76" t="n"/>
      <c r="U231" s="20" t="inlineStr">
        <is>
          <t>yes</t>
        </is>
      </c>
      <c r="W231" s="126" t="n">
        <v>13.99939060211182</v>
      </c>
      <c r="X231" s="61">
        <f>'Additional information'!$D$19</f>
        <v/>
      </c>
      <c r="Y231" s="114">
        <f>IF(W231&lt;&gt;"",W231*X231,"")</f>
        <v/>
      </c>
      <c r="Z231" s="114">
        <f>IF(AND(W231&lt;&gt;"",U231="yes"),W231*X231,"")</f>
        <v/>
      </c>
      <c r="AA231" s="27" t="n"/>
    </row>
    <row r="232">
      <c r="A232" s="28" t="inlineStr">
        <is>
          <t>calculate</t>
        </is>
      </c>
      <c r="B232" s="28" t="inlineStr">
        <is>
          <t>lssalesmain</t>
        </is>
      </c>
      <c r="C232" s="19" t="n"/>
      <c r="D232" s="19" t="n"/>
      <c r="E232" s="41" t="n"/>
      <c r="F232" s="28" t="n"/>
      <c r="G232" s="28" t="n"/>
      <c r="H232" s="42" t="n"/>
      <c r="I232" s="71" t="n"/>
      <c r="J232" s="71" t="n"/>
      <c r="K232" s="71" t="n"/>
      <c r="L232" s="71" t="n"/>
      <c r="M232" s="71" t="n"/>
      <c r="N232" s="71" t="n"/>
      <c r="O232" s="71" t="n"/>
      <c r="P232" s="71" t="inlineStr">
        <is>
          <t>jr:choice-name(${ls_salesmain},'${ls_salesmain}')</t>
        </is>
      </c>
      <c r="U232" s="20" t="inlineStr">
        <is>
          <t>yes</t>
        </is>
      </c>
      <c r="W232" s="126" t="n"/>
      <c r="X232" s="61">
        <f>'Additional information'!$D$19</f>
        <v/>
      </c>
      <c r="Y232" s="114">
        <f>IF(W232&lt;&gt;"",W232*X232,"")</f>
        <v/>
      </c>
      <c r="Z232" s="114">
        <f>IF(AND(W232&lt;&gt;"",U232="yes"),W232*X232,"")</f>
        <v/>
      </c>
    </row>
    <row r="233">
      <c r="E233" s="41" t="n"/>
      <c r="H233" s="42" t="n"/>
      <c r="W233" s="126" t="n"/>
      <c r="X233" s="61">
        <f>'Additional information'!$D$19</f>
        <v/>
      </c>
      <c r="Y233" s="114">
        <f>IF(W233&lt;&gt;"",W233*X233,"")</f>
        <v/>
      </c>
      <c r="Z233" s="114">
        <f>IF(AND(W233&lt;&gt;"",U233="yes"),W233*X233,"")</f>
        <v/>
      </c>
    </row>
    <row r="234" ht="32.1" customHeight="1">
      <c r="A234" s="28" t="inlineStr">
        <is>
          <t>select_one yes_no</t>
        </is>
      </c>
      <c r="B234" s="28" t="inlineStr">
        <is>
          <t>ls_salesdif</t>
        </is>
      </c>
      <c r="C234" s="19" t="inlineStr">
        <is>
          <t>Has your household faced any significant difficulty in the last 3 months selling your ${lssalesmain}?</t>
        </is>
      </c>
      <c r="D234" s="19" t="inlineStr">
        <is>
          <t>¿Ha enfretado su hogar alguna dificultad con la comercialización de ${lssalesmain} durante los últimos 3 meses?</t>
        </is>
      </c>
      <c r="E234" s="41" t="n"/>
      <c r="H234" s="42" t="n"/>
      <c r="I234" s="71" t="inlineStr">
        <is>
          <t>true</t>
        </is>
      </c>
      <c r="J234" s="71" t="n"/>
      <c r="K234" s="71" t="n"/>
      <c r="L234" s="71" t="n"/>
      <c r="M234" s="71" t="inlineStr">
        <is>
          <t>${ls_salesmain} != '12' and ${ls_salesmain} != '13'</t>
        </is>
      </c>
      <c r="N234" s="71" t="n"/>
      <c r="O234" s="71" t="n"/>
      <c r="P234" s="71" t="n"/>
      <c r="U234" s="20" t="inlineStr">
        <is>
          <t>yes</t>
        </is>
      </c>
      <c r="W234" s="126" t="n">
        <v>10.25279426574707</v>
      </c>
      <c r="X234" s="61">
        <f>'Additional information'!$D$19</f>
        <v/>
      </c>
      <c r="Y234" s="114">
        <f>IF(W234&lt;&gt;"",W234*X234,"")</f>
        <v/>
      </c>
      <c r="Z234" s="114">
        <f>IF(AND(W234&lt;&gt;"",U234="yes"),W234*X234,"")</f>
        <v/>
      </c>
    </row>
    <row r="235" ht="32.1" customHeight="1">
      <c r="A235" s="28" t="inlineStr">
        <is>
          <t>select_multiple lssalesdif</t>
        </is>
      </c>
      <c r="B235" s="28" t="inlineStr">
        <is>
          <t>ls_salesdif_</t>
        </is>
      </c>
      <c r="C235" s="19" t="inlineStr">
        <is>
          <t>What difficulties has your household faced in the last 3 months selling your ${lssalesmain}?</t>
        </is>
      </c>
      <c r="D235" s="19" t="inlineStr">
        <is>
          <t>¿Qué dificultades ha enfrentado su hogar para vender ${lssalesmain} en los últimos 3 meses?</t>
        </is>
      </c>
      <c r="E235" s="41" t="n"/>
      <c r="F235" s="20" t="inlineStr">
        <is>
          <t>[INSTRUCTIONS: MULTIPLE RESPONSES POSSIBLE. SELECT OPTION(S) THAT BEST FIT THE INFORMATION PROVIDED BY THE RESPONDENTS.]</t>
        </is>
      </c>
      <c r="G235" s="20" t="inlineStr">
        <is>
          <t>[ENCUESTADOR/A: ES POSIBLE SELECCIONAR MÚLTIPLES RESPUESTAS. SELECCIONES LA(S) OPCIÓN(ES) QUE MEJOR SE AJUSTE(N) A LA INFORMACIÓN PROPORCIONADA POR EL ENCUESTADO.]</t>
        </is>
      </c>
      <c r="H235" s="42" t="n"/>
      <c r="I235" s="71" t="inlineStr">
        <is>
          <t>true</t>
        </is>
      </c>
      <c r="J235" s="71" t="n"/>
      <c r="K235" s="73" t="inlineStr">
        <is>
          <t>if(selected(., 'dk') or selected(., 'ref'), count-selected(.) = 1, count-selected(.) &gt;= 1)</t>
        </is>
      </c>
      <c r="L235" s="73" t="n"/>
      <c r="M235" s="73" t="inlineStr">
        <is>
          <t xml:space="preserve">${ls_salesdif} = '1' </t>
        </is>
      </c>
      <c r="N235" s="71" t="n"/>
      <c r="O235" s="71" t="n"/>
      <c r="P235" s="71" t="n"/>
      <c r="U235" s="20" t="inlineStr">
        <is>
          <t>yes</t>
        </is>
      </c>
      <c r="W235" s="126" t="n">
        <v>24.19434356689453</v>
      </c>
      <c r="X235" s="61">
        <f>'Additional information'!$D$19</f>
        <v/>
      </c>
      <c r="Y235" s="114">
        <f>IF(W235&lt;&gt;"",W235*X235,"")</f>
        <v/>
      </c>
      <c r="Z235" s="114">
        <f>IF(AND(W235&lt;&gt;"",U235="yes"),W235*X235,"")</f>
        <v/>
      </c>
    </row>
    <row r="236">
      <c r="E236" s="41" t="n"/>
      <c r="H236" s="42" t="n"/>
      <c r="M236" s="83" t="n"/>
      <c r="W236" s="126" t="n"/>
      <c r="X236" s="61">
        <f>'Additional information'!$D$19</f>
        <v/>
      </c>
      <c r="Y236" s="114">
        <f>IF(W236&lt;&gt;"",W236*X236,"")</f>
        <v/>
      </c>
      <c r="Z236" s="114">
        <f>IF(AND(W236&lt;&gt;"",U236="yes"),W236*X236,"")</f>
        <v/>
      </c>
    </row>
    <row r="237" ht="32.1" customHeight="1">
      <c r="A237" s="28" t="inlineStr">
        <is>
          <t>select_one change</t>
        </is>
      </c>
      <c r="B237" s="28" t="inlineStr">
        <is>
          <t>ls_salesprice</t>
        </is>
      </c>
      <c r="C237" s="34" t="inlineStr">
        <is>
          <t>How does the current price of your household's ${lssalesmain} compare to the average price in the same period of a normal year?</t>
        </is>
      </c>
      <c r="D237" s="19" t="inlineStr">
        <is>
          <t>¿Cómo se compara el precio actual del ${lssalesmain} con el precio promedio para la misma época del año en un año normal?</t>
        </is>
      </c>
      <c r="E237" s="41" t="n"/>
      <c r="F237" s="28" t="inlineStr">
        <is>
          <t>[INSTRUCTIONS: INSIST ON THE MAIN PRODUCT MENTIONED.]</t>
        </is>
      </c>
      <c r="G237" s="60" t="inlineStr">
        <is>
          <t>[ENCUESTADOR/A: INSISTA EN EL PRINCIPAL PRODUCTO MENCIONADO.]</t>
        </is>
      </c>
      <c r="H237" s="42" t="n"/>
      <c r="I237" s="71" t="inlineStr">
        <is>
          <t>true</t>
        </is>
      </c>
      <c r="J237" s="71" t="n"/>
      <c r="K237" s="71" t="n"/>
      <c r="L237" s="71" t="n"/>
      <c r="M237" s="73" t="inlineStr">
        <is>
          <t>${ls_salesmain} != '12' and ${ls_salesmain} != '13'</t>
        </is>
      </c>
      <c r="N237" s="71" t="n"/>
      <c r="O237" s="71" t="n"/>
      <c r="P237" s="71" t="n"/>
      <c r="U237" s="20" t="inlineStr">
        <is>
          <t>yes</t>
        </is>
      </c>
      <c r="W237" s="126" t="n">
        <v>19.32173728942871</v>
      </c>
      <c r="X237" s="61">
        <f>'Additional information'!$D$19</f>
        <v/>
      </c>
      <c r="Y237" s="114">
        <f>IF(W237&lt;&gt;"",W237*X237,"")</f>
        <v/>
      </c>
      <c r="Z237" s="114">
        <f>IF(AND(W237&lt;&gt;"",U237="yes"),W237*X237,"")</f>
        <v/>
      </c>
    </row>
    <row r="238">
      <c r="C238" s="22" t="n"/>
      <c r="D238" s="22" t="n"/>
      <c r="E238" s="41" t="n"/>
      <c r="H238" s="42" t="n"/>
      <c r="M238" s="83" t="n"/>
      <c r="W238" s="126" t="n"/>
      <c r="X238" s="61">
        <f>'Additional information'!$D$19</f>
        <v/>
      </c>
      <c r="Y238" s="114">
        <f>IF(W238&lt;&gt;"",W238*X238,"")</f>
        <v/>
      </c>
      <c r="Z238" s="114">
        <f>IF(AND(W238&lt;&gt;"",U238="yes"),W238*X238,"")</f>
        <v/>
      </c>
    </row>
    <row r="239" ht="15.95" customHeight="1" thickBot="1">
      <c r="A239" s="55" t="inlineStr">
        <is>
          <t>end_group</t>
        </is>
      </c>
      <c r="B239" s="55" t="n"/>
      <c r="C239" s="56" t="n"/>
      <c r="D239" s="56" t="n"/>
      <c r="E239" s="63" t="n"/>
      <c r="F239" s="55" t="n"/>
      <c r="G239" s="55" t="n"/>
      <c r="H239" s="64" t="n"/>
      <c r="I239" s="84" t="n"/>
      <c r="J239" s="84" t="n"/>
      <c r="K239" s="84" t="n"/>
      <c r="L239" s="84" t="n"/>
      <c r="M239" s="84" t="n"/>
      <c r="N239" s="84" t="n"/>
      <c r="O239" s="84" t="n"/>
      <c r="P239" s="84" t="n"/>
      <c r="W239" s="126" t="n"/>
      <c r="Y239" s="114">
        <f>IF(W239&lt;&gt;"",W239*X239,"")</f>
        <v/>
      </c>
      <c r="Z239" s="114">
        <f>IF(AND(W239&lt;&gt;"",U239="yes"),W239*X239,"")</f>
        <v/>
      </c>
    </row>
    <row r="240" ht="17.1" customFormat="1" customHeight="1" s="26" thickTop="1">
      <c r="A240" s="23" t="inlineStr">
        <is>
          <t>begin_group</t>
        </is>
      </c>
      <c r="B240" s="23" t="inlineStr">
        <is>
          <t>Fishing_group</t>
        </is>
      </c>
      <c r="C240" s="47" t="inlineStr">
        <is>
          <t>FISHING / AQUACULTURE PRODUCTION</t>
        </is>
      </c>
      <c r="D240" s="47" t="inlineStr">
        <is>
          <t>PESCA / PRODUCCIÓN ACUÍCOLA</t>
        </is>
      </c>
      <c r="E240" s="24" t="n"/>
      <c r="F240" s="23" t="n"/>
      <c r="G240" s="23" t="n"/>
      <c r="H240" s="25" t="n"/>
      <c r="I240" s="76" t="inlineStr">
        <is>
          <t>false</t>
        </is>
      </c>
      <c r="J240" s="76" t="n"/>
      <c r="K240" s="76" t="n"/>
      <c r="L240" s="76" t="n"/>
      <c r="M240" s="77" t="inlineStr">
        <is>
          <t>${resp_agree} = '1' and (${income_main_fish_check}='1' or ${income_sec_fish_check}='1' or ${income_third_fish_check}='1')</t>
        </is>
      </c>
      <c r="N240" s="76" t="n"/>
      <c r="O240" s="76" t="n"/>
      <c r="P240" s="76" t="n"/>
      <c r="U240" s="20" t="inlineStr">
        <is>
          <t>yes</t>
        </is>
      </c>
      <c r="W240" s="126" t="n"/>
      <c r="X240" s="27" t="n"/>
      <c r="Y240" s="114">
        <f>IF(W240&lt;&gt;"",W240*X240,"")</f>
        <v/>
      </c>
      <c r="Z240" s="114">
        <f>IF(AND(W240&lt;&gt;"",U240="yes"),W240*X240,"")</f>
        <v/>
      </c>
      <c r="AA240" s="27" t="n"/>
    </row>
    <row r="241" ht="48" customFormat="1" customHeight="1" s="29">
      <c r="A241" s="33" t="inlineStr">
        <is>
          <t>note</t>
        </is>
      </c>
      <c r="B241" s="33" t="inlineStr">
        <is>
          <t>fish_intro</t>
        </is>
      </c>
      <c r="C241" s="34" t="inlineStr">
        <is>
          <t>We will now ask you some questions about fishing and aquaculture production which apply to you and anyone in your household that is involved in the capture, culture, or harvest of fish and aquatic products.</t>
        </is>
      </c>
      <c r="D241" s="34" t="inlineStr">
        <is>
          <t>Ahora me gustaría preguntarle sobre la producción pesquera y acuícola, preguntas que aplican para usted y cualquier persona de su hogar que esté involucrada en la captura, producción, cosecha procesamiento o venta de peces.</t>
        </is>
      </c>
      <c r="E241" s="52" t="n"/>
      <c r="H241" s="54" t="n"/>
      <c r="I241" s="73" t="n"/>
      <c r="J241" s="73" t="n"/>
      <c r="K241" s="73" t="n"/>
      <c r="L241" s="73" t="n"/>
      <c r="M241" s="73" t="n"/>
      <c r="N241" s="73" t="n"/>
      <c r="O241" s="73" t="n"/>
      <c r="P241" s="73" t="n"/>
      <c r="U241" s="29" t="inlineStr">
        <is>
          <t>yes</t>
        </is>
      </c>
      <c r="W241" s="126" t="n">
        <v>7.5</v>
      </c>
      <c r="X241" s="61">
        <f>'Additional information'!$D$20</f>
        <v/>
      </c>
      <c r="Y241" s="114">
        <f>IF(W241&lt;&gt;"",W241*X241,"")</f>
        <v/>
      </c>
      <c r="Z241" s="114">
        <f>IF(AND(W241&lt;&gt;"",U241="yes"),W241*X241,"")</f>
        <v/>
      </c>
    </row>
    <row r="242" customFormat="1" s="26">
      <c r="C242" s="48" t="n"/>
      <c r="D242" s="22" t="n"/>
      <c r="E242" s="24" t="n"/>
      <c r="H242" s="25" t="n"/>
      <c r="I242" s="77" t="n"/>
      <c r="J242" s="77" t="n"/>
      <c r="K242" s="77" t="n"/>
      <c r="L242" s="77" t="n"/>
      <c r="M242" s="77" t="n"/>
      <c r="N242" s="77" t="n"/>
      <c r="O242" s="77" t="n"/>
      <c r="P242" s="77" t="n"/>
      <c r="U242" s="20" t="n"/>
      <c r="W242" s="126" t="n"/>
      <c r="X242" s="61">
        <f>'Additional information'!$D$20</f>
        <v/>
      </c>
      <c r="Y242" s="114">
        <f>IF(W242&lt;&gt;"",W242*X242,"")</f>
        <v/>
      </c>
      <c r="Z242" s="114">
        <f>IF(AND(W242&lt;&gt;"",U242="yes"),W242*X242,"")</f>
        <v/>
      </c>
      <c r="AA242" s="27" t="n"/>
    </row>
    <row r="243" ht="15.95" customHeight="1">
      <c r="A243" s="28" t="inlineStr">
        <is>
          <t>select_multiple fishactivity</t>
        </is>
      </c>
      <c r="B243" s="28" t="inlineStr">
        <is>
          <t>fish_main</t>
        </is>
      </c>
      <c r="C243" s="19" t="inlineStr">
        <is>
          <t>What type of fishing activity does your household generally practice?</t>
        </is>
      </c>
      <c r="D243" s="34" t="inlineStr">
        <is>
          <t>¿Qué tipo de actividad pesquera practica su hogar generalmente?</t>
        </is>
      </c>
      <c r="E243" s="41" t="n"/>
      <c r="F243" s="20" t="inlineStr">
        <is>
          <t>[INSTRUCTIONS: MUTIPLE RESPONSES POSSIBLE.]</t>
        </is>
      </c>
      <c r="G243" s="20" t="inlineStr">
        <is>
          <t>[ENCUESTADOR/A: ES POSIBLE SELECCIONAR MÚLTIPLES RESPUESTAS.]</t>
        </is>
      </c>
      <c r="H243" s="42" t="n"/>
      <c r="I243" s="71" t="inlineStr">
        <is>
          <t>true</t>
        </is>
      </c>
      <c r="J243" s="71" t="n"/>
      <c r="K243" s="71" t="inlineStr">
        <is>
          <t>if(selected(., 'dk') or selected(., 'ref'), count-selected(.) = 1, count-selected(.) &gt;= 1)</t>
        </is>
      </c>
      <c r="L243" s="71" t="n"/>
      <c r="M243" s="71" t="n"/>
      <c r="N243" s="71" t="n"/>
      <c r="O243" s="71" t="n"/>
      <c r="P243" s="71" t="n"/>
      <c r="U243" s="20" t="inlineStr">
        <is>
          <t>yes</t>
        </is>
      </c>
      <c r="W243" s="126" t="n">
        <v>19.09011650085449</v>
      </c>
      <c r="X243" s="61">
        <f>'Additional information'!$D$20</f>
        <v/>
      </c>
      <c r="Y243" s="114">
        <f>IF(W243&lt;&gt;"",W243*X243,"")</f>
        <v/>
      </c>
      <c r="Z243" s="114">
        <f>IF(AND(W243&lt;&gt;"",U243="yes"),W243*X243,"")</f>
        <v/>
      </c>
    </row>
    <row r="244">
      <c r="D244" s="22" t="n"/>
      <c r="E244" s="41" t="n"/>
      <c r="H244" s="42" t="n"/>
      <c r="W244" s="126" t="n"/>
      <c r="X244" s="61">
        <f>'Additional information'!$D$20</f>
        <v/>
      </c>
      <c r="Y244" s="114">
        <f>IF(W244&lt;&gt;"",W244*X244,"")</f>
        <v/>
      </c>
      <c r="Z244" s="114">
        <f>IF(AND(W244&lt;&gt;"",U244="yes"),W244*X244,"")</f>
        <v/>
      </c>
    </row>
    <row r="245" ht="48" customHeight="1">
      <c r="A245" s="28" t="inlineStr">
        <is>
          <t>select_one change</t>
        </is>
      </c>
      <c r="B245" s="28" t="inlineStr">
        <is>
          <t>fish_change</t>
        </is>
      </c>
      <c r="C245" s="19" t="inlineStr">
        <is>
          <t>How does your fish catch [farmed] in the last 3 months [last harvest] compare to the same period [harvest] last year?</t>
        </is>
      </c>
      <c r="D245" s="34" t="inlineStr">
        <is>
          <t>¿Cómo se compara la cosecha acuícola (peces, moluscos, crustáceos, etc.) [cultivada] de los últimos 3 meses [o la última cosecha] con respecto al mismo periodo del año pasado?</t>
        </is>
      </c>
      <c r="E245" s="41" t="n"/>
      <c r="H245" s="42" t="n"/>
      <c r="I245" s="71" t="inlineStr">
        <is>
          <t>true</t>
        </is>
      </c>
      <c r="J245" s="71" t="n"/>
      <c r="K245" s="71" t="n"/>
      <c r="M245" s="71" t="inlineStr">
        <is>
          <t>not(${fish_main}='dk' or ${fish_main}='ref')</t>
        </is>
      </c>
      <c r="N245" s="71" t="n"/>
      <c r="O245" s="71" t="n"/>
      <c r="P245" s="71" t="n"/>
      <c r="U245" s="20" t="inlineStr">
        <is>
          <t>yes</t>
        </is>
      </c>
      <c r="W245" s="126" t="n">
        <v>17.6569766998291</v>
      </c>
      <c r="X245" s="61">
        <f>'Additional information'!$D$20</f>
        <v/>
      </c>
      <c r="Y245" s="114">
        <f>IF(W245&lt;&gt;"",W245*X245,"")</f>
        <v/>
      </c>
      <c r="Z245" s="114">
        <f>IF(AND(W245&lt;&gt;"",U245="yes"),W245*X245,"")</f>
        <v/>
      </c>
    </row>
    <row r="246">
      <c r="D246" s="22" t="n"/>
      <c r="E246" s="41" t="n"/>
      <c r="H246" s="42" t="n"/>
      <c r="W246" s="126" t="n"/>
      <c r="X246" s="61">
        <f>'Additional information'!$D$20</f>
        <v/>
      </c>
      <c r="Y246" s="114">
        <f>IF(W246&lt;&gt;"",W246*X246,"")</f>
        <v/>
      </c>
      <c r="Z246" s="114">
        <f>IF(AND(W246&lt;&gt;"",U246="yes"),W246*X246,"")</f>
        <v/>
      </c>
    </row>
    <row r="247" ht="32.1" customHeight="1">
      <c r="A247" s="28" t="inlineStr">
        <is>
          <t>select_one yes_no</t>
        </is>
      </c>
      <c r="B247" s="28" t="inlineStr">
        <is>
          <t>fish_proddif</t>
        </is>
      </c>
      <c r="C247" s="19" t="inlineStr">
        <is>
          <t>Has your household faced any significant difficulty with fish catch / harvest / farming in the last 3 months?</t>
        </is>
      </c>
      <c r="D247" s="34" t="inlineStr">
        <is>
          <t>¿Ha enfretado su hogar alguna dificultad considerable con la pesca / cosecha / cultivo acuícola en los últimos 3 meses?</t>
        </is>
      </c>
      <c r="E247" s="41" t="n"/>
      <c r="H247" s="42" t="n"/>
      <c r="I247" s="71" t="inlineStr">
        <is>
          <t>true</t>
        </is>
      </c>
      <c r="J247" s="71" t="n"/>
      <c r="K247" s="71" t="n"/>
      <c r="L247" s="71" t="n"/>
      <c r="M247" s="71" t="inlineStr">
        <is>
          <t>not(${fish_main}='dk' or ${fish_main}='ref')</t>
        </is>
      </c>
      <c r="N247" s="71" t="n"/>
      <c r="O247" s="71" t="n"/>
      <c r="P247" s="71" t="n"/>
      <c r="U247" s="20" t="inlineStr">
        <is>
          <t>yes</t>
        </is>
      </c>
      <c r="W247" s="127" t="n">
        <v>8.764705657958984</v>
      </c>
      <c r="X247" s="61">
        <f>'Additional information'!$D$20</f>
        <v/>
      </c>
      <c r="Y247" s="114">
        <f>IF(W247&lt;&gt;"",W247*X247,"")</f>
        <v/>
      </c>
      <c r="Z247" s="114">
        <f>IF(AND(W247&lt;&gt;"",U247="yes"),W247*X247,"")</f>
        <v/>
      </c>
    </row>
    <row r="248" ht="32.1" customHeight="1">
      <c r="A248" s="28" t="inlineStr">
        <is>
          <t>select_multiple fishproddiff</t>
        </is>
      </c>
      <c r="B248" s="28" t="inlineStr">
        <is>
          <t>fish_proddif_</t>
        </is>
      </c>
      <c r="C248" s="19" t="inlineStr">
        <is>
          <t>Which difficulties has your household faced with fish catch / harvest / farming in the last 3 months?</t>
        </is>
      </c>
      <c r="D248" s="34" t="inlineStr">
        <is>
          <t>¿Qué dificultados ha enfrentado su hogar con la pesca / cosecha / cultivo acuícola en los últimos 3 meses?</t>
        </is>
      </c>
      <c r="E248" s="41" t="n"/>
      <c r="F248" s="20" t="inlineStr">
        <is>
          <t>[INSTRUCTIONS: MULTIPLE RESPONSES POSSIBLE. SELECT OPTION(S) THAT BEST FIT THE INFORMATION PROVIDED BY THE RESPONDENTS.]</t>
        </is>
      </c>
      <c r="G248" s="20" t="inlineStr">
        <is>
          <t xml:space="preserve">[ENCUESTADOR/A: ES POSIBLE SELECCIONAR MÚLTIPLES RESPUESTAS. SELECCIONES LA(S) OPCIÓN(ES) QUE MEJOR SE AJUSTE(N) A LA INFORMACIÓN PROPORCIONADA POR EL ENCUESTADO.] </t>
        </is>
      </c>
      <c r="H248" s="42" t="n"/>
      <c r="I248" s="71" t="n"/>
      <c r="J248" s="71" t="n"/>
      <c r="K248" s="73" t="inlineStr">
        <is>
          <t>if(selected(., 'dk') or selected(., 'ref'), count-selected(.) = 1, count-selected(.) &gt;= 1)</t>
        </is>
      </c>
      <c r="L248" s="71" t="n"/>
      <c r="M248" s="73" t="inlineStr">
        <is>
          <t>${fish_proddif}='1'</t>
        </is>
      </c>
      <c r="N248" s="71" t="n"/>
      <c r="O248" s="71" t="n"/>
      <c r="P248" s="71" t="n"/>
      <c r="U248" s="20" t="inlineStr">
        <is>
          <t>yes</t>
        </is>
      </c>
      <c r="W248" s="127" t="n">
        <v>27.9538459777832</v>
      </c>
      <c r="X248" s="61">
        <f>'Additional information'!$D$20</f>
        <v/>
      </c>
      <c r="Y248" s="114">
        <f>IF(W248&lt;&gt;"",W248*X248,"")</f>
        <v/>
      </c>
      <c r="Z248" s="114">
        <f>IF(AND(W248&lt;&gt;"",U248="yes"),W248*X248,"")</f>
        <v/>
      </c>
    </row>
    <row r="249" ht="15.95" customHeight="1">
      <c r="A249" s="28" t="inlineStr">
        <is>
          <t>text</t>
        </is>
      </c>
      <c r="B249" s="28" t="inlineStr">
        <is>
          <t>fish_proddif_otherspecify</t>
        </is>
      </c>
      <c r="C249" s="34" t="inlineStr">
        <is>
          <t>If other, specify.</t>
        </is>
      </c>
      <c r="E249" s="52" t="n"/>
      <c r="F249" s="29" t="inlineStr">
        <is>
          <t>[INSTRUCTIONS: RECORD THE OPEN RESPONSE GIVEN IN FEW WORDS. ENTER 888 FOR DON'T KNOW AND 999 FOR REFUSED]</t>
        </is>
      </c>
      <c r="G249" s="30" t="inlineStr">
        <is>
          <t>[ENCUESTADOR/A: ESCRIBA LA RESPUESTA EN POCAS PALABRAS. ESCRIBA 888 PARA "NO SE" Y 999 PARA "NO RESPONDE".]</t>
        </is>
      </c>
      <c r="H249" s="42" t="n"/>
      <c r="I249" s="71" t="inlineStr">
        <is>
          <t>true</t>
        </is>
      </c>
      <c r="J249" s="71" t="n"/>
      <c r="K249" s="71" t="n"/>
      <c r="L249" s="71" t="n"/>
      <c r="M249" s="71" t="inlineStr">
        <is>
          <t>${fish_proddif} = '1' and selected(${fish_proddif_}, 'other')</t>
        </is>
      </c>
      <c r="N249" s="71" t="n"/>
      <c r="O249" s="71" t="n"/>
      <c r="P249" s="71" t="n"/>
      <c r="U249" s="20" t="inlineStr">
        <is>
          <t>yes</t>
        </is>
      </c>
      <c r="W249" s="126" t="n"/>
      <c r="X249" s="61">
        <f>'Additional information'!$D$20</f>
        <v/>
      </c>
      <c r="Y249" s="114">
        <f>IF(W249&lt;&gt;"",W249*X249,"")</f>
        <v/>
      </c>
      <c r="Z249" s="114">
        <f>IF(AND(W249&lt;&gt;"",U249="yes"),W249*X249,"")</f>
        <v/>
      </c>
    </row>
    <row r="250">
      <c r="E250" s="41" t="n"/>
      <c r="H250" s="42" t="n"/>
      <c r="W250" s="126" t="n"/>
      <c r="X250" s="61">
        <f>'Additional information'!$D$20</f>
        <v/>
      </c>
      <c r="Y250" s="114">
        <f>IF(W250&lt;&gt;"",W250*X250,"")</f>
        <v/>
      </c>
      <c r="Z250" s="114">
        <f>IF(AND(W250&lt;&gt;"",U250="yes"),W250*X250,"")</f>
        <v/>
      </c>
    </row>
    <row r="251" customFormat="1" s="30">
      <c r="C251" s="31" t="n"/>
      <c r="D251" s="31" t="n"/>
      <c r="E251" s="32" t="n"/>
      <c r="H251" s="36" t="n"/>
      <c r="I251" s="72" t="n"/>
      <c r="J251" s="72" t="n"/>
      <c r="K251" s="72" t="n"/>
      <c r="L251" s="72" t="n"/>
      <c r="M251" s="72" t="n"/>
      <c r="N251" s="72" t="n"/>
      <c r="O251" s="72" t="n"/>
      <c r="P251" s="72" t="n"/>
      <c r="W251" s="126" t="n"/>
      <c r="X251" s="61">
        <f>'Additional information'!$D$20</f>
        <v/>
      </c>
      <c r="Y251" s="114">
        <f>IF(W251&lt;&gt;"",W251*X251,"")</f>
        <v/>
      </c>
      <c r="Z251" s="114">
        <f>IF(AND(W251&lt;&gt;"",U251="yes"),W251*X251,"")</f>
        <v/>
      </c>
      <c r="AA251" s="29" t="n"/>
    </row>
    <row r="252" ht="15.95" customHeight="1" thickBot="1">
      <c r="A252" s="50" t="inlineStr">
        <is>
          <t>end_group</t>
        </is>
      </c>
      <c r="B252" s="50" t="n"/>
      <c r="C252" s="51" t="n"/>
      <c r="D252" s="51" t="n"/>
      <c r="E252" s="45" t="n"/>
      <c r="F252" s="50" t="n"/>
      <c r="G252" s="50" t="n"/>
      <c r="H252" s="46" t="n"/>
      <c r="I252" s="82" t="n"/>
      <c r="J252" s="82" t="n"/>
      <c r="K252" s="82" t="n"/>
      <c r="L252" s="82" t="n"/>
      <c r="M252" s="82" t="n"/>
      <c r="N252" s="82" t="n"/>
      <c r="O252" s="82" t="n"/>
      <c r="P252" s="82" t="n"/>
      <c r="W252" s="126" t="n"/>
      <c r="Y252" s="114">
        <f>IF(W252&lt;&gt;"",W252*X252,"")</f>
        <v/>
      </c>
      <c r="Z252" s="114">
        <f>IF(AND(W252&lt;&gt;"",U252="yes"),W252*X252,"")</f>
        <v/>
      </c>
    </row>
    <row r="253" ht="17.1" customFormat="1" customHeight="1" s="26" thickTop="1">
      <c r="A253" s="23" t="inlineStr">
        <is>
          <t>begin_group</t>
        </is>
      </c>
      <c r="B253" s="23" t="inlineStr">
        <is>
          <t>FishSales_group</t>
        </is>
      </c>
      <c r="C253" s="47" t="inlineStr">
        <is>
          <t xml:space="preserve">FISHING / AQUACULTURE MARKETING </t>
        </is>
      </c>
      <c r="D253" s="47" t="inlineStr">
        <is>
          <t>VENTA DE PRODUCTOS DE LA PESCA Y DE LA ACUICULTURA</t>
        </is>
      </c>
      <c r="E253" s="24" t="n"/>
      <c r="F253" s="23" t="n"/>
      <c r="G253" s="23" t="n"/>
      <c r="H253" s="25" t="n"/>
      <c r="I253" s="76" t="inlineStr">
        <is>
          <t>false</t>
        </is>
      </c>
      <c r="J253" s="76" t="n"/>
      <c r="K253" s="76" t="n"/>
      <c r="L253" s="76" t="n"/>
      <c r="M253" s="77" t="inlineStr">
        <is>
          <t>${resp_agree} = '1' and (${income_main}='6' or ${income_sec}='6' or ${income_third}='6')</t>
        </is>
      </c>
      <c r="N253" s="76" t="n"/>
      <c r="O253" s="76" t="n"/>
      <c r="P253" s="76" t="n"/>
      <c r="U253" s="20" t="inlineStr">
        <is>
          <t>yes</t>
        </is>
      </c>
      <c r="W253" s="126" t="n"/>
      <c r="X253" s="27" t="n"/>
      <c r="Y253" s="114">
        <f>IF(W253&lt;&gt;"",W253*X253,"")</f>
        <v/>
      </c>
      <c r="Z253" s="114">
        <f>IF(AND(W253&lt;&gt;"",U253="yes"),W253*X253,"")</f>
        <v/>
      </c>
      <c r="AA253" s="27" t="n"/>
    </row>
    <row r="254" customFormat="1" s="26">
      <c r="C254" s="48" t="n"/>
      <c r="D254" s="48" t="n"/>
      <c r="E254" s="24" t="n"/>
      <c r="H254" s="25" t="n"/>
      <c r="I254" s="77" t="n"/>
      <c r="J254" s="77" t="n"/>
      <c r="K254" s="77" t="n"/>
      <c r="L254" s="77" t="n"/>
      <c r="M254" s="77" t="n"/>
      <c r="N254" s="77" t="n"/>
      <c r="O254" s="77" t="n"/>
      <c r="P254" s="77" t="n"/>
      <c r="U254" s="20" t="n"/>
      <c r="W254" s="126" t="n"/>
      <c r="X254" s="61">
        <f>'Additional information'!$D$20</f>
        <v/>
      </c>
      <c r="Y254" s="114">
        <f>IF(W254&lt;&gt;"",W254*X254,"")</f>
        <v/>
      </c>
      <c r="Z254" s="114">
        <f>IF(AND(W254&lt;&gt;"",U254="yes"),W254*X254,"")</f>
        <v/>
      </c>
      <c r="AA254" s="27" t="n"/>
    </row>
    <row r="255" ht="32.1" customFormat="1" customHeight="1" s="26">
      <c r="A255" s="28" t="inlineStr">
        <is>
          <t>select_one fishsales</t>
        </is>
      </c>
      <c r="B255" s="28" t="inlineStr">
        <is>
          <t>fish_salesmain</t>
        </is>
      </c>
      <c r="C255" s="19" t="inlineStr">
        <is>
          <t>What was the main fish or aquatic product sold by your household in the last 3 months?</t>
        </is>
      </c>
      <c r="D255" s="19" t="inlineStr">
        <is>
          <t>¿Cuál ha sido el principal producto pesquero o acuícola vendido por su hogar en los últimos 3 meses?</t>
        </is>
      </c>
      <c r="E255" s="41" t="n"/>
      <c r="F255" s="28" t="n"/>
      <c r="G255" s="28" t="n"/>
      <c r="H255" s="42" t="n"/>
      <c r="I255" s="71" t="inlineStr">
        <is>
          <t>true</t>
        </is>
      </c>
      <c r="J255" s="76" t="n"/>
      <c r="K255" s="76" t="n"/>
      <c r="L255" s="76" t="n"/>
      <c r="M255" s="76" t="n"/>
      <c r="N255" s="76" t="n"/>
      <c r="O255" s="76" t="n"/>
      <c r="P255" s="76" t="n"/>
      <c r="U255" s="20" t="inlineStr">
        <is>
          <t>yes</t>
        </is>
      </c>
      <c r="W255" s="126" t="n">
        <v>14.38495540618896</v>
      </c>
      <c r="X255" s="61">
        <f>'Additional information'!$D$20</f>
        <v/>
      </c>
      <c r="Y255" s="114">
        <f>IF(W255&lt;&gt;"",W255*X255,"")</f>
        <v/>
      </c>
      <c r="Z255" s="114">
        <f>IF(AND(W255&lt;&gt;"",U255="yes"),W255*X255,"")</f>
        <v/>
      </c>
      <c r="AA255" s="27" t="n"/>
    </row>
    <row r="256">
      <c r="A256" s="28" t="inlineStr">
        <is>
          <t>calculate</t>
        </is>
      </c>
      <c r="B256" s="28" t="inlineStr">
        <is>
          <t>fishsalesmain</t>
        </is>
      </c>
      <c r="C256" s="19" t="n"/>
      <c r="D256" s="19" t="n"/>
      <c r="E256" s="41" t="n"/>
      <c r="F256" s="28" t="n"/>
      <c r="G256" s="28" t="n"/>
      <c r="H256" s="42" t="n"/>
      <c r="I256" s="71" t="n"/>
      <c r="J256" s="71" t="n"/>
      <c r="K256" s="71" t="n"/>
      <c r="L256" s="71" t="n"/>
      <c r="M256" s="71" t="n"/>
      <c r="N256" s="71" t="n"/>
      <c r="O256" s="71" t="n"/>
      <c r="P256" s="71" t="inlineStr">
        <is>
          <t>jr:choice-name(${fish_salesmain},'${fish_salesmain}')</t>
        </is>
      </c>
      <c r="U256" s="20" t="inlineStr">
        <is>
          <t>yes</t>
        </is>
      </c>
      <c r="W256" s="126" t="n"/>
      <c r="X256" s="61">
        <f>'Additional information'!$D$20</f>
        <v/>
      </c>
      <c r="Y256" s="114">
        <f>IF(W256&lt;&gt;"",W256*X256,"")</f>
        <v/>
      </c>
      <c r="Z256" s="114">
        <f>IF(AND(W256&lt;&gt;"",U256="yes"),W256*X256,"")</f>
        <v/>
      </c>
    </row>
    <row r="257" ht="15.95" customHeight="1">
      <c r="A257" s="28" t="inlineStr">
        <is>
          <t>text</t>
        </is>
      </c>
      <c r="B257" s="28" t="inlineStr">
        <is>
          <t>fish_salesmain_otherspecify</t>
        </is>
      </c>
      <c r="C257" s="34" t="inlineStr">
        <is>
          <t>If other, specify.</t>
        </is>
      </c>
      <c r="D257" s="19" t="inlineStr">
        <is>
          <t xml:space="preserve">Si otro, especifique. </t>
        </is>
      </c>
      <c r="E257" s="52" t="n"/>
      <c r="F257" s="29" t="inlineStr">
        <is>
          <t>[INSTRUCTIONS: RECORD THE OPEN RESPONSE GIVEN IN FEW WORDS. ENTER 888 FOR DON'T KNOW AND 999 FOR REFUSED]</t>
        </is>
      </c>
      <c r="G257" s="30" t="inlineStr">
        <is>
          <t>[ENCUESTADOR/A: ESCRIBA LA RESPUESTA EN POCAS PALABRAS. ESCRIBA 888 PARA "NO SE" Y 999 PARA "NO RESPONDE".]</t>
        </is>
      </c>
      <c r="H257" s="42" t="n"/>
      <c r="I257" s="71" t="inlineStr">
        <is>
          <t>true</t>
        </is>
      </c>
      <c r="J257" s="71" t="n"/>
      <c r="K257" s="71" t="n"/>
      <c r="L257" s="71" t="n"/>
      <c r="M257" s="73" t="inlineStr">
        <is>
          <t>selected(${fish_salesmain} , '5')</t>
        </is>
      </c>
      <c r="N257" s="71" t="n"/>
      <c r="O257" s="71" t="n"/>
      <c r="P257" s="71" t="n"/>
      <c r="U257" s="20" t="inlineStr">
        <is>
          <t>yes</t>
        </is>
      </c>
      <c r="W257" s="126" t="n"/>
      <c r="X257" s="61">
        <f>'Additional information'!$D$20</f>
        <v/>
      </c>
      <c r="Y257" s="114">
        <f>IF(W257&lt;&gt;"",W257*X257,"")</f>
        <v/>
      </c>
      <c r="Z257" s="114">
        <f>IF(AND(W257&lt;&gt;"",U257="yes"),W257*X257,"")</f>
        <v/>
      </c>
    </row>
    <row r="258">
      <c r="E258" s="41" t="n"/>
      <c r="H258" s="42" t="n"/>
      <c r="M258" s="83" t="n"/>
      <c r="W258" s="126" t="n"/>
      <c r="X258" s="61">
        <f>'Additional information'!$D$20</f>
        <v/>
      </c>
      <c r="Y258" s="114">
        <f>IF(W258&lt;&gt;"",W258*X258,"")</f>
        <v/>
      </c>
      <c r="Z258" s="114">
        <f>IF(AND(W258&lt;&gt;"",U258="yes"),W258*X258,"")</f>
        <v/>
      </c>
    </row>
    <row r="259" ht="32.1" customHeight="1">
      <c r="A259" s="28" t="inlineStr">
        <is>
          <t>select_one yes_no</t>
        </is>
      </c>
      <c r="B259" s="28" t="inlineStr">
        <is>
          <t>fish_salesdif</t>
        </is>
      </c>
      <c r="C259" s="19" t="inlineStr">
        <is>
          <t>Has your household faced any significant difficulty marketing / selling your ${fishsalesmain} in the last 3 months?</t>
        </is>
      </c>
      <c r="D259" s="19" t="inlineStr">
        <is>
          <t>¿Su hogar ha enfrentado algún dificultad significativa con la comercialización / ventas de su ${fishsalesmain} en los últimos 3 meses?</t>
        </is>
      </c>
      <c r="E259" s="41" t="n"/>
      <c r="F259" s="28" t="n"/>
      <c r="G259" s="28" t="n"/>
      <c r="H259" s="42" t="n"/>
      <c r="I259" s="71" t="inlineStr">
        <is>
          <t>true</t>
        </is>
      </c>
      <c r="J259" s="71" t="n"/>
      <c r="K259" s="71" t="n"/>
      <c r="L259" s="71" t="n"/>
      <c r="M259" s="71" t="inlineStr">
        <is>
          <t>${fish_salesmain} != '6' and ${fish_salesmain} != '7'</t>
        </is>
      </c>
      <c r="N259" s="71" t="n"/>
      <c r="O259" s="71" t="n"/>
      <c r="P259" s="71" t="n"/>
      <c r="U259" s="20" t="inlineStr">
        <is>
          <t>yes</t>
        </is>
      </c>
      <c r="W259" s="126" t="n">
        <v>9.438053131103516</v>
      </c>
      <c r="X259" s="61">
        <f>'Additional information'!$D$20</f>
        <v/>
      </c>
      <c r="Y259" s="114">
        <f>IF(W259&lt;&gt;"",W259*X259,"")</f>
        <v/>
      </c>
      <c r="Z259" s="114">
        <f>IF(AND(W259&lt;&gt;"",U259="yes"),W259*X259,"")</f>
        <v/>
      </c>
    </row>
    <row r="260" ht="32.1" customHeight="1">
      <c r="A260" s="28" t="inlineStr">
        <is>
          <t>select_multiple fishsalesdif</t>
        </is>
      </c>
      <c r="B260" s="28" t="inlineStr">
        <is>
          <t>fish_saledif</t>
        </is>
      </c>
      <c r="C260" s="19" t="inlineStr">
        <is>
          <t>What difficulties has your household faced in the last 3 months selling your ${fishsalesmain}?</t>
        </is>
      </c>
      <c r="D260" s="19" t="inlineStr">
        <is>
          <t>¿Qué dificultades ha enfrentado su hogar para vender ${fishsalesmain} en los últimos 3 meses?</t>
        </is>
      </c>
      <c r="E260" s="41" t="n"/>
      <c r="F260" s="28" t="inlineStr">
        <is>
          <t>[INSTRUCTIONS: MULTIPLE RESPONSES POSSIBLE.]</t>
        </is>
      </c>
      <c r="G260" s="28" t="inlineStr">
        <is>
          <t xml:space="preserve">[ENCUESTADOR/A: ES POSIBLE SELECCIONAR MÚLTIPLES RESPUESTAS. </t>
        </is>
      </c>
      <c r="H260" s="42" t="n"/>
      <c r="I260" s="71" t="inlineStr">
        <is>
          <t>true</t>
        </is>
      </c>
      <c r="J260" s="71" t="n"/>
      <c r="K260" s="73" t="inlineStr">
        <is>
          <t>if(selected(., 'dk') or selected(., 'ref'), count-selected(.) = 1, count-selected(.) &gt;= 1)</t>
        </is>
      </c>
      <c r="L260" s="71" t="n"/>
      <c r="M260" s="73" t="inlineStr">
        <is>
          <t xml:space="preserve">${fish_salesdif} = '1' </t>
        </is>
      </c>
      <c r="N260" s="71" t="n"/>
      <c r="O260" s="71" t="n"/>
      <c r="P260" s="71" t="n"/>
      <c r="U260" s="20" t="inlineStr">
        <is>
          <t>yes</t>
        </is>
      </c>
      <c r="W260" s="126" t="n">
        <v>27.76699066162109</v>
      </c>
      <c r="X260" s="61">
        <f>'Additional information'!$D$20</f>
        <v/>
      </c>
      <c r="Y260" s="114">
        <f>IF(W260&lt;&gt;"",W260*X260,"")</f>
        <v/>
      </c>
      <c r="Z260" s="114">
        <f>IF(AND(W260&lt;&gt;"",U260="yes"),W260*X260,"")</f>
        <v/>
      </c>
    </row>
    <row r="261" ht="15.95" customHeight="1">
      <c r="A261" s="28" t="inlineStr">
        <is>
          <t>text</t>
        </is>
      </c>
      <c r="B261" s="28" t="inlineStr">
        <is>
          <t>fish_salesdif_otherspecify</t>
        </is>
      </c>
      <c r="C261" s="34" t="inlineStr">
        <is>
          <t>If other, specify.</t>
        </is>
      </c>
      <c r="D261" s="19" t="inlineStr">
        <is>
          <t xml:space="preserve">Si otro, especifique. </t>
        </is>
      </c>
      <c r="E261" s="52" t="n"/>
      <c r="F261" s="29" t="inlineStr">
        <is>
          <t>[INSTRUCTIONS: RECORD THE OPEN RESPONSE GIVEN IN FEW WORDS. ENTER 888 FOR DON'T KNOW AND 999 FOR REFUSED]</t>
        </is>
      </c>
      <c r="G261" s="30" t="inlineStr">
        <is>
          <t>[ENCUESTADOR/A: ESCRIBA LA RESPUESTA EN POCAS PALABRAS. ESCRIBA 888 PARA "NO SE" Y 999 PARA "NO RESPONDE".]</t>
        </is>
      </c>
      <c r="H261" s="42" t="n"/>
      <c r="I261" s="71" t="inlineStr">
        <is>
          <t>true</t>
        </is>
      </c>
      <c r="J261" s="71" t="n"/>
      <c r="K261" s="71" t="n"/>
      <c r="L261" s="71" t="n"/>
      <c r="M261" s="73" t="inlineStr">
        <is>
          <t>selected(${fish_saledif}, 'other')</t>
        </is>
      </c>
      <c r="N261" s="71" t="n"/>
      <c r="O261" s="71" t="n"/>
      <c r="P261" s="71" t="n"/>
      <c r="U261" s="20" t="inlineStr">
        <is>
          <t>yes</t>
        </is>
      </c>
      <c r="W261" s="126" t="n"/>
      <c r="X261" s="61">
        <f>'Additional information'!$D$20</f>
        <v/>
      </c>
      <c r="Y261" s="114">
        <f>IF(W261&lt;&gt;"",W261*X261,"")</f>
        <v/>
      </c>
      <c r="Z261" s="114">
        <f>IF(AND(W261&lt;&gt;"",U261="yes"),W261*X261,"")</f>
        <v/>
      </c>
    </row>
    <row r="262">
      <c r="E262" s="41" t="n"/>
      <c r="H262" s="42" t="n"/>
      <c r="M262" s="83" t="n"/>
      <c r="W262" s="126" t="n"/>
      <c r="X262" s="61">
        <f>'Additional information'!$D$20</f>
        <v/>
      </c>
      <c r="Y262" s="114">
        <f>IF(W262&lt;&gt;"",W262*X262,"")</f>
        <v/>
      </c>
      <c r="Z262" s="114">
        <f>IF(AND(W262&lt;&gt;"",U262="yes"),W262*X262,"")</f>
        <v/>
      </c>
    </row>
    <row r="263" ht="48" customHeight="1">
      <c r="A263" s="28" t="inlineStr">
        <is>
          <t>select_one change</t>
        </is>
      </c>
      <c r="B263" s="28" t="inlineStr">
        <is>
          <t>fish_salesprice</t>
        </is>
      </c>
      <c r="C263" s="34" t="inlineStr">
        <is>
          <t xml:space="preserve">How does the current price of your household's ${fishsalesmain} compare to the average price in the same period/harvest of a normal year? </t>
        </is>
      </c>
      <c r="D263" s="19" t="inlineStr">
        <is>
          <t>¿Cómo se compara el precio actual de ${fishsalesmain} vendido por su hogar, con respecto con el precio promedio para el mismo periodo/cosecha de un año normal?</t>
        </is>
      </c>
      <c r="E263" s="41" t="n"/>
      <c r="F263" s="28" t="inlineStr">
        <is>
          <t>[INSTRUCTIONS: INSIST ON THE MAIN PRODUCT MENTIONED.]</t>
        </is>
      </c>
      <c r="G263" s="28" t="inlineStr">
        <is>
          <t>[ENCUESTADOR/A: INSISTA EN EL PRINCIPAL PRODUCTO MENCIONADO.]</t>
        </is>
      </c>
      <c r="H263" s="42" t="n"/>
      <c r="I263" s="71" t="inlineStr">
        <is>
          <t>true</t>
        </is>
      </c>
      <c r="J263" s="71" t="n"/>
      <c r="K263" s="71" t="n"/>
      <c r="L263" s="71" t="n"/>
      <c r="M263" s="73" t="inlineStr">
        <is>
          <t>${fish_salesmain} != '6' and ${fish_salesmain} != '7'</t>
        </is>
      </c>
      <c r="N263" s="71" t="n"/>
      <c r="O263" s="71" t="n"/>
      <c r="P263" s="71" t="n"/>
      <c r="U263" s="20" t="inlineStr">
        <is>
          <t>yes</t>
        </is>
      </c>
      <c r="W263" s="126" t="n">
        <v>13.7057523727417</v>
      </c>
      <c r="X263" s="61">
        <f>'Additional information'!$D$20</f>
        <v/>
      </c>
      <c r="Y263" s="114">
        <f>IF(W263&lt;&gt;"",W263*X263,"")</f>
        <v/>
      </c>
      <c r="Z263" s="114">
        <f>IF(AND(W263&lt;&gt;"",U263="yes"),W263*X263,"")</f>
        <v/>
      </c>
    </row>
    <row r="264">
      <c r="C264" s="22" t="n"/>
      <c r="D264" s="22" t="n"/>
      <c r="E264" s="41" t="n"/>
      <c r="H264" s="42" t="n"/>
      <c r="M264" s="83" t="n"/>
      <c r="W264" s="126" t="n"/>
      <c r="X264" s="61">
        <f>'Additional information'!$D$20</f>
        <v/>
      </c>
      <c r="Y264" s="114">
        <f>IF(W264&lt;&gt;"",W264*X264,"")</f>
        <v/>
      </c>
      <c r="Z264" s="114">
        <f>IF(AND(W264&lt;&gt;"",U264="yes"),W264*X264,"")</f>
        <v/>
      </c>
    </row>
    <row r="265" ht="15.95" customHeight="1" thickBot="1">
      <c r="A265" s="55" t="inlineStr">
        <is>
          <t>end_group</t>
        </is>
      </c>
      <c r="B265" s="55" t="n"/>
      <c r="C265" s="56" t="n"/>
      <c r="D265" s="56" t="n"/>
      <c r="E265" s="63" t="n"/>
      <c r="F265" s="55" t="n"/>
      <c r="G265" s="55" t="n"/>
      <c r="H265" s="64" t="n"/>
      <c r="I265" s="84" t="n"/>
      <c r="J265" s="84" t="n"/>
      <c r="K265" s="84" t="n"/>
      <c r="L265" s="84" t="n"/>
      <c r="M265" s="84" t="n"/>
      <c r="N265" s="84" t="n"/>
      <c r="O265" s="84" t="n"/>
      <c r="P265" s="84" t="n"/>
      <c r="W265" s="126" t="n"/>
      <c r="Y265" s="114">
        <f>IF(W265&lt;&gt;"",W265*X265,"")</f>
        <v/>
      </c>
      <c r="Z265" s="114">
        <f>IF(AND(W265&lt;&gt;"",U265="yes"),W265*X265,"")</f>
        <v/>
      </c>
    </row>
    <row r="266" ht="17.1" customFormat="1" customHeight="1" s="26" thickTop="1">
      <c r="A266" s="23" t="inlineStr">
        <is>
          <t>begin_group</t>
        </is>
      </c>
      <c r="B266" s="23" t="inlineStr">
        <is>
          <t>FSI</t>
        </is>
      </c>
      <c r="C266" s="47" t="inlineStr">
        <is>
          <t>FOOD SECURITY INDICATORS</t>
        </is>
      </c>
      <c r="D266" s="47" t="inlineStr">
        <is>
          <t>INDICADORES DE SEGURIDAD ALIMENTARIA</t>
        </is>
      </c>
      <c r="E266" s="24" t="n"/>
      <c r="F266" s="23" t="n"/>
      <c r="G266" s="23" t="n"/>
      <c r="H266" s="25" t="n"/>
      <c r="I266" s="76" t="inlineStr">
        <is>
          <t>false</t>
        </is>
      </c>
      <c r="J266" s="76" t="n"/>
      <c r="K266" s="76" t="n"/>
      <c r="L266" s="76" t="n"/>
      <c r="M266" s="77" t="inlineStr">
        <is>
          <t>${resp_agree} = '1' and ${hh_agricactivity} != '5' and ${hh_agricactivity} != '6'</t>
        </is>
      </c>
      <c r="N266" s="76" t="n"/>
      <c r="O266" s="76" t="n"/>
      <c r="P266" s="76" t="n"/>
      <c r="U266" s="20" t="inlineStr">
        <is>
          <t>yes</t>
        </is>
      </c>
      <c r="W266" s="126" t="n"/>
      <c r="X266" s="27" t="n"/>
      <c r="Y266" s="114">
        <f>IF(W266&lt;&gt;"",W266*X266,"")</f>
        <v/>
      </c>
      <c r="Z266" s="114">
        <f>IF(AND(W266&lt;&gt;"",U266="yes"),W266*X266,"")</f>
        <v/>
      </c>
      <c r="AA266" s="27" t="n"/>
    </row>
    <row r="267">
      <c r="C267" s="22" t="n"/>
      <c r="D267" s="22" t="n"/>
      <c r="E267" s="41" t="n"/>
      <c r="H267" s="42" t="n"/>
      <c r="M267" s="83" t="n"/>
      <c r="W267" s="126" t="n"/>
      <c r="X267" s="61" t="n">
        <v>1</v>
      </c>
      <c r="Y267" s="114">
        <f>IF(W267&lt;&gt;"",W267*X267,"")</f>
        <v/>
      </c>
      <c r="Z267" s="114">
        <f>IF(AND(W267&lt;&gt;"",U267="yes"),W267*X267,"")</f>
        <v/>
      </c>
    </row>
    <row r="268" ht="48" customFormat="1" customHeight="1" s="26">
      <c r="A268" s="28" t="inlineStr">
        <is>
          <t>note</t>
        </is>
      </c>
      <c r="B268" s="28" t="inlineStr">
        <is>
          <t>intro_foodsec</t>
        </is>
      </c>
      <c r="C268" s="19" t="inlineStr">
        <is>
          <t>Now I would like to ask you some questions about food consumption, food utilization and coping mechanisms. Make sure to refer to the correct time period for each set of questions.</t>
        </is>
      </c>
      <c r="D268" s="19" t="inlineStr">
        <is>
          <t xml:space="preserve">Ahora me gustaría hacerle algunas preguntas sobre el consumo de alimentos, la utilización de alimentos y los mecanismos de afrontamiento. Asegúrese de utilizar el periodo de referencia correcto para cada grupo de preguntas. </t>
        </is>
      </c>
      <c r="E268" s="24" t="n"/>
      <c r="H268" s="25" t="n"/>
      <c r="I268" s="76" t="n"/>
      <c r="J268" s="76" t="n"/>
      <c r="K268" s="76" t="n"/>
      <c r="L268" s="76" t="n"/>
      <c r="M268" s="76" t="n"/>
      <c r="N268" s="76" t="n"/>
      <c r="O268" s="76" t="n"/>
      <c r="P268" s="76" t="n"/>
      <c r="U268" s="20" t="inlineStr">
        <is>
          <t>no</t>
        </is>
      </c>
      <c r="W268" s="126" t="n"/>
      <c r="X268" s="62" t="n">
        <v>1</v>
      </c>
      <c r="Y268" s="114">
        <f>IF(W268&lt;&gt;"",W268*X268,"")</f>
        <v/>
      </c>
      <c r="Z268" s="114">
        <f>IF(AND(W268&lt;&gt;"",U268="yes"),W268*X268,"")</f>
        <v/>
      </c>
      <c r="AA268" s="27" t="n"/>
    </row>
    <row r="269">
      <c r="C269" s="22" t="n"/>
      <c r="D269" s="22" t="n"/>
      <c r="E269" s="41" t="n"/>
      <c r="H269" s="42" t="n"/>
      <c r="M269" s="83" t="n"/>
      <c r="W269" s="126" t="n"/>
      <c r="X269" s="61" t="n">
        <v>1</v>
      </c>
      <c r="Y269" s="114">
        <f>IF(W269&lt;&gt;"",W269*X269,"")</f>
        <v/>
      </c>
      <c r="Z269" s="114">
        <f>IF(AND(W269&lt;&gt;"",U269="yes"),W269*X269,"")</f>
        <v/>
      </c>
    </row>
    <row r="270" ht="15.95" customFormat="1" customHeight="1" s="26">
      <c r="A270" s="28" t="inlineStr">
        <is>
          <t>begin_group</t>
        </is>
      </c>
      <c r="B270" s="28" t="inlineStr">
        <is>
          <t>grp_fies</t>
        </is>
      </c>
      <c r="C270" s="47" t="inlineStr">
        <is>
          <t>FIES</t>
        </is>
      </c>
      <c r="D270" s="47" t="inlineStr">
        <is>
          <t>FIES</t>
        </is>
      </c>
      <c r="E270" s="24" t="n"/>
      <c r="F270" s="23" t="n"/>
      <c r="G270" s="23" t="n"/>
      <c r="H270" s="25" t="n"/>
      <c r="I270" s="76" t="n"/>
      <c r="J270" s="76" t="n"/>
      <c r="K270" s="76" t="n"/>
      <c r="L270" s="76" t="n"/>
      <c r="M270" s="76" t="n"/>
      <c r="N270" s="76" t="n"/>
      <c r="O270" s="76" t="n"/>
      <c r="P270" s="76" t="n"/>
      <c r="U270" s="20" t="n"/>
      <c r="W270" s="126" t="n"/>
      <c r="X270" s="62" t="n">
        <v>1</v>
      </c>
      <c r="Y270" s="114">
        <f>IF(W270&lt;&gt;"",W270*X270,"")</f>
        <v/>
      </c>
      <c r="Z270" s="114">
        <f>IF(AND(W270&lt;&gt;"",U270="yes"),W270*X270,"")</f>
        <v/>
      </c>
      <c r="AA270" s="27" t="n"/>
    </row>
    <row r="271" ht="32.1" customHeight="1">
      <c r="A271" s="28" t="inlineStr">
        <is>
          <t>note</t>
        </is>
      </c>
      <c r="B271" s="28" t="inlineStr">
        <is>
          <t>fies_intro</t>
        </is>
      </c>
      <c r="C271" s="19" t="inlineStr">
        <is>
          <t xml:space="preserve">The first set of questions refers to experiences faced by your or any of your household members over the past 30 days. </t>
        </is>
      </c>
      <c r="D271" s="19" t="inlineStr">
        <is>
          <t>El primer conjunto de preguntas se refiere a lo experimentado por usted o los miembros de su hogar durante los últimos 30 días.</t>
        </is>
      </c>
      <c r="E271" s="41" t="n"/>
      <c r="F271" s="28" t="n"/>
      <c r="G271" s="28" t="n"/>
      <c r="H271" s="42" t="n"/>
      <c r="I271" s="71" t="inlineStr">
        <is>
          <t>false</t>
        </is>
      </c>
      <c r="J271" s="71" t="n"/>
      <c r="K271" s="71" t="n"/>
      <c r="L271" s="71" t="n"/>
      <c r="M271" s="71" t="n"/>
      <c r="N271" s="71" t="n"/>
      <c r="O271" s="71" t="n"/>
      <c r="P271" s="71" t="n"/>
      <c r="U271" s="20" t="inlineStr">
        <is>
          <t>yes</t>
        </is>
      </c>
      <c r="W271" s="126" t="n">
        <v>12.77690315246582</v>
      </c>
      <c r="X271" s="62" t="n">
        <v>1</v>
      </c>
      <c r="Y271" s="114">
        <f>IF(W271&lt;&gt;"",W271*X271,"")</f>
        <v/>
      </c>
      <c r="Z271" s="114">
        <f>IF(AND(W271&lt;&gt;"",U271="yes"),W271*X271,"")</f>
        <v/>
      </c>
    </row>
    <row r="272" ht="48" customHeight="1">
      <c r="A272" s="28" t="inlineStr">
        <is>
          <t>select_one yes_no</t>
        </is>
      </c>
      <c r="B272" s="28" t="inlineStr">
        <is>
          <t>fies_worried</t>
        </is>
      </c>
      <c r="C272" s="19" t="inlineStr">
        <is>
          <t>During the *last 30 days*, was there a time when you or others in your household were **worried about not having enough food to eat** because of lack of money or other resources?</t>
        </is>
      </c>
      <c r="D272" s="19" t="inlineStr">
        <is>
          <t>Durante los *últimos 30 días*, ¿hubo algún momento en el que usted u otros miembros de su hogar han estado preocupados por no tener suficientes alimentos para comer debido a la falta de dinero u otros recursos?</t>
        </is>
      </c>
      <c r="E272" s="41" t="n"/>
      <c r="F272" s="28" t="n"/>
      <c r="G272" s="28" t="n"/>
      <c r="H272" s="42" t="n"/>
      <c r="I272" s="71" t="inlineStr">
        <is>
          <t>true</t>
        </is>
      </c>
      <c r="J272" s="71" t="n"/>
      <c r="K272" s="71" t="n"/>
      <c r="L272" s="71" t="n"/>
      <c r="M272" s="71" t="n"/>
      <c r="N272" s="71" t="n"/>
      <c r="O272" s="71" t="n"/>
      <c r="P272" s="71" t="n"/>
      <c r="U272" s="20" t="inlineStr">
        <is>
          <t>yes</t>
        </is>
      </c>
      <c r="W272" s="126" t="n">
        <v>21.39860534667969</v>
      </c>
      <c r="X272" s="62" t="n">
        <v>1</v>
      </c>
      <c r="Y272" s="114">
        <f>IF(W272&lt;&gt;"",W272*X272,"")</f>
        <v/>
      </c>
      <c r="Z272" s="114">
        <f>IF(AND(W272&lt;&gt;"",U272="yes"),W272*X272,"")</f>
        <v/>
      </c>
    </row>
    <row r="273" ht="48" customHeight="1">
      <c r="A273" s="28" t="inlineStr">
        <is>
          <t>select_one yes_no</t>
        </is>
      </c>
      <c r="B273" s="28" t="inlineStr">
        <is>
          <t>fies_healthy</t>
        </is>
      </c>
      <c r="C273" s="19" t="inlineStr">
        <is>
          <t>During the *last 30 days*, was there a time when you or others in your household were **unable to eat healthy and nutritious food** because of lack of money or other resources?</t>
        </is>
      </c>
      <c r="D273" s="19" t="inlineStr">
        <is>
          <t>Durante los *últimos 30 días*, ¿hubo algún momento en el que usted u otros miembros de su hogar **no pudieron comer alimentos saludables y nutritivos** debido a la falta de dinero u otros recursos?</t>
        </is>
      </c>
      <c r="E273" s="41" t="n"/>
      <c r="F273" s="28" t="n"/>
      <c r="G273" s="28" t="n"/>
      <c r="H273" s="42" t="n"/>
      <c r="I273" s="71" t="inlineStr">
        <is>
          <t>true</t>
        </is>
      </c>
      <c r="J273" s="71" t="n"/>
      <c r="K273" s="71" t="n"/>
      <c r="L273" s="71" t="n"/>
      <c r="M273" s="71" t="n"/>
      <c r="N273" s="71" t="n"/>
      <c r="O273" s="71" t="n"/>
      <c r="P273" s="71" t="n"/>
      <c r="U273" s="20" t="inlineStr">
        <is>
          <t>yes</t>
        </is>
      </c>
      <c r="W273" s="126" t="n">
        <v>14.98074054718018</v>
      </c>
      <c r="X273" s="62" t="n">
        <v>1</v>
      </c>
      <c r="Y273" s="114">
        <f>IF(W273&lt;&gt;"",W273*X273,"")</f>
        <v/>
      </c>
      <c r="Z273" s="114">
        <f>IF(AND(W273&lt;&gt;"",U273="yes"),W273*X273,"")</f>
        <v/>
      </c>
    </row>
    <row r="274" ht="48" customHeight="1">
      <c r="A274" s="28" t="inlineStr">
        <is>
          <t>select_one yes_no</t>
        </is>
      </c>
      <c r="B274" s="28" t="inlineStr">
        <is>
          <t>fies_fewfoods</t>
        </is>
      </c>
      <c r="C274" s="19" t="inlineStr">
        <is>
          <t>During the *last 30 days*, was there a time when you or others in your household **ate only a few kinds of foods** because of lack of money or other resources?</t>
        </is>
      </c>
      <c r="D274" s="19" t="inlineStr">
        <is>
          <t>Durante los *últimos 30 días*, ¿hubo algún momento en el que usted u otros miembros de su hogar comieron **solamente unos pocos tipos de alimentos** debido a la falta de dinero u otros recursos?</t>
        </is>
      </c>
      <c r="E274" s="41" t="n"/>
      <c r="F274" s="28" t="n"/>
      <c r="G274" s="28" t="n"/>
      <c r="H274" s="42" t="n"/>
      <c r="I274" s="71" t="inlineStr">
        <is>
          <t>true</t>
        </is>
      </c>
      <c r="J274" s="71" t="n"/>
      <c r="K274" s="71" t="n"/>
      <c r="L274" s="71" t="n"/>
      <c r="M274" s="71" t="n"/>
      <c r="N274" s="71" t="n"/>
      <c r="O274" s="71" t="n"/>
      <c r="P274" s="71" t="n"/>
      <c r="U274" s="20" t="inlineStr">
        <is>
          <t>yes</t>
        </is>
      </c>
      <c r="W274" s="126" t="n">
        <v>13.72302150726318</v>
      </c>
      <c r="X274" s="62" t="n">
        <v>1</v>
      </c>
      <c r="Y274" s="114">
        <f>IF(W274&lt;&gt;"",W274*X274,"")</f>
        <v/>
      </c>
      <c r="Z274" s="114">
        <f>IF(AND(W274&lt;&gt;"",U274="yes"),W274*X274,"")</f>
        <v/>
      </c>
    </row>
    <row r="275" ht="48" customHeight="1">
      <c r="A275" s="28" t="inlineStr">
        <is>
          <t>select_one yes_no</t>
        </is>
      </c>
      <c r="B275" s="28" t="inlineStr">
        <is>
          <t>fies_skipped</t>
        </is>
      </c>
      <c r="C275" s="19" t="inlineStr">
        <is>
          <t>During the *last 30 days*, was there a time when you or others in your household **had to skip a meal** because of lack of money or other resources to get food?</t>
        </is>
      </c>
      <c r="D275" s="19" t="inlineStr">
        <is>
          <t>Durante los *últimos 30 días*, ¿hubo algún momento en el que usted u otros miembros de su hogar **tuvieron que saltarse una comida** debido a la falta de dinero u otros recursos para conseguir alimentos?</t>
        </is>
      </c>
      <c r="E275" s="41" t="n"/>
      <c r="F275" s="28" t="n"/>
      <c r="G275" s="28" t="n"/>
      <c r="H275" s="42" t="n"/>
      <c r="I275" s="71" t="inlineStr">
        <is>
          <t>true</t>
        </is>
      </c>
      <c r="J275" s="71" t="n"/>
      <c r="K275" s="71" t="n"/>
      <c r="L275" s="71" t="n"/>
      <c r="M275" s="71" t="n"/>
      <c r="N275" s="71" t="n"/>
      <c r="O275" s="71" t="n"/>
      <c r="P275" s="71" t="n"/>
      <c r="U275" s="20" t="inlineStr">
        <is>
          <t>yes</t>
        </is>
      </c>
      <c r="W275" s="126" t="n">
        <v>13.06220054626465</v>
      </c>
      <c r="X275" s="62" t="n">
        <v>1</v>
      </c>
      <c r="Y275" s="114">
        <f>IF(W275&lt;&gt;"",W275*X275,"")</f>
        <v/>
      </c>
      <c r="Z275" s="114">
        <f>IF(AND(W275&lt;&gt;"",U275="yes"),W275*X275,"")</f>
        <v/>
      </c>
    </row>
    <row r="276" ht="48" customHeight="1">
      <c r="A276" s="28" t="inlineStr">
        <is>
          <t>select_one yes_no</t>
        </is>
      </c>
      <c r="B276" s="28" t="inlineStr">
        <is>
          <t>fies_ateless</t>
        </is>
      </c>
      <c r="C276" s="19" t="inlineStr">
        <is>
          <t>During the *last 30 days*, was there a time when you or others in your household **ate less than you thought you should** because of lack of money or other resources?</t>
        </is>
      </c>
      <c r="D276" s="19" t="inlineStr">
        <is>
          <t>Durante los *últimos 30 días*, ¿hubo algún momento en el que usted u otros miembros de su hogar **comieron menos de lo que pensaban que debían** debido a la falta de dinero u otros recursos?</t>
        </is>
      </c>
      <c r="E276" s="41" t="n"/>
      <c r="F276" s="28" t="n"/>
      <c r="G276" s="28" t="n"/>
      <c r="H276" s="42" t="n"/>
      <c r="I276" s="71" t="inlineStr">
        <is>
          <t>true</t>
        </is>
      </c>
      <c r="J276" s="71" t="n"/>
      <c r="K276" s="71" t="n"/>
      <c r="L276" s="71" t="n"/>
      <c r="M276" s="71" t="n"/>
      <c r="N276" s="71" t="n"/>
      <c r="O276" s="71" t="n"/>
      <c r="P276" s="71" t="n"/>
      <c r="U276" s="20" t="inlineStr">
        <is>
          <t>yes</t>
        </is>
      </c>
      <c r="W276" s="126" t="n">
        <v>13.09532356262207</v>
      </c>
      <c r="X276" s="62" t="n">
        <v>1</v>
      </c>
      <c r="Y276" s="114">
        <f>IF(W276&lt;&gt;"",W276*X276,"")</f>
        <v/>
      </c>
      <c r="Z276" s="114">
        <f>IF(AND(W276&lt;&gt;"",U276="yes"),W276*X276,"")</f>
        <v/>
      </c>
    </row>
    <row r="277" ht="48" customHeight="1">
      <c r="A277" s="28" t="inlineStr">
        <is>
          <t>select_one yes_no</t>
        </is>
      </c>
      <c r="B277" s="28" t="inlineStr">
        <is>
          <t>fies_ranout</t>
        </is>
      </c>
      <c r="C277" s="19" t="inlineStr">
        <is>
          <t>In the *past 30 days*, was there ever **no food to eat of any kind** in your house because of lack of resources to get food?</t>
        </is>
      </c>
      <c r="D277" s="19" t="inlineStr">
        <is>
          <t>Durante los *últimos 30 días*, ¿hubo algún momento en el que usted u otros miembros de su hogar **se quedaron sin alimentos de ningún tipo** debido a la falta de dinero u otros recursos?</t>
        </is>
      </c>
      <c r="E277" s="41" t="n"/>
      <c r="F277" s="28" t="n"/>
      <c r="G277" s="28" t="n"/>
      <c r="H277" s="42" t="n"/>
      <c r="I277" s="71" t="inlineStr">
        <is>
          <t>true</t>
        </is>
      </c>
      <c r="J277" s="71" t="n"/>
      <c r="K277" s="71" t="n"/>
      <c r="L277" s="71" t="n"/>
      <c r="M277" s="71" t="n"/>
      <c r="N277" s="71" t="n"/>
      <c r="O277" s="71" t="n"/>
      <c r="P277" s="71" t="n"/>
      <c r="U277" s="20" t="inlineStr">
        <is>
          <t>yes</t>
        </is>
      </c>
      <c r="W277" s="126" t="n">
        <v>16.10101918465228</v>
      </c>
      <c r="X277" s="62" t="n">
        <v>1</v>
      </c>
      <c r="Y277" s="114">
        <f>IF(W277&lt;&gt;"",W277*X277,"")</f>
        <v/>
      </c>
      <c r="Z277" s="114">
        <f>IF(AND(W277&lt;&gt;"",U277="yes"),W277*X277,"")</f>
        <v/>
      </c>
    </row>
    <row r="278" ht="15.95" customFormat="1" customHeight="1" s="29">
      <c r="A278" s="33" t="inlineStr">
        <is>
          <t>select_one frequency</t>
        </is>
      </c>
      <c r="B278" s="33" t="inlineStr">
        <is>
          <t>fies_ranout_hhs</t>
        </is>
      </c>
      <c r="C278" s="34" t="inlineStr">
        <is>
          <t xml:space="preserve">How often did this happen? </t>
        </is>
      </c>
      <c r="D278" s="19" t="inlineStr">
        <is>
          <t>¿Cuántas veces ha ocurrido esto?</t>
        </is>
      </c>
      <c r="E278" s="52" t="n"/>
      <c r="F278" s="33" t="n"/>
      <c r="G278" s="33" t="n"/>
      <c r="H278" s="54" t="n"/>
      <c r="I278" s="73" t="inlineStr">
        <is>
          <t>true</t>
        </is>
      </c>
      <c r="J278" s="73" t="n"/>
      <c r="K278" s="73" t="n"/>
      <c r="L278" s="73" t="n"/>
      <c r="M278" s="73" t="inlineStr">
        <is>
          <t>${fies_ranout} = '1'</t>
        </is>
      </c>
      <c r="N278" s="73" t="n"/>
      <c r="O278" s="73" t="n"/>
      <c r="P278" s="73" t="n"/>
      <c r="U278" s="29" t="inlineStr">
        <is>
          <t>yes</t>
        </is>
      </c>
      <c r="W278" s="126" t="n">
        <v>11.76504325866699</v>
      </c>
      <c r="X278" s="62" t="n">
        <v>1</v>
      </c>
      <c r="Y278" s="114">
        <f>IF(W278&lt;&gt;"",W278*X278,"")</f>
        <v/>
      </c>
      <c r="Z278" s="114">
        <f>IF(AND(W278&lt;&gt;"",U278="yes"),W278*X278,"")</f>
        <v/>
      </c>
    </row>
    <row r="279" ht="48" customFormat="1" customHeight="1" s="29">
      <c r="A279" s="33" t="inlineStr">
        <is>
          <t>select_one yes_no</t>
        </is>
      </c>
      <c r="B279" s="33" t="inlineStr">
        <is>
          <t>fies_hungry</t>
        </is>
      </c>
      <c r="C279" s="34" t="inlineStr">
        <is>
          <t>In the *past 30 days*, did you or any household member ever **go to sleep at night hungry** because there was not enough food?</t>
        </is>
      </c>
      <c r="D279" s="19" t="inlineStr">
        <is>
          <t>Durante los *últimos 30 días*, ¿hubo algún momento en el que usted u otros miembros de su hogar **se fueron a dormir con hambre** debido a la falta de alimentos?</t>
        </is>
      </c>
      <c r="E279" s="52" t="n"/>
      <c r="F279" s="33" t="n"/>
      <c r="G279" s="33" t="n"/>
      <c r="H279" s="54" t="n"/>
      <c r="I279" s="73" t="inlineStr">
        <is>
          <t>true</t>
        </is>
      </c>
      <c r="J279" s="73" t="n"/>
      <c r="K279" s="73" t="n"/>
      <c r="L279" s="73" t="n"/>
      <c r="M279" s="73" t="n"/>
      <c r="N279" s="73" t="n"/>
      <c r="O279" s="73" t="n"/>
      <c r="P279" s="73" t="n"/>
      <c r="U279" s="29" t="inlineStr">
        <is>
          <t>yes</t>
        </is>
      </c>
      <c r="W279" s="126" t="n">
        <v>12.43247890472412</v>
      </c>
      <c r="X279" s="62" t="n">
        <v>1</v>
      </c>
      <c r="Y279" s="114">
        <f>IF(W279&lt;&gt;"",W279*X279,"")</f>
        <v/>
      </c>
      <c r="Z279" s="114">
        <f>IF(AND(W279&lt;&gt;"",U279="yes"),W279*X279,"")</f>
        <v/>
      </c>
    </row>
    <row r="280" ht="15.95" customFormat="1" customHeight="1" s="29">
      <c r="A280" s="33" t="inlineStr">
        <is>
          <t>select_one frequency</t>
        </is>
      </c>
      <c r="B280" s="33" t="inlineStr">
        <is>
          <t>fies_hungry_hhs</t>
        </is>
      </c>
      <c r="C280" s="34" t="inlineStr">
        <is>
          <t xml:space="preserve">How often did this happen? </t>
        </is>
      </c>
      <c r="D280" s="19" t="inlineStr">
        <is>
          <t>¿Cuántas veces ha ocurrido esto?</t>
        </is>
      </c>
      <c r="E280" s="52" t="n"/>
      <c r="F280" s="33" t="n"/>
      <c r="G280" s="33" t="n"/>
      <c r="H280" s="54" t="n"/>
      <c r="I280" s="73" t="inlineStr">
        <is>
          <t>true</t>
        </is>
      </c>
      <c r="J280" s="73" t="n"/>
      <c r="K280" s="73" t="n"/>
      <c r="L280" s="73" t="n"/>
      <c r="M280" s="73" t="inlineStr">
        <is>
          <t>${fies_hungry} = '1'</t>
        </is>
      </c>
      <c r="N280" s="73" t="n"/>
      <c r="O280" s="73" t="n"/>
      <c r="P280" s="73" t="n"/>
      <c r="U280" s="29" t="inlineStr">
        <is>
          <t>yes</t>
        </is>
      </c>
      <c r="W280" s="126" t="n">
        <v>8.980183601379395</v>
      </c>
      <c r="X280" s="62" t="n">
        <v>1</v>
      </c>
      <c r="Y280" s="114">
        <f>IF(W280&lt;&gt;"",W280*X280,"")</f>
        <v/>
      </c>
      <c r="Z280" s="114">
        <f>IF(AND(W280&lt;&gt;"",U280="yes"),W280*X280,"")</f>
        <v/>
      </c>
    </row>
    <row r="281" ht="48" customFormat="1" customHeight="1" s="29">
      <c r="A281" s="33" t="inlineStr">
        <is>
          <t>select_one yes_no</t>
        </is>
      </c>
      <c r="B281" s="33" t="inlineStr">
        <is>
          <t>fies_whlday</t>
        </is>
      </c>
      <c r="C281" s="34" t="inlineStr">
        <is>
          <t>In the *past 30 days*, did you or any household member ever **go a whole day and night without eating anything at all** because there was not enough food?</t>
        </is>
      </c>
      <c r="D281" s="19" t="inlineStr">
        <is>
          <t>Durante los *últimos 30 días*, ¿hubo algún momento en el que usted u otros miembros de su hogar **pasaron todo un día y la noche sin comer** debido a la falta de alimentos?</t>
        </is>
      </c>
      <c r="E281" s="52" t="n"/>
      <c r="F281" s="33" t="n"/>
      <c r="G281" s="33" t="n"/>
      <c r="H281" s="54" t="n"/>
      <c r="I281" s="73" t="inlineStr">
        <is>
          <t>true</t>
        </is>
      </c>
      <c r="J281" s="73" t="n"/>
      <c r="K281" s="73" t="n"/>
      <c r="L281" s="73" t="n"/>
      <c r="M281" s="73" t="n"/>
      <c r="N281" s="73" t="n"/>
      <c r="O281" s="73" t="n"/>
      <c r="P281" s="73" t="n"/>
      <c r="U281" s="29" t="inlineStr">
        <is>
          <t>yes</t>
        </is>
      </c>
      <c r="W281" s="126" t="n">
        <v>11.08932876586914</v>
      </c>
      <c r="X281" s="62" t="n">
        <v>1</v>
      </c>
      <c r="Y281" s="114">
        <f>IF(W281&lt;&gt;"",W281*X281,"")</f>
        <v/>
      </c>
      <c r="Z281" s="114">
        <f>IF(AND(W281&lt;&gt;"",U281="yes"),W281*X281,"")</f>
        <v/>
      </c>
    </row>
    <row r="282" ht="15.95" customFormat="1" customHeight="1" s="29">
      <c r="A282" s="33" t="inlineStr">
        <is>
          <t>select_one frequency</t>
        </is>
      </c>
      <c r="B282" s="33" t="inlineStr">
        <is>
          <t>fies_whlday_hhs</t>
        </is>
      </c>
      <c r="C282" s="34" t="inlineStr">
        <is>
          <t xml:space="preserve">How often did this happen? </t>
        </is>
      </c>
      <c r="D282" s="19" t="inlineStr">
        <is>
          <t>¿Cuántas veces ha ocurrido esto?</t>
        </is>
      </c>
      <c r="E282" s="52" t="n"/>
      <c r="F282" s="33" t="n"/>
      <c r="G282" s="33" t="n"/>
      <c r="H282" s="54" t="n"/>
      <c r="I282" s="73" t="inlineStr">
        <is>
          <t>true</t>
        </is>
      </c>
      <c r="J282" s="73" t="n"/>
      <c r="K282" s="73" t="n"/>
      <c r="L282" s="73" t="n"/>
      <c r="M282" s="73" t="inlineStr">
        <is>
          <t>${fies_whlday} = '1'</t>
        </is>
      </c>
      <c r="N282" s="73" t="n"/>
      <c r="O282" s="73" t="n"/>
      <c r="P282" s="73" t="n"/>
      <c r="U282" s="29" t="inlineStr">
        <is>
          <t>yes</t>
        </is>
      </c>
      <c r="W282" s="126" t="n">
        <v>8.06833553314209</v>
      </c>
      <c r="X282" s="62" t="n">
        <v>1</v>
      </c>
      <c r="Y282" s="114">
        <f>IF(W282&lt;&gt;"",W282*X282,"")</f>
        <v/>
      </c>
      <c r="Z282" s="114">
        <f>IF(AND(W282&lt;&gt;"",U282="yes"),W282*X282,"")</f>
        <v/>
      </c>
    </row>
    <row r="283">
      <c r="A283" s="33" t="inlineStr">
        <is>
          <t>end_group</t>
        </is>
      </c>
      <c r="B283" s="33" t="n"/>
      <c r="C283" s="19" t="n"/>
      <c r="D283" s="19" t="n"/>
      <c r="E283" s="41" t="n"/>
      <c r="F283" s="28" t="n"/>
      <c r="G283" s="28" t="n"/>
      <c r="H283" s="42" t="n"/>
      <c r="I283" s="71" t="n"/>
      <c r="J283" s="71" t="n"/>
      <c r="K283" s="71" t="n"/>
      <c r="L283" s="71" t="n"/>
      <c r="M283" s="71" t="n"/>
      <c r="N283" s="71" t="n"/>
      <c r="O283" s="71" t="n"/>
      <c r="P283" s="71" t="n"/>
      <c r="W283" s="126" t="n"/>
      <c r="X283" s="62" t="n">
        <v>1</v>
      </c>
      <c r="Y283" s="114">
        <f>IF(W283&lt;&gt;"",W283*X283,"")</f>
        <v/>
      </c>
      <c r="Z283" s="114">
        <f>IF(AND(W283&lt;&gt;"",U283="yes"),W283*X283,"")</f>
        <v/>
      </c>
    </row>
    <row r="284">
      <c r="A284" s="29" t="n"/>
      <c r="B284" s="29" t="n"/>
      <c r="E284" s="41" t="n"/>
      <c r="H284" s="42" t="n"/>
      <c r="W284" s="126" t="n"/>
      <c r="X284" s="62" t="n">
        <v>1</v>
      </c>
      <c r="Y284" s="114">
        <f>IF(W284&lt;&gt;"",W284*X284,"")</f>
        <v/>
      </c>
      <c r="Z284" s="114">
        <f>IF(AND(W284&lt;&gt;"",U284="yes"),W284*X284,"")</f>
        <v/>
      </c>
    </row>
    <row r="285">
      <c r="A285" s="29" t="n"/>
      <c r="B285" s="29" t="n"/>
      <c r="E285" s="41" t="n"/>
      <c r="H285" s="42" t="n"/>
      <c r="W285" s="126" t="n"/>
      <c r="X285" s="62" t="n">
        <v>1</v>
      </c>
      <c r="Y285" s="114">
        <f>IF(W285&lt;&gt;"",W285*X285,"")</f>
        <v/>
      </c>
      <c r="Z285" s="114">
        <f>IF(AND(W285&lt;&gt;"",U285="yes"),W285*X285,"")</f>
        <v/>
      </c>
    </row>
    <row r="286" ht="15.95" customFormat="1" customHeight="1" s="290">
      <c r="A286" s="290" t="inlineStr">
        <is>
          <t>begin_group</t>
        </is>
      </c>
      <c r="B286" s="290" t="inlineStr">
        <is>
          <t>grp_lcsi</t>
        </is>
      </c>
      <c r="C286" s="304" t="inlineStr">
        <is>
          <t>LCSI</t>
        </is>
      </c>
      <c r="D286" s="304" t="inlineStr">
        <is>
          <t>LCSI</t>
        </is>
      </c>
      <c r="E286" s="297" t="n"/>
      <c r="H286" s="297" t="n"/>
      <c r="J286" s="290" t="inlineStr">
        <is>
          <t>field-list</t>
        </is>
      </c>
      <c r="W286" s="305" t="n"/>
      <c r="X286" s="306" t="n">
        <v>1</v>
      </c>
      <c r="Y286" s="305">
        <f>IF(W286&lt;&gt;"",W286*X286,"")</f>
        <v/>
      </c>
      <c r="Z286" s="305">
        <f>IF(AND(W286&lt;&gt;"",U286="yes"),W286*X286,"")</f>
        <v/>
      </c>
    </row>
    <row r="287" ht="63.95" customFormat="1" customHeight="1" s="290">
      <c r="A287" s="290" t="inlineStr">
        <is>
          <t>note</t>
        </is>
      </c>
      <c r="B287" s="290" t="inlineStr">
        <is>
          <t>lcsi_intro</t>
        </is>
      </c>
      <c r="C287" s="29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7" s="290" t="inlineStr">
        <is>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is>
      </c>
      <c r="E287" s="297" t="n"/>
      <c r="H287" s="297" t="n"/>
      <c r="U287" s="290" t="inlineStr">
        <is>
          <t>no</t>
        </is>
      </c>
      <c r="W287" s="305" t="n">
        <v>5.711253643035889</v>
      </c>
      <c r="X287" s="306" t="n">
        <v>1</v>
      </c>
      <c r="Y287" s="305">
        <f>IF(W287&lt;&gt;"",W287*X287,"")</f>
        <v/>
      </c>
      <c r="Z287" s="305">
        <f>IF(AND(W287&lt;&gt;"",U287="yes"),W287*X287,"")</f>
        <v/>
      </c>
    </row>
    <row r="288" ht="64.34999999999999" customHeight="1">
      <c r="A288" s="307" t="inlineStr">
        <is>
          <t>note</t>
        </is>
      </c>
      <c r="B288" s="307" t="inlineStr">
        <is>
          <t>lcsi_intro</t>
        </is>
      </c>
      <c r="C288" s="30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8" s="308" t="inlineStr">
        <is>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is>
      </c>
      <c r="E288" s="307" t="n"/>
      <c r="F288" s="307" t="n"/>
      <c r="G288" s="309" t="n"/>
      <c r="H288" s="309" t="n"/>
      <c r="I288" s="309" t="n"/>
      <c r="J288" s="309" t="n"/>
      <c r="K288" s="309" t="n"/>
      <c r="L288" s="309" t="n"/>
      <c r="M288" s="309" t="n"/>
      <c r="N288" s="309" t="n"/>
      <c r="O288" s="307" t="n"/>
      <c r="P288" s="307" t="n"/>
      <c r="Q288" s="307" t="n"/>
      <c r="R288" s="307" t="n"/>
      <c r="S288" s="307" t="inlineStr">
        <is>
          <t>no</t>
        </is>
      </c>
      <c r="T288" s="307" t="n"/>
      <c r="U288" s="310" t="n">
        <v>5.71125364303589</v>
      </c>
      <c r="V288" s="311" t="n">
        <v>1</v>
      </c>
      <c r="W288" s="312">
        <f>IF(U288&lt;&gt;"",U288*V288,"")</f>
        <v/>
      </c>
      <c r="X288" s="312">
        <f>IF(AND(U288&lt;&gt;"",S288="yes"),U288*V288,"")</f>
        <v/>
      </c>
      <c r="Y288" s="307" t="n"/>
    </row>
    <row r="289" ht="13.35" customHeight="1">
      <c r="E289" s="20" t="n"/>
      <c r="G289" s="78" t="n"/>
      <c r="H289" s="78" t="n"/>
      <c r="O289" s="20" t="n"/>
      <c r="P289" s="20" t="n"/>
      <c r="U289" s="313" t="n"/>
      <c r="V289" s="314" t="n"/>
      <c r="W289" s="315" t="n"/>
      <c r="X289" s="315" t="n"/>
      <c r="Y289" s="315" t="n"/>
    </row>
    <row r="290" ht="16.35" customHeight="1">
      <c r="A290" s="307" t="inlineStr">
        <is>
          <t>select_one coping</t>
        </is>
      </c>
      <c r="B290" s="307" t="inlineStr">
        <is>
          <t>cs_stress_borrowed_or_helped</t>
        </is>
      </c>
      <c r="C290" s="308" t="inlineStr">
        <is>
          <t>**Borrow food or relied on help from friends or relatives **</t>
        </is>
      </c>
      <c r="D290" s="308" t="inlineStr">
        <is>
          <t>**Pedir alimentos prestados o contar con la ayuda de un familiar o amigo**</t>
        </is>
      </c>
      <c r="E290" s="316" t="n"/>
      <c r="F290" s="316" t="n"/>
      <c r="G290" s="143" t="n"/>
      <c r="H290" s="143" t="n"/>
      <c r="I290" s="309" t="inlineStr">
        <is>
          <t>true</t>
        </is>
      </c>
      <c r="J290" s="309" t="inlineStr">
        <is>
          <t>minimal</t>
        </is>
      </c>
      <c r="K290" s="317" t="n"/>
      <c r="L290" s="317" t="n"/>
      <c r="M290" s="317" t="n"/>
      <c r="N290" s="317" t="n"/>
      <c r="O290" s="316" t="n"/>
      <c r="P290" s="316" t="n"/>
      <c r="Q290" s="316" t="n"/>
      <c r="R290" s="316" t="n"/>
      <c r="S290" s="307" t="inlineStr">
        <is>
          <t>no</t>
        </is>
      </c>
      <c r="T290" s="316" t="n"/>
      <c r="U290" s="318" t="n">
        <v>11.7878017425537</v>
      </c>
      <c r="V290" s="319" t="n">
        <v>1</v>
      </c>
      <c r="W290" s="320">
        <f>IF(U290&lt;&gt;"",U290*V290,"")</f>
        <v/>
      </c>
      <c r="X290" s="320">
        <f>IF(AND(U290&lt;&gt;"",S290="yes"),U290*V290,"")</f>
        <v/>
      </c>
      <c r="Y290" s="315" t="n"/>
    </row>
    <row r="291" ht="16.35" customHeight="1">
      <c r="A291" s="307" t="inlineStr">
        <is>
          <t>select_one coping</t>
        </is>
      </c>
      <c r="B291" s="307" t="inlineStr">
        <is>
          <t>cs_stress_eat_elsewhere</t>
        </is>
      </c>
      <c r="C291" s="308" t="inlineStr">
        <is>
          <t>**Send household members to eat elsewhere**</t>
        </is>
      </c>
      <c r="D291" s="321" t="inlineStr">
        <is>
          <t>**Enviar miembros del hogar a comer a otro lugar**</t>
        </is>
      </c>
      <c r="E291" s="316" t="n"/>
      <c r="F291" s="316" t="n"/>
      <c r="G291" s="143" t="n"/>
      <c r="H291" s="143" t="n"/>
      <c r="I291" s="309" t="inlineStr">
        <is>
          <t>true</t>
        </is>
      </c>
      <c r="J291" s="309" t="inlineStr">
        <is>
          <t>minimal</t>
        </is>
      </c>
      <c r="K291" s="317" t="n"/>
      <c r="L291" s="317" t="n"/>
      <c r="M291" s="317" t="n"/>
      <c r="N291" s="317" t="n"/>
      <c r="O291" s="316" t="n"/>
      <c r="P291" s="316" t="n"/>
      <c r="Q291" s="316" t="n"/>
      <c r="R291" s="316" t="n"/>
      <c r="S291" s="307" t="inlineStr">
        <is>
          <t>no</t>
        </is>
      </c>
      <c r="T291" s="316" t="n"/>
      <c r="U291" s="318" t="n">
        <v>14.6259336471558</v>
      </c>
      <c r="V291" s="319" t="n">
        <v>1</v>
      </c>
      <c r="W291" s="320">
        <f>IF(U291&lt;&gt;"",U291*V291,"")</f>
        <v/>
      </c>
      <c r="X291" s="320">
        <f>IF(AND(U291&lt;&gt;"",S291="yes"),U291*V291,"")</f>
        <v/>
      </c>
      <c r="Y291" s="315" t="n"/>
    </row>
    <row r="292" ht="16.35" customHeight="1">
      <c r="A292" s="307" t="inlineStr">
        <is>
          <t>select_one coping</t>
        </is>
      </c>
      <c r="B292" s="307" t="inlineStr">
        <is>
          <t>cs_stress_borrowed_money</t>
        </is>
      </c>
      <c r="C292" s="308" t="inlineStr">
        <is>
          <t>**Borrow money**</t>
        </is>
      </c>
      <c r="D292" s="308" t="inlineStr">
        <is>
          <t>**Pedir prestado dinero**</t>
        </is>
      </c>
      <c r="E292" s="316" t="n"/>
      <c r="F292" s="316" t="n"/>
      <c r="G292" s="143" t="n"/>
      <c r="H292" s="143" t="n"/>
      <c r="I292" s="309" t="inlineStr">
        <is>
          <t>true</t>
        </is>
      </c>
      <c r="J292" s="309" t="inlineStr">
        <is>
          <t>minimal</t>
        </is>
      </c>
      <c r="K292" s="317" t="n"/>
      <c r="L292" s="317" t="n"/>
      <c r="M292" s="317" t="n"/>
      <c r="N292" s="317" t="n"/>
      <c r="O292" s="316" t="n"/>
      <c r="P292" s="316" t="n"/>
      <c r="Q292" s="316" t="n"/>
      <c r="R292" s="316" t="n"/>
      <c r="S292" s="307" t="inlineStr">
        <is>
          <t>no</t>
        </is>
      </c>
      <c r="T292" s="316" t="n"/>
      <c r="U292" s="318" t="n">
        <v>9.289467811584471</v>
      </c>
      <c r="V292" s="319" t="n">
        <v>1</v>
      </c>
      <c r="W292" s="320">
        <f>IF(U292&lt;&gt;"",U292*V292,"")</f>
        <v/>
      </c>
      <c r="X292" s="320">
        <f>IF(AND(U292&lt;&gt;"",S292="yes"),U292*V292,"")</f>
        <v/>
      </c>
      <c r="Y292" s="315" t="n"/>
    </row>
    <row r="293" ht="16.35" customHeight="1">
      <c r="A293" s="307" t="inlineStr">
        <is>
          <t>select_one coping</t>
        </is>
      </c>
      <c r="B293" s="307" t="inlineStr">
        <is>
          <t>cs_stress_credit</t>
        </is>
      </c>
      <c r="C293" s="308" t="inlineStr">
        <is>
          <t>**Purchase food on credit or borrowed food**</t>
        </is>
      </c>
      <c r="D293" s="308" t="inlineStr">
        <is>
          <t>**Comprar comida a crédito o adquirir comida prestada**</t>
        </is>
      </c>
      <c r="E293" s="316" t="n"/>
      <c r="F293" s="316" t="n"/>
      <c r="G293" s="143" t="n"/>
      <c r="H293" s="143" t="n"/>
      <c r="I293" s="309" t="inlineStr">
        <is>
          <t>true</t>
        </is>
      </c>
      <c r="J293" s="309" t="inlineStr">
        <is>
          <t>minimal</t>
        </is>
      </c>
      <c r="K293" s="317" t="n"/>
      <c r="L293" s="317" t="n"/>
      <c r="M293" s="317" t="n"/>
      <c r="N293" s="317" t="n"/>
      <c r="O293" s="316" t="n"/>
      <c r="P293" s="316" t="n"/>
      <c r="Q293" s="316" t="n"/>
      <c r="R293" s="316" t="n"/>
      <c r="S293" s="307" t="inlineStr">
        <is>
          <t>no</t>
        </is>
      </c>
      <c r="T293" s="316" t="n"/>
      <c r="U293" s="318" t="n">
        <v>12.4080867767334</v>
      </c>
      <c r="V293" s="319" t="n">
        <v>1</v>
      </c>
      <c r="W293" s="320">
        <f>IF(U293&lt;&gt;"",U293*V293,"")</f>
        <v/>
      </c>
      <c r="X293" s="320">
        <f>IF(AND(U293&lt;&gt;"",S293="yes"),U293*V293,"")</f>
        <v/>
      </c>
      <c r="Y293" s="315" t="n"/>
    </row>
    <row r="294" ht="13.35" customHeight="1">
      <c r="E294" s="20" t="n"/>
      <c r="G294" s="143" t="n"/>
      <c r="H294" s="143" t="n"/>
      <c r="O294" s="20" t="n"/>
      <c r="P294" s="20" t="n"/>
      <c r="U294" s="313" t="n"/>
      <c r="V294" s="314" t="n"/>
      <c r="W294" s="315" t="n"/>
      <c r="X294" s="315" t="n"/>
      <c r="Y294" s="315" t="n"/>
    </row>
    <row r="295" ht="32.1" customHeight="1">
      <c r="A295" s="307" t="inlineStr">
        <is>
          <t>select_one coping</t>
        </is>
      </c>
      <c r="B295" s="307" t="inlineStr">
        <is>
          <t>cs_crisis_sold_prod_assets</t>
        </is>
      </c>
      <c r="C295" s="308" t="inlineStr">
        <is>
          <t>**Sell productive assets or means of transport** (sewing machine, wheelbarrow, bicycle, car, etc.)</t>
        </is>
      </c>
      <c r="D295" s="321" t="inlineStr">
        <is>
          <t>**Vender activos productivos o medios de transporte (máquina de coser, carreta, bicicleta, automóvil, etc)**</t>
        </is>
      </c>
      <c r="E295" s="316" t="n"/>
      <c r="F295" s="316" t="n"/>
      <c r="G295" s="143" t="n"/>
      <c r="H295" s="143" t="n"/>
      <c r="I295" s="309" t="inlineStr">
        <is>
          <t>true</t>
        </is>
      </c>
      <c r="J295" s="309" t="inlineStr">
        <is>
          <t>minimal</t>
        </is>
      </c>
      <c r="K295" s="317" t="n"/>
      <c r="L295" s="317" t="n"/>
      <c r="M295" s="317" t="n"/>
      <c r="N295" s="317" t="n"/>
      <c r="O295" s="316" t="n"/>
      <c r="P295" s="316" t="n"/>
      <c r="Q295" s="316" t="n"/>
      <c r="R295" s="316" t="n"/>
      <c r="S295" s="307" t="inlineStr">
        <is>
          <t>no</t>
        </is>
      </c>
      <c r="T295" s="316" t="n"/>
      <c r="U295" s="318" t="n">
        <v>14.4109589041096</v>
      </c>
      <c r="V295" s="319" t="n">
        <v>1</v>
      </c>
      <c r="W295" s="320">
        <f>IF(U295&lt;&gt;"",U295*V295,"")</f>
        <v/>
      </c>
      <c r="X295" s="320">
        <f>IF(AND(U295&lt;&gt;"",S295="yes"),U295*V295,"")</f>
        <v/>
      </c>
      <c r="Y295" s="315" t="n"/>
    </row>
    <row r="296" ht="16.35" customHeight="1">
      <c r="A296" s="307" t="inlineStr">
        <is>
          <t>select_one coping</t>
        </is>
      </c>
      <c r="B296" s="307" t="inlineStr">
        <is>
          <t>cs_crisis_hh_assets</t>
        </is>
      </c>
      <c r="C296" s="308" t="inlineStr">
        <is>
          <t>**Sell household assets/goods** (radio, furniture, television, jewelry etc.)</t>
        </is>
      </c>
      <c r="D296" s="308" t="inlineStr">
        <is>
          <t>**Vender bienes / bienes domésticos** (radio, muebles, televisor, joyería, etc.)**</t>
        </is>
      </c>
      <c r="E296" s="316" t="n"/>
      <c r="F296" s="316" t="n"/>
      <c r="G296" s="143" t="n"/>
      <c r="H296" s="143" t="n"/>
      <c r="I296" s="309" t="inlineStr">
        <is>
          <t>true</t>
        </is>
      </c>
      <c r="J296" s="309" t="inlineStr">
        <is>
          <t>minimal</t>
        </is>
      </c>
      <c r="K296" s="317" t="n"/>
      <c r="L296" s="317" t="n"/>
      <c r="M296" s="317" t="n"/>
      <c r="N296" s="317" t="n"/>
      <c r="O296" s="316" t="n"/>
      <c r="P296" s="316" t="n"/>
      <c r="Q296" s="316" t="n"/>
      <c r="R296" s="316" t="n"/>
      <c r="S296" s="307" t="inlineStr">
        <is>
          <t>no</t>
        </is>
      </c>
      <c r="T296" s="316" t="n"/>
      <c r="U296" s="318" t="n">
        <v>19.8515300750732</v>
      </c>
      <c r="V296" s="319" t="n">
        <v>1</v>
      </c>
      <c r="W296" s="320">
        <f>IF(U296&lt;&gt;"",U296*V296,"")</f>
        <v/>
      </c>
      <c r="X296" s="320">
        <f>IF(AND(U296&lt;&gt;"",S296="yes"),U296*V296,"")</f>
        <v/>
      </c>
      <c r="Y296" s="315" t="n"/>
    </row>
    <row r="297" ht="32.1" customHeight="1">
      <c r="A297" s="307" t="inlineStr">
        <is>
          <t>select_one coping</t>
        </is>
      </c>
      <c r="B297" s="307" t="inlineStr">
        <is>
          <t>cs_crisis_consume_seed_stocks</t>
        </is>
      </c>
      <c r="C297" s="308" t="inlineStr">
        <is>
          <t>**Consume seed stocks that were to be saved for the next planting season**</t>
        </is>
      </c>
      <c r="D297" s="308" t="inlineStr">
        <is>
          <t>**Consumir reservas de semillas que se guardarían para la próxima temporada de siembra**</t>
        </is>
      </c>
      <c r="E297" s="316" t="n"/>
      <c r="F297" s="316" t="n"/>
      <c r="G297" s="143" t="n"/>
      <c r="H297" s="143" t="n"/>
      <c r="I297" s="309" t="inlineStr">
        <is>
          <t>true</t>
        </is>
      </c>
      <c r="J297" s="309" t="inlineStr">
        <is>
          <t>minimal</t>
        </is>
      </c>
      <c r="K297" s="317" t="n"/>
      <c r="L297" s="317" t="n"/>
      <c r="M297" s="317" t="n"/>
      <c r="N297" s="317" t="n"/>
      <c r="O297" s="316" t="n"/>
      <c r="P297" s="316" t="n"/>
      <c r="Q297" s="316" t="n"/>
      <c r="R297" s="316" t="n"/>
      <c r="S297" s="307" t="inlineStr">
        <is>
          <t>no</t>
        </is>
      </c>
      <c r="T297" s="316" t="n"/>
      <c r="U297" s="318" t="n">
        <v>12.9961814880371</v>
      </c>
      <c r="V297" s="319" t="n">
        <v>1</v>
      </c>
      <c r="W297" s="320">
        <f>IF(U297&lt;&gt;"",U297*V297,"")</f>
        <v/>
      </c>
      <c r="X297" s="320">
        <f>IF(AND(U297&lt;&gt;"",S297="yes"),U297*V297,"")</f>
        <v/>
      </c>
      <c r="Y297" s="315" t="n"/>
    </row>
    <row r="298">
      <c r="A298" s="307" t="n"/>
      <c r="B298" s="307" t="n"/>
      <c r="C298" s="308" t="n"/>
      <c r="D298" s="321" t="n"/>
      <c r="E298" s="316" t="n"/>
      <c r="F298" s="316" t="n"/>
      <c r="G298" s="143" t="n"/>
      <c r="H298" s="143" t="n"/>
      <c r="I298" s="309" t="n"/>
      <c r="J298" s="309" t="n"/>
      <c r="K298" s="317" t="n"/>
      <c r="L298" s="317" t="n"/>
      <c r="M298" s="317" t="n"/>
      <c r="N298" s="317" t="n"/>
      <c r="O298" s="316" t="n"/>
      <c r="P298" s="316" t="n"/>
      <c r="Q298" s="316" t="n"/>
      <c r="R298" s="316" t="n"/>
      <c r="S298" s="307" t="n"/>
      <c r="T298" s="316" t="n"/>
      <c r="U298" s="318" t="n"/>
      <c r="V298" s="319" t="n"/>
      <c r="W298" s="320" t="n"/>
      <c r="X298" s="320" t="n"/>
      <c r="Y298" s="315" t="n"/>
    </row>
    <row r="299" ht="16.35" customHeight="1">
      <c r="A299" s="307" t="inlineStr">
        <is>
          <t>select_one coping</t>
        </is>
      </c>
      <c r="B299" s="307" t="inlineStr">
        <is>
          <t>cs_emergency_sold_house</t>
        </is>
      </c>
      <c r="C299" s="308" t="inlineStr">
        <is>
          <t>**Sell a house or land**</t>
        </is>
      </c>
      <c r="D299" s="308" t="inlineStr">
        <is>
          <t>**Vender una casa o un terreno**</t>
        </is>
      </c>
      <c r="E299" s="316" t="n"/>
      <c r="F299" s="316" t="n"/>
      <c r="G299" s="143" t="n"/>
      <c r="H299" s="143" t="n"/>
      <c r="I299" s="309" t="inlineStr">
        <is>
          <t>true</t>
        </is>
      </c>
      <c r="J299" s="309" t="inlineStr">
        <is>
          <t>minimal</t>
        </is>
      </c>
      <c r="K299" s="317" t="n"/>
      <c r="L299" s="317" t="n"/>
      <c r="M299" s="317" t="n"/>
      <c r="N299" s="317" t="n"/>
      <c r="O299" s="316" t="n"/>
      <c r="P299" s="316" t="n"/>
      <c r="Q299" s="316" t="n"/>
      <c r="R299" s="316" t="n"/>
      <c r="S299" s="307" t="inlineStr">
        <is>
          <t>no</t>
        </is>
      </c>
      <c r="T299" s="316" t="n"/>
      <c r="U299" s="318" t="n">
        <v>10.6681127548218</v>
      </c>
      <c r="V299" s="319" t="n">
        <v>1</v>
      </c>
      <c r="W299" s="320">
        <f>IF(U299&lt;&gt;"",U299*V299,"")</f>
        <v/>
      </c>
      <c r="X299" s="320">
        <f>IF(AND(U299&lt;&gt;"",S299="yes"),U299*V299,"")</f>
        <v/>
      </c>
      <c r="Y299" s="315" t="n"/>
    </row>
    <row r="300" ht="16.35" customHeight="1">
      <c r="A300" s="307" t="inlineStr">
        <is>
          <t>select_one coping</t>
        </is>
      </c>
      <c r="B300" s="307" t="inlineStr">
        <is>
          <t>cs_emergency_sold_last_female</t>
        </is>
      </c>
      <c r="C300" s="308" t="inlineStr">
        <is>
          <t>**Sell your last female animals**</t>
        </is>
      </c>
      <c r="D300" s="308" t="inlineStr">
        <is>
          <t>**Vender los últimos animales hembra**</t>
        </is>
      </c>
      <c r="E300" s="316" t="n"/>
      <c r="F300" s="316" t="n"/>
      <c r="G300" s="143" t="n"/>
      <c r="H300" s="143" t="n"/>
      <c r="I300" s="309" t="inlineStr">
        <is>
          <t>true</t>
        </is>
      </c>
      <c r="J300" s="309" t="inlineStr">
        <is>
          <t>minimal</t>
        </is>
      </c>
      <c r="K300" s="317" t="n"/>
      <c r="L300" s="317" t="n"/>
      <c r="M300" s="317" t="n"/>
      <c r="N300" s="317" t="n"/>
      <c r="O300" s="316" t="n"/>
      <c r="P300" s="316" t="n"/>
      <c r="Q300" s="316" t="n"/>
      <c r="R300" s="316" t="n"/>
      <c r="S300" s="307" t="inlineStr">
        <is>
          <t>no</t>
        </is>
      </c>
      <c r="T300" s="316" t="n"/>
      <c r="U300" s="318" t="n">
        <v>10.1141319274902</v>
      </c>
      <c r="V300" s="319" t="n">
        <v>1</v>
      </c>
      <c r="W300" s="320">
        <f>IF(U300&lt;&gt;"",U300*V300,"")</f>
        <v/>
      </c>
      <c r="X300" s="320">
        <f>IF(AND(U300&lt;&gt;"",S300="yes"),U300*V300,"")</f>
        <v/>
      </c>
      <c r="Y300" s="315" t="n"/>
    </row>
    <row r="301" ht="16.35" customHeight="1">
      <c r="A301" s="307" t="inlineStr">
        <is>
          <t>select_one coping</t>
        </is>
      </c>
      <c r="B301" s="307" t="inlineStr">
        <is>
          <t>cs_emergency_hh_migration</t>
        </is>
      </c>
      <c r="C301" s="308" t="inlineStr">
        <is>
          <t>**Migrate with the entire household**</t>
        </is>
      </c>
      <c r="D301" s="308" t="inlineStr">
        <is>
          <t>**Tuvo que migrar**</t>
        </is>
      </c>
      <c r="E301" s="316" t="n"/>
      <c r="F301" s="316" t="n"/>
      <c r="G301" s="143" t="n"/>
      <c r="H301" s="143" t="n"/>
      <c r="I301" s="309" t="inlineStr">
        <is>
          <t>true</t>
        </is>
      </c>
      <c r="J301" s="309" t="inlineStr">
        <is>
          <t>minimal</t>
        </is>
      </c>
      <c r="K301" s="317" t="n"/>
      <c r="L301" s="317" t="n"/>
      <c r="M301" s="317" t="n"/>
      <c r="N301" s="317" t="n"/>
      <c r="O301" s="316" t="n"/>
      <c r="P301" s="316" t="n"/>
      <c r="Q301" s="316" t="n"/>
      <c r="R301" s="316" t="n"/>
      <c r="S301" s="307" t="inlineStr">
        <is>
          <t>no</t>
        </is>
      </c>
      <c r="T301" s="316" t="n"/>
      <c r="U301" s="318" t="n">
        <v>10.8677053451538</v>
      </c>
      <c r="V301" s="319" t="n">
        <v>1</v>
      </c>
      <c r="W301" s="320">
        <f>IF(U301&lt;&gt;"",U301*V301,"")</f>
        <v/>
      </c>
      <c r="X301" s="320">
        <f>IF(AND(U301&lt;&gt;"",S301="yes"),U301*V301,"")</f>
        <v/>
      </c>
      <c r="Y301" s="315" t="n"/>
    </row>
    <row r="302" ht="15.95" customFormat="1" customHeight="1" s="143">
      <c r="A302" s="290" t="inlineStr">
        <is>
          <t>end_group</t>
        </is>
      </c>
      <c r="B302" s="290" t="n"/>
      <c r="C302" s="290" t="n"/>
      <c r="D302" s="290" t="n"/>
      <c r="E302" s="292" t="n"/>
      <c r="H302" s="292" t="n"/>
      <c r="I302" s="290" t="n"/>
      <c r="W302" s="293" t="n"/>
      <c r="X302" s="322" t="n">
        <v>1</v>
      </c>
      <c r="Y302" s="293">
        <f>IF(W302&lt;&gt;"",W302*X302,"")</f>
        <v/>
      </c>
      <c r="Z302" s="293">
        <f>IF(AND(W302&lt;&gt;"",U302="yes"),W302*X302,"")</f>
        <v/>
      </c>
      <c r="AA302" s="295" t="n"/>
    </row>
    <row r="303" ht="15.95" customHeight="1">
      <c r="A303" s="33" t="inlineStr">
        <is>
          <t>begin_group</t>
        </is>
      </c>
      <c r="B303" s="33" t="inlineStr">
        <is>
          <t>grp_hdds</t>
        </is>
      </c>
      <c r="C303" s="47" t="inlineStr">
        <is>
          <t>HDDS</t>
        </is>
      </c>
      <c r="D303" s="47" t="inlineStr">
        <is>
          <t>HDDS</t>
        </is>
      </c>
      <c r="E303" s="41" t="n"/>
      <c r="F303" s="28" t="n"/>
      <c r="G303" s="28" t="n"/>
      <c r="H303" s="42" t="n"/>
      <c r="I303" s="71" t="n"/>
      <c r="J303" s="71" t="n"/>
      <c r="K303" s="71" t="n"/>
      <c r="L303" s="71" t="n"/>
      <c r="M303" s="71" t="n"/>
      <c r="N303" s="71" t="n"/>
      <c r="O303" s="71" t="n"/>
      <c r="P303" s="71" t="n"/>
      <c r="W303" s="126" t="n"/>
      <c r="X303" s="62" t="n">
        <v>1</v>
      </c>
      <c r="Y303" s="114">
        <f>IF(W303&lt;&gt;"",W303*X303,"")</f>
        <v/>
      </c>
      <c r="Z303" s="114">
        <f>IF(AND(W303&lt;&gt;"",U303="yes"),W303*X303,"")</f>
        <v/>
      </c>
    </row>
    <row r="304" ht="32.1" customHeight="1">
      <c r="A304" s="28" t="inlineStr">
        <is>
          <t>note</t>
        </is>
      </c>
      <c r="B304" s="28" t="inlineStr">
        <is>
          <t>hdds_intro</t>
        </is>
      </c>
      <c r="C304" s="19" t="inlineStr">
        <is>
          <t>Now I would like to ask you about a set of questions on food consumption, referring to the *24 hours of yesterday*.</t>
        </is>
      </c>
      <c r="D304" s="19" t="inlineStr">
        <is>
          <t xml:space="preserve">Ahora me gustaría hacerle una serie de preguntas relacionadas con el consumo de alimentos, referidas a las *24 horas del día de ayer*. </t>
        </is>
      </c>
      <c r="E304" s="41" t="n"/>
      <c r="F304" s="28" t="n"/>
      <c r="G304" s="28" t="n"/>
      <c r="H304" s="42" t="n"/>
      <c r="I304" s="71" t="inlineStr">
        <is>
          <t>false</t>
        </is>
      </c>
      <c r="J304" s="71" t="n"/>
      <c r="K304" s="71" t="n"/>
      <c r="L304" s="71" t="n"/>
      <c r="M304" s="71" t="n"/>
      <c r="N304" s="71" t="n"/>
      <c r="O304" s="71" t="n"/>
      <c r="P304" s="71" t="n"/>
      <c r="U304" s="20" t="inlineStr">
        <is>
          <t>yes</t>
        </is>
      </c>
      <c r="W304" s="126" t="n"/>
      <c r="X304" s="62" t="n">
        <v>1</v>
      </c>
      <c r="Y304" s="114">
        <f>IF(W304&lt;&gt;"",W304*X304,"")</f>
        <v/>
      </c>
      <c r="Z304" s="114">
        <f>IF(AND(W304&lt;&gt;"",U304="yes"),W304*X304,"")</f>
        <v/>
      </c>
    </row>
    <row r="305" ht="48" customHeight="1">
      <c r="A305" s="28" t="inlineStr">
        <is>
          <t>select_multiple hdds</t>
        </is>
      </c>
      <c r="B305" s="28" t="inlineStr">
        <is>
          <t>hdds</t>
        </is>
      </c>
      <c r="C305" s="19" t="inlineStr">
        <is>
          <t>Please describe the foods (meals and snacks) that you or any household member ate or drank at home yesterday (in the *24 hours of yesterday*: breakfast, lunch, dinner and snacks).</t>
        </is>
      </c>
      <c r="D305" s="19" t="inlineStr">
        <is>
          <t>Describa los alimentos (comidas y meriendas) que usted o cualquier miembro del hogar comió o bebió en casa ayer (en las *24 horas de ayer*: desayuno, almuerzo, cena y meriendas).</t>
        </is>
      </c>
      <c r="E305" s="41" t="n"/>
      <c r="F305" s="28" t="inlineStr">
        <is>
          <t>[INSTRUCTIONS: SELECT ALL FOOD GROUPS CONSUMED IN THE 24 HOURS OF YESTERDAY AS THE RESPONDENT ANSWERS. MULTIPLE RESPONSES POSSIBLE.]</t>
        </is>
      </c>
      <c r="G305" s="28" t="inlineStr">
        <is>
          <t>[ENCUESTADOR/A: SELECCIONE TODOS LOS GRUPOS DE ALIMENTOS CONSUMIDOS EN LAS 24 HORAS DE AYER COMO RESPONDE EL ENCUESTADO. ES POSIBLE SELECCIONAR MÚLTIPLES RESPUESTAS.]</t>
        </is>
      </c>
      <c r="H305" s="42" t="n"/>
      <c r="I305" s="71" t="inlineStr">
        <is>
          <t>true</t>
        </is>
      </c>
      <c r="J305" s="71" t="n"/>
      <c r="K305" s="71" t="n"/>
      <c r="L305" s="71" t="n"/>
      <c r="M305" s="71" t="n"/>
      <c r="N305" s="71" t="n"/>
      <c r="O305" s="71" t="n"/>
      <c r="P305" s="71" t="n"/>
      <c r="U305" s="20" t="inlineStr">
        <is>
          <t>yes</t>
        </is>
      </c>
      <c r="W305" s="126" t="n">
        <v>72.29513549804688</v>
      </c>
      <c r="X305" s="62" t="n">
        <v>1</v>
      </c>
      <c r="Y305" s="114">
        <f>IF(W305&lt;&gt;"",W305*X305,"")</f>
        <v/>
      </c>
      <c r="Z305" s="114">
        <f>IF(AND(W305&lt;&gt;"",U305="yes"),W305*X305,"")</f>
        <v/>
      </c>
    </row>
    <row r="306" ht="63.95" customHeight="1">
      <c r="A306" s="28" t="inlineStr">
        <is>
          <t>note</t>
        </is>
      </c>
      <c r="B306" s="28" t="inlineStr">
        <is>
          <t>hdds_confirmation</t>
        </is>
      </c>
      <c r="C306" s="19" t="inlineStr">
        <is>
          <t>[INSTRUCTIONS: Remember to probe for snacks, special foods given to children or pregnant women, ingredients in mixed dishes. At the end, probe for any food groups not specified.]</t>
        </is>
      </c>
      <c r="D306" s="21" t="inlineStr">
        <is>
          <t>[ENCUESTADOR/A: Recuerde hacer preguntas de verificación para meriendas, comidas especiales que se les da a los niños y mujeres embarazadas, ingredientes en alimentos compuestos. Al final, pregunte por cualquier tipo de comida que no haya sido especificado.]</t>
        </is>
      </c>
      <c r="E306" s="41" t="n"/>
      <c r="F306" s="28" t="n"/>
      <c r="G306" s="28" t="n"/>
      <c r="H306" s="42" t="n"/>
      <c r="I306" s="71" t="inlineStr">
        <is>
          <t>false</t>
        </is>
      </c>
      <c r="J306" s="71" t="n"/>
      <c r="K306" s="71" t="n"/>
      <c r="L306" s="71" t="n"/>
      <c r="M306" s="71" t="n"/>
      <c r="N306" s="71" t="n"/>
      <c r="O306" s="71" t="n"/>
      <c r="P306" s="71" t="n"/>
      <c r="U306" s="20" t="inlineStr">
        <is>
          <t>yes</t>
        </is>
      </c>
      <c r="W306" s="126" t="n">
        <v>3.705221891403198</v>
      </c>
      <c r="X306" s="62" t="n">
        <v>1</v>
      </c>
      <c r="Y306" s="114">
        <f>IF(W306&lt;&gt;"",W306*X306,"")</f>
        <v/>
      </c>
      <c r="Z306" s="114">
        <f>IF(AND(W306&lt;&gt;"",U306="yes"),W306*X306,"")</f>
        <v/>
      </c>
    </row>
    <row r="307" ht="15.95" customHeight="1">
      <c r="A307" s="28" t="inlineStr">
        <is>
          <t>end_group</t>
        </is>
      </c>
      <c r="B307" s="28" t="n"/>
      <c r="C307" s="19" t="n"/>
      <c r="D307" s="19" t="n"/>
      <c r="E307" s="41" t="n"/>
      <c r="F307" s="28" t="n"/>
      <c r="G307" s="28" t="n"/>
      <c r="H307" s="42" t="n"/>
      <c r="I307" s="71" t="n"/>
      <c r="J307" s="71" t="n"/>
      <c r="K307" s="71" t="n"/>
      <c r="L307" s="71" t="n"/>
      <c r="M307" s="71" t="n"/>
      <c r="N307" s="71" t="n"/>
      <c r="O307" s="71" t="n"/>
      <c r="P307" s="71" t="n"/>
      <c r="W307" s="126" t="n"/>
      <c r="X307" s="62" t="n">
        <v>1</v>
      </c>
      <c r="Y307" s="114">
        <f>IF(W307&lt;&gt;"",W307*X307,"")</f>
        <v/>
      </c>
      <c r="Z307" s="114">
        <f>IF(AND(W307&lt;&gt;"",U307="yes"),W307*X307,"")</f>
        <v/>
      </c>
    </row>
    <row r="308">
      <c r="A308" s="29" t="n"/>
      <c r="B308" s="29" t="n"/>
      <c r="E308" s="41" t="n"/>
      <c r="H308" s="42" t="n"/>
      <c r="W308" s="126" t="n"/>
      <c r="X308" s="62" t="n">
        <v>1</v>
      </c>
      <c r="Y308" s="114">
        <f>IF(W308&lt;&gt;"",W308*X308,"")</f>
        <v/>
      </c>
      <c r="Z308" s="114">
        <f>IF(AND(W308&lt;&gt;"",U308="yes"),W308*X308,"")</f>
        <v/>
      </c>
    </row>
    <row r="309" ht="15.95" customFormat="1" customHeight="1" s="30">
      <c r="A309" s="30" t="inlineStr">
        <is>
          <t>begin_group</t>
        </is>
      </c>
      <c r="B309" s="30" t="inlineStr">
        <is>
          <t>grp_fcs</t>
        </is>
      </c>
      <c r="C309" s="112" t="inlineStr">
        <is>
          <t>FCS</t>
        </is>
      </c>
      <c r="D309" s="112" t="inlineStr">
        <is>
          <t>FCS</t>
        </is>
      </c>
      <c r="E309" s="32" t="n"/>
      <c r="H309" s="36" t="n"/>
      <c r="I309" s="72" t="n"/>
      <c r="J309" s="72" t="n"/>
      <c r="K309" s="72" t="n"/>
      <c r="L309" s="72" t="n"/>
      <c r="M309" s="72" t="n"/>
      <c r="N309" s="72" t="n"/>
      <c r="O309" s="72" t="n"/>
      <c r="P309" s="72" t="n"/>
      <c r="U309" s="30" t="inlineStr">
        <is>
          <t>no</t>
        </is>
      </c>
      <c r="W309" s="126" t="n"/>
      <c r="X309" s="62" t="n">
        <v>1</v>
      </c>
      <c r="Y309" s="114">
        <f>IF(W309&lt;&gt;"",W309*X309,"")</f>
        <v/>
      </c>
      <c r="Z309" s="114">
        <f>IF(AND(W309&lt;&gt;"",U309="yes"),W309*X309,"")</f>
        <v/>
      </c>
    </row>
    <row r="310" ht="48" customFormat="1" customHeight="1" s="31">
      <c r="A310" s="31" t="inlineStr">
        <is>
          <t>note</t>
        </is>
      </c>
      <c r="B310" s="31" t="inlineStr">
        <is>
          <t>fcs_intro</t>
        </is>
      </c>
      <c r="C310" s="31" t="inlineStr">
        <is>
          <t>Now I would like to ask you about the foods and drinks your household ate or drank in  *the last 7 days* during the day and at night [breakfast, lunch, dinner, snacks].</t>
        </is>
      </c>
      <c r="D310" s="31" t="inlineStr">
        <is>
          <t>Ahora me gustaría hacerle algunas preguntas sobre el consumo de alimentos y bebidas que su hogar comió y bebió en los últimos 7 días durante el día y la noche [desayuno, almuerzo, cena y entremedios].</t>
        </is>
      </c>
      <c r="E310" s="32" t="n"/>
      <c r="H310" s="32" t="n"/>
      <c r="I310" s="72" t="inlineStr">
        <is>
          <t>false</t>
        </is>
      </c>
      <c r="J310" s="87" t="n"/>
      <c r="K310" s="87" t="n"/>
      <c r="L310" s="72" t="n"/>
      <c r="M310" s="87" t="n"/>
      <c r="N310" s="87" t="n"/>
      <c r="O310" s="87" t="n"/>
      <c r="P310" s="87" t="n"/>
      <c r="U310" s="31" t="inlineStr">
        <is>
          <t>no</t>
        </is>
      </c>
      <c r="W310" s="126" t="n">
        <v>0</v>
      </c>
      <c r="X310" s="62" t="n">
        <v>1</v>
      </c>
      <c r="Y310" s="114">
        <f>IF(W310&lt;&gt;"",W310*X310,"")</f>
        <v/>
      </c>
      <c r="Z310" s="114">
        <f>IF(AND(W310&lt;&gt;"",U310="yes"),W310*X310,"")</f>
        <v/>
      </c>
    </row>
    <row r="311" ht="48" customFormat="1" customHeight="1" s="31">
      <c r="A311" s="31" t="inlineStr">
        <is>
          <t>integer</t>
        </is>
      </c>
      <c r="B311" s="31" t="inlineStr">
        <is>
          <t>fcs_staple_days</t>
        </is>
      </c>
      <c r="C311" s="31" t="inlineStr">
        <is>
          <t>How many days over *the last 7 days*, did members of your household eat **starches, roots and tubers** such as rice, maize, pasta, bread, sorghum, millet, potato, yam, cassava, white sweet potato?</t>
        </is>
      </c>
      <c r="D311" s="31" t="inlineStr">
        <is>
          <t>¿Durante cuántos días en los *últimos 7 días* consumió usted o su hogar **almidónes (carbohidratos), raices y tubérculos** como arroz, maíz, pasta, pan, tortillas de maíz o de trigo, sorgo, mijo, patata, ñame, yuca, boniato blanco?</t>
        </is>
      </c>
      <c r="E311" s="32" t="n"/>
      <c r="F311" s="30" t="inlineStr">
        <is>
          <t>[INSTRUCTIONS: RECORD NUMBER OF DAYS 0 - 7. IF CONSUMED ONLY IN SMALL QUANTITY, DO NOT INCLUDE.]</t>
        </is>
      </c>
      <c r="G311" s="30" t="inlineStr">
        <is>
          <t xml:space="preserve">[ENCUESTADOR/A: ESCRIBA EL NÚMERO DE DÍAS 0 -7. SI CONSUMIÓ PEQUEÑAS CANTIDADES, NO LO INCLUYA.] </t>
        </is>
      </c>
      <c r="H311" s="32" t="n"/>
      <c r="I311" s="72" t="inlineStr">
        <is>
          <t>true</t>
        </is>
      </c>
      <c r="J311" s="87" t="n"/>
      <c r="K311" s="87" t="inlineStr">
        <is>
          <t>.&gt;= 0 and .&lt;=7</t>
        </is>
      </c>
      <c r="L311" s="72" t="inlineStr">
        <is>
          <t>The answer must be between 0 and 7 days</t>
        </is>
      </c>
      <c r="M311" s="87" t="n"/>
      <c r="N311" s="87" t="n"/>
      <c r="O311" s="87" t="n"/>
      <c r="P311" s="87" t="n"/>
      <c r="U311" s="31" t="inlineStr">
        <is>
          <t>no</t>
        </is>
      </c>
      <c r="W311" s="126" t="n">
        <v>17</v>
      </c>
      <c r="X311" s="62" t="n">
        <v>1</v>
      </c>
      <c r="Y311" s="114">
        <f>IF(W311&lt;&gt;"",W311*X311,"")</f>
        <v/>
      </c>
      <c r="Z311" s="114">
        <f>IF(AND(W311&lt;&gt;"",U311="yes"),W311*X311,"")</f>
        <v/>
      </c>
    </row>
    <row r="312" ht="48" customFormat="1" customHeight="1" s="31">
      <c r="A312" s="31" t="inlineStr">
        <is>
          <t>integer</t>
        </is>
      </c>
      <c r="B312" s="31" t="inlineStr">
        <is>
          <t>fcs_pulses_days</t>
        </is>
      </c>
      <c r="C312" s="31" t="inlineStr">
        <is>
          <t>How many days over *the last 7 days*, did members of your household eat** pulses and nuts such as beans, lentils, cowpeas, soybean, pigeon peas and peanuts or other nuts**?</t>
        </is>
      </c>
      <c r="D312" s="31" t="inlineStr">
        <is>
          <t>¿Durante cuántos días en los *últimos 7 días* consumió usted o su hogar **legumbres y nueces como fríjoles, lentejas, caupí, soja, gandules y maní u otras nueces**?</t>
        </is>
      </c>
      <c r="E312" s="32" t="n"/>
      <c r="F312" s="30" t="inlineStr">
        <is>
          <t>[INSTRUCTIONS: RECORD NUMBER OF DAYS 0 - 7. IF CONSUMED ONLY IN SMALL QUANTITY, DO NOT INCLUDE.]</t>
        </is>
      </c>
      <c r="G312" s="30" t="inlineStr">
        <is>
          <t xml:space="preserve">[ENCUESTADOR/A: ESCRIBA EL NÚMERO DE DÍAS 0 -7. SI CONSUMIÓ PEQUEÑAS CANTIDADES, NO LO INCLUYA.] </t>
        </is>
      </c>
      <c r="H312" s="32" t="n"/>
      <c r="I312" s="72" t="inlineStr">
        <is>
          <t>true</t>
        </is>
      </c>
      <c r="J312" s="87" t="n"/>
      <c r="K312" s="87" t="inlineStr">
        <is>
          <t>.&gt;= 0 and .&lt;=7</t>
        </is>
      </c>
      <c r="L312" s="72" t="inlineStr">
        <is>
          <t>The answer must be between 0 and 7 days</t>
        </is>
      </c>
      <c r="M312" s="87" t="n"/>
      <c r="N312" s="87" t="n"/>
      <c r="O312" s="87" t="n"/>
      <c r="P312" s="87" t="n"/>
      <c r="U312" s="31" t="inlineStr">
        <is>
          <t>no</t>
        </is>
      </c>
      <c r="W312" s="126" t="n">
        <v>17</v>
      </c>
      <c r="X312" s="62" t="n">
        <v>1</v>
      </c>
      <c r="Y312" s="114">
        <f>IF(W312&lt;&gt;"",W312*X312,"")</f>
        <v/>
      </c>
      <c r="Z312" s="114">
        <f>IF(AND(W312&lt;&gt;"",U312="yes"),W312*X312,"")</f>
        <v/>
      </c>
    </row>
    <row r="313" ht="32.1" customFormat="1" customHeight="1" s="31">
      <c r="A313" s="31" t="inlineStr">
        <is>
          <t>integer</t>
        </is>
      </c>
      <c r="B313" s="31" t="inlineStr">
        <is>
          <t>fcs_vegetables_days</t>
        </is>
      </c>
      <c r="C313" s="31" t="inlineStr">
        <is>
          <t>How many days over *the last 7 days*, did members of your household eat **vegetables or leaves** such as nan and/or other leaves/vegetables?</t>
        </is>
      </c>
      <c r="D313" s="31" t="inlineStr">
        <is>
          <t>¿Durante cuántos días en los *últimos 7 días* consumió usted o su hogar **vegetales y hojas** como chipilin, loroco, hierba mora, quilete y/o otras hojas/verduras?</t>
        </is>
      </c>
      <c r="E313" s="32" t="n"/>
      <c r="F313" s="30" t="inlineStr">
        <is>
          <t>[INSTRUCTIONS: RECORD NUMBER OF DAYS 0 - 7. IF CONSUMED ONLY IN SMALL QUANTITY, DO NOT INCLUDE.]</t>
        </is>
      </c>
      <c r="G313" s="30" t="inlineStr">
        <is>
          <t xml:space="preserve">[ENCUESTADOR/A: ESCRIBA EL NÚMERO DE DÍAS 0 -7. SI CONSUMIÓ PEQUEÑAS CANTIDADES, NO LO INCLUYA.] </t>
        </is>
      </c>
      <c r="H313" s="32" t="n"/>
      <c r="I313" s="72" t="inlineStr">
        <is>
          <t>true</t>
        </is>
      </c>
      <c r="J313" s="87" t="n"/>
      <c r="K313" s="87" t="inlineStr">
        <is>
          <t>.&gt;= 0 and .&lt;=7</t>
        </is>
      </c>
      <c r="L313" s="72" t="inlineStr">
        <is>
          <t>The answer must be between 0 and 7 days</t>
        </is>
      </c>
      <c r="M313" s="87" t="n"/>
      <c r="N313" s="87" t="n"/>
      <c r="O313" s="87" t="n"/>
      <c r="P313" s="87" t="n"/>
      <c r="U313" s="31" t="inlineStr">
        <is>
          <t>no</t>
        </is>
      </c>
      <c r="W313" s="126" t="n">
        <v>17</v>
      </c>
      <c r="X313" s="62" t="n">
        <v>1</v>
      </c>
      <c r="Y313" s="114">
        <f>IF(W313&lt;&gt;"",W313*X313,"")</f>
        <v/>
      </c>
      <c r="Z313" s="114">
        <f>IF(AND(W313&lt;&gt;"",U313="yes"),W313*X313,"")</f>
        <v/>
      </c>
    </row>
    <row r="314" ht="32.1" customFormat="1" customHeight="1" s="31">
      <c r="A314" s="31" t="inlineStr">
        <is>
          <t>integer</t>
        </is>
      </c>
      <c r="B314" s="31" t="inlineStr">
        <is>
          <t>fcs_fruit_days</t>
        </is>
      </c>
      <c r="C314" s="31" t="inlineStr">
        <is>
          <t>How many days over *the last 7 days*, did members of your household eat **fruit** such as nan and/or other fruits?</t>
        </is>
      </c>
      <c r="D314" s="31" t="inlineStr">
        <is>
          <t>¿Durante cuántos días en los *últimos 7 días* consumió usted o su hogar **frutas** como Anona, mango, banano, papaya y/o otras frutas?</t>
        </is>
      </c>
      <c r="E314" s="32" t="n"/>
      <c r="F314" s="30" t="inlineStr">
        <is>
          <t>[INSTRUCTIONS: RECORD NUMBER OF DAYS 0 - 7. IF CONSUMED ONLY IN SMALL QUANTITY, DO NOT INCLUDE.]</t>
        </is>
      </c>
      <c r="G314" s="30" t="inlineStr">
        <is>
          <t xml:space="preserve">[ENCUESTADOR/A: ESCRIBA EL NÚMERO DE DÍAS 0 -7. SI CONSUMIÓ PEQUEÑAS CANTIDADES, NO LO INCLUYA.] </t>
        </is>
      </c>
      <c r="H314" s="32" t="n"/>
      <c r="I314" s="72" t="inlineStr">
        <is>
          <t>true</t>
        </is>
      </c>
      <c r="J314" s="87" t="n"/>
      <c r="K314" s="87" t="inlineStr">
        <is>
          <t>.&gt;= 0 and .&lt;=7</t>
        </is>
      </c>
      <c r="L314" s="72" t="inlineStr">
        <is>
          <t>The answer must be between 0 and 7 days</t>
        </is>
      </c>
      <c r="M314" s="87" t="n"/>
      <c r="N314" s="87" t="n"/>
      <c r="O314" s="87" t="n"/>
      <c r="P314" s="87" t="n"/>
      <c r="U314" s="31" t="inlineStr">
        <is>
          <t>no</t>
        </is>
      </c>
      <c r="W314" s="126" t="n">
        <v>17</v>
      </c>
      <c r="X314" s="62" t="n">
        <v>1</v>
      </c>
      <c r="Y314" s="114">
        <f>IF(W314&lt;&gt;"",W314*X314,"")</f>
        <v/>
      </c>
      <c r="Z314" s="114">
        <f>IF(AND(W314&lt;&gt;"",U314="yes"),W314*X314,"")</f>
        <v/>
      </c>
    </row>
    <row r="315" ht="48" customFormat="1" customHeight="1" s="31">
      <c r="A315" s="31" t="inlineStr">
        <is>
          <t>integer</t>
        </is>
      </c>
      <c r="B315" s="31" t="inlineStr">
        <is>
          <t>fcs_meat_fish_days</t>
        </is>
      </c>
      <c r="C315" s="31" t="inlineStr">
        <is>
          <t>How many days over *the last 7 days*, did members of your household eat **meat, eggs or fish** [any type of meat or fish including insects, birds, bush meat, seafood, or organs]?</t>
        </is>
      </c>
      <c r="D315" s="31" t="inlineStr">
        <is>
          <t>¿Durante cuántos días en los *últimos 7 días* consumió usted o su hogar **carne, huevos o pescado** [cualquier tipo de carne o pescado incluyendo insectos, aves, de caza, comida de mar o visceras]?</t>
        </is>
      </c>
      <c r="E315" s="32" t="n"/>
      <c r="F315" s="30" t="inlineStr">
        <is>
          <t>[INSTRUCTIONS: RECORD NUMBER OF DAYS 0 - 7. IF CONSUMED ONLY IN SMALL QUANTITY, DO NOT INCLUDE.]</t>
        </is>
      </c>
      <c r="G315" s="30" t="inlineStr">
        <is>
          <t xml:space="preserve">[ENCUESTADOR/A: ESCRIBA EL NÚMERO DE DÍAS 0 -7. SI CONSUMIÓ PEQUEÑAS CANTIDADES, NO LO INCLUYA.] </t>
        </is>
      </c>
      <c r="H315" s="32" t="n"/>
      <c r="I315" s="72" t="inlineStr">
        <is>
          <t>true</t>
        </is>
      </c>
      <c r="J315" s="87" t="n"/>
      <c r="K315" s="87" t="inlineStr">
        <is>
          <t>.&gt;= 0 and .&lt;=7</t>
        </is>
      </c>
      <c r="L315" s="72" t="inlineStr">
        <is>
          <t>The answer must be between 0 and 7 days</t>
        </is>
      </c>
      <c r="M315" s="87" t="n"/>
      <c r="N315" s="87" t="n"/>
      <c r="O315" s="87" t="n"/>
      <c r="P315" s="87" t="n"/>
      <c r="U315" s="31" t="inlineStr">
        <is>
          <t>no</t>
        </is>
      </c>
      <c r="W315" s="126" t="n">
        <v>17</v>
      </c>
      <c r="X315" s="62" t="n">
        <v>1</v>
      </c>
      <c r="Y315" s="114">
        <f>IF(W315&lt;&gt;"",W315*X315,"")</f>
        <v/>
      </c>
      <c r="Z315" s="114">
        <f>IF(AND(W315&lt;&gt;"",U315="yes"),W315*X315,"")</f>
        <v/>
      </c>
    </row>
    <row r="316" ht="48" customFormat="1" customHeight="1" s="31">
      <c r="A316" s="31" t="inlineStr">
        <is>
          <t>integer</t>
        </is>
      </c>
      <c r="B316" s="31" t="inlineStr">
        <is>
          <t>fcs_dairy_days</t>
        </is>
      </c>
      <c r="C316" s="31" t="inlineStr">
        <is>
          <t>How many days over *the last 7 days*, did members of your household consume fresh milk, sour milk, yogurt, cheese or other **dairy products** [excluding margarine/butter or small amounts of milk for tea/ coffee]?</t>
        </is>
      </c>
      <c r="D316" s="31" t="inlineStr">
        <is>
          <t>¿Durante cuántos días en los *últimos 7 días* consumió usted o su hogar leche fresca, leche agria, yogurt, queso u otro **producto lácteo**? [excluyendo margarina/mantequilla or pequeñas cantidades de leche para el té / café]?</t>
        </is>
      </c>
      <c r="E316" s="32" t="n"/>
      <c r="F316" s="30" t="inlineStr">
        <is>
          <t>[INSTRUCTIONS: RECORD NUMBER OF DAYS 0 - 7. IF CONSUMED ONLY IN SMALL QUANTITY, DO NOT INCLUDE.]</t>
        </is>
      </c>
      <c r="G316" s="30" t="inlineStr">
        <is>
          <t xml:space="preserve">[ENCUESTADOR/A: ESCRIBA EL NÚMERO DE DÍAS 0 -7. SI CONSUMIÓ PEQUEÑAS CANTIDADES, NO LO INCLUYA.] </t>
        </is>
      </c>
      <c r="H316" s="32" t="n"/>
      <c r="I316" s="72" t="inlineStr">
        <is>
          <t>true</t>
        </is>
      </c>
      <c r="J316" s="87" t="n"/>
      <c r="K316" s="87" t="inlineStr">
        <is>
          <t>.&gt;= 0 and .&lt;=7</t>
        </is>
      </c>
      <c r="L316" s="72" t="inlineStr">
        <is>
          <t>The answer must be between 0 and 7 days</t>
        </is>
      </c>
      <c r="M316" s="87" t="n"/>
      <c r="N316" s="87" t="n"/>
      <c r="O316" s="87" t="n"/>
      <c r="P316" s="87" t="n"/>
      <c r="U316" s="31" t="inlineStr">
        <is>
          <t>no</t>
        </is>
      </c>
      <c r="W316" s="126" t="n">
        <v>17</v>
      </c>
      <c r="X316" s="62" t="n">
        <v>1</v>
      </c>
      <c r="Y316" s="114">
        <f>IF(W316&lt;&gt;"",W316*X316,"")</f>
        <v/>
      </c>
      <c r="Z316" s="114">
        <f>IF(AND(W316&lt;&gt;"",U316="yes"),W316*X316,"")</f>
        <v/>
      </c>
    </row>
    <row r="317" ht="48" customFormat="1" customHeight="1" s="31">
      <c r="A317" s="31" t="inlineStr">
        <is>
          <t>integer</t>
        </is>
      </c>
      <c r="B317" s="31" t="inlineStr">
        <is>
          <t>fcs_sugar_days</t>
        </is>
      </c>
      <c r="C317" s="31" t="inlineStr">
        <is>
          <t>How many days over *the last 7 days*, did members of your household consume **sugar or sweets** such as sugar, honey, jam, cakes, candy, cookies, pastries, cakes and other sweets and sugary drinks?</t>
        </is>
      </c>
      <c r="D317" s="31" t="inlineStr">
        <is>
          <t>¿Durante cuántos días en los *últimos 7 días* consumió usted o su hogar **azucar o dulces** como azucar, miel, mermelada, pasteles, dulces, galletas, pastelería, pasteles y otros dulces y bebidas azucaradas?</t>
        </is>
      </c>
      <c r="E317" s="32" t="n"/>
      <c r="F317" s="30" t="inlineStr">
        <is>
          <t>[INSTRUCTIONS: RECORD NUMBER OF DAYS 0 - 7. IF CONSUMED ONLY IN SMALL QUANTITY, DO NOT INCLUDE.]</t>
        </is>
      </c>
      <c r="G317" s="30" t="inlineStr">
        <is>
          <t xml:space="preserve">[ENCUESTADOR/A: ESCRIBA EL NÚMERO DE DÍAS 0 -7. SI CONSUMIÓ PEQUEÑAS CANTIDADES, NO LO INCLUYA.] </t>
        </is>
      </c>
      <c r="H317" s="32" t="n"/>
      <c r="I317" s="72" t="inlineStr">
        <is>
          <t>true</t>
        </is>
      </c>
      <c r="J317" s="87" t="n"/>
      <c r="K317" s="87" t="inlineStr">
        <is>
          <t>.&gt;= 0 and .&lt;=7</t>
        </is>
      </c>
      <c r="L317" s="72" t="inlineStr">
        <is>
          <t>The answer must be between 0 and 7 days</t>
        </is>
      </c>
      <c r="M317" s="87" t="n"/>
      <c r="N317" s="87" t="n"/>
      <c r="O317" s="87" t="n"/>
      <c r="P317" s="87" t="n"/>
      <c r="U317" s="31" t="inlineStr">
        <is>
          <t>no</t>
        </is>
      </c>
      <c r="W317" s="126" t="n">
        <v>17</v>
      </c>
      <c r="X317" s="62" t="n">
        <v>1</v>
      </c>
      <c r="Y317" s="114">
        <f>IF(W317&lt;&gt;"",W317*X317,"")</f>
        <v/>
      </c>
      <c r="Z317" s="114">
        <f>IF(AND(W317&lt;&gt;"",U317="yes"),W317*X317,"")</f>
        <v/>
      </c>
    </row>
    <row r="318" ht="48" customFormat="1" customHeight="1" s="31">
      <c r="A318" s="31" t="inlineStr">
        <is>
          <t>integer</t>
        </is>
      </c>
      <c r="B318" s="31" t="inlineStr">
        <is>
          <t>fcs_oil_days</t>
        </is>
      </c>
      <c r="C318" s="31" t="inlineStr">
        <is>
          <t>How many days over *the last 7 days*, did members of your household eat **oil/fat/butter** such as vegetable oil, palm oil, groundnut oil, margarine, other fats / oil?</t>
        </is>
      </c>
      <c r="D318" s="31" t="inlineStr">
        <is>
          <t>¿Durante cuántos días en los *últimos 7 días* consumió usted o su hogar **aceite / grasa / mantequilla** como aceite vegetal, aceite de palma, aceite de maní, margarina, otras grasas/aceites?</t>
        </is>
      </c>
      <c r="E318" s="32" t="n"/>
      <c r="F318" s="30" t="inlineStr">
        <is>
          <t>[INSTRUCTIONS: RECORD NUMBER OF DAYS 0 - 7. IF CONSUMED ONLY IN SMALL QUANTITY, DO NOT INCLUDE.]</t>
        </is>
      </c>
      <c r="G318" s="30" t="inlineStr">
        <is>
          <t xml:space="preserve">[ENCUESTADOR/A: ESCRIBA EL NÚMERO DE DÍAS 0 -7. SI CONSUMIÓ PEQUEÑAS CANTIDADES, NO LO INCLUYA.] </t>
        </is>
      </c>
      <c r="H318" s="32" t="n"/>
      <c r="I318" s="72" t="inlineStr">
        <is>
          <t>true</t>
        </is>
      </c>
      <c r="J318" s="87" t="n"/>
      <c r="K318" s="87" t="inlineStr">
        <is>
          <t>.&gt;= 0 and .&lt;=7</t>
        </is>
      </c>
      <c r="L318" s="72" t="inlineStr">
        <is>
          <t>The answer must be between 0 and 7 days</t>
        </is>
      </c>
      <c r="M318" s="87" t="n"/>
      <c r="N318" s="87" t="n"/>
      <c r="O318" s="87" t="n"/>
      <c r="P318" s="87" t="n"/>
      <c r="U318" s="31" t="inlineStr">
        <is>
          <t>no</t>
        </is>
      </c>
      <c r="W318" s="126" t="n">
        <v>17</v>
      </c>
      <c r="X318" s="62" t="n">
        <v>1</v>
      </c>
      <c r="Y318" s="114">
        <f>IF(W318&lt;&gt;"",W318*X318,"")</f>
        <v/>
      </c>
      <c r="Z318" s="114">
        <f>IF(AND(W318&lt;&gt;"",U318="yes"),W318*X318,"")</f>
        <v/>
      </c>
    </row>
    <row r="319" ht="48" customFormat="1" customHeight="1" s="31">
      <c r="A319" s="31" t="inlineStr">
        <is>
          <t>integer</t>
        </is>
      </c>
      <c r="B319" s="31" t="inlineStr">
        <is>
          <t>fcs_condiments_days</t>
        </is>
      </c>
      <c r="C319" s="31" t="inlineStr">
        <is>
          <t>How many days over *the last 7 days*, did members of your household eat **spices or condiments** such as tea, coffee, cocoa, salt, garlic, spices, yeast, meat fish as a condiment or small amounts of milk for tea or coffee?</t>
        </is>
      </c>
      <c r="D319" s="31" t="inlineStr">
        <is>
          <t>¿Durante cuántos días en los *últimos 7 días* consumió usted o su hogar **especias o condimentos** como té, café, cacao, sal, ajo, especias, levadura, carne de pescado como condimento o pequeñas cantidades de té o café con leche ?</t>
        </is>
      </c>
      <c r="E319" s="32" t="n"/>
      <c r="F319" s="30" t="inlineStr">
        <is>
          <t>[INSTRUCTIONS: RECORD NUMBER OF DAYS 0 - 7. IF CONSUMED ONLY IN SMALL QUANTITY, DO NOT INCLUDE.]</t>
        </is>
      </c>
      <c r="G319" s="30" t="inlineStr">
        <is>
          <t xml:space="preserve">[ENCUESTADOR/A: ESCRIBA EL NÚMERO DE DÍAS 0 -7. SI CONSUMIÓ PEQUEÑAS CANTIDADES, NO LO INCLUYA.] </t>
        </is>
      </c>
      <c r="H319" s="32" t="n"/>
      <c r="I319" s="72" t="inlineStr">
        <is>
          <t>true</t>
        </is>
      </c>
      <c r="J319" s="87" t="n"/>
      <c r="K319" s="87" t="inlineStr">
        <is>
          <t>.&gt;= 0 and .&lt;=7</t>
        </is>
      </c>
      <c r="L319" s="72" t="inlineStr">
        <is>
          <t>The answer must be between 0 and 7 days</t>
        </is>
      </c>
      <c r="M319" s="87" t="n"/>
      <c r="N319" s="87" t="n"/>
      <c r="O319" s="87" t="n"/>
      <c r="P319" s="87" t="n"/>
      <c r="U319" s="31" t="inlineStr">
        <is>
          <t>no</t>
        </is>
      </c>
      <c r="W319" s="126" t="n">
        <v>17</v>
      </c>
      <c r="X319" s="62" t="n">
        <v>1</v>
      </c>
      <c r="Y319" s="114">
        <f>IF(W319&lt;&gt;"",W319*X319,"")</f>
        <v/>
      </c>
      <c r="Z319" s="114">
        <f>IF(AND(W319&lt;&gt;"",U319="yes"),W319*X319,"")</f>
        <v/>
      </c>
    </row>
    <row r="320" customFormat="1" s="30">
      <c r="A320" s="30" t="inlineStr">
        <is>
          <t>end_group</t>
        </is>
      </c>
      <c r="C320" s="31" t="n"/>
      <c r="D320" s="31" t="n"/>
      <c r="E320" s="32" t="n"/>
      <c r="H320" s="36" t="n"/>
      <c r="I320" s="72" t="n"/>
      <c r="J320" s="72" t="n"/>
      <c r="K320" s="72" t="n"/>
      <c r="L320" s="72" t="n"/>
      <c r="M320" s="72" t="n"/>
      <c r="N320" s="72" t="n"/>
      <c r="O320" s="72" t="n"/>
      <c r="P320" s="72" t="n"/>
      <c r="W320" s="126" t="n">
        <v>17</v>
      </c>
      <c r="X320" s="62" t="n">
        <v>1</v>
      </c>
      <c r="Y320" s="114">
        <f>IF(W320&lt;&gt;"",W320*X320,"")</f>
        <v/>
      </c>
      <c r="Z320" s="114">
        <f>IF(AND(W320&lt;&gt;"",U320="yes"),W320*X320,"")</f>
        <v/>
      </c>
      <c r="AA320" s="29" t="n"/>
    </row>
    <row r="321" customFormat="1" s="30">
      <c r="C321" s="31" t="n"/>
      <c r="D321" s="31" t="n"/>
      <c r="E321" s="32" t="n"/>
      <c r="H321" s="36" t="n"/>
      <c r="I321" s="72" t="n"/>
      <c r="J321" s="72" t="n"/>
      <c r="K321" s="72" t="n"/>
      <c r="L321" s="72" t="n"/>
      <c r="M321" s="72" t="n"/>
      <c r="N321" s="72" t="n"/>
      <c r="O321" s="72" t="n"/>
      <c r="P321" s="72" t="n"/>
      <c r="W321" s="126" t="n">
        <v>17</v>
      </c>
      <c r="X321" s="62" t="n">
        <v>1</v>
      </c>
      <c r="Y321" s="114">
        <f>IF(W321&lt;&gt;"",W321*X321,"")</f>
        <v/>
      </c>
      <c r="Z321" s="114">
        <f>IF(AND(W321&lt;&gt;"",U321="yes"),W321*X321,"")</f>
        <v/>
      </c>
      <c r="AA321" s="29" t="n"/>
    </row>
    <row r="322" ht="15.95" customFormat="1" customHeight="1" s="30">
      <c r="A322" s="30" t="inlineStr">
        <is>
          <t>begin_group</t>
        </is>
      </c>
      <c r="B322" s="30" t="inlineStr">
        <is>
          <t>grp_rcsi</t>
        </is>
      </c>
      <c r="C322" s="112" t="inlineStr">
        <is>
          <t>rCSI</t>
        </is>
      </c>
      <c r="D322" s="112" t="inlineStr">
        <is>
          <t>rCSI</t>
        </is>
      </c>
      <c r="E322" s="32" t="n"/>
      <c r="H322" s="36" t="n"/>
      <c r="I322" s="72" t="n"/>
      <c r="J322" s="72" t="n"/>
      <c r="K322" s="72" t="n"/>
      <c r="L322" s="72" t="n"/>
      <c r="M322" s="72" t="n"/>
      <c r="N322" s="72" t="n"/>
      <c r="O322" s="72" t="n"/>
      <c r="P322" s="72" t="n"/>
      <c r="U322" s="30" t="inlineStr">
        <is>
          <t>no</t>
        </is>
      </c>
      <c r="W322" s="126" t="n"/>
      <c r="X322" s="62" t="n">
        <v>1</v>
      </c>
      <c r="Y322" s="114">
        <f>IF(W322&lt;&gt;"",W322*X322,"")</f>
        <v/>
      </c>
      <c r="Z322" s="114">
        <f>IF(AND(W322&lt;&gt;"",U322="yes"),W322*X322,"")</f>
        <v/>
      </c>
    </row>
    <row r="323" ht="48" customFormat="1" customHeight="1" s="30">
      <c r="A323" s="30" t="inlineStr">
        <is>
          <t>note</t>
        </is>
      </c>
      <c r="B323" s="30" t="inlineStr">
        <is>
          <t>rcsi_intro</t>
        </is>
      </c>
      <c r="C323" s="31" t="inlineStr">
        <is>
          <t>Now I will ask you about the number of days, in *the last 7 days*, during which the household has done some of the actions that I will mention to cope with the lack of food or money to buy food.</t>
        </is>
      </c>
      <c r="D323" s="31" t="inlineStr">
        <is>
          <t>Ahora le voy a preguntar sobre el número de días en los *últimos 7 días*, en los cuales su hogar ha tomado las siguientes acciones para afrontar la falta de comida o dinero para comprar comida.</t>
        </is>
      </c>
      <c r="E323" s="32" t="n"/>
      <c r="H323" s="36" t="n"/>
      <c r="I323" s="72" t="inlineStr">
        <is>
          <t>false</t>
        </is>
      </c>
      <c r="J323" s="72" t="n"/>
      <c r="K323" s="72" t="n"/>
      <c r="L323" s="72" t="n"/>
      <c r="M323" s="72" t="n"/>
      <c r="N323" s="72" t="n"/>
      <c r="O323" s="72" t="n"/>
      <c r="P323" s="72" t="n"/>
      <c r="U323" s="30" t="inlineStr">
        <is>
          <t>no</t>
        </is>
      </c>
      <c r="W323" s="126" t="n">
        <v>17</v>
      </c>
      <c r="X323" s="62" t="n">
        <v>1</v>
      </c>
      <c r="Y323" s="114">
        <f>IF(W323&lt;&gt;"",W323*X323,"")</f>
        <v/>
      </c>
      <c r="Z323" s="114">
        <f>IF(AND(W323&lt;&gt;"",U323="yes"),W323*X323,"")</f>
        <v/>
      </c>
    </row>
    <row r="324" ht="48" customFormat="1" customHeight="1" s="30">
      <c r="A324" s="30" t="inlineStr">
        <is>
          <t>integer</t>
        </is>
      </c>
      <c r="B324" s="30" t="inlineStr">
        <is>
          <t>rcsi_less_preferred_foods</t>
        </is>
      </c>
      <c r="C324" s="31" t="inlineStr">
        <is>
          <t xml:space="preserve">In *the past 7 days*, how many days did your household **rely on less preferred or less expensive food** due to lack of food/money?  </t>
        </is>
      </c>
      <c r="D324" s="31" t="inlineStr">
        <is>
          <t>En los *últimos 7 días*, durante cuántos días tuvo su hogar que **depender de alimentos menos preferidos o menos costosos** debido a la falta de alimentos/dinero?</t>
        </is>
      </c>
      <c r="E324" s="32" t="n"/>
      <c r="F324" s="30" t="inlineStr">
        <is>
          <t>[INSTRUCTIONS: RECORD NUMBER OF DAYS 0 - 7]</t>
        </is>
      </c>
      <c r="G324" s="30" t="inlineStr">
        <is>
          <t>[ENCUESTADOR/A: ESCRIBA EL NÚMERO DE DÍAS 0 -7]</t>
        </is>
      </c>
      <c r="H324" s="36" t="n"/>
      <c r="I324" s="72" t="inlineStr">
        <is>
          <t>true</t>
        </is>
      </c>
      <c r="J324" s="72" t="n"/>
      <c r="K324" s="72" t="inlineStr">
        <is>
          <t>.&gt;= 0 and .&lt;=7</t>
        </is>
      </c>
      <c r="L324" s="72" t="inlineStr">
        <is>
          <t>The answer must be between 0 and 7 days</t>
        </is>
      </c>
      <c r="M324" s="72" t="n"/>
      <c r="N324" s="72" t="n"/>
      <c r="O324" s="72" t="n"/>
      <c r="P324" s="72" t="n"/>
      <c r="U324" s="30" t="inlineStr">
        <is>
          <t>no</t>
        </is>
      </c>
      <c r="W324" s="126" t="n">
        <v>17</v>
      </c>
      <c r="X324" s="62" t="n">
        <v>1</v>
      </c>
      <c r="Y324" s="114">
        <f>IF(W324&lt;&gt;"",W324*X324,"")</f>
        <v/>
      </c>
      <c r="Z324" s="114">
        <f>IF(AND(W324&lt;&gt;"",U324="yes"),W324*X324,"")</f>
        <v/>
      </c>
    </row>
    <row r="325" ht="48" customFormat="1" customHeight="1" s="30">
      <c r="A325" s="30" t="inlineStr">
        <is>
          <t>integer</t>
        </is>
      </c>
      <c r="B325" s="30" t="inlineStr">
        <is>
          <t>rcsi_borrowed_food</t>
        </is>
      </c>
      <c r="C325" s="31" t="inlineStr">
        <is>
          <t xml:space="preserve">In the *past 7 days*, how many days did your household **borrow food, or rely on help from a friend or relative** due to lack of food or money to buy food? </t>
        </is>
      </c>
      <c r="D325" s="31" t="inlineStr">
        <is>
          <t>En los *últimos 7 días*, durante cuántos días tuvo su hogar que **pedir comida prestada o depender de la ayuda de un amigo o pariente** debido a la falta de alimentos o dinero para comprar comida?</t>
        </is>
      </c>
      <c r="E325" s="32" t="n"/>
      <c r="F325" s="30" t="inlineStr">
        <is>
          <t>[INSTRUCTIONS: RECORD NUMBER OF DAYS 0 - 7]</t>
        </is>
      </c>
      <c r="G325" s="30" t="inlineStr">
        <is>
          <t>[ENCUESTADOR/A: ESCRIBA EL NÚMERO DE DÍAS 0 -7]</t>
        </is>
      </c>
      <c r="H325" s="36" t="n"/>
      <c r="I325" s="72" t="inlineStr">
        <is>
          <t>true</t>
        </is>
      </c>
      <c r="J325" s="72" t="n"/>
      <c r="K325" s="72" t="inlineStr">
        <is>
          <t>.&gt;= 0 and .&lt;=7</t>
        </is>
      </c>
      <c r="L325" s="72" t="inlineStr">
        <is>
          <t>The answer must be between 0 and 7 days</t>
        </is>
      </c>
      <c r="M325" s="72" t="n"/>
      <c r="N325" s="72" t="n"/>
      <c r="O325" s="72" t="n"/>
      <c r="P325" s="72" t="n"/>
      <c r="U325" s="30" t="inlineStr">
        <is>
          <t>no</t>
        </is>
      </c>
      <c r="W325" s="126" t="n">
        <v>17</v>
      </c>
      <c r="X325" s="62" t="n">
        <v>1</v>
      </c>
      <c r="Y325" s="114">
        <f>IF(W325&lt;&gt;"",W325*X325,"")</f>
        <v/>
      </c>
      <c r="Z325" s="114">
        <f>IF(AND(W325&lt;&gt;"",U325="yes"),W325*X325,"")</f>
        <v/>
      </c>
    </row>
    <row r="326" ht="48" customFormat="1" customHeight="1" s="30">
      <c r="A326" s="30" t="inlineStr">
        <is>
          <t>integer</t>
        </is>
      </c>
      <c r="B326" s="30" t="inlineStr">
        <is>
          <t>rcsi_reduce_number_meals</t>
        </is>
      </c>
      <c r="C326" s="31" t="inlineStr">
        <is>
          <t>In the past 7 days, how many days did your household **reduce the number of meals eaten in a day** due to lack of food or money to buy food?</t>
        </is>
      </c>
      <c r="D326" s="31" t="inlineStr">
        <is>
          <t>En los *últimos 7 días*, durante cuántos días tuvo su hogar que **reducir el número de comidas consumidas en el día** debido a la falta de alimentos o dinero para comprar comida?</t>
        </is>
      </c>
      <c r="E326" s="32" t="n"/>
      <c r="F326" s="30" t="inlineStr">
        <is>
          <t>[INSTRUCTIONS: RECORD NUMBER OF DAYS 0 - 7]</t>
        </is>
      </c>
      <c r="G326" s="30" t="inlineStr">
        <is>
          <t>[ENCUESTADOR/A: ESCRIBA EL NÚMERO DE DÍAS 0 -7]</t>
        </is>
      </c>
      <c r="H326" s="36" t="n"/>
      <c r="I326" s="72" t="inlineStr">
        <is>
          <t>true</t>
        </is>
      </c>
      <c r="J326" s="72" t="n"/>
      <c r="K326" s="72" t="inlineStr">
        <is>
          <t>.&gt;= 0 and .&lt;=7</t>
        </is>
      </c>
      <c r="L326" s="72" t="inlineStr">
        <is>
          <t>The answer must be between 0 and 7 days</t>
        </is>
      </c>
      <c r="M326" s="72" t="n"/>
      <c r="N326" s="72" t="n"/>
      <c r="O326" s="72" t="n"/>
      <c r="P326" s="72" t="n"/>
      <c r="U326" s="30" t="inlineStr">
        <is>
          <t>no</t>
        </is>
      </c>
      <c r="W326" s="126" t="n">
        <v>17</v>
      </c>
      <c r="X326" s="62" t="n">
        <v>1</v>
      </c>
      <c r="Y326" s="114">
        <f>IF(W326&lt;&gt;"",W326*X326,"")</f>
        <v/>
      </c>
      <c r="Z326" s="114">
        <f>IF(AND(W326&lt;&gt;"",U326="yes"),W326*X326,"")</f>
        <v/>
      </c>
    </row>
    <row r="327" ht="48" customFormat="1" customHeight="1" s="30">
      <c r="A327" s="30" t="inlineStr">
        <is>
          <t>integer</t>
        </is>
      </c>
      <c r="B327" s="30" t="inlineStr">
        <is>
          <t>rcsi_limit_portions</t>
        </is>
      </c>
      <c r="C327" s="31" t="inlineStr">
        <is>
          <t xml:space="preserve">In the *past 7 days*, how many days did your household **limit portion sizes at mealtime** due to lack of food or money to buy food? </t>
        </is>
      </c>
      <c r="D327" s="31" t="inlineStr">
        <is>
          <t>En los *últimos 7 días*, durante cuántos días tuvo su hogar que **limitar los tamaños de las porciones en las comidas** debido a la falta de alimentos o dinero para comprar comida?</t>
        </is>
      </c>
      <c r="E327" s="32" t="n"/>
      <c r="F327" s="30" t="inlineStr">
        <is>
          <t>[INSTRUCTIONS: RECORD NUMBER OF DAYS 0 - 7]</t>
        </is>
      </c>
      <c r="G327" s="30" t="inlineStr">
        <is>
          <t>[ENCUESTADOR/A: ESCRIBA EL NÚMERO DE DÍAS 0 -7]</t>
        </is>
      </c>
      <c r="H327" s="36" t="n"/>
      <c r="I327" s="72" t="inlineStr">
        <is>
          <t>true</t>
        </is>
      </c>
      <c r="J327" s="72" t="n"/>
      <c r="K327" s="72" t="inlineStr">
        <is>
          <t>.&gt;= 0 and .&lt;=7</t>
        </is>
      </c>
      <c r="L327" s="72" t="inlineStr">
        <is>
          <t>The answer must be between 0 and 7 days</t>
        </is>
      </c>
      <c r="M327" s="72" t="n"/>
      <c r="N327" s="72" t="n"/>
      <c r="O327" s="72" t="n"/>
      <c r="P327" s="72" t="n"/>
      <c r="U327" s="30" t="inlineStr">
        <is>
          <t>no</t>
        </is>
      </c>
      <c r="W327" s="126" t="n">
        <v>17</v>
      </c>
      <c r="X327" s="62" t="n">
        <v>1</v>
      </c>
      <c r="Y327" s="114">
        <f>IF(W327&lt;&gt;"",W327*X327,"")</f>
        <v/>
      </c>
      <c r="Z327" s="114">
        <f>IF(AND(W327&lt;&gt;"",U327="yes"),W327*X327,"")</f>
        <v/>
      </c>
    </row>
    <row r="328" ht="48" customFormat="1" customHeight="1" s="30">
      <c r="A328" s="30" t="inlineStr">
        <is>
          <t>integer</t>
        </is>
      </c>
      <c r="B328" s="30" t="inlineStr">
        <is>
          <t>rcsi_restrict_adult_consumpt</t>
        </is>
      </c>
      <c r="C328" s="31" t="inlineStr">
        <is>
          <t>In the *past 7 days*, how many days did your household **restrict consumption by adults so children could eat**, due to lack of food or money to buy food?</t>
        </is>
      </c>
      <c r="D328" s="31" t="inlineStr">
        <is>
          <t>En los *últimos 7 días*, durante cuántos días tuvo su hogar que **restringir el consumo de los adultos para que los niños/as pudieran comer**, debido a la falta de alimentos o dinero para comprar comida?</t>
        </is>
      </c>
      <c r="E328" s="32" t="n"/>
      <c r="F328" s="30" t="inlineStr">
        <is>
          <t>[INSTRUCTIONS: RECORD NUMBER OF DAYS 0 - 7]</t>
        </is>
      </c>
      <c r="G328" s="30" t="inlineStr">
        <is>
          <t>[ENCUESTADOR/A: ESCRIBA EL NÚMERO DE DÍAS 0 -7]</t>
        </is>
      </c>
      <c r="H328" s="36" t="n"/>
      <c r="I328" s="72" t="inlineStr">
        <is>
          <t>true</t>
        </is>
      </c>
      <c r="J328" s="72" t="n"/>
      <c r="K328" s="72" t="inlineStr">
        <is>
          <t>.&gt;= 0 and .&lt;=7</t>
        </is>
      </c>
      <c r="L328" s="72" t="inlineStr">
        <is>
          <t>The answer must be between 0 and 7 days</t>
        </is>
      </c>
      <c r="M328" s="72" t="n"/>
      <c r="N328" s="72" t="n"/>
      <c r="O328" s="72" t="n"/>
      <c r="P328" s="72" t="n"/>
      <c r="U328" s="30" t="inlineStr">
        <is>
          <t>no</t>
        </is>
      </c>
      <c r="W328" s="126" t="n">
        <v>17</v>
      </c>
      <c r="X328" s="62" t="n">
        <v>1</v>
      </c>
      <c r="Y328" s="114">
        <f>IF(W328&lt;&gt;"",W328*X328,"")</f>
        <v/>
      </c>
      <c r="Z328" s="114">
        <f>IF(AND(W328&lt;&gt;"",U328="yes"),W328*X328,"")</f>
        <v/>
      </c>
    </row>
    <row r="329" customFormat="1" s="30">
      <c r="A329" s="30" t="inlineStr">
        <is>
          <t>end_group</t>
        </is>
      </c>
      <c r="C329" s="31" t="n"/>
      <c r="D329" s="31" t="n"/>
      <c r="E329" s="32" t="n"/>
      <c r="H329" s="36" t="n"/>
      <c r="I329" s="72" t="n"/>
      <c r="J329" s="72" t="n"/>
      <c r="K329" s="72" t="n"/>
      <c r="L329" s="72" t="n"/>
      <c r="M329" s="72" t="n"/>
      <c r="N329" s="72" t="n"/>
      <c r="O329" s="72" t="n"/>
      <c r="P329" s="72" t="n"/>
      <c r="W329" s="126" t="n"/>
      <c r="X329" s="62" t="n">
        <v>1</v>
      </c>
      <c r="Y329" s="114">
        <f>IF(W329&lt;&gt;"",W329*X329,"")</f>
        <v/>
      </c>
      <c r="Z329" s="114">
        <f>IF(AND(W329&lt;&gt;"",U329="yes"),W329*X329,"")</f>
        <v/>
      </c>
    </row>
    <row r="330" customFormat="1" s="30">
      <c r="C330" s="31" t="n"/>
      <c r="D330" s="31" t="n"/>
      <c r="E330" s="32" t="n"/>
      <c r="H330" s="36" t="n"/>
      <c r="I330" s="72" t="n"/>
      <c r="J330" s="72" t="n"/>
      <c r="K330" s="72" t="n"/>
      <c r="L330" s="72" t="n"/>
      <c r="M330" s="72" t="n"/>
      <c r="N330" s="72" t="n"/>
      <c r="O330" s="72" t="n"/>
      <c r="P330" s="72" t="n"/>
      <c r="W330" s="126" t="n"/>
      <c r="X330" s="62" t="n">
        <v>1</v>
      </c>
      <c r="Y330" s="114">
        <f>IF(W330&lt;&gt;"",W330*X330,"")</f>
        <v/>
      </c>
      <c r="Z330" s="114">
        <f>IF(AND(W330&lt;&gt;"",U330="yes"),W330*X330,"")</f>
        <v/>
      </c>
    </row>
    <row r="331" ht="15.95" customHeight="1" thickBot="1">
      <c r="A331" s="55" t="inlineStr">
        <is>
          <t>end_group</t>
        </is>
      </c>
      <c r="B331" s="55" t="n"/>
      <c r="C331" s="56" t="n"/>
      <c r="D331" s="56" t="n"/>
      <c r="E331" s="63" t="n"/>
      <c r="F331" s="55" t="n"/>
      <c r="G331" s="55" t="n"/>
      <c r="H331" s="64" t="n"/>
      <c r="I331" s="84" t="n"/>
      <c r="J331" s="84" t="n"/>
      <c r="K331" s="84" t="n"/>
      <c r="L331" s="84" t="n"/>
      <c r="M331" s="84" t="n"/>
      <c r="N331" s="84" t="n"/>
      <c r="O331" s="84" t="n"/>
      <c r="P331" s="84" t="n"/>
      <c r="W331" s="126" t="n"/>
      <c r="Y331" s="114">
        <f>IF(W331&lt;&gt;"",W331*X331,"")</f>
        <v/>
      </c>
      <c r="Z331" s="114">
        <f>IF(AND(W331&lt;&gt;"",U331="yes"),W331*X331,"")</f>
        <v/>
      </c>
    </row>
    <row r="332" ht="15" customFormat="1" customHeight="1" s="26" thickTop="1">
      <c r="A332" s="23" t="inlineStr">
        <is>
          <t>begin_group</t>
        </is>
      </c>
      <c r="B332" s="23" t="inlineStr">
        <is>
          <t>Assisstance_group</t>
        </is>
      </c>
      <c r="C332" s="47" t="inlineStr">
        <is>
          <t>NEEDS ASSISTANCE</t>
        </is>
      </c>
      <c r="D332" s="47" t="inlineStr">
        <is>
          <t>NEEDS ASSISTANCE</t>
        </is>
      </c>
      <c r="E332" s="24" t="n"/>
      <c r="F332" s="23" t="n"/>
      <c r="G332" s="23" t="n"/>
      <c r="H332" s="25" t="n"/>
      <c r="I332" s="76" t="inlineStr">
        <is>
          <t>false</t>
        </is>
      </c>
      <c r="J332" s="76" t="n"/>
      <c r="K332" s="76" t="n"/>
      <c r="L332" s="76" t="n"/>
      <c r="M332" s="77" t="inlineStr">
        <is>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is>
      </c>
      <c r="N332" s="76" t="n"/>
      <c r="O332" s="76" t="n"/>
      <c r="P332" s="76" t="n"/>
      <c r="U332" s="20" t="inlineStr">
        <is>
          <t>yes</t>
        </is>
      </c>
      <c r="W332" s="126" t="n"/>
      <c r="X332" s="27" t="n"/>
      <c r="Y332" s="114">
        <f>IF(W332&lt;&gt;"",W332*X332,"")</f>
        <v/>
      </c>
      <c r="Z332" s="114">
        <f>IF(AND(W332&lt;&gt;"",U332="yes"),W332*X332,"")</f>
        <v/>
      </c>
      <c r="AA332" s="27" t="n"/>
    </row>
    <row r="333" ht="15" customFormat="1" customHeight="1" s="26">
      <c r="C333" s="48" t="n"/>
      <c r="D333" s="48" t="n"/>
      <c r="E333" s="24" t="n"/>
      <c r="H333" s="25" t="n"/>
      <c r="I333" s="77" t="n"/>
      <c r="J333" s="77" t="n"/>
      <c r="K333" s="77" t="n"/>
      <c r="L333" s="77" t="n"/>
      <c r="M333" s="77" t="n"/>
      <c r="N333" s="77" t="n"/>
      <c r="O333" s="77" t="n"/>
      <c r="P333" s="77" t="n"/>
      <c r="U333" s="20" t="n"/>
      <c r="W333" s="126" t="n"/>
      <c r="X333" s="62" t="n">
        <v>1</v>
      </c>
      <c r="Y333" s="114">
        <f>IF(W333&lt;&gt;"",W333*X333,"")</f>
        <v/>
      </c>
      <c r="Z333" s="114">
        <f>IF(AND(W333&lt;&gt;"",U333="yes"),W333*X333,"")</f>
        <v/>
      </c>
      <c r="AA333" s="27" t="n"/>
    </row>
    <row r="334" ht="48" customHeight="1">
      <c r="A334" s="28" t="inlineStr">
        <is>
          <t>select_one yes_no</t>
        </is>
      </c>
      <c r="B334" s="28" t="inlineStr">
        <is>
          <t>need</t>
        </is>
      </c>
      <c r="C334" s="19" t="inlineStr">
        <is>
          <t>Does your household need assistance for agricultural activities [including crop, livestock or fisheries/aquaculture activities] over the next 3 to 6 months?</t>
        </is>
      </c>
      <c r="D334" s="19" t="inlineStr">
        <is>
          <t>¿Necesita su hogar asistencia para las actividades agropecuarias [incluyendo actividades agricolas, ganaderas y pesca/acuicultura] durante los próximos 3 a 6 meses?</t>
        </is>
      </c>
      <c r="E334" s="41" t="n"/>
      <c r="F334" s="28" t="n"/>
      <c r="G334" s="28" t="n"/>
      <c r="H334" s="42" t="n"/>
      <c r="I334" s="71" t="inlineStr">
        <is>
          <t>true</t>
        </is>
      </c>
      <c r="J334" s="71" t="n"/>
      <c r="K334" s="71" t="n"/>
      <c r="L334" s="71" t="n"/>
      <c r="M334" s="71" t="n"/>
      <c r="N334" s="71" t="n"/>
      <c r="O334" s="71" t="n"/>
      <c r="P334" s="71" t="n"/>
      <c r="U334" s="20" t="inlineStr">
        <is>
          <t>yes</t>
        </is>
      </c>
      <c r="W334" s="126" t="n">
        <v>19.82824516296387</v>
      </c>
      <c r="X334" s="62" t="n">
        <v>1</v>
      </c>
      <c r="Y334" s="114">
        <f>IF(W334&lt;&gt;"",W334*X334,"")</f>
        <v/>
      </c>
      <c r="Z334" s="114">
        <f>IF(AND(W334&lt;&gt;"",U334="yes"),W334*X334,"")</f>
        <v/>
      </c>
    </row>
    <row r="335" ht="48" customHeight="1">
      <c r="A335" s="28" t="inlineStr">
        <is>
          <t>select_multiple needs</t>
        </is>
      </c>
      <c r="B335" s="28" t="inlineStr">
        <is>
          <t>need_</t>
        </is>
      </c>
      <c r="C335" s="19" t="inlineStr">
        <is>
          <t>What are your household's greatest needs for assistance for your household's agricultural activities [including crop, livestock or fisheries/aquaculture production activities] over the next 3 to 6 months?</t>
        </is>
      </c>
      <c r="D335" s="19" t="inlineStr">
        <is>
          <t>¿Cuáles son las principales necesidades de asistencia de su hogar para las actividades agropecuarias [incluidas las actividades agrícolas, ganaderas o pesqueras/acuícolas] durante los próximos 3 a 6 meses?</t>
        </is>
      </c>
      <c r="E335" s="41" t="n"/>
      <c r="F335" s="28" t="inlineStr">
        <is>
          <t>[INSTRUCTIONS: MULTIPLE RESPONSE. DO NOT READ THE OPTIONS.]</t>
        </is>
      </c>
      <c r="G335" s="33" t="inlineStr">
        <is>
          <t>[ENCUESTADOR/A: RESPUESTA MÚLTIPLE. NO LEER LAS OPCIONES.]</t>
        </is>
      </c>
      <c r="H335" s="42" t="n"/>
      <c r="I335" s="71" t="inlineStr">
        <is>
          <t>true</t>
        </is>
      </c>
      <c r="J335" s="71" t="n"/>
      <c r="K335" s="73" t="inlineStr">
        <is>
          <t>if(selected(., 'dk') or selected(., 'ref'), count-selected(.) = 1, count-selected(.) &gt;= 1)</t>
        </is>
      </c>
      <c r="L335" s="71" t="n"/>
      <c r="M335" s="71" t="inlineStr">
        <is>
          <t>${need} = 1</t>
        </is>
      </c>
      <c r="N335" s="71" t="n"/>
      <c r="O335" s="71" t="n"/>
      <c r="P335" s="71" t="n"/>
      <c r="U335" s="20" t="inlineStr">
        <is>
          <t>yes</t>
        </is>
      </c>
      <c r="W335" s="126" t="n">
        <v>49.52969360351562</v>
      </c>
      <c r="X335" s="62" t="n">
        <v>1</v>
      </c>
      <c r="Y335" s="114">
        <f>IF(W335&lt;&gt;"",W335*X335,"")</f>
        <v/>
      </c>
      <c r="Z335" s="114">
        <f>IF(AND(W335&lt;&gt;"",U335="yes"),W335*X335,"")</f>
        <v/>
      </c>
    </row>
    <row r="336" ht="15.95" customHeight="1">
      <c r="A336" s="28" t="inlineStr">
        <is>
          <t>text</t>
        </is>
      </c>
      <c r="B336" s="28" t="inlineStr">
        <is>
          <t>need_otherspecify</t>
        </is>
      </c>
      <c r="C336" s="34" t="inlineStr">
        <is>
          <t>If other, specify.</t>
        </is>
      </c>
      <c r="D336" s="19" t="inlineStr">
        <is>
          <t xml:space="preserve">Si otro, especifique. </t>
        </is>
      </c>
      <c r="E336" s="52" t="n"/>
      <c r="F336" s="29" t="inlineStr">
        <is>
          <t>[INSTRUCTIONS: RECORD THE OPEN RESPONSE GIVEN IN FEW WORDS. ENTER 888 FOR DON'T KNOW AND 999 FOR REFUSED]</t>
        </is>
      </c>
      <c r="G336" s="29" t="inlineStr">
        <is>
          <t>[ENCUESTADOR/A: ESCRIBA LA RESPUESTA EN POCAS PALABRAS. ESCRIBA 888 PARA "NO SE" Y 999 PARA "NO RESPONDE".]</t>
        </is>
      </c>
      <c r="H336" s="42" t="n"/>
      <c r="I336" s="71" t="inlineStr">
        <is>
          <t>true</t>
        </is>
      </c>
      <c r="J336" s="71" t="n"/>
      <c r="K336" s="71" t="n"/>
      <c r="L336" s="71" t="n"/>
      <c r="M336" s="71" t="inlineStr">
        <is>
          <t>selected(${need_}, 'other')</t>
        </is>
      </c>
      <c r="N336" s="71" t="n"/>
      <c r="O336" s="71" t="n"/>
      <c r="P336" s="71" t="n"/>
      <c r="U336" s="20" t="inlineStr">
        <is>
          <t>yes</t>
        </is>
      </c>
      <c r="W336" s="126" t="n"/>
      <c r="X336" s="62" t="n">
        <v>1</v>
      </c>
      <c r="Y336" s="114">
        <f>IF(W336&lt;&gt;"",W336*X336,"")</f>
        <v/>
      </c>
      <c r="Z336" s="114">
        <f>IF(AND(W336&lt;&gt;"",U336="yes"),W336*X336,"")</f>
        <v/>
      </c>
    </row>
    <row r="337">
      <c r="E337" s="41" t="n"/>
      <c r="G337" s="29" t="n"/>
      <c r="H337" s="42" t="n"/>
      <c r="W337" s="126" t="n"/>
      <c r="X337" s="62" t="n">
        <v>1</v>
      </c>
      <c r="Y337" s="114">
        <f>IF(W337&lt;&gt;"",W337*X337,"")</f>
        <v/>
      </c>
      <c r="Z337" s="114">
        <f>IF(AND(W337&lt;&gt;"",U337="yes"),W337*X337,"")</f>
        <v/>
      </c>
    </row>
    <row r="338" ht="32.1" customFormat="1" customHeight="1" s="29">
      <c r="A338" s="33" t="inlineStr">
        <is>
          <t>select_multiple needreceived</t>
        </is>
      </c>
      <c r="B338" s="33" t="inlineStr">
        <is>
          <t>need_received</t>
        </is>
      </c>
      <c r="C338" s="34" t="inlineStr">
        <is>
          <t>Has your household received any assistance in the last 3 months, and if so, which kind?</t>
        </is>
      </c>
      <c r="D338" s="19" t="inlineStr">
        <is>
          <t>¿Ha recibido su hogar algún tipo de ayuda en los últimos 3 meses? De ser así, ¿de qué tipo?</t>
        </is>
      </c>
      <c r="E338" s="52" t="n"/>
      <c r="F338" s="33" t="inlineStr">
        <is>
          <t>[INSTRUCTIONS: READ OUT ANSWER OPTIONS. MULTIPLE RESPONSES POSSIBLE.]</t>
        </is>
      </c>
      <c r="G338" s="33" t="inlineStr">
        <is>
          <t>[ENCUESTADOR/A: ES POSIBLE SELECCIONAR MÚLTIPLES RESPUESTAS. LEA LAS OPCIONES DE RESPUESTA.]</t>
        </is>
      </c>
      <c r="H338" s="54" t="n"/>
      <c r="I338" s="73" t="inlineStr">
        <is>
          <t>true</t>
        </is>
      </c>
      <c r="J338" s="73" t="n"/>
      <c r="K338" s="73" t="inlineStr">
        <is>
          <t>if(selected(., 'dk') or selected(., 'ref') or selected(., 'none'), count-selected(.) = 1, count-selected(.) &gt;= 1)</t>
        </is>
      </c>
      <c r="L338" s="73" t="n"/>
      <c r="M338" s="73" t="n"/>
      <c r="N338" s="73" t="n"/>
      <c r="O338" s="73" t="n"/>
      <c r="P338" s="73" t="n"/>
      <c r="U338" s="29" t="inlineStr">
        <is>
          <t>yes</t>
        </is>
      </c>
      <c r="W338" s="126" t="n">
        <v>22.02975082397461</v>
      </c>
      <c r="X338" s="62" t="n">
        <v>1</v>
      </c>
      <c r="Y338" s="114">
        <f>IF(W338&lt;&gt;"",W338*X338,"")</f>
        <v/>
      </c>
      <c r="Z338" s="114">
        <f>IF(AND(W338&lt;&gt;"",U338="yes"),W338*X338,"")</f>
        <v/>
      </c>
    </row>
    <row r="339" ht="15.95" customFormat="1" customHeight="1" s="29">
      <c r="A339" s="33" t="inlineStr">
        <is>
          <t>text</t>
        </is>
      </c>
      <c r="B339" s="33" t="inlineStr">
        <is>
          <t>need_received_otherspecify</t>
        </is>
      </c>
      <c r="C339" s="34" t="inlineStr">
        <is>
          <t>If other, specify.</t>
        </is>
      </c>
      <c r="D339" s="19" t="inlineStr">
        <is>
          <t xml:space="preserve">Si otro, especifique. </t>
        </is>
      </c>
      <c r="E339" s="52" t="n"/>
      <c r="F339" s="33" t="inlineStr">
        <is>
          <t>[INSTRUCTIONS: RECORD THE OPEN RESPONSE GIVEN IN FEW WORDS. ENTER 888 FOR DON'T KNOW AND 999 FOR REFUSED]</t>
        </is>
      </c>
      <c r="G339" s="29" t="inlineStr">
        <is>
          <t>[ENCUESTADOR/A: ESCRIBA LA RESPUESTA EN POCAS PALABRAS. ESCRIBA 888 PARA "NO SE" Y 999 PARA "NO RESPONDE".]</t>
        </is>
      </c>
      <c r="H339" s="54" t="n"/>
      <c r="I339" s="73" t="inlineStr">
        <is>
          <t>true</t>
        </is>
      </c>
      <c r="J339" s="73" t="n"/>
      <c r="K339" s="73" t="n"/>
      <c r="L339" s="73" t="n"/>
      <c r="M339" s="73" t="inlineStr">
        <is>
          <t>selected(${need_received}, 'other')</t>
        </is>
      </c>
      <c r="N339" s="73" t="n"/>
      <c r="O339" s="73" t="n"/>
      <c r="P339" s="73" t="n"/>
      <c r="U339" s="29" t="inlineStr">
        <is>
          <t>yes</t>
        </is>
      </c>
      <c r="W339" s="126" t="n"/>
      <c r="X339" s="62" t="n">
        <v>1</v>
      </c>
      <c r="Y339" s="114">
        <f>IF(W339&lt;&gt;"",W339*X339,"")</f>
        <v/>
      </c>
      <c r="Z339" s="114">
        <f>IF(AND(W339&lt;&gt;"",U339="yes"),W339*X339,"")</f>
        <v/>
      </c>
    </row>
    <row r="340" ht="15.95" customFormat="1" customHeight="1" s="29">
      <c r="A340" s="33" t="inlineStr">
        <is>
          <t>select_one assist_quality</t>
        </is>
      </c>
      <c r="B340" s="33" t="inlineStr">
        <is>
          <t>assistance_quality</t>
        </is>
      </c>
      <c r="C340" s="34" t="inlineStr">
        <is>
          <t xml:space="preserve">Were you satisfied with the quality of the assistance provided? </t>
        </is>
      </c>
      <c r="D340" s="19" t="inlineStr">
        <is>
          <t>¿Quedó satisfecho con la calidad de la asistencia brindada?</t>
        </is>
      </c>
      <c r="E340" s="52" t="n"/>
      <c r="F340" s="33" t="inlineStr">
        <is>
          <t>[INSTRUCTIONS: QUALITY OF ASSISTANCE IN TERMS OF SUFFICIENT ASSISTANCE FOR PRODUCTION OR SALES DIFFICULTY TO BE OVERCOME.]</t>
        </is>
      </c>
      <c r="G340" s="33" t="inlineStr">
        <is>
          <t>[ENCUESTADOR/A: CALIDAD DE LA ASISTENCIA EN TÉRMINOS DE ASISTENCIA SUFICIENTE PARA SUPERAR LA DIFICULTAD EN LA PRODUCCIÓN O VENTA.]</t>
        </is>
      </c>
      <c r="H340" s="54" t="n"/>
      <c r="I340" s="73" t="inlineStr">
        <is>
          <t>true</t>
        </is>
      </c>
      <c r="J340" s="73" t="n"/>
      <c r="K340" s="73" t="n"/>
      <c r="L340" s="73" t="n"/>
      <c r="M340" s="73" t="inlineStr">
        <is>
          <t>${need_received} != 'dk' and ${need_received} != 'ref' and ${need_received} != 'none'</t>
        </is>
      </c>
      <c r="N340" s="73" t="n"/>
      <c r="O340" s="73" t="n"/>
      <c r="P340" s="73" t="n"/>
      <c r="U340" s="29" t="inlineStr">
        <is>
          <t>yes</t>
        </is>
      </c>
      <c r="W340" s="126" t="n">
        <v>17</v>
      </c>
      <c r="X340" s="62" t="n">
        <v>1</v>
      </c>
      <c r="Y340" s="114">
        <f>IF(W340&lt;&gt;"",W340*X340,"")</f>
        <v/>
      </c>
      <c r="Z340" s="114">
        <f>IF(AND(W340&lt;&gt;"",U340="yes"),W340*X340,"")</f>
        <v/>
      </c>
    </row>
    <row r="341" customFormat="1" s="30">
      <c r="C341" s="31" t="n"/>
      <c r="D341" s="31" t="n"/>
      <c r="E341" s="32" t="n"/>
      <c r="H341" s="36" t="n"/>
      <c r="I341" s="72" t="n"/>
      <c r="J341" s="72" t="n"/>
      <c r="K341" s="72" t="n"/>
      <c r="L341" s="72" t="n"/>
      <c r="M341" s="72" t="n"/>
      <c r="N341" s="72" t="n"/>
      <c r="O341" s="72" t="n"/>
      <c r="P341" s="72" t="n"/>
      <c r="R341" s="20" t="n"/>
      <c r="W341" s="126" t="n"/>
      <c r="X341" s="62" t="n">
        <v>1</v>
      </c>
      <c r="Y341" s="114">
        <f>IF(W341&lt;&gt;"",W341*X341,"")</f>
        <v/>
      </c>
      <c r="Z341" s="114">
        <f>IF(AND(W341&lt;&gt;"",U341="yes"),W341*X341,"")</f>
        <v/>
      </c>
      <c r="AA341" s="29" t="n"/>
    </row>
    <row r="342" ht="15.95" customFormat="1" customHeight="1" s="30">
      <c r="A342" s="30" t="inlineStr">
        <is>
          <t>select_multiple provider</t>
        </is>
      </c>
      <c r="B342" s="30" t="inlineStr">
        <is>
          <t>assistance</t>
        </is>
      </c>
      <c r="C342" s="31" t="inlineStr">
        <is>
          <t>Who provided your household with this assistance?</t>
        </is>
      </c>
      <c r="D342" s="31" t="inlineStr">
        <is>
          <t>¿Quién proporcionó esta asistencia a su hogar?</t>
        </is>
      </c>
      <c r="E342" s="32" t="n"/>
      <c r="F342" s="30" t="inlineStr">
        <is>
          <t>[INSTRUCTIONS: MULTIPLE RESPONSES.]</t>
        </is>
      </c>
      <c r="G342" s="30" t="inlineStr">
        <is>
          <t>[ENCUESTADOR/A: ES POSIBLE SELECCIONAR MÚLTIPLES RESPUESTAS.]</t>
        </is>
      </c>
      <c r="H342" s="36" t="n"/>
      <c r="I342" s="72" t="inlineStr">
        <is>
          <t>true</t>
        </is>
      </c>
      <c r="J342" s="72" t="n"/>
      <c r="K342" s="83" t="inlineStr">
        <is>
          <t>if(selected(., 'dk') or selected(., 'ref'), count-selected(.) = 1, count-selected(.) &gt;= 1)</t>
        </is>
      </c>
      <c r="L342" s="72" t="n"/>
      <c r="M342" s="83" t="inlineStr">
        <is>
          <t>${need_received} != 'dk' and ${need_received} != 'ref' and ${need_received} != 'none'</t>
        </is>
      </c>
      <c r="N342" s="72" t="n"/>
      <c r="O342" s="72" t="n"/>
      <c r="P342" s="72" t="n"/>
      <c r="R342" s="20" t="n"/>
      <c r="U342" s="30" t="inlineStr">
        <is>
          <t>no</t>
        </is>
      </c>
      <c r="W342" s="126" t="n"/>
      <c r="X342" s="62" t="n"/>
      <c r="Y342" s="114" t="n"/>
      <c r="Z342" s="114" t="n"/>
      <c r="AA342" s="29" t="n"/>
    </row>
    <row r="343" customFormat="1" s="30">
      <c r="C343" s="31" t="n"/>
      <c r="D343" s="31" t="n"/>
      <c r="E343" s="32" t="n"/>
      <c r="H343" s="36" t="n"/>
      <c r="I343" s="72" t="n"/>
      <c r="J343" s="72" t="n"/>
      <c r="K343" s="72" t="n"/>
      <c r="L343" s="72" t="n"/>
      <c r="M343" s="72" t="n"/>
      <c r="N343" s="72" t="n"/>
      <c r="O343" s="72" t="n"/>
      <c r="P343" s="72" t="n"/>
      <c r="R343" s="20" t="n"/>
      <c r="W343" s="126" t="n"/>
      <c r="X343" s="62" t="n"/>
      <c r="Y343" s="114" t="n"/>
      <c r="Z343" s="114" t="n"/>
      <c r="AA343" s="29" t="n"/>
    </row>
    <row r="344" ht="15.95" customHeight="1" thickBot="1">
      <c r="A344" s="55" t="inlineStr">
        <is>
          <t>end_group</t>
        </is>
      </c>
      <c r="B344" s="55" t="n"/>
      <c r="C344" s="56" t="n"/>
      <c r="D344" s="56" t="n"/>
      <c r="E344" s="63" t="n"/>
      <c r="F344" s="55" t="n"/>
      <c r="G344" s="55" t="n"/>
      <c r="H344" s="64" t="n"/>
      <c r="I344" s="84" t="n"/>
      <c r="J344" s="84" t="n"/>
      <c r="K344" s="84" t="n"/>
      <c r="L344" s="84" t="n"/>
      <c r="M344" s="84" t="n"/>
      <c r="N344" s="84" t="n"/>
      <c r="O344" s="84" t="n"/>
      <c r="P344" s="84" t="n"/>
      <c r="W344" s="126" t="n"/>
      <c r="Y344" s="114">
        <f>IF(W344&lt;&gt;"",W344*X344,"")</f>
        <v/>
      </c>
      <c r="Z344" s="114">
        <f>IF(AND(W344&lt;&gt;"",U344="yes"),W344*X344,"")</f>
        <v/>
      </c>
    </row>
    <row r="345" ht="17.1" customFormat="1" customHeight="1" s="26" thickTop="1">
      <c r="A345" s="23" t="inlineStr">
        <is>
          <t>begin_group</t>
        </is>
      </c>
      <c r="B345" s="23" t="inlineStr">
        <is>
          <t>closing</t>
        </is>
      </c>
      <c r="C345" s="47" t="inlineStr">
        <is>
          <t>CLOSING</t>
        </is>
      </c>
      <c r="D345" s="47" t="inlineStr">
        <is>
          <t>CLOSING</t>
        </is>
      </c>
      <c r="E345" s="24" t="n"/>
      <c r="F345" s="23" t="n"/>
      <c r="G345" s="23" t="n"/>
      <c r="H345" s="25" t="n"/>
      <c r="I345" s="76" t="inlineStr">
        <is>
          <t>false</t>
        </is>
      </c>
      <c r="J345" s="76" t="n"/>
      <c r="K345" s="76" t="n"/>
      <c r="L345" s="76" t="n"/>
      <c r="M345" s="77" t="inlineStr">
        <is>
          <t>${resp_agree} = '1' and ${hh_agricactivity} != '5' and ${hh_agricactivity} != '6'</t>
        </is>
      </c>
      <c r="N345" s="76" t="n"/>
      <c r="O345" s="76" t="n"/>
      <c r="P345" s="76" t="n"/>
      <c r="U345" s="20" t="inlineStr">
        <is>
          <t>yes</t>
        </is>
      </c>
      <c r="W345" s="126" t="n"/>
      <c r="X345" s="113" t="n"/>
      <c r="Y345" s="114">
        <f>IF(W345&lt;&gt;"",W345*X345,"")</f>
        <v/>
      </c>
      <c r="Z345" s="114">
        <f>IF(AND(W345&lt;&gt;"",U345="yes"),W345*X345,"")</f>
        <v/>
      </c>
      <c r="AA345" s="27" t="n"/>
    </row>
    <row r="346" customFormat="1" s="26">
      <c r="C346" s="48" t="n"/>
      <c r="D346" s="48" t="n"/>
      <c r="E346" s="24" t="n"/>
      <c r="H346" s="25" t="n"/>
      <c r="I346" s="77" t="n"/>
      <c r="J346" s="77" t="n"/>
      <c r="K346" s="77" t="n"/>
      <c r="L346" s="77" t="n"/>
      <c r="M346" s="77" t="n"/>
      <c r="N346" s="77" t="n"/>
      <c r="O346" s="77" t="n"/>
      <c r="P346" s="77" t="n"/>
      <c r="U346" s="20" t="n"/>
      <c r="W346" s="126" t="n"/>
      <c r="X346" s="62" t="n">
        <v>1</v>
      </c>
      <c r="Y346" s="114">
        <f>IF(W346&lt;&gt;"",W346*X346,"")</f>
        <v/>
      </c>
      <c r="Z346" s="114">
        <f>IF(AND(W346&lt;&gt;"",U346="yes"),W346*X346,"")</f>
        <v/>
      </c>
      <c r="AA346" s="27" t="n"/>
    </row>
    <row r="347" ht="32.1" customHeight="1">
      <c r="A347" s="28" t="inlineStr">
        <is>
          <t>select_one yesno</t>
        </is>
      </c>
      <c r="B347" s="28" t="inlineStr">
        <is>
          <t>callback</t>
        </is>
      </c>
      <c r="C347" s="19" t="inlineStr">
        <is>
          <t>Your answers will help us to understand and respond to your community needs. May we call you in a few months?</t>
        </is>
      </c>
      <c r="D347" s="34" t="inlineStr">
        <is>
          <t>Sus respuestas nos ayudarán a comprender y satisfacer las necesidades de su comunidad. ¿Podemos volver a llamarle en un futuro próximo?</t>
        </is>
      </c>
      <c r="E347" s="41" t="n"/>
      <c r="F347" s="28" t="n"/>
      <c r="G347" s="28" t="n"/>
      <c r="H347" s="42" t="n"/>
      <c r="I347" s="71" t="inlineStr">
        <is>
          <t>true</t>
        </is>
      </c>
      <c r="J347" s="71" t="n"/>
      <c r="K347" s="71" t="n"/>
      <c r="L347" s="71" t="n"/>
      <c r="M347" s="71" t="n"/>
      <c r="N347" s="71" t="n"/>
      <c r="O347" s="71" t="n"/>
      <c r="P347" s="71" t="n"/>
      <c r="U347" s="20" t="inlineStr">
        <is>
          <t>yes</t>
        </is>
      </c>
      <c r="W347" s="126" t="n">
        <v>36.78304672241211</v>
      </c>
      <c r="X347" s="62" t="n">
        <v>1</v>
      </c>
      <c r="Y347" s="114">
        <f>IF(W347&lt;&gt;"",W347*X347,"")</f>
        <v/>
      </c>
      <c r="Z347" s="114">
        <f>IF(AND(W347&lt;&gt;"",U347="yes"),W347*X347,"")</f>
        <v/>
      </c>
    </row>
    <row r="348">
      <c r="D348" s="22" t="n"/>
      <c r="E348" s="41" t="n"/>
      <c r="H348" s="42" t="n"/>
      <c r="W348" s="126" t="n"/>
      <c r="X348" s="62" t="n">
        <v>1</v>
      </c>
      <c r="Y348" s="114">
        <f>IF(W348&lt;&gt;"",W348*X348,"")</f>
        <v/>
      </c>
      <c r="Z348" s="114">
        <f>IF(AND(W348&lt;&gt;"",U348="yes"),W348*X348,"")</f>
        <v/>
      </c>
    </row>
    <row r="349" ht="15.95" customFormat="1" customHeight="1" s="30">
      <c r="A349" s="107" t="inlineStr">
        <is>
          <t>select_multiple week</t>
        </is>
      </c>
      <c r="B349" s="107" t="inlineStr">
        <is>
          <t>future_int_day</t>
        </is>
      </c>
      <c r="C349" s="123" t="inlineStr">
        <is>
          <t>For future interviews, in which day(s) can I call you?</t>
        </is>
      </c>
      <c r="D349" s="123" t="inlineStr">
        <is>
          <t>Para futuras entrevistas, ¿en qué día(s) puedo llamarle?</t>
        </is>
      </c>
      <c r="E349" s="110" t="n"/>
      <c r="F349" s="107" t="inlineStr">
        <is>
          <t>[INSTRUCTIONS: MULTIPLE ANSWERS POSSIBLE.]</t>
        </is>
      </c>
      <c r="G349" s="107" t="inlineStr">
        <is>
          <t>[ENCUESTADOR/A:ES POSIBLE SELECCIONAR MÚLTIPLES RESPUESTAS.]</t>
        </is>
      </c>
      <c r="H349" s="111" t="n"/>
      <c r="I349" s="106" t="inlineStr">
        <is>
          <t>true</t>
        </is>
      </c>
      <c r="J349" s="106" t="n"/>
      <c r="K349" s="88" t="n"/>
      <c r="L349" s="106" t="n"/>
      <c r="M349" s="106" t="inlineStr">
        <is>
          <t>${callback} = '1'</t>
        </is>
      </c>
      <c r="N349" s="81" t="n"/>
      <c r="O349" s="81" t="n"/>
      <c r="P349" s="81" t="n"/>
      <c r="U349" s="109" t="inlineStr">
        <is>
          <t>yes - panel</t>
        </is>
      </c>
      <c r="W349" s="126" t="n">
        <v>10</v>
      </c>
      <c r="X349" s="62" t="n">
        <v>1</v>
      </c>
      <c r="Y349" s="114">
        <f>IF(W349&lt;&gt;"",W349*X349,"")</f>
        <v/>
      </c>
      <c r="Z349" s="114">
        <f>IF(AND(W349&lt;&gt;"",U349="yes"),W349*X349,"")</f>
        <v/>
      </c>
      <c r="AA349" s="29" t="n"/>
    </row>
    <row r="350" ht="15.95" customFormat="1" customHeight="1" s="30">
      <c r="A350" s="107" t="inlineStr">
        <is>
          <t>select_multiple time</t>
        </is>
      </c>
      <c r="B350" s="107" t="inlineStr">
        <is>
          <t>future_int_time</t>
        </is>
      </c>
      <c r="C350" s="123" t="inlineStr">
        <is>
          <t>For future interviews, at what time(s) can I call you?</t>
        </is>
      </c>
      <c r="D350" s="123" t="inlineStr">
        <is>
          <t>Para futuras entrevistas, ¿a qué hora(s) puedo llamarle?</t>
        </is>
      </c>
      <c r="E350" s="110" t="n"/>
      <c r="F350" s="107" t="inlineStr">
        <is>
          <t>[INSTRUCTIONS: MULTIPLE ANSWERS POSSIBLE.]</t>
        </is>
      </c>
      <c r="G350" s="107" t="inlineStr">
        <is>
          <t>[ENCUESTADOR/A:ES POSIBLE SELECCIONAR MÚLTIPLES RESPUESTAS.]</t>
        </is>
      </c>
      <c r="H350" s="111" t="n"/>
      <c r="I350" s="106" t="inlineStr">
        <is>
          <t>true</t>
        </is>
      </c>
      <c r="J350" s="106" t="n"/>
      <c r="K350" s="88" t="n"/>
      <c r="L350" s="106" t="n"/>
      <c r="M350" s="106" t="inlineStr">
        <is>
          <t>${callback} = '1'</t>
        </is>
      </c>
      <c r="N350" s="81" t="n"/>
      <c r="O350" s="81" t="n"/>
      <c r="P350" s="81" t="n"/>
      <c r="U350" s="109" t="inlineStr">
        <is>
          <t>yes - panel</t>
        </is>
      </c>
      <c r="W350" s="126" t="n">
        <v>10</v>
      </c>
      <c r="X350" s="62" t="n">
        <v>1</v>
      </c>
      <c r="Y350" s="114">
        <f>IF(W350&lt;&gt;"",W350*X350,"")</f>
        <v/>
      </c>
      <c r="Z350" s="114">
        <f>IF(AND(W350&lt;&gt;"",U350="yes"),W350*X350,"")</f>
        <v/>
      </c>
      <c r="AA350" s="29" t="n"/>
    </row>
    <row r="351" customFormat="1" s="30">
      <c r="C351" s="31" t="n"/>
      <c r="D351" s="22" t="n"/>
      <c r="E351" s="32" t="n"/>
      <c r="H351" s="36" t="n"/>
      <c r="I351" s="72" t="n"/>
      <c r="J351" s="72" t="n"/>
      <c r="K351" s="72" t="n"/>
      <c r="L351" s="72" t="n"/>
      <c r="M351" s="72" t="n"/>
      <c r="N351" s="72" t="n"/>
      <c r="O351" s="72" t="n"/>
      <c r="P351" s="72" t="n"/>
      <c r="W351" s="126" t="n"/>
      <c r="X351" s="62" t="n">
        <v>1</v>
      </c>
      <c r="Y351" s="114">
        <f>IF(W351&lt;&gt;"",W351*X351,"")</f>
        <v/>
      </c>
      <c r="Z351" s="114">
        <f>IF(AND(W351&lt;&gt;"",U351="yes"),W351*X351,"")</f>
        <v/>
      </c>
      <c r="AA351" s="29" t="n"/>
    </row>
    <row r="352" ht="15.95" customHeight="1">
      <c r="A352" s="28" t="inlineStr">
        <is>
          <t>select_one language</t>
        </is>
      </c>
      <c r="B352" s="28" t="inlineStr">
        <is>
          <t>language2</t>
        </is>
      </c>
      <c r="C352" s="19" t="inlineStr">
        <is>
          <t xml:space="preserve">Select the language that was mostly used to complete the interview. </t>
        </is>
      </c>
      <c r="D352" s="34" t="inlineStr">
        <is>
          <t>Seleccione el idioma que se usó principalmente para completar la entrevista.</t>
        </is>
      </c>
      <c r="E352" s="41" t="n"/>
      <c r="F352" s="28" t="n"/>
      <c r="G352" s="28" t="n"/>
      <c r="H352" s="42" t="n"/>
      <c r="I352" s="71" t="inlineStr">
        <is>
          <t>true</t>
        </is>
      </c>
      <c r="J352" s="71" t="n"/>
      <c r="K352" s="71" t="n"/>
      <c r="L352" s="71" t="n"/>
      <c r="M352" s="71" t="n"/>
      <c r="N352" s="71" t="n"/>
      <c r="O352" s="71" t="n"/>
      <c r="P352" s="71" t="n"/>
      <c r="U352" s="20" t="inlineStr">
        <is>
          <t>yes</t>
        </is>
      </c>
      <c r="W352" s="126" t="n">
        <v>3</v>
      </c>
      <c r="X352" s="62" t="n">
        <v>1</v>
      </c>
      <c r="Y352" s="114">
        <f>IF(W352&lt;&gt;"",W352*X352,"")</f>
        <v/>
      </c>
      <c r="Z352" s="114">
        <f>IF(AND(W352&lt;&gt;"",U352="yes"),W352*X352,"")</f>
        <v/>
      </c>
    </row>
    <row r="353">
      <c r="D353" s="22" t="n"/>
      <c r="E353" s="41" t="n"/>
      <c r="H353" s="42" t="n"/>
      <c r="W353" s="126" t="n"/>
      <c r="X353" s="62" t="n">
        <v>1</v>
      </c>
      <c r="Y353" s="114">
        <f>IF(W353&lt;&gt;"",W353*X353,"")</f>
        <v/>
      </c>
      <c r="Z353" s="114">
        <f>IF(AND(W353&lt;&gt;"",U353="yes"),W353*X353,"")</f>
        <v/>
      </c>
    </row>
    <row r="354" ht="15.95" customHeight="1">
      <c r="A354" s="28" t="inlineStr">
        <is>
          <t>note</t>
        </is>
      </c>
      <c r="B354" s="28" t="inlineStr">
        <is>
          <t>closeout</t>
        </is>
      </c>
      <c r="C354" s="19" t="inlineStr">
        <is>
          <t xml:space="preserve">Thank you for your time. The interview has come to an end. </t>
        </is>
      </c>
      <c r="D354" s="34" t="inlineStr">
        <is>
          <t xml:space="preserve">Gracias por tu tiempo. La entrevista ha llegado a su fin. </t>
        </is>
      </c>
      <c r="E354" s="41" t="n"/>
      <c r="F354" s="28" t="n"/>
      <c r="G354" s="28" t="n"/>
      <c r="H354" s="42" t="n"/>
      <c r="I354" s="71" t="inlineStr">
        <is>
          <t>false</t>
        </is>
      </c>
      <c r="J354" s="71" t="n"/>
      <c r="K354" s="71" t="n"/>
      <c r="L354" s="71" t="n"/>
      <c r="M354" s="71" t="n"/>
      <c r="N354" s="71" t="n"/>
      <c r="O354" s="71" t="n"/>
      <c r="P354" s="71" t="n"/>
      <c r="U354" s="20" t="inlineStr">
        <is>
          <t>no</t>
        </is>
      </c>
      <c r="W354" s="126" t="n">
        <v>0</v>
      </c>
      <c r="X354" s="62" t="n">
        <v>1</v>
      </c>
      <c r="Y354" s="114">
        <f>IF(W354&lt;&gt;"",W354*X354,"")</f>
        <v/>
      </c>
      <c r="Z354" s="114">
        <f>IF(AND(W354&lt;&gt;"",U354="yes"),W354*X354,"")</f>
        <v/>
      </c>
    </row>
    <row r="355">
      <c r="E355" s="41" t="n"/>
      <c r="H355" s="42" t="n"/>
      <c r="W355" s="126" t="n"/>
      <c r="X355" s="62" t="n">
        <v>1</v>
      </c>
      <c r="Y355" s="114">
        <f>IF(W355&lt;&gt;"",W355*X355,"")</f>
        <v/>
      </c>
      <c r="Z355" s="114">
        <f>IF(AND(W355&lt;&gt;"",U355="yes"),W355*X355,"")</f>
        <v/>
      </c>
    </row>
    <row r="356" ht="15.95" customHeight="1" thickBot="1">
      <c r="A356" s="55" t="inlineStr">
        <is>
          <t>end_group</t>
        </is>
      </c>
      <c r="B356" s="55" t="n"/>
      <c r="C356" s="56" t="n"/>
      <c r="D356" s="56" t="n"/>
      <c r="E356" s="63" t="n"/>
      <c r="F356" s="55" t="n"/>
      <c r="G356" s="55" t="n"/>
      <c r="H356" s="64" t="n"/>
      <c r="I356" s="84" t="n"/>
      <c r="J356" s="84" t="n"/>
      <c r="K356" s="84" t="n"/>
      <c r="L356" s="84" t="n"/>
      <c r="M356" s="84" t="n"/>
      <c r="N356" s="84" t="n"/>
      <c r="O356" s="84" t="n"/>
      <c r="P356" s="84" t="n"/>
      <c r="W356" s="126" t="n"/>
      <c r="Y356" s="114">
        <f>IF(W356&lt;&gt;"",W356*X356,"")</f>
        <v/>
      </c>
      <c r="Z356" s="114">
        <f>IF(AND(W356&lt;&gt;"",U356="yes"),W356*X356,"")</f>
        <v/>
      </c>
    </row>
    <row r="357" ht="15.95" customFormat="1" customHeight="1" s="30" thickTop="1">
      <c r="C357" s="31" t="n"/>
      <c r="D357" s="31" t="n"/>
      <c r="E357" s="31" t="n"/>
      <c r="I357" s="72" t="n"/>
      <c r="J357" s="72" t="n"/>
      <c r="K357" s="72" t="n"/>
      <c r="L357" s="72" t="n"/>
      <c r="M357" s="72" t="n"/>
      <c r="N357" s="72" t="n"/>
      <c r="O357" s="72" t="n"/>
      <c r="P357" s="72" t="n"/>
      <c r="W357" s="126" t="n"/>
      <c r="X357" s="118" t="n"/>
      <c r="Y357" s="117" t="n"/>
    </row>
    <row r="358" ht="15.95" customHeight="1">
      <c r="A358" s="28" t="inlineStr">
        <is>
          <t>time</t>
        </is>
      </c>
      <c r="B358" s="28" t="inlineStr">
        <is>
          <t>Interview_End_Time</t>
        </is>
      </c>
      <c r="C358" s="19" t="inlineStr">
        <is>
          <t>Interview End Time</t>
        </is>
      </c>
      <c r="D358" s="19" t="inlineStr">
        <is>
          <t>Hora de fin de la entrevista</t>
        </is>
      </c>
      <c r="F358" s="28" t="n"/>
      <c r="G358" s="28" t="n"/>
      <c r="I358" s="71" t="inlineStr">
        <is>
          <t>true</t>
        </is>
      </c>
      <c r="J358" s="71" t="n"/>
      <c r="K358" s="71" t="n"/>
      <c r="L358" s="71" t="n"/>
      <c r="M358" s="78" t="inlineStr">
        <is>
          <t>${resp_agree} = '1'</t>
        </is>
      </c>
      <c r="N358" s="71" t="n"/>
      <c r="O358" s="71" t="n"/>
      <c r="P358" s="71" t="n"/>
      <c r="U358" s="20" t="inlineStr">
        <is>
          <t>no</t>
        </is>
      </c>
      <c r="W358" s="126" t="n"/>
      <c r="Y358" s="114" t="n"/>
    </row>
    <row r="359" ht="15.95" customFormat="1" customHeight="1" s="30">
      <c r="A359" s="30" t="inlineStr">
        <is>
          <t>text</t>
        </is>
      </c>
      <c r="B359" s="30" t="inlineStr">
        <is>
          <t>enum_notes</t>
        </is>
      </c>
      <c r="C359" s="31" t="inlineStr">
        <is>
          <t>Enter any notes or feedback from this survey:</t>
        </is>
      </c>
      <c r="D359" s="31" t="inlineStr">
        <is>
          <t xml:space="preserve">Registre cualquier comentario o nota acerca de esta encuesta: </t>
        </is>
      </c>
      <c r="E359" s="32" t="n"/>
      <c r="F359" s="30" t="inlineStr">
        <is>
          <t xml:space="preserve">Leave empty if there are no comments. </t>
        </is>
      </c>
      <c r="G359" s="30" t="inlineStr">
        <is>
          <t xml:space="preserve">Deje vacio si no hay comentarios. </t>
        </is>
      </c>
      <c r="H359" s="36" t="n"/>
      <c r="I359" s="72" t="inlineStr">
        <is>
          <t>false</t>
        </is>
      </c>
      <c r="J359" s="72" t="n"/>
      <c r="K359" s="72" t="n"/>
      <c r="L359" s="72" t="n"/>
      <c r="M359" s="72" t="n"/>
      <c r="N359" s="72" t="n"/>
      <c r="O359" s="72" t="n"/>
      <c r="P359" s="72" t="n"/>
      <c r="U359" s="30" t="inlineStr">
        <is>
          <t>no</t>
        </is>
      </c>
      <c r="W359" s="126" t="n"/>
      <c r="X359" s="62" t="n"/>
      <c r="Y359" s="114" t="n"/>
      <c r="Z359" s="114">
        <f>IF(AND(W359&lt;&gt;"",U359="yes"),W359*X359,"")</f>
        <v/>
      </c>
    </row>
    <row r="360">
      <c r="A360" s="28" t="inlineStr">
        <is>
          <t>calculate</t>
        </is>
      </c>
      <c r="B360" s="28" t="inlineStr">
        <is>
          <t>__version__</t>
        </is>
      </c>
      <c r="C360" s="19" t="n"/>
      <c r="D360" s="19" t="n"/>
      <c r="F360" s="28" t="n"/>
      <c r="G360" s="28" t="n"/>
      <c r="I360" s="71" t="inlineStr">
        <is>
          <t>false</t>
        </is>
      </c>
      <c r="J360" s="71" t="n"/>
      <c r="K360" s="71" t="n"/>
      <c r="L360" s="71" t="n"/>
      <c r="M360" s="71" t="n"/>
      <c r="N360" s="71" t="n"/>
      <c r="O360" s="71" t="n"/>
      <c r="P360" s="71" t="inlineStr">
        <is>
          <t>'vfVbKi5bfYAnEzqoBsXTzQ'</t>
        </is>
      </c>
      <c r="U360" s="20" t="inlineStr">
        <is>
          <t>no</t>
        </is>
      </c>
      <c r="W360" s="126" t="n"/>
    </row>
    <row r="361">
      <c r="W361" s="126" t="n"/>
    </row>
    <row r="365" ht="15.95" customHeight="1" thickBot="1"/>
    <row r="366" ht="17.1" customHeight="1" thickBot="1">
      <c r="S366" s="134" t="inlineStr">
        <is>
          <t xml:space="preserve">AVERAGE ESTIMATED DURATION </t>
        </is>
      </c>
      <c r="T366" s="135" t="n"/>
      <c r="U366" s="135" t="n"/>
      <c r="V366" s="135" t="n"/>
      <c r="W366" s="128" t="n"/>
      <c r="X366" s="119" t="n"/>
      <c r="Y366" s="120">
        <f>(SUM(Y4:Y354)/60)</f>
        <v/>
      </c>
      <c r="Z366" s="120">
        <f>(SUM(Z4:Z57)+AVERAGE(Z58:Z60)+SUM(Z61:Z354))/60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2123"/>
  <sheetViews>
    <sheetView zoomScale="110" zoomScaleNormal="110" workbookViewId="0">
      <pane ySplit="1" topLeftCell="A812" activePane="bottomLeft" state="frozen"/>
      <selection pane="bottomLeft" activeCell="A806" sqref="A806:XFD813"/>
    </sheetView>
  </sheetViews>
  <sheetFormatPr baseColWidth="8" defaultColWidth="8.85546875" defaultRowHeight="15"/>
  <cols>
    <col width="26.28515625" customWidth="1" style="3" min="1" max="1"/>
    <col width="30" customWidth="1" style="3" min="2" max="2"/>
    <col width="43.28515625" customWidth="1" style="3" min="3" max="3"/>
    <col width="27.140625" customWidth="1" style="3" min="4" max="4"/>
    <col width="20" customWidth="1" style="3" min="5" max="5"/>
    <col width="16.140625" customWidth="1" style="3" min="6" max="6"/>
    <col width="8.85546875" customWidth="1" style="3" min="7" max="7"/>
    <col width="8.85546875" customWidth="1" style="3" min="8" max="16384"/>
  </cols>
  <sheetData>
    <row r="1">
      <c r="A1" s="2" t="inlineStr">
        <is>
          <t>list_name</t>
        </is>
      </c>
      <c r="B1" s="2" t="inlineStr">
        <is>
          <t>name</t>
        </is>
      </c>
      <c r="C1" s="2" t="inlineStr">
        <is>
          <t>label::English (en)</t>
        </is>
      </c>
      <c r="D1" s="2" t="inlineStr">
        <is>
          <t>label::Spanish (es)</t>
        </is>
      </c>
      <c r="E1" s="1" t="inlineStr">
        <is>
          <t>label::</t>
        </is>
      </c>
      <c r="F1" s="6" t="inlineStr">
        <is>
          <t>my_filter_admin</t>
        </is>
      </c>
    </row>
    <row r="2" customFormat="1" s="12">
      <c r="A2" s="12" t="inlineStr">
        <is>
          <t>enumteam</t>
        </is>
      </c>
      <c r="B2" s="136" t="n">
        <v>1</v>
      </c>
      <c r="C2" s="136" t="inlineStr">
        <is>
          <t>Enumerator team 1</t>
        </is>
      </c>
      <c r="D2" s="243" t="inlineStr">
        <is>
          <t>Equipo de encuestadores 1</t>
        </is>
      </c>
      <c r="E2" s="137" t="n"/>
      <c r="F2" s="138" t="n"/>
    </row>
    <row r="3" customFormat="1" s="12">
      <c r="A3" s="12" t="inlineStr">
        <is>
          <t>enumteam</t>
        </is>
      </c>
      <c r="B3" s="136" t="n">
        <v>2</v>
      </c>
      <c r="C3" s="136" t="inlineStr">
        <is>
          <t>Enumerator team 2</t>
        </is>
      </c>
      <c r="D3" s="243" t="inlineStr">
        <is>
          <t>Equipo de encuestadores 2</t>
        </is>
      </c>
      <c r="E3" s="137" t="n"/>
      <c r="F3" s="138" t="n"/>
    </row>
    <row r="4" customFormat="1" s="12">
      <c r="A4" s="12" t="inlineStr">
        <is>
          <t>enumteam</t>
        </is>
      </c>
      <c r="B4" s="136" t="n">
        <v>3</v>
      </c>
      <c r="C4" s="136" t="inlineStr">
        <is>
          <t>Enumerator team 3</t>
        </is>
      </c>
      <c r="D4" s="243" t="inlineStr">
        <is>
          <t>Equipo de encuestadores 3</t>
        </is>
      </c>
      <c r="E4" s="137" t="n"/>
      <c r="F4" s="138" t="n"/>
    </row>
    <row r="5" customFormat="1" s="12">
      <c r="A5" s="12" t="inlineStr">
        <is>
          <t>enumteam</t>
        </is>
      </c>
      <c r="B5" s="136" t="n">
        <v>4</v>
      </c>
      <c r="C5" s="136" t="inlineStr">
        <is>
          <t>Enumerator team 4</t>
        </is>
      </c>
      <c r="D5" s="243" t="inlineStr">
        <is>
          <t>Equipo de encuestadores 4</t>
        </is>
      </c>
      <c r="E5" s="137" t="n"/>
      <c r="F5" s="138" t="n"/>
    </row>
    <row r="6">
      <c r="A6" s="2" t="n"/>
      <c r="B6" s="2" t="n"/>
      <c r="C6" s="2" t="n"/>
      <c r="D6" s="2" t="n"/>
      <c r="E6" s="1" t="n"/>
      <c r="F6" s="2" t="n"/>
    </row>
    <row r="7">
      <c r="A7" t="inlineStr">
        <is>
          <t>enumerator</t>
        </is>
      </c>
      <c r="B7" s="3" t="n">
        <v>1</v>
      </c>
      <c r="C7" s="5" t="inlineStr">
        <is>
          <t>enumerator name 1</t>
        </is>
      </c>
      <c r="D7" s="244" t="inlineStr">
        <is>
          <t>nombre de encuestador 1</t>
        </is>
      </c>
      <c r="E7" s="4" t="n"/>
      <c r="F7" s="139" t="n"/>
    </row>
    <row r="8">
      <c r="A8" t="inlineStr">
        <is>
          <t>enumerator</t>
        </is>
      </c>
      <c r="B8" s="3" t="n">
        <v>2</v>
      </c>
      <c r="C8" s="5" t="inlineStr">
        <is>
          <t>enumerator name 2</t>
        </is>
      </c>
      <c r="D8" s="244" t="inlineStr">
        <is>
          <t>nombre de encuestador 2</t>
        </is>
      </c>
      <c r="E8" s="4" t="n"/>
      <c r="F8" s="139" t="n"/>
    </row>
    <row r="9">
      <c r="A9" t="inlineStr">
        <is>
          <t>enumerator</t>
        </is>
      </c>
      <c r="B9" s="3" t="n">
        <v>3</v>
      </c>
      <c r="C9" s="5" t="inlineStr">
        <is>
          <t>enumerator name 3</t>
        </is>
      </c>
      <c r="D9" s="244" t="inlineStr">
        <is>
          <t>nombre de encuestador 3</t>
        </is>
      </c>
      <c r="E9" s="4" t="n"/>
      <c r="F9" s="139" t="n"/>
    </row>
    <row r="10">
      <c r="E10" s="4" t="n"/>
    </row>
    <row r="11">
      <c r="A11" t="inlineStr">
        <is>
          <t>yes_no</t>
        </is>
      </c>
      <c r="B11" t="n">
        <v>1</v>
      </c>
      <c r="C11" t="inlineStr">
        <is>
          <t>Yes</t>
        </is>
      </c>
      <c r="D11" t="inlineStr">
        <is>
          <t>SI</t>
        </is>
      </c>
      <c r="E11" s="4" t="n"/>
    </row>
    <row r="12">
      <c r="A12" t="inlineStr">
        <is>
          <t>yes_no</t>
        </is>
      </c>
      <c r="B12" t="n">
        <v>2</v>
      </c>
      <c r="C12" t="inlineStr">
        <is>
          <t>No</t>
        </is>
      </c>
      <c r="D12" t="inlineStr">
        <is>
          <t>NO</t>
        </is>
      </c>
      <c r="E12" s="4" t="n"/>
    </row>
    <row r="13">
      <c r="A13" t="inlineStr">
        <is>
          <t>yes_no</t>
        </is>
      </c>
      <c r="B13" s="260" t="n">
        <v>3</v>
      </c>
      <c r="C13" t="inlineStr">
        <is>
          <t>DON'T KNOW</t>
        </is>
      </c>
      <c r="D13" t="inlineStr">
        <is>
          <t>NO SABE</t>
        </is>
      </c>
      <c r="E13" s="4" t="n"/>
    </row>
    <row r="14">
      <c r="A14" t="inlineStr">
        <is>
          <t>yes_no</t>
        </is>
      </c>
      <c r="B14" s="260" t="n">
        <v>4</v>
      </c>
      <c r="C14" t="inlineStr">
        <is>
          <t>REFUSED</t>
        </is>
      </c>
      <c r="D14" t="inlineStr">
        <is>
          <t>NO RESPONDE</t>
        </is>
      </c>
      <c r="E14" s="4" t="n"/>
    </row>
    <row r="15">
      <c r="E15" s="4" t="n"/>
    </row>
    <row r="16">
      <c r="A16" t="inlineStr">
        <is>
          <t>continue</t>
        </is>
      </c>
      <c r="B16" t="inlineStr">
        <is>
          <t>continue</t>
        </is>
      </c>
      <c r="C16" t="inlineStr">
        <is>
          <t>continue</t>
        </is>
      </c>
      <c r="D16" t="inlineStr">
        <is>
          <t>continuar</t>
        </is>
      </c>
      <c r="E16" s="4" t="n"/>
    </row>
    <row r="17">
      <c r="E17" s="4" t="n"/>
    </row>
    <row r="18">
      <c r="A18" t="inlineStr">
        <is>
          <t>yesno</t>
        </is>
      </c>
      <c r="B18" t="n">
        <v>1</v>
      </c>
      <c r="C18" t="inlineStr">
        <is>
          <t>Yes</t>
        </is>
      </c>
      <c r="D18" t="inlineStr">
        <is>
          <t>Si</t>
        </is>
      </c>
      <c r="E18" s="4" t="n"/>
    </row>
    <row r="19" ht="15.95" customHeight="1">
      <c r="A19" t="inlineStr">
        <is>
          <t>yesno</t>
        </is>
      </c>
      <c r="B19" t="n">
        <v>2</v>
      </c>
      <c r="C19" t="inlineStr">
        <is>
          <t>No</t>
        </is>
      </c>
      <c r="D19" t="inlineStr">
        <is>
          <t>No</t>
        </is>
      </c>
      <c r="E19" s="4" t="n"/>
      <c r="G19" s="265" t="n"/>
    </row>
    <row r="20">
      <c r="E20" s="4" t="n"/>
    </row>
    <row r="21" customFormat="1" s="10">
      <c r="A21" s="13" t="inlineStr">
        <is>
          <t>language</t>
        </is>
      </c>
      <c r="B21" s="13" t="inlineStr">
        <is>
          <t>en</t>
        </is>
      </c>
      <c r="C21" s="13" t="inlineStr">
        <is>
          <t>English</t>
        </is>
      </c>
      <c r="D21" s="13" t="inlineStr">
        <is>
          <t>Inglés</t>
        </is>
      </c>
      <c r="E21" s="7" t="n"/>
    </row>
    <row r="22" customFormat="1" s="10">
      <c r="A22" s="261" t="inlineStr">
        <is>
          <t>language</t>
        </is>
      </c>
      <c r="B22" s="261" t="inlineStr">
        <is>
          <t>es</t>
        </is>
      </c>
      <c r="C22" s="261" t="inlineStr">
        <is>
          <t>Spanish</t>
        </is>
      </c>
      <c r="D22" s="261" t="inlineStr">
        <is>
          <t>Español</t>
        </is>
      </c>
      <c r="E22" s="7" t="n"/>
    </row>
    <row r="23" customFormat="1" s="10">
      <c r="A23" s="13" t="inlineStr">
        <is>
          <t>language</t>
        </is>
      </c>
      <c r="B23" s="5" t="inlineStr">
        <is>
          <t>…</t>
        </is>
      </c>
      <c r="C23" s="5" t="inlineStr">
        <is>
          <t>…</t>
        </is>
      </c>
      <c r="D23" s="5" t="n"/>
      <c r="E23" s="7" t="n"/>
    </row>
    <row r="24">
      <c r="E24" s="4" t="n"/>
    </row>
    <row r="25">
      <c r="A25" t="inlineStr">
        <is>
          <t>gender</t>
        </is>
      </c>
      <c r="B25" t="n">
        <v>1</v>
      </c>
      <c r="C25" t="inlineStr">
        <is>
          <t>Male</t>
        </is>
      </c>
      <c r="D25" t="inlineStr">
        <is>
          <t>Masculino</t>
        </is>
      </c>
      <c r="E25" s="4" t="n"/>
    </row>
    <row r="26">
      <c r="A26" t="inlineStr">
        <is>
          <t>gender</t>
        </is>
      </c>
      <c r="B26" t="n">
        <v>2</v>
      </c>
      <c r="C26" t="inlineStr">
        <is>
          <t>Female</t>
        </is>
      </c>
      <c r="D26" t="inlineStr">
        <is>
          <t>Femenino</t>
        </is>
      </c>
      <c r="E26" s="4" t="n"/>
    </row>
    <row r="27">
      <c r="A27" t="inlineStr">
        <is>
          <t>gender</t>
        </is>
      </c>
      <c r="B27" s="260" t="n">
        <v>3</v>
      </c>
      <c r="C27" s="261" t="inlineStr">
        <is>
          <t>DON'T KNOW</t>
        </is>
      </c>
      <c r="D27" t="inlineStr">
        <is>
          <t>NO SABE</t>
        </is>
      </c>
      <c r="E27" s="4" t="n"/>
    </row>
    <row r="28">
      <c r="A28" t="inlineStr">
        <is>
          <t>gender</t>
        </is>
      </c>
      <c r="B28" s="260" t="n">
        <v>4</v>
      </c>
      <c r="C28" s="261" t="inlineStr">
        <is>
          <t>REFUSED</t>
        </is>
      </c>
      <c r="D28" t="inlineStr">
        <is>
          <t>NO RESPONDE</t>
        </is>
      </c>
      <c r="E28" s="4" t="n"/>
    </row>
    <row r="29">
      <c r="C29" s="13" t="n"/>
      <c r="D29" s="13" t="n"/>
      <c r="E29" s="4" t="n"/>
    </row>
    <row r="30">
      <c r="A30" t="inlineStr">
        <is>
          <t>contact_info</t>
        </is>
      </c>
      <c r="B30" t="n">
        <v>1</v>
      </c>
      <c r="C30" s="261" t="inlineStr">
        <is>
          <t>YES - mine</t>
        </is>
      </c>
      <c r="D30" s="261" t="inlineStr">
        <is>
          <t>SI - mio</t>
        </is>
      </c>
      <c r="E30" s="4" t="n"/>
    </row>
    <row r="31">
      <c r="A31" t="inlineStr">
        <is>
          <t>contact_info</t>
        </is>
      </c>
      <c r="B31" t="n">
        <v>2</v>
      </c>
      <c r="C31" s="3" t="inlineStr">
        <is>
          <t>YES - other household member</t>
        </is>
      </c>
      <c r="D31" s="261" t="inlineStr">
        <is>
          <t>SI - De otro miembro del hogar</t>
        </is>
      </c>
      <c r="E31" s="4" t="n"/>
    </row>
    <row r="32">
      <c r="A32" t="inlineStr">
        <is>
          <t>contact_info</t>
        </is>
      </c>
      <c r="B32" t="n">
        <v>3</v>
      </c>
      <c r="C32" s="261" t="inlineStr">
        <is>
          <t>YES - friend or relative [non-household member]</t>
        </is>
      </c>
      <c r="D32" s="261" t="inlineStr">
        <is>
          <t>SI - De un amigo o familiar [no miembro del hogar]</t>
        </is>
      </c>
      <c r="E32" s="4" t="n"/>
    </row>
    <row r="33">
      <c r="A33" t="inlineStr">
        <is>
          <t>contact_info</t>
        </is>
      </c>
      <c r="B33" t="n">
        <v>4</v>
      </c>
      <c r="C33" s="261" t="inlineStr">
        <is>
          <t>NO</t>
        </is>
      </c>
      <c r="D33" s="261" t="inlineStr">
        <is>
          <t>NO</t>
        </is>
      </c>
      <c r="E33" s="4" t="n"/>
    </row>
    <row r="34">
      <c r="C34" s="13" t="n"/>
      <c r="D34" s="13" t="n"/>
      <c r="E34" s="4" t="n"/>
    </row>
    <row r="35">
      <c r="A35" t="inlineStr">
        <is>
          <t>agricactivity</t>
        </is>
      </c>
      <c r="B35" t="n">
        <v>1</v>
      </c>
      <c r="C35" t="inlineStr">
        <is>
          <t xml:space="preserve">Yes - crop production </t>
        </is>
      </c>
      <c r="D35" t="inlineStr">
        <is>
          <t xml:space="preserve">Sí - producción de cultivos </t>
        </is>
      </c>
      <c r="E35" s="4" t="n"/>
    </row>
    <row r="36">
      <c r="A36" t="inlineStr">
        <is>
          <t>agricactivity</t>
        </is>
      </c>
      <c r="B36" t="n">
        <v>2</v>
      </c>
      <c r="C36" t="inlineStr">
        <is>
          <t>Yes - livestock production</t>
        </is>
      </c>
      <c r="D36" t="inlineStr">
        <is>
          <t>Sí - producción ganadería/ animales</t>
        </is>
      </c>
      <c r="E36" s="4" t="n"/>
    </row>
    <row r="37">
      <c r="A37" t="inlineStr">
        <is>
          <t>agricactivity</t>
        </is>
      </c>
      <c r="B37" t="n">
        <v>3</v>
      </c>
      <c r="C37" t="inlineStr">
        <is>
          <t xml:space="preserve">Yes - both crop and livestock production </t>
        </is>
      </c>
      <c r="D37" t="inlineStr">
        <is>
          <t xml:space="preserve">Sí - ambas, producción de cultivos y animal </t>
        </is>
      </c>
      <c r="E37" s="4" t="n"/>
    </row>
    <row r="38">
      <c r="A38" t="inlineStr">
        <is>
          <t>agricactivity</t>
        </is>
      </c>
      <c r="B38" t="n">
        <v>4</v>
      </c>
      <c r="C38" t="inlineStr">
        <is>
          <t>No</t>
        </is>
      </c>
      <c r="D38" t="inlineStr">
        <is>
          <t>No</t>
        </is>
      </c>
      <c r="E38" s="4" t="n"/>
    </row>
    <row r="39">
      <c r="A39" t="inlineStr">
        <is>
          <t>agricactivity</t>
        </is>
      </c>
      <c r="B39" s="260" t="n">
        <v>5</v>
      </c>
      <c r="C39" s="261" t="inlineStr">
        <is>
          <t>DON'T KNOW</t>
        </is>
      </c>
      <c r="D39" t="inlineStr">
        <is>
          <t>NO SABE</t>
        </is>
      </c>
      <c r="E39" s="4" t="n"/>
    </row>
    <row r="40">
      <c r="A40" t="inlineStr">
        <is>
          <t>agricactivity</t>
        </is>
      </c>
      <c r="B40" s="260" t="n">
        <v>6</v>
      </c>
      <c r="C40" t="inlineStr">
        <is>
          <t>REFUSED</t>
        </is>
      </c>
      <c r="D40" t="inlineStr">
        <is>
          <t>NO RESPONDE</t>
        </is>
      </c>
      <c r="E40" s="4" t="n"/>
    </row>
    <row r="41">
      <c r="E41" s="4" t="n"/>
    </row>
    <row r="42">
      <c r="A42" t="inlineStr">
        <is>
          <t>edu</t>
        </is>
      </c>
      <c r="B42" t="n">
        <v>1</v>
      </c>
      <c r="C42" s="261" t="inlineStr">
        <is>
          <t>None or did not complete primary school</t>
        </is>
      </c>
      <c r="D42" s="261" t="inlineStr">
        <is>
          <t>Ninguno o no completó educación primaria</t>
        </is>
      </c>
      <c r="E42" s="4" t="n"/>
    </row>
    <row r="43">
      <c r="A43" t="inlineStr">
        <is>
          <t>edu</t>
        </is>
      </c>
      <c r="B43" t="n">
        <v>2</v>
      </c>
      <c r="C43" s="261" t="inlineStr">
        <is>
          <t>Completed primary school</t>
        </is>
      </c>
      <c r="D43" s="261" t="inlineStr">
        <is>
          <t>Completó educación primaria</t>
        </is>
      </c>
      <c r="E43" s="4" t="n"/>
    </row>
    <row r="44">
      <c r="A44" t="inlineStr">
        <is>
          <t>edu</t>
        </is>
      </c>
      <c r="B44" t="n">
        <v>3</v>
      </c>
      <c r="C44" s="261" t="inlineStr">
        <is>
          <t>Completed secondary school</t>
        </is>
      </c>
      <c r="D44" s="261" t="inlineStr">
        <is>
          <t>Completó educación secundaria</t>
        </is>
      </c>
      <c r="E44" s="4" t="n"/>
    </row>
    <row r="45">
      <c r="A45" t="inlineStr">
        <is>
          <t>edu</t>
        </is>
      </c>
      <c r="B45" t="n">
        <v>4</v>
      </c>
      <c r="C45" s="261" t="inlineStr">
        <is>
          <t>Completed higher education [University / College] degree</t>
        </is>
      </c>
      <c r="D45" s="261" t="inlineStr">
        <is>
          <t xml:space="preserve">Completó educación universitaria / superior </t>
        </is>
      </c>
      <c r="E45" s="4" t="n"/>
    </row>
    <row r="46">
      <c r="A46" t="inlineStr">
        <is>
          <t>edu</t>
        </is>
      </c>
      <c r="B46" t="n">
        <v>5</v>
      </c>
      <c r="C46" s="261" t="inlineStr">
        <is>
          <t>Religious or informal education only</t>
        </is>
      </c>
      <c r="D46" s="261" t="inlineStr">
        <is>
          <t>Solo educación educación religiosa</t>
        </is>
      </c>
      <c r="E46" s="4" t="n"/>
    </row>
    <row r="47">
      <c r="A47" t="inlineStr">
        <is>
          <t>edu</t>
        </is>
      </c>
      <c r="B47" s="260" t="n">
        <v>6</v>
      </c>
      <c r="C47" t="inlineStr">
        <is>
          <t>DON'T KNOW</t>
        </is>
      </c>
      <c r="D47" t="inlineStr">
        <is>
          <t>NO SABE</t>
        </is>
      </c>
      <c r="E47" s="4" t="n"/>
    </row>
    <row r="48">
      <c r="A48" t="inlineStr">
        <is>
          <t>edu</t>
        </is>
      </c>
      <c r="B48" s="260" t="n">
        <v>7</v>
      </c>
      <c r="C48" t="inlineStr">
        <is>
          <t>REFUSED</t>
        </is>
      </c>
      <c r="D48" t="inlineStr">
        <is>
          <t>NO RESPONDE</t>
        </is>
      </c>
      <c r="E48" s="4" t="n"/>
    </row>
    <row r="49">
      <c r="B49" s="9" t="n"/>
      <c r="E49" s="4" t="n"/>
    </row>
    <row r="50">
      <c r="A50" t="inlineStr">
        <is>
          <t>water</t>
        </is>
      </c>
      <c r="B50" s="260" t="n">
        <v>1</v>
      </c>
      <c r="C50" t="inlineStr">
        <is>
          <t>Private tap from piped water</t>
        </is>
      </c>
      <c r="D50" t="inlineStr">
        <is>
          <t>Grifo/tubería privada (en el domicilio)</t>
        </is>
      </c>
      <c r="E50" s="4" t="n"/>
    </row>
    <row r="51">
      <c r="A51" t="inlineStr">
        <is>
          <t>water</t>
        </is>
      </c>
      <c r="B51" s="260" t="n">
        <v>2</v>
      </c>
      <c r="C51" t="inlineStr">
        <is>
          <t>Public tap</t>
        </is>
      </c>
      <c r="D51" t="inlineStr">
        <is>
          <t>Grifo/tubería pública</t>
        </is>
      </c>
      <c r="E51" s="4" t="n"/>
    </row>
    <row r="52">
      <c r="A52" t="inlineStr">
        <is>
          <t>water</t>
        </is>
      </c>
      <c r="B52" s="260" t="n">
        <v>3</v>
      </c>
      <c r="C52" t="inlineStr">
        <is>
          <t>Protected well</t>
        </is>
      </c>
      <c r="D52" t="inlineStr">
        <is>
          <t>Pozo cubierto</t>
        </is>
      </c>
      <c r="E52" s="4" t="n"/>
    </row>
    <row r="53">
      <c r="A53" t="inlineStr">
        <is>
          <t>water</t>
        </is>
      </c>
      <c r="B53" s="260" t="n">
        <v>4</v>
      </c>
      <c r="C53" t="inlineStr">
        <is>
          <t>Bottled water</t>
        </is>
      </c>
      <c r="D53" t="inlineStr">
        <is>
          <t>Agua embotellada</t>
        </is>
      </c>
      <c r="E53" s="4" t="n"/>
    </row>
    <row r="54">
      <c r="A54" t="inlineStr">
        <is>
          <t>water</t>
        </is>
      </c>
      <c r="B54" s="260" t="n">
        <v>5</v>
      </c>
      <c r="C54" t="inlineStr">
        <is>
          <t>Other safe source</t>
        </is>
      </c>
      <c r="D54" t="inlineStr">
        <is>
          <t>Otra fuente limpia/segura</t>
        </is>
      </c>
      <c r="E54" s="4" t="n"/>
    </row>
    <row r="55">
      <c r="A55" t="inlineStr">
        <is>
          <t>water</t>
        </is>
      </c>
      <c r="B55" s="260" t="n">
        <v>6</v>
      </c>
      <c r="C55" t="inlineStr">
        <is>
          <t>River</t>
        </is>
      </c>
      <c r="D55" t="inlineStr">
        <is>
          <t>Río</t>
        </is>
      </c>
      <c r="E55" s="4" t="n"/>
    </row>
    <row r="56">
      <c r="A56" t="inlineStr">
        <is>
          <t>water</t>
        </is>
      </c>
      <c r="B56" s="260" t="n">
        <v>7</v>
      </c>
      <c r="C56" t="inlineStr">
        <is>
          <t>Unprotected well</t>
        </is>
      </c>
      <c r="D56" t="inlineStr">
        <is>
          <t>Pozo descubierto</t>
        </is>
      </c>
      <c r="E56" s="4" t="n"/>
    </row>
    <row r="57">
      <c r="A57" t="inlineStr">
        <is>
          <t>water</t>
        </is>
      </c>
      <c r="B57" s="260" t="n">
        <v>8</v>
      </c>
      <c r="C57" t="inlineStr">
        <is>
          <t>Spring water</t>
        </is>
      </c>
      <c r="D57" t="inlineStr">
        <is>
          <t>Agua de manantial</t>
        </is>
      </c>
      <c r="E57" s="4" t="n"/>
    </row>
    <row r="58">
      <c r="A58" t="inlineStr">
        <is>
          <t>water</t>
        </is>
      </c>
      <c r="B58" s="260" t="n">
        <v>9</v>
      </c>
      <c r="C58" t="inlineStr">
        <is>
          <t>Surface water [e.g. canal, ponds, dams]</t>
        </is>
      </c>
      <c r="D58" t="inlineStr">
        <is>
          <t>Canal u otras aguas superficiales [ej: canales, estanques, represas]</t>
        </is>
      </c>
      <c r="E58" s="4" t="n"/>
    </row>
    <row r="59">
      <c r="A59" t="inlineStr">
        <is>
          <t>water</t>
        </is>
      </c>
      <c r="B59" s="260" t="n">
        <v>10</v>
      </c>
      <c r="C59" t="inlineStr">
        <is>
          <t>Other unsafe source</t>
        </is>
      </c>
      <c r="D59" t="inlineStr">
        <is>
          <t>Otra fuente no segura</t>
        </is>
      </c>
      <c r="E59" s="4" t="n"/>
    </row>
    <row r="60">
      <c r="A60" t="inlineStr">
        <is>
          <t>water</t>
        </is>
      </c>
      <c r="B60" s="260" t="n">
        <v>11</v>
      </c>
      <c r="C60" t="inlineStr">
        <is>
          <t>DON'T KNOW</t>
        </is>
      </c>
      <c r="D60" t="inlineStr">
        <is>
          <t>NO SABE</t>
        </is>
      </c>
      <c r="E60" s="4" t="n"/>
    </row>
    <row r="61">
      <c r="A61" t="inlineStr">
        <is>
          <t>water</t>
        </is>
      </c>
      <c r="B61" s="260" t="n">
        <v>12</v>
      </c>
      <c r="C61" t="inlineStr">
        <is>
          <t>REFUSED</t>
        </is>
      </c>
      <c r="D61" t="inlineStr">
        <is>
          <t>NO RESPONDE</t>
        </is>
      </c>
      <c r="E61" s="4" t="n"/>
    </row>
    <row r="62">
      <c r="B62" s="9" t="n"/>
      <c r="E62" s="4" t="n"/>
    </row>
    <row r="63">
      <c r="A63" t="inlineStr">
        <is>
          <t>toilet</t>
        </is>
      </c>
      <c r="B63" s="260" t="n">
        <v>1</v>
      </c>
      <c r="C63" t="inlineStr">
        <is>
          <t>Flush latrine/toilet with water</t>
        </is>
      </c>
      <c r="D63" t="inlineStr">
        <is>
          <t>Letrina con descarga o inodoro con agua</t>
        </is>
      </c>
      <c r="E63" s="4" t="n"/>
    </row>
    <row r="64">
      <c r="A64" t="inlineStr">
        <is>
          <t>toilet</t>
        </is>
      </c>
      <c r="B64" s="260" t="n">
        <v>2</v>
      </c>
      <c r="C64" t="inlineStr">
        <is>
          <t>Traditional pit latrine [no water]</t>
        </is>
      </c>
      <c r="D64" t="inlineStr">
        <is>
          <t>Letrina tradicional (sin agua)</t>
        </is>
      </c>
      <c r="E64" s="4" t="n"/>
    </row>
    <row r="65">
      <c r="A65" t="inlineStr">
        <is>
          <t>toilet</t>
        </is>
      </c>
      <c r="B65" s="260" t="n">
        <v>3</v>
      </c>
      <c r="C65" t="inlineStr">
        <is>
          <t>Open pit [hole in the ground for excrement without water, roof or wall]</t>
        </is>
      </c>
      <c r="D65" t="inlineStr">
        <is>
          <t>Hoyo abierto [agujero en el suelo para excrementos, sin agua, techo y o pared]</t>
        </is>
      </c>
      <c r="E65" s="4" t="n"/>
    </row>
    <row r="66">
      <c r="A66" t="inlineStr">
        <is>
          <t>toilet</t>
        </is>
      </c>
      <c r="B66" s="260" t="n">
        <v>4</v>
      </c>
      <c r="C66" t="inlineStr">
        <is>
          <t>Communal latrine [with or without water]</t>
        </is>
      </c>
      <c r="D66" t="inlineStr">
        <is>
          <t>Letrina comunitaria [con o sin agua]</t>
        </is>
      </c>
      <c r="E66" s="4" t="n"/>
    </row>
    <row r="67">
      <c r="A67" t="inlineStr">
        <is>
          <t>toilet</t>
        </is>
      </c>
      <c r="B67" s="260" t="n">
        <v>5</v>
      </c>
      <c r="C67" t="inlineStr">
        <is>
          <t>None – bush</t>
        </is>
      </c>
      <c r="D67" t="inlineStr">
        <is>
          <t>Ninguno, arbusto</t>
        </is>
      </c>
      <c r="E67" s="4" t="n"/>
    </row>
    <row r="68">
      <c r="A68" t="inlineStr">
        <is>
          <t>toilet</t>
        </is>
      </c>
      <c r="B68" s="260" t="n">
        <v>6</v>
      </c>
      <c r="C68" t="inlineStr">
        <is>
          <t>DON'T KNOW</t>
        </is>
      </c>
      <c r="D68" t="inlineStr">
        <is>
          <t>NO SABE</t>
        </is>
      </c>
      <c r="E68" s="4" t="n"/>
    </row>
    <row r="69">
      <c r="A69" t="inlineStr">
        <is>
          <t>toilet</t>
        </is>
      </c>
      <c r="B69" s="260" t="n">
        <v>7</v>
      </c>
      <c r="C69" t="inlineStr">
        <is>
          <t>REFUSED</t>
        </is>
      </c>
      <c r="D69" t="inlineStr">
        <is>
          <t>NO RESPONDE</t>
        </is>
      </c>
      <c r="E69" s="4" t="n"/>
    </row>
    <row r="70">
      <c r="B70" s="9" t="n"/>
      <c r="E70" s="4" t="n"/>
    </row>
    <row r="71">
      <c r="A71" t="inlineStr">
        <is>
          <t>light</t>
        </is>
      </c>
      <c r="B71" s="260" t="n">
        <v>1</v>
      </c>
      <c r="C71" t="inlineStr">
        <is>
          <t>Electricity [from generator or electrical grid]</t>
        </is>
      </c>
      <c r="D71" t="inlineStr">
        <is>
          <t>Electricidad [de generador o red eléctrica]</t>
        </is>
      </c>
      <c r="E71" s="4" t="n"/>
    </row>
    <row r="72">
      <c r="A72" t="inlineStr">
        <is>
          <t>light</t>
        </is>
      </c>
      <c r="B72" s="260" t="n">
        <v>2</v>
      </c>
      <c r="C72" t="inlineStr">
        <is>
          <t>Candle</t>
        </is>
      </c>
      <c r="D72" t="inlineStr">
        <is>
          <t>Vela</t>
        </is>
      </c>
      <c r="E72" s="4" t="n"/>
    </row>
    <row r="73">
      <c r="A73" t="inlineStr">
        <is>
          <t>light</t>
        </is>
      </c>
      <c r="B73" s="260" t="n">
        <v>3</v>
      </c>
      <c r="C73" t="inlineStr">
        <is>
          <t>Petrol lamp</t>
        </is>
      </c>
      <c r="D73" t="inlineStr">
        <is>
          <t>Lámpara de gasolina</t>
        </is>
      </c>
      <c r="E73" s="4" t="n"/>
    </row>
    <row r="74">
      <c r="A74" t="inlineStr">
        <is>
          <t>light</t>
        </is>
      </c>
      <c r="B74" s="260" t="n">
        <v>4</v>
      </c>
      <c r="C74" t="inlineStr">
        <is>
          <t>Lamp with batteries</t>
        </is>
      </c>
      <c r="D74" t="inlineStr">
        <is>
          <t>Lámpara con baterías</t>
        </is>
      </c>
      <c r="E74" s="4" t="n"/>
    </row>
    <row r="75">
      <c r="A75" t="inlineStr">
        <is>
          <t>light</t>
        </is>
      </c>
      <c r="B75" s="260" t="n">
        <v>5</v>
      </c>
      <c r="C75" t="inlineStr">
        <is>
          <t>Solar panel</t>
        </is>
      </c>
      <c r="D75" t="inlineStr">
        <is>
          <t>Paneles solares</t>
        </is>
      </c>
      <c r="E75" s="4" t="n"/>
    </row>
    <row r="76">
      <c r="A76" t="inlineStr">
        <is>
          <t>light</t>
        </is>
      </c>
      <c r="B76" s="260" t="n">
        <v>6</v>
      </c>
      <c r="C76" t="inlineStr">
        <is>
          <t>Other [no electric supply to the house]</t>
        </is>
      </c>
      <c r="D76" t="inlineStr">
        <is>
          <t>Otro [sin suministro eléctrico en la casa]</t>
        </is>
      </c>
      <c r="E76" s="4" t="n"/>
    </row>
    <row r="77">
      <c r="A77" t="inlineStr">
        <is>
          <t>light</t>
        </is>
      </c>
      <c r="B77" s="260" t="n">
        <v>7</v>
      </c>
      <c r="C77" t="inlineStr">
        <is>
          <t>DON'T KNOW</t>
        </is>
      </c>
      <c r="D77" t="inlineStr">
        <is>
          <t>NO SABE</t>
        </is>
      </c>
      <c r="E77" s="4" t="n"/>
    </row>
    <row r="78">
      <c r="A78" t="inlineStr">
        <is>
          <t>light</t>
        </is>
      </c>
      <c r="B78" s="260" t="n">
        <v>8</v>
      </c>
      <c r="C78" t="inlineStr">
        <is>
          <t>REFUSED</t>
        </is>
      </c>
      <c r="D78" t="inlineStr">
        <is>
          <t>NO RESPONDE</t>
        </is>
      </c>
      <c r="E78" s="4" t="n"/>
    </row>
    <row r="79">
      <c r="E79" s="4" t="n"/>
    </row>
    <row r="80">
      <c r="A80" s="262" t="inlineStr">
        <is>
          <t>residence</t>
        </is>
      </c>
      <c r="B80" s="262" t="n">
        <v>1</v>
      </c>
      <c r="C80" s="262" t="inlineStr">
        <is>
          <t>Permanent Resident - you have been living in your village / town for longer than two years and this is what you consider your habitual residence</t>
        </is>
      </c>
      <c r="D80" s="263" t="inlineStr">
        <is>
          <t>Residente permanente - lleva más de dos años viviendo en su pueblo / ciudad y ésta es la que considera su residencia habitual</t>
        </is>
      </c>
      <c r="E80" s="4" t="n"/>
    </row>
    <row r="81">
      <c r="A81" s="262" t="inlineStr">
        <is>
          <t>residence</t>
        </is>
      </c>
      <c r="B81" s="262" t="n">
        <v>2</v>
      </c>
      <c r="C81" s="262" t="inlineStr">
        <is>
          <t>Recent migrant not forcefully displaced - you have been living in your current place of residence for less than two years and you moved there voluntarily for work / family or other reasons that are not related to conflict or natural disaster</t>
        </is>
      </c>
      <c r="D81" s="263" t="inlineStr">
        <is>
          <t>Migrante reciente no forzado - llevas menos de dos años viviendo en tu actual lugar de residencia y te has trasladado allí voluntariamente por motivos de trabajo / familia u otros motivos que no están relacionados con el conflicto o la catástrofe natural</t>
        </is>
      </c>
      <c r="E81" s="4" t="n"/>
    </row>
    <row r="82">
      <c r="A82" s="262" t="inlineStr">
        <is>
          <t>residence</t>
        </is>
      </c>
      <c r="B82" s="262" t="n">
        <v>3</v>
      </c>
      <c r="C82" s="262" t="inlineStr">
        <is>
          <t>Returnee - you have only come back to this residence in the last two years after having been forced to move to another location having fled conflict or natural disaster [if return was over 2 years ago the respondent is considered a permanent resident]</t>
        </is>
      </c>
      <c r="D82" s="263" t="inlineStr">
        <is>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is>
      </c>
      <c r="E82" s="4" t="n"/>
    </row>
    <row r="83">
      <c r="A83" s="262" t="inlineStr">
        <is>
          <t>residence</t>
        </is>
      </c>
      <c r="B83" s="262" t="n">
        <v>4</v>
      </c>
      <c r="C83" s="262" t="inlineStr">
        <is>
          <t xml:space="preserve">Internally displaced person [IDP] - you were forced to flee your village or town because of conflict or natural disaster and you are now an internally displaced person in your current place of residence </t>
        </is>
      </c>
      <c r="D83" s="263" t="inlineStr">
        <is>
          <t xml:space="preserve">Desplazado interno [IDP] - se vio obligado a huir de su pueblo o ciudad a causa de un conflicto o una catástrofe natural y ahora es un desplazado interno en su lugar de residencia actual </t>
        </is>
      </c>
      <c r="E83" s="4" t="n"/>
    </row>
    <row r="84">
      <c r="A84" s="262" t="inlineStr">
        <is>
          <t>residence</t>
        </is>
      </c>
      <c r="B84" s="262" t="n">
        <v>5</v>
      </c>
      <c r="C84" s="262" t="inlineStr">
        <is>
          <t>Refugee - you were forced to flee your country because of conflict or natural disaster and you are now a refugee in your current place of residence</t>
        </is>
      </c>
      <c r="D84" s="263" t="inlineStr">
        <is>
          <t>Refugiado - se vio obligado a huir de su país a causa de un conflicto o una catástrofe natural y ahora es un refugiado en su lugar de residencia actual</t>
        </is>
      </c>
      <c r="E84" s="4" t="n"/>
    </row>
    <row r="85">
      <c r="A85" s="262" t="inlineStr">
        <is>
          <t>residence</t>
        </is>
      </c>
      <c r="B85" s="262" t="n">
        <v>6</v>
      </c>
      <c r="C85" s="262" t="inlineStr">
        <is>
          <t>DON'T KNOW</t>
        </is>
      </c>
      <c r="D85" s="263" t="inlineStr">
        <is>
          <t>NO SABE</t>
        </is>
      </c>
      <c r="E85" s="4" t="n"/>
    </row>
    <row r="86">
      <c r="A86" s="262" t="inlineStr">
        <is>
          <t>residence</t>
        </is>
      </c>
      <c r="B86" s="262" t="n">
        <v>7</v>
      </c>
      <c r="C86" s="262" t="inlineStr">
        <is>
          <t>REFUSED</t>
        </is>
      </c>
      <c r="D86" s="263" t="inlineStr">
        <is>
          <t>NO RESPONDE</t>
        </is>
      </c>
      <c r="E86" s="4" t="n"/>
    </row>
    <row r="87">
      <c r="A87" s="12" t="n"/>
      <c r="B87" s="12" t="n"/>
      <c r="C87" s="12" t="n"/>
      <c r="D87" s="245" t="n"/>
      <c r="E87" s="4" t="n"/>
    </row>
    <row r="88">
      <c r="A88" s="262" t="inlineStr">
        <is>
          <t>asset_prod</t>
        </is>
      </c>
      <c r="B88" s="262" t="inlineStr">
        <is>
          <t>process</t>
        </is>
      </c>
      <c r="C88" s="262" t="inlineStr">
        <is>
          <t>Processing assets (e.g. grinding/crushing machine, mill, oil press, fish tanks)</t>
        </is>
      </c>
      <c r="D88" s="262" t="inlineStr">
        <is>
          <t>Activos para el procesamiento [ej: trituradora, molino, prensa para aceite, tanques para la acuicultura / peceras]</t>
        </is>
      </c>
      <c r="E88" s="4" t="n"/>
    </row>
    <row r="89">
      <c r="A89" s="262" t="inlineStr">
        <is>
          <t>asset_prod</t>
        </is>
      </c>
      <c r="B89" s="262" t="inlineStr">
        <is>
          <t>farmmach</t>
        </is>
      </c>
      <c r="C89" s="262" t="inlineStr">
        <is>
          <t>Farm or fishing machinery (e.g. tractor, plough, sickle, boats, engines)</t>
        </is>
      </c>
      <c r="D89" s="263" t="inlineStr">
        <is>
          <t>Maquinaria agrícola o pesquera [ej: tractor, arado, hoz, botes, motores]</t>
        </is>
      </c>
      <c r="E89" s="4" t="n"/>
    </row>
    <row r="90">
      <c r="A90" s="262" t="inlineStr">
        <is>
          <t>asset_prod</t>
        </is>
      </c>
      <c r="B90" s="262" t="inlineStr">
        <is>
          <t>sewing</t>
        </is>
      </c>
      <c r="C90" s="262" t="inlineStr">
        <is>
          <t>Sewing machine or weaving tool</t>
        </is>
      </c>
      <c r="D90" s="263" t="inlineStr">
        <is>
          <t>Máquina de coser</t>
        </is>
      </c>
      <c r="E90" s="4" t="n"/>
    </row>
    <row r="91">
      <c r="A91" s="262" t="inlineStr">
        <is>
          <t>asset_prod</t>
        </is>
      </c>
      <c r="B91" s="262" t="inlineStr">
        <is>
          <t>taxi</t>
        </is>
      </c>
      <c r="C91" s="262" t="inlineStr">
        <is>
          <t>Taxi</t>
        </is>
      </c>
      <c r="D91" s="263" t="inlineStr">
        <is>
          <t>Taxi</t>
        </is>
      </c>
      <c r="E91" s="4" t="n"/>
    </row>
    <row r="92">
      <c r="A92" s="262" t="inlineStr">
        <is>
          <t>asset_prod</t>
        </is>
      </c>
      <c r="B92" s="262" t="inlineStr">
        <is>
          <t>truck</t>
        </is>
      </c>
      <c r="C92" s="262" t="inlineStr">
        <is>
          <t>Truck</t>
        </is>
      </c>
      <c r="D92" s="263" t="inlineStr">
        <is>
          <t>Camión</t>
        </is>
      </c>
      <c r="E92" s="4" t="n"/>
    </row>
    <row r="93">
      <c r="A93" s="262" t="inlineStr">
        <is>
          <t>asset_prod</t>
        </is>
      </c>
      <c r="B93" s="262" t="inlineStr">
        <is>
          <t>other</t>
        </is>
      </c>
      <c r="C93" s="262" t="inlineStr">
        <is>
          <t>Other productive machines or assets</t>
        </is>
      </c>
      <c r="D93" s="263" t="inlineStr">
        <is>
          <t>Otras máquinas productivas</t>
        </is>
      </c>
      <c r="E93" s="4" t="n"/>
    </row>
    <row r="94">
      <c r="A94" s="262" t="inlineStr">
        <is>
          <t>asset_prod</t>
        </is>
      </c>
      <c r="B94" s="262" t="inlineStr">
        <is>
          <t>none</t>
        </is>
      </c>
      <c r="C94" s="262" t="inlineStr">
        <is>
          <t>No productive machines or assets</t>
        </is>
      </c>
      <c r="D94" s="263" t="inlineStr">
        <is>
          <t>Ningúna máquina porductiva</t>
        </is>
      </c>
      <c r="E94" s="4" t="n"/>
    </row>
    <row r="95">
      <c r="A95" s="262" t="inlineStr">
        <is>
          <t>asset_prod</t>
        </is>
      </c>
      <c r="B95" s="262" t="inlineStr">
        <is>
          <t>dk</t>
        </is>
      </c>
      <c r="C95" s="262" t="inlineStr">
        <is>
          <t>DON'T KNOW</t>
        </is>
      </c>
      <c r="D95" s="263" t="inlineStr">
        <is>
          <t>NO SABE</t>
        </is>
      </c>
      <c r="E95" s="4" t="n"/>
    </row>
    <row r="96">
      <c r="A96" s="262" t="inlineStr">
        <is>
          <t>asset_prod</t>
        </is>
      </c>
      <c r="B96" s="262" t="inlineStr">
        <is>
          <t>ref</t>
        </is>
      </c>
      <c r="C96" s="262" t="inlineStr">
        <is>
          <t>REFUSED</t>
        </is>
      </c>
      <c r="D96" s="263" t="inlineStr">
        <is>
          <t>NO RESPONDE</t>
        </is>
      </c>
      <c r="E96" s="4" t="n"/>
    </row>
    <row r="97">
      <c r="A97" s="12" t="n"/>
      <c r="B97" s="12" t="n"/>
      <c r="C97" s="12" t="n"/>
      <c r="D97" s="245" t="n"/>
      <c r="E97" s="4" t="n"/>
    </row>
    <row r="98">
      <c r="A98" s="262" t="inlineStr">
        <is>
          <t>asset_transp</t>
        </is>
      </c>
      <c r="B98" s="262" t="inlineStr">
        <is>
          <t>bici</t>
        </is>
      </c>
      <c r="C98" s="262" t="inlineStr">
        <is>
          <t>Bicycle</t>
        </is>
      </c>
      <c r="D98" s="263" t="inlineStr">
        <is>
          <t>Bicicleta</t>
        </is>
      </c>
      <c r="E98" s="4" t="n"/>
    </row>
    <row r="99">
      <c r="A99" s="262" t="inlineStr">
        <is>
          <t>asset_transp</t>
        </is>
      </c>
      <c r="B99" s="262" t="inlineStr">
        <is>
          <t>cart</t>
        </is>
      </c>
      <c r="C99" s="262" t="inlineStr">
        <is>
          <t>Cart (animal drawn)</t>
        </is>
      </c>
      <c r="D99" s="263" t="inlineStr">
        <is>
          <t>Carreta (tracción animal</t>
        </is>
      </c>
      <c r="E99" s="4" t="n"/>
    </row>
    <row r="100">
      <c r="A100" s="262" t="inlineStr">
        <is>
          <t>asset_transp</t>
        </is>
      </c>
      <c r="B100" s="262" t="inlineStr">
        <is>
          <t>boatmotor</t>
        </is>
      </c>
      <c r="C100" s="262" t="inlineStr">
        <is>
          <t>Boat with an engine [inboard or outboard]</t>
        </is>
      </c>
      <c r="D100" s="263" t="inlineStr">
        <is>
          <t>Bote con motor [intraborda o fuera de borda]</t>
        </is>
      </c>
      <c r="E100" s="4" t="n"/>
    </row>
    <row r="101">
      <c r="A101" s="262" t="inlineStr">
        <is>
          <t>asset_transp</t>
        </is>
      </c>
      <c r="B101" s="262" t="inlineStr">
        <is>
          <t>boatnomotor</t>
        </is>
      </c>
      <c r="C101" s="262" t="inlineStr">
        <is>
          <t>Unmotorized boat [e.g. canoe]</t>
        </is>
      </c>
      <c r="D101" s="263" t="inlineStr">
        <is>
          <t>Bote sin motor [ej: canoa]</t>
        </is>
      </c>
      <c r="E101" s="4" t="n"/>
    </row>
    <row r="102">
      <c r="A102" s="262" t="inlineStr">
        <is>
          <t>asset_transp</t>
        </is>
      </c>
      <c r="B102" s="262" t="inlineStr">
        <is>
          <t>motorbike</t>
        </is>
      </c>
      <c r="C102" s="262" t="inlineStr">
        <is>
          <t>Motorbike / scooter / auto rickshaw</t>
        </is>
      </c>
      <c r="D102" s="263" t="inlineStr">
        <is>
          <t>Motocicleta/scooter</t>
        </is>
      </c>
      <c r="E102" s="4" t="n"/>
    </row>
    <row r="103">
      <c r="A103" s="262" t="inlineStr">
        <is>
          <t>asset_transp</t>
        </is>
      </c>
      <c r="B103" s="262" t="inlineStr">
        <is>
          <t>car</t>
        </is>
      </c>
      <c r="C103" s="262" t="inlineStr">
        <is>
          <t>Car</t>
        </is>
      </c>
      <c r="D103" s="263" t="inlineStr">
        <is>
          <t>Auto</t>
        </is>
      </c>
      <c r="E103" s="4" t="n"/>
    </row>
    <row r="104">
      <c r="A104" s="262" t="inlineStr">
        <is>
          <t>asset_transp</t>
        </is>
      </c>
      <c r="B104" s="262" t="inlineStr">
        <is>
          <t>van</t>
        </is>
      </c>
      <c r="C104" s="262" t="inlineStr">
        <is>
          <t>Van or small truck</t>
        </is>
      </c>
      <c r="D104" s="263" t="inlineStr">
        <is>
          <t>Furgoneta o camion pequeño</t>
        </is>
      </c>
      <c r="E104" s="4" t="n"/>
    </row>
    <row r="105">
      <c r="A105" s="262" t="inlineStr">
        <is>
          <t>asset_transp</t>
        </is>
      </c>
      <c r="B105" s="262" t="inlineStr">
        <is>
          <t>other</t>
        </is>
      </c>
      <c r="C105" s="262" t="inlineStr">
        <is>
          <t>Other motor vehicle</t>
        </is>
      </c>
      <c r="D105" s="263" t="inlineStr">
        <is>
          <t>Otro vehiculo motorizado</t>
        </is>
      </c>
      <c r="E105" s="4" t="n"/>
    </row>
    <row r="106">
      <c r="A106" s="262" t="inlineStr">
        <is>
          <t>asset_transp</t>
        </is>
      </c>
      <c r="B106" s="262" t="inlineStr">
        <is>
          <t>none</t>
        </is>
      </c>
      <c r="C106" s="262" t="inlineStr">
        <is>
          <t>None of the above</t>
        </is>
      </c>
      <c r="D106" s="263" t="inlineStr">
        <is>
          <t>Ninguno de los anteriores</t>
        </is>
      </c>
      <c r="E106" s="4" t="n"/>
    </row>
    <row r="107">
      <c r="A107" s="262" t="inlineStr">
        <is>
          <t>asset_transp</t>
        </is>
      </c>
      <c r="B107" s="262" t="inlineStr">
        <is>
          <t>dk</t>
        </is>
      </c>
      <c r="C107" s="262" t="inlineStr">
        <is>
          <t>DON'T KNOW</t>
        </is>
      </c>
      <c r="D107" s="263" t="inlineStr">
        <is>
          <t>NO SABE</t>
        </is>
      </c>
      <c r="E107" s="4" t="n"/>
    </row>
    <row r="108">
      <c r="A108" s="262" t="inlineStr">
        <is>
          <t>asset_transp</t>
        </is>
      </c>
      <c r="B108" s="262" t="inlineStr">
        <is>
          <t>ref</t>
        </is>
      </c>
      <c r="C108" s="262" t="inlineStr">
        <is>
          <t>REFUSED</t>
        </is>
      </c>
      <c r="D108" s="263" t="inlineStr">
        <is>
          <t>NO RESPONDE</t>
        </is>
      </c>
      <c r="E108" s="4" t="n"/>
    </row>
    <row r="109">
      <c r="A109" s="12" t="n"/>
      <c r="B109" s="12" t="n"/>
      <c r="C109" s="12" t="n"/>
      <c r="E109" s="4" t="n"/>
    </row>
    <row r="110">
      <c r="A110" s="262" t="inlineStr">
        <is>
          <t>maritalstat</t>
        </is>
      </c>
      <c r="B110" s="262" t="n">
        <v>1</v>
      </c>
      <c r="C110" s="262" t="inlineStr">
        <is>
          <t xml:space="preserve">Single / never married </t>
        </is>
      </c>
      <c r="D110" s="263" t="inlineStr">
        <is>
          <t>Soltero / nunca se ha casado</t>
        </is>
      </c>
      <c r="E110" s="4" t="n"/>
    </row>
    <row r="111">
      <c r="A111" s="262" t="inlineStr">
        <is>
          <t>maritalstat</t>
        </is>
      </c>
      <c r="B111" s="262" t="n">
        <v>2</v>
      </c>
      <c r="C111" s="262" t="inlineStr">
        <is>
          <t>Married</t>
        </is>
      </c>
      <c r="D111" s="263" t="inlineStr">
        <is>
          <t>Casado</t>
        </is>
      </c>
      <c r="E111" s="4" t="n"/>
    </row>
    <row r="112">
      <c r="A112" s="262" t="inlineStr">
        <is>
          <t>maritalstat</t>
        </is>
      </c>
      <c r="B112" s="262" t="n">
        <v>3</v>
      </c>
      <c r="C112" s="262" t="inlineStr">
        <is>
          <t>Separated</t>
        </is>
      </c>
      <c r="D112" s="263" t="inlineStr">
        <is>
          <t>Separado</t>
        </is>
      </c>
      <c r="E112" s="4" t="n"/>
    </row>
    <row r="113">
      <c r="A113" s="262" t="inlineStr">
        <is>
          <t>maritalstat</t>
        </is>
      </c>
      <c r="B113" s="262" t="n">
        <v>4</v>
      </c>
      <c r="C113" s="262" t="inlineStr">
        <is>
          <t>Divorced</t>
        </is>
      </c>
      <c r="D113" s="263" t="inlineStr">
        <is>
          <t>Divorciado</t>
        </is>
      </c>
      <c r="E113" s="4" t="n"/>
    </row>
    <row r="114">
      <c r="A114" s="262" t="inlineStr">
        <is>
          <t>maritalstat</t>
        </is>
      </c>
      <c r="B114" s="262" t="n">
        <v>5</v>
      </c>
      <c r="C114" s="262" t="inlineStr">
        <is>
          <t>Widowed</t>
        </is>
      </c>
      <c r="D114" s="263" t="inlineStr">
        <is>
          <t>Viudo</t>
        </is>
      </c>
      <c r="E114" s="4" t="n"/>
    </row>
    <row r="115">
      <c r="A115" s="262" t="inlineStr">
        <is>
          <t>maritalstat</t>
        </is>
      </c>
      <c r="B115" s="262" t="n">
        <v>6</v>
      </c>
      <c r="C115" s="262" t="inlineStr">
        <is>
          <t>DON’T KNOW</t>
        </is>
      </c>
      <c r="D115" s="263" t="inlineStr">
        <is>
          <t>NO SABE</t>
        </is>
      </c>
      <c r="E115" s="4" t="n"/>
    </row>
    <row r="116">
      <c r="A116" s="262" t="inlineStr">
        <is>
          <t>maritalstat</t>
        </is>
      </c>
      <c r="B116" s="262" t="n">
        <v>7</v>
      </c>
      <c r="C116" s="262" t="inlineStr">
        <is>
          <t xml:space="preserve">REFUSED </t>
        </is>
      </c>
      <c r="D116" s="263" t="inlineStr">
        <is>
          <t>NO RESPONDE</t>
        </is>
      </c>
      <c r="E116" s="4" t="n"/>
    </row>
    <row r="117">
      <c r="A117" s="12" t="n"/>
      <c r="B117" s="12" t="n"/>
      <c r="C117" s="12" t="n"/>
      <c r="D117" s="245" t="n"/>
      <c r="E117" s="4" t="n"/>
    </row>
    <row r="118">
      <c r="A118" s="262" t="inlineStr">
        <is>
          <t>agegroup</t>
        </is>
      </c>
      <c r="B118" s="262" t="n">
        <v>1</v>
      </c>
      <c r="C118" s="262" t="inlineStr">
        <is>
          <t>Under 18</t>
        </is>
      </c>
      <c r="D118" s="263" t="inlineStr">
        <is>
          <t>Menos de 18 años</t>
        </is>
      </c>
      <c r="E118" s="4" t="n"/>
    </row>
    <row r="119">
      <c r="A119" s="262" t="inlineStr">
        <is>
          <t>agegroup</t>
        </is>
      </c>
      <c r="B119" s="262" t="n">
        <v>2</v>
      </c>
      <c r="C119" s="262" t="inlineStr">
        <is>
          <t>18 to 40</t>
        </is>
      </c>
      <c r="D119" s="263" t="inlineStr">
        <is>
          <t xml:space="preserve">18 a 40 </t>
        </is>
      </c>
      <c r="E119" s="4" t="n"/>
    </row>
    <row r="120">
      <c r="A120" s="262" t="inlineStr">
        <is>
          <t>agegroup</t>
        </is>
      </c>
      <c r="B120" s="262" t="n">
        <v>3</v>
      </c>
      <c r="C120" s="262" t="inlineStr">
        <is>
          <t>41 to 65</t>
        </is>
      </c>
      <c r="D120" s="263" t="inlineStr">
        <is>
          <t xml:space="preserve">41 a 65 </t>
        </is>
      </c>
      <c r="E120" s="4" t="n"/>
    </row>
    <row r="121">
      <c r="A121" s="262" t="inlineStr">
        <is>
          <t>agegroup</t>
        </is>
      </c>
      <c r="B121" s="262" t="n">
        <v>4</v>
      </c>
      <c r="C121" s="262" t="inlineStr">
        <is>
          <t>Over 65</t>
        </is>
      </c>
      <c r="D121" s="263" t="inlineStr">
        <is>
          <t>Por encima de 65 años</t>
        </is>
      </c>
      <c r="E121" s="4" t="n"/>
    </row>
    <row r="122">
      <c r="A122" s="262" t="inlineStr">
        <is>
          <t>agegroup</t>
        </is>
      </c>
      <c r="B122" s="262" t="n">
        <v>5</v>
      </c>
      <c r="C122" s="262" t="inlineStr">
        <is>
          <t>DON'T KNOW</t>
        </is>
      </c>
      <c r="D122" s="263" t="inlineStr">
        <is>
          <t>NO SABE</t>
        </is>
      </c>
      <c r="E122" s="4" t="n"/>
    </row>
    <row r="123">
      <c r="A123" s="262" t="inlineStr">
        <is>
          <t>agegroup</t>
        </is>
      </c>
      <c r="B123" s="262" t="n">
        <v>6</v>
      </c>
      <c r="C123" s="262" t="inlineStr">
        <is>
          <t>REFUSED</t>
        </is>
      </c>
      <c r="D123" s="263" t="inlineStr">
        <is>
          <t>NO RESPONDE</t>
        </is>
      </c>
      <c r="E123" s="4" t="n"/>
    </row>
    <row r="124">
      <c r="A124" s="12" t="n"/>
      <c r="B124" s="12" t="n"/>
      <c r="C124" s="12" t="n"/>
      <c r="D124" s="12" t="n"/>
      <c r="E124" s="4" t="n"/>
    </row>
    <row r="125">
      <c r="A125" t="inlineStr">
        <is>
          <t>incomesource1</t>
        </is>
      </c>
      <c r="B125" t="n">
        <v>1</v>
      </c>
      <c r="C125" t="inlineStr">
        <is>
          <t>Production and sale of staple crops</t>
        </is>
      </c>
      <c r="D125" t="inlineStr">
        <is>
          <t>Producción y venta de cultivos básicos</t>
        </is>
      </c>
      <c r="E125" s="4" t="n"/>
    </row>
    <row r="126">
      <c r="A126" t="inlineStr">
        <is>
          <t>incomesource1</t>
        </is>
      </c>
      <c r="B126" t="n">
        <v>2</v>
      </c>
      <c r="C126" t="inlineStr">
        <is>
          <t xml:space="preserve">Production and sale of vegetables or fruit </t>
        </is>
      </c>
      <c r="D126" t="inlineStr">
        <is>
          <t xml:space="preserve">Producción y venta de vegetales o frutas </t>
        </is>
      </c>
      <c r="E126" s="4" t="n"/>
    </row>
    <row r="127">
      <c r="A127" t="inlineStr">
        <is>
          <t>incomesource1</t>
        </is>
      </c>
      <c r="B127" t="n">
        <v>3</v>
      </c>
      <c r="C127" t="inlineStr">
        <is>
          <t>Production and sale of cashcrops</t>
        </is>
      </c>
      <c r="D127" t="inlineStr">
        <is>
          <t>Producción y venta de cultivos comerciales</t>
        </is>
      </c>
      <c r="E127" s="4" t="n"/>
    </row>
    <row r="128">
      <c r="A128" t="inlineStr">
        <is>
          <t>incomesource1</t>
        </is>
      </c>
      <c r="B128" t="n">
        <v>4</v>
      </c>
      <c r="C128" t="inlineStr">
        <is>
          <t xml:space="preserve">Production and sale of livestock or livestock products </t>
        </is>
      </c>
      <c r="D128" t="inlineStr">
        <is>
          <t>Producción y venta de animales o productos de origen animal</t>
        </is>
      </c>
      <c r="E128" s="4" t="n"/>
    </row>
    <row r="129">
      <c r="A129" t="inlineStr">
        <is>
          <t>incomesource1</t>
        </is>
      </c>
      <c r="B129" t="n">
        <v>5</v>
      </c>
      <c r="C129" t="inlineStr">
        <is>
          <t>Production and sale of honey and bee products</t>
        </is>
      </c>
      <c r="D129" t="inlineStr">
        <is>
          <t>Producción y venta de productos de la colmena</t>
        </is>
      </c>
      <c r="E129" s="4" t="n"/>
    </row>
    <row r="130">
      <c r="A130" t="inlineStr">
        <is>
          <t>incomesource1</t>
        </is>
      </c>
      <c r="B130" t="n">
        <v>6</v>
      </c>
      <c r="C130" t="inlineStr">
        <is>
          <t>Production and sale of fish or aquatic products</t>
        </is>
      </c>
      <c r="D130" t="inlineStr">
        <is>
          <t>Producción y venta de pescado o productos piscícolas</t>
        </is>
      </c>
      <c r="E130" s="4" t="n"/>
    </row>
    <row r="131">
      <c r="A131" t="inlineStr">
        <is>
          <t>incomesource1</t>
        </is>
      </c>
      <c r="B131" t="n">
        <v>7</v>
      </c>
      <c r="C131" t="inlineStr">
        <is>
          <t>Collection and sale of natural resources (including forestry or bush products)</t>
        </is>
      </c>
      <c r="D131" t="inlineStr">
        <is>
          <t>Recolección y venta de recursos naturales (incluyendo productos forestales o arbustivos)</t>
        </is>
      </c>
      <c r="E131" s="4" t="n"/>
    </row>
    <row r="132">
      <c r="A132" t="inlineStr">
        <is>
          <t>incomesource1</t>
        </is>
      </c>
      <c r="B132" t="n">
        <v>8</v>
      </c>
      <c r="C132" t="inlineStr">
        <is>
          <t>Agricultural trade EXCLUDING producers (formal or informal)</t>
        </is>
      </c>
      <c r="D132" t="inlineStr">
        <is>
          <t>Comercio agrícola EXCLUYENDO productores (formal e informal)</t>
        </is>
      </c>
      <c r="E132" s="4" t="n"/>
    </row>
    <row r="133">
      <c r="A133" t="inlineStr">
        <is>
          <t>incomesource1</t>
        </is>
      </c>
      <c r="B133" t="n">
        <v>9</v>
      </c>
      <c r="C133" t="inlineStr">
        <is>
          <t xml:space="preserve">Daily wage on farms and other casual employment in agricultural sector </t>
        </is>
      </c>
      <c r="D133" t="inlineStr">
        <is>
          <t>Salario diario en granjas y otros empleos ocasionales en el sector agrícola (jornal)</t>
        </is>
      </c>
      <c r="E133" s="4" t="n"/>
    </row>
    <row r="134">
      <c r="A134" t="inlineStr">
        <is>
          <t>incomesource1</t>
        </is>
      </c>
      <c r="B134" t="n">
        <v>10</v>
      </c>
      <c r="C134" t="inlineStr">
        <is>
          <t xml:space="preserve">Stable employment in agricultural sector </t>
        </is>
      </c>
      <c r="D134" t="inlineStr">
        <is>
          <t>Empleo estable en el sector agrícola</t>
        </is>
      </c>
      <c r="E134" s="4" t="n"/>
    </row>
    <row r="135">
      <c r="A135" t="inlineStr">
        <is>
          <t>incomesource1</t>
        </is>
      </c>
      <c r="B135" t="n">
        <v>11</v>
      </c>
      <c r="C135" t="inlineStr">
        <is>
          <t>Non-agricultural self-employed or liberal profession, doctor, architect, lawyer, including restaurant</t>
        </is>
      </c>
      <c r="D135" t="inlineStr">
        <is>
          <t>Empleo independiente no agrícola o profesional calificado (doctor, arquitecto, abogado, restaurante)</t>
        </is>
      </c>
      <c r="E135" s="4" t="n"/>
    </row>
    <row r="136">
      <c r="A136" t="inlineStr">
        <is>
          <t>incomesource1</t>
        </is>
      </c>
      <c r="B136" t="n">
        <v>12</v>
      </c>
      <c r="C136" t="inlineStr">
        <is>
          <t>Off-farm daily wages and other non-agricultural casual employment</t>
        </is>
      </c>
      <c r="D136" t="inlineStr">
        <is>
          <t>Salario diario y otros empleos ocasionales no agrícolas</t>
        </is>
      </c>
      <c r="E136" s="4" t="n"/>
    </row>
    <row r="137">
      <c r="A137" t="inlineStr">
        <is>
          <t>incomesource1</t>
        </is>
      </c>
      <c r="B137" t="n">
        <v>13</v>
      </c>
      <c r="C137" t="inlineStr">
        <is>
          <t>Stable employment in non-agricultural sector</t>
        </is>
      </c>
      <c r="D137" t="inlineStr">
        <is>
          <t>Empleo estable en sectores distintos al agrícola</t>
        </is>
      </c>
      <c r="E137" s="4" t="n"/>
    </row>
    <row r="138">
      <c r="A138" t="inlineStr">
        <is>
          <t>incomesource1</t>
        </is>
      </c>
      <c r="B138" t="n">
        <v>14</v>
      </c>
      <c r="C138" t="inlineStr">
        <is>
          <t xml:space="preserve">Public employment </t>
        </is>
      </c>
      <c r="D138" t="inlineStr">
        <is>
          <t>Empleo público</t>
        </is>
      </c>
      <c r="E138" s="4" t="n"/>
    </row>
    <row r="139">
      <c r="A139" t="inlineStr">
        <is>
          <t>incomesource1</t>
        </is>
      </c>
      <c r="B139" t="n">
        <v>15</v>
      </c>
      <c r="C139" t="inlineStr">
        <is>
          <t>Income not derived from work / Charity</t>
        </is>
      </c>
      <c r="D139" t="inlineStr">
        <is>
          <t>Ingreso no proveniente del trabajo / Caridad</t>
        </is>
      </c>
      <c r="E139" s="4" t="n"/>
    </row>
    <row r="140">
      <c r="A140" t="inlineStr">
        <is>
          <t>incomesource1</t>
        </is>
      </c>
      <c r="B140" t="n">
        <v>16</v>
      </c>
      <c r="C140" t="inlineStr">
        <is>
          <t>Income not derived from work / Welfare transfer, pension, humanitarian aid</t>
        </is>
      </c>
      <c r="D140" t="inlineStr">
        <is>
          <t>Ingreso no proveniente del trabajo /Transferencia social, pensión, ayuda humanitaria</t>
        </is>
      </c>
      <c r="E140" s="4" t="n"/>
    </row>
    <row r="141">
      <c r="A141" t="inlineStr">
        <is>
          <t>incomesource1</t>
        </is>
      </c>
      <c r="B141" t="n">
        <v>17</v>
      </c>
      <c r="C141" t="inlineStr">
        <is>
          <t>Income not derived from work / Remittances</t>
        </is>
      </c>
      <c r="D141" t="inlineStr">
        <is>
          <t>Ingreso no proveniente del trabajo / Remesas</t>
        </is>
      </c>
      <c r="E141" s="4" t="n"/>
    </row>
    <row r="142">
      <c r="A142" t="inlineStr">
        <is>
          <t>incomesource1</t>
        </is>
      </c>
      <c r="B142" t="n">
        <v>18</v>
      </c>
      <c r="C142" t="inlineStr">
        <is>
          <t xml:space="preserve">Income not derived from work / Income from other rents                                                                                                                                              </t>
        </is>
      </c>
      <c r="D142" t="inlineStr">
        <is>
          <t xml:space="preserve">)ngreso no proveniente del trabajo / Ingresos por otras rentas </t>
        </is>
      </c>
      <c r="E142" s="4" t="n"/>
    </row>
    <row r="143">
      <c r="A143" t="inlineStr">
        <is>
          <t>incomesource1</t>
        </is>
      </c>
      <c r="B143" t="n">
        <v>19</v>
      </c>
      <c r="C143" t="inlineStr">
        <is>
          <t>No income source in the last 3 months and used exclusively savings / debts</t>
        </is>
      </c>
      <c r="D143" t="inlineStr">
        <is>
          <t xml:space="preserve">Sin ingresos en los últimos 3 meses y ha hecho uso de ahorros o deuda exclusivamente </t>
        </is>
      </c>
      <c r="E143" s="4" t="n"/>
    </row>
    <row r="144">
      <c r="A144" t="inlineStr">
        <is>
          <t>incomesource1</t>
        </is>
      </c>
      <c r="B144" t="n">
        <v>20</v>
      </c>
      <c r="C144" t="inlineStr">
        <is>
          <t>REFUSED</t>
        </is>
      </c>
      <c r="D144" t="inlineStr">
        <is>
          <t>NO RESPONDE</t>
        </is>
      </c>
      <c r="E144" s="4" t="n"/>
    </row>
    <row r="145">
      <c r="E145" s="4" t="n"/>
    </row>
    <row r="146">
      <c r="A146" t="inlineStr">
        <is>
          <t>gender_inc_1</t>
        </is>
      </c>
      <c r="B146" t="n">
        <v>1</v>
      </c>
      <c r="C146" t="inlineStr">
        <is>
          <t>Male</t>
        </is>
      </c>
      <c r="D146" t="inlineStr">
        <is>
          <t>Masculino</t>
        </is>
      </c>
      <c r="E146" s="4" t="n"/>
    </row>
    <row r="147">
      <c r="A147" t="inlineStr">
        <is>
          <t>gender_inc_1</t>
        </is>
      </c>
      <c r="B147" t="n">
        <v>2</v>
      </c>
      <c r="C147" t="inlineStr">
        <is>
          <t>Female</t>
        </is>
      </c>
      <c r="D147" t="inlineStr">
        <is>
          <t>Femenino</t>
        </is>
      </c>
      <c r="E147" s="4" t="n"/>
    </row>
    <row r="148">
      <c r="A148" t="inlineStr">
        <is>
          <t>gender_inc_1</t>
        </is>
      </c>
      <c r="B148" t="n">
        <v>3</v>
      </c>
      <c r="C148" t="inlineStr">
        <is>
          <t>Joint (both male &amp; female)</t>
        </is>
      </c>
      <c r="D148" t="inlineStr">
        <is>
          <t>Ambos</t>
        </is>
      </c>
      <c r="E148" s="4" t="n"/>
    </row>
    <row r="149">
      <c r="A149" t="inlineStr">
        <is>
          <t>gender_inc_1</t>
        </is>
      </c>
      <c r="B149" t="n">
        <v>4</v>
      </c>
      <c r="C149" t="inlineStr">
        <is>
          <t>DON'T KNOW</t>
        </is>
      </c>
      <c r="D149" t="inlineStr">
        <is>
          <t>NO SABE</t>
        </is>
      </c>
      <c r="E149" s="4" t="n"/>
    </row>
    <row r="150">
      <c r="A150" t="inlineStr">
        <is>
          <t>gender_inc_1</t>
        </is>
      </c>
      <c r="B150" t="n">
        <v>5</v>
      </c>
      <c r="C150" t="inlineStr">
        <is>
          <t>REFUSED</t>
        </is>
      </c>
      <c r="D150" t="inlineStr">
        <is>
          <t>NO RESPONDE</t>
        </is>
      </c>
      <c r="E150" s="4" t="n"/>
    </row>
    <row r="151">
      <c r="E151" s="4" t="n"/>
    </row>
    <row r="152">
      <c r="A152" t="inlineStr">
        <is>
          <t>gender_inc_2</t>
        </is>
      </c>
      <c r="B152" t="n">
        <v>1</v>
      </c>
      <c r="C152" t="inlineStr">
        <is>
          <t>Male household member(s)</t>
        </is>
      </c>
      <c r="D152" t="inlineStr">
        <is>
          <t>Miembro(s) masculino(s) del hogar</t>
        </is>
      </c>
      <c r="E152" s="4" t="n"/>
    </row>
    <row r="153">
      <c r="A153" t="inlineStr">
        <is>
          <t>gender_inc_2</t>
        </is>
      </c>
      <c r="B153" t="n">
        <v>2</v>
      </c>
      <c r="C153" t="inlineStr">
        <is>
          <t>Female household member(s)</t>
        </is>
      </c>
      <c r="D153" t="inlineStr">
        <is>
          <t>Miembro(s) femenino(s) del hogar</t>
        </is>
      </c>
      <c r="E153" s="4" t="n"/>
    </row>
    <row r="154">
      <c r="A154" t="inlineStr">
        <is>
          <t>gender_inc_2</t>
        </is>
      </c>
      <c r="B154" t="n">
        <v>3</v>
      </c>
      <c r="C154" t="inlineStr">
        <is>
          <t>Joint household members (both female &amp; male)</t>
        </is>
      </c>
      <c r="D154" t="inlineStr">
        <is>
          <t>Ambos miembro(s) femenino(s) y masculino(s)</t>
        </is>
      </c>
      <c r="E154" s="4" t="n"/>
    </row>
    <row r="155">
      <c r="A155" t="inlineStr">
        <is>
          <t>gender_inc_2</t>
        </is>
      </c>
      <c r="B155" t="n">
        <v>4</v>
      </c>
      <c r="C155" t="inlineStr">
        <is>
          <t>DON'T KNOW</t>
        </is>
      </c>
      <c r="D155" t="inlineStr">
        <is>
          <t>NO SABE</t>
        </is>
      </c>
      <c r="E155" s="4" t="n"/>
    </row>
    <row r="156">
      <c r="A156" t="inlineStr">
        <is>
          <t>gender_inc_2</t>
        </is>
      </c>
      <c r="B156" t="n">
        <v>5</v>
      </c>
      <c r="C156" t="inlineStr">
        <is>
          <t>REFUSED</t>
        </is>
      </c>
      <c r="D156" t="inlineStr">
        <is>
          <t>NO RESPONDE</t>
        </is>
      </c>
      <c r="E156" s="4" t="n"/>
    </row>
    <row r="157">
      <c r="E157" s="4" t="n"/>
    </row>
    <row r="158">
      <c r="A158" t="inlineStr">
        <is>
          <t>change</t>
        </is>
      </c>
      <c r="B158" t="n">
        <v>1</v>
      </c>
      <c r="C158" t="inlineStr">
        <is>
          <t>A lot more [increased by more than 50%]</t>
        </is>
      </c>
      <c r="D158" t="inlineStr">
        <is>
          <t>Mucho mayor [aumento mayor al 50%]</t>
        </is>
      </c>
      <c r="E158" s="4" t="n"/>
    </row>
    <row r="159">
      <c r="A159" t="inlineStr">
        <is>
          <t>change</t>
        </is>
      </c>
      <c r="B159" t="n">
        <v>2</v>
      </c>
      <c r="C159" t="inlineStr">
        <is>
          <t>Slightly more</t>
        </is>
      </c>
      <c r="D159" t="inlineStr">
        <is>
          <t>Un poco mayor</t>
        </is>
      </c>
      <c r="E159" s="4" t="n"/>
    </row>
    <row r="160">
      <c r="A160" t="inlineStr">
        <is>
          <t>change</t>
        </is>
      </c>
      <c r="B160" t="n">
        <v>3</v>
      </c>
      <c r="C160" t="inlineStr">
        <is>
          <t>Same</t>
        </is>
      </c>
      <c r="D160" t="inlineStr">
        <is>
          <t>El mismo</t>
        </is>
      </c>
      <c r="E160" s="4" t="n"/>
    </row>
    <row r="161">
      <c r="A161" t="inlineStr">
        <is>
          <t>change</t>
        </is>
      </c>
      <c r="B161" t="n">
        <v>4</v>
      </c>
      <c r="C161" t="inlineStr">
        <is>
          <t>Slightly less</t>
        </is>
      </c>
      <c r="D161" t="inlineStr">
        <is>
          <t>Un poco menor</t>
        </is>
      </c>
      <c r="E161" s="4" t="n"/>
    </row>
    <row r="162">
      <c r="A162" t="inlineStr">
        <is>
          <t>change</t>
        </is>
      </c>
      <c r="B162" t="n">
        <v>5</v>
      </c>
      <c r="C162" t="inlineStr">
        <is>
          <t xml:space="preserve">A lot less [less than half as much] </t>
        </is>
      </c>
      <c r="D162" t="inlineStr">
        <is>
          <t>Mucho menor [menos de la mitad]</t>
        </is>
      </c>
      <c r="E162" s="4" t="n"/>
    </row>
    <row r="163">
      <c r="A163" t="inlineStr">
        <is>
          <t>change</t>
        </is>
      </c>
      <c r="B163" s="260" t="n">
        <v>6</v>
      </c>
      <c r="C163" t="inlineStr">
        <is>
          <t>DON'T KNOW</t>
        </is>
      </c>
      <c r="D163" t="inlineStr">
        <is>
          <t>NO SABE</t>
        </is>
      </c>
      <c r="E163" s="4" t="n"/>
    </row>
    <row r="164">
      <c r="A164" t="inlineStr">
        <is>
          <t>change</t>
        </is>
      </c>
      <c r="B164" s="260" t="n">
        <v>7</v>
      </c>
      <c r="C164" t="inlineStr">
        <is>
          <t>REFUSED</t>
        </is>
      </c>
      <c r="D164" t="inlineStr">
        <is>
          <t>NO RESPONDE</t>
        </is>
      </c>
      <c r="E164" s="4" t="n"/>
    </row>
    <row r="165">
      <c r="E165" s="4" t="n"/>
    </row>
    <row r="166" customFormat="1" s="13">
      <c r="A166" s="261" t="inlineStr">
        <is>
          <t>incomesource2</t>
        </is>
      </c>
      <c r="B166" t="n">
        <v>1</v>
      </c>
      <c r="C166" t="inlineStr">
        <is>
          <t>Production and sale of staple crops</t>
        </is>
      </c>
      <c r="D166" t="inlineStr">
        <is>
          <t>Producción y venta de cultivos básicos</t>
        </is>
      </c>
      <c r="E166" s="5" t="n"/>
    </row>
    <row r="167" customFormat="1" s="13">
      <c r="A167" s="261" t="inlineStr">
        <is>
          <t>incomesource2</t>
        </is>
      </c>
      <c r="B167" t="n">
        <v>2</v>
      </c>
      <c r="C167" t="inlineStr">
        <is>
          <t xml:space="preserve">Production and sale of vegetables or fruit </t>
        </is>
      </c>
      <c r="D167" t="inlineStr">
        <is>
          <t xml:space="preserve">Producción y venta de vegetales o frutas </t>
        </is>
      </c>
      <c r="E167" s="5" t="n"/>
    </row>
    <row r="168" customFormat="1" s="13">
      <c r="A168" s="261" t="inlineStr">
        <is>
          <t>incomesource2</t>
        </is>
      </c>
      <c r="B168" t="n">
        <v>3</v>
      </c>
      <c r="C168" t="inlineStr">
        <is>
          <t>Production and sale of cashcrops</t>
        </is>
      </c>
      <c r="D168" t="inlineStr">
        <is>
          <t>Producción y venta de cultivos comerciales</t>
        </is>
      </c>
      <c r="E168" s="5" t="n"/>
    </row>
    <row r="169" customFormat="1" s="13">
      <c r="A169" s="261" t="inlineStr">
        <is>
          <t>incomesource2</t>
        </is>
      </c>
      <c r="B169" t="n">
        <v>4</v>
      </c>
      <c r="C169" t="inlineStr">
        <is>
          <t xml:space="preserve">Production and sale of livestock or livestock products </t>
        </is>
      </c>
      <c r="D169" t="inlineStr">
        <is>
          <t>Producción y venta de animales o productos de origen animal</t>
        </is>
      </c>
      <c r="E169" s="5" t="n"/>
    </row>
    <row r="170" customFormat="1" s="13">
      <c r="A170" s="261" t="inlineStr">
        <is>
          <t>incomesource2</t>
        </is>
      </c>
      <c r="B170" t="n">
        <v>5</v>
      </c>
      <c r="C170" t="inlineStr">
        <is>
          <t>Production and sale of honey and bee products</t>
        </is>
      </c>
      <c r="D170" t="inlineStr">
        <is>
          <t>Producción y venta de productos de la colmena</t>
        </is>
      </c>
      <c r="E170" s="5" t="n"/>
    </row>
    <row r="171" customFormat="1" s="13">
      <c r="A171" s="261" t="inlineStr">
        <is>
          <t>incomesource2</t>
        </is>
      </c>
      <c r="B171" t="n">
        <v>6</v>
      </c>
      <c r="C171" t="inlineStr">
        <is>
          <t>Production and sale of fish or aquatic products</t>
        </is>
      </c>
      <c r="D171" t="inlineStr">
        <is>
          <t>Producción y venta de pescado o productos piscícolas</t>
        </is>
      </c>
      <c r="E171" s="5" t="n"/>
    </row>
    <row r="172" customFormat="1" s="13">
      <c r="A172" s="261" t="inlineStr">
        <is>
          <t>incomesource2</t>
        </is>
      </c>
      <c r="B172" t="n">
        <v>7</v>
      </c>
      <c r="C172" t="inlineStr">
        <is>
          <t>Collection and sale of natural resources (including forestry or bush products)</t>
        </is>
      </c>
      <c r="D172" t="inlineStr">
        <is>
          <t>Recolección y venta de recursos naturales (incluyendo productos forestales o arbustivos)</t>
        </is>
      </c>
      <c r="E172" s="5" t="n"/>
    </row>
    <row r="173" customFormat="1" s="13">
      <c r="A173" s="261" t="inlineStr">
        <is>
          <t>incomesource2</t>
        </is>
      </c>
      <c r="B173" t="n">
        <v>8</v>
      </c>
      <c r="C173" t="inlineStr">
        <is>
          <t>Agricultural trade EXCLUDING producers (formal or informal)</t>
        </is>
      </c>
      <c r="D173" t="inlineStr">
        <is>
          <t>Comercio agrícola EXCLUYENDO productores (formal e informal)</t>
        </is>
      </c>
      <c r="E173" s="5" t="n"/>
    </row>
    <row r="174" customFormat="1" s="13">
      <c r="A174" s="261" t="inlineStr">
        <is>
          <t>incomesource2</t>
        </is>
      </c>
      <c r="B174" t="n">
        <v>9</v>
      </c>
      <c r="C174" t="inlineStr">
        <is>
          <t xml:space="preserve">Daily wage on farms and other casual employment in agricultural sector </t>
        </is>
      </c>
      <c r="D174" t="inlineStr">
        <is>
          <t>Salario diario en granjas y otros empleos ocasionales en el sector agrícola (jornal)</t>
        </is>
      </c>
      <c r="E174" s="5" t="n"/>
    </row>
    <row r="175" customFormat="1" s="13">
      <c r="A175" s="261" t="inlineStr">
        <is>
          <t>incomesource2</t>
        </is>
      </c>
      <c r="B175" t="n">
        <v>10</v>
      </c>
      <c r="C175" t="inlineStr">
        <is>
          <t xml:space="preserve">Stable employment in agricultural sector </t>
        </is>
      </c>
      <c r="D175" t="inlineStr">
        <is>
          <t>Empleo estable en el sector agrícola</t>
        </is>
      </c>
      <c r="E175" s="5" t="n"/>
    </row>
    <row r="176" customFormat="1" s="13">
      <c r="A176" s="261" t="inlineStr">
        <is>
          <t>incomesource2</t>
        </is>
      </c>
      <c r="B176" t="n">
        <v>11</v>
      </c>
      <c r="C176" t="inlineStr">
        <is>
          <t>Non-agricultural self-employed or liberal profession, doctor, architect, lawyer, including restaurant</t>
        </is>
      </c>
      <c r="D176" t="inlineStr">
        <is>
          <t>Empleo independiente no agrícola o profesional calificado (doctor, arquitecto, abogado, restaurante)</t>
        </is>
      </c>
      <c r="E176" s="5" t="n"/>
    </row>
    <row r="177" customFormat="1" s="13">
      <c r="A177" s="261" t="inlineStr">
        <is>
          <t>incomesource2</t>
        </is>
      </c>
      <c r="B177" t="n">
        <v>12</v>
      </c>
      <c r="C177" t="inlineStr">
        <is>
          <t>Off-farm daily wages and other non-agricultural casual employment</t>
        </is>
      </c>
      <c r="D177" t="inlineStr">
        <is>
          <t>Salario diario y otros empleos ocasionales no agrícolas</t>
        </is>
      </c>
      <c r="E177" s="5" t="n"/>
    </row>
    <row r="178" customFormat="1" s="13">
      <c r="A178" s="261" t="inlineStr">
        <is>
          <t>incomesource2</t>
        </is>
      </c>
      <c r="B178" t="n">
        <v>13</v>
      </c>
      <c r="C178" t="inlineStr">
        <is>
          <t>Stable employment in non-agricultural sector</t>
        </is>
      </c>
      <c r="D178" t="inlineStr">
        <is>
          <t>Empleo estable en sectores distintos al agrícola</t>
        </is>
      </c>
      <c r="E178" s="5" t="n"/>
    </row>
    <row r="179" customFormat="1" s="13">
      <c r="A179" s="261" t="inlineStr">
        <is>
          <t>incomesource2</t>
        </is>
      </c>
      <c r="B179" t="n">
        <v>14</v>
      </c>
      <c r="C179" t="inlineStr">
        <is>
          <t xml:space="preserve">Public employment </t>
        </is>
      </c>
      <c r="D179" t="inlineStr">
        <is>
          <t>Empleo público</t>
        </is>
      </c>
      <c r="E179" s="5" t="n"/>
    </row>
    <row r="180" customFormat="1" s="13">
      <c r="A180" s="261" t="inlineStr">
        <is>
          <t>incomesource2</t>
        </is>
      </c>
      <c r="B180" s="261" t="n">
        <v>15</v>
      </c>
      <c r="C180" s="261" t="inlineStr">
        <is>
          <t>Income not derived from work / Charity</t>
        </is>
      </c>
      <c r="D180" t="inlineStr">
        <is>
          <t>Ingreso no proveniente del trabajo / Caridad</t>
        </is>
      </c>
      <c r="E180" s="5" t="n"/>
    </row>
    <row r="181" customFormat="1" s="13">
      <c r="A181" s="261" t="inlineStr">
        <is>
          <t>incomesource2</t>
        </is>
      </c>
      <c r="B181" s="261" t="n">
        <v>16</v>
      </c>
      <c r="C181" s="261" t="inlineStr">
        <is>
          <t>Income not derived from work / Welfare transfer, pension, humanitarian aid</t>
        </is>
      </c>
      <c r="D181" t="inlineStr">
        <is>
          <t>Ingreso no proveniente del trabajo /Transferencia social, pensión, ayuda humanitaria</t>
        </is>
      </c>
      <c r="E181" s="5" t="n"/>
    </row>
    <row r="182" customFormat="1" s="13">
      <c r="A182" s="261" t="inlineStr">
        <is>
          <t>incomesource2</t>
        </is>
      </c>
      <c r="B182" s="261" t="n">
        <v>17</v>
      </c>
      <c r="C182" s="261" t="inlineStr">
        <is>
          <t>Income not derived from work / Remittances</t>
        </is>
      </c>
      <c r="D182" t="inlineStr">
        <is>
          <t>Ingreso no proveniente del trabajo / Remesas</t>
        </is>
      </c>
      <c r="E182" s="5" t="n"/>
    </row>
    <row r="183" customFormat="1" s="13">
      <c r="A183" s="261" t="inlineStr">
        <is>
          <t>incomesource2</t>
        </is>
      </c>
      <c r="B183" s="261" t="n">
        <v>18</v>
      </c>
      <c r="C183" s="261" t="inlineStr">
        <is>
          <t>Income not derived from work / Income from other rents</t>
        </is>
      </c>
      <c r="D183" t="inlineStr">
        <is>
          <t xml:space="preserve">)ngreso no proveniente del trabajo / Ingresos por otras rentas </t>
        </is>
      </c>
      <c r="E183" s="5" t="n"/>
    </row>
    <row r="184" customFormat="1" s="13">
      <c r="A184" s="261" t="inlineStr">
        <is>
          <t>incomesource2</t>
        </is>
      </c>
      <c r="B184" s="261" t="n">
        <v>19</v>
      </c>
      <c r="C184" s="261" t="inlineStr">
        <is>
          <t>No second most important source of income</t>
        </is>
      </c>
      <c r="D184" t="inlineStr">
        <is>
          <t>Ninguna segunda fuente de ingreso más importante</t>
        </is>
      </c>
      <c r="E184" s="5" t="n"/>
    </row>
    <row r="185" customFormat="1" s="13">
      <c r="A185" s="261" t="inlineStr">
        <is>
          <t>incomesource2</t>
        </is>
      </c>
      <c r="B185" s="260" t="n">
        <v>20</v>
      </c>
      <c r="C185" s="261" t="inlineStr">
        <is>
          <t>DON'T KNOW</t>
        </is>
      </c>
      <c r="D185" s="261" t="inlineStr">
        <is>
          <t>NO SABE</t>
        </is>
      </c>
      <c r="E185" s="5" t="n"/>
    </row>
    <row r="186" customFormat="1" s="13">
      <c r="A186" s="261" t="inlineStr">
        <is>
          <t>incomesource2</t>
        </is>
      </c>
      <c r="B186" s="260" t="n">
        <v>21</v>
      </c>
      <c r="C186" s="261" t="inlineStr">
        <is>
          <t>REFUSED</t>
        </is>
      </c>
      <c r="D186" t="inlineStr">
        <is>
          <t>NO RESPONDE</t>
        </is>
      </c>
      <c r="E186" s="5" t="n"/>
    </row>
    <row r="187" customFormat="1" s="13">
      <c r="D187" s="3" t="n"/>
      <c r="E187" s="5" t="n"/>
    </row>
    <row r="188" customFormat="1" s="13">
      <c r="A188" s="261" t="inlineStr">
        <is>
          <t>incomesource3</t>
        </is>
      </c>
      <c r="B188" t="n">
        <v>1</v>
      </c>
      <c r="C188" t="inlineStr">
        <is>
          <t>Production and sale of staple crops</t>
        </is>
      </c>
      <c r="D188" t="inlineStr">
        <is>
          <t>Producción y venta de cultivos básicos</t>
        </is>
      </c>
      <c r="E188" s="5" t="n"/>
    </row>
    <row r="189" customFormat="1" s="13">
      <c r="A189" s="261" t="inlineStr">
        <is>
          <t>incomesource3</t>
        </is>
      </c>
      <c r="B189" t="n">
        <v>2</v>
      </c>
      <c r="C189" t="inlineStr">
        <is>
          <t xml:space="preserve">Production and sale of vegetables or fruit </t>
        </is>
      </c>
      <c r="D189" t="inlineStr">
        <is>
          <t xml:space="preserve">Producción y venta de vegetales o frutas </t>
        </is>
      </c>
      <c r="E189" s="5" t="n"/>
    </row>
    <row r="190" customFormat="1" s="13">
      <c r="A190" s="261" t="inlineStr">
        <is>
          <t>incomesource3</t>
        </is>
      </c>
      <c r="B190" t="n">
        <v>3</v>
      </c>
      <c r="C190" t="inlineStr">
        <is>
          <t>Production and sale of cashcrops</t>
        </is>
      </c>
      <c r="D190" t="inlineStr">
        <is>
          <t>Producción y venta de cultivos comerciales</t>
        </is>
      </c>
      <c r="E190" s="5" t="n"/>
    </row>
    <row r="191" customFormat="1" s="13">
      <c r="A191" s="261" t="inlineStr">
        <is>
          <t>incomesource3</t>
        </is>
      </c>
      <c r="B191" t="n">
        <v>4</v>
      </c>
      <c r="C191" t="inlineStr">
        <is>
          <t xml:space="preserve">Production and sale of livestock or livestock products </t>
        </is>
      </c>
      <c r="D191" t="inlineStr">
        <is>
          <t>Producción y venta de animales o productos de origen animal</t>
        </is>
      </c>
      <c r="E191" s="5" t="n"/>
    </row>
    <row r="192" customFormat="1" s="13">
      <c r="A192" s="261" t="inlineStr">
        <is>
          <t>incomesource3</t>
        </is>
      </c>
      <c r="B192" t="n">
        <v>5</v>
      </c>
      <c r="C192" t="inlineStr">
        <is>
          <t>Production and sale of honey and bee products</t>
        </is>
      </c>
      <c r="D192" t="inlineStr">
        <is>
          <t>Producción y venta de productos de la colmena</t>
        </is>
      </c>
      <c r="E192" s="5" t="n"/>
    </row>
    <row r="193" customFormat="1" s="13">
      <c r="A193" s="261" t="inlineStr">
        <is>
          <t>incomesource3</t>
        </is>
      </c>
      <c r="B193" t="n">
        <v>6</v>
      </c>
      <c r="C193" t="inlineStr">
        <is>
          <t>Production and sale of fish or aquatic products</t>
        </is>
      </c>
      <c r="D193" t="inlineStr">
        <is>
          <t>Producción y venta de pescado o productos piscícolas</t>
        </is>
      </c>
      <c r="E193" s="5" t="n"/>
    </row>
    <row r="194" customFormat="1" s="13">
      <c r="A194" s="261" t="inlineStr">
        <is>
          <t>incomesource3</t>
        </is>
      </c>
      <c r="B194" t="n">
        <v>7</v>
      </c>
      <c r="C194" t="inlineStr">
        <is>
          <t>Collection and sale of natural resources (including forestry or bush products)</t>
        </is>
      </c>
      <c r="D194" t="inlineStr">
        <is>
          <t>Recolección y venta de recursos naturales (incluyendo productos forestales o arbustivos)</t>
        </is>
      </c>
      <c r="E194" s="5" t="n"/>
    </row>
    <row r="195" customFormat="1" s="13">
      <c r="A195" s="261" t="inlineStr">
        <is>
          <t>incomesource3</t>
        </is>
      </c>
      <c r="B195" t="n">
        <v>8</v>
      </c>
      <c r="C195" t="inlineStr">
        <is>
          <t>Agricultural trade EXCLUDING producers (formal or informal)</t>
        </is>
      </c>
      <c r="D195" t="inlineStr">
        <is>
          <t>Comercio agrícola EXCLUYENDO productores (formal e informal)</t>
        </is>
      </c>
      <c r="E195" s="5" t="n"/>
    </row>
    <row r="196" customFormat="1" s="13">
      <c r="A196" s="261" t="inlineStr">
        <is>
          <t>incomesource3</t>
        </is>
      </c>
      <c r="B196" t="n">
        <v>9</v>
      </c>
      <c r="C196" t="inlineStr">
        <is>
          <t xml:space="preserve">Daily wage on farms and other casual employment in agricultural sector </t>
        </is>
      </c>
      <c r="D196" t="inlineStr">
        <is>
          <t>Salario diario en granjas y otros empleos ocasionales en el sector agrícola (jornal)</t>
        </is>
      </c>
      <c r="E196" s="5" t="n"/>
    </row>
    <row r="197" customFormat="1" s="13">
      <c r="A197" s="261" t="inlineStr">
        <is>
          <t>incomesource3</t>
        </is>
      </c>
      <c r="B197" t="n">
        <v>10</v>
      </c>
      <c r="C197" t="inlineStr">
        <is>
          <t xml:space="preserve">Stable employment in agricultural sector </t>
        </is>
      </c>
      <c r="D197" t="inlineStr">
        <is>
          <t>Empleo estable en el sector agrícola</t>
        </is>
      </c>
      <c r="E197" s="5" t="n"/>
    </row>
    <row r="198" customFormat="1" s="13">
      <c r="A198" s="261" t="inlineStr">
        <is>
          <t>incomesource3</t>
        </is>
      </c>
      <c r="B198" t="n">
        <v>11</v>
      </c>
      <c r="C198" t="inlineStr">
        <is>
          <t>Non-agricultural self-employed or liberal profession, doctor, architect, lawyer, including restaurant</t>
        </is>
      </c>
      <c r="D198" t="inlineStr">
        <is>
          <t>Empleo independiente no agrícola o profesional calificado (doctor, arquitecto, abogado, restaurante)</t>
        </is>
      </c>
      <c r="E198" s="5" t="n"/>
    </row>
    <row r="199" customFormat="1" s="13">
      <c r="A199" s="261" t="inlineStr">
        <is>
          <t>incomesource3</t>
        </is>
      </c>
      <c r="B199" t="n">
        <v>12</v>
      </c>
      <c r="C199" t="inlineStr">
        <is>
          <t>Off-farm daily wages and other non-agricultural casual employment</t>
        </is>
      </c>
      <c r="D199" t="inlineStr">
        <is>
          <t>Salario diario y otros empleos ocasionales no agrícolas</t>
        </is>
      </c>
      <c r="E199" s="5" t="n"/>
    </row>
    <row r="200" customFormat="1" s="13">
      <c r="A200" s="261" t="inlineStr">
        <is>
          <t>incomesource3</t>
        </is>
      </c>
      <c r="B200" t="n">
        <v>13</v>
      </c>
      <c r="C200" t="inlineStr">
        <is>
          <t>Stable employment in non-agricultural sector</t>
        </is>
      </c>
      <c r="D200" t="inlineStr">
        <is>
          <t>Empleo estable en sectores distintos al agrícola</t>
        </is>
      </c>
      <c r="E200" s="5" t="n"/>
    </row>
    <row r="201" customFormat="1" s="13">
      <c r="A201" s="261" t="inlineStr">
        <is>
          <t>incomesource3</t>
        </is>
      </c>
      <c r="B201" t="n">
        <v>14</v>
      </c>
      <c r="C201" t="inlineStr">
        <is>
          <t xml:space="preserve">Public employment </t>
        </is>
      </c>
      <c r="D201" t="inlineStr">
        <is>
          <t>Empleo público</t>
        </is>
      </c>
      <c r="E201" s="5" t="n"/>
    </row>
    <row r="202" customFormat="1" s="13">
      <c r="A202" s="261" t="inlineStr">
        <is>
          <t>incomesource3</t>
        </is>
      </c>
      <c r="B202" s="261" t="n">
        <v>15</v>
      </c>
      <c r="C202" s="261" t="inlineStr">
        <is>
          <t>Income not derived from work / Charity</t>
        </is>
      </c>
      <c r="D202" t="inlineStr">
        <is>
          <t>Ingreso no proveniente del trabajo / Caridad</t>
        </is>
      </c>
      <c r="E202" s="5" t="n"/>
    </row>
    <row r="203" customFormat="1" s="13">
      <c r="A203" s="261" t="inlineStr">
        <is>
          <t>incomesource3</t>
        </is>
      </c>
      <c r="B203" s="261" t="n">
        <v>16</v>
      </c>
      <c r="C203" s="261" t="inlineStr">
        <is>
          <t>Income not derived from work / Welfare transfer, pension, humanitarian aid</t>
        </is>
      </c>
      <c r="D203" t="inlineStr">
        <is>
          <t>Ingreso no proveniente del trabajo /Transferencia social, pensión, ayuda humanitaria</t>
        </is>
      </c>
      <c r="E203" s="5" t="n"/>
    </row>
    <row r="204" customFormat="1" s="13">
      <c r="A204" s="261" t="inlineStr">
        <is>
          <t>incomesource3</t>
        </is>
      </c>
      <c r="B204" s="261" t="n">
        <v>17</v>
      </c>
      <c r="C204" s="261" t="inlineStr">
        <is>
          <t>Income not derived from work / Remittances</t>
        </is>
      </c>
      <c r="D204" t="inlineStr">
        <is>
          <t>Ingreso no proveniente del trabajo / Remesas</t>
        </is>
      </c>
      <c r="E204" s="5" t="n"/>
    </row>
    <row r="205" customFormat="1" s="13">
      <c r="A205" s="261" t="inlineStr">
        <is>
          <t>incomesource3</t>
        </is>
      </c>
      <c r="B205" s="261" t="n">
        <v>18</v>
      </c>
      <c r="C205" s="261" t="inlineStr">
        <is>
          <t xml:space="preserve">Income not derived from work / Income from other rents                                </t>
        </is>
      </c>
      <c r="D205" t="inlineStr">
        <is>
          <t xml:space="preserve">)ngreso no proveniente del trabajo / Ingresos por otras rentas </t>
        </is>
      </c>
      <c r="E205" s="5" t="n"/>
    </row>
    <row r="206" customFormat="1" s="13">
      <c r="A206" s="261" t="inlineStr">
        <is>
          <t>incomesource3</t>
        </is>
      </c>
      <c r="B206" s="261" t="n">
        <v>19</v>
      </c>
      <c r="C206" s="261" t="inlineStr">
        <is>
          <t>No third most important source of income</t>
        </is>
      </c>
      <c r="D206" t="inlineStr">
        <is>
          <t>Ninguna tercera fuente de ingreso más importante</t>
        </is>
      </c>
      <c r="E206" s="5" t="n"/>
    </row>
    <row r="207" customFormat="1" s="13">
      <c r="A207" s="261" t="inlineStr">
        <is>
          <t>incomesource3</t>
        </is>
      </c>
      <c r="B207" s="260" t="n">
        <v>20</v>
      </c>
      <c r="C207" s="261" t="inlineStr">
        <is>
          <t>DON'T KNOW</t>
        </is>
      </c>
      <c r="D207" s="261" t="inlineStr">
        <is>
          <t>NO SABE</t>
        </is>
      </c>
      <c r="E207" s="5" t="n"/>
    </row>
    <row r="208" customFormat="1" s="13">
      <c r="A208" s="261" t="inlineStr">
        <is>
          <t>incomesource3</t>
        </is>
      </c>
      <c r="B208" s="260" t="n">
        <v>21</v>
      </c>
      <c r="C208" s="261" t="inlineStr">
        <is>
          <t>REFUSED</t>
        </is>
      </c>
      <c r="D208" t="inlineStr">
        <is>
          <t>NO RESPONDE</t>
        </is>
      </c>
      <c r="E208" s="5" t="n"/>
    </row>
    <row r="209" customFormat="1" s="11">
      <c r="D209" s="3" t="n"/>
      <c r="E209" s="8" t="n"/>
    </row>
    <row r="210">
      <c r="A210" t="inlineStr">
        <is>
          <t>shock</t>
        </is>
      </c>
      <c r="B210" t="inlineStr">
        <is>
          <t>noshock</t>
        </is>
      </c>
      <c r="C210" t="inlineStr">
        <is>
          <t>No shock</t>
        </is>
      </c>
      <c r="D210" t="inlineStr">
        <is>
          <t>Sin afectación</t>
        </is>
      </c>
      <c r="E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t="inlineStr">
        <is>
          <t>Enfermedad, accidente o muerte de miembro[s] del hogar [enfermedad del proveedor  económico de la familia/gastos médicos inusualmente altos/gastos funerarios/muerte del proveedor económico de la familia]</t>
        </is>
      </c>
      <c r="E211" s="4" t="n"/>
    </row>
    <row r="212">
      <c r="A212" t="inlineStr">
        <is>
          <t>shock</t>
        </is>
      </c>
      <c r="B212" t="inlineStr">
        <is>
          <t>lostemplorwork</t>
        </is>
      </c>
      <c r="C212" t="inlineStr">
        <is>
          <t>Lost employment or working opportunities [not due to illness/accident]</t>
        </is>
      </c>
      <c r="D212" t="inlineStr">
        <is>
          <t>Pérdida de empleo u oportunidades laborales [aplíca principalmente para trabajo por dias]</t>
        </is>
      </c>
      <c r="E212" s="4" t="n"/>
    </row>
    <row r="213">
      <c r="A213" t="inlineStr">
        <is>
          <t>shock</t>
        </is>
      </c>
      <c r="B213" t="inlineStr">
        <is>
          <t>otherintrahhshock</t>
        </is>
      </c>
      <c r="C213" t="inlineStr">
        <is>
          <t>Other intra-household shock</t>
        </is>
      </c>
      <c r="D213" t="inlineStr">
        <is>
          <t>Otros impactos dentro del hogar</t>
        </is>
      </c>
      <c r="E213" s="4" t="n"/>
    </row>
    <row r="214">
      <c r="A214" t="inlineStr">
        <is>
          <t>shock</t>
        </is>
      </c>
      <c r="B214" t="inlineStr">
        <is>
          <t>higherfoodprices</t>
        </is>
      </c>
      <c r="C214" t="inlineStr">
        <is>
          <t>Unusually high food prices</t>
        </is>
      </c>
      <c r="D214" t="inlineStr">
        <is>
          <t>Precios de los alimentos mucho más altos de lo habitual</t>
        </is>
      </c>
      <c r="E214" s="4" t="n"/>
    </row>
    <row r="215">
      <c r="A215" t="inlineStr">
        <is>
          <t>shock</t>
        </is>
      </c>
      <c r="B215" t="inlineStr">
        <is>
          <t>higherfuelprices</t>
        </is>
      </c>
      <c r="C215" t="inlineStr">
        <is>
          <t>Unusually high fuel prices or transport prices</t>
        </is>
      </c>
      <c r="D215" t="inlineStr">
        <is>
          <t>Precios de combustibles mucho más altos de lo usual</t>
        </is>
      </c>
      <c r="E215" s="4" t="n"/>
    </row>
    <row r="216">
      <c r="A216" t="inlineStr">
        <is>
          <t>shock</t>
        </is>
      </c>
      <c r="B216" t="inlineStr">
        <is>
          <t>mvtrestrict</t>
        </is>
      </c>
      <c r="C216" t="inlineStr">
        <is>
          <t>Population movement restrictions [e.g. due to epidemic or infrastructure damage]</t>
        </is>
      </c>
      <c r="D216" t="inlineStr">
        <is>
          <t>Eventos externos [restricciones por COVID-19, inseguridad, daños a la infrastructura, etc.] que impiden la continuación del trabajo o negocio</t>
        </is>
      </c>
      <c r="E216" s="4" t="n"/>
    </row>
    <row r="217">
      <c r="A217" t="inlineStr">
        <is>
          <t>shock</t>
        </is>
      </c>
      <c r="B217" t="inlineStr">
        <is>
          <t>othereconomicshock</t>
        </is>
      </c>
      <c r="C217" t="inlineStr">
        <is>
          <t xml:space="preserve">Other economic shock </t>
        </is>
      </c>
      <c r="D217" t="inlineStr">
        <is>
          <t>Otras afectaciones económicas</t>
        </is>
      </c>
      <c r="E217" s="4" t="n"/>
    </row>
    <row r="218">
      <c r="A218" t="inlineStr">
        <is>
          <t>shock</t>
        </is>
      </c>
      <c r="B218" t="inlineStr">
        <is>
          <t>pestoutbreak</t>
        </is>
      </c>
      <c r="C218" t="inlineStr">
        <is>
          <t>Pest outbreak</t>
        </is>
      </c>
      <c r="D218" t="inlineStr">
        <is>
          <t>Brote de plagas</t>
        </is>
      </c>
      <c r="E218" s="4" t="n"/>
    </row>
    <row r="219">
      <c r="A219" t="inlineStr">
        <is>
          <t>shock</t>
        </is>
      </c>
      <c r="B219" t="inlineStr">
        <is>
          <t>plantdisease</t>
        </is>
      </c>
      <c r="C219" t="inlineStr">
        <is>
          <t>Plant disease</t>
        </is>
      </c>
      <c r="D219" t="inlineStr">
        <is>
          <t>Enfermedad en plantas</t>
        </is>
      </c>
      <c r="E219" s="4" t="n"/>
    </row>
    <row r="220">
      <c r="A220" t="inlineStr">
        <is>
          <t>shock</t>
        </is>
      </c>
      <c r="B220" t="inlineStr">
        <is>
          <t>animaldisease</t>
        </is>
      </c>
      <c r="C220" t="inlineStr">
        <is>
          <t>Animal disease [affecting many animals] or death</t>
        </is>
      </c>
      <c r="D220" t="inlineStr">
        <is>
          <t xml:space="preserve">Enfermedad o muerte que afecta a muchos animales </t>
        </is>
      </c>
      <c r="E220" s="4" t="n"/>
    </row>
    <row r="221">
      <c r="A221" t="inlineStr">
        <is>
          <t>shock</t>
        </is>
      </c>
      <c r="B221" t="inlineStr">
        <is>
          <t>napasture</t>
        </is>
      </c>
      <c r="C221" t="inlineStr">
        <is>
          <t>Lack of physical access to pasture</t>
        </is>
      </c>
      <c r="D221" t="inlineStr">
        <is>
          <t>Falta de acceso a pastos [a causa del conflicto/ daño a la infraestructura / restricciones por  COVID-19]</t>
        </is>
      </c>
      <c r="E221" s="4" t="n"/>
    </row>
    <row r="222">
      <c r="A222" t="inlineStr">
        <is>
          <t>shock</t>
        </is>
      </c>
      <c r="B222" t="inlineStr">
        <is>
          <t>othercropandlivests</t>
        </is>
      </c>
      <c r="C222" t="inlineStr">
        <is>
          <t>Other crop and livestock shock</t>
        </is>
      </c>
      <c r="D222" t="inlineStr">
        <is>
          <t>Otras afectaciones en la agricultura y ganadería</t>
        </is>
      </c>
      <c r="E222" s="4" t="n"/>
    </row>
    <row r="223">
      <c r="A223" t="inlineStr">
        <is>
          <t>shock</t>
        </is>
      </c>
      <c r="B223" t="inlineStr">
        <is>
          <t>coldtemporhail</t>
        </is>
      </c>
      <c r="C223" t="inlineStr">
        <is>
          <t>Cold temperatures or hail</t>
        </is>
      </c>
      <c r="D223" t="inlineStr">
        <is>
          <t>Bajas temperaturas o granizadas</t>
        </is>
      </c>
      <c r="E223" s="4" t="n"/>
    </row>
    <row r="224">
      <c r="A224" t="inlineStr">
        <is>
          <t>shock</t>
        </is>
      </c>
      <c r="B224" t="inlineStr">
        <is>
          <t>flood</t>
        </is>
      </c>
      <c r="C224" t="inlineStr">
        <is>
          <t>Flood / riverbank erosion</t>
        </is>
      </c>
      <c r="D224" t="inlineStr">
        <is>
          <t xml:space="preserve">Inundación, desbordamiento de ríos o costas, erosión fluvial </t>
        </is>
      </c>
      <c r="E224" s="4" t="n"/>
    </row>
    <row r="225">
      <c r="A225" t="inlineStr">
        <is>
          <t>shock</t>
        </is>
      </c>
      <c r="B225" t="inlineStr">
        <is>
          <t>hurricane</t>
        </is>
      </c>
      <c r="C225" t="inlineStr">
        <is>
          <t>Hurricane / cyclone / tornado</t>
        </is>
      </c>
      <c r="D225" t="inlineStr">
        <is>
          <t>Huracán / Ciclón / Tornado</t>
        </is>
      </c>
      <c r="E225" s="4" t="n"/>
    </row>
    <row r="226">
      <c r="A226" t="inlineStr">
        <is>
          <t>shock</t>
        </is>
      </c>
      <c r="B226" t="inlineStr">
        <is>
          <t>drought</t>
        </is>
      </c>
      <c r="C226" t="inlineStr">
        <is>
          <t>Drought / heat stress</t>
        </is>
      </c>
      <c r="D226" t="inlineStr">
        <is>
          <t>Sequía / afectación de cultivo por exceso de calor</t>
        </is>
      </c>
      <c r="E226" s="4" t="n"/>
    </row>
    <row r="227">
      <c r="A227" t="inlineStr">
        <is>
          <t>shock</t>
        </is>
      </c>
      <c r="B227" t="inlineStr">
        <is>
          <t>earthquake</t>
        </is>
      </c>
      <c r="C227" t="inlineStr">
        <is>
          <t>Earthquake</t>
        </is>
      </c>
      <c r="D227" t="inlineStr">
        <is>
          <t>Terremoto</t>
        </is>
      </c>
      <c r="E227" s="4" t="n"/>
    </row>
    <row r="228">
      <c r="A228" t="inlineStr">
        <is>
          <t>shock</t>
        </is>
      </c>
      <c r="B228" t="inlineStr">
        <is>
          <t>landslides</t>
        </is>
      </c>
      <c r="C228" t="inlineStr">
        <is>
          <t>Landslides</t>
        </is>
      </c>
      <c r="D228" t="inlineStr">
        <is>
          <t>Deslizamiento de tierra</t>
        </is>
      </c>
      <c r="E228" s="4" t="n"/>
    </row>
    <row r="229">
      <c r="A229" t="inlineStr">
        <is>
          <t>shock</t>
        </is>
      </c>
      <c r="B229" t="inlineStr">
        <is>
          <t>firenatural</t>
        </is>
      </c>
      <c r="C229" t="inlineStr">
        <is>
          <t>Fire from natural disaster</t>
        </is>
      </c>
      <c r="D229" t="inlineStr">
        <is>
          <t>Incendio natural/forestal</t>
        </is>
      </c>
      <c r="E229" s="4" t="n"/>
    </row>
    <row r="230">
      <c r="A230" t="inlineStr">
        <is>
          <t>shock</t>
        </is>
      </c>
      <c r="B230" t="inlineStr">
        <is>
          <t>othernathazard</t>
        </is>
      </c>
      <c r="C230" t="inlineStr">
        <is>
          <t>Other natural hazard</t>
        </is>
      </c>
      <c r="D230" t="inlineStr">
        <is>
          <t>Otro peligro natural</t>
        </is>
      </c>
      <c r="E230" s="4" t="n"/>
    </row>
    <row r="231">
      <c r="A231" t="inlineStr">
        <is>
          <t>shock</t>
        </is>
      </c>
      <c r="B231" t="inlineStr">
        <is>
          <t>violenceinsecconf</t>
        </is>
      </c>
      <c r="C231" t="inlineStr">
        <is>
          <t>Violence and insecurity / conflict</t>
        </is>
      </c>
      <c r="D231" t="inlineStr">
        <is>
          <t>Violencia e inseguridad/ conflicto</t>
        </is>
      </c>
      <c r="E231" s="4" t="n"/>
    </row>
    <row r="232">
      <c r="A232" t="inlineStr">
        <is>
          <t>shock</t>
        </is>
      </c>
      <c r="B232" t="inlineStr">
        <is>
          <t>theftofprodassets</t>
        </is>
      </c>
      <c r="C232" t="inlineStr">
        <is>
          <t>Theft of production assets [land / livestock / tools / etc]</t>
        </is>
      </c>
      <c r="D232" t="inlineStr">
        <is>
          <t>Robos de activos para la producción [tierra / ganado / herramientas / etc]</t>
        </is>
      </c>
      <c r="E232" s="4" t="n"/>
    </row>
    <row r="233">
      <c r="A233" t="inlineStr">
        <is>
          <t>shock</t>
        </is>
      </c>
      <c r="B233" t="inlineStr">
        <is>
          <t>firemanmade</t>
        </is>
      </c>
      <c r="C233" t="inlineStr">
        <is>
          <t>Fire from man-made disaster</t>
        </is>
      </c>
      <c r="D233" t="inlineStr">
        <is>
          <t>Incendios provocados por el hombre</t>
        </is>
      </c>
      <c r="E233" s="4" t="n"/>
    </row>
    <row r="234">
      <c r="A234" t="inlineStr">
        <is>
          <t>shock</t>
        </is>
      </c>
      <c r="B234" t="inlineStr">
        <is>
          <t>othermanmadehazard</t>
        </is>
      </c>
      <c r="C234" t="inlineStr">
        <is>
          <t>Other human-induced hazard</t>
        </is>
      </c>
      <c r="D234" t="inlineStr">
        <is>
          <t>Otro peligro causado por el hombre</t>
        </is>
      </c>
      <c r="E234" s="4" t="n"/>
    </row>
    <row r="235">
      <c r="A235" t="inlineStr">
        <is>
          <t>shock</t>
        </is>
      </c>
      <c r="B235" t="inlineStr">
        <is>
          <t>dk</t>
        </is>
      </c>
      <c r="C235" t="inlineStr">
        <is>
          <t>DON'T KNOW</t>
        </is>
      </c>
      <c r="D235" t="inlineStr">
        <is>
          <t>NO SABE</t>
        </is>
      </c>
      <c r="E235" s="4" t="n"/>
    </row>
    <row r="236">
      <c r="A236" t="inlineStr">
        <is>
          <t>shock</t>
        </is>
      </c>
      <c r="B236" t="inlineStr">
        <is>
          <t>ref</t>
        </is>
      </c>
      <c r="C236" t="inlineStr">
        <is>
          <t>REFUSED</t>
        </is>
      </c>
      <c r="D236" t="inlineStr">
        <is>
          <t>NO RESPONDE</t>
        </is>
      </c>
      <c r="E236" s="4" t="n"/>
    </row>
    <row r="237">
      <c r="E237" s="4" t="n"/>
    </row>
    <row r="238">
      <c r="A238" t="inlineStr">
        <is>
          <t>covidmeasures</t>
        </is>
      </c>
      <c r="B238" t="inlineStr">
        <is>
          <t>goodstransp</t>
        </is>
      </c>
      <c r="C238" t="inlineStr">
        <is>
          <t>Movement restrictions [sometimes producing product scarcity or price hikes]</t>
        </is>
      </c>
      <c r="D238" t="inlineStr">
        <is>
          <t>Restricciones a la movilidad de mercancías [que a veces provocan escasez de productos o aumento de precios]</t>
        </is>
      </c>
      <c r="E238" s="4" t="n"/>
    </row>
    <row r="239">
      <c r="A239" t="inlineStr">
        <is>
          <t>covidmeasures</t>
        </is>
      </c>
      <c r="B239" t="inlineStr">
        <is>
          <t>marketclosed</t>
        </is>
      </c>
      <c r="C239" t="inlineStr">
        <is>
          <t>Closure of food markets or other businesses</t>
        </is>
      </c>
      <c r="D239" t="inlineStr">
        <is>
          <t>Cierre de mercado de alimentos u otros negocios</t>
        </is>
      </c>
      <c r="E239" s="4" t="n"/>
    </row>
    <row r="240">
      <c r="A240" t="inlineStr">
        <is>
          <t>covidmeasures</t>
        </is>
      </c>
      <c r="B240" t="inlineStr">
        <is>
          <t>borderclosed</t>
        </is>
      </c>
      <c r="C240" t="inlineStr">
        <is>
          <t>Closure of international borders [affecting the purchase of imported inputs or the sale of goods for export or transhumance]</t>
        </is>
      </c>
      <c r="D240" t="inlineStr">
        <is>
          <t xml:space="preserve">Cierre de fronteras internacionales [afectando las compras de insumos importados o la venta de bienes para la exportación o trashumancia] </t>
        </is>
      </c>
      <c r="E240" s="4" t="n"/>
    </row>
    <row r="241">
      <c r="A241" t="inlineStr">
        <is>
          <t>covidmeasures</t>
        </is>
      </c>
      <c r="B241" t="inlineStr">
        <is>
          <t>stayhome</t>
        </is>
      </c>
      <c r="C241" t="inlineStr">
        <is>
          <t>Stay at home order</t>
        </is>
      </c>
      <c r="D241" t="inlineStr">
        <is>
          <t>Obligación de permanecer en casa</t>
        </is>
      </c>
      <c r="E241" s="4" t="n"/>
    </row>
    <row r="242">
      <c r="A242" t="inlineStr">
        <is>
          <t>covidmeasures</t>
        </is>
      </c>
      <c r="B242" t="inlineStr">
        <is>
          <t>gatherings</t>
        </is>
      </c>
      <c r="C242" t="inlineStr">
        <is>
          <t>Ban on gatherings</t>
        </is>
      </c>
      <c r="D242" t="inlineStr">
        <is>
          <t>Prohibición de reuniones</t>
        </is>
      </c>
      <c r="E242" s="4" t="n"/>
    </row>
    <row r="243">
      <c r="A243" t="inlineStr">
        <is>
          <t>covidmeasures</t>
        </is>
      </c>
      <c r="B243" t="inlineStr">
        <is>
          <t>processclosed</t>
        </is>
      </c>
      <c r="C243" t="inlineStr">
        <is>
          <t>Closure of food processors [slaughterhouse / dairy cooperatives / etc] or restaurants</t>
        </is>
      </c>
      <c r="D243" t="inlineStr">
        <is>
          <t>Cierre de procesadoras de alimentos[centros de beneficio animal/ cooperativas lácteas/ etc] o restaurantes</t>
        </is>
      </c>
      <c r="E243" s="4" t="n"/>
    </row>
    <row r="244">
      <c r="A244" t="inlineStr">
        <is>
          <t>covidmeasures</t>
        </is>
      </c>
      <c r="B244" t="inlineStr">
        <is>
          <t>curfew</t>
        </is>
      </c>
      <c r="C244" t="inlineStr">
        <is>
          <t>Curfews</t>
        </is>
      </c>
      <c r="D244" t="inlineStr">
        <is>
          <t>Toques de queda</t>
        </is>
      </c>
      <c r="E244" s="4" t="n"/>
    </row>
    <row r="245">
      <c r="A245" t="inlineStr">
        <is>
          <t>covidmeasures</t>
        </is>
      </c>
      <c r="B245" t="inlineStr">
        <is>
          <t>school</t>
        </is>
      </c>
      <c r="C245" t="inlineStr">
        <is>
          <t>Closure of schools</t>
        </is>
      </c>
      <c r="D245" t="inlineStr">
        <is>
          <t>Cierre de escuelas</t>
        </is>
      </c>
      <c r="E245" s="4" t="n"/>
    </row>
    <row r="246">
      <c r="A246" t="inlineStr">
        <is>
          <t>covidmeasures</t>
        </is>
      </c>
      <c r="B246" t="inlineStr">
        <is>
          <t>other</t>
        </is>
      </c>
      <c r="C246" t="inlineStr">
        <is>
          <t>Other [specify]</t>
        </is>
      </c>
      <c r="D246" t="inlineStr">
        <is>
          <t>Otro [especificar]</t>
        </is>
      </c>
      <c r="E246" s="4" t="n"/>
    </row>
    <row r="247">
      <c r="A247" t="inlineStr">
        <is>
          <t>covidmeasures</t>
        </is>
      </c>
      <c r="B247" t="inlineStr">
        <is>
          <t>none</t>
        </is>
      </c>
      <c r="C247" t="inlineStr">
        <is>
          <t>Not affected by restrictions</t>
        </is>
      </c>
      <c r="D247" t="inlineStr">
        <is>
          <t>No afectado por las restricciones</t>
        </is>
      </c>
      <c r="E247" s="4" t="n"/>
    </row>
    <row r="248">
      <c r="A248" t="inlineStr">
        <is>
          <t>covidmeasures</t>
        </is>
      </c>
      <c r="B248" t="inlineStr">
        <is>
          <t>dk</t>
        </is>
      </c>
      <c r="C248" t="inlineStr">
        <is>
          <t>DON'T KNOW</t>
        </is>
      </c>
      <c r="D248" t="inlineStr">
        <is>
          <t>NO SABE</t>
        </is>
      </c>
      <c r="E248" s="4" t="n"/>
    </row>
    <row r="249">
      <c r="A249" t="inlineStr">
        <is>
          <t>covidmeasures</t>
        </is>
      </c>
      <c r="B249" t="inlineStr">
        <is>
          <t>ref</t>
        </is>
      </c>
      <c r="C249" t="inlineStr">
        <is>
          <t>REFUSED</t>
        </is>
      </c>
      <c r="D249" t="inlineStr">
        <is>
          <t>NO RESPONDE</t>
        </is>
      </c>
      <c r="E249" s="4" t="n"/>
    </row>
    <row r="250">
      <c r="E250" s="4" t="n"/>
    </row>
    <row r="251" customFormat="1" s="12">
      <c r="A251" s="261" t="inlineStr">
        <is>
          <t>landsize_unit</t>
        </is>
      </c>
      <c r="B251" s="261" t="n">
        <v>1</v>
      </c>
      <c r="C251" s="261" t="inlineStr">
        <is>
          <t>Acres</t>
        </is>
      </c>
      <c r="D251" s="261" t="inlineStr">
        <is>
          <t>Acres</t>
        </is>
      </c>
      <c r="E251" s="14" t="n"/>
    </row>
    <row r="252" customFormat="1" s="12">
      <c r="A252" s="261" t="inlineStr">
        <is>
          <t>landsize_unit</t>
        </is>
      </c>
      <c r="B252" s="261" t="n">
        <v>2</v>
      </c>
      <c r="C252" s="261" t="inlineStr">
        <is>
          <t>Hectares</t>
        </is>
      </c>
      <c r="D252" s="261" t="inlineStr">
        <is>
          <t>Hectáreas</t>
        </is>
      </c>
      <c r="E252" s="14" t="n"/>
    </row>
    <row r="253" customFormat="1" s="12">
      <c r="A253" s="261" t="inlineStr">
        <is>
          <t>landsize_unit</t>
        </is>
      </c>
      <c r="B253" s="261" t="n">
        <v>3</v>
      </c>
      <c r="C253" s="261" t="inlineStr">
        <is>
          <t>Square meters</t>
        </is>
      </c>
      <c r="D253" s="261" t="inlineStr">
        <is>
          <t>Metros cuadrados</t>
        </is>
      </c>
      <c r="E253" s="14" t="n"/>
    </row>
    <row r="254" customFormat="1" s="12">
      <c r="A254" s="261" t="inlineStr">
        <is>
          <t>landsize_unit</t>
        </is>
      </c>
      <c r="B254" s="261" t="n">
        <v>4</v>
      </c>
      <c r="C254" s="261" t="inlineStr">
        <is>
          <t>Square feet</t>
        </is>
      </c>
      <c r="D254" s="261" t="inlineStr">
        <is>
          <t>Pies cuadrados</t>
        </is>
      </c>
      <c r="E254" s="14" t="n"/>
    </row>
    <row r="255" customFormat="1" s="12">
      <c r="A255" s="261" t="inlineStr">
        <is>
          <t>landsize_unit</t>
        </is>
      </c>
      <c r="B255" s="261" t="n">
        <v>5</v>
      </c>
      <c r="C255" s="264" t="inlineStr">
        <is>
          <t>#local measurement unit#</t>
        </is>
      </c>
      <c r="D255" s="264" t="inlineStr">
        <is>
          <t>#local measurement unit ES#</t>
        </is>
      </c>
      <c r="E255" s="14" t="n"/>
    </row>
    <row r="256" customFormat="1" s="12">
      <c r="D256" s="124" t="n"/>
      <c r="E256" s="14" t="n"/>
    </row>
    <row r="257" customFormat="1" s="13">
      <c r="A257" s="261" t="inlineStr">
        <is>
          <t>cropcheck</t>
        </is>
      </c>
      <c r="B257" s="261" t="n">
        <v>1</v>
      </c>
      <c r="C257" s="261" t="inlineStr">
        <is>
          <t xml:space="preserve">Don’t usually produce during this season </t>
        </is>
      </c>
      <c r="D257" s="261" t="inlineStr">
        <is>
          <t>Normalmente no produce durante está temporada</t>
        </is>
      </c>
      <c r="E257" s="5" t="n"/>
    </row>
    <row r="258" customFormat="1" s="13">
      <c r="A258" s="261" t="inlineStr">
        <is>
          <t>cropcheck</t>
        </is>
      </c>
      <c r="B258" s="261" t="n">
        <v>2</v>
      </c>
      <c r="C258" s="261" t="inlineStr">
        <is>
          <t>Wasn't able to produce (e.g. due to difficulties)</t>
        </is>
      </c>
      <c r="D258" s="261" t="inlineStr">
        <is>
          <t>No pudo producir (por difícultades, por ejemplo)</t>
        </is>
      </c>
      <c r="E258" s="5" t="n"/>
    </row>
    <row r="259" customFormat="1" s="12">
      <c r="D259" s="13" t="n"/>
      <c r="E259" s="14" t="n"/>
    </row>
    <row r="260" customFormat="1" s="12">
      <c r="A260" s="261" t="inlineStr">
        <is>
          <t>irrigation</t>
        </is>
      </c>
      <c r="B260" s="261" t="n">
        <v>1</v>
      </c>
      <c r="C260" s="261" t="inlineStr">
        <is>
          <t>Rainfed</t>
        </is>
      </c>
      <c r="D260" s="261" t="inlineStr">
        <is>
          <t>Agua lluvia</t>
        </is>
      </c>
      <c r="E260" s="14" t="n"/>
    </row>
    <row r="261" customFormat="1" s="12">
      <c r="A261" s="261" t="inlineStr">
        <is>
          <t>irrigation</t>
        </is>
      </c>
      <c r="B261" s="261" t="n">
        <v>2</v>
      </c>
      <c r="C261" s="261" t="inlineStr">
        <is>
          <t>Groundwater</t>
        </is>
      </c>
      <c r="D261" s="261" t="inlineStr">
        <is>
          <t>Agua subterranea</t>
        </is>
      </c>
      <c r="E261" s="14" t="n"/>
    </row>
    <row r="262" customFormat="1" s="12">
      <c r="A262" s="261" t="inlineStr">
        <is>
          <t>irrigation</t>
        </is>
      </c>
      <c r="B262" s="261" t="n">
        <v>3</v>
      </c>
      <c r="C262" s="261" t="inlineStr">
        <is>
          <t>Natural surface water [river, lake, stream, pond, etc.]</t>
        </is>
      </c>
      <c r="D262" s="261" t="inlineStr">
        <is>
          <t>Agua natural superficial [río / lago / arroyo / estanque / etc.]</t>
        </is>
      </c>
      <c r="E262" s="14" t="n"/>
    </row>
    <row r="263" customFormat="1" s="12">
      <c r="A263" s="261" t="inlineStr">
        <is>
          <t>irrigation</t>
        </is>
      </c>
      <c r="B263" s="261" t="n">
        <v>4</v>
      </c>
      <c r="C263" s="261" t="inlineStr">
        <is>
          <t>Constructed water point [canal, dam, etc.]</t>
        </is>
      </c>
      <c r="D263" s="261" t="inlineStr">
        <is>
          <t>Punto de agua construido [canal / presa / etc.]</t>
        </is>
      </c>
      <c r="E263" s="14" t="n"/>
    </row>
    <row r="264" customFormat="1" s="12">
      <c r="A264" s="261" t="inlineStr">
        <is>
          <t>irrigation</t>
        </is>
      </c>
      <c r="B264" s="261" t="n">
        <v>5</v>
      </c>
      <c r="C264" s="261" t="inlineStr">
        <is>
          <t>Public water supply system [e.g. tap water]</t>
        </is>
      </c>
      <c r="D264" s="261" t="inlineStr">
        <is>
          <t>Sistema de abastecimiento de agua público [ej. agua de grifo]</t>
        </is>
      </c>
      <c r="E264" s="14" t="n"/>
    </row>
    <row r="265" customFormat="1" s="12">
      <c r="A265" s="261" t="inlineStr">
        <is>
          <t>irrigation</t>
        </is>
      </c>
      <c r="B265" s="261" t="n">
        <v>6</v>
      </c>
      <c r="C265" s="261" t="inlineStr">
        <is>
          <t>Other [specify]</t>
        </is>
      </c>
      <c r="D265" s="261" t="inlineStr">
        <is>
          <t>Otro [especificar]</t>
        </is>
      </c>
      <c r="E265" s="14" t="n"/>
    </row>
    <row r="266" customFormat="1" s="12">
      <c r="A266" s="261" t="inlineStr">
        <is>
          <t>irrigation</t>
        </is>
      </c>
      <c r="B266" s="261" t="n">
        <v>7</v>
      </c>
      <c r="C266" s="261" t="inlineStr">
        <is>
          <t>DON'T KNOW</t>
        </is>
      </c>
      <c r="D266" s="261" t="inlineStr">
        <is>
          <t>NO SABE</t>
        </is>
      </c>
      <c r="E266" s="14" t="n"/>
    </row>
    <row r="267" customFormat="1" s="12">
      <c r="A267" s="261" t="inlineStr">
        <is>
          <t>irrigation</t>
        </is>
      </c>
      <c r="B267" s="261" t="n">
        <v>8</v>
      </c>
      <c r="C267" s="261" t="inlineStr">
        <is>
          <t>REFUSED</t>
        </is>
      </c>
      <c r="D267" s="261" t="inlineStr">
        <is>
          <t>NO RESPONDE</t>
        </is>
      </c>
      <c r="E267" s="14" t="n"/>
    </row>
    <row r="268">
      <c r="D268" s="13" t="n"/>
      <c r="E268" s="4" t="n"/>
    </row>
    <row r="269" customFormat="1" s="12">
      <c r="A269" s="262" t="inlineStr">
        <is>
          <t>irrigpump</t>
        </is>
      </c>
      <c r="B269" s="262" t="n">
        <v>1</v>
      </c>
      <c r="C269" s="262" t="inlineStr">
        <is>
          <t>No, everything works on gravity</t>
        </is>
      </c>
      <c r="D269" s="262" t="inlineStr">
        <is>
          <t>No, todo funciona por gravedad</t>
        </is>
      </c>
      <c r="E269" s="14" t="n"/>
    </row>
    <row r="270" customFormat="1" s="12">
      <c r="A270" s="262" t="inlineStr">
        <is>
          <t>irrigpump</t>
        </is>
      </c>
      <c r="B270" s="262" t="n">
        <v>2</v>
      </c>
      <c r="C270" s="262" t="inlineStr">
        <is>
          <t>Yes, there is a communal diesel/gas pump</t>
        </is>
      </c>
      <c r="D270" s="262" t="inlineStr">
        <is>
          <t>Si, hay una bomba comunal que funciona con diesel/gasolina</t>
        </is>
      </c>
      <c r="E270" s="14" t="n"/>
    </row>
    <row r="271" customFormat="1" s="12">
      <c r="A271" s="262" t="inlineStr">
        <is>
          <t>irrigpump</t>
        </is>
      </c>
      <c r="B271" s="262" t="n">
        <v>3</v>
      </c>
      <c r="C271" s="262" t="inlineStr">
        <is>
          <t>Yes, there is a communal manual pump</t>
        </is>
      </c>
      <c r="D271" s="262" t="inlineStr">
        <is>
          <t>Si, hay una bomba comunal que funciona manualmente</t>
        </is>
      </c>
      <c r="E271" s="14" t="n"/>
    </row>
    <row r="272" customFormat="1" s="12">
      <c r="A272" s="262" t="inlineStr">
        <is>
          <t>irrigpump</t>
        </is>
      </c>
      <c r="B272" s="262" t="n">
        <v>4</v>
      </c>
      <c r="C272" s="262" t="inlineStr">
        <is>
          <t>Yes, there is a manual pump in my field</t>
        </is>
      </c>
      <c r="D272" s="262" t="inlineStr">
        <is>
          <t>Si, hay una bomba manual que funciona en mi predio</t>
        </is>
      </c>
      <c r="E272" s="14" t="n"/>
    </row>
    <row r="273" customFormat="1" s="12">
      <c r="A273" s="262" t="inlineStr">
        <is>
          <t>irrigpump</t>
        </is>
      </c>
      <c r="B273" s="262" t="n">
        <v>5</v>
      </c>
      <c r="C273" s="262" t="inlineStr">
        <is>
          <t>Yes, there is a diesel pump in my field</t>
        </is>
      </c>
      <c r="D273" s="262" t="inlineStr">
        <is>
          <t>Si, hay una bomba que funciona con diesel/gasolina en mi predio</t>
        </is>
      </c>
      <c r="E273" s="14" t="n"/>
    </row>
    <row r="274" customFormat="1" s="12">
      <c r="A274" s="262" t="inlineStr">
        <is>
          <t>irrigpump</t>
        </is>
      </c>
      <c r="B274" s="262" t="n">
        <v>6</v>
      </c>
      <c r="C274" s="262" t="inlineStr">
        <is>
          <t>DON'T KNOW</t>
        </is>
      </c>
      <c r="D274" s="262" t="inlineStr">
        <is>
          <t>NO SABE</t>
        </is>
      </c>
      <c r="E274" s="14" t="n"/>
    </row>
    <row r="275" customFormat="1" s="12">
      <c r="A275" s="262" t="inlineStr">
        <is>
          <t>irrigpump</t>
        </is>
      </c>
      <c r="B275" s="262" t="n">
        <v>7</v>
      </c>
      <c r="C275" s="262" t="inlineStr">
        <is>
          <t>REFUSED</t>
        </is>
      </c>
      <c r="D275" s="262" t="inlineStr">
        <is>
          <t xml:space="preserve">NO RESPONDE </t>
        </is>
      </c>
      <c r="E275" s="14" t="n"/>
    </row>
    <row r="276">
      <c r="E276" s="4" t="n"/>
      <c r="F276" s="12" t="n"/>
    </row>
    <row r="277" customFormat="1" s="12">
      <c r="A277" s="262" t="inlineStr">
        <is>
          <t>seedsupply</t>
        </is>
      </c>
      <c r="B277" s="262" t="inlineStr">
        <is>
          <t>ownprod</t>
        </is>
      </c>
      <c r="C277" s="262" t="inlineStr">
        <is>
          <t>Own production</t>
        </is>
      </c>
      <c r="D277" s="262" t="inlineStr">
        <is>
          <t>Producción propia</t>
        </is>
      </c>
      <c r="E277" s="14" t="n"/>
    </row>
    <row r="278" customFormat="1" s="12">
      <c r="A278" s="262" t="inlineStr">
        <is>
          <t>seedsupply</t>
        </is>
      </c>
      <c r="B278" s="262" t="inlineStr">
        <is>
          <t>market</t>
        </is>
      </c>
      <c r="C278" s="262" t="inlineStr">
        <is>
          <t>Local market or agro-input shop / dealer</t>
        </is>
      </c>
      <c r="D278" s="262" t="inlineStr">
        <is>
          <t>Mercado local o tienda/vendedor de agroinsumos</t>
        </is>
      </c>
      <c r="E278" s="14" t="n"/>
    </row>
    <row r="279" customFormat="1" s="12">
      <c r="A279" s="262" t="inlineStr">
        <is>
          <t>seedsupply</t>
        </is>
      </c>
      <c r="B279" s="262" t="inlineStr">
        <is>
          <t>company</t>
        </is>
      </c>
      <c r="C279" s="262" t="inlineStr">
        <is>
          <t>Private seed company</t>
        </is>
      </c>
      <c r="D279" s="262" t="inlineStr">
        <is>
          <t>Empresa privada de semillas</t>
        </is>
      </c>
      <c r="E279" s="14" t="n"/>
    </row>
    <row r="280" customFormat="1" s="12">
      <c r="A280" s="262" t="inlineStr">
        <is>
          <t>seedsupply</t>
        </is>
      </c>
      <c r="B280" s="262" t="inlineStr">
        <is>
          <t>ngo</t>
        </is>
      </c>
      <c r="C280" s="262" t="inlineStr">
        <is>
          <t>NGOs</t>
        </is>
      </c>
      <c r="D280" s="262" t="inlineStr">
        <is>
          <t>ONG</t>
        </is>
      </c>
      <c r="E280" s="14" t="n"/>
    </row>
    <row r="281" customFormat="1" s="12">
      <c r="A281" s="262" t="inlineStr">
        <is>
          <t>seedsupply</t>
        </is>
      </c>
      <c r="B281" s="262" t="inlineStr">
        <is>
          <t>organized_community</t>
        </is>
      </c>
      <c r="C281" s="262" t="inlineStr">
        <is>
          <t>Community seed banks / farmer networks / farmers' association / etc.</t>
        </is>
      </c>
      <c r="D281" s="262" t="inlineStr">
        <is>
          <t>Banco de semillas comunitario / redes de agricultores / organización de productores / etc.</t>
        </is>
      </c>
      <c r="E281" s="14" t="n"/>
    </row>
    <row r="282" customFormat="1" s="12">
      <c r="A282" s="262" t="inlineStr">
        <is>
          <t>seedsupply</t>
        </is>
      </c>
      <c r="B282" s="262" t="inlineStr">
        <is>
          <t>gov</t>
        </is>
      </c>
      <c r="C282" s="262" t="inlineStr">
        <is>
          <t>Government [e.g. MoA]</t>
        </is>
      </c>
      <c r="D282" s="262" t="inlineStr">
        <is>
          <t>Gobierno [ej. Ministerio de Agricultura]</t>
        </is>
      </c>
      <c r="E282" s="14" t="n"/>
    </row>
    <row r="283" customFormat="1" s="12">
      <c r="A283" s="262" t="inlineStr">
        <is>
          <t>seedsupply</t>
        </is>
      </c>
      <c r="B283" s="262" t="inlineStr">
        <is>
          <t>relatives_friends</t>
        </is>
      </c>
      <c r="C283" s="262" t="inlineStr">
        <is>
          <t>Relatives or friends</t>
        </is>
      </c>
      <c r="D283" s="262" t="inlineStr">
        <is>
          <t>Familiares o amigos</t>
        </is>
      </c>
      <c r="E283" s="14" t="n"/>
    </row>
    <row r="284" customFormat="1" s="12">
      <c r="A284" s="262" t="inlineStr">
        <is>
          <t>seedsupply</t>
        </is>
      </c>
      <c r="B284" s="262" t="inlineStr">
        <is>
          <t>other</t>
        </is>
      </c>
      <c r="C284" s="262" t="inlineStr">
        <is>
          <t>Other</t>
        </is>
      </c>
      <c r="D284" s="262" t="inlineStr">
        <is>
          <t>Otro</t>
        </is>
      </c>
      <c r="E284" s="14" t="n"/>
    </row>
    <row r="285" customFormat="1" s="12">
      <c r="A285" s="262" t="inlineStr">
        <is>
          <t>seedsupply</t>
        </is>
      </c>
      <c r="B285" s="262" t="inlineStr">
        <is>
          <t>dk</t>
        </is>
      </c>
      <c r="C285" s="262" t="inlineStr">
        <is>
          <t>DON'T KNOW</t>
        </is>
      </c>
      <c r="D285" s="262" t="inlineStr">
        <is>
          <t>NO SABE</t>
        </is>
      </c>
      <c r="E285" s="14" t="n"/>
    </row>
    <row r="286" customFormat="1" s="12">
      <c r="A286" s="262" t="inlineStr">
        <is>
          <t>seedsupply</t>
        </is>
      </c>
      <c r="B286" s="262" t="inlineStr">
        <is>
          <t>ref</t>
        </is>
      </c>
      <c r="C286" s="262" t="inlineStr">
        <is>
          <t>REFUSED</t>
        </is>
      </c>
      <c r="D286" s="262" t="inlineStr">
        <is>
          <t>NO RESPONDE</t>
        </is>
      </c>
      <c r="E286" s="14" t="n"/>
    </row>
    <row r="287">
      <c r="D287" s="12" t="n"/>
      <c r="E287" s="4" t="n"/>
    </row>
    <row r="288">
      <c r="A288" s="262" t="inlineStr">
        <is>
          <t>harv_unit</t>
        </is>
      </c>
      <c r="B288" s="262" t="n">
        <v>1</v>
      </c>
      <c r="C288" s="262" t="inlineStr">
        <is>
          <t>Kilograms [kgs]</t>
        </is>
      </c>
      <c r="D288" s="262" t="inlineStr">
        <is>
          <t>Kilogramos [Kgs]</t>
        </is>
      </c>
      <c r="E288" s="4" t="n"/>
    </row>
    <row r="289">
      <c r="A289" s="262" t="inlineStr">
        <is>
          <t>harv_unit</t>
        </is>
      </c>
      <c r="B289" s="262" t="n">
        <v>2</v>
      </c>
      <c r="C289" s="262" t="inlineStr">
        <is>
          <t>Tonnes</t>
        </is>
      </c>
      <c r="D289" s="262" t="inlineStr">
        <is>
          <t>Toneladas</t>
        </is>
      </c>
      <c r="E289" s="4" t="n"/>
    </row>
    <row r="290">
      <c r="A290" s="262" t="inlineStr">
        <is>
          <t>harv_unit</t>
        </is>
      </c>
      <c r="B290" s="262" t="n">
        <v>3</v>
      </c>
      <c r="C290" s="262" t="inlineStr">
        <is>
          <t>Ounces</t>
        </is>
      </c>
      <c r="D290" s="262" t="inlineStr">
        <is>
          <t>Onzas</t>
        </is>
      </c>
      <c r="E290" s="4" t="n"/>
    </row>
    <row r="291">
      <c r="A291" s="262" t="inlineStr">
        <is>
          <t>harv_unit</t>
        </is>
      </c>
      <c r="B291" s="262" t="n">
        <v>4</v>
      </c>
      <c r="C291" s="262" t="inlineStr">
        <is>
          <t>Pounds</t>
        </is>
      </c>
      <c r="D291" s="262" t="inlineStr">
        <is>
          <t>Libras</t>
        </is>
      </c>
      <c r="E291" s="4" t="n"/>
    </row>
    <row r="292">
      <c r="A292" s="262" t="inlineStr">
        <is>
          <t>harv_unit</t>
        </is>
      </c>
      <c r="B292" s="262" t="n">
        <v>5</v>
      </c>
      <c r="C292" s="262" t="inlineStr">
        <is>
          <t>Bags</t>
        </is>
      </c>
      <c r="D292" s="262" t="inlineStr">
        <is>
          <t>Costales/bolsas</t>
        </is>
      </c>
      <c r="E292" s="4" t="n"/>
    </row>
    <row r="293">
      <c r="A293" s="262" t="inlineStr">
        <is>
          <t>harv_unit</t>
        </is>
      </c>
      <c r="B293" s="262" t="n">
        <v>6</v>
      </c>
      <c r="C293" s="262" t="inlineStr">
        <is>
          <t>Boxes</t>
        </is>
      </c>
      <c r="D293" s="262" t="inlineStr">
        <is>
          <t>Cajas</t>
        </is>
      </c>
      <c r="E293" s="4" t="n"/>
    </row>
    <row r="294">
      <c r="A294" s="262" t="inlineStr">
        <is>
          <t>harv_unit</t>
        </is>
      </c>
      <c r="B294" s="262" t="n">
        <v>7</v>
      </c>
      <c r="C294" s="262" t="inlineStr">
        <is>
          <t>Bundles</t>
        </is>
      </c>
      <c r="D294" s="262" t="inlineStr">
        <is>
          <t>Manojos / fajos /bultos</t>
        </is>
      </c>
      <c r="E294" s="4" t="n"/>
    </row>
    <row r="295">
      <c r="A295" s="262" t="inlineStr">
        <is>
          <t>harv_unit</t>
        </is>
      </c>
      <c r="B295" s="262" t="n">
        <v>8</v>
      </c>
      <c r="C295" s="262" t="inlineStr">
        <is>
          <t>Packets</t>
        </is>
      </c>
      <c r="D295" s="262" t="inlineStr">
        <is>
          <t>Paquetes</t>
        </is>
      </c>
      <c r="E295" s="4" t="n"/>
    </row>
    <row r="296">
      <c r="A296" s="262" t="inlineStr">
        <is>
          <t>harv_unit</t>
        </is>
      </c>
      <c r="B296" s="262" t="n">
        <v>9</v>
      </c>
      <c r="C296" s="262" t="inlineStr">
        <is>
          <t>Other [specify]</t>
        </is>
      </c>
      <c r="D296" s="262" t="inlineStr">
        <is>
          <t>Otro (especifique)</t>
        </is>
      </c>
      <c r="E296" s="4" t="n"/>
    </row>
    <row r="297">
      <c r="D297" s="12" t="n"/>
      <c r="E297" s="4" t="n"/>
    </row>
    <row r="298">
      <c r="A298" s="261" t="inlineStr">
        <is>
          <t>cropproddiff</t>
        </is>
      </c>
      <c r="B298" s="261" t="inlineStr">
        <is>
          <t>plant_disease</t>
        </is>
      </c>
      <c r="C298" s="261" t="inlineStr">
        <is>
          <t xml:space="preserve">Plant disease </t>
        </is>
      </c>
      <c r="D298" t="inlineStr">
        <is>
          <t>Enfermedad del cultivo</t>
        </is>
      </c>
      <c r="E298" s="4" t="n"/>
      <c r="F298" s="12" t="n"/>
    </row>
    <row r="299">
      <c r="A299" s="261" t="inlineStr">
        <is>
          <t>cropproddiff</t>
        </is>
      </c>
      <c r="B299" s="261" t="inlineStr">
        <is>
          <t>pest_outbreak</t>
        </is>
      </c>
      <c r="C299" s="261" t="inlineStr">
        <is>
          <t>Pest outbreak [including birds]</t>
        </is>
      </c>
      <c r="D299" t="inlineStr">
        <is>
          <t>Brote de plagas [incluyendo aves]</t>
        </is>
      </c>
      <c r="E299" s="4" t="n"/>
      <c r="F299" s="12" t="n"/>
    </row>
    <row r="300">
      <c r="A300" s="261" t="inlineStr">
        <is>
          <t>cropproddiff</t>
        </is>
      </c>
      <c r="B300" s="261" t="inlineStr">
        <is>
          <t>animal_grazing</t>
        </is>
      </c>
      <c r="C300" s="261" t="inlineStr">
        <is>
          <t>Uncontrolled animal grazing</t>
        </is>
      </c>
      <c r="D300" t="inlineStr">
        <is>
          <t>Pastoreo de animales sin control</t>
        </is>
      </c>
      <c r="E300" s="4" t="n"/>
      <c r="F300" s="12" t="n"/>
    </row>
    <row r="301">
      <c r="A301" s="261" t="inlineStr">
        <is>
          <t>cropproddiff</t>
        </is>
      </c>
      <c r="B301" s="261" t="inlineStr">
        <is>
          <t>access_plot</t>
        </is>
      </c>
      <c r="C301" s="261" t="inlineStr">
        <is>
          <t>Access to plot</t>
        </is>
      </c>
      <c r="D301" t="inlineStr">
        <is>
          <t>Acceso a terreno</t>
        </is>
      </c>
      <c r="E301" s="4" t="n"/>
      <c r="F301" s="12" t="n"/>
    </row>
    <row r="302">
      <c r="A302" s="261" t="inlineStr">
        <is>
          <t>cropproddiff</t>
        </is>
      </c>
      <c r="B302" s="261" t="inlineStr">
        <is>
          <t>access_fertilize</t>
        </is>
      </c>
      <c r="C302" s="261" t="inlineStr">
        <is>
          <t>Access to fertilizer [not available on markets or prices too high]</t>
        </is>
      </c>
      <c r="D302" t="inlineStr">
        <is>
          <t>Acceso a fertilizantes [no disponible en el mercado o los precios son muy altos]</t>
        </is>
      </c>
      <c r="E302" s="4" t="n"/>
      <c r="F302" s="12" t="n"/>
    </row>
    <row r="303">
      <c r="A303" s="261" t="inlineStr">
        <is>
          <t>cropproddiff</t>
        </is>
      </c>
      <c r="B303" s="261" t="inlineStr">
        <is>
          <t>seed_quality</t>
        </is>
      </c>
      <c r="C303" s="261" t="inlineStr">
        <is>
          <t>Access to quality seeds</t>
        </is>
      </c>
      <c r="D303" t="inlineStr">
        <is>
          <t>Acceso a semillas de calidad</t>
        </is>
      </c>
      <c r="E303" s="4" t="n"/>
      <c r="F303" s="12" t="n"/>
    </row>
    <row r="304">
      <c r="A304" s="261" t="inlineStr">
        <is>
          <t>cropproddiff</t>
        </is>
      </c>
      <c r="B304" s="261" t="inlineStr">
        <is>
          <t>seed_quantity</t>
        </is>
      </c>
      <c r="C304" s="261" t="inlineStr">
        <is>
          <t>Access to enough seeds [not available on markets or prices too high]</t>
        </is>
      </c>
      <c r="D304" t="inlineStr">
        <is>
          <t>Acceso a suficientes semillas</t>
        </is>
      </c>
      <c r="E304" s="4" t="n"/>
      <c r="F304" s="12" t="n"/>
    </row>
    <row r="305">
      <c r="A305" s="261" t="inlineStr">
        <is>
          <t>cropproddiff</t>
        </is>
      </c>
      <c r="B305" s="261" t="inlineStr">
        <is>
          <t>access_pesticide</t>
        </is>
      </c>
      <c r="C305" s="261" t="inlineStr">
        <is>
          <t>Access to pesticides</t>
        </is>
      </c>
      <c r="D305" t="inlineStr">
        <is>
          <t>Acceso a pesticidas</t>
        </is>
      </c>
      <c r="E305" s="4" t="n"/>
      <c r="F305" s="12" t="n"/>
    </row>
    <row r="306">
      <c r="A306" s="261" t="inlineStr">
        <is>
          <t>cropproddiff</t>
        </is>
      </c>
      <c r="B306" s="261" t="inlineStr">
        <is>
          <t>access_labour</t>
        </is>
      </c>
      <c r="C306" s="261" t="inlineStr">
        <is>
          <t>Access to manpower labour</t>
        </is>
      </c>
      <c r="D306" t="inlineStr">
        <is>
          <t>Acceso a mano de obra o mano de obra adicional</t>
        </is>
      </c>
      <c r="E306" s="4" t="n"/>
      <c r="F306" s="12" t="n"/>
    </row>
    <row r="307">
      <c r="A307" s="261" t="inlineStr">
        <is>
          <t>cropproddiff</t>
        </is>
      </c>
      <c r="B307" s="261" t="inlineStr">
        <is>
          <t>access_machinery</t>
        </is>
      </c>
      <c r="C307" s="261" t="inlineStr">
        <is>
          <t>Access to machinery, tools or animals for ploughing</t>
        </is>
      </c>
      <c r="D307" t="inlineStr">
        <is>
          <t>Acceso a maquinaria, herramientas o animales para arar</t>
        </is>
      </c>
      <c r="E307" s="4" t="n"/>
      <c r="F307" s="12" t="n"/>
    </row>
    <row r="308">
      <c r="A308" s="261" t="inlineStr">
        <is>
          <t>cropproddiff</t>
        </is>
      </c>
      <c r="B308" s="261" t="inlineStr">
        <is>
          <t>access_fuel</t>
        </is>
      </c>
      <c r="C308" s="261" t="inlineStr">
        <is>
          <t>Access to fuel or electricity to power agricultural equipment</t>
        </is>
      </c>
      <c r="D308" t="inlineStr">
        <is>
          <t>Acceso a combustible o electricidad para alimentar equipos agrícolas</t>
        </is>
      </c>
      <c r="E308" s="4" t="n"/>
      <c r="F308" s="12" t="n"/>
    </row>
    <row r="309">
      <c r="A309" s="261" t="inlineStr">
        <is>
          <t>cropproddiff</t>
        </is>
      </c>
      <c r="B309" s="261" t="inlineStr">
        <is>
          <t>soil_erosion</t>
        </is>
      </c>
      <c r="C309" s="261" t="inlineStr">
        <is>
          <t>Soil erosion</t>
        </is>
      </c>
      <c r="D309" t="inlineStr">
        <is>
          <t>Erosión del suelo</t>
        </is>
      </c>
      <c r="E309" s="4" t="n"/>
      <c r="F309" s="12" t="n"/>
    </row>
    <row r="310">
      <c r="A310" s="261" t="inlineStr">
        <is>
          <t>cropproddiff</t>
        </is>
      </c>
      <c r="B310" s="261" t="inlineStr">
        <is>
          <t>lack_irrigation</t>
        </is>
      </c>
      <c r="C310" s="261" t="inlineStr">
        <is>
          <t xml:space="preserve">Not enough irrigation or rainfall water </t>
        </is>
      </c>
      <c r="D310" t="inlineStr">
        <is>
          <t>Insuficiente agua para el riego o poca lluvia</t>
        </is>
      </c>
      <c r="E310" s="4" t="n"/>
      <c r="F310" s="12" t="n"/>
    </row>
    <row r="311">
      <c r="A311" s="261" t="inlineStr">
        <is>
          <t>cropproddiff</t>
        </is>
      </c>
      <c r="B311" s="261" t="inlineStr">
        <is>
          <t>excess_water</t>
        </is>
      </c>
      <c r="C311" s="261" t="inlineStr">
        <is>
          <t>Too much irrigation or water</t>
        </is>
      </c>
      <c r="D311" t="inlineStr">
        <is>
          <t>Demasiada irrigación / agua</t>
        </is>
      </c>
      <c r="E311" s="4" t="n"/>
      <c r="F311" s="12" t="n"/>
    </row>
    <row r="312">
      <c r="A312" s="261" t="inlineStr">
        <is>
          <t>cropproddiff</t>
        </is>
      </c>
      <c r="B312" s="261" t="inlineStr">
        <is>
          <t>access_credit</t>
        </is>
      </c>
      <c r="C312" s="261" t="inlineStr">
        <is>
          <t>Access to credit</t>
        </is>
      </c>
      <c r="D312" t="inlineStr">
        <is>
          <t>Acceso a crédito</t>
        </is>
      </c>
      <c r="E312" s="4" t="n"/>
    </row>
    <row r="313">
      <c r="A313" s="261" t="inlineStr">
        <is>
          <t>cropproddiff</t>
        </is>
      </c>
      <c r="B313" s="261" t="inlineStr">
        <is>
          <t>other</t>
        </is>
      </c>
      <c r="C313" s="261" t="inlineStr">
        <is>
          <t>Other</t>
        </is>
      </c>
      <c r="D313" t="inlineStr">
        <is>
          <t>Otro</t>
        </is>
      </c>
      <c r="E313" s="4" t="n"/>
      <c r="F313" s="12" t="n"/>
    </row>
    <row r="314">
      <c r="A314" s="261" t="inlineStr">
        <is>
          <t>cropproddiff</t>
        </is>
      </c>
      <c r="B314" s="261" t="inlineStr">
        <is>
          <t>dk</t>
        </is>
      </c>
      <c r="C314" s="261" t="inlineStr">
        <is>
          <t>DON'T KNOW</t>
        </is>
      </c>
      <c r="D314" t="inlineStr">
        <is>
          <t>NO SABE</t>
        </is>
      </c>
      <c r="E314" s="4" t="n"/>
    </row>
    <row r="315">
      <c r="A315" s="261" t="inlineStr">
        <is>
          <t>cropproddiff</t>
        </is>
      </c>
      <c r="B315" s="261" t="inlineStr">
        <is>
          <t>ref</t>
        </is>
      </c>
      <c r="C315" s="261" t="inlineStr">
        <is>
          <t>REFUSED</t>
        </is>
      </c>
      <c r="D315" t="inlineStr">
        <is>
          <t>NO RESPONDE</t>
        </is>
      </c>
      <c r="E315" s="4" t="n"/>
    </row>
    <row r="316">
      <c r="E316" s="4" t="n"/>
    </row>
    <row r="317" customFormat="1" s="12">
      <c r="A317" s="262" t="inlineStr">
        <is>
          <t>storage</t>
        </is>
      </c>
      <c r="B317" s="262" t="n">
        <v>1</v>
      </c>
      <c r="C317" s="262" t="inlineStr">
        <is>
          <t>None</t>
        </is>
      </c>
      <c r="D317" s="262" t="inlineStr">
        <is>
          <t>1)Ninguna</t>
        </is>
      </c>
      <c r="E317" s="14" t="n"/>
    </row>
    <row r="318" customFormat="1" s="12">
      <c r="A318" s="262" t="inlineStr">
        <is>
          <t>storage</t>
        </is>
      </c>
      <c r="B318" s="262" t="n">
        <v>2</v>
      </c>
      <c r="C318" s="262" t="inlineStr">
        <is>
          <t>A little</t>
        </is>
      </c>
      <c r="D318" s="262" t="inlineStr">
        <is>
          <t>2)Un poco</t>
        </is>
      </c>
      <c r="E318" s="14" t="n"/>
    </row>
    <row r="319" customFormat="1" s="12">
      <c r="A319" s="262" t="inlineStr">
        <is>
          <t>storage</t>
        </is>
      </c>
      <c r="B319" s="262" t="n">
        <v>3</v>
      </c>
      <c r="C319" s="262" t="inlineStr">
        <is>
          <t>An important part of it, but less than half</t>
        </is>
      </c>
      <c r="D319" s="262" t="inlineStr">
        <is>
          <t>3)Una parte importante, pero menos de la mitad</t>
        </is>
      </c>
      <c r="E319" s="14" t="n"/>
    </row>
    <row r="320" customFormat="1" s="12">
      <c r="A320" s="262" t="inlineStr">
        <is>
          <t>storage</t>
        </is>
      </c>
      <c r="B320" s="262" t="n">
        <v>4</v>
      </c>
      <c r="C320" s="262" t="inlineStr">
        <is>
          <t>Most of it [half or more]</t>
        </is>
      </c>
      <c r="D320" s="262" t="inlineStr">
        <is>
          <t>4)La mayoría [la mitad o más]</t>
        </is>
      </c>
      <c r="E320" s="14" t="n"/>
    </row>
    <row r="321" customFormat="1" s="12">
      <c r="A321" s="262" t="inlineStr">
        <is>
          <t>storage</t>
        </is>
      </c>
      <c r="B321" s="262" t="n">
        <v>5</v>
      </c>
      <c r="C321" s="262" t="inlineStr">
        <is>
          <t>Almost everything</t>
        </is>
      </c>
      <c r="D321" s="262" t="inlineStr">
        <is>
          <t>5)Casi toda</t>
        </is>
      </c>
      <c r="E321" s="14" t="n"/>
    </row>
    <row r="322" customFormat="1" s="12">
      <c r="A322" s="262" t="inlineStr">
        <is>
          <t>storage</t>
        </is>
      </c>
      <c r="B322" s="262" t="n">
        <v>6</v>
      </c>
      <c r="C322" s="262" t="inlineStr">
        <is>
          <t>Everything</t>
        </is>
      </c>
      <c r="D322" s="262" t="inlineStr">
        <is>
          <t>6)Toda</t>
        </is>
      </c>
      <c r="E322" s="14" t="n"/>
    </row>
    <row r="323" customFormat="1" s="12">
      <c r="A323" s="262" t="inlineStr">
        <is>
          <t>storage</t>
        </is>
      </c>
      <c r="B323" s="262" t="n">
        <v>7</v>
      </c>
      <c r="C323" s="262" t="inlineStr">
        <is>
          <t>DON'T KNOW</t>
        </is>
      </c>
      <c r="D323" s="262" t="inlineStr">
        <is>
          <t>7)NO SABE</t>
        </is>
      </c>
      <c r="E323" s="14" t="n"/>
    </row>
    <row r="324">
      <c r="A324" s="262" t="inlineStr">
        <is>
          <t>storage</t>
        </is>
      </c>
      <c r="B324" s="262" t="n">
        <v>8</v>
      </c>
      <c r="C324" s="262" t="inlineStr">
        <is>
          <t>REFUSED</t>
        </is>
      </c>
      <c r="D324" s="262" t="inlineStr">
        <is>
          <t>8)NO RESPONDE</t>
        </is>
      </c>
      <c r="E324" s="14" t="n"/>
      <c r="F324" s="12" t="n"/>
    </row>
    <row r="325">
      <c r="D325" s="12" t="n"/>
      <c r="E325" s="4" t="n"/>
    </row>
    <row r="326">
      <c r="A326" t="inlineStr">
        <is>
          <t>cropsalesdiff</t>
        </is>
      </c>
      <c r="B326" t="inlineStr">
        <is>
          <t>marketing_cost</t>
        </is>
      </c>
      <c r="C326" t="inlineStr">
        <is>
          <t>High transportation or other marketing costs</t>
        </is>
      </c>
      <c r="D326" t="inlineStr">
        <is>
          <t>Altos costos de transporte u otros costos de comercialización</t>
        </is>
      </c>
      <c r="E326" s="4" t="n"/>
      <c r="F326" s="12" t="n"/>
    </row>
    <row r="327">
      <c r="A327" t="inlineStr">
        <is>
          <t>cropsalesdiff</t>
        </is>
      </c>
      <c r="B327" t="inlineStr">
        <is>
          <t>damage_losses</t>
        </is>
      </c>
      <c r="C327" t="inlineStr">
        <is>
          <t>Damages and losses due to storage difficulties and/or difficulty accessing the market [e.g. insecurity, poor infrastructure, etc.]</t>
        </is>
      </c>
      <c r="D327" t="inlineStr">
        <is>
          <t>Daños y pérdidas debido a dificultades con el almacenamiento y/o dificultades accediendo al mercado [ej. inseguridad, mala infraestructura, etc.]</t>
        </is>
      </c>
      <c r="E327" s="4" t="n"/>
      <c r="F327" s="12" t="n"/>
    </row>
    <row r="328">
      <c r="A328" t="inlineStr">
        <is>
          <t>cropsalesdiff</t>
        </is>
      </c>
      <c r="B328" t="inlineStr">
        <is>
          <t>low_demand</t>
        </is>
      </c>
      <c r="C328" t="inlineStr">
        <is>
          <t xml:space="preserve">Lack of demand from usual traders or buyers </t>
        </is>
      </c>
      <c r="D328" t="inlineStr">
        <is>
          <t>Poca demanda de los comerciantes o compradores</t>
        </is>
      </c>
      <c r="E328" s="4" t="n"/>
      <c r="F328" s="12" t="n"/>
    </row>
    <row r="329">
      <c r="A329" t="inlineStr">
        <is>
          <t>cropsalesdiff</t>
        </is>
      </c>
      <c r="B329" t="inlineStr">
        <is>
          <t>pay_delay</t>
        </is>
      </c>
      <c r="C329" t="inlineStr">
        <is>
          <t>Payment delays from traders / buyers</t>
        </is>
      </c>
      <c r="D329" t="inlineStr">
        <is>
          <t>Retraso en los pagos de parte de comerciantes o compradores</t>
        </is>
      </c>
      <c r="E329" s="4" t="n"/>
      <c r="F329" s="12" t="n"/>
    </row>
    <row r="330">
      <c r="A330" t="inlineStr">
        <is>
          <t>cropsalesdiff</t>
        </is>
      </c>
      <c r="B330" t="inlineStr">
        <is>
          <t>low_price</t>
        </is>
      </c>
      <c r="C330" t="inlineStr">
        <is>
          <t>Low selling prices [e.g. compared to input prices / inflation]</t>
        </is>
      </c>
      <c r="D330" t="inlineStr">
        <is>
          <t>Bajos precios de venta [ej. comparado con los precios de insumos / inflación]</t>
        </is>
      </c>
      <c r="E330" s="4" t="n"/>
      <c r="F330" s="12" t="n"/>
    </row>
    <row r="331">
      <c r="A331" t="inlineStr">
        <is>
          <t>cropsalesdiff</t>
        </is>
      </c>
      <c r="B331" t="inlineStr">
        <is>
          <t>processing</t>
        </is>
      </c>
      <c r="C331" t="inlineStr">
        <is>
          <t>Difficulty processing product [lack of processing inputs / equipment / etc]</t>
        </is>
      </c>
      <c r="D331" t="inlineStr">
        <is>
          <t>Dificultades procesando los productos [falta de insumos / equipo de procesamiento]</t>
        </is>
      </c>
      <c r="E331" s="4" t="n"/>
      <c r="F331" s="12" t="n"/>
    </row>
    <row r="332">
      <c r="A332" t="inlineStr">
        <is>
          <t>cropsalesdiff</t>
        </is>
      </c>
      <c r="B332" t="inlineStr">
        <is>
          <t>competition</t>
        </is>
      </c>
      <c r="C332" t="inlineStr">
        <is>
          <t>Market flooded with products</t>
        </is>
      </c>
      <c r="D332" t="inlineStr">
        <is>
          <t>Mercado saturado del mismo producto</t>
        </is>
      </c>
      <c r="E332" s="4" t="n"/>
      <c r="F332" s="12" t="n"/>
    </row>
    <row r="333">
      <c r="A333" t="inlineStr">
        <is>
          <t>cropsalesdiff</t>
        </is>
      </c>
      <c r="B333" t="inlineStr">
        <is>
          <t>other</t>
        </is>
      </c>
      <c r="C333" t="inlineStr">
        <is>
          <t>Other</t>
        </is>
      </c>
      <c r="D333" t="inlineStr">
        <is>
          <t>Otro</t>
        </is>
      </c>
      <c r="E333" s="4" t="n"/>
      <c r="F333" s="12" t="n"/>
    </row>
    <row r="334">
      <c r="A334" t="inlineStr">
        <is>
          <t>cropsalesdiff</t>
        </is>
      </c>
      <c r="B334" t="inlineStr">
        <is>
          <t>dk</t>
        </is>
      </c>
      <c r="C334" t="inlineStr">
        <is>
          <t>DON'T KNOW</t>
        </is>
      </c>
      <c r="D334" t="inlineStr">
        <is>
          <t>NO SABE</t>
        </is>
      </c>
      <c r="E334" s="4" t="n"/>
      <c r="F334" s="12" t="n"/>
    </row>
    <row r="335">
      <c r="A335" t="inlineStr">
        <is>
          <t>cropsalesdiff</t>
        </is>
      </c>
      <c r="B335" t="inlineStr">
        <is>
          <t>ref</t>
        </is>
      </c>
      <c r="C335" t="inlineStr">
        <is>
          <t>REFUSED</t>
        </is>
      </c>
      <c r="D335" t="inlineStr">
        <is>
          <t>NO RESPONDE</t>
        </is>
      </c>
      <c r="E335" s="4" t="n"/>
      <c r="F335" s="12" t="n"/>
    </row>
    <row r="336">
      <c r="E336" s="4" t="n"/>
    </row>
    <row r="337">
      <c r="A337" t="inlineStr">
        <is>
          <t>lsmain</t>
        </is>
      </c>
      <c r="B337" t="n">
        <v>1</v>
      </c>
      <c r="C337" t="inlineStr">
        <is>
          <t>Cattle [cow / beef / veal / yak / buffalo]</t>
        </is>
      </c>
      <c r="D337" t="inlineStr">
        <is>
          <t>Bovinos [vaca / ternero / yak / búfalo]</t>
        </is>
      </c>
      <c r="E337" s="4" t="n"/>
    </row>
    <row r="338">
      <c r="A338" t="inlineStr">
        <is>
          <t>lsmain</t>
        </is>
      </c>
      <c r="B338" t="n">
        <v>2</v>
      </c>
      <c r="C338" t="inlineStr">
        <is>
          <t>Goat</t>
        </is>
      </c>
      <c r="D338" t="inlineStr">
        <is>
          <t>Cabras</t>
        </is>
      </c>
      <c r="E338" s="4" t="n"/>
    </row>
    <row r="339">
      <c r="A339" t="inlineStr">
        <is>
          <t>lsmain</t>
        </is>
      </c>
      <c r="B339" t="n">
        <v>3</v>
      </c>
      <c r="C339" t="inlineStr">
        <is>
          <t>Sheep</t>
        </is>
      </c>
      <c r="D339" t="inlineStr">
        <is>
          <t>Ovejas</t>
        </is>
      </c>
      <c r="E339" s="4" t="n"/>
    </row>
    <row r="340">
      <c r="A340" t="inlineStr">
        <is>
          <t>lsmain</t>
        </is>
      </c>
      <c r="B340" t="n">
        <v>4</v>
      </c>
      <c r="C340" t="inlineStr">
        <is>
          <t>Swine [swine / boar / hog / etc]</t>
        </is>
      </c>
      <c r="D340" t="inlineStr">
        <is>
          <t>Porcinos [cerdo/ jabalí]</t>
        </is>
      </c>
      <c r="E340" s="4" t="n"/>
    </row>
    <row r="341">
      <c r="A341" t="inlineStr">
        <is>
          <t>lsmain</t>
        </is>
      </c>
      <c r="B341" t="n">
        <v>5</v>
      </c>
      <c r="C341" t="inlineStr">
        <is>
          <t>Equine [donkey / horse / etc]</t>
        </is>
      </c>
      <c r="D341" t="inlineStr">
        <is>
          <t>Equinos [burro / caballo]</t>
        </is>
      </c>
      <c r="E341" s="4" t="n"/>
    </row>
    <row r="342">
      <c r="A342" t="inlineStr">
        <is>
          <t>lsmain</t>
        </is>
      </c>
      <c r="B342" t="n">
        <v>6</v>
      </c>
      <c r="C342" t="inlineStr">
        <is>
          <t>Small domesticated mammals [rabbits / minks / guinea pigs / etc]</t>
        </is>
      </c>
      <c r="D342" t="inlineStr">
        <is>
          <t>Pequeños mamíferos domesticados [conejos / cuyes / conejillo de indias / etc.]</t>
        </is>
      </c>
      <c r="E342" s="4" t="n"/>
    </row>
    <row r="343">
      <c r="A343" t="inlineStr">
        <is>
          <t>lsmain</t>
        </is>
      </c>
      <c r="B343" t="n">
        <v>7</v>
      </c>
      <c r="C343" t="inlineStr">
        <is>
          <t>Poultry [chicken / guineafowl / duck / quail / turkey / etc]</t>
        </is>
      </c>
      <c r="D343" t="inlineStr">
        <is>
          <t>Aves de corral [pollos / codornices / pavo / pato / etc.]</t>
        </is>
      </c>
      <c r="E343" s="4" t="n"/>
    </row>
    <row r="344">
      <c r="A344" t="inlineStr">
        <is>
          <t>lsmain</t>
        </is>
      </c>
      <c r="B344" t="n">
        <v>8</v>
      </c>
      <c r="C344" t="inlineStr">
        <is>
          <t>Camelids</t>
        </is>
      </c>
      <c r="D344" t="inlineStr">
        <is>
          <t>Camélidos [alpaca / guanaco / llama]</t>
        </is>
      </c>
      <c r="E344" s="4" t="n"/>
    </row>
    <row r="345">
      <c r="A345" t="inlineStr">
        <is>
          <t>lsmain</t>
        </is>
      </c>
      <c r="B345" t="n">
        <v>9</v>
      </c>
      <c r="C345" t="inlineStr">
        <is>
          <t>Other</t>
        </is>
      </c>
      <c r="D345" t="inlineStr">
        <is>
          <t>Otro</t>
        </is>
      </c>
      <c r="E345" s="4" t="n"/>
    </row>
    <row r="346">
      <c r="A346" t="inlineStr">
        <is>
          <t>lsmain</t>
        </is>
      </c>
      <c r="B346" s="260" t="n">
        <v>10</v>
      </c>
      <c r="C346" t="inlineStr">
        <is>
          <t>DON'T KNOW</t>
        </is>
      </c>
      <c r="D346" t="inlineStr">
        <is>
          <t>NO SABE</t>
        </is>
      </c>
      <c r="E346" s="4" t="n"/>
    </row>
    <row r="347">
      <c r="A347" t="inlineStr">
        <is>
          <t>lsmain</t>
        </is>
      </c>
      <c r="B347" s="260" t="n">
        <v>11</v>
      </c>
      <c r="C347" t="inlineStr">
        <is>
          <t>REFUSED</t>
        </is>
      </c>
      <c r="D347" t="inlineStr">
        <is>
          <t>NO RESPONDE</t>
        </is>
      </c>
      <c r="E347" s="4" t="n"/>
    </row>
    <row r="348">
      <c r="E348" s="4" t="n"/>
    </row>
    <row r="349">
      <c r="A349" t="inlineStr">
        <is>
          <t>lsnum</t>
        </is>
      </c>
      <c r="B349" t="inlineStr">
        <is>
          <t>no_change</t>
        </is>
      </c>
      <c r="C349" t="inlineStr">
        <is>
          <t>No significant change in livestock number</t>
        </is>
      </c>
      <c r="D349" t="inlineStr">
        <is>
          <t>No hubo cambios significativos en el número de cabezas de ganado/animales</t>
        </is>
      </c>
      <c r="E349" s="4" t="n"/>
      <c r="F349" s="12" t="n"/>
    </row>
    <row r="350">
      <c r="A350" t="inlineStr">
        <is>
          <t>lsnum</t>
        </is>
      </c>
      <c r="B350" t="inlineStr">
        <is>
          <t>inc_less_sales</t>
        </is>
      </c>
      <c r="C350" t="inlineStr">
        <is>
          <t>Did not sell as many</t>
        </is>
      </c>
      <c r="D350" t="inlineStr">
        <is>
          <t>No vendió tantos</t>
        </is>
      </c>
      <c r="E350" s="4" t="n"/>
      <c r="F350" s="12" t="n"/>
    </row>
    <row r="351">
      <c r="A351" t="inlineStr">
        <is>
          <t>lsnum</t>
        </is>
      </c>
      <c r="B351" t="inlineStr">
        <is>
          <t>inc_more_birth</t>
        </is>
      </c>
      <c r="C351" t="inlineStr">
        <is>
          <t>Many more were born</t>
        </is>
      </c>
      <c r="D351" t="inlineStr">
        <is>
          <t>Hubo mayores nacimientos</t>
        </is>
      </c>
      <c r="E351" s="4" t="n"/>
      <c r="F351" s="12" t="n"/>
    </row>
    <row r="352">
      <c r="A352" t="inlineStr">
        <is>
          <t>lsnum</t>
        </is>
      </c>
      <c r="B352" t="inlineStr">
        <is>
          <t>inc_more_acquired</t>
        </is>
      </c>
      <c r="C352" t="inlineStr">
        <is>
          <t>Purchased or bartered more animals this year</t>
        </is>
      </c>
      <c r="D352" t="inlineStr">
        <is>
          <t>Compró o intercambió más animales este año</t>
        </is>
      </c>
      <c r="E352" s="4" t="n"/>
      <c r="F352" s="12" t="n"/>
    </row>
    <row r="353">
      <c r="A353" t="inlineStr">
        <is>
          <t>lsnum</t>
        </is>
      </c>
      <c r="B353" t="inlineStr">
        <is>
          <t>inc_received_free</t>
        </is>
      </c>
      <c r="C353" t="inlineStr">
        <is>
          <t>Received animals for free [restocking, gift]</t>
        </is>
      </c>
      <c r="D353" t="inlineStr">
        <is>
          <t>Recibió ganado/animales gratis [repobló, regalo, ayuda humanitaria]</t>
        </is>
      </c>
      <c r="E353" s="4" t="n"/>
      <c r="F353" s="12" t="n"/>
    </row>
    <row r="354">
      <c r="A354" t="inlineStr">
        <is>
          <t>lsnum</t>
        </is>
      </c>
      <c r="B354" t="inlineStr">
        <is>
          <t>dec_poor_health</t>
        </is>
      </c>
      <c r="C354" t="inlineStr">
        <is>
          <t>Animal death due to malnutrition, drought, lack of feed</t>
        </is>
      </c>
      <c r="D354" t="inlineStr">
        <is>
          <t>Los animales murieron por desnutrición, sequía, falta de alimento</t>
        </is>
      </c>
      <c r="E354" s="4" t="n"/>
      <c r="F354" s="12" t="n"/>
    </row>
    <row r="355">
      <c r="A355" t="inlineStr">
        <is>
          <t>lsnum</t>
        </is>
      </c>
      <c r="B355" t="inlineStr">
        <is>
          <t>dec_death</t>
        </is>
      </c>
      <c r="C355" t="inlineStr">
        <is>
          <t>Animal death due to other factors [e.g. diseases, parasites, injury]</t>
        </is>
      </c>
      <c r="D355" t="inlineStr">
        <is>
          <t>Los animales murieron por por otros factores [ej. enfermedades, parásitos, lesiones]</t>
        </is>
      </c>
      <c r="E355" s="4" t="n"/>
      <c r="F355" s="12" t="n"/>
    </row>
    <row r="356">
      <c r="A356" t="inlineStr">
        <is>
          <t>lsnum</t>
        </is>
      </c>
      <c r="B356" t="inlineStr">
        <is>
          <t>dec_sales_good_price</t>
        </is>
      </c>
      <c r="C356" t="inlineStr">
        <is>
          <t>Sold more than usual because of good prices</t>
        </is>
      </c>
      <c r="D356" t="inlineStr">
        <is>
          <t>Vendió más de lo habitual debido a los buenos precios</t>
        </is>
      </c>
      <c r="E356" s="4" t="n"/>
      <c r="F356" s="12"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t="inlineStr">
        <is>
          <t>Vendió más de lo habitual debido a medidas de emergencia [incapacidad de alimentar animales / necesidad urgente de dinero para las necesidades del hogar, incluso si las ventas fuesen insostenibles]</t>
        </is>
      </c>
      <c r="E357" s="4" t="n"/>
      <c r="F357" s="12" t="n"/>
    </row>
    <row r="358">
      <c r="A358" t="inlineStr">
        <is>
          <t>lsnum</t>
        </is>
      </c>
      <c r="B358" t="inlineStr">
        <is>
          <t>dec_escape_stolen</t>
        </is>
      </c>
      <c r="C358" t="inlineStr">
        <is>
          <t>Animal escaped or was lost or stolen</t>
        </is>
      </c>
      <c r="D358" t="inlineStr">
        <is>
          <t>Los animales escaparon, se perdieron o fueron robados</t>
        </is>
      </c>
      <c r="E358" s="4" t="n"/>
      <c r="F358" s="12" t="n"/>
    </row>
    <row r="359">
      <c r="A359" t="inlineStr">
        <is>
          <t>lsnum</t>
        </is>
      </c>
      <c r="B359" t="inlineStr">
        <is>
          <t>dec_consumed</t>
        </is>
      </c>
      <c r="C359" t="inlineStr">
        <is>
          <t>Killed or gave away more animals than usual for household consumption or celebrations [marriage, funerals, etc]</t>
        </is>
      </c>
      <c r="D359" t="inlineStr">
        <is>
          <t>Sacrificó más animales de lo habitual, destinados para el consumo doméstico o celebraciones [matrimonios / funerales / etc]</t>
        </is>
      </c>
      <c r="E359" s="4" t="n"/>
      <c r="F359" s="12" t="n"/>
    </row>
    <row r="360">
      <c r="A360" t="inlineStr">
        <is>
          <t>lsnum</t>
        </is>
      </c>
      <c r="B360" t="inlineStr">
        <is>
          <t>inc_dec_other</t>
        </is>
      </c>
      <c r="C360" t="inlineStr">
        <is>
          <t>Other</t>
        </is>
      </c>
      <c r="D360" t="inlineStr">
        <is>
          <t>Otro</t>
        </is>
      </c>
      <c r="E360" s="4" t="n"/>
      <c r="F360" s="12" t="n"/>
    </row>
    <row r="361">
      <c r="A361" t="inlineStr">
        <is>
          <t>lsnum</t>
        </is>
      </c>
      <c r="B361" t="inlineStr">
        <is>
          <t>inc_dec_dk</t>
        </is>
      </c>
      <c r="C361" t="inlineStr">
        <is>
          <t>DON'T KNOW</t>
        </is>
      </c>
      <c r="D361" t="inlineStr">
        <is>
          <t>NO SABE</t>
        </is>
      </c>
      <c r="E361" s="4" t="n"/>
      <c r="F361" s="12" t="n"/>
    </row>
    <row r="362" ht="14.25" customHeight="1">
      <c r="A362" t="inlineStr">
        <is>
          <t>lsnum</t>
        </is>
      </c>
      <c r="B362" t="inlineStr">
        <is>
          <t>inc_dec_ref</t>
        </is>
      </c>
      <c r="C362" t="inlineStr">
        <is>
          <t>REFUSED</t>
        </is>
      </c>
      <c r="D362" t="inlineStr">
        <is>
          <t>NO RESPONDE</t>
        </is>
      </c>
      <c r="E362" s="4" t="n"/>
      <c r="F362" s="12" t="n"/>
    </row>
    <row r="363" ht="14.25" customHeight="1">
      <c r="E363" s="4" t="n"/>
      <c r="F363" s="12" t="n"/>
    </row>
    <row r="364" ht="14.25" customFormat="1" customHeight="1" s="12">
      <c r="A364" s="262" t="inlineStr">
        <is>
          <t>lsfood</t>
        </is>
      </c>
      <c r="B364" s="262" t="inlineStr">
        <is>
          <t>open_pasture</t>
        </is>
      </c>
      <c r="C364" s="262" t="inlineStr">
        <is>
          <t>Open pasture</t>
        </is>
      </c>
      <c r="D364" s="262" t="inlineStr">
        <is>
          <t>Pastizales abiertos</t>
        </is>
      </c>
      <c r="E364" s="14" t="n"/>
    </row>
    <row r="365" ht="14.25" customFormat="1" customHeight="1" s="12">
      <c r="A365" s="262" t="inlineStr">
        <is>
          <t>lsfood</t>
        </is>
      </c>
      <c r="B365" s="262" t="inlineStr">
        <is>
          <t>common_pasture</t>
        </is>
      </c>
      <c r="C365" s="262" t="inlineStr">
        <is>
          <t>Community-managed pasture land</t>
        </is>
      </c>
      <c r="D365" s="262" t="inlineStr">
        <is>
          <t>Pastizales comunitarios gestionados por la comunidad</t>
        </is>
      </c>
      <c r="E365" s="14" t="n"/>
    </row>
    <row r="366" ht="14.25" customFormat="1" customHeight="1" s="12">
      <c r="A366" s="262" t="inlineStr">
        <is>
          <t>lsfood</t>
        </is>
      </c>
      <c r="B366" s="262" t="inlineStr">
        <is>
          <t>self_produced</t>
        </is>
      </c>
      <c r="C366" s="262" t="inlineStr">
        <is>
          <t>Owned or rented field or self-produced fodder</t>
        </is>
      </c>
      <c r="D366" s="262" t="inlineStr">
        <is>
          <t>Campo propio, alquilado o forrajes de producción propia</t>
        </is>
      </c>
      <c r="E366" s="14" t="n"/>
    </row>
    <row r="367" ht="14.25" customFormat="1" customHeight="1" s="12">
      <c r="A367" s="262" t="inlineStr">
        <is>
          <t>lsfood</t>
        </is>
      </c>
      <c r="B367" s="262" t="inlineStr">
        <is>
          <t>purchased</t>
        </is>
      </c>
      <c r="C367" s="262" t="inlineStr">
        <is>
          <t>Purchase feed or fodder at the market</t>
        </is>
      </c>
      <c r="D367" s="262" t="inlineStr">
        <is>
          <t>Comprar alimento o forraje en los mercados</t>
        </is>
      </c>
      <c r="E367" s="14" t="n"/>
    </row>
    <row r="368" ht="14.25" customFormat="1" customHeight="1" s="12">
      <c r="A368" s="262" t="inlineStr">
        <is>
          <t>lsfood</t>
        </is>
      </c>
      <c r="B368" s="262" t="inlineStr">
        <is>
          <t>free_dist</t>
        </is>
      </c>
      <c r="C368" s="262" t="inlineStr">
        <is>
          <t>Free distribution</t>
        </is>
      </c>
      <c r="D368" s="262" t="inlineStr">
        <is>
          <t>Distribución gratuita</t>
        </is>
      </c>
      <c r="E368" s="14" t="n"/>
    </row>
    <row r="369" ht="14.25" customFormat="1" customHeight="1" s="12">
      <c r="A369" s="262" t="inlineStr">
        <is>
          <t>lsfood</t>
        </is>
      </c>
      <c r="B369" s="262" t="inlineStr">
        <is>
          <t>other</t>
        </is>
      </c>
      <c r="C369" s="262" t="inlineStr">
        <is>
          <t xml:space="preserve">Other </t>
        </is>
      </c>
      <c r="D369" s="262" t="inlineStr">
        <is>
          <t>Otro</t>
        </is>
      </c>
      <c r="E369" s="14" t="n"/>
    </row>
    <row r="370" ht="14.25" customFormat="1" customHeight="1" s="12">
      <c r="A370" s="262" t="inlineStr">
        <is>
          <t>lsfood</t>
        </is>
      </c>
      <c r="B370" s="262" t="inlineStr">
        <is>
          <t>dk</t>
        </is>
      </c>
      <c r="C370" s="262" t="inlineStr">
        <is>
          <t>DON'T KNOW</t>
        </is>
      </c>
      <c r="D370" s="262" t="inlineStr">
        <is>
          <t>NO SABE</t>
        </is>
      </c>
      <c r="E370" s="14" t="n"/>
    </row>
    <row r="371" ht="14.25" customFormat="1" customHeight="1" s="12">
      <c r="A371" s="262" t="inlineStr">
        <is>
          <t>lsfood</t>
        </is>
      </c>
      <c r="B371" s="262" t="inlineStr">
        <is>
          <t>ref</t>
        </is>
      </c>
      <c r="C371" s="262" t="inlineStr">
        <is>
          <t>REFUSED</t>
        </is>
      </c>
      <c r="D371" s="262" t="inlineStr">
        <is>
          <t>NO RESPONDE</t>
        </is>
      </c>
      <c r="E371" s="14" t="n"/>
    </row>
    <row r="372" ht="14.25" customHeight="1">
      <c r="D372" s="12" t="n"/>
      <c r="E372" s="4" t="n"/>
    </row>
    <row r="373">
      <c r="A373" t="inlineStr">
        <is>
          <t>lsproddiff</t>
        </is>
      </c>
      <c r="B373" t="inlineStr">
        <is>
          <t>feed_purchase</t>
        </is>
      </c>
      <c r="C373" t="inlineStr">
        <is>
          <t>Difficulty to purchase feed [prices or access to market]</t>
        </is>
      </c>
      <c r="D373" t="inlineStr">
        <is>
          <t>Dificultad para comprar alimentos [ej. precios o acceso al mercado]</t>
        </is>
      </c>
      <c r="E373" s="4" t="n"/>
      <c r="F373" s="12" t="n"/>
    </row>
    <row r="374">
      <c r="A374" t="inlineStr">
        <is>
          <t>lsproddiff</t>
        </is>
      </c>
      <c r="B374" t="inlineStr">
        <is>
          <t>access_pasture</t>
        </is>
      </c>
      <c r="C374" t="inlineStr">
        <is>
          <t>Access to pasture</t>
        </is>
      </c>
      <c r="D374" t="inlineStr">
        <is>
          <t>Acceso restringido a pastos</t>
        </is>
      </c>
      <c r="E374" s="4" t="n"/>
      <c r="F374" s="12" t="n"/>
    </row>
    <row r="375">
      <c r="A375" t="inlineStr">
        <is>
          <t>lsproddiff</t>
        </is>
      </c>
      <c r="B375" t="inlineStr">
        <is>
          <t>access_water</t>
        </is>
      </c>
      <c r="C375" t="inlineStr">
        <is>
          <t>Access to water</t>
        </is>
      </c>
      <c r="D375" t="inlineStr">
        <is>
          <t>Acceso restringido a agua</t>
        </is>
      </c>
      <c r="E375" s="4" t="n"/>
      <c r="F375" s="12" t="n"/>
    </row>
    <row r="376">
      <c r="A376" t="inlineStr">
        <is>
          <t>lsproddiff</t>
        </is>
      </c>
      <c r="B376" t="inlineStr">
        <is>
          <t>vet_serv</t>
        </is>
      </c>
      <c r="C376" t="inlineStr">
        <is>
          <t>Access to veterinary services [vaccinations, treatments, spraying, advisory etc]</t>
        </is>
      </c>
      <c r="D376" t="inlineStr">
        <is>
          <t>Acceso restringido a servicios veterinarios [vacunas / tratamientos / baños / asesoramiento / etc]</t>
        </is>
      </c>
      <c r="E376" s="4" t="n"/>
      <c r="F376" s="12" t="n"/>
    </row>
    <row r="377">
      <c r="A377" t="inlineStr">
        <is>
          <t>lsproddiff</t>
        </is>
      </c>
      <c r="B377" t="inlineStr">
        <is>
          <t>vet_input</t>
        </is>
      </c>
      <c r="C377" t="inlineStr">
        <is>
          <t>Access to veterinary inputs [medicine for animals / tools for animal health / etc]</t>
        </is>
      </c>
      <c r="D377" t="inlineStr">
        <is>
          <t>Acceso a insumos veterinarios [medicamentos para animales / herramientas para la salud de los animales / etc]</t>
        </is>
      </c>
      <c r="E377" s="4" t="n"/>
      <c r="F377" s="12" t="n"/>
    </row>
    <row r="378">
      <c r="A378" t="inlineStr">
        <is>
          <t>lsproddiff</t>
        </is>
      </c>
      <c r="B378" t="inlineStr">
        <is>
          <t>diseases</t>
        </is>
      </c>
      <c r="C378" t="inlineStr">
        <is>
          <t>Livestock diseases or injury</t>
        </is>
      </c>
      <c r="D378" t="inlineStr">
        <is>
          <t>Muerte o enfermedad del ganado / animales</t>
        </is>
      </c>
      <c r="E378" s="4" t="n"/>
      <c r="F378" s="12" t="n"/>
    </row>
    <row r="379">
      <c r="A379" t="inlineStr">
        <is>
          <t>lsproddiff</t>
        </is>
      </c>
      <c r="B379" t="inlineStr">
        <is>
          <t>theft</t>
        </is>
      </c>
      <c r="C379" t="inlineStr">
        <is>
          <t>Livestock theft</t>
        </is>
      </c>
      <c r="D379" t="inlineStr">
        <is>
          <t>Robo de ganado / animales</t>
        </is>
      </c>
      <c r="E379" s="4" t="n"/>
      <c r="F379" s="12" t="n"/>
    </row>
    <row r="380">
      <c r="A380" t="inlineStr">
        <is>
          <t>lsproddiff</t>
        </is>
      </c>
      <c r="B380" t="inlineStr">
        <is>
          <t>access_market</t>
        </is>
      </c>
      <c r="C380" t="inlineStr">
        <is>
          <t>Access to livestock market to buy young animals</t>
        </is>
      </c>
      <c r="D380" t="inlineStr">
        <is>
          <t>Acceso restringido al mercado de ganado / animales, que le permita comprar animales jóvenes</t>
        </is>
      </c>
      <c r="E380" s="4" t="n"/>
      <c r="F380" s="12" t="n"/>
    </row>
    <row r="381">
      <c r="A381" t="inlineStr">
        <is>
          <t>lsproddiff</t>
        </is>
      </c>
      <c r="B381" t="inlineStr">
        <is>
          <t>access_credit</t>
        </is>
      </c>
      <c r="C381" t="inlineStr">
        <is>
          <t>Access to credit</t>
        </is>
      </c>
      <c r="D381" t="inlineStr">
        <is>
          <t>Acceso restringido a crédito</t>
        </is>
      </c>
      <c r="E381" s="4" t="n"/>
      <c r="F381" s="12" t="n"/>
    </row>
    <row r="382">
      <c r="A382" t="inlineStr">
        <is>
          <t>lsproddiff</t>
        </is>
      </c>
      <c r="B382" t="inlineStr">
        <is>
          <t>access_labour</t>
        </is>
      </c>
      <c r="C382" t="inlineStr">
        <is>
          <t>Access to manpower labour</t>
        </is>
      </c>
      <c r="D382" t="inlineStr">
        <is>
          <t>Acceso restringido a mano de obra [Mano de obra demasiado costosa / ingresos insuficientes para contratarla / no hay mano de obra disponible.]</t>
        </is>
      </c>
      <c r="E382" s="4" t="n"/>
      <c r="F382" s="12" t="n"/>
    </row>
    <row r="383">
      <c r="A383" t="inlineStr">
        <is>
          <t>lsproddiff</t>
        </is>
      </c>
      <c r="B383" t="inlineStr">
        <is>
          <t>other</t>
        </is>
      </c>
      <c r="C383" t="inlineStr">
        <is>
          <t>Other</t>
        </is>
      </c>
      <c r="D383" t="inlineStr">
        <is>
          <t>Otro</t>
        </is>
      </c>
      <c r="E383" s="4" t="n"/>
    </row>
    <row r="384">
      <c r="A384" t="inlineStr">
        <is>
          <t>lsproddiff</t>
        </is>
      </c>
      <c r="B384" t="inlineStr">
        <is>
          <t>dk</t>
        </is>
      </c>
      <c r="C384" t="inlineStr">
        <is>
          <t>DON'T KNOW</t>
        </is>
      </c>
      <c r="D384" t="inlineStr">
        <is>
          <t xml:space="preserve">NO SABE </t>
        </is>
      </c>
      <c r="E384" s="4" t="n"/>
    </row>
    <row r="385">
      <c r="A385" t="inlineStr">
        <is>
          <t>lsproddiff</t>
        </is>
      </c>
      <c r="B385" t="inlineStr">
        <is>
          <t>ref</t>
        </is>
      </c>
      <c r="C385" t="inlineStr">
        <is>
          <t>REFUSED</t>
        </is>
      </c>
      <c r="D385" t="inlineStr">
        <is>
          <t>NO RESPONDE</t>
        </is>
      </c>
      <c r="E385" s="4" t="n"/>
    </row>
    <row r="386">
      <c r="E386" s="4" t="n"/>
    </row>
    <row r="387">
      <c r="A387" s="262" t="inlineStr">
        <is>
          <t>lsmain2</t>
        </is>
      </c>
      <c r="B387" s="262" t="n">
        <v>1</v>
      </c>
      <c r="C387" s="262" t="inlineStr">
        <is>
          <t>Cattle [cow / beef / veal / yak / buffalo]</t>
        </is>
      </c>
      <c r="D387" t="inlineStr">
        <is>
          <t>Bovinos [vaca / ternero / yak / búfalo]</t>
        </is>
      </c>
      <c r="E387" s="4" t="n"/>
    </row>
    <row r="388">
      <c r="A388" s="262" t="inlineStr">
        <is>
          <t>lsmain2</t>
        </is>
      </c>
      <c r="B388" s="262" t="n">
        <v>2</v>
      </c>
      <c r="C388" s="262" t="inlineStr">
        <is>
          <t>Goat</t>
        </is>
      </c>
      <c r="D388" t="inlineStr">
        <is>
          <t>Cabras</t>
        </is>
      </c>
      <c r="E388" s="4" t="n"/>
    </row>
    <row r="389">
      <c r="A389" s="262" t="inlineStr">
        <is>
          <t>lsmain2</t>
        </is>
      </c>
      <c r="B389" s="262" t="n">
        <v>3</v>
      </c>
      <c r="C389" s="262" t="inlineStr">
        <is>
          <t>Sheep</t>
        </is>
      </c>
      <c r="D389" t="inlineStr">
        <is>
          <t>Ovejas</t>
        </is>
      </c>
      <c r="E389" s="4" t="n"/>
    </row>
    <row r="390">
      <c r="A390" s="262" t="inlineStr">
        <is>
          <t>lsmain2</t>
        </is>
      </c>
      <c r="B390" s="262" t="n">
        <v>4</v>
      </c>
      <c r="C390" s="262" t="inlineStr">
        <is>
          <t>Swine [swine / boar / hog / etc]</t>
        </is>
      </c>
      <c r="D390" t="inlineStr">
        <is>
          <t>Porcinos [cerdo/ jabalí]</t>
        </is>
      </c>
      <c r="E390" s="4" t="n"/>
    </row>
    <row r="391">
      <c r="A391" s="262" t="inlineStr">
        <is>
          <t>lsmain2</t>
        </is>
      </c>
      <c r="B391" s="262" t="n">
        <v>5</v>
      </c>
      <c r="C391" s="262" t="inlineStr">
        <is>
          <t>Equine [donkey / horse / etc]</t>
        </is>
      </c>
      <c r="D391" t="inlineStr">
        <is>
          <t>Equinos [burro / caballo]</t>
        </is>
      </c>
      <c r="E391" s="4" t="n"/>
    </row>
    <row r="392">
      <c r="A392" s="262" t="inlineStr">
        <is>
          <t>lsmain2</t>
        </is>
      </c>
      <c r="B392" s="262" t="n">
        <v>6</v>
      </c>
      <c r="C392" s="262" t="inlineStr">
        <is>
          <t>Small domesticated mammals [rabbits / minks / guinea pigs / etc]</t>
        </is>
      </c>
      <c r="D392" t="inlineStr">
        <is>
          <t>Pequeños mamíferos domesticados [conejos / cuyes / conejillo de indias / etc.]</t>
        </is>
      </c>
      <c r="E392" s="4" t="n"/>
    </row>
    <row r="393">
      <c r="A393" s="262" t="inlineStr">
        <is>
          <t>lsmain2</t>
        </is>
      </c>
      <c r="B393" s="262" t="n">
        <v>7</v>
      </c>
      <c r="C393" s="262" t="inlineStr">
        <is>
          <t>Poultry [chicken / guineafowl / duck / quail / turkey / etc]</t>
        </is>
      </c>
      <c r="D393" t="inlineStr">
        <is>
          <t>Aves de corral [pollos / codornices / pavo / pato / etc.]</t>
        </is>
      </c>
      <c r="E393" s="4" t="n"/>
    </row>
    <row r="394">
      <c r="A394" s="262" t="inlineStr">
        <is>
          <t>lsmain2</t>
        </is>
      </c>
      <c r="B394" s="262" t="n">
        <v>8</v>
      </c>
      <c r="C394" s="262" t="inlineStr">
        <is>
          <t>Camelids</t>
        </is>
      </c>
      <c r="D394" t="inlineStr">
        <is>
          <t>Camélidos [alpaca / guanaco / llama]</t>
        </is>
      </c>
      <c r="E394" s="4" t="n"/>
    </row>
    <row r="395">
      <c r="A395" s="262" t="inlineStr">
        <is>
          <t>lsmain2</t>
        </is>
      </c>
      <c r="B395" s="262" t="n">
        <v>9</v>
      </c>
      <c r="C395" s="262" t="inlineStr">
        <is>
          <t>Other</t>
        </is>
      </c>
      <c r="D395" t="inlineStr">
        <is>
          <t>Otro</t>
        </is>
      </c>
      <c r="E395" s="4" t="n"/>
    </row>
    <row r="396">
      <c r="A396" s="262" t="inlineStr">
        <is>
          <t>lsmain2</t>
        </is>
      </c>
      <c r="B396" s="262" t="n">
        <v>666</v>
      </c>
      <c r="C396" s="262" t="inlineStr">
        <is>
          <t>No other livestock</t>
        </is>
      </c>
      <c r="D396" t="inlineStr">
        <is>
          <t>No tiene más animales</t>
        </is>
      </c>
      <c r="E396" s="4" t="n"/>
    </row>
    <row r="397">
      <c r="A397" s="262" t="inlineStr">
        <is>
          <t>lsmain2</t>
        </is>
      </c>
      <c r="B397" s="262" t="n">
        <v>10</v>
      </c>
      <c r="C397" s="262" t="inlineStr">
        <is>
          <t>DON'T KNOW</t>
        </is>
      </c>
      <c r="D397" t="inlineStr">
        <is>
          <t>NO SABE</t>
        </is>
      </c>
      <c r="E397" s="4" t="n"/>
    </row>
    <row r="398">
      <c r="A398" s="262" t="inlineStr">
        <is>
          <t>lsmain2</t>
        </is>
      </c>
      <c r="B398" s="262" t="n">
        <v>11</v>
      </c>
      <c r="C398" s="262" t="inlineStr">
        <is>
          <t>REFUSED</t>
        </is>
      </c>
      <c r="D398" t="inlineStr">
        <is>
          <t>NO RESPONDE</t>
        </is>
      </c>
      <c r="E398" s="4" t="n"/>
    </row>
    <row r="399">
      <c r="B399" s="9" t="n"/>
      <c r="D399" s="12" t="n"/>
      <c r="E399" s="4" t="n"/>
    </row>
    <row r="400">
      <c r="A400" t="inlineStr">
        <is>
          <t>salesmain</t>
        </is>
      </c>
      <c r="B400" t="n">
        <v>1</v>
      </c>
      <c r="C400" t="inlineStr">
        <is>
          <t>Cattle [cow / beef / veal / yak / buffalo]</t>
        </is>
      </c>
      <c r="D400" t="inlineStr">
        <is>
          <t>Bovinos [vaca / ternero / yak / búfalo]</t>
        </is>
      </c>
      <c r="E400" s="4" t="n"/>
    </row>
    <row r="401">
      <c r="A401" t="inlineStr">
        <is>
          <t>salesmain</t>
        </is>
      </c>
      <c r="B401" t="n">
        <v>2</v>
      </c>
      <c r="C401" t="inlineStr">
        <is>
          <t>Goat</t>
        </is>
      </c>
      <c r="D401" t="inlineStr">
        <is>
          <t>Cabras</t>
        </is>
      </c>
      <c r="E401" s="4" t="n"/>
    </row>
    <row r="402">
      <c r="A402" t="inlineStr">
        <is>
          <t>salesmain</t>
        </is>
      </c>
      <c r="B402" t="n">
        <v>3</v>
      </c>
      <c r="C402" t="inlineStr">
        <is>
          <t>Sheep</t>
        </is>
      </c>
      <c r="D402" t="inlineStr">
        <is>
          <t>Ovejas</t>
        </is>
      </c>
      <c r="E402" s="4" t="n"/>
    </row>
    <row r="403">
      <c r="A403" t="inlineStr">
        <is>
          <t>salesmain</t>
        </is>
      </c>
      <c r="B403" t="n">
        <v>4</v>
      </c>
      <c r="C403" s="261" t="inlineStr">
        <is>
          <t>Swine [swine / boar / hog / etc]</t>
        </is>
      </c>
      <c r="D403" t="inlineStr">
        <is>
          <t>Porcinos [cerdo/ jabalí]</t>
        </is>
      </c>
      <c r="E403" s="4" t="n"/>
    </row>
    <row r="404">
      <c r="A404" t="inlineStr">
        <is>
          <t>salesmain</t>
        </is>
      </c>
      <c r="B404" t="n">
        <v>5</v>
      </c>
      <c r="C404" t="inlineStr">
        <is>
          <t>Equine [donkey / horse / etc.]</t>
        </is>
      </c>
      <c r="D404" s="261" t="inlineStr">
        <is>
          <t>Equinos [burro / caballo]</t>
        </is>
      </c>
      <c r="E404" s="4" t="n"/>
    </row>
    <row r="405">
      <c r="A405" t="inlineStr">
        <is>
          <t>salesmain</t>
        </is>
      </c>
      <c r="B405" t="n">
        <v>6</v>
      </c>
      <c r="C405" t="inlineStr">
        <is>
          <t>Small domesticated mammals [rabbits / minks / guinea pigs / etc]</t>
        </is>
      </c>
      <c r="D405" t="inlineStr">
        <is>
          <t>Pequeños mamíferos domesticados [conejos / cuyes / conejillo de indias / etc.]</t>
        </is>
      </c>
      <c r="E405" s="4" t="n"/>
    </row>
    <row r="406">
      <c r="A406" t="inlineStr">
        <is>
          <t>salesmain</t>
        </is>
      </c>
      <c r="B406" t="n">
        <v>7</v>
      </c>
      <c r="C406" t="inlineStr">
        <is>
          <t>Poultry [chicken / guineafowl / duck / quail / turkey / etc.]</t>
        </is>
      </c>
      <c r="D406" t="inlineStr">
        <is>
          <t>Aves de corral [pollos / codornices / pavo / pato / etc.]</t>
        </is>
      </c>
      <c r="E406" s="4" t="n"/>
    </row>
    <row r="407">
      <c r="A407" t="inlineStr">
        <is>
          <t>salesmain</t>
        </is>
      </c>
      <c r="B407" t="n">
        <v>8</v>
      </c>
      <c r="C407" t="inlineStr">
        <is>
          <t>Camelids</t>
        </is>
      </c>
      <c r="D407" t="inlineStr">
        <is>
          <t>Camélidos [alpaca / guanaco / llama]</t>
        </is>
      </c>
      <c r="E407" s="4" t="n"/>
    </row>
    <row r="408">
      <c r="A408" t="inlineStr">
        <is>
          <t>salesmain</t>
        </is>
      </c>
      <c r="B408" t="n">
        <v>9</v>
      </c>
      <c r="C408" t="inlineStr">
        <is>
          <t>Eggs</t>
        </is>
      </c>
      <c r="D408" t="inlineStr">
        <is>
          <t>Huevos</t>
        </is>
      </c>
      <c r="E408" s="4" t="n"/>
    </row>
    <row r="409">
      <c r="A409" t="inlineStr">
        <is>
          <t>salesmain</t>
        </is>
      </c>
      <c r="B409" t="n">
        <v>10</v>
      </c>
      <c r="C409" t="inlineStr">
        <is>
          <t>Milk or dairy products</t>
        </is>
      </c>
      <c r="D409" t="inlineStr">
        <is>
          <t>Leche o productos lácteos</t>
        </is>
      </c>
      <c r="E409" s="4" t="n"/>
    </row>
    <row r="410">
      <c r="A410" t="inlineStr">
        <is>
          <t>salesmain</t>
        </is>
      </c>
      <c r="B410" t="n">
        <v>11</v>
      </c>
      <c r="C410" t="inlineStr">
        <is>
          <t>Skin or leather or wool</t>
        </is>
      </c>
      <c r="D410" t="inlineStr">
        <is>
          <t>Pieles, cuero o lana</t>
        </is>
      </c>
      <c r="E410" s="4" t="n"/>
    </row>
    <row r="411">
      <c r="A411" t="inlineStr">
        <is>
          <t>salesmain</t>
        </is>
      </c>
      <c r="B411" s="260" t="n">
        <v>12</v>
      </c>
      <c r="C411" t="inlineStr">
        <is>
          <t>DON'T KNOW</t>
        </is>
      </c>
      <c r="D411" t="inlineStr">
        <is>
          <t>NO SABE</t>
        </is>
      </c>
      <c r="E411" s="4" t="n"/>
    </row>
    <row r="412">
      <c r="A412" t="inlineStr">
        <is>
          <t>salesmain</t>
        </is>
      </c>
      <c r="B412" s="260" t="n">
        <v>13</v>
      </c>
      <c r="C412" t="inlineStr">
        <is>
          <t>REFUSED</t>
        </is>
      </c>
      <c r="D412" t="inlineStr">
        <is>
          <t>NO RESPONDE</t>
        </is>
      </c>
      <c r="E412" s="4" t="n"/>
    </row>
    <row r="413">
      <c r="E413" s="4" t="n"/>
    </row>
    <row r="414" ht="15.95" customHeight="1">
      <c r="A414" t="inlineStr">
        <is>
          <t>lssalesdif</t>
        </is>
      </c>
      <c r="B414" t="inlineStr">
        <is>
          <t>marketing_cost</t>
        </is>
      </c>
      <c r="C414" t="inlineStr">
        <is>
          <t>High transportation or other marketing costs</t>
        </is>
      </c>
      <c r="D414" t="inlineStr">
        <is>
          <t>Altos costos de transporte u otros costos de comercialización</t>
        </is>
      </c>
      <c r="E414" s="4" t="n"/>
      <c r="F414" s="12" t="n"/>
    </row>
    <row r="415" ht="15.95" customHeight="1">
      <c r="A415" t="inlineStr">
        <is>
          <t>lssalesdif</t>
        </is>
      </c>
      <c r="B415" t="inlineStr">
        <is>
          <t>damage_losses</t>
        </is>
      </c>
      <c r="C415" t="inlineStr">
        <is>
          <t xml:space="preserve">Damage and losses during transportation or difficulty accessing the market </t>
        </is>
      </c>
      <c r="D415" t="inlineStr">
        <is>
          <t>Daños y pérdidas debido a dificultades con el transporte y/o dificultades accediendo al mercado</t>
        </is>
      </c>
      <c r="E415" s="4" t="n"/>
      <c r="F415" s="12" t="n"/>
    </row>
    <row r="416" ht="15.95" customHeight="1">
      <c r="A416" t="inlineStr">
        <is>
          <t>lssalesdif</t>
        </is>
      </c>
      <c r="B416" t="inlineStr">
        <is>
          <t>low_demand</t>
        </is>
      </c>
      <c r="C416" t="inlineStr">
        <is>
          <t>Lack of demand from usual traders or buyers</t>
        </is>
      </c>
      <c r="D416" t="inlineStr">
        <is>
          <t>Poca demanda de los comerciantes o compradores</t>
        </is>
      </c>
      <c r="E416" s="4" t="n"/>
      <c r="F416" s="12" t="n"/>
    </row>
    <row r="417" ht="15.95" customHeight="1">
      <c r="A417" t="inlineStr">
        <is>
          <t>lssalesdif</t>
        </is>
      </c>
      <c r="B417" t="inlineStr">
        <is>
          <t>pay_delay</t>
        </is>
      </c>
      <c r="C417" t="inlineStr">
        <is>
          <t>Payment delays from traders / buyers</t>
        </is>
      </c>
      <c r="D417" t="inlineStr">
        <is>
          <t>Retraso en los pagos de parte de comerciantes o compradores</t>
        </is>
      </c>
      <c r="E417" s="4" t="n"/>
      <c r="F417" s="12" t="n"/>
    </row>
    <row r="418" ht="15.95" customHeight="1">
      <c r="A418" t="inlineStr">
        <is>
          <t>lssalesdif</t>
        </is>
      </c>
      <c r="B418" t="inlineStr">
        <is>
          <t>low_price</t>
        </is>
      </c>
      <c r="C418" t="inlineStr">
        <is>
          <t>Low selling prices [e.g. compared to input prices / inflation]</t>
        </is>
      </c>
      <c r="D418" t="inlineStr">
        <is>
          <t>Bajos precios de venta [ej. comparado con los precios de insumos / inflación]</t>
        </is>
      </c>
      <c r="E418" s="4" t="n"/>
      <c r="F418" s="12" t="n"/>
    </row>
    <row r="419" ht="15.95" customHeight="1">
      <c r="A419" t="inlineStr">
        <is>
          <t>lssalesdif</t>
        </is>
      </c>
      <c r="B419" t="inlineStr">
        <is>
          <t>slaughterhouse</t>
        </is>
      </c>
      <c r="C419" t="inlineStr">
        <is>
          <t>Closure of slaughterhouses or difficulties accessing slaughterhouses</t>
        </is>
      </c>
      <c r="D419" t="inlineStr">
        <is>
          <t>Cierre del centro de beneficio animal o dificultades para acceder a él</t>
        </is>
      </c>
      <c r="E419" s="4" t="n"/>
      <c r="F419" s="12" t="n"/>
    </row>
    <row r="420" ht="15.95" customHeight="1">
      <c r="A420" t="inlineStr">
        <is>
          <t>lssalesdif</t>
        </is>
      </c>
      <c r="B420" t="inlineStr">
        <is>
          <t>processing</t>
        </is>
      </c>
      <c r="C420" t="inlineStr">
        <is>
          <t>Difficulties processing product other than closure of slaughterhouse [lack of access to processing inputs / equipment / etc]</t>
        </is>
      </c>
      <c r="D420" t="inlineStr">
        <is>
          <t>Dificultades para procesar el producto distintos al cierre del centro de beneficio animal [dificultad para acceder a insumos / equipo para el procesamiento / etc]</t>
        </is>
      </c>
      <c r="E420" s="4" t="n"/>
      <c r="F420" s="12" t="n"/>
    </row>
    <row r="421" ht="15.95" customHeight="1">
      <c r="A421" t="inlineStr">
        <is>
          <t>lssalesdif</t>
        </is>
      </c>
      <c r="B421" t="inlineStr">
        <is>
          <t>competition</t>
        </is>
      </c>
      <c r="C421" t="inlineStr">
        <is>
          <t>Market flooded with products</t>
        </is>
      </c>
      <c r="D421" t="inlineStr">
        <is>
          <t>Mercado saturado del mismo producto</t>
        </is>
      </c>
      <c r="E421" s="4" t="n"/>
      <c r="F421" s="12" t="n"/>
    </row>
    <row r="422" ht="15.95" customHeight="1">
      <c r="A422" t="inlineStr">
        <is>
          <t>lssalesdif</t>
        </is>
      </c>
      <c r="B422" t="inlineStr">
        <is>
          <t>other</t>
        </is>
      </c>
      <c r="C422" t="inlineStr">
        <is>
          <t>Other</t>
        </is>
      </c>
      <c r="D422" t="inlineStr">
        <is>
          <t>Otro</t>
        </is>
      </c>
      <c r="E422" s="4" t="n"/>
    </row>
    <row r="423" ht="15.95" customHeight="1">
      <c r="A423" t="inlineStr">
        <is>
          <t>lssalesdif</t>
        </is>
      </c>
      <c r="B423" t="inlineStr">
        <is>
          <t>dk</t>
        </is>
      </c>
      <c r="C423" t="inlineStr">
        <is>
          <t>DON'T KNOW</t>
        </is>
      </c>
      <c r="D423" t="inlineStr">
        <is>
          <t>NO SABE</t>
        </is>
      </c>
      <c r="E423" s="4" t="n"/>
    </row>
    <row r="424" ht="15.95" customHeight="1">
      <c r="A424" t="inlineStr">
        <is>
          <t>lssalesdif</t>
        </is>
      </c>
      <c r="B424" t="inlineStr">
        <is>
          <t>ref</t>
        </is>
      </c>
      <c r="C424" t="inlineStr">
        <is>
          <t>REFUSED</t>
        </is>
      </c>
      <c r="D424" t="inlineStr">
        <is>
          <t>NO RESPONDE</t>
        </is>
      </c>
      <c r="E424" s="4" t="n"/>
    </row>
    <row r="425" ht="15.95" customHeight="1">
      <c r="E425" s="4" t="n"/>
    </row>
    <row r="426">
      <c r="A426" t="inlineStr">
        <is>
          <t>fishactivity</t>
        </is>
      </c>
      <c r="B426" t="inlineStr">
        <is>
          <t>coastal</t>
        </is>
      </c>
      <c r="C426" t="inlineStr">
        <is>
          <t>Near coastal, delta, lagoon fishing</t>
        </is>
      </c>
      <c r="D426" t="inlineStr">
        <is>
          <t>Pesca costera, delta, laguna</t>
        </is>
      </c>
      <c r="E426" s="4" t="n"/>
      <c r="F426" s="12" t="n"/>
    </row>
    <row r="427">
      <c r="A427" t="inlineStr">
        <is>
          <t>fishactivity</t>
        </is>
      </c>
      <c r="B427" t="inlineStr">
        <is>
          <t>offshore_sea</t>
        </is>
      </c>
      <c r="C427" t="inlineStr">
        <is>
          <t>Offshore sea fishing</t>
        </is>
      </c>
      <c r="D427" t="inlineStr">
        <is>
          <t>Pesca en alta mar</t>
        </is>
      </c>
      <c r="E427" s="4" t="n"/>
      <c r="F427" s="12" t="n"/>
    </row>
    <row r="428">
      <c r="A428" t="inlineStr">
        <is>
          <t>fishactivity</t>
        </is>
      </c>
      <c r="B428" t="inlineStr">
        <is>
          <t>freshwater</t>
        </is>
      </c>
      <c r="C428" t="inlineStr">
        <is>
          <t>Freshwater fishing [in lakes, reservoirs, ponds, rivers, or wetlands]</t>
        </is>
      </c>
      <c r="D428" t="inlineStr">
        <is>
          <t>Pesca en agua dulce [en lagos, embalses, estanques, ríos o humedales]</t>
        </is>
      </c>
      <c r="E428" s="4" t="n"/>
      <c r="F428" s="12" t="n"/>
    </row>
    <row r="429">
      <c r="A429" t="inlineStr">
        <is>
          <t>fishactivity</t>
        </is>
      </c>
      <c r="B429" t="inlineStr">
        <is>
          <t>aquaculture</t>
        </is>
      </c>
      <c r="C429" t="inlineStr">
        <is>
          <t>Aquaculture</t>
        </is>
      </c>
      <c r="D429" t="inlineStr">
        <is>
          <t>Acuicultura</t>
        </is>
      </c>
      <c r="E429" s="4" t="n"/>
      <c r="F429" s="12" t="n"/>
    </row>
    <row r="430">
      <c r="A430" t="inlineStr">
        <is>
          <t>fishactivity</t>
        </is>
      </c>
      <c r="B430" t="inlineStr">
        <is>
          <t>dk</t>
        </is>
      </c>
      <c r="C430" t="inlineStr">
        <is>
          <t>DON'T KNOW</t>
        </is>
      </c>
      <c r="D430" t="inlineStr">
        <is>
          <t>NO SABE</t>
        </is>
      </c>
      <c r="E430" s="4" t="n"/>
      <c r="F430" s="12" t="n"/>
    </row>
    <row r="431">
      <c r="A431" t="inlineStr">
        <is>
          <t>fishactivity</t>
        </is>
      </c>
      <c r="B431" t="inlineStr">
        <is>
          <t>ref</t>
        </is>
      </c>
      <c r="C431" t="inlineStr">
        <is>
          <t>REFUSED</t>
        </is>
      </c>
      <c r="D431" t="inlineStr">
        <is>
          <t>NO RESPONDE</t>
        </is>
      </c>
      <c r="E431" s="4" t="n"/>
      <c r="F431" s="12" t="n"/>
    </row>
    <row r="432">
      <c r="E432" s="4" t="n"/>
    </row>
    <row r="433">
      <c r="A433" t="inlineStr">
        <is>
          <t>fishproddiff</t>
        </is>
      </c>
      <c r="B433" t="inlineStr">
        <is>
          <t>find_fish</t>
        </is>
      </c>
      <c r="C433" t="inlineStr">
        <is>
          <t>Fish is more difficult to find than in previous years in the same season [fishing]</t>
        </is>
      </c>
      <c r="D433" t="inlineStr">
        <is>
          <t>Los peces son más difíciles de encontrar que en los años anteriores durante la misma temporada [pesca]</t>
        </is>
      </c>
      <c r="E433" s="4" t="n"/>
      <c r="F433" s="12" t="n"/>
    </row>
    <row r="434">
      <c r="A434" t="inlineStr">
        <is>
          <t>fishproddiff</t>
        </is>
      </c>
      <c r="B434" t="inlineStr">
        <is>
          <t>pests</t>
        </is>
      </c>
      <c r="C434" t="inlineStr">
        <is>
          <t>Fish pests and diseases [aquaculture]</t>
        </is>
      </c>
      <c r="D434" t="inlineStr">
        <is>
          <t>Plagas y enfermedades en los peces [acuicultura]</t>
        </is>
      </c>
      <c r="E434" s="4" t="n"/>
      <c r="F434" s="12" t="n"/>
    </row>
    <row r="435">
      <c r="A435" t="inlineStr">
        <is>
          <t>fishproddiff</t>
        </is>
      </c>
      <c r="B435" t="inlineStr">
        <is>
          <t>access_area</t>
        </is>
      </c>
      <c r="C435" t="inlineStr">
        <is>
          <t>Access to fishing or aquaculture area [e.g. due to weather conditions]</t>
        </is>
      </c>
      <c r="D435" t="inlineStr">
        <is>
          <t>Acceso restringido a la zona de pesca o acuicultura [ej. debido al clima o seguridad]</t>
        </is>
      </c>
      <c r="E435" s="4" t="n"/>
      <c r="F435" s="12" t="n"/>
    </row>
    <row r="436">
      <c r="A436" t="inlineStr">
        <is>
          <t>fishproddiff</t>
        </is>
      </c>
      <c r="B436" t="inlineStr">
        <is>
          <t>fuel</t>
        </is>
      </c>
      <c r="C436" t="inlineStr">
        <is>
          <t>Access to fuel [prices higher or not available]</t>
        </is>
      </c>
      <c r="D436" t="inlineStr">
        <is>
          <t>Acceso restringido a combustible [precios más altos o no está disponible]</t>
        </is>
      </c>
      <c r="E436" s="4" t="n"/>
      <c r="F436" s="12" t="n"/>
    </row>
    <row r="437">
      <c r="A437" t="inlineStr">
        <is>
          <t>fishproddiff</t>
        </is>
      </c>
      <c r="B437" t="inlineStr">
        <is>
          <t>input_access</t>
        </is>
      </c>
      <c r="C437" t="inlineStr">
        <is>
          <t>Access to other fishing or culture inputs [prices higher or not available]</t>
        </is>
      </c>
      <c r="D437" t="inlineStr">
        <is>
          <t>Acceso restringido a otros insumos para la pesca o siembra [precios más altos o no está disponible]</t>
        </is>
      </c>
      <c r="E437" s="4" t="n"/>
      <c r="F437" s="12" t="n"/>
    </row>
    <row r="438">
      <c r="A438" t="inlineStr">
        <is>
          <t>fishproddiff</t>
        </is>
      </c>
      <c r="B438" t="inlineStr">
        <is>
          <t>labour</t>
        </is>
      </c>
      <c r="C438" t="inlineStr">
        <is>
          <t>Access to labour or crew labour [prices higher or not available]</t>
        </is>
      </c>
      <c r="D438" t="inlineStr">
        <is>
          <t>Acceso restringido a mano de obra o mano de obra comunitaria [precios más altos o no está disponible]</t>
        </is>
      </c>
      <c r="E438" s="4" t="n"/>
      <c r="F438" s="12" t="n"/>
    </row>
    <row r="439">
      <c r="A439" t="inlineStr">
        <is>
          <t>fishproddiff</t>
        </is>
      </c>
      <c r="B439" t="inlineStr">
        <is>
          <t>infrastructure</t>
        </is>
      </c>
      <c r="C439" t="inlineStr">
        <is>
          <t>Damage or destruction of infrastructure [ponds, cages, ports, landing sites]</t>
        </is>
      </c>
      <c r="D439" t="inlineStr">
        <is>
          <t>Daño o destrucción de infraestructura [estanques, jaulas, puertos, sitios de embarque]</t>
        </is>
      </c>
      <c r="E439" s="4" t="n"/>
      <c r="F439" s="12" t="n"/>
    </row>
    <row r="440">
      <c r="A440" t="inlineStr">
        <is>
          <t>fishproddiff</t>
        </is>
      </c>
      <c r="B440" t="inlineStr">
        <is>
          <t>damage_equip</t>
        </is>
      </c>
      <c r="C440" t="inlineStr">
        <is>
          <t>Damage or destruction of boats or gears</t>
        </is>
      </c>
      <c r="D440" t="inlineStr">
        <is>
          <t>Daño o destrucción de embarcaciones o herramientas [artes de pesca]</t>
        </is>
      </c>
      <c r="E440" s="4" t="n"/>
      <c r="F440" s="12" t="n"/>
    </row>
    <row r="441">
      <c r="A441" t="inlineStr">
        <is>
          <t>fishproddiff</t>
        </is>
      </c>
      <c r="B441" t="inlineStr">
        <is>
          <t>other</t>
        </is>
      </c>
      <c r="C441" t="inlineStr">
        <is>
          <t>Other [specify]</t>
        </is>
      </c>
      <c r="D441" t="inlineStr">
        <is>
          <t>Otro</t>
        </is>
      </c>
      <c r="E441" s="4" t="n"/>
    </row>
    <row r="442">
      <c r="A442" t="inlineStr">
        <is>
          <t>fishproddiff</t>
        </is>
      </c>
      <c r="B442" t="inlineStr">
        <is>
          <t>dk</t>
        </is>
      </c>
      <c r="C442" t="inlineStr">
        <is>
          <t>DON'T KNOW</t>
        </is>
      </c>
      <c r="D442" t="inlineStr">
        <is>
          <t>NO SABE</t>
        </is>
      </c>
      <c r="E442" s="4" t="n"/>
    </row>
    <row r="443">
      <c r="A443" t="inlineStr">
        <is>
          <t>fishproddiff</t>
        </is>
      </c>
      <c r="B443" t="inlineStr">
        <is>
          <t>ref</t>
        </is>
      </c>
      <c r="C443" t="inlineStr">
        <is>
          <t>REFUSED</t>
        </is>
      </c>
      <c r="D443" t="inlineStr">
        <is>
          <t>NO RESPONDE</t>
        </is>
      </c>
      <c r="E443" s="4" t="n"/>
    </row>
    <row r="444">
      <c r="E444" s="4" t="n"/>
    </row>
    <row r="445" customFormat="1" s="12">
      <c r="A445" s="262" t="inlineStr">
        <is>
          <t>fishinput</t>
        </is>
      </c>
      <c r="B445" s="262" t="inlineStr">
        <is>
          <t>bait_feed</t>
        </is>
      </c>
      <c r="C445" s="262" t="inlineStr">
        <is>
          <t>Feed or bait</t>
        </is>
      </c>
      <c r="D445" s="262" t="inlineStr">
        <is>
          <t>Cebos o alimentos para pescar</t>
        </is>
      </c>
      <c r="E445" s="14" t="n"/>
    </row>
    <row r="446" customFormat="1" s="12">
      <c r="A446" s="262" t="inlineStr">
        <is>
          <t>fishinput</t>
        </is>
      </c>
      <c r="B446" s="262" t="inlineStr">
        <is>
          <t>fingerling</t>
        </is>
      </c>
      <c r="C446" s="262" t="inlineStr">
        <is>
          <t>Fingerling</t>
        </is>
      </c>
      <c r="D446" s="262" t="inlineStr">
        <is>
          <t>Alevinos</t>
        </is>
      </c>
      <c r="E446" s="14" t="n"/>
    </row>
    <row r="447" customFormat="1" s="12">
      <c r="A447" s="262" t="inlineStr">
        <is>
          <t>fishinput</t>
        </is>
      </c>
      <c r="B447" s="262" t="inlineStr">
        <is>
          <t>gear</t>
        </is>
      </c>
      <c r="C447" s="262" t="inlineStr">
        <is>
          <t>Fishing gear [e.g. rods, hooks, nets]</t>
        </is>
      </c>
      <c r="D447" s="262" t="inlineStr">
        <is>
          <t>Herramientas para la pesca [ej. cañas, anzuelos, redes]</t>
        </is>
      </c>
      <c r="E447" s="14" t="n"/>
    </row>
    <row r="448" customFormat="1" s="12">
      <c r="A448" s="262" t="inlineStr">
        <is>
          <t>fishinput</t>
        </is>
      </c>
      <c r="B448" s="262" t="inlineStr">
        <is>
          <t>ice</t>
        </is>
      </c>
      <c r="C448" s="262" t="inlineStr">
        <is>
          <t>Ice</t>
        </is>
      </c>
      <c r="D448" s="262" t="inlineStr">
        <is>
          <t>Hielo</t>
        </is>
      </c>
      <c r="E448" s="14" t="n"/>
    </row>
    <row r="449" customFormat="1" s="12">
      <c r="A449" s="262" t="inlineStr">
        <is>
          <t>fishinput</t>
        </is>
      </c>
      <c r="B449" s="262" t="inlineStr">
        <is>
          <t>fuel</t>
        </is>
      </c>
      <c r="C449" s="262" t="inlineStr">
        <is>
          <t>Fuel</t>
        </is>
      </c>
      <c r="D449" s="262" t="inlineStr">
        <is>
          <t>Combustible</t>
        </is>
      </c>
      <c r="E449" s="14" t="n"/>
    </row>
    <row r="450" customFormat="1" s="12">
      <c r="A450" s="262" t="inlineStr">
        <is>
          <t>fishinput</t>
        </is>
      </c>
      <c r="B450" s="262" t="inlineStr">
        <is>
          <t>boatrepairs</t>
        </is>
      </c>
      <c r="C450" s="262" t="inlineStr">
        <is>
          <t>Equipment repairs [including boats] or spare parts</t>
        </is>
      </c>
      <c r="D450" s="262" t="inlineStr">
        <is>
          <t>Reparaciones de equipos [incluyendo botes] o respuestos</t>
        </is>
      </c>
      <c r="E450" s="14" t="n"/>
    </row>
    <row r="451" customFormat="1" s="12">
      <c r="A451" s="262" t="inlineStr">
        <is>
          <t>fishinput</t>
        </is>
      </c>
      <c r="B451" s="262" t="inlineStr">
        <is>
          <t>labour</t>
        </is>
      </c>
      <c r="C451" s="262" t="inlineStr">
        <is>
          <t>Labour</t>
        </is>
      </c>
      <c r="D451" s="262" t="inlineStr">
        <is>
          <t>Mano de obra</t>
        </is>
      </c>
      <c r="E451" s="14" t="n"/>
    </row>
    <row r="452" customFormat="1" s="12">
      <c r="A452" s="262" t="inlineStr">
        <is>
          <t>fishinput</t>
        </is>
      </c>
      <c r="B452" s="262" t="inlineStr">
        <is>
          <t>other</t>
        </is>
      </c>
      <c r="C452" s="262" t="inlineStr">
        <is>
          <t>Other [specify]</t>
        </is>
      </c>
      <c r="D452" s="262" t="inlineStr">
        <is>
          <t>Otro [especificar]</t>
        </is>
      </c>
      <c r="E452" s="14" t="n"/>
    </row>
    <row r="453" customFormat="1" s="12">
      <c r="A453" s="262" t="inlineStr">
        <is>
          <t>fishinput</t>
        </is>
      </c>
      <c r="B453" s="262" t="inlineStr">
        <is>
          <t>dk</t>
        </is>
      </c>
      <c r="C453" s="262" t="inlineStr">
        <is>
          <t>DON'T KNOW</t>
        </is>
      </c>
      <c r="D453" s="262" t="inlineStr">
        <is>
          <t>NO SABE</t>
        </is>
      </c>
      <c r="E453" s="14" t="n"/>
    </row>
    <row r="454" customFormat="1" s="12">
      <c r="A454" s="262" t="inlineStr">
        <is>
          <t>fishinput</t>
        </is>
      </c>
      <c r="B454" s="262" t="inlineStr">
        <is>
          <t>ref</t>
        </is>
      </c>
      <c r="C454" s="262" t="inlineStr">
        <is>
          <t>REFUSED</t>
        </is>
      </c>
      <c r="D454" s="262" t="inlineStr">
        <is>
          <t>NO RESPONDE</t>
        </is>
      </c>
      <c r="E454" s="14" t="n"/>
    </row>
    <row r="455">
      <c r="D455" s="12" t="n"/>
      <c r="E455" s="4" t="n"/>
    </row>
    <row r="456">
      <c r="A456" t="inlineStr">
        <is>
          <t>fishsales</t>
        </is>
      </c>
      <c r="B456" t="n">
        <v>1</v>
      </c>
      <c r="C456" t="inlineStr">
        <is>
          <t>Fresh product [any kind, including invertebrates]</t>
        </is>
      </c>
      <c r="D456" t="inlineStr">
        <is>
          <t>Producto fresco [de cualquier tipo, incluyendo invertebrados]</t>
        </is>
      </c>
      <c r="E456" s="4" t="n"/>
    </row>
    <row r="457">
      <c r="A457" t="inlineStr">
        <is>
          <t>fishsales</t>
        </is>
      </c>
      <c r="B457" t="n">
        <v>2</v>
      </c>
      <c r="C457" t="inlineStr">
        <is>
          <t>Preserved product [including dry, smoked, fermented, salted]</t>
        </is>
      </c>
      <c r="D457" t="inlineStr">
        <is>
          <t>Producto en conserva [incluyendo seco, ahumado, fermentado, salado]</t>
        </is>
      </c>
      <c r="E457" s="4" t="n"/>
    </row>
    <row r="458">
      <c r="A458" t="inlineStr">
        <is>
          <t>fishsales</t>
        </is>
      </c>
      <c r="B458" t="n">
        <v>3</v>
      </c>
      <c r="C458" t="inlineStr">
        <is>
          <t>Frozen product</t>
        </is>
      </c>
      <c r="D458" t="inlineStr">
        <is>
          <t>Producto congelado</t>
        </is>
      </c>
      <c r="E458" s="4" t="n"/>
    </row>
    <row r="459">
      <c r="A459" t="inlineStr">
        <is>
          <t>fishsales</t>
        </is>
      </c>
      <c r="B459" t="n">
        <v>4</v>
      </c>
      <c r="C459" t="inlineStr">
        <is>
          <t>Canned product</t>
        </is>
      </c>
      <c r="D459" t="inlineStr">
        <is>
          <t>Producto enlatado</t>
        </is>
      </c>
      <c r="E459" s="4" t="n"/>
    </row>
    <row r="460">
      <c r="A460" t="inlineStr">
        <is>
          <t>fishsales</t>
        </is>
      </c>
      <c r="B460" t="n">
        <v>5</v>
      </c>
      <c r="C460" t="inlineStr">
        <is>
          <t>Other [specify]</t>
        </is>
      </c>
      <c r="D460" t="inlineStr">
        <is>
          <t>Otro [especificar]</t>
        </is>
      </c>
      <c r="E460" s="4" t="n"/>
    </row>
    <row r="461">
      <c r="A461" t="inlineStr">
        <is>
          <t>fishsales</t>
        </is>
      </c>
      <c r="B461" s="260" t="n">
        <v>6</v>
      </c>
      <c r="C461" t="inlineStr">
        <is>
          <t>DON'T KNOW</t>
        </is>
      </c>
      <c r="D461" t="inlineStr">
        <is>
          <t>NO SABE</t>
        </is>
      </c>
      <c r="E461" s="4" t="n"/>
    </row>
    <row r="462">
      <c r="A462" t="inlineStr">
        <is>
          <t>fishsales</t>
        </is>
      </c>
      <c r="B462" s="260" t="n">
        <v>7</v>
      </c>
      <c r="C462" t="inlineStr">
        <is>
          <t>REFUSED</t>
        </is>
      </c>
      <c r="D462" t="inlineStr">
        <is>
          <t>NO RESPONDE</t>
        </is>
      </c>
      <c r="E462" s="4" t="n"/>
    </row>
    <row r="463">
      <c r="E463" s="4" t="n"/>
    </row>
    <row r="464">
      <c r="A464" t="inlineStr">
        <is>
          <t>fishsalesdif</t>
        </is>
      </c>
      <c r="B464" t="inlineStr">
        <is>
          <t>marketing_cost</t>
        </is>
      </c>
      <c r="C464" t="inlineStr">
        <is>
          <t>High transportation or other marketing costs</t>
        </is>
      </c>
      <c r="D464" t="inlineStr">
        <is>
          <t>Altos costos de transporte u otros costos de comercialización</t>
        </is>
      </c>
      <c r="E464" s="4" t="n"/>
      <c r="F464" s="12" t="n"/>
    </row>
    <row r="465">
      <c r="A465" t="inlineStr">
        <is>
          <t>fishsalesdif</t>
        </is>
      </c>
      <c r="B465" t="inlineStr">
        <is>
          <t>damage_losses</t>
        </is>
      </c>
      <c r="C465" t="inlineStr">
        <is>
          <t>Deterioration and losses due to storage difficulties or delays or inability to physically access markets</t>
        </is>
      </c>
      <c r="D465" t="inlineStr">
        <is>
          <t>Daños y pérdidas debido a dificultades con el almacenamiento o retrazos, inhabilidad para acceder a los mercados</t>
        </is>
      </c>
      <c r="E465" s="4" t="n"/>
      <c r="F465" s="12" t="n"/>
    </row>
    <row r="466">
      <c r="A466" t="inlineStr">
        <is>
          <t>fishsalesdif</t>
        </is>
      </c>
      <c r="B466" t="inlineStr">
        <is>
          <t>low_demand</t>
        </is>
      </c>
      <c r="C466" t="inlineStr">
        <is>
          <t>Lack of demand from usual buyers/traders</t>
        </is>
      </c>
      <c r="D466" t="inlineStr">
        <is>
          <t>Poca demanda de los comerciantes o compradores</t>
        </is>
      </c>
      <c r="E466" s="4" t="n"/>
      <c r="F466" s="12" t="n"/>
    </row>
    <row r="467">
      <c r="A467" t="inlineStr">
        <is>
          <t>fishsalesdif</t>
        </is>
      </c>
      <c r="B467" t="inlineStr">
        <is>
          <t>pay_delay</t>
        </is>
      </c>
      <c r="C467" t="inlineStr">
        <is>
          <t xml:space="preserve">Payment delays from traders/buyers </t>
        </is>
      </c>
      <c r="D467" t="inlineStr">
        <is>
          <t>Retraso en los pagos de parte de comerciantes o compradores</t>
        </is>
      </c>
      <c r="E467" s="4" t="n"/>
      <c r="F467" s="12" t="n"/>
    </row>
    <row r="468">
      <c r="A468" t="inlineStr">
        <is>
          <t>fishsalesdif</t>
        </is>
      </c>
      <c r="B468" t="inlineStr">
        <is>
          <t>low_prices</t>
        </is>
      </c>
      <c r="C468" t="inlineStr">
        <is>
          <t>Low selling prices [e.g. compared to input prices / inflation]</t>
        </is>
      </c>
      <c r="D468" t="inlineStr">
        <is>
          <t>Bajos precios de venta [ej. comparado con los precios de insumos / inflación]</t>
        </is>
      </c>
      <c r="E468" s="4" t="n"/>
      <c r="F468" s="12" t="n"/>
    </row>
    <row r="469">
      <c r="A469" t="inlineStr">
        <is>
          <t>fishsalesdif</t>
        </is>
      </c>
      <c r="B469" t="inlineStr">
        <is>
          <t>processing</t>
        </is>
      </c>
      <c r="C469" t="inlineStr">
        <is>
          <t>Difficulties processing product [lack of access to processing inputs / equipment / etc]</t>
        </is>
      </c>
      <c r="D469" t="inlineStr">
        <is>
          <t>Dificultades para procesar el producto [dificultad para acceder a insumos / equipo para el procesamiento / etc]</t>
        </is>
      </c>
      <c r="E469" s="4" t="n"/>
      <c r="F469" s="12" t="n"/>
    </row>
    <row r="470">
      <c r="A470" t="inlineStr">
        <is>
          <t>fishsalesdif</t>
        </is>
      </c>
      <c r="B470" t="inlineStr">
        <is>
          <t>competition</t>
        </is>
      </c>
      <c r="C470" t="inlineStr">
        <is>
          <t>Market flooded with product</t>
        </is>
      </c>
      <c r="D470" t="inlineStr">
        <is>
          <t>Mercado saturado del mismo producto</t>
        </is>
      </c>
      <c r="E470" s="4" t="n"/>
      <c r="F470" s="12" t="n"/>
    </row>
    <row r="471">
      <c r="A471" t="inlineStr">
        <is>
          <t>fishsalesdif</t>
        </is>
      </c>
      <c r="B471" t="inlineStr">
        <is>
          <t>other</t>
        </is>
      </c>
      <c r="C471" t="inlineStr">
        <is>
          <t>Other</t>
        </is>
      </c>
      <c r="D471" t="inlineStr">
        <is>
          <t>Otro</t>
        </is>
      </c>
      <c r="E471" s="4" t="n"/>
    </row>
    <row r="472">
      <c r="A472" t="inlineStr">
        <is>
          <t>fishsalesdif</t>
        </is>
      </c>
      <c r="B472" t="inlineStr">
        <is>
          <t>dk</t>
        </is>
      </c>
      <c r="C472" t="inlineStr">
        <is>
          <t>DON'T KNOW</t>
        </is>
      </c>
      <c r="D472" t="inlineStr">
        <is>
          <t>NO SABE</t>
        </is>
      </c>
      <c r="E472" s="4" t="n"/>
    </row>
    <row r="473">
      <c r="A473" t="inlineStr">
        <is>
          <t>fishsalesdif</t>
        </is>
      </c>
      <c r="B473" t="inlineStr">
        <is>
          <t>ref</t>
        </is>
      </c>
      <c r="C473" t="inlineStr">
        <is>
          <t>REFUSED</t>
        </is>
      </c>
      <c r="D473" t="inlineStr">
        <is>
          <t>NO RESPONDE</t>
        </is>
      </c>
      <c r="E473" s="4" t="n"/>
    </row>
    <row r="474">
      <c r="E474" s="4" t="n"/>
    </row>
    <row r="475">
      <c r="A475" t="inlineStr">
        <is>
          <t>frequency</t>
        </is>
      </c>
      <c r="B475" t="n">
        <v>1</v>
      </c>
      <c r="C475" t="inlineStr">
        <is>
          <t>Rarely (1-2 times in the past 30 days)</t>
        </is>
      </c>
      <c r="D475" t="inlineStr">
        <is>
          <t>Rara vez (1-2 veces en los últimos 30 días)</t>
        </is>
      </c>
      <c r="E475" s="4" t="n"/>
    </row>
    <row r="476">
      <c r="A476" t="inlineStr">
        <is>
          <t>frequency</t>
        </is>
      </c>
      <c r="B476" t="n">
        <v>2</v>
      </c>
      <c r="C476" t="inlineStr">
        <is>
          <t>Sometimes (3-10 times in the past 30 days)</t>
        </is>
      </c>
      <c r="D476" t="inlineStr">
        <is>
          <t>A veces (3-10 veces en los últimos 30 días)</t>
        </is>
      </c>
      <c r="E476" s="4" t="n"/>
    </row>
    <row r="477">
      <c r="A477" t="inlineStr">
        <is>
          <t>frequency</t>
        </is>
      </c>
      <c r="B477" t="n">
        <v>3</v>
      </c>
      <c r="C477" t="inlineStr">
        <is>
          <t>Often (more than 10 times in the last 30 days)</t>
        </is>
      </c>
      <c r="D477" t="inlineStr">
        <is>
          <t>A menudo (más de 10 días en los últimos 30 días)</t>
        </is>
      </c>
      <c r="E477" s="4" t="n"/>
    </row>
    <row r="478">
      <c r="A478" t="inlineStr">
        <is>
          <t>frequency</t>
        </is>
      </c>
      <c r="B478" t="n">
        <v>4</v>
      </c>
      <c r="C478" t="inlineStr">
        <is>
          <t xml:space="preserve">DON'T KNOW </t>
        </is>
      </c>
      <c r="D478" t="inlineStr">
        <is>
          <t>NO SABE</t>
        </is>
      </c>
      <c r="E478" s="4" t="n"/>
    </row>
    <row r="479">
      <c r="A479" t="inlineStr">
        <is>
          <t>frequency</t>
        </is>
      </c>
      <c r="B479" s="260" t="n">
        <v>5</v>
      </c>
      <c r="C479" t="inlineStr">
        <is>
          <t>REFUSED</t>
        </is>
      </c>
      <c r="D479" t="inlineStr">
        <is>
          <t>NO RESPONDE</t>
        </is>
      </c>
      <c r="E479" s="4" t="n"/>
    </row>
    <row r="480">
      <c r="E480" s="4" t="n"/>
    </row>
    <row r="481">
      <c r="A481" t="inlineStr">
        <is>
          <t>coping</t>
        </is>
      </c>
      <c r="B481" t="n">
        <v>1</v>
      </c>
      <c r="C481" t="inlineStr">
        <is>
          <t>Yes</t>
        </is>
      </c>
      <c r="D481" t="inlineStr">
        <is>
          <t>Si</t>
        </is>
      </c>
      <c r="E481" s="4" t="n"/>
    </row>
    <row r="482">
      <c r="A482" t="inlineStr">
        <is>
          <t>coping</t>
        </is>
      </c>
      <c r="B482" t="n">
        <v>2</v>
      </c>
      <c r="C482" t="inlineStr">
        <is>
          <t>No - because it wasn’t necessary</t>
        </is>
      </c>
      <c r="D482" t="inlineStr">
        <is>
          <t>No - no fue necesario</t>
        </is>
      </c>
      <c r="E482" s="4" t="n"/>
    </row>
    <row r="483">
      <c r="A483" t="inlineStr">
        <is>
          <t>coping</t>
        </is>
      </c>
      <c r="B483" t="n">
        <v>3</v>
      </c>
      <c r="C483" t="inlineStr">
        <is>
          <t>No - because you already sold those assets or did this activity within the last 12 months and you cannot continue to do it</t>
        </is>
      </c>
      <c r="D483" t="inlineStr">
        <is>
          <t>No - porque ya vendió esos activos o realizó esta actividad en los últimos 12 meses y no puede continuar haciéndola</t>
        </is>
      </c>
      <c r="E483" s="4" t="n"/>
    </row>
    <row r="484">
      <c r="A484" t="inlineStr">
        <is>
          <t>coping</t>
        </is>
      </c>
      <c r="B484" t="n">
        <v>4</v>
      </c>
      <c r="C484" t="inlineStr">
        <is>
          <t>Not applicable</t>
        </is>
      </c>
      <c r="D484" t="inlineStr">
        <is>
          <t>No aplica</t>
        </is>
      </c>
      <c r="E484" s="4" t="n"/>
    </row>
    <row r="485">
      <c r="A485" t="inlineStr">
        <is>
          <t>coping</t>
        </is>
      </c>
      <c r="B485" s="260" t="n">
        <v>5</v>
      </c>
      <c r="C485" t="inlineStr">
        <is>
          <t>DON'T KNOW</t>
        </is>
      </c>
      <c r="D485" t="inlineStr">
        <is>
          <t>NO SABE</t>
        </is>
      </c>
      <c r="E485" s="4" t="n"/>
    </row>
    <row r="486">
      <c r="A486" t="inlineStr">
        <is>
          <t>coping</t>
        </is>
      </c>
      <c r="B486" s="260" t="n">
        <v>6</v>
      </c>
      <c r="C486" t="inlineStr">
        <is>
          <t>REFUSED</t>
        </is>
      </c>
      <c r="D486" t="inlineStr">
        <is>
          <t>NO RESPONDE</t>
        </is>
      </c>
      <c r="E486" s="4" t="n"/>
    </row>
    <row r="487">
      <c r="E487" s="4" t="n"/>
    </row>
    <row r="488">
      <c r="A488" t="inlineStr">
        <is>
          <t>hdds</t>
        </is>
      </c>
      <c r="B488" t="inlineStr">
        <is>
          <t>cereals</t>
        </is>
      </c>
      <c r="C488" t="inlineStr">
        <is>
          <t>Cereals [sorghum / millet / corn / wheat / rice / spaghetti / bread or insert any other locally available grain]</t>
        </is>
      </c>
      <c r="D488" t="inlineStr">
        <is>
          <t>Cereales [sorgo / mijo / maíz / trigo / arroz / espaguetis / pan o cualquier otro grano disponible localmente]</t>
        </is>
      </c>
      <c r="E488" s="4" t="n"/>
    </row>
    <row r="489">
      <c r="A489" t="inlineStr">
        <is>
          <t>hdds</t>
        </is>
      </c>
      <c r="B489" t="inlineStr">
        <is>
          <t>rootstubers</t>
        </is>
      </c>
      <c r="C489" t="inlineStr">
        <is>
          <t>Roots and tubers [white sweet potato / potato / yam / cassava or other tubers]</t>
        </is>
      </c>
      <c r="D489" t="inlineStr">
        <is>
          <t>Raíces y tubérculos [batata / papa / ñame / mandioca / yuca u otros tubérculos]</t>
        </is>
      </c>
      <c r="E489" s="4" t="n"/>
    </row>
    <row r="490">
      <c r="A490" t="inlineStr">
        <is>
          <t>hdds</t>
        </is>
      </c>
      <c r="B490" t="inlineStr">
        <is>
          <t>vegetables</t>
        </is>
      </c>
      <c r="C490" t="inlineStr">
        <is>
          <t>Vegetables [all]</t>
        </is>
      </c>
      <c r="D490" t="inlineStr">
        <is>
          <t>Verduras [todas]</t>
        </is>
      </c>
      <c r="E490" s="4" t="n"/>
    </row>
    <row r="491">
      <c r="A491" t="inlineStr">
        <is>
          <t>hdds</t>
        </is>
      </c>
      <c r="B491" t="inlineStr">
        <is>
          <t>fruits</t>
        </is>
      </c>
      <c r="C491" t="inlineStr">
        <is>
          <t>Fruit [all]</t>
        </is>
      </c>
      <c r="D491" t="inlineStr">
        <is>
          <t>Fruta [todas]</t>
        </is>
      </c>
      <c r="E491" s="4" t="n"/>
    </row>
    <row r="492">
      <c r="A492" t="inlineStr">
        <is>
          <t>hdds</t>
        </is>
      </c>
      <c r="B492" t="inlineStr">
        <is>
          <t>meat</t>
        </is>
      </c>
      <c r="C492" t="inlineStr">
        <is>
          <t>Meat, poultry and offal [beef / pork / lamb /goat / rabbit / wild game / chicken / duck or other birds / liver / kidney / heart / or other organ meats]</t>
        </is>
      </c>
      <c r="D492" t="inlineStr">
        <is>
          <t>Carnes, aves y visceras [res/cerdo / cordero / cabra / conejo / caza salvaje / pollo / pato / hígado / riñones / corazón / u otras vísceras]</t>
        </is>
      </c>
      <c r="E492" s="4" t="n"/>
    </row>
    <row r="493">
      <c r="A493" t="inlineStr">
        <is>
          <t>hdds</t>
        </is>
      </c>
      <c r="B493" t="inlineStr">
        <is>
          <t>eggs</t>
        </is>
      </c>
      <c r="C493" t="inlineStr">
        <is>
          <t>Eggs</t>
        </is>
      </c>
      <c r="D493" t="inlineStr">
        <is>
          <t>Huevos</t>
        </is>
      </c>
      <c r="E493" s="4" t="n"/>
    </row>
    <row r="494">
      <c r="A494" t="inlineStr">
        <is>
          <t>hdds</t>
        </is>
      </c>
      <c r="B494" t="inlineStr">
        <is>
          <t>fish</t>
        </is>
      </c>
      <c r="C494" t="inlineStr">
        <is>
          <t>Fish or shellfish [fresh or dried fish / other seafood]</t>
        </is>
      </c>
      <c r="D494" t="inlineStr">
        <is>
          <t>Pescado o marisco [pescado / marisco fresco o seco]</t>
        </is>
      </c>
      <c r="E494" s="4" t="n"/>
    </row>
    <row r="495">
      <c r="A495" t="inlineStr">
        <is>
          <t>hdds</t>
        </is>
      </c>
      <c r="B495" t="inlineStr">
        <is>
          <t>legumes</t>
        </is>
      </c>
      <c r="C495" t="inlineStr">
        <is>
          <t>Legumes, nuts and seeds [beans / peas / peanut / lentils / almond / and/or other nuts]</t>
        </is>
      </c>
      <c r="D495" t="inlineStr">
        <is>
          <t>Leguminosas, frutos secos y semillas [frijoles / guisantes / maní / lentejas / almendras / otros frutos secos]</t>
        </is>
      </c>
      <c r="E495" s="4" t="n"/>
    </row>
    <row r="496">
      <c r="A496" t="inlineStr">
        <is>
          <t>hdds</t>
        </is>
      </c>
      <c r="B496" t="inlineStr">
        <is>
          <t>milkdairy</t>
        </is>
      </c>
      <c r="C496" t="inlineStr">
        <is>
          <t>Milk and other dairy products [fresh milk / sour / yogurt / cheese / other dairy products]</t>
        </is>
      </c>
      <c r="D496" t="inlineStr">
        <is>
          <t>Leche y otros productos lácteos [leche fresca / agria / yogur / queso / otros productos lácteos]</t>
        </is>
      </c>
      <c r="E496" s="4" t="n"/>
    </row>
    <row r="497">
      <c r="A497" t="inlineStr">
        <is>
          <t>hdds</t>
        </is>
      </c>
      <c r="B497" t="inlineStr">
        <is>
          <t>oils</t>
        </is>
      </c>
      <c r="C497" t="inlineStr">
        <is>
          <t>Oil/fat / butter [cooking / butter / margarine / fat/oil / other oil]</t>
        </is>
      </c>
      <c r="D497" t="inlineStr">
        <is>
          <t>Aceites y grasas [para cocinar / mantequilla / margarina / grasa / aceite / otro aceite]</t>
        </is>
      </c>
      <c r="E497" s="4" t="n"/>
    </row>
    <row r="498">
      <c r="A498" t="inlineStr">
        <is>
          <t>hdds</t>
        </is>
      </c>
      <c r="B498" t="inlineStr">
        <is>
          <t>sugar</t>
        </is>
      </c>
      <c r="C498" t="inlineStr">
        <is>
          <t>Sugar or sugary products [honey / jam / donuts / candy / biscuits / pastries / cakes and other sweet products]</t>
        </is>
      </c>
      <c r="D498" t="inlineStr">
        <is>
          <t>Azúcar o productos azucarados [miel / mermelada / rosquillas / caramelos / chocolate / galletas / pasteles / tartas y otros productos dulces]</t>
        </is>
      </c>
      <c r="E498" s="4" t="n"/>
    </row>
    <row r="499">
      <c r="A499" t="inlineStr">
        <is>
          <t>hdds</t>
        </is>
      </c>
      <c r="B499" t="inlineStr">
        <is>
          <t>condiments</t>
        </is>
      </c>
      <c r="C499" t="inlineStr">
        <is>
          <t>Condiments [cocoa /salt / garlic / spices / yeast or baking powder / tomato or tomato sauce / meat or fish as a condiment] / coffee / tea</t>
        </is>
      </c>
      <c r="D499" t="inlineStr">
        <is>
          <t>Condimentos [cacao / sal / ajo / especias / levadura / polvo para hornear / tomate o salsa de tomate / carne o pescado como condimento] y café / té</t>
        </is>
      </c>
      <c r="E499" s="4" t="n"/>
    </row>
    <row r="500">
      <c r="E500" s="4" t="n"/>
    </row>
    <row r="501">
      <c r="A501" t="inlineStr">
        <is>
          <t>needs</t>
        </is>
      </c>
      <c r="B501" t="inlineStr">
        <is>
          <t>food</t>
        </is>
      </c>
      <c r="C501" t="inlineStr">
        <is>
          <t>Food</t>
        </is>
      </c>
      <c r="D501" t="inlineStr">
        <is>
          <t>Alimento</t>
        </is>
      </c>
      <c r="E501" s="4" t="n"/>
      <c r="F501" s="12" t="n"/>
    </row>
    <row r="502">
      <c r="A502" t="inlineStr">
        <is>
          <t>needs</t>
        </is>
      </c>
      <c r="B502" t="inlineStr">
        <is>
          <t>cash</t>
        </is>
      </c>
      <c r="C502" t="inlineStr">
        <is>
          <t>Cash</t>
        </is>
      </c>
      <c r="D502" t="inlineStr">
        <is>
          <t>Efectivo</t>
        </is>
      </c>
      <c r="E502" s="4" t="n"/>
      <c r="F502" s="12" t="n"/>
    </row>
    <row r="503">
      <c r="A503" t="inlineStr">
        <is>
          <t>needs</t>
        </is>
      </c>
      <c r="B503" t="inlineStr">
        <is>
          <t>vouchers_fair</t>
        </is>
      </c>
      <c r="C503" t="inlineStr">
        <is>
          <t>Vouchers or input trade fairs</t>
        </is>
      </c>
      <c r="D503" t="inlineStr">
        <is>
          <t>Bonos o ferias de insumos</t>
        </is>
      </c>
      <c r="E503" s="4" t="n"/>
      <c r="F503" s="12" t="n"/>
    </row>
    <row r="504">
      <c r="A504" t="inlineStr">
        <is>
          <t>needs</t>
        </is>
      </c>
      <c r="B504" t="inlineStr">
        <is>
          <t>crop_inputs</t>
        </is>
      </c>
      <c r="C504" t="inlineStr">
        <is>
          <t>Inputs for crop and/or vegetable production [e.g. seeds, fertilizer, tools]</t>
        </is>
      </c>
      <c r="D504" t="inlineStr">
        <is>
          <t>Insumos para la producción de cultivos y/o hortalizas [p. semillas, fertilizantes, herramientas]</t>
        </is>
      </c>
      <c r="E504" s="4" t="n"/>
      <c r="F504" s="12" t="n"/>
    </row>
    <row r="505">
      <c r="A505" t="inlineStr">
        <is>
          <t>needs</t>
        </is>
      </c>
      <c r="B505" t="inlineStr">
        <is>
          <t>crop_infrastructure</t>
        </is>
      </c>
      <c r="C505" t="inlineStr">
        <is>
          <t>Infrastructure for crop and/or vegetable production [e.g. irrigation, canal rehabilitation, pumps]</t>
        </is>
      </c>
      <c r="D505" t="inlineStr">
        <is>
          <t>Infraestructura para la producción de cultivos y/o hortalizas [p. riego, rehabilitación de canales, bombas]</t>
        </is>
      </c>
      <c r="E505" s="4" t="n"/>
      <c r="F505" s="12" t="n"/>
    </row>
    <row r="506">
      <c r="A506" t="inlineStr">
        <is>
          <t>needs</t>
        </is>
      </c>
      <c r="B506" t="inlineStr">
        <is>
          <t>crop_knowledge</t>
        </is>
      </c>
      <c r="C506" t="inlineStr">
        <is>
          <t>Training &amp; technical knowledge/advice for crop production</t>
        </is>
      </c>
      <c r="D506" t="inlineStr">
        <is>
          <t>Capacitación y fortalecimiento técnico/asesoramiento para la producción de cultivos</t>
        </is>
      </c>
      <c r="E506" s="4" t="n"/>
      <c r="F506" s="12" t="n"/>
    </row>
    <row r="507">
      <c r="A507" t="inlineStr">
        <is>
          <t>needs</t>
        </is>
      </c>
      <c r="B507" t="inlineStr">
        <is>
          <t>ls_feed</t>
        </is>
      </c>
      <c r="C507" t="inlineStr">
        <is>
          <t>Livestock feed [fodder or supplementary feed]</t>
        </is>
      </c>
      <c r="D507" t="inlineStr">
        <is>
          <t>Alimento para ganado [forraje o alimento complementario]</t>
        </is>
      </c>
      <c r="E507" s="4" t="n"/>
      <c r="F507" s="12" t="n"/>
    </row>
    <row r="508">
      <c r="A508" t="inlineStr">
        <is>
          <t>needs</t>
        </is>
      </c>
      <c r="B508" t="inlineStr">
        <is>
          <t>ls_vet_service</t>
        </is>
      </c>
      <c r="C508" t="inlineStr">
        <is>
          <t>Veterinary services [e.g. vaccination, dips, deworming]</t>
        </is>
      </c>
      <c r="D508" t="inlineStr">
        <is>
          <t>Servicios veterinarios [ej. vacunación, baños, desparasitación]</t>
        </is>
      </c>
      <c r="E508" s="4" t="n"/>
      <c r="F508" s="12" t="n"/>
    </row>
    <row r="509">
      <c r="A509" t="inlineStr">
        <is>
          <t>needs</t>
        </is>
      </c>
      <c r="B509" t="inlineStr">
        <is>
          <t>ls_infrastructure</t>
        </is>
      </c>
      <c r="C509" t="inlineStr">
        <is>
          <t>Infrastructure for livestock [e.g. water points, transhumance corridors, shelter, health points]</t>
        </is>
      </c>
      <c r="D509" t="inlineStr">
        <is>
          <t>Infraestructura para el ganado [ej. puntos de agua, caminos para el pastoreo, refugio, puntos veterinarios]</t>
        </is>
      </c>
      <c r="E509" s="4" t="n"/>
      <c r="F509" s="12" t="n"/>
    </row>
    <row r="510">
      <c r="A510" t="inlineStr">
        <is>
          <t>needs</t>
        </is>
      </c>
      <c r="B510" t="inlineStr">
        <is>
          <t>ls_knowledge</t>
        </is>
      </c>
      <c r="C510" t="inlineStr">
        <is>
          <t>Training &amp; technical knowledge/advice for livestock production</t>
        </is>
      </c>
      <c r="D510" t="inlineStr">
        <is>
          <t>Capacitación y fortalecimiento técnico/asesoramiento para la producción ganadera</t>
        </is>
      </c>
      <c r="E510" s="4" t="n"/>
      <c r="F510" s="12" t="n"/>
    </row>
    <row r="511">
      <c r="A511" t="inlineStr">
        <is>
          <t>needs</t>
        </is>
      </c>
      <c r="B511" t="inlineStr">
        <is>
          <t>fish_inputs</t>
        </is>
      </c>
      <c r="C511" t="inlineStr">
        <is>
          <t>Inputs for fishing or aquaculture production</t>
        </is>
      </c>
      <c r="D511" t="inlineStr">
        <is>
          <t>Insumos para la producción pesquera o acuícola</t>
        </is>
      </c>
      <c r="E511" s="4" t="n"/>
      <c r="F511" s="12" t="n"/>
    </row>
    <row r="512">
      <c r="A512" t="inlineStr">
        <is>
          <t>needs</t>
        </is>
      </c>
      <c r="B512" t="inlineStr">
        <is>
          <t>fish_infrastructure</t>
        </is>
      </c>
      <c r="C512" t="inlineStr">
        <is>
          <t>Infrastructure for fisheries or aquaculture production [e.g. rehabilitation of port; repair of ponds]</t>
        </is>
      </c>
      <c r="D512" t="inlineStr">
        <is>
          <t>Infraestructura para la producción pesquera o acuícola [rehabilitación del puerto; reparación de estanques]</t>
        </is>
      </c>
      <c r="E512" s="4" t="n"/>
      <c r="F512" s="12" t="n"/>
    </row>
    <row r="513">
      <c r="A513" t="inlineStr">
        <is>
          <t>needs</t>
        </is>
      </c>
      <c r="B513" t="inlineStr">
        <is>
          <t>fish_knowledge</t>
        </is>
      </c>
      <c r="C513" t="inlineStr">
        <is>
          <t>Training &amp; technical knowledge/advice for fisheries or aquaculture production</t>
        </is>
      </c>
      <c r="D513" t="inlineStr">
        <is>
          <t>Capacitación y fortalecimiento técnico/asesoramiento para la producción pesquera o acuícola</t>
        </is>
      </c>
      <c r="E513" s="4" t="n"/>
      <c r="F513" s="12" t="n"/>
    </row>
    <row r="514">
      <c r="A514" t="inlineStr">
        <is>
          <t>needs</t>
        </is>
      </c>
      <c r="B514" t="inlineStr">
        <is>
          <t>env_infra_rehab</t>
        </is>
      </c>
      <c r="C514" t="inlineStr">
        <is>
          <t>Environmental or infrastructure rehabilitation [community-wide]</t>
        </is>
      </c>
      <c r="D514" t="inlineStr">
        <is>
          <t>Rehabilitación ambiental o de infraestructura [en toda la comunidad]</t>
        </is>
      </c>
      <c r="E514" s="4" t="n"/>
      <c r="F514" s="12" t="n"/>
    </row>
    <row r="515">
      <c r="A515" t="inlineStr">
        <is>
          <t>needs</t>
        </is>
      </c>
      <c r="B515" t="inlineStr">
        <is>
          <t>cold_storage</t>
        </is>
      </c>
      <c r="C515" t="inlineStr">
        <is>
          <t>Cold storage</t>
        </is>
      </c>
      <c r="D515" t="inlineStr">
        <is>
          <t>Almacenamiento en frío</t>
        </is>
      </c>
      <c r="E515" s="4" t="n"/>
      <c r="F515" s="12" t="n"/>
    </row>
    <row r="516">
      <c r="A516" t="inlineStr">
        <is>
          <t>needs</t>
        </is>
      </c>
      <c r="B516" t="inlineStr">
        <is>
          <t>marketing_supp</t>
        </is>
      </c>
      <c r="C516" t="inlineStr">
        <is>
          <t>Marketing or sales support [e.g. public procurement]</t>
        </is>
      </c>
      <c r="D516" t="inlineStr">
        <is>
          <t>Soporte de mercadeo o ventas [ej. compras públicas locales]</t>
        </is>
      </c>
      <c r="E516" s="4" t="n"/>
      <c r="F516" s="12" t="n"/>
    </row>
    <row r="517">
      <c r="A517" t="inlineStr">
        <is>
          <t>needs</t>
        </is>
      </c>
      <c r="B517" t="inlineStr">
        <is>
          <t>other</t>
        </is>
      </c>
      <c r="C517" t="inlineStr">
        <is>
          <t>Other [specify]</t>
        </is>
      </c>
      <c r="D517" t="inlineStr">
        <is>
          <t>Otro [especificar]</t>
        </is>
      </c>
      <c r="E517" s="4" t="n"/>
    </row>
    <row r="518">
      <c r="A518" t="inlineStr">
        <is>
          <t>needs</t>
        </is>
      </c>
      <c r="B518" t="inlineStr">
        <is>
          <t>dk</t>
        </is>
      </c>
      <c r="C518" t="inlineStr">
        <is>
          <t>DON'T KNOW</t>
        </is>
      </c>
      <c r="D518" t="inlineStr">
        <is>
          <t>NO SABE</t>
        </is>
      </c>
      <c r="E518" s="4" t="n"/>
    </row>
    <row r="519">
      <c r="A519" t="inlineStr">
        <is>
          <t>needs</t>
        </is>
      </c>
      <c r="B519" t="inlineStr">
        <is>
          <t>ref</t>
        </is>
      </c>
      <c r="C519" t="inlineStr">
        <is>
          <t>REFUSED</t>
        </is>
      </c>
      <c r="D519" t="inlineStr">
        <is>
          <t>NO RESPONDE</t>
        </is>
      </c>
      <c r="E519" s="4" t="n"/>
    </row>
    <row r="520">
      <c r="E520" s="4" t="n"/>
    </row>
    <row r="521">
      <c r="A521" t="inlineStr">
        <is>
          <t>needreceived</t>
        </is>
      </c>
      <c r="B521" t="inlineStr">
        <is>
          <t>food</t>
        </is>
      </c>
      <c r="C521" t="inlineStr">
        <is>
          <t>Food</t>
        </is>
      </c>
      <c r="D521" t="inlineStr">
        <is>
          <t>Alimento</t>
        </is>
      </c>
      <c r="E521" s="4" t="n"/>
      <c r="F521" s="12" t="n"/>
    </row>
    <row r="522">
      <c r="A522" t="inlineStr">
        <is>
          <t>needreceived</t>
        </is>
      </c>
      <c r="B522" t="inlineStr">
        <is>
          <t>cash</t>
        </is>
      </c>
      <c r="C522" t="inlineStr">
        <is>
          <t xml:space="preserve">Cash </t>
        </is>
      </c>
      <c r="D522" t="inlineStr">
        <is>
          <t>Efectivo</t>
        </is>
      </c>
      <c r="E522" s="4" t="n"/>
      <c r="F522" s="12" t="n"/>
    </row>
    <row r="523">
      <c r="A523" t="inlineStr">
        <is>
          <t>needreceived</t>
        </is>
      </c>
      <c r="B523" t="inlineStr">
        <is>
          <t>vouchers_fair</t>
        </is>
      </c>
      <c r="C523" t="inlineStr">
        <is>
          <t>Vouchers/input trade fairs</t>
        </is>
      </c>
      <c r="D523" t="inlineStr">
        <is>
          <t>Bonos/ferias de insumos</t>
        </is>
      </c>
      <c r="E523" s="4" t="n"/>
      <c r="F523" s="12" t="n"/>
    </row>
    <row r="524">
      <c r="A524" t="inlineStr">
        <is>
          <t>needreceived</t>
        </is>
      </c>
      <c r="B524" t="inlineStr">
        <is>
          <t>crop_assist</t>
        </is>
      </c>
      <c r="C524" t="inlineStr">
        <is>
          <t>Crop and/or vegetable production assistance</t>
        </is>
      </c>
      <c r="D524" t="inlineStr">
        <is>
          <t>Asistencia para la producción de cultivos y/o hortalizas</t>
        </is>
      </c>
      <c r="E524" s="4" t="n"/>
      <c r="F524" s="12" t="n"/>
    </row>
    <row r="525">
      <c r="A525" t="inlineStr">
        <is>
          <t>needreceived</t>
        </is>
      </c>
      <c r="B525" t="inlineStr">
        <is>
          <t>ls_assist</t>
        </is>
      </c>
      <c r="C525" t="inlineStr">
        <is>
          <t>Livestock assistance</t>
        </is>
      </c>
      <c r="D525" t="inlineStr">
        <is>
          <t>Asistencia para la ganadería</t>
        </is>
      </c>
      <c r="E525" s="4" t="n"/>
      <c r="F525" s="12" t="n"/>
    </row>
    <row r="526">
      <c r="A526" t="inlineStr">
        <is>
          <t>needreceived</t>
        </is>
      </c>
      <c r="B526" t="inlineStr">
        <is>
          <t>fish_assist</t>
        </is>
      </c>
      <c r="C526" t="inlineStr">
        <is>
          <t>Fisheries and/or aquaculture assistance</t>
        </is>
      </c>
      <c r="D526" t="inlineStr">
        <is>
          <t>Asistencia para la pesca y/o acuicultura</t>
        </is>
      </c>
      <c r="E526" s="4" t="n"/>
      <c r="F526" s="12" t="n"/>
    </row>
    <row r="527">
      <c r="A527" t="inlineStr">
        <is>
          <t>needreceived</t>
        </is>
      </c>
      <c r="B527" t="inlineStr">
        <is>
          <t>rehabilitation</t>
        </is>
      </c>
      <c r="C527" t="inlineStr">
        <is>
          <t>Environmental or infrastructure rehabilitation [community-wide]</t>
        </is>
      </c>
      <c r="D527" t="inlineStr">
        <is>
          <t>Rehabilitación ambiental o de infraestructura [en toda la comunidad]</t>
        </is>
      </c>
      <c r="E527" s="4" t="n"/>
      <c r="F527" s="12" t="n"/>
    </row>
    <row r="528">
      <c r="A528" t="inlineStr">
        <is>
          <t>needreceived</t>
        </is>
      </c>
      <c r="B528" t="inlineStr">
        <is>
          <t>sales_support</t>
        </is>
      </c>
      <c r="C528" t="inlineStr">
        <is>
          <t>Marketing or sales support [e.g. public procurement]</t>
        </is>
      </c>
      <c r="D528" t="inlineStr">
        <is>
          <t>Soporte en comercialización o ventas [ej. compras públicas]</t>
        </is>
      </c>
      <c r="E528" s="4" t="n"/>
      <c r="F528" s="12" t="n"/>
    </row>
    <row r="529">
      <c r="A529" t="inlineStr">
        <is>
          <t>needreceived</t>
        </is>
      </c>
      <c r="B529" t="inlineStr">
        <is>
          <t>other</t>
        </is>
      </c>
      <c r="C529" t="inlineStr">
        <is>
          <t>Other [specify]</t>
        </is>
      </c>
      <c r="D529" t="inlineStr">
        <is>
          <t>Otro [especificar]</t>
        </is>
      </c>
      <c r="E529" s="4" t="n"/>
      <c r="F529" s="12" t="n"/>
    </row>
    <row r="530">
      <c r="A530" t="inlineStr">
        <is>
          <t>needreceived</t>
        </is>
      </c>
      <c r="B530" t="inlineStr">
        <is>
          <t>none</t>
        </is>
      </c>
      <c r="C530" t="inlineStr">
        <is>
          <t>No assistance received</t>
        </is>
      </c>
      <c r="D530" t="inlineStr">
        <is>
          <t>No se recibió asistencia</t>
        </is>
      </c>
      <c r="E530" s="4" t="n"/>
      <c r="F530" s="12" t="n"/>
    </row>
    <row r="531">
      <c r="A531" t="inlineStr">
        <is>
          <t>needreceived</t>
        </is>
      </c>
      <c r="B531" t="inlineStr">
        <is>
          <t>dk</t>
        </is>
      </c>
      <c r="C531" t="inlineStr">
        <is>
          <t xml:space="preserve">DON'T KNOW </t>
        </is>
      </c>
      <c r="D531" t="inlineStr">
        <is>
          <t>NO SABE</t>
        </is>
      </c>
      <c r="E531" s="4" t="n"/>
    </row>
    <row r="532">
      <c r="A532" t="inlineStr">
        <is>
          <t>needreceived</t>
        </is>
      </c>
      <c r="B532" t="inlineStr">
        <is>
          <t>ref</t>
        </is>
      </c>
      <c r="C532" t="inlineStr">
        <is>
          <t>REFUSED</t>
        </is>
      </c>
      <c r="D532" t="inlineStr">
        <is>
          <t>NO RESPONDE</t>
        </is>
      </c>
      <c r="E532" s="4" t="n"/>
    </row>
    <row r="533">
      <c r="E533" s="4" t="n"/>
    </row>
    <row r="534">
      <c r="A534" t="inlineStr">
        <is>
          <t>assist_quality</t>
        </is>
      </c>
      <c r="B534" t="n">
        <v>1</v>
      </c>
      <c r="C534" t="inlineStr">
        <is>
          <t>Yes</t>
        </is>
      </c>
      <c r="D534" t="inlineStr">
        <is>
          <t>Sí</t>
        </is>
      </c>
      <c r="E534" s="4" t="n"/>
      <c r="F534" s="12" t="n"/>
    </row>
    <row r="535">
      <c r="A535" t="inlineStr">
        <is>
          <t>assist_quality</t>
        </is>
      </c>
      <c r="B535" t="n">
        <v>2</v>
      </c>
      <c r="C535" t="inlineStr">
        <is>
          <t>No - not received on time</t>
        </is>
      </c>
      <c r="D535" t="inlineStr">
        <is>
          <t>No - no la recibió a tiempo</t>
        </is>
      </c>
      <c r="E535" s="4" t="n"/>
      <c r="F535" s="12" t="n"/>
    </row>
    <row r="536">
      <c r="A536" t="inlineStr">
        <is>
          <t>assist_quality</t>
        </is>
      </c>
      <c r="B536" t="n">
        <v>3</v>
      </c>
      <c r="C536" t="inlineStr">
        <is>
          <t>No - did not meet my needs</t>
        </is>
      </c>
      <c r="D536" t="inlineStr">
        <is>
          <t>No, no satisfizo mis necesidades</t>
        </is>
      </c>
      <c r="E536" s="4" t="n"/>
      <c r="F536" s="12" t="n"/>
    </row>
    <row r="537">
      <c r="A537" t="inlineStr">
        <is>
          <t>assist_quality</t>
        </is>
      </c>
      <c r="B537" t="n">
        <v>4</v>
      </c>
      <c r="C537" t="inlineStr">
        <is>
          <t>No - quantity was not sufficient</t>
        </is>
      </c>
      <c r="D537" t="inlineStr">
        <is>
          <t>No - la cantidad no fue suficiente</t>
        </is>
      </c>
      <c r="E537" s="4" t="n"/>
      <c r="F537" s="12" t="n"/>
    </row>
    <row r="538">
      <c r="A538" t="inlineStr">
        <is>
          <t>assist_quality</t>
        </is>
      </c>
      <c r="B538" t="n">
        <v>5</v>
      </c>
      <c r="C538" t="inlineStr">
        <is>
          <t>No - there was a problem with the provider</t>
        </is>
      </c>
      <c r="D538" t="inlineStr">
        <is>
          <t>No, hubo un problema con el proveedor</t>
        </is>
      </c>
      <c r="E538" s="4" t="n"/>
      <c r="F538" s="12" t="n"/>
    </row>
    <row r="539">
      <c r="A539" t="inlineStr">
        <is>
          <t>assist_quality</t>
        </is>
      </c>
      <c r="B539" t="n">
        <v>6</v>
      </c>
      <c r="C539" t="inlineStr">
        <is>
          <t>No - there was a malfunction of the in-kind assistance provided [e.g. poor quality tools]</t>
        </is>
      </c>
      <c r="D539" t="inlineStr">
        <is>
          <t>No, hubo un mal funcionamiento de la asistencia en especie proporcionada [ej. herramientas de mala calidad]</t>
        </is>
      </c>
      <c r="E539" s="4" t="n"/>
      <c r="F539" s="12" t="n"/>
    </row>
    <row r="540">
      <c r="A540" t="inlineStr">
        <is>
          <t>assist_quality</t>
        </is>
      </c>
      <c r="B540" t="n">
        <v>7</v>
      </c>
      <c r="C540" t="inlineStr">
        <is>
          <t>DON'T KNOW</t>
        </is>
      </c>
      <c r="D540" t="inlineStr">
        <is>
          <t>NO SABE</t>
        </is>
      </c>
      <c r="E540" s="4" t="n"/>
      <c r="F540" s="12" t="n"/>
    </row>
    <row r="541">
      <c r="A541" t="inlineStr">
        <is>
          <t>assist_quality</t>
        </is>
      </c>
      <c r="B541" t="n">
        <v>8</v>
      </c>
      <c r="C541" t="inlineStr">
        <is>
          <t>REFUSED</t>
        </is>
      </c>
      <c r="D541" t="inlineStr">
        <is>
          <t>NO RESPONDE</t>
        </is>
      </c>
      <c r="E541" s="4" t="n"/>
      <c r="F541" s="12" t="n"/>
    </row>
    <row r="542">
      <c r="E542" s="4" t="n"/>
      <c r="F542" s="12" t="n"/>
    </row>
    <row r="543">
      <c r="A543" t="inlineStr">
        <is>
          <t>provider</t>
        </is>
      </c>
      <c r="B543" t="inlineStr">
        <is>
          <t>fao</t>
        </is>
      </c>
      <c r="C543" t="inlineStr">
        <is>
          <t>FAO</t>
        </is>
      </c>
      <c r="D543" t="inlineStr">
        <is>
          <t>FAO</t>
        </is>
      </c>
      <c r="E543" s="4" t="n"/>
      <c r="F543" s="12" t="n"/>
    </row>
    <row r="544">
      <c r="A544" t="inlineStr">
        <is>
          <t>provider</t>
        </is>
      </c>
      <c r="B544" t="inlineStr">
        <is>
          <t>wfp</t>
        </is>
      </c>
      <c r="C544" t="inlineStr">
        <is>
          <t>WFP</t>
        </is>
      </c>
      <c r="D544" t="inlineStr">
        <is>
          <t>PMA</t>
        </is>
      </c>
      <c r="E544" s="4" t="n"/>
      <c r="F544" s="12" t="n"/>
    </row>
    <row r="545">
      <c r="A545" t="inlineStr">
        <is>
          <t>provider</t>
        </is>
      </c>
      <c r="B545" t="inlineStr">
        <is>
          <t>otherun</t>
        </is>
      </c>
      <c r="C545" t="inlineStr">
        <is>
          <t>Other UN agencies</t>
        </is>
      </c>
      <c r="D545" t="inlineStr">
        <is>
          <t>Otras agencias de la ONU</t>
        </is>
      </c>
      <c r="E545" s="4" t="n"/>
      <c r="F545" s="12" t="n"/>
    </row>
    <row r="546">
      <c r="A546" t="inlineStr">
        <is>
          <t>provider</t>
        </is>
      </c>
      <c r="B546" t="inlineStr">
        <is>
          <t>gov</t>
        </is>
      </c>
      <c r="C546" t="inlineStr">
        <is>
          <t>Government</t>
        </is>
      </c>
      <c r="D546" t="inlineStr">
        <is>
          <t>Gobierno</t>
        </is>
      </c>
      <c r="E546" s="4" t="n"/>
      <c r="F546" s="12" t="n"/>
    </row>
    <row r="547">
      <c r="A547" t="inlineStr">
        <is>
          <t>provider</t>
        </is>
      </c>
      <c r="B547" t="inlineStr">
        <is>
          <t>ngo</t>
        </is>
      </c>
      <c r="C547" t="inlineStr">
        <is>
          <t>Non-governmental/local organization</t>
        </is>
      </c>
      <c r="D547" t="inlineStr">
        <is>
          <t>Organización no gubernamental/local</t>
        </is>
      </c>
      <c r="E547" s="4" t="n"/>
      <c r="F547" s="12" t="n"/>
    </row>
    <row r="548">
      <c r="A548" t="inlineStr">
        <is>
          <t>provider</t>
        </is>
      </c>
      <c r="B548" t="inlineStr">
        <is>
          <t>dk</t>
        </is>
      </c>
      <c r="C548" t="inlineStr">
        <is>
          <t>DON'T KNOW</t>
        </is>
      </c>
      <c r="D548" t="inlineStr">
        <is>
          <t>NO SABE</t>
        </is>
      </c>
      <c r="E548" s="4" t="n"/>
      <c r="F548" s="12" t="n"/>
    </row>
    <row r="549">
      <c r="A549" t="inlineStr">
        <is>
          <t>provider</t>
        </is>
      </c>
      <c r="B549" t="inlineStr">
        <is>
          <t>ref</t>
        </is>
      </c>
      <c r="C549" t="inlineStr">
        <is>
          <t>REFUSED</t>
        </is>
      </c>
      <c r="D549" t="inlineStr">
        <is>
          <t>NO RESPONDE</t>
        </is>
      </c>
      <c r="E549" s="4" t="n"/>
    </row>
    <row r="550">
      <c r="E550" s="4" t="n"/>
    </row>
    <row r="551">
      <c r="A551" t="inlineStr">
        <is>
          <t>week</t>
        </is>
      </c>
      <c r="B551" t="inlineStr">
        <is>
          <t>mon</t>
        </is>
      </c>
      <c r="C551" t="inlineStr">
        <is>
          <t>Monday</t>
        </is>
      </c>
      <c r="D551" t="inlineStr">
        <is>
          <t>Lunes</t>
        </is>
      </c>
      <c r="E551" s="4" t="n"/>
    </row>
    <row r="552">
      <c r="A552" t="inlineStr">
        <is>
          <t>week</t>
        </is>
      </c>
      <c r="B552" t="inlineStr">
        <is>
          <t>tues</t>
        </is>
      </c>
      <c r="C552" t="inlineStr">
        <is>
          <t>Tuesday</t>
        </is>
      </c>
      <c r="D552" t="inlineStr">
        <is>
          <t>Martes</t>
        </is>
      </c>
      <c r="E552" s="4" t="n"/>
    </row>
    <row r="553">
      <c r="A553" t="inlineStr">
        <is>
          <t>week</t>
        </is>
      </c>
      <c r="B553" t="inlineStr">
        <is>
          <t>wed</t>
        </is>
      </c>
      <c r="C553" t="inlineStr">
        <is>
          <t>Wednesday</t>
        </is>
      </c>
      <c r="D553" t="inlineStr">
        <is>
          <t>Miércoles</t>
        </is>
      </c>
      <c r="E553" s="4" t="n"/>
    </row>
    <row r="554">
      <c r="A554" t="inlineStr">
        <is>
          <t>week</t>
        </is>
      </c>
      <c r="B554" t="inlineStr">
        <is>
          <t>thurs</t>
        </is>
      </c>
      <c r="C554" t="inlineStr">
        <is>
          <t>Thursday</t>
        </is>
      </c>
      <c r="D554" t="inlineStr">
        <is>
          <t>Jueves</t>
        </is>
      </c>
      <c r="E554" s="4" t="n"/>
    </row>
    <row r="555">
      <c r="A555" t="inlineStr">
        <is>
          <t>week</t>
        </is>
      </c>
      <c r="B555" t="inlineStr">
        <is>
          <t>fri</t>
        </is>
      </c>
      <c r="C555" t="inlineStr">
        <is>
          <t>Friday</t>
        </is>
      </c>
      <c r="D555" t="inlineStr">
        <is>
          <t>Viernes</t>
        </is>
      </c>
      <c r="E555" s="4" t="n"/>
    </row>
    <row r="556">
      <c r="A556" t="inlineStr">
        <is>
          <t>week</t>
        </is>
      </c>
      <c r="B556" t="inlineStr">
        <is>
          <t>sat</t>
        </is>
      </c>
      <c r="C556" t="inlineStr">
        <is>
          <t>Saturday</t>
        </is>
      </c>
      <c r="D556" t="inlineStr">
        <is>
          <t>Sábado</t>
        </is>
      </c>
      <c r="E556" s="4" t="n"/>
    </row>
    <row r="557">
      <c r="A557" t="inlineStr">
        <is>
          <t>week</t>
        </is>
      </c>
      <c r="B557" t="inlineStr">
        <is>
          <t>sun</t>
        </is>
      </c>
      <c r="C557" t="inlineStr">
        <is>
          <t>Sunday</t>
        </is>
      </c>
      <c r="D557" t="inlineStr">
        <is>
          <t>Domingo</t>
        </is>
      </c>
      <c r="E557" s="4" t="n"/>
    </row>
    <row r="558">
      <c r="E558" s="4" t="n"/>
    </row>
    <row r="559">
      <c r="A559" t="inlineStr">
        <is>
          <t>time</t>
        </is>
      </c>
      <c r="B559" t="inlineStr">
        <is>
          <t>morn</t>
        </is>
      </c>
      <c r="C559" t="inlineStr">
        <is>
          <t>Mornings</t>
        </is>
      </c>
      <c r="D559" t="inlineStr">
        <is>
          <t>Mañana</t>
        </is>
      </c>
      <c r="E559" s="4" t="n"/>
    </row>
    <row r="560">
      <c r="A560" t="inlineStr">
        <is>
          <t>time</t>
        </is>
      </c>
      <c r="B560" t="inlineStr">
        <is>
          <t>aft</t>
        </is>
      </c>
      <c r="C560" t="inlineStr">
        <is>
          <t>Afternoons</t>
        </is>
      </c>
      <c r="D560" t="inlineStr">
        <is>
          <t>Tarde</t>
        </is>
      </c>
      <c r="E560" s="4" t="n"/>
    </row>
    <row r="561">
      <c r="A561" t="inlineStr">
        <is>
          <t>time</t>
        </is>
      </c>
      <c r="B561" t="inlineStr">
        <is>
          <t>eve</t>
        </is>
      </c>
      <c r="C561" t="inlineStr">
        <is>
          <t>Evenings</t>
        </is>
      </c>
      <c r="D561" t="inlineStr">
        <is>
          <t>Noche</t>
        </is>
      </c>
      <c r="E561" s="4" t="n"/>
    </row>
    <row r="562">
      <c r="E562" s="4" t="n"/>
    </row>
    <row r="563">
      <c r="A563" s="3" t="inlineStr">
        <is>
          <t>ea</t>
        </is>
      </c>
      <c r="B563" s="4" t="inlineStr">
        <is>
          <t>EAA1</t>
        </is>
      </c>
      <c r="C563" s="4" t="inlineStr">
        <is>
          <t>Enumeration area 1 in District A</t>
        </is>
      </c>
      <c r="D563" s="4" t="inlineStr">
        <is>
          <t>Área de enumeración 1 en el Distrito A</t>
        </is>
      </c>
      <c r="E563" s="4" t="n"/>
      <c r="F563" s="4" t="n"/>
    </row>
    <row r="564">
      <c r="A564" s="3" t="inlineStr">
        <is>
          <t>ea</t>
        </is>
      </c>
      <c r="B564" s="4" t="inlineStr">
        <is>
          <t>EAA2</t>
        </is>
      </c>
      <c r="C564" s="4" t="inlineStr">
        <is>
          <t>Enumeration area 2 in District A</t>
        </is>
      </c>
      <c r="D564" s="4" t="inlineStr">
        <is>
          <t>Área de enumeración 2 en el Distrito A</t>
        </is>
      </c>
      <c r="E564" s="4" t="n"/>
      <c r="F564" s="4" t="n"/>
    </row>
    <row r="565">
      <c r="A565" s="3" t="inlineStr">
        <is>
          <t>ea</t>
        </is>
      </c>
      <c r="B565" s="4" t="inlineStr">
        <is>
          <t>EAB1</t>
        </is>
      </c>
      <c r="C565" s="4" t="inlineStr">
        <is>
          <t>Enumeration area 1 in District B</t>
        </is>
      </c>
      <c r="D565" s="4" t="inlineStr">
        <is>
          <t>Área de enumeración 1 en el Distrito B</t>
        </is>
      </c>
      <c r="E565" s="4" t="n"/>
      <c r="F565" s="4" t="n"/>
    </row>
    <row r="566">
      <c r="A566" s="3" t="inlineStr">
        <is>
          <t>ea</t>
        </is>
      </c>
      <c r="B566" s="4" t="inlineStr">
        <is>
          <t>EAB2</t>
        </is>
      </c>
      <c r="C566" s="4" t="inlineStr">
        <is>
          <t>Enumeration area 2 in District B</t>
        </is>
      </c>
      <c r="D566" s="4" t="inlineStr">
        <is>
          <t>Área de enumeración 2 en el Distrito B</t>
        </is>
      </c>
      <c r="E566" s="4" t="n"/>
      <c r="F566" s="4" t="n"/>
    </row>
    <row r="567">
      <c r="A567" s="3" t="inlineStr">
        <is>
          <t>ea</t>
        </is>
      </c>
      <c r="B567" s="4" t="inlineStr">
        <is>
          <t>EAC1</t>
        </is>
      </c>
      <c r="C567" s="4" t="inlineStr">
        <is>
          <t>Enumeration area 1 in District C</t>
        </is>
      </c>
      <c r="D567" s="4" t="inlineStr">
        <is>
          <t>Área de enumeración 1 en el Distrito C</t>
        </is>
      </c>
      <c r="E567" s="4" t="n"/>
      <c r="F567" s="4" t="n"/>
    </row>
    <row r="568">
      <c r="D568" s="10" t="n"/>
    </row>
    <row r="569">
      <c r="A569" s="3" t="inlineStr">
        <is>
          <t>followup_climate</t>
        </is>
      </c>
      <c r="B569" s="323" t="n">
        <v>1</v>
      </c>
      <c r="C569" s="3" t="inlineStr">
        <is>
          <t>More frequent</t>
        </is>
      </c>
      <c r="D569" s="3" t="inlineStr">
        <is>
          <t>Más frecuentes</t>
        </is>
      </c>
    </row>
    <row r="570">
      <c r="A570" s="3" t="inlineStr">
        <is>
          <t>followup_climate</t>
        </is>
      </c>
      <c r="B570" s="324" t="n">
        <v>2</v>
      </c>
      <c r="C570" s="3" t="inlineStr">
        <is>
          <t>More intense</t>
        </is>
      </c>
      <c r="D570" s="3" t="inlineStr">
        <is>
          <t>Más intensos</t>
        </is>
      </c>
      <c r="E570" s="7" t="n"/>
      <c r="F570" s="10" t="n"/>
    </row>
    <row r="571">
      <c r="A571" s="3" t="inlineStr">
        <is>
          <t>followup_climate</t>
        </is>
      </c>
      <c r="B571" s="323" t="n">
        <v>3</v>
      </c>
      <c r="C571" s="3" t="inlineStr">
        <is>
          <t>Both</t>
        </is>
      </c>
      <c r="D571" s="3" t="inlineStr">
        <is>
          <t>Ambos</t>
        </is>
      </c>
    </row>
    <row r="572">
      <c r="A572" s="3" t="inlineStr">
        <is>
          <t>followup_climate</t>
        </is>
      </c>
      <c r="B572" s="323" t="n">
        <v>4</v>
      </c>
      <c r="C572" s="3" t="inlineStr">
        <is>
          <t>No</t>
        </is>
      </c>
      <c r="D572" s="3" t="inlineStr">
        <is>
          <t>No</t>
        </is>
      </c>
    </row>
    <row r="573">
      <c r="A573" s="3" t="inlineStr">
        <is>
          <t>followup_climate</t>
        </is>
      </c>
      <c r="B573" s="323" t="n">
        <v>5</v>
      </c>
      <c r="C573" s="3" t="inlineStr">
        <is>
          <t>DON'T KNOW</t>
        </is>
      </c>
      <c r="D573" s="3" t="inlineStr">
        <is>
          <t>No sabe</t>
        </is>
      </c>
    </row>
    <row r="574">
      <c r="A574" s="3" t="inlineStr">
        <is>
          <t>followup_climate</t>
        </is>
      </c>
      <c r="B574" s="323" t="n">
        <v>6</v>
      </c>
      <c r="C574" s="3" t="inlineStr">
        <is>
          <t>REFUSED</t>
        </is>
      </c>
      <c r="D574" s="3" t="inlineStr">
        <is>
          <t>No responde</t>
        </is>
      </c>
    </row>
    <row r="576">
      <c r="A576" s="3" t="inlineStr">
        <is>
          <t>o_crp_season</t>
        </is>
      </c>
      <c r="B576" s="323" t="n">
        <v>1</v>
      </c>
      <c r="C576" s="3" t="inlineStr">
        <is>
          <t>Primera</t>
        </is>
      </c>
      <c r="D576" s="3" t="inlineStr">
        <is>
          <t>Primera</t>
        </is>
      </c>
    </row>
    <row r="577">
      <c r="A577" s="3" t="inlineStr">
        <is>
          <t>o_crp_season</t>
        </is>
      </c>
      <c r="B577" s="323" t="n">
        <v>2</v>
      </c>
      <c r="C577" s="3" t="inlineStr">
        <is>
          <t>Postrera</t>
        </is>
      </c>
      <c r="D577" s="3" t="inlineStr">
        <is>
          <t>Postrera</t>
        </is>
      </c>
    </row>
    <row r="578">
      <c r="A578" s="3" t="inlineStr">
        <is>
          <t>o_crp_season</t>
        </is>
      </c>
      <c r="B578" s="323" t="n">
        <v>3</v>
      </c>
      <c r="C578" s="3" t="inlineStr">
        <is>
          <t>Apante</t>
        </is>
      </c>
      <c r="D578" s="3" t="inlineStr">
        <is>
          <t>Apante</t>
        </is>
      </c>
    </row>
    <row r="579">
      <c r="A579" s="3" t="inlineStr">
        <is>
          <t>o_crp_season</t>
        </is>
      </c>
      <c r="B579" s="323" t="n">
        <v>4</v>
      </c>
      <c r="C579" s="3" t="inlineStr">
        <is>
          <t>Producción principal perene, hortalizas, frutales u otra producción fuera de las temporadas agrícolaes principales</t>
        </is>
      </c>
      <c r="D579" s="3" t="inlineStr">
        <is>
          <t>Producción principal perene, hortalizas, frutales u otra producción fuera de las temporadas agrícolaes principales</t>
        </is>
      </c>
    </row>
    <row r="580">
      <c r="B580" s="323" t="n"/>
    </row>
    <row r="581">
      <c r="A581" s="3" t="inlineStr">
        <is>
          <t>o_crp_season_harvested</t>
        </is>
      </c>
      <c r="B581" s="323" t="n">
        <v>1</v>
      </c>
      <c r="C581" s="3" t="inlineStr">
        <is>
          <t>Yes, harvest finished</t>
        </is>
      </c>
      <c r="D581" s="3" t="inlineStr">
        <is>
          <t>Si, terminó la cosecha</t>
        </is>
      </c>
    </row>
    <row r="582">
      <c r="A582" s="3" t="inlineStr">
        <is>
          <t>o_crp_season_harvested</t>
        </is>
      </c>
      <c r="B582" s="323" t="n">
        <v>2</v>
      </c>
      <c r="C582" s="3" t="inlineStr">
        <is>
          <t>Yes, ongoing harvest but doesn't finished</t>
        </is>
      </c>
      <c r="D582" s="3" t="inlineStr">
        <is>
          <t>Si, empezó la cosecha pero aún no termina</t>
        </is>
      </c>
    </row>
    <row r="583">
      <c r="A583" s="3" t="inlineStr">
        <is>
          <t>o_crp_season_harvested</t>
        </is>
      </c>
      <c r="B583" s="323" t="n">
        <v>3</v>
      </c>
      <c r="C583" s="3" t="inlineStr">
        <is>
          <t>The harvest hasn't started yet</t>
        </is>
      </c>
      <c r="D583" s="3" t="inlineStr">
        <is>
          <t>Aún no empieza la cosecha</t>
        </is>
      </c>
    </row>
    <row r="584">
      <c r="A584" s="3" t="inlineStr">
        <is>
          <t>o_crp_season_harvested</t>
        </is>
      </c>
      <c r="B584" s="323" t="n">
        <v>4</v>
      </c>
      <c r="C584" s="3" t="inlineStr">
        <is>
          <t>DON'T KNOW</t>
        </is>
      </c>
      <c r="D584" s="3" t="inlineStr">
        <is>
          <t>No sabe</t>
        </is>
      </c>
    </row>
    <row r="585">
      <c r="A585" s="3" t="inlineStr">
        <is>
          <t>o_crp_season_harvested</t>
        </is>
      </c>
      <c r="B585" s="323" t="n">
        <v>5</v>
      </c>
      <c r="C585" s="3" t="inlineStr">
        <is>
          <t>REFUSED</t>
        </is>
      </c>
      <c r="D585" s="3" t="inlineStr">
        <is>
          <t>No responde</t>
        </is>
      </c>
    </row>
    <row r="587">
      <c r="A587" s="3" t="inlineStr">
        <is>
          <t>o_crp_proddif_followup</t>
        </is>
      </c>
      <c r="B587" s="323" t="n">
        <v>1</v>
      </c>
      <c r="C587" s="3" t="inlineStr">
        <is>
          <t>More frequent</t>
        </is>
      </c>
      <c r="D587" s="3" t="inlineStr">
        <is>
          <t>Más frecuentes</t>
        </is>
      </c>
    </row>
    <row r="588">
      <c r="A588" s="3" t="inlineStr">
        <is>
          <t>o_crp_proddif_followup</t>
        </is>
      </c>
      <c r="B588" s="324" t="n">
        <v>2</v>
      </c>
      <c r="C588" s="3" t="inlineStr">
        <is>
          <t>More intense</t>
        </is>
      </c>
      <c r="D588" s="3" t="inlineStr">
        <is>
          <t>Más intensos</t>
        </is>
      </c>
    </row>
    <row r="589">
      <c r="A589" s="3" t="inlineStr">
        <is>
          <t>o_crp_proddif_followup</t>
        </is>
      </c>
      <c r="B589" s="323" t="n">
        <v>3</v>
      </c>
      <c r="C589" s="3" t="inlineStr">
        <is>
          <t>Both</t>
        </is>
      </c>
      <c r="D589" s="3" t="inlineStr">
        <is>
          <t>Ambos</t>
        </is>
      </c>
    </row>
    <row r="590">
      <c r="A590" s="3" t="inlineStr">
        <is>
          <t>o_crp_proddif_followup</t>
        </is>
      </c>
      <c r="B590" s="323" t="n">
        <v>4</v>
      </c>
      <c r="C590" s="3" t="inlineStr">
        <is>
          <t>No</t>
        </is>
      </c>
      <c r="D590" s="3" t="inlineStr">
        <is>
          <t>No</t>
        </is>
      </c>
    </row>
    <row r="591">
      <c r="A591" s="3" t="inlineStr">
        <is>
          <t>o_crp_proddif_followup</t>
        </is>
      </c>
      <c r="B591" s="323" t="n">
        <v>5</v>
      </c>
      <c r="C591" s="3" t="inlineStr">
        <is>
          <t>DON'T KNOW</t>
        </is>
      </c>
      <c r="D591" s="3" t="inlineStr">
        <is>
          <t>No sabe</t>
        </is>
      </c>
    </row>
    <row r="592">
      <c r="A592" s="3" t="inlineStr">
        <is>
          <t>o_crp_proddif_followup</t>
        </is>
      </c>
      <c r="B592" s="323" t="n">
        <v>6</v>
      </c>
      <c r="C592" s="3" t="inlineStr">
        <is>
          <t>REFUSED</t>
        </is>
      </c>
      <c r="D592" s="3" t="inlineStr">
        <is>
          <t>No responde</t>
        </is>
      </c>
    </row>
    <row r="594">
      <c r="A594" s="3" t="inlineStr">
        <is>
          <t>o_crp_proddif_impact</t>
        </is>
      </c>
      <c r="B594" s="3" t="n">
        <v>1</v>
      </c>
      <c r="D594" s="3" t="inlineStr">
        <is>
          <t>Cosecha similar o mayor a un año normal</t>
        </is>
      </c>
    </row>
    <row r="595">
      <c r="A595" s="3" t="inlineStr">
        <is>
          <t>o_crp_proddif_impact</t>
        </is>
      </c>
      <c r="B595" s="3" t="n">
        <v>2</v>
      </c>
      <c r="D595" s="3" t="inlineStr">
        <is>
          <t>Un poco (&lt;25%)</t>
        </is>
      </c>
    </row>
    <row r="596">
      <c r="A596" s="3" t="inlineStr">
        <is>
          <t>o_crp_proddif_impact</t>
        </is>
      </c>
      <c r="B596" s="3" t="n">
        <v>3</v>
      </c>
      <c r="D596" s="3" t="inlineStr">
        <is>
          <t>Una cantidad considerable, pero menos de la mitad</t>
        </is>
      </c>
    </row>
    <row r="597">
      <c r="A597" s="3" t="inlineStr">
        <is>
          <t>o_crp_proddif_impact</t>
        </is>
      </c>
      <c r="B597" s="3" t="n">
        <v>4</v>
      </c>
      <c r="D597" s="3" t="inlineStr">
        <is>
          <t>La mitad (50%)</t>
        </is>
      </c>
    </row>
    <row r="598">
      <c r="A598" s="3" t="inlineStr">
        <is>
          <t>o_crp_proddif_impact</t>
        </is>
      </c>
      <c r="B598" s="3" t="n">
        <v>5</v>
      </c>
      <c r="D598" s="3" t="inlineStr">
        <is>
          <t>Un poco más de la mitad (&gt;50-75%)</t>
        </is>
      </c>
    </row>
    <row r="599">
      <c r="A599" s="3" t="inlineStr">
        <is>
          <t>o_crp_proddif_impact</t>
        </is>
      </c>
      <c r="B599" s="3" t="n">
        <v>6</v>
      </c>
      <c r="D599" s="3" t="inlineStr">
        <is>
          <t>Casi todo (&gt;75%)</t>
        </is>
      </c>
    </row>
    <row r="600">
      <c r="A600" s="3" t="inlineStr">
        <is>
          <t>o_crp_proddif_impact</t>
        </is>
      </c>
      <c r="B600" s="3" t="n">
        <v>7</v>
      </c>
      <c r="D600" s="3" t="inlineStr">
        <is>
          <t>Todo (100%)</t>
        </is>
      </c>
    </row>
    <row r="601">
      <c r="A601" s="3" t="inlineStr">
        <is>
          <t>o_crp_proddif_impact</t>
        </is>
      </c>
      <c r="B601" s="3" t="n">
        <v>8</v>
      </c>
      <c r="D601" s="3" t="inlineStr">
        <is>
          <t>No sabe</t>
        </is>
      </c>
    </row>
    <row r="602">
      <c r="A602" s="3" t="inlineStr">
        <is>
          <t>o_crp_proddif_impact</t>
        </is>
      </c>
      <c r="B602" s="3" t="n">
        <v>9</v>
      </c>
      <c r="D602" s="3" t="inlineStr">
        <is>
          <t>No responde</t>
        </is>
      </c>
    </row>
    <row r="604">
      <c r="A604" s="3" t="inlineStr">
        <is>
          <t>meses</t>
        </is>
      </c>
      <c r="B604" s="3" t="n">
        <v>1</v>
      </c>
      <c r="D604" s="3" t="inlineStr">
        <is>
          <t>Enero</t>
        </is>
      </c>
    </row>
    <row r="605">
      <c r="A605" s="3" t="inlineStr">
        <is>
          <t>meses</t>
        </is>
      </c>
      <c r="B605" s="3" t="n">
        <v>2</v>
      </c>
      <c r="D605" s="3" t="inlineStr">
        <is>
          <t>Febrero</t>
        </is>
      </c>
    </row>
    <row r="606">
      <c r="A606" s="3" t="inlineStr">
        <is>
          <t>meses</t>
        </is>
      </c>
      <c r="B606" s="3" t="n">
        <v>3</v>
      </c>
      <c r="D606" s="3" t="inlineStr">
        <is>
          <t>Marzo</t>
        </is>
      </c>
    </row>
    <row r="607">
      <c r="A607" s="3" t="inlineStr">
        <is>
          <t>meses</t>
        </is>
      </c>
      <c r="B607" s="3" t="n">
        <v>4</v>
      </c>
      <c r="D607" s="3" t="inlineStr">
        <is>
          <t>Abril</t>
        </is>
      </c>
    </row>
    <row r="608">
      <c r="A608" s="3" t="inlineStr">
        <is>
          <t>meses</t>
        </is>
      </c>
      <c r="B608" s="3" t="n">
        <v>5</v>
      </c>
      <c r="D608" s="3" t="inlineStr">
        <is>
          <t>Mayo</t>
        </is>
      </c>
    </row>
    <row r="609">
      <c r="A609" s="3" t="inlineStr">
        <is>
          <t>meses</t>
        </is>
      </c>
      <c r="B609" s="3" t="n">
        <v>6</v>
      </c>
      <c r="D609" s="3" t="inlineStr">
        <is>
          <t>Junio</t>
        </is>
      </c>
    </row>
    <row r="610">
      <c r="A610" s="3" t="inlineStr">
        <is>
          <t>meses</t>
        </is>
      </c>
      <c r="B610" s="3" t="n">
        <v>7</v>
      </c>
      <c r="D610" s="3" t="inlineStr">
        <is>
          <t>Julio</t>
        </is>
      </c>
    </row>
    <row r="611">
      <c r="A611" s="3" t="inlineStr">
        <is>
          <t>meses</t>
        </is>
      </c>
      <c r="B611" s="3" t="n">
        <v>8</v>
      </c>
      <c r="D611" s="3" t="inlineStr">
        <is>
          <t>Agosto</t>
        </is>
      </c>
    </row>
    <row r="612">
      <c r="A612" s="3" t="inlineStr">
        <is>
          <t>meses</t>
        </is>
      </c>
      <c r="B612" s="3" t="n">
        <v>9</v>
      </c>
      <c r="D612" s="3" t="inlineStr">
        <is>
          <t>Septiembre</t>
        </is>
      </c>
    </row>
    <row r="613">
      <c r="A613" s="3" t="inlineStr">
        <is>
          <t>meses</t>
        </is>
      </c>
      <c r="B613" s="3" t="n">
        <v>10</v>
      </c>
      <c r="D613" s="3" t="inlineStr">
        <is>
          <t>Octubre</t>
        </is>
      </c>
    </row>
    <row r="614">
      <c r="A614" s="3" t="inlineStr">
        <is>
          <t>meses</t>
        </is>
      </c>
      <c r="B614" s="3" t="n">
        <v>11</v>
      </c>
      <c r="D614" s="3" t="inlineStr">
        <is>
          <t>Noviembre</t>
        </is>
      </c>
    </row>
    <row r="615">
      <c r="A615" s="3" t="inlineStr">
        <is>
          <t>meses</t>
        </is>
      </c>
      <c r="B615" s="3" t="n">
        <v>12</v>
      </c>
      <c r="D615" s="3" t="inlineStr">
        <is>
          <t>Diciembre</t>
        </is>
      </c>
    </row>
    <row r="616">
      <c r="A616" s="3" t="inlineStr">
        <is>
          <t>meses</t>
        </is>
      </c>
      <c r="B616" s="3" t="n">
        <v>13</v>
      </c>
      <c r="D616" s="3" t="inlineStr">
        <is>
          <t>No sabe</t>
        </is>
      </c>
    </row>
    <row r="617">
      <c r="A617" s="3" t="inlineStr">
        <is>
          <t>meses</t>
        </is>
      </c>
      <c r="B617" s="3" t="n">
        <v>14</v>
      </c>
      <c r="D617" s="3" t="inlineStr">
        <is>
          <t>No responde</t>
        </is>
      </c>
    </row>
    <row r="619">
      <c r="A619" s="3" t="inlineStr">
        <is>
          <t>o_crp_proddif_replanting_month_period</t>
        </is>
      </c>
      <c r="B619" s="3" t="n">
        <v>1</v>
      </c>
      <c r="D619" s="3" t="inlineStr">
        <is>
          <t>Inicio</t>
        </is>
      </c>
    </row>
    <row r="620">
      <c r="A620" s="3" t="inlineStr">
        <is>
          <t>o_crp_proddif_replanting_month_period</t>
        </is>
      </c>
      <c r="B620" s="3" t="n">
        <v>2</v>
      </c>
      <c r="D620" s="3" t="inlineStr">
        <is>
          <t>Mediados</t>
        </is>
      </c>
    </row>
    <row r="621">
      <c r="A621" s="3" t="inlineStr">
        <is>
          <t>o_crp_proddif_replanting_month_period</t>
        </is>
      </c>
      <c r="B621" s="3" t="n">
        <v>3</v>
      </c>
      <c r="D621" s="3" t="inlineStr">
        <is>
          <t>Finales</t>
        </is>
      </c>
    </row>
    <row r="622">
      <c r="A622" s="3" t="inlineStr">
        <is>
          <t>o_crp_proddif_replanting_month_period</t>
        </is>
      </c>
      <c r="B622" s="3" t="n">
        <v>4</v>
      </c>
      <c r="D622" s="3" t="inlineStr">
        <is>
          <t>No sabe</t>
        </is>
      </c>
    </row>
    <row r="623">
      <c r="A623" s="3" t="inlineStr">
        <is>
          <t>o_crp_proddif_replanting_month_period</t>
        </is>
      </c>
      <c r="B623" s="3" t="n">
        <v>5</v>
      </c>
      <c r="D623" s="3" t="inlineStr">
        <is>
          <t>No responde</t>
        </is>
      </c>
    </row>
    <row r="625">
      <c r="A625" s="3" t="inlineStr">
        <is>
          <t>o_crp_grain_datemonth2</t>
        </is>
      </c>
      <c r="B625" s="3" t="n">
        <v>1</v>
      </c>
      <c r="D625" s="3" t="inlineStr">
        <is>
          <t>Inicio</t>
        </is>
      </c>
    </row>
    <row r="626">
      <c r="A626" s="3" t="inlineStr">
        <is>
          <t>o_crp_grain_datemonth2</t>
        </is>
      </c>
      <c r="B626" s="3" t="n">
        <v>2</v>
      </c>
      <c r="D626" s="3" t="inlineStr">
        <is>
          <t>Mediados</t>
        </is>
      </c>
    </row>
    <row r="627">
      <c r="A627" s="3" t="inlineStr">
        <is>
          <t>o_crp_grain_datemonth2</t>
        </is>
      </c>
      <c r="B627" s="3" t="n">
        <v>3</v>
      </c>
      <c r="D627" s="3" t="inlineStr">
        <is>
          <t>Finales</t>
        </is>
      </c>
    </row>
    <row r="628">
      <c r="A628" s="3" t="inlineStr">
        <is>
          <t>o_crp_grain_datemonth2</t>
        </is>
      </c>
      <c r="B628" s="3" t="n">
        <v>4</v>
      </c>
      <c r="D628" s="3" t="inlineStr">
        <is>
          <t>No sabe</t>
        </is>
      </c>
    </row>
    <row r="629">
      <c r="A629" s="3" t="inlineStr">
        <is>
          <t>o_crp_grain_datemonth2</t>
        </is>
      </c>
      <c r="B629" s="3" t="n">
        <v>5</v>
      </c>
      <c r="D629" s="3" t="inlineStr">
        <is>
          <t>No responde</t>
        </is>
      </c>
    </row>
    <row r="631">
      <c r="A631" s="3" t="inlineStr">
        <is>
          <t>o_crp_grain_datechange_why</t>
        </is>
      </c>
      <c r="B631" s="3" t="n">
        <v>1</v>
      </c>
      <c r="D631" s="3" t="inlineStr">
        <is>
          <t>La temporada de lluvia comenzó mas tarde de lo habitual</t>
        </is>
      </c>
    </row>
    <row r="632">
      <c r="A632" s="3" t="inlineStr">
        <is>
          <t>o_crp_grain_datechange_why</t>
        </is>
      </c>
      <c r="B632" s="3" t="n">
        <v>2</v>
      </c>
      <c r="D632" s="3" t="inlineStr">
        <is>
          <t>Falta de liquidez para preparación de terreno y compra de insumos</t>
        </is>
      </c>
    </row>
    <row r="633">
      <c r="A633" s="3" t="inlineStr">
        <is>
          <t>o_crp_grain_datechange_why</t>
        </is>
      </c>
      <c r="B633" s="3" t="n">
        <v>3</v>
      </c>
      <c r="D633" s="3" t="inlineStr">
        <is>
          <t>Falta de acceso a maquinaria para preparación de terreno</t>
        </is>
      </c>
    </row>
    <row r="634">
      <c r="A634" s="3" t="inlineStr">
        <is>
          <t>o_crp_grain_datechange_why</t>
        </is>
      </c>
      <c r="B634" s="3" t="n">
        <v>4</v>
      </c>
      <c r="D634" s="3" t="inlineStr">
        <is>
          <t>Falta de liquidez para pagar mano de obra</t>
        </is>
      </c>
    </row>
    <row r="635">
      <c r="A635" s="3" t="inlineStr">
        <is>
          <t>o_crp_grain_datechange_why</t>
        </is>
      </c>
      <c r="B635" s="3" t="n">
        <v>5</v>
      </c>
      <c r="D635" s="3" t="inlineStr">
        <is>
          <t>Falta de mano de obra</t>
        </is>
      </c>
    </row>
    <row r="636">
      <c r="A636" s="3" t="inlineStr">
        <is>
          <t>o_crp_grain_datechange_why</t>
        </is>
      </c>
      <c r="B636" s="3" t="n">
        <v>6</v>
      </c>
      <c r="D636" s="3" t="inlineStr">
        <is>
          <t>Aprobación de crédito o préstamo tardía</t>
        </is>
      </c>
    </row>
    <row r="637">
      <c r="A637" s="3" t="inlineStr">
        <is>
          <t>o_crp_grain_datechange_why</t>
        </is>
      </c>
      <c r="B637" s="3" t="n">
        <v>7</v>
      </c>
      <c r="D637" s="3" t="inlineStr">
        <is>
          <t>Otro</t>
        </is>
      </c>
    </row>
    <row r="638">
      <c r="A638" s="3" t="inlineStr">
        <is>
          <t>o_crp_grain_datechange_why</t>
        </is>
      </c>
      <c r="B638" s="3" t="n">
        <v>8</v>
      </c>
      <c r="D638" s="3" t="inlineStr">
        <is>
          <t>No sabe</t>
        </is>
      </c>
    </row>
    <row r="639">
      <c r="A639" s="3" t="inlineStr">
        <is>
          <t>o_crp_grain_datechange_why</t>
        </is>
      </c>
      <c r="B639" s="3" t="n">
        <v>9</v>
      </c>
      <c r="D639" s="3" t="inlineStr">
        <is>
          <t>No responde</t>
        </is>
      </c>
    </row>
    <row r="641">
      <c r="A641" s="3" t="inlineStr">
        <is>
          <t>o_crp_grain_harvest_month2</t>
        </is>
      </c>
      <c r="B641" s="3" t="n">
        <v>1</v>
      </c>
      <c r="D641" s="3" t="inlineStr">
        <is>
          <t>Inicio</t>
        </is>
      </c>
    </row>
    <row r="642">
      <c r="A642" s="3" t="inlineStr">
        <is>
          <t>o_crp_grain_harvest_month2</t>
        </is>
      </c>
      <c r="B642" s="3" t="n">
        <v>2</v>
      </c>
      <c r="D642" s="3" t="inlineStr">
        <is>
          <t>Mediados</t>
        </is>
      </c>
    </row>
    <row r="643">
      <c r="A643" s="3" t="inlineStr">
        <is>
          <t>o_crp_grain_harvest_month2</t>
        </is>
      </c>
      <c r="B643" s="3" t="n">
        <v>3</v>
      </c>
      <c r="D643" s="3" t="inlineStr">
        <is>
          <t>Finales</t>
        </is>
      </c>
    </row>
    <row r="644">
      <c r="A644" s="3" t="inlineStr">
        <is>
          <t>o_crp_grain_harvest_month2</t>
        </is>
      </c>
      <c r="B644" s="3" t="n">
        <v>4</v>
      </c>
      <c r="D644" s="3" t="inlineStr">
        <is>
          <t>No sabe</t>
        </is>
      </c>
    </row>
    <row r="645">
      <c r="A645" s="3" t="inlineStr">
        <is>
          <t>o_crp_grain_harvest_month2</t>
        </is>
      </c>
      <c r="B645" s="3" t="n">
        <v>5</v>
      </c>
      <c r="D645" s="3" t="inlineStr">
        <is>
          <t>No responde</t>
        </is>
      </c>
    </row>
    <row r="647">
      <c r="A647" s="3" t="inlineStr">
        <is>
          <t>o_crp_grain_next</t>
        </is>
      </c>
      <c r="B647" s="3" t="n">
        <v>1</v>
      </c>
      <c r="D647" s="3" t="inlineStr">
        <is>
          <t>Primera</t>
        </is>
      </c>
    </row>
    <row r="648">
      <c r="A648" s="3" t="inlineStr">
        <is>
          <t>o_crp_grain_next</t>
        </is>
      </c>
      <c r="B648" s="3" t="n">
        <v>2</v>
      </c>
      <c r="D648" s="3" t="inlineStr">
        <is>
          <t>Postrera</t>
        </is>
      </c>
    </row>
    <row r="649">
      <c r="A649" s="3" t="inlineStr">
        <is>
          <t>o_crp_grain_next</t>
        </is>
      </c>
      <c r="B649" s="3" t="n">
        <v>3</v>
      </c>
      <c r="D649" s="3" t="inlineStr">
        <is>
          <t>Apante</t>
        </is>
      </c>
    </row>
    <row r="650">
      <c r="A650" s="3" t="inlineStr">
        <is>
          <t>o_crp_grain_next</t>
        </is>
      </c>
      <c r="B650" s="3" t="n">
        <v>4</v>
      </c>
      <c r="D650" s="3" t="inlineStr">
        <is>
          <t>No sabe</t>
        </is>
      </c>
    </row>
    <row r="651">
      <c r="A651" s="3" t="inlineStr">
        <is>
          <t>o_crp_grain_next</t>
        </is>
      </c>
      <c r="B651" s="3" t="n">
        <v>5</v>
      </c>
      <c r="D651" s="3" t="inlineStr">
        <is>
          <t>No responde</t>
        </is>
      </c>
    </row>
    <row r="653" ht="15.95" customHeight="1">
      <c r="A653" s="325" t="inlineStr">
        <is>
          <t>o_ls_proddif_followup</t>
        </is>
      </c>
      <c r="B653" s="326" t="n">
        <v>1</v>
      </c>
      <c r="C653" s="3" t="inlineStr">
        <is>
          <t>More frequent</t>
        </is>
      </c>
      <c r="D653" s="3" t="inlineStr">
        <is>
          <t>Más frecuentes</t>
        </is>
      </c>
    </row>
    <row r="654" ht="15.95" customHeight="1">
      <c r="A654" s="325" t="inlineStr">
        <is>
          <t>o_ls_proddif_followup</t>
        </is>
      </c>
      <c r="B654" s="327" t="n">
        <v>2</v>
      </c>
      <c r="C654" s="3" t="inlineStr">
        <is>
          <t>More intens</t>
        </is>
      </c>
      <c r="D654" s="3" t="inlineStr">
        <is>
          <t>Más intensos</t>
        </is>
      </c>
    </row>
    <row r="655" ht="15.95" customHeight="1">
      <c r="A655" s="325" t="inlineStr">
        <is>
          <t>o_ls_proddif_followup</t>
        </is>
      </c>
      <c r="B655" s="326" t="n">
        <v>3</v>
      </c>
      <c r="C655" s="3" t="inlineStr">
        <is>
          <t>Both</t>
        </is>
      </c>
      <c r="D655" s="3" t="inlineStr">
        <is>
          <t>Ambos</t>
        </is>
      </c>
    </row>
    <row r="656" ht="15.95" customHeight="1">
      <c r="A656" s="325" t="inlineStr">
        <is>
          <t>o_ls_proddif_followup</t>
        </is>
      </c>
      <c r="B656" s="326" t="n">
        <v>4</v>
      </c>
      <c r="C656" s="3" t="inlineStr">
        <is>
          <t>No</t>
        </is>
      </c>
      <c r="D656" s="3" t="inlineStr">
        <is>
          <t>No</t>
        </is>
      </c>
    </row>
    <row r="657" ht="15.95" customHeight="1">
      <c r="A657" s="325" t="inlineStr">
        <is>
          <t>o_ls_proddif_followup</t>
        </is>
      </c>
      <c r="B657" s="326" t="n">
        <v>5</v>
      </c>
      <c r="C657" s="3" t="inlineStr">
        <is>
          <t>DON'T KNOW</t>
        </is>
      </c>
      <c r="D657" s="3" t="inlineStr">
        <is>
          <t>No sabe</t>
        </is>
      </c>
    </row>
    <row r="658" ht="15.95" customHeight="1">
      <c r="A658" s="325" t="inlineStr">
        <is>
          <t>o_ls_proddif_followup</t>
        </is>
      </c>
      <c r="B658" s="326" t="n">
        <v>6</v>
      </c>
      <c r="C658" s="3" t="inlineStr">
        <is>
          <t>REFUSED</t>
        </is>
      </c>
      <c r="D658" s="3" t="inlineStr">
        <is>
          <t>No responde</t>
        </is>
      </c>
    </row>
    <row r="660">
      <c r="A660" s="3" t="inlineStr">
        <is>
          <t>o_hh_residencetype</t>
        </is>
      </c>
      <c r="B660" s="3" t="n">
        <v>1</v>
      </c>
      <c r="D660" s="3" t="inlineStr">
        <is>
          <t>Motivos políticos (Conflicto/violencia)</t>
        </is>
      </c>
    </row>
    <row r="661">
      <c r="A661" s="3" t="inlineStr">
        <is>
          <t>o_hh_residencetype</t>
        </is>
      </c>
      <c r="B661" s="3" t="n">
        <v>2</v>
      </c>
      <c r="D661" s="3" t="inlineStr">
        <is>
          <t>Catástrofe natural</t>
        </is>
      </c>
    </row>
    <row r="662">
      <c r="A662" s="3" t="inlineStr">
        <is>
          <t>o_hh_residencetype</t>
        </is>
      </c>
      <c r="B662" s="3" t="n">
        <v>3</v>
      </c>
      <c r="D662" s="3" t="inlineStr">
        <is>
          <t>No sabe</t>
        </is>
      </c>
    </row>
    <row r="663">
      <c r="A663" s="3" t="inlineStr">
        <is>
          <t>o_hh_residencetype</t>
        </is>
      </c>
      <c r="B663" s="3" t="n">
        <v>4</v>
      </c>
      <c r="D663" s="3" t="inlineStr">
        <is>
          <t>No responde</t>
        </is>
      </c>
    </row>
    <row r="665">
      <c r="A665" s="3" t="inlineStr">
        <is>
          <t>o_migration_where</t>
        </is>
      </c>
      <c r="B665" s="3" t="n">
        <v>1</v>
      </c>
      <c r="D665" s="3" t="inlineStr">
        <is>
          <t>A un país vecino</t>
        </is>
      </c>
    </row>
    <row r="666">
      <c r="A666" s="3" t="inlineStr">
        <is>
          <t>o_migration_where</t>
        </is>
      </c>
      <c r="B666" s="3" t="n">
        <v>2</v>
      </c>
      <c r="D666" s="3" t="inlineStr">
        <is>
          <t>Estados-Unidos, Canadá</t>
        </is>
      </c>
    </row>
    <row r="667">
      <c r="A667" s="3" t="inlineStr">
        <is>
          <t>o_migration_where</t>
        </is>
      </c>
      <c r="B667" s="3" t="n">
        <v>3</v>
      </c>
      <c r="D667" s="3" t="inlineStr">
        <is>
          <t>Europa</t>
        </is>
      </c>
    </row>
    <row r="668">
      <c r="A668" s="3" t="inlineStr">
        <is>
          <t>o_migration_where</t>
        </is>
      </c>
      <c r="B668" s="3" t="n">
        <v>4</v>
      </c>
      <c r="D668" s="3" t="inlineStr">
        <is>
          <t>Otros</t>
        </is>
      </c>
    </row>
    <row r="669">
      <c r="A669" s="3" t="inlineStr">
        <is>
          <t>o_migration_where</t>
        </is>
      </c>
      <c r="B669" s="3" t="n">
        <v>5</v>
      </c>
      <c r="D669" s="3" t="inlineStr">
        <is>
          <t>No sabe</t>
        </is>
      </c>
    </row>
    <row r="670">
      <c r="A670" s="3" t="inlineStr">
        <is>
          <t>o_migration_where</t>
        </is>
      </c>
      <c r="B670" s="3" t="n">
        <v>6</v>
      </c>
      <c r="D670" s="3" t="inlineStr">
        <is>
          <t>No responde</t>
        </is>
      </c>
    </row>
    <row r="672">
      <c r="A672" s="3" t="inlineStr">
        <is>
          <t>o_migration_genero</t>
        </is>
      </c>
      <c r="B672" s="3" t="n">
        <v>1</v>
      </c>
      <c r="D672" s="3" t="inlineStr">
        <is>
          <t>Solo varones</t>
        </is>
      </c>
    </row>
    <row r="673">
      <c r="A673" s="3" t="inlineStr">
        <is>
          <t>o_migration_genero</t>
        </is>
      </c>
      <c r="B673" s="3" t="n">
        <v>2</v>
      </c>
      <c r="D673" s="3" t="inlineStr">
        <is>
          <t>Solo mujeres</t>
        </is>
      </c>
    </row>
    <row r="674">
      <c r="A674" s="3" t="inlineStr">
        <is>
          <t>o_migration_genero</t>
        </is>
      </c>
      <c r="B674" s="3" t="n">
        <v>3</v>
      </c>
      <c r="D674" s="3" t="inlineStr">
        <is>
          <t>Hombres y mujeres</t>
        </is>
      </c>
    </row>
    <row r="675">
      <c r="A675" s="3" t="inlineStr">
        <is>
          <t>o_migration_genero</t>
        </is>
      </c>
      <c r="B675" s="3" t="n">
        <v>4</v>
      </c>
      <c r="D675" s="3" t="inlineStr">
        <is>
          <t>No sabe</t>
        </is>
      </c>
    </row>
    <row r="676">
      <c r="A676" s="3" t="inlineStr">
        <is>
          <t>o_migration_genero</t>
        </is>
      </c>
      <c r="B676" s="3" t="n">
        <v>5</v>
      </c>
      <c r="D676" s="3" t="inlineStr">
        <is>
          <t>No responde</t>
        </is>
      </c>
    </row>
    <row r="678">
      <c r="A678" s="3" t="inlineStr">
        <is>
          <t>o_migration_why</t>
        </is>
      </c>
      <c r="B678" s="3" t="n">
        <v>1</v>
      </c>
      <c r="D678" s="3" t="inlineStr">
        <is>
          <t>Reencuentro familiar</t>
        </is>
      </c>
    </row>
    <row r="679">
      <c r="A679" s="3" t="inlineStr">
        <is>
          <t>o_migration_why</t>
        </is>
      </c>
      <c r="B679" s="3" t="n">
        <v>2</v>
      </c>
      <c r="D679" s="3" t="inlineStr">
        <is>
          <t>Pérdidas en la agricultura o incapacidad de continuar la actividad agrícola (Incluyendo crianza de animales y pesca/acuicultura)</t>
        </is>
      </c>
    </row>
    <row r="680">
      <c r="A680" s="3" t="inlineStr">
        <is>
          <t>o_migration_why</t>
        </is>
      </c>
      <c r="B680" s="3" t="n">
        <v>3</v>
      </c>
      <c r="D680" s="3" t="inlineStr">
        <is>
          <t>Desempleo, pérdida de medios de vida o medios de vida insuficientes</t>
        </is>
      </c>
    </row>
    <row r="681">
      <c r="A681" s="3" t="inlineStr">
        <is>
          <t>o_migration_why</t>
        </is>
      </c>
      <c r="B681" s="3" t="n">
        <v>4</v>
      </c>
      <c r="D681" s="3" t="inlineStr">
        <is>
          <t>Violencia o persecución</t>
        </is>
      </c>
    </row>
    <row r="682">
      <c r="A682" s="3" t="inlineStr">
        <is>
          <t>o_migration_why</t>
        </is>
      </c>
      <c r="B682" s="3" t="n">
        <v>5</v>
      </c>
      <c r="D682" s="3" t="inlineStr">
        <is>
          <t>Otros</t>
        </is>
      </c>
    </row>
    <row r="683">
      <c r="A683" s="3" t="inlineStr">
        <is>
          <t>o_migration_why</t>
        </is>
      </c>
      <c r="B683" s="3" t="n">
        <v>6</v>
      </c>
      <c r="D683" s="3" t="inlineStr">
        <is>
          <t>No sabe</t>
        </is>
      </c>
    </row>
    <row r="684">
      <c r="A684" s="3" t="inlineStr">
        <is>
          <t>o_migration_why</t>
        </is>
      </c>
      <c r="B684" s="3" t="n">
        <v>7</v>
      </c>
      <c r="D684" s="3" t="inlineStr">
        <is>
          <t>No responde</t>
        </is>
      </c>
    </row>
    <row r="686">
      <c r="A686" s="3" t="inlineStr">
        <is>
          <t>o_remittances</t>
        </is>
      </c>
      <c r="B686" s="3" t="n">
        <v>1</v>
      </c>
      <c r="D686" s="3" t="inlineStr">
        <is>
          <t>Si, desde el extranjero</t>
        </is>
      </c>
    </row>
    <row r="687">
      <c r="A687" s="3" t="inlineStr">
        <is>
          <t>o_remittances</t>
        </is>
      </c>
      <c r="B687" s="3" t="n">
        <v>2</v>
      </c>
      <c r="D687" s="3" t="inlineStr">
        <is>
          <t>Si, desde otra región del país</t>
        </is>
      </c>
    </row>
    <row r="688">
      <c r="A688" s="3" t="inlineStr">
        <is>
          <t>o_remittances</t>
        </is>
      </c>
      <c r="B688" s="3" t="n">
        <v>3</v>
      </c>
      <c r="D688" s="3" t="inlineStr">
        <is>
          <t>No</t>
        </is>
      </c>
    </row>
    <row r="689">
      <c r="A689" s="3" t="inlineStr">
        <is>
          <t>o_remittances</t>
        </is>
      </c>
      <c r="B689" s="3" t="n">
        <v>4</v>
      </c>
      <c r="D689" s="3" t="inlineStr">
        <is>
          <t>No sabe</t>
        </is>
      </c>
    </row>
    <row r="690">
      <c r="A690" s="3" t="inlineStr">
        <is>
          <t>o_remittances</t>
        </is>
      </c>
      <c r="B690" s="3" t="n">
        <v>5</v>
      </c>
      <c r="D690" s="3" t="inlineStr">
        <is>
          <t>No responde</t>
        </is>
      </c>
    </row>
    <row r="692">
      <c r="A692" s="3" t="inlineStr">
        <is>
          <t>o_remittances_frequency</t>
        </is>
      </c>
      <c r="B692" s="3" t="n">
        <v>1</v>
      </c>
      <c r="D692" s="3" t="inlineStr">
        <is>
          <t>2 veces al mes</t>
        </is>
      </c>
    </row>
    <row r="693">
      <c r="A693" s="3" t="inlineStr">
        <is>
          <t>o_remittances_frequency</t>
        </is>
      </c>
      <c r="B693" s="3" t="n">
        <v>2</v>
      </c>
      <c r="D693" s="3" t="inlineStr">
        <is>
          <t>1 vez al mes</t>
        </is>
      </c>
    </row>
    <row r="694">
      <c r="A694" s="3" t="inlineStr">
        <is>
          <t>o_remittances_frequency</t>
        </is>
      </c>
      <c r="B694" s="3" t="n">
        <v>3</v>
      </c>
      <c r="D694" s="3" t="inlineStr">
        <is>
          <t>Entre 1 vez al mes y 2 veces por año</t>
        </is>
      </c>
    </row>
    <row r="695">
      <c r="A695" s="3" t="inlineStr">
        <is>
          <t>o_remittances_frequency</t>
        </is>
      </c>
      <c r="B695" s="3" t="n">
        <v>4</v>
      </c>
      <c r="D695" s="3" t="inlineStr">
        <is>
          <t>Menos de 2 veces por año</t>
        </is>
      </c>
    </row>
    <row r="696">
      <c r="A696" s="3" t="inlineStr">
        <is>
          <t>o_remittances_frequency</t>
        </is>
      </c>
      <c r="B696" s="3" t="n">
        <v>5</v>
      </c>
      <c r="D696" s="3" t="inlineStr">
        <is>
          <t>No sabe</t>
        </is>
      </c>
    </row>
    <row r="697">
      <c r="A697" s="3" t="inlineStr">
        <is>
          <t>o_remittances_frequency</t>
        </is>
      </c>
      <c r="B697" s="3" t="n">
        <v>6</v>
      </c>
      <c r="D697" s="3" t="inlineStr">
        <is>
          <t>No responde</t>
        </is>
      </c>
    </row>
    <row r="699">
      <c r="A699" s="3" t="inlineStr">
        <is>
          <t>o_remittances_usage</t>
        </is>
      </c>
      <c r="B699" s="3" t="n">
        <v>1</v>
      </c>
      <c r="D699" s="3" t="inlineStr">
        <is>
          <t>Gastos del hogar (alquiler, servicios básicos, construcción, Etc.)</t>
        </is>
      </c>
    </row>
    <row r="700">
      <c r="A700" s="3" t="inlineStr">
        <is>
          <t>o_remittances_usage</t>
        </is>
      </c>
      <c r="B700" s="3" t="n">
        <v>2</v>
      </c>
      <c r="D700" s="3" t="inlineStr">
        <is>
          <t>Alimentación</t>
        </is>
      </c>
    </row>
    <row r="701">
      <c r="A701" s="3" t="inlineStr">
        <is>
          <t>o_remittances_usage</t>
        </is>
      </c>
      <c r="B701" s="3" t="n">
        <v>3</v>
      </c>
      <c r="D701" s="3" t="inlineStr">
        <is>
          <t>Educación</t>
        </is>
      </c>
    </row>
    <row r="702">
      <c r="A702" s="3" t="inlineStr">
        <is>
          <t>o_remittances_usage</t>
        </is>
      </c>
      <c r="B702" s="3" t="n">
        <v>4</v>
      </c>
      <c r="D702" s="3" t="inlineStr">
        <is>
          <t>Salud</t>
        </is>
      </c>
    </row>
    <row r="703">
      <c r="A703" s="3" t="inlineStr">
        <is>
          <t>o_remittances_usage</t>
        </is>
      </c>
      <c r="B703" s="3" t="n">
        <v>5</v>
      </c>
      <c r="D703" s="3" t="inlineStr">
        <is>
          <t>Vestuario</t>
        </is>
      </c>
    </row>
    <row r="704">
      <c r="A704" s="3" t="inlineStr">
        <is>
          <t>o_remittances_usage</t>
        </is>
      </c>
      <c r="B704" s="3" t="n">
        <v>6</v>
      </c>
      <c r="D704" s="3" t="inlineStr">
        <is>
          <t>Inversión (negocio propio, producción agrícola, gandera o pesquera/acuícola)</t>
        </is>
      </c>
    </row>
    <row r="705">
      <c r="A705" s="3" t="inlineStr">
        <is>
          <t>o_remittances_usage</t>
        </is>
      </c>
      <c r="B705" s="3" t="n">
        <v>7</v>
      </c>
      <c r="D705" s="3" t="inlineStr">
        <is>
          <t>Entretenimiento</t>
        </is>
      </c>
    </row>
    <row r="706">
      <c r="A706" s="3" t="inlineStr">
        <is>
          <t>o_remittances_usage</t>
        </is>
      </c>
      <c r="B706" s="3" t="n">
        <v>8</v>
      </c>
      <c r="D706" s="3" t="inlineStr">
        <is>
          <t>Otro</t>
        </is>
      </c>
    </row>
    <row r="707">
      <c r="A707" s="3" t="inlineStr">
        <is>
          <t>o_remittances_usage</t>
        </is>
      </c>
      <c r="B707" s="3" t="n">
        <v>9</v>
      </c>
      <c r="D707" s="3" t="inlineStr">
        <is>
          <t>No sabe</t>
        </is>
      </c>
    </row>
    <row r="708">
      <c r="A708" s="3" t="inlineStr">
        <is>
          <t>o_remittances_usage</t>
        </is>
      </c>
      <c r="B708" s="3" t="n">
        <v>10</v>
      </c>
      <c r="D708" s="3" t="inlineStr">
        <is>
          <t>No responde</t>
        </is>
      </c>
    </row>
    <row r="710">
      <c r="A710" s="3" t="inlineStr">
        <is>
          <t>o_jornal_where</t>
        </is>
      </c>
      <c r="B710" s="3" t="n">
        <v>1</v>
      </c>
      <c r="D710" s="3" t="inlineStr">
        <is>
          <t>En la comunidad</t>
        </is>
      </c>
    </row>
    <row r="711">
      <c r="A711" s="3" t="inlineStr">
        <is>
          <t>o_jornal_where</t>
        </is>
      </c>
      <c r="B711" s="3" t="n">
        <v>2</v>
      </c>
      <c r="D711" s="3" t="inlineStr">
        <is>
          <t>En otra región del país</t>
        </is>
      </c>
    </row>
    <row r="712">
      <c r="A712" s="3" t="inlineStr">
        <is>
          <t>o_jornal_where</t>
        </is>
      </c>
      <c r="B712" s="3" t="n">
        <v>3</v>
      </c>
      <c r="D712" s="3" t="inlineStr">
        <is>
          <t>En un país vecino</t>
        </is>
      </c>
    </row>
    <row r="713">
      <c r="A713" s="3" t="inlineStr">
        <is>
          <t>o_jornal_where</t>
        </is>
      </c>
      <c r="B713" s="3" t="n">
        <v>4</v>
      </c>
      <c r="D713" s="3" t="inlineStr">
        <is>
          <t>En EEUU</t>
        </is>
      </c>
    </row>
    <row r="714">
      <c r="A714" s="3" t="inlineStr">
        <is>
          <t>o_jornal_where</t>
        </is>
      </c>
      <c r="B714" s="3" t="n">
        <v>5</v>
      </c>
      <c r="D714" s="3" t="inlineStr">
        <is>
          <t>No sabe</t>
        </is>
      </c>
    </row>
    <row r="715">
      <c r="A715" s="3" t="inlineStr">
        <is>
          <t>o_jornal_where</t>
        </is>
      </c>
      <c r="B715" s="3" t="n">
        <v>6</v>
      </c>
      <c r="D715" s="3" t="inlineStr">
        <is>
          <t>No responde</t>
        </is>
      </c>
    </row>
    <row r="717" ht="15.95" customHeight="1">
      <c r="A717" s="328" t="inlineStr">
        <is>
          <t>o_jornal_crop</t>
        </is>
      </c>
      <c r="B717" s="3" t="n">
        <v>1</v>
      </c>
      <c r="D717" s="3" t="inlineStr">
        <is>
          <t>Café</t>
        </is>
      </c>
    </row>
    <row r="718">
      <c r="A718" s="3" t="inlineStr">
        <is>
          <t>o_jornal_crop</t>
        </is>
      </c>
      <c r="B718" s="3" t="n">
        <v>2</v>
      </c>
      <c r="D718" s="3" t="inlineStr">
        <is>
          <t>Caña</t>
        </is>
      </c>
    </row>
    <row r="719">
      <c r="A719" s="3" t="inlineStr">
        <is>
          <t>o_jornal_crop</t>
        </is>
      </c>
      <c r="B719" s="3" t="n">
        <v>3</v>
      </c>
      <c r="D719" s="3" t="inlineStr">
        <is>
          <t>Cardamomo</t>
        </is>
      </c>
    </row>
    <row r="720">
      <c r="A720" s="3" t="inlineStr">
        <is>
          <t>o_jornal_crop</t>
        </is>
      </c>
      <c r="B720" s="3" t="n">
        <v>4</v>
      </c>
      <c r="D720" s="3" t="inlineStr">
        <is>
          <t>Granos básicos</t>
        </is>
      </c>
    </row>
    <row r="721">
      <c r="A721" s="3" t="inlineStr">
        <is>
          <t>o_jornal_crop</t>
        </is>
      </c>
      <c r="B721" s="3" t="n">
        <v>5</v>
      </c>
      <c r="D721" s="3" t="inlineStr">
        <is>
          <t>Hortalizas</t>
        </is>
      </c>
    </row>
    <row r="722">
      <c r="B722" s="3" t="n">
        <v>6</v>
      </c>
      <c r="D722" s="3" t="inlineStr">
        <is>
          <t>Cuidado de animales</t>
        </is>
      </c>
    </row>
    <row r="723">
      <c r="A723" s="3" t="inlineStr">
        <is>
          <t>o_jornal_crop</t>
        </is>
      </c>
      <c r="B723" s="3" t="n">
        <v>7</v>
      </c>
      <c r="D723" s="3" t="inlineStr">
        <is>
          <t>Otros</t>
        </is>
      </c>
    </row>
    <row r="724">
      <c r="A724" s="3" t="inlineStr">
        <is>
          <t>o_jornal_crop</t>
        </is>
      </c>
      <c r="B724" s="3" t="n">
        <v>8</v>
      </c>
      <c r="D724" s="3" t="inlineStr">
        <is>
          <t>No sabe</t>
        </is>
      </c>
    </row>
    <row r="725">
      <c r="A725" s="3" t="inlineStr">
        <is>
          <t>o_jornal_crop</t>
        </is>
      </c>
      <c r="B725" s="3" t="n">
        <v>9</v>
      </c>
      <c r="D725" s="3" t="inlineStr">
        <is>
          <t>No responde</t>
        </is>
      </c>
    </row>
    <row r="727">
      <c r="A727" s="3" t="inlineStr">
        <is>
          <t>o_jornal_importance</t>
        </is>
      </c>
      <c r="B727" s="3" t="n">
        <v>1</v>
      </c>
      <c r="D727" s="3" t="inlineStr">
        <is>
          <t>El ingreso del jornal es mas del 80% del ingreso anual del hogar</t>
        </is>
      </c>
    </row>
    <row r="728">
      <c r="A728" s="3" t="inlineStr">
        <is>
          <t>o_jornal_importance</t>
        </is>
      </c>
      <c r="B728" s="3" t="n">
        <v>2</v>
      </c>
      <c r="D728" s="3" t="inlineStr">
        <is>
          <t>Entre 50% y 80%</t>
        </is>
      </c>
    </row>
    <row r="729">
      <c r="A729" s="3" t="inlineStr">
        <is>
          <t>o_jornal_importance</t>
        </is>
      </c>
      <c r="B729" s="3" t="n">
        <v>3</v>
      </c>
      <c r="D729" s="3" t="inlineStr">
        <is>
          <t>Entre 20% y 50%</t>
        </is>
      </c>
    </row>
    <row r="730">
      <c r="A730" s="3" t="inlineStr">
        <is>
          <t>o_jornal_importance</t>
        </is>
      </c>
      <c r="B730" s="3" t="n">
        <v>4</v>
      </c>
      <c r="D730" s="3" t="inlineStr">
        <is>
          <t>Menos de 20%</t>
        </is>
      </c>
    </row>
    <row r="731">
      <c r="A731" s="3" t="inlineStr">
        <is>
          <t>o_jornal_importance</t>
        </is>
      </c>
      <c r="B731" s="3" t="n">
        <v>5</v>
      </c>
      <c r="D731" s="3" t="inlineStr">
        <is>
          <t>No sabe</t>
        </is>
      </c>
    </row>
    <row r="732">
      <c r="A732" s="3" t="inlineStr">
        <is>
          <t>o_jornal_importance</t>
        </is>
      </c>
      <c r="B732" s="3" t="n">
        <v>6</v>
      </c>
      <c r="D732" s="3" t="inlineStr">
        <is>
          <t>No responde</t>
        </is>
      </c>
    </row>
    <row r="734">
      <c r="A734" s="3" t="inlineStr">
        <is>
          <t>o_crp_jornal_crop</t>
        </is>
      </c>
      <c r="B734" s="3" t="n">
        <v>1</v>
      </c>
      <c r="D734" s="3" t="inlineStr">
        <is>
          <t>Granos básicos/arroz</t>
        </is>
      </c>
    </row>
    <row r="735">
      <c r="A735" s="3" t="inlineStr">
        <is>
          <t>o_crp_jornal_crop</t>
        </is>
      </c>
      <c r="B735" s="3" t="n">
        <v>2</v>
      </c>
      <c r="D735" s="3" t="inlineStr">
        <is>
          <t>Café</t>
        </is>
      </c>
    </row>
    <row r="736">
      <c r="A736" s="3" t="inlineStr">
        <is>
          <t>o_crp_jornal_crop</t>
        </is>
      </c>
      <c r="B736" s="3" t="n">
        <v>3</v>
      </c>
      <c r="D736" s="3" t="inlineStr">
        <is>
          <t>Caña</t>
        </is>
      </c>
    </row>
    <row r="737">
      <c r="A737" s="3" t="inlineStr">
        <is>
          <t>o_crp_jornal_crop</t>
        </is>
      </c>
      <c r="B737" s="3" t="n">
        <v>4</v>
      </c>
      <c r="D737" s="3" t="inlineStr">
        <is>
          <t>Otro cultivo alimentario</t>
        </is>
      </c>
    </row>
    <row r="738">
      <c r="A738" s="3" t="inlineStr">
        <is>
          <t>o_crp_jornal_crop</t>
        </is>
      </c>
      <c r="B738" s="3" t="n">
        <v>5</v>
      </c>
      <c r="D738" s="3" t="inlineStr">
        <is>
          <t>Otro cultivo comercial</t>
        </is>
      </c>
    </row>
    <row r="739">
      <c r="A739" s="3" t="inlineStr">
        <is>
          <t>o_crp_jornal_crop</t>
        </is>
      </c>
      <c r="B739" s="3" t="n">
        <v>6</v>
      </c>
      <c r="D739" s="3" t="inlineStr">
        <is>
          <t>No sabe</t>
        </is>
      </c>
    </row>
    <row r="740">
      <c r="A740" s="3" t="inlineStr">
        <is>
          <t>o_crp_jornal_crop</t>
        </is>
      </c>
      <c r="B740" s="3" t="n">
        <v>7</v>
      </c>
      <c r="D740" s="3" t="inlineStr">
        <is>
          <t>No responde</t>
        </is>
      </c>
    </row>
    <row r="742">
      <c r="A742" s="3" t="inlineStr">
        <is>
          <t>o_crp_jornal_season</t>
        </is>
      </c>
      <c r="B742" s="3" t="n">
        <v>1</v>
      </c>
      <c r="D742" s="3" t="inlineStr">
        <is>
          <t>Preparación de la tierra</t>
        </is>
      </c>
    </row>
    <row r="743">
      <c r="A743" s="3" t="inlineStr">
        <is>
          <t>o_crp_jornal_season</t>
        </is>
      </c>
      <c r="B743" s="3" t="n">
        <v>2</v>
      </c>
      <c r="D743" s="3" t="inlineStr">
        <is>
          <t>Siembra</t>
        </is>
      </c>
    </row>
    <row r="744">
      <c r="A744" s="3" t="inlineStr">
        <is>
          <t>o_crp_jornal_season</t>
        </is>
      </c>
      <c r="B744" s="3" t="n">
        <v>3</v>
      </c>
      <c r="D744" s="3" t="inlineStr">
        <is>
          <t>Mantención</t>
        </is>
      </c>
    </row>
    <row r="745">
      <c r="A745" s="3" t="inlineStr">
        <is>
          <t>o_crp_jornal_season</t>
        </is>
      </c>
      <c r="B745" s="3" t="n">
        <v>4</v>
      </c>
      <c r="D745" s="3" t="inlineStr">
        <is>
          <t>Cosecha</t>
        </is>
      </c>
    </row>
    <row r="746">
      <c r="A746" s="3" t="inlineStr">
        <is>
          <t>o_crp_jornal_season</t>
        </is>
      </c>
      <c r="B746" s="3" t="n">
        <v>5</v>
      </c>
      <c r="D746" s="3" t="inlineStr">
        <is>
          <t>No sabe</t>
        </is>
      </c>
    </row>
    <row r="747">
      <c r="A747" s="3" t="inlineStr">
        <is>
          <t>o_crp_jornal_season</t>
        </is>
      </c>
      <c r="B747" s="3" t="n">
        <v>6</v>
      </c>
      <c r="D747" s="3" t="inlineStr">
        <is>
          <t>No responde</t>
        </is>
      </c>
    </row>
    <row r="749">
      <c r="A749" s="3" t="inlineStr">
        <is>
          <t>o_creditdestination</t>
        </is>
      </c>
      <c r="B749" s="3" t="n">
        <v>1</v>
      </c>
      <c r="D749" s="3" t="inlineStr">
        <is>
          <t>Agrícola</t>
        </is>
      </c>
    </row>
    <row r="750">
      <c r="A750" s="3" t="inlineStr">
        <is>
          <t>o_creditdestination</t>
        </is>
      </c>
      <c r="B750" s="3" t="n">
        <v>2</v>
      </c>
      <c r="D750" s="3" t="inlineStr">
        <is>
          <t>Pecuario</t>
        </is>
      </c>
    </row>
    <row r="751">
      <c r="A751" s="3" t="inlineStr">
        <is>
          <t>o_creditdestination</t>
        </is>
      </c>
      <c r="B751" s="3" t="n">
        <v>3</v>
      </c>
      <c r="D751" s="3" t="inlineStr">
        <is>
          <t>Pesquero/acuícola</t>
        </is>
      </c>
    </row>
    <row r="752">
      <c r="A752" s="3" t="inlineStr">
        <is>
          <t>o_creditdestination</t>
        </is>
      </c>
      <c r="B752" s="3" t="n">
        <v>4</v>
      </c>
      <c r="D752" s="3" t="inlineStr">
        <is>
          <t>Otro</t>
        </is>
      </c>
    </row>
    <row r="753">
      <c r="A753" s="3" t="inlineStr">
        <is>
          <t>o_creditdestination</t>
        </is>
      </c>
      <c r="B753" s="3" t="n">
        <v>5</v>
      </c>
      <c r="D753" s="3" t="inlineStr">
        <is>
          <t>No sabe</t>
        </is>
      </c>
    </row>
    <row r="754">
      <c r="A754" s="3" t="inlineStr">
        <is>
          <t>o_creditdestination</t>
        </is>
      </c>
      <c r="B754" s="3" t="n">
        <v>6</v>
      </c>
      <c r="D754" s="3" t="inlineStr">
        <is>
          <t>No responde</t>
        </is>
      </c>
    </row>
    <row r="756">
      <c r="A756" s="3" t="inlineStr">
        <is>
          <t>o_creditwhere</t>
        </is>
      </c>
      <c r="B756" s="3" t="n">
        <v>1</v>
      </c>
      <c r="D756" s="3" t="inlineStr">
        <is>
          <t>Banco 1</t>
        </is>
      </c>
    </row>
    <row r="757">
      <c r="A757" s="3" t="inlineStr">
        <is>
          <t>o_creditwhere</t>
        </is>
      </c>
      <c r="B757" s="3" t="n">
        <v>2</v>
      </c>
      <c r="D757" s="3" t="inlineStr">
        <is>
          <t>Banco 2</t>
        </is>
      </c>
    </row>
    <row r="758">
      <c r="A758" s="3" t="inlineStr">
        <is>
          <t>o_creditwhere</t>
        </is>
      </c>
      <c r="B758" s="3" t="n">
        <v>3</v>
      </c>
      <c r="D758" s="3" t="inlineStr">
        <is>
          <t>Banco 3</t>
        </is>
      </c>
    </row>
    <row r="759">
      <c r="A759" s="3" t="inlineStr">
        <is>
          <t>o_creditwhere</t>
        </is>
      </c>
      <c r="B759" s="3" t="n">
        <v>4</v>
      </c>
      <c r="D759" s="3" t="inlineStr">
        <is>
          <t>Otro</t>
        </is>
      </c>
    </row>
    <row r="760">
      <c r="A760" s="3" t="inlineStr">
        <is>
          <t>o_creditwhere</t>
        </is>
      </c>
      <c r="B760" s="3" t="n">
        <v>5</v>
      </c>
      <c r="D760" s="3" t="inlineStr">
        <is>
          <t>No sabe</t>
        </is>
      </c>
    </row>
    <row r="761">
      <c r="A761" s="3" t="inlineStr">
        <is>
          <t>o_creditwhere</t>
        </is>
      </c>
      <c r="B761" s="3" t="n">
        <v>6</v>
      </c>
      <c r="D761" s="3" t="inlineStr">
        <is>
          <t>No responde</t>
        </is>
      </c>
    </row>
    <row r="763">
      <c r="A763" s="3" t="inlineStr">
        <is>
          <t>o_crp_area_changewhy</t>
        </is>
      </c>
      <c r="B763" s="3" t="n">
        <v>1</v>
      </c>
      <c r="D763" s="3" t="inlineStr">
        <is>
          <t>Incertidumbre con la temporada de lluvias</t>
        </is>
      </c>
    </row>
    <row r="764">
      <c r="A764" s="3" t="inlineStr">
        <is>
          <t>o_crp_area_changewhy</t>
        </is>
      </c>
      <c r="B764" s="3" t="n">
        <v>2</v>
      </c>
      <c r="D764" s="3" t="inlineStr">
        <is>
          <t>Falta de liquidez (alquilar terreno, comprar insumos, pagar mano de obra, etc.)</t>
        </is>
      </c>
    </row>
    <row r="765">
      <c r="A765" s="3" t="inlineStr">
        <is>
          <t>o_crp_area_changewhy</t>
        </is>
      </c>
      <c r="B765" s="3" t="n">
        <v>3</v>
      </c>
      <c r="D765" s="3" t="inlineStr">
        <is>
          <t>Falta de mano de obra disponible</t>
        </is>
      </c>
    </row>
    <row r="766">
      <c r="A766" s="3" t="inlineStr">
        <is>
          <t>o_crp_area_changewhy</t>
        </is>
      </c>
      <c r="B766" s="3" t="n">
        <v>4</v>
      </c>
      <c r="D766" s="3" t="inlineStr">
        <is>
          <t>Otro</t>
        </is>
      </c>
    </row>
    <row r="767">
      <c r="A767" s="3" t="inlineStr">
        <is>
          <t>o_crp_area_changewhy</t>
        </is>
      </c>
      <c r="B767" s="3" t="n">
        <v>5</v>
      </c>
      <c r="D767" s="3" t="inlineStr">
        <is>
          <t>No sabe</t>
        </is>
      </c>
    </row>
    <row r="768">
      <c r="A768" s="3" t="inlineStr">
        <is>
          <t>o_crp_area_changewhy</t>
        </is>
      </c>
      <c r="B768" s="3" t="n">
        <v>6</v>
      </c>
      <c r="D768" s="3" t="inlineStr">
        <is>
          <t>No responde</t>
        </is>
      </c>
    </row>
    <row r="770">
      <c r="A770" s="3" t="inlineStr">
        <is>
          <t>tenencia</t>
        </is>
      </c>
      <c r="B770" s="3" t="n">
        <v>1</v>
      </c>
      <c r="D770" s="3" t="inlineStr">
        <is>
          <t xml:space="preserve">Propiedad   </t>
        </is>
      </c>
    </row>
    <row r="771">
      <c r="A771" s="3" t="inlineStr">
        <is>
          <t>tenencia</t>
        </is>
      </c>
      <c r="B771" s="3" t="n">
        <v>2</v>
      </c>
      <c r="D771" s="3" t="inlineStr">
        <is>
          <t xml:space="preserve">Posesión    </t>
        </is>
      </c>
    </row>
    <row r="772">
      <c r="A772" s="3" t="inlineStr">
        <is>
          <t>tenencia</t>
        </is>
      </c>
      <c r="B772" s="3" t="n">
        <v>3</v>
      </c>
      <c r="D772" s="3" t="inlineStr">
        <is>
          <t xml:space="preserve">Arriendo   </t>
        </is>
      </c>
    </row>
    <row r="773">
      <c r="A773" s="3" t="inlineStr">
        <is>
          <t>tenencia</t>
        </is>
      </c>
      <c r="B773" s="3" t="n">
        <v>4</v>
      </c>
      <c r="D773" s="3" t="inlineStr">
        <is>
          <t xml:space="preserve">Usufructo   </t>
        </is>
      </c>
    </row>
    <row r="774">
      <c r="A774" s="3" t="inlineStr">
        <is>
          <t>tenencia</t>
        </is>
      </c>
      <c r="B774" s="3" t="n">
        <v>5</v>
      </c>
      <c r="D774" s="3" t="inlineStr">
        <is>
          <t xml:space="preserve">Comodato   </t>
        </is>
      </c>
    </row>
    <row r="775">
      <c r="A775" s="3" t="inlineStr">
        <is>
          <t>tenencia</t>
        </is>
      </c>
      <c r="B775" s="3" t="n">
        <v>6</v>
      </c>
      <c r="D775" s="3" t="inlineStr">
        <is>
          <t xml:space="preserve">Aparcería   </t>
        </is>
      </c>
    </row>
    <row r="776">
      <c r="A776" s="3" t="inlineStr">
        <is>
          <t>tenencia</t>
        </is>
      </c>
      <c r="B776" s="3" t="n">
        <v>7</v>
      </c>
      <c r="D776" s="3" t="inlineStr">
        <is>
          <t xml:space="preserve">Propiedad Colectiva      </t>
        </is>
      </c>
    </row>
    <row r="777">
      <c r="A777" s="3" t="inlineStr">
        <is>
          <t>tenencia</t>
        </is>
      </c>
      <c r="B777" s="3" t="n">
        <v>8</v>
      </c>
      <c r="D777" s="3" t="inlineStr">
        <is>
          <t xml:space="preserve">Adjudicatario o comunero      </t>
        </is>
      </c>
    </row>
    <row r="778">
      <c r="A778" s="3" t="inlineStr">
        <is>
          <t>tenencia</t>
        </is>
      </c>
      <c r="B778" s="3" t="n">
        <v>9</v>
      </c>
      <c r="D778" s="3" t="inlineStr">
        <is>
          <t>No sabe</t>
        </is>
      </c>
    </row>
    <row r="779">
      <c r="A779" s="3" t="inlineStr">
        <is>
          <t>tenencia</t>
        </is>
      </c>
      <c r="B779" s="3" t="n">
        <v>10</v>
      </c>
      <c r="D779" s="3" t="inlineStr">
        <is>
          <t>No responde</t>
        </is>
      </c>
    </row>
    <row r="781">
      <c r="A781" s="3" t="inlineStr">
        <is>
          <t>ethnic</t>
        </is>
      </c>
      <c r="B781" s="3" t="n">
        <v>1</v>
      </c>
      <c r="D781" s="3" t="inlineStr">
        <is>
          <t>Indígena</t>
        </is>
      </c>
    </row>
    <row r="782">
      <c r="A782" s="3" t="inlineStr">
        <is>
          <t>ethnic</t>
        </is>
      </c>
      <c r="B782" s="3" t="n">
        <v>2</v>
      </c>
      <c r="D782" s="3" t="inlineStr">
        <is>
          <t>Afro</t>
        </is>
      </c>
    </row>
    <row r="783">
      <c r="A783" s="3" t="inlineStr">
        <is>
          <t>ethnic</t>
        </is>
      </c>
      <c r="B783" s="3" t="n">
        <v>3</v>
      </c>
      <c r="D783" s="3" t="inlineStr">
        <is>
          <t>Otro</t>
        </is>
      </c>
    </row>
    <row r="784">
      <c r="A784" s="3" t="inlineStr">
        <is>
          <t>ethnic</t>
        </is>
      </c>
      <c r="B784" s="3" t="n">
        <v>4</v>
      </c>
      <c r="D784" s="3" t="inlineStr">
        <is>
          <t>No sabe</t>
        </is>
      </c>
    </row>
    <row r="785">
      <c r="A785" s="3" t="inlineStr">
        <is>
          <t>ethnic</t>
        </is>
      </c>
      <c r="B785" s="3" t="n">
        <v>5</v>
      </c>
      <c r="D785" s="3" t="inlineStr">
        <is>
          <t>No responde</t>
        </is>
      </c>
    </row>
    <row r="787">
      <c r="A787" s="3" t="inlineStr">
        <is>
          <t>o_crop2</t>
        </is>
      </c>
      <c r="B787" s="3" t="n">
        <v>1</v>
      </c>
      <c r="D787" s="3" t="inlineStr">
        <is>
          <t>Maiz</t>
        </is>
      </c>
    </row>
    <row r="788">
      <c r="A788" s="3" t="inlineStr">
        <is>
          <t>o_crop2</t>
        </is>
      </c>
      <c r="B788" s="3" t="n">
        <v>2</v>
      </c>
      <c r="D788" s="3" t="inlineStr">
        <is>
          <t>Frijol</t>
        </is>
      </c>
    </row>
    <row r="789">
      <c r="A789" s="3" t="inlineStr">
        <is>
          <t>o_crop2</t>
        </is>
      </c>
      <c r="B789" s="3" t="n">
        <v>3</v>
      </c>
      <c r="D789" s="3" t="inlineStr">
        <is>
          <t>Café</t>
        </is>
      </c>
    </row>
    <row r="790">
      <c r="A790" s="3" t="inlineStr">
        <is>
          <t>o_crop2</t>
        </is>
      </c>
      <c r="B790" s="3" t="n">
        <v>4</v>
      </c>
      <c r="D790" s="3" t="inlineStr">
        <is>
          <t>Hortalizas</t>
        </is>
      </c>
    </row>
    <row r="791">
      <c r="A791" s="3" t="inlineStr">
        <is>
          <t>o_crop2</t>
        </is>
      </c>
      <c r="B791" s="3" t="n">
        <v>5</v>
      </c>
      <c r="D791" s="3" t="inlineStr">
        <is>
          <t>Otros</t>
        </is>
      </c>
    </row>
    <row r="792">
      <c r="A792" s="3" t="inlineStr">
        <is>
          <t>o_crop2</t>
        </is>
      </c>
      <c r="B792" s="3" t="n">
        <v>6</v>
      </c>
      <c r="D792" s="3" t="inlineStr">
        <is>
          <t>No sabe</t>
        </is>
      </c>
    </row>
    <row r="793">
      <c r="A793" s="3" t="inlineStr">
        <is>
          <t>o_crop2</t>
        </is>
      </c>
      <c r="B793" s="3" t="n">
        <v>7</v>
      </c>
      <c r="D793" s="3" t="inlineStr">
        <is>
          <t>No responde</t>
        </is>
      </c>
    </row>
    <row r="795">
      <c r="A795" s="329" t="inlineStr">
        <is>
          <t>reserves_origin</t>
        </is>
      </c>
      <c r="B795" s="329" t="n">
        <v>1</v>
      </c>
      <c r="C795" s="329" t="n"/>
      <c r="D795" s="329" t="inlineStr">
        <is>
          <t>Producción propia</t>
        </is>
      </c>
    </row>
    <row r="796">
      <c r="A796" s="329" t="inlineStr">
        <is>
          <t>reserves_origin</t>
        </is>
      </c>
      <c r="B796" s="3" t="n">
        <v>2</v>
      </c>
      <c r="C796" s="329" t="n"/>
      <c r="D796" s="329" t="inlineStr">
        <is>
          <t>Compra</t>
        </is>
      </c>
    </row>
    <row r="797">
      <c r="A797" s="329" t="inlineStr">
        <is>
          <t>reserves_origin</t>
        </is>
      </c>
      <c r="B797" s="329" t="n">
        <v>3</v>
      </c>
      <c r="C797" s="329" t="n"/>
      <c r="D797" s="329" t="inlineStr">
        <is>
          <t>Otro</t>
        </is>
      </c>
    </row>
    <row r="798">
      <c r="A798" s="329" t="inlineStr">
        <is>
          <t>reserves_origin</t>
        </is>
      </c>
      <c r="B798" s="329" t="n">
        <v>4</v>
      </c>
      <c r="C798" s="329" t="n"/>
      <c r="D798" s="329" t="inlineStr">
        <is>
          <t>No sabe</t>
        </is>
      </c>
    </row>
    <row r="799">
      <c r="A799" s="329" t="inlineStr">
        <is>
          <t>reserves_origin</t>
        </is>
      </c>
      <c r="B799" s="329" t="n">
        <v>5</v>
      </c>
      <c r="C799" s="329" t="n"/>
      <c r="D799" s="329" t="inlineStr">
        <is>
          <t>No responde</t>
        </is>
      </c>
    </row>
    <row r="800">
      <c r="B800" s="329" t="n"/>
    </row>
    <row r="801" ht="15.95" customHeight="1">
      <c r="A801" s="12" t="inlineStr">
        <is>
          <t>o_production_use</t>
        </is>
      </c>
      <c r="B801" s="328" t="n">
        <v>1</v>
      </c>
      <c r="C801" s="328" t="inlineStr">
        <is>
          <t>Self-consumption</t>
        </is>
      </c>
      <c r="D801" s="328" t="inlineStr">
        <is>
          <t>Autoconsumo</t>
        </is>
      </c>
    </row>
    <row r="802" ht="15.95" customHeight="1">
      <c r="A802" s="12" t="inlineStr">
        <is>
          <t>o_production_use</t>
        </is>
      </c>
      <c r="B802" s="328" t="n">
        <v>2</v>
      </c>
      <c r="C802" s="328" t="inlineStr">
        <is>
          <t>Sales</t>
        </is>
      </c>
      <c r="D802" s="328" t="inlineStr">
        <is>
          <t>Venta</t>
        </is>
      </c>
    </row>
    <row r="803" ht="15.95" customHeight="1">
      <c r="A803" s="12" t="inlineStr">
        <is>
          <t>o_production_use</t>
        </is>
      </c>
      <c r="B803" s="328" t="n">
        <v>3</v>
      </c>
      <c r="C803" s="328" t="inlineStr">
        <is>
          <t>Both</t>
        </is>
      </c>
      <c r="D803" s="328" t="inlineStr">
        <is>
          <t>Ambos</t>
        </is>
      </c>
    </row>
    <row r="804">
      <c r="A804" s="12" t="inlineStr">
        <is>
          <t>o_production_use</t>
        </is>
      </c>
      <c r="B804" s="329" t="n">
        <v>4</v>
      </c>
      <c r="C804" s="329" t="n"/>
      <c r="D804" s="329" t="inlineStr">
        <is>
          <t>No sabe</t>
        </is>
      </c>
    </row>
    <row r="805">
      <c r="A805" s="12" t="inlineStr">
        <is>
          <t>o_production_use</t>
        </is>
      </c>
      <c r="B805" s="329" t="n">
        <v>5</v>
      </c>
      <c r="C805" s="329" t="n"/>
      <c r="D805" s="329" t="inlineStr">
        <is>
          <t>No responde</t>
        </is>
      </c>
    </row>
    <row r="807">
      <c r="A807" s="3" t="inlineStr">
        <is>
          <t>o_alternative_fertilizerprice</t>
        </is>
      </c>
      <c r="B807" s="3" t="n">
        <v>1</v>
      </c>
      <c r="C807" s="3" t="inlineStr">
        <is>
          <t>Production of organic fertilizer</t>
        </is>
      </c>
      <c r="D807" s="3" t="inlineStr">
        <is>
          <t>Producción de abono orgánico</t>
        </is>
      </c>
    </row>
    <row r="808">
      <c r="A808" s="3" t="inlineStr">
        <is>
          <t>o_alternative_fertilizerprice</t>
        </is>
      </c>
      <c r="B808" s="3" t="n">
        <v>2</v>
      </c>
      <c r="C808" s="3" t="inlineStr">
        <is>
          <t>Buy organic fertilizer or another cheaper option</t>
        </is>
      </c>
      <c r="D808" s="3" t="inlineStr">
        <is>
          <t>Comprar abono orgánico u otra opción más económica</t>
        </is>
      </c>
    </row>
    <row r="809">
      <c r="A809" s="3" t="inlineStr">
        <is>
          <t>o_alternative_fertilizerprice</t>
        </is>
      </c>
      <c r="B809" s="3" t="n">
        <v>3</v>
      </c>
      <c r="C809" s="3" t="inlineStr">
        <is>
          <t>Do not fertilize</t>
        </is>
      </c>
      <c r="D809" s="3" t="inlineStr">
        <is>
          <t>No fertilizar</t>
        </is>
      </c>
    </row>
    <row r="810">
      <c r="A810" s="3" t="inlineStr">
        <is>
          <t>o_alternative_fertilizerprice</t>
        </is>
      </c>
      <c r="B810" s="3" t="n">
        <v>4</v>
      </c>
      <c r="C810" s="3" t="inlineStr">
        <is>
          <t>Use varieties with low nutritional requirements</t>
        </is>
      </c>
      <c r="D810" s="3" t="inlineStr">
        <is>
          <t>Utilizar variedades con bajos requerimientos nutricionales</t>
        </is>
      </c>
    </row>
    <row r="811">
      <c r="A811" s="3" t="inlineStr">
        <is>
          <t>o_alternative_fertilizerprice</t>
        </is>
      </c>
      <c r="B811" s="3" t="n">
        <v>5</v>
      </c>
      <c r="C811" s="3" t="inlineStr">
        <is>
          <t>Decrease planting area</t>
        </is>
      </c>
      <c r="D811" s="3" t="inlineStr">
        <is>
          <t>Disminuir área de siembra</t>
        </is>
      </c>
    </row>
    <row r="812">
      <c r="A812" s="3" t="inlineStr">
        <is>
          <t>o_alternative_fertilizerprice</t>
        </is>
      </c>
      <c r="B812" s="9" t="n">
        <v>6</v>
      </c>
      <c r="C812" s="3" t="inlineStr">
        <is>
          <t>Do not sow</t>
        </is>
      </c>
      <c r="D812" s="3" t="inlineStr">
        <is>
          <t>No sembrar</t>
        </is>
      </c>
    </row>
    <row r="813">
      <c r="A813" s="3" t="inlineStr">
        <is>
          <t>o_alternative_fertilizerprice</t>
        </is>
      </c>
      <c r="B813" s="9" t="n">
        <v>7</v>
      </c>
      <c r="C813" s="3" t="inlineStr">
        <is>
          <t>Use less chemical fertilizer</t>
        </is>
      </c>
      <c r="D813" s="3" t="inlineStr">
        <is>
          <t>Utilizar una menor cantidad de fertilizante químico</t>
        </is>
      </c>
    </row>
    <row r="814">
      <c r="A814" s="3" t="inlineStr">
        <is>
          <t>o_alternative_fertilizerprice</t>
        </is>
      </c>
      <c r="B814" s="9" t="n">
        <v>8</v>
      </c>
      <c r="C814" s="3" t="inlineStr">
        <is>
          <t>None</t>
        </is>
      </c>
      <c r="D814" s="3" t="inlineStr">
        <is>
          <t>Ninguna</t>
        </is>
      </c>
    </row>
    <row r="815">
      <c r="A815" s="3" t="inlineStr">
        <is>
          <t>o_alternative_fertilizerprice</t>
        </is>
      </c>
      <c r="B815" s="9" t="n">
        <v>9</v>
      </c>
      <c r="C815" s="3" t="inlineStr">
        <is>
          <t>DON'T KNOW</t>
        </is>
      </c>
      <c r="D815" s="3" t="inlineStr">
        <is>
          <t>NO SABE</t>
        </is>
      </c>
    </row>
    <row r="816">
      <c r="A816" s="3" t="inlineStr">
        <is>
          <t>o_alternative_fertilizerprice</t>
        </is>
      </c>
      <c r="B816" s="9" t="n">
        <v>10</v>
      </c>
      <c r="C816" s="3" t="inlineStr">
        <is>
          <t>REFUSED</t>
        </is>
      </c>
      <c r="D816" s="3" t="inlineStr">
        <is>
          <t>NO RESPONDE</t>
        </is>
      </c>
    </row>
    <row r="817">
      <c r="A817" s="10" t="n"/>
      <c r="B817" s="10" t="n"/>
      <c r="C817" s="10" t="n"/>
      <c r="E817" s="7" t="n"/>
      <c r="F817" s="10" t="n"/>
    </row>
    <row r="819">
      <c r="A819" t="inlineStr">
        <is>
          <t>crop</t>
        </is>
      </c>
      <c r="B819" t="inlineStr">
        <is>
          <t>1.4</t>
        </is>
      </c>
      <c r="C819" t="inlineStr">
        <is>
          <t>Sorghum</t>
        </is>
      </c>
      <c r="D819" t="inlineStr">
        <is>
          <t>Sorgo</t>
        </is>
      </c>
    </row>
    <row r="820">
      <c r="A820" t="inlineStr">
        <is>
          <t>crop</t>
        </is>
      </c>
      <c r="B820" t="inlineStr">
        <is>
          <t>1.5</t>
        </is>
      </c>
      <c r="C820" t="inlineStr">
        <is>
          <t>Maize</t>
        </is>
      </c>
      <c r="D820" t="inlineStr">
        <is>
          <t>Maíz</t>
        </is>
      </c>
    </row>
    <row r="821">
      <c r="A821" t="inlineStr">
        <is>
          <t>crop</t>
        </is>
      </c>
      <c r="B821" t="inlineStr">
        <is>
          <t>2.2</t>
        </is>
      </c>
      <c r="C821" t="inlineStr">
        <is>
          <t>Potatoe</t>
        </is>
      </c>
      <c r="D821" t="inlineStr">
        <is>
          <t>Patatas</t>
        </is>
      </c>
    </row>
    <row r="822">
      <c r="A822" t="inlineStr">
        <is>
          <t>crop</t>
        </is>
      </c>
      <c r="B822" t="inlineStr">
        <is>
          <t>3.1</t>
        </is>
      </c>
      <c r="C822" t="inlineStr">
        <is>
          <t>Beans</t>
        </is>
      </c>
      <c r="D822" t="inlineStr">
        <is>
          <t>Frijoles</t>
        </is>
      </c>
    </row>
    <row r="823">
      <c r="A823" t="inlineStr">
        <is>
          <t>crop</t>
        </is>
      </c>
      <c r="B823" t="inlineStr">
        <is>
          <t>4.2</t>
        </is>
      </c>
      <c r="C823" t="inlineStr">
        <is>
          <t>Lettuce</t>
        </is>
      </c>
      <c r="D823" t="inlineStr">
        <is>
          <t>Lechuga</t>
        </is>
      </c>
    </row>
    <row r="824">
      <c r="A824" t="inlineStr">
        <is>
          <t>crop</t>
        </is>
      </c>
      <c r="B824" t="inlineStr">
        <is>
          <t>4.3</t>
        </is>
      </c>
      <c r="C824" t="inlineStr">
        <is>
          <t>Spinach-Amaranth</t>
        </is>
      </c>
      <c r="D824" t="inlineStr">
        <is>
          <t>Espinacas-amaranto</t>
        </is>
      </c>
    </row>
    <row r="825">
      <c r="A825" t="inlineStr">
        <is>
          <t>crop</t>
        </is>
      </c>
      <c r="B825" t="inlineStr">
        <is>
          <t>4.9</t>
        </is>
      </c>
      <c r="C825" t="inlineStr">
        <is>
          <t>Green salad herbs (thyme, parsley, mint, rocca, other)</t>
        </is>
      </c>
      <c r="D825" t="inlineStr">
        <is>
          <t>Hierbas verdes para ensalada (tomillo, perejil, menta, rocca, otras)</t>
        </is>
      </c>
    </row>
    <row r="826">
      <c r="A826" t="inlineStr">
        <is>
          <t>crop</t>
        </is>
      </c>
      <c r="B826" t="inlineStr">
        <is>
          <t>5.1</t>
        </is>
      </c>
      <c r="C826" t="inlineStr">
        <is>
          <t>Tomatoes</t>
        </is>
      </c>
      <c r="D826" t="inlineStr">
        <is>
          <t>Tomates</t>
        </is>
      </c>
    </row>
    <row r="827">
      <c r="A827" t="inlineStr">
        <is>
          <t>crop</t>
        </is>
      </c>
      <c r="B827" t="inlineStr">
        <is>
          <t>5.8</t>
        </is>
      </c>
      <c r="C827" t="inlineStr">
        <is>
          <t>Onions</t>
        </is>
      </c>
      <c r="D827" t="inlineStr">
        <is>
          <t>Cebollas</t>
        </is>
      </c>
    </row>
    <row r="828">
      <c r="A828" t="inlineStr">
        <is>
          <t>crop</t>
        </is>
      </c>
      <c r="B828" t="inlineStr">
        <is>
          <t>9.2</t>
        </is>
      </c>
      <c r="C828" t="inlineStr">
        <is>
          <t>Coffee</t>
        </is>
      </c>
      <c r="D828" t="inlineStr">
        <is>
          <t>Café</t>
        </is>
      </c>
    </row>
    <row r="829">
      <c r="A829" t="inlineStr">
        <is>
          <t>crop</t>
        </is>
      </c>
      <c r="B829" t="inlineStr">
        <is>
          <t>1.1</t>
        </is>
      </c>
      <c r="C829" t="inlineStr">
        <is>
          <t>Rice</t>
        </is>
      </c>
      <c r="D829" t="inlineStr">
        <is>
          <t>Arroz</t>
        </is>
      </c>
    </row>
    <row r="830">
      <c r="A830" t="inlineStr">
        <is>
          <t>crop</t>
        </is>
      </c>
      <c r="B830" t="inlineStr">
        <is>
          <t>1.2</t>
        </is>
      </c>
      <c r="C830" t="inlineStr">
        <is>
          <t>Wheat</t>
        </is>
      </c>
      <c r="D830" t="inlineStr">
        <is>
          <t>Trigo</t>
        </is>
      </c>
    </row>
    <row r="831">
      <c r="A831" t="inlineStr">
        <is>
          <t>crop</t>
        </is>
      </c>
      <c r="B831" t="inlineStr">
        <is>
          <t>1.3</t>
        </is>
      </c>
      <c r="C831" t="inlineStr">
        <is>
          <t>Millet</t>
        </is>
      </c>
      <c r="D831" t="inlineStr">
        <is>
          <t>Mijo</t>
        </is>
      </c>
    </row>
    <row r="832">
      <c r="A832" t="inlineStr">
        <is>
          <t>crop</t>
        </is>
      </c>
      <c r="B832" t="inlineStr">
        <is>
          <t>1.6</t>
        </is>
      </c>
      <c r="C832" t="inlineStr">
        <is>
          <t>Barley</t>
        </is>
      </c>
      <c r="D832" t="inlineStr">
        <is>
          <t>Cebada</t>
        </is>
      </c>
    </row>
    <row r="833">
      <c r="A833" t="inlineStr">
        <is>
          <t>crop</t>
        </is>
      </c>
      <c r="B833" t="inlineStr">
        <is>
          <t>1.99</t>
        </is>
      </c>
      <c r="C833" t="inlineStr">
        <is>
          <t>Other Cereal</t>
        </is>
      </c>
      <c r="D833" t="inlineStr">
        <is>
          <t>Otros cereales</t>
        </is>
      </c>
    </row>
    <row r="834">
      <c r="A834" t="inlineStr">
        <is>
          <t>crop</t>
        </is>
      </c>
      <c r="B834" t="inlineStr">
        <is>
          <t>2.1</t>
        </is>
      </c>
      <c r="C834" t="inlineStr">
        <is>
          <t>Cassava</t>
        </is>
      </c>
      <c r="D834" t="inlineStr">
        <is>
          <t>Yuca</t>
        </is>
      </c>
    </row>
    <row r="835">
      <c r="A835" t="inlineStr">
        <is>
          <t>crop</t>
        </is>
      </c>
      <c r="B835" t="inlineStr">
        <is>
          <t>2.3</t>
        </is>
      </c>
      <c r="C835" t="inlineStr">
        <is>
          <t>Sweet Potatoes</t>
        </is>
      </c>
      <c r="D835" t="inlineStr">
        <is>
          <t>Patatas dulces</t>
        </is>
      </c>
    </row>
    <row r="836">
      <c r="A836" t="inlineStr">
        <is>
          <t>crop</t>
        </is>
      </c>
      <c r="B836" t="inlineStr">
        <is>
          <t>2.4</t>
        </is>
      </c>
      <c r="C836" t="inlineStr">
        <is>
          <t>Yams</t>
        </is>
      </c>
      <c r="D836" t="inlineStr">
        <is>
          <t>Ñames</t>
        </is>
      </c>
    </row>
    <row r="837">
      <c r="A837" t="inlineStr">
        <is>
          <t>crop</t>
        </is>
      </c>
      <c r="B837" t="inlineStr">
        <is>
          <t>2.5</t>
        </is>
      </c>
      <c r="C837" t="inlineStr">
        <is>
          <t>Carrots</t>
        </is>
      </c>
      <c r="D837" t="inlineStr">
        <is>
          <t>Zanahorias</t>
        </is>
      </c>
    </row>
    <row r="838">
      <c r="A838" t="inlineStr">
        <is>
          <t>crop</t>
        </is>
      </c>
      <c r="B838" t="inlineStr">
        <is>
          <t>2.6</t>
        </is>
      </c>
      <c r="C838" t="inlineStr">
        <is>
          <t>Cocoyam</t>
        </is>
      </c>
      <c r="D838" t="inlineStr">
        <is>
          <t>Cocoyam</t>
        </is>
      </c>
    </row>
    <row r="839">
      <c r="A839" t="inlineStr">
        <is>
          <t>crop</t>
        </is>
      </c>
      <c r="B839" t="inlineStr">
        <is>
          <t>2.99</t>
        </is>
      </c>
      <c r="C839" t="inlineStr">
        <is>
          <t>Other tubers</t>
        </is>
      </c>
      <c r="D839" t="inlineStr">
        <is>
          <t>Otros tubérculos</t>
        </is>
      </c>
    </row>
    <row r="840">
      <c r="A840" t="inlineStr">
        <is>
          <t>crop</t>
        </is>
      </c>
      <c r="B840" t="inlineStr">
        <is>
          <t>3.2</t>
        </is>
      </c>
      <c r="C840" t="inlineStr">
        <is>
          <t>Lentils</t>
        </is>
      </c>
      <c r="D840" t="inlineStr">
        <is>
          <t>Lentejas</t>
        </is>
      </c>
    </row>
    <row r="841">
      <c r="A841" t="inlineStr">
        <is>
          <t>crop</t>
        </is>
      </c>
      <c r="B841" t="inlineStr">
        <is>
          <t>3.3</t>
        </is>
      </c>
      <c r="C841" t="inlineStr">
        <is>
          <t>Peas</t>
        </is>
      </c>
      <c r="D841" t="inlineStr">
        <is>
          <t>Guisantes</t>
        </is>
      </c>
    </row>
    <row r="842">
      <c r="A842" t="inlineStr">
        <is>
          <t>crop</t>
        </is>
      </c>
      <c r="B842" t="inlineStr">
        <is>
          <t>3.4</t>
        </is>
      </c>
      <c r="C842" t="inlineStr">
        <is>
          <t>Soybeans</t>
        </is>
      </c>
      <c r="D842" t="inlineStr">
        <is>
          <t>Soja</t>
        </is>
      </c>
    </row>
    <row r="843">
      <c r="A843" t="inlineStr">
        <is>
          <t>crop</t>
        </is>
      </c>
      <c r="B843" t="inlineStr">
        <is>
          <t>3.5</t>
        </is>
      </c>
      <c r="C843" t="inlineStr">
        <is>
          <t>Chickpeas</t>
        </is>
      </c>
      <c r="D843" t="inlineStr">
        <is>
          <t>Garbanzos</t>
        </is>
      </c>
    </row>
    <row r="844">
      <c r="A844" t="inlineStr">
        <is>
          <t>crop</t>
        </is>
      </c>
      <c r="B844" t="inlineStr">
        <is>
          <t>3.6</t>
        </is>
      </c>
      <c r="C844" t="inlineStr">
        <is>
          <t>Fava beans</t>
        </is>
      </c>
      <c r="D844" t="inlineStr">
        <is>
          <t>Habas</t>
        </is>
      </c>
    </row>
    <row r="845">
      <c r="A845" t="inlineStr">
        <is>
          <t>crop</t>
        </is>
      </c>
      <c r="B845" t="inlineStr">
        <is>
          <t>3.7</t>
        </is>
      </c>
      <c r="C845" t="inlineStr">
        <is>
          <t>Broad beans</t>
        </is>
      </c>
      <c r="D845" t="inlineStr">
        <is>
          <t>Habas</t>
        </is>
      </c>
    </row>
    <row r="846">
      <c r="A846" t="inlineStr">
        <is>
          <t>crop</t>
        </is>
      </c>
      <c r="B846" t="inlineStr">
        <is>
          <t>3.99</t>
        </is>
      </c>
      <c r="C846" t="inlineStr">
        <is>
          <t>Other pulses</t>
        </is>
      </c>
      <c r="D846" t="inlineStr">
        <is>
          <t>Otras legumbres</t>
        </is>
      </c>
    </row>
    <row r="847">
      <c r="A847" t="inlineStr">
        <is>
          <t>crop</t>
        </is>
      </c>
      <c r="B847" t="inlineStr">
        <is>
          <t>4.1</t>
        </is>
      </c>
      <c r="C847" t="inlineStr">
        <is>
          <t>Cabbage</t>
        </is>
      </c>
      <c r="D847" t="inlineStr">
        <is>
          <t>Coles</t>
        </is>
      </c>
    </row>
    <row r="848">
      <c r="A848" t="inlineStr">
        <is>
          <t>crop</t>
        </is>
      </c>
      <c r="B848" t="inlineStr">
        <is>
          <t>4.101</t>
        </is>
      </c>
      <c r="C848" t="inlineStr">
        <is>
          <t>Cauliflower</t>
        </is>
      </c>
      <c r="D848" t="inlineStr">
        <is>
          <t>Coliflor</t>
        </is>
      </c>
    </row>
    <row r="849">
      <c r="A849" t="inlineStr">
        <is>
          <t>crop</t>
        </is>
      </c>
      <c r="B849" t="inlineStr">
        <is>
          <t>4.4</t>
        </is>
      </c>
      <c r="C849" t="inlineStr">
        <is>
          <t>Cassava leaves</t>
        </is>
      </c>
      <c r="D849" t="inlineStr">
        <is>
          <t>Hojas de yuca/mandioca</t>
        </is>
      </c>
    </row>
    <row r="850">
      <c r="A850" t="inlineStr">
        <is>
          <t>crop</t>
        </is>
      </c>
      <c r="B850" t="inlineStr">
        <is>
          <t>4.5</t>
        </is>
      </c>
      <c r="C850" t="inlineStr">
        <is>
          <t>Potatoe leaves</t>
        </is>
      </c>
      <c r="D850" t="inlineStr">
        <is>
          <t>Hojas de patata</t>
        </is>
      </c>
    </row>
    <row r="851">
      <c r="A851" t="inlineStr">
        <is>
          <t>crop</t>
        </is>
      </c>
      <c r="B851" t="inlineStr">
        <is>
          <t>4.6</t>
        </is>
      </c>
      <c r="C851" t="inlineStr">
        <is>
          <t>Moringa</t>
        </is>
      </c>
      <c r="D851" t="inlineStr">
        <is>
          <t>Moringa</t>
        </is>
      </c>
    </row>
    <row r="852">
      <c r="A852" t="inlineStr">
        <is>
          <t>crop</t>
        </is>
      </c>
      <c r="B852" t="inlineStr">
        <is>
          <t>4.7</t>
        </is>
      </c>
      <c r="C852" t="inlineStr">
        <is>
          <t>Sorrel Hibiscus / Rosselle</t>
        </is>
      </c>
      <c r="D852" t="inlineStr">
        <is>
          <t>Rosella / Flor de jamaica</t>
        </is>
      </c>
    </row>
    <row r="853">
      <c r="A853" t="inlineStr">
        <is>
          <t>crop</t>
        </is>
      </c>
      <c r="B853" t="inlineStr">
        <is>
          <t>4.99</t>
        </is>
      </c>
      <c r="C853" t="inlineStr">
        <is>
          <t>Other leafy vegetables</t>
        </is>
      </c>
      <c r="D853" t="inlineStr">
        <is>
          <t>Otras verduras de hoja</t>
        </is>
      </c>
    </row>
    <row r="854">
      <c r="A854" t="inlineStr">
        <is>
          <t>crop</t>
        </is>
      </c>
      <c r="B854" t="inlineStr">
        <is>
          <t>5.101</t>
        </is>
      </c>
      <c r="C854" t="inlineStr">
        <is>
          <t>Green peas</t>
        </is>
      </c>
      <c r="D854" t="inlineStr">
        <is>
          <t>Arberjas</t>
        </is>
      </c>
    </row>
    <row r="855">
      <c r="A855" t="inlineStr">
        <is>
          <t>crop</t>
        </is>
      </c>
      <c r="B855" t="inlineStr">
        <is>
          <t>5.11</t>
        </is>
      </c>
      <c r="C855" t="inlineStr">
        <is>
          <t>Fava beans green</t>
        </is>
      </c>
      <c r="D855" t="inlineStr">
        <is>
          <t>Habas verdes</t>
        </is>
      </c>
    </row>
    <row r="856">
      <c r="A856" t="inlineStr">
        <is>
          <t>crop</t>
        </is>
      </c>
      <c r="B856" t="inlineStr">
        <is>
          <t>5.2</t>
        </is>
      </c>
      <c r="C856" t="inlineStr">
        <is>
          <t>Cucumber</t>
        </is>
      </c>
      <c r="D856" t="inlineStr">
        <is>
          <t>Pepino</t>
        </is>
      </c>
    </row>
    <row r="857">
      <c r="A857" t="inlineStr">
        <is>
          <t>crop</t>
        </is>
      </c>
      <c r="B857" t="inlineStr">
        <is>
          <t>5.3</t>
        </is>
      </c>
      <c r="C857" t="inlineStr">
        <is>
          <t>Pumpkin</t>
        </is>
      </c>
      <c r="D857" t="inlineStr">
        <is>
          <t>Calabaza</t>
        </is>
      </c>
    </row>
    <row r="858">
      <c r="A858" t="inlineStr">
        <is>
          <t>crop</t>
        </is>
      </c>
      <c r="B858" t="inlineStr">
        <is>
          <t>5.4</t>
        </is>
      </c>
      <c r="C858" t="inlineStr">
        <is>
          <t>Eggplant/aubergine</t>
        </is>
      </c>
      <c r="D858" t="inlineStr">
        <is>
          <t>Berenjena</t>
        </is>
      </c>
    </row>
    <row r="859">
      <c r="A859" t="inlineStr">
        <is>
          <t>crop</t>
        </is>
      </c>
      <c r="B859" t="inlineStr">
        <is>
          <t>5.5</t>
        </is>
      </c>
      <c r="C859" t="inlineStr">
        <is>
          <t>Zucchini</t>
        </is>
      </c>
      <c r="D859" t="inlineStr">
        <is>
          <t>Calabacín</t>
        </is>
      </c>
    </row>
    <row r="860">
      <c r="A860" t="inlineStr">
        <is>
          <t>crop</t>
        </is>
      </c>
      <c r="B860" t="inlineStr">
        <is>
          <t>5.6</t>
        </is>
      </c>
      <c r="C860" t="inlineStr">
        <is>
          <t>Okra</t>
        </is>
      </c>
      <c r="D860" t="inlineStr">
        <is>
          <t>Okra</t>
        </is>
      </c>
    </row>
    <row r="861">
      <c r="A861" t="inlineStr">
        <is>
          <t>crop</t>
        </is>
      </c>
      <c r="B861" t="inlineStr">
        <is>
          <t>5.7</t>
        </is>
      </c>
      <c r="C861" t="inlineStr">
        <is>
          <t>Bell pepper</t>
        </is>
      </c>
      <c r="D861" t="inlineStr">
        <is>
          <t>Pimiento</t>
        </is>
      </c>
    </row>
    <row r="862">
      <c r="A862" t="inlineStr">
        <is>
          <t>crop</t>
        </is>
      </c>
      <c r="B862" t="inlineStr">
        <is>
          <t>5.9</t>
        </is>
      </c>
      <c r="C862" t="inlineStr">
        <is>
          <t>Haricot</t>
        </is>
      </c>
      <c r="D862" t="inlineStr">
        <is>
          <t>Judías</t>
        </is>
      </c>
    </row>
    <row r="863">
      <c r="A863" t="inlineStr">
        <is>
          <t>crop</t>
        </is>
      </c>
      <c r="B863" t="inlineStr">
        <is>
          <t>5.99</t>
        </is>
      </c>
      <c r="C863" t="inlineStr">
        <is>
          <t>Other non leafy vegs</t>
        </is>
      </c>
      <c r="D863" t="inlineStr">
        <is>
          <t>Otras verduras</t>
        </is>
      </c>
    </row>
    <row r="864">
      <c r="A864" t="inlineStr">
        <is>
          <t>crop</t>
        </is>
      </c>
      <c r="B864" t="inlineStr">
        <is>
          <t>6.1</t>
        </is>
      </c>
      <c r="C864" t="inlineStr">
        <is>
          <t>Orange</t>
        </is>
      </c>
      <c r="D864" t="inlineStr">
        <is>
          <t>Naranja</t>
        </is>
      </c>
    </row>
    <row r="865">
      <c r="A865" t="inlineStr">
        <is>
          <t>crop</t>
        </is>
      </c>
      <c r="B865" t="inlineStr">
        <is>
          <t>6.2</t>
        </is>
      </c>
      <c r="C865" t="inlineStr">
        <is>
          <t>Lemon</t>
        </is>
      </c>
      <c r="D865" t="inlineStr">
        <is>
          <t>Limón</t>
        </is>
      </c>
    </row>
    <row r="866">
      <c r="A866" t="inlineStr">
        <is>
          <t>crop</t>
        </is>
      </c>
      <c r="B866" t="inlineStr">
        <is>
          <t>6.3</t>
        </is>
      </c>
      <c r="C866" t="inlineStr">
        <is>
          <t>Grapefruit</t>
        </is>
      </c>
      <c r="D866" t="inlineStr">
        <is>
          <t>Pomelo</t>
        </is>
      </c>
    </row>
    <row r="867">
      <c r="A867" t="inlineStr">
        <is>
          <t>crop</t>
        </is>
      </c>
      <c r="B867" t="inlineStr">
        <is>
          <t>6.4</t>
        </is>
      </c>
      <c r="C867" t="inlineStr">
        <is>
          <t>Mandarins/clementines</t>
        </is>
      </c>
      <c r="D867" t="inlineStr">
        <is>
          <t>Mandarinas</t>
        </is>
      </c>
    </row>
    <row r="868">
      <c r="A868" t="inlineStr">
        <is>
          <t>crop</t>
        </is>
      </c>
      <c r="B868" t="inlineStr">
        <is>
          <t>6.99</t>
        </is>
      </c>
      <c r="C868" t="inlineStr">
        <is>
          <t>Other citrus fruit</t>
        </is>
      </c>
      <c r="D868" t="inlineStr">
        <is>
          <t>Otros cítricos</t>
        </is>
      </c>
    </row>
    <row r="869">
      <c r="A869" t="inlineStr">
        <is>
          <t>crop</t>
        </is>
      </c>
      <c r="B869" t="inlineStr">
        <is>
          <t>7.1</t>
        </is>
      </c>
      <c r="C869" t="inlineStr">
        <is>
          <t>Sweet Banana</t>
        </is>
      </c>
      <c r="D869" t="inlineStr">
        <is>
          <t>Plátano dulce / bananas</t>
        </is>
      </c>
    </row>
    <row r="870">
      <c r="A870" t="inlineStr">
        <is>
          <t>crop</t>
        </is>
      </c>
      <c r="B870" t="inlineStr">
        <is>
          <t>7.101</t>
        </is>
      </c>
      <c r="C870" t="inlineStr">
        <is>
          <t>Figs</t>
        </is>
      </c>
      <c r="D870" t="inlineStr">
        <is>
          <t>Higos</t>
        </is>
      </c>
    </row>
    <row r="871">
      <c r="A871" t="inlineStr">
        <is>
          <t>crop</t>
        </is>
      </c>
      <c r="B871" t="inlineStr">
        <is>
          <t>7.11</t>
        </is>
      </c>
      <c r="C871" t="inlineStr">
        <is>
          <t>Grapes</t>
        </is>
      </c>
      <c r="D871" t="inlineStr">
        <is>
          <t>Uvas</t>
        </is>
      </c>
    </row>
    <row r="872">
      <c r="A872" t="inlineStr">
        <is>
          <t>crop</t>
        </is>
      </c>
      <c r="B872" t="inlineStr">
        <is>
          <t>7.12</t>
        </is>
      </c>
      <c r="C872" t="inlineStr">
        <is>
          <t>Olives</t>
        </is>
      </c>
      <c r="D872" t="inlineStr">
        <is>
          <t>Aceitunas</t>
        </is>
      </c>
    </row>
    <row r="873">
      <c r="A873" t="inlineStr">
        <is>
          <t>crop</t>
        </is>
      </c>
      <c r="B873" t="inlineStr">
        <is>
          <t>7.13</t>
        </is>
      </c>
      <c r="C873" t="inlineStr">
        <is>
          <t>Apple</t>
        </is>
      </c>
      <c r="D873" t="inlineStr">
        <is>
          <t>Manzanas</t>
        </is>
      </c>
    </row>
    <row r="874">
      <c r="A874" t="inlineStr">
        <is>
          <t>crop</t>
        </is>
      </c>
      <c r="B874" t="inlineStr">
        <is>
          <t>7.14</t>
        </is>
      </c>
      <c r="C874" t="inlineStr">
        <is>
          <t>Apricot</t>
        </is>
      </c>
      <c r="D874" t="inlineStr">
        <is>
          <t>Albaricoques</t>
        </is>
      </c>
    </row>
    <row r="875">
      <c r="A875" t="inlineStr">
        <is>
          <t>crop</t>
        </is>
      </c>
      <c r="B875" t="inlineStr">
        <is>
          <t>7.15</t>
        </is>
      </c>
      <c r="C875" t="inlineStr">
        <is>
          <t>Cherries</t>
        </is>
      </c>
      <c r="D875" t="inlineStr">
        <is>
          <t>Cerezas</t>
        </is>
      </c>
    </row>
    <row r="876">
      <c r="A876" t="inlineStr">
        <is>
          <t>crop</t>
        </is>
      </c>
      <c r="B876" t="inlineStr">
        <is>
          <t>7.16</t>
        </is>
      </c>
      <c r="C876" t="inlineStr">
        <is>
          <t>Peach/nectarine</t>
        </is>
      </c>
      <c r="D876" t="inlineStr">
        <is>
          <t>Duraznos/ nectárinas</t>
        </is>
      </c>
    </row>
    <row r="877">
      <c r="A877" t="inlineStr">
        <is>
          <t>crop</t>
        </is>
      </c>
      <c r="B877" t="inlineStr">
        <is>
          <t>7.17</t>
        </is>
      </c>
      <c r="C877" t="inlineStr">
        <is>
          <t>Strawberries</t>
        </is>
      </c>
      <c r="D877" t="inlineStr">
        <is>
          <t>Fresas</t>
        </is>
      </c>
    </row>
    <row r="878">
      <c r="A878" t="inlineStr">
        <is>
          <t>crop</t>
        </is>
      </c>
      <c r="B878" t="inlineStr">
        <is>
          <t>7.18</t>
        </is>
      </c>
      <c r="C878" t="inlineStr">
        <is>
          <t>Melon (Cantaloupe)</t>
        </is>
      </c>
      <c r="D878" t="inlineStr">
        <is>
          <t>Melon</t>
        </is>
      </c>
    </row>
    <row r="879">
      <c r="A879" t="inlineStr">
        <is>
          <t>crop</t>
        </is>
      </c>
      <c r="B879" t="inlineStr">
        <is>
          <t>7.2</t>
        </is>
      </c>
      <c r="C879" t="inlineStr">
        <is>
          <t>Plantains</t>
        </is>
      </c>
      <c r="D879" t="inlineStr">
        <is>
          <t>Plátano</t>
        </is>
      </c>
    </row>
    <row r="880">
      <c r="A880" t="inlineStr">
        <is>
          <t>crop</t>
        </is>
      </c>
      <c r="B880" t="inlineStr">
        <is>
          <t>7.3</t>
        </is>
      </c>
      <c r="C880" t="inlineStr">
        <is>
          <t>Papaya</t>
        </is>
      </c>
      <c r="D880" t="inlineStr">
        <is>
          <t>Papaya</t>
        </is>
      </c>
    </row>
    <row r="881">
      <c r="A881" t="inlineStr">
        <is>
          <t>crop</t>
        </is>
      </c>
      <c r="B881" t="inlineStr">
        <is>
          <t>7.4</t>
        </is>
      </c>
      <c r="C881" t="inlineStr">
        <is>
          <t>Mango</t>
        </is>
      </c>
      <c r="D881" t="inlineStr">
        <is>
          <t>Mango</t>
        </is>
      </c>
    </row>
    <row r="882">
      <c r="A882" t="inlineStr">
        <is>
          <t>crop</t>
        </is>
      </c>
      <c r="B882" t="inlineStr">
        <is>
          <t>7.5</t>
        </is>
      </c>
      <c r="C882" t="inlineStr">
        <is>
          <t>Guava</t>
        </is>
      </c>
      <c r="D882" t="inlineStr">
        <is>
          <t>Guayaba</t>
        </is>
      </c>
    </row>
    <row r="883">
      <c r="A883" t="inlineStr">
        <is>
          <t>crop</t>
        </is>
      </c>
      <c r="B883" t="inlineStr">
        <is>
          <t>7.6</t>
        </is>
      </c>
      <c r="C883" t="inlineStr">
        <is>
          <t>Pineapple</t>
        </is>
      </c>
      <c r="D883" t="inlineStr">
        <is>
          <t>Piña</t>
        </is>
      </c>
    </row>
    <row r="884">
      <c r="A884" t="inlineStr">
        <is>
          <t>crop</t>
        </is>
      </c>
      <c r="B884" t="inlineStr">
        <is>
          <t>7.7</t>
        </is>
      </c>
      <c r="C884" t="inlineStr">
        <is>
          <t>Avocado</t>
        </is>
      </c>
      <c r="D884" t="inlineStr">
        <is>
          <t>Aguacate</t>
        </is>
      </c>
    </row>
    <row r="885">
      <c r="A885" t="inlineStr">
        <is>
          <t>crop</t>
        </is>
      </c>
      <c r="B885" t="inlineStr">
        <is>
          <t>7.8</t>
        </is>
      </c>
      <c r="C885" t="inlineStr">
        <is>
          <t>Water Melon</t>
        </is>
      </c>
      <c r="D885" t="inlineStr">
        <is>
          <t>Sandías</t>
        </is>
      </c>
    </row>
    <row r="886">
      <c r="A886" t="inlineStr">
        <is>
          <t>crop</t>
        </is>
      </c>
      <c r="B886" t="inlineStr">
        <is>
          <t>7.9</t>
        </is>
      </c>
      <c r="C886" t="inlineStr">
        <is>
          <t>Dates</t>
        </is>
      </c>
      <c r="D886" t="inlineStr">
        <is>
          <t>Dátiles</t>
        </is>
      </c>
    </row>
    <row r="887">
      <c r="A887" t="inlineStr">
        <is>
          <t>crop</t>
        </is>
      </c>
      <c r="B887" t="inlineStr">
        <is>
          <t>7.99</t>
        </is>
      </c>
      <c r="C887" t="inlineStr">
        <is>
          <t>Other fruit</t>
        </is>
      </c>
      <c r="D887" t="inlineStr">
        <is>
          <t>Otras frutas</t>
        </is>
      </c>
    </row>
    <row r="888">
      <c r="A888" t="inlineStr">
        <is>
          <t>crop</t>
        </is>
      </c>
      <c r="B888" t="inlineStr">
        <is>
          <t>8.1</t>
        </is>
      </c>
      <c r="C888" t="inlineStr">
        <is>
          <t>Coconuts</t>
        </is>
      </c>
      <c r="D888" t="inlineStr">
        <is>
          <t>Coco</t>
        </is>
      </c>
    </row>
    <row r="889">
      <c r="A889" t="inlineStr">
        <is>
          <t>crop</t>
        </is>
      </c>
      <c r="B889" t="inlineStr">
        <is>
          <t>8.2</t>
        </is>
      </c>
      <c r="C889" t="inlineStr">
        <is>
          <t>Groundnut/peanut</t>
        </is>
      </c>
      <c r="D889" t="inlineStr">
        <is>
          <t>Cacahuates/maní</t>
        </is>
      </c>
    </row>
    <row r="890">
      <c r="A890" t="inlineStr">
        <is>
          <t>crop</t>
        </is>
      </c>
      <c r="B890" t="inlineStr">
        <is>
          <t>8.3</t>
        </is>
      </c>
      <c r="C890" t="inlineStr">
        <is>
          <t>Cashew Nut</t>
        </is>
      </c>
      <c r="D890" t="inlineStr">
        <is>
          <t>Anacardos</t>
        </is>
      </c>
    </row>
    <row r="891">
      <c r="A891" t="inlineStr">
        <is>
          <t>crop</t>
        </is>
      </c>
      <c r="B891" t="inlineStr">
        <is>
          <t>8.4</t>
        </is>
      </c>
      <c r="C891" t="inlineStr">
        <is>
          <t>Kola Nut</t>
        </is>
      </c>
      <c r="D891" t="inlineStr">
        <is>
          <t>Nuez de cola</t>
        </is>
      </c>
    </row>
    <row r="892">
      <c r="A892" t="inlineStr">
        <is>
          <t>crop</t>
        </is>
      </c>
      <c r="B892" t="inlineStr">
        <is>
          <t>8.5</t>
        </is>
      </c>
      <c r="C892" t="inlineStr">
        <is>
          <t>Sesame</t>
        </is>
      </c>
      <c r="D892" t="inlineStr">
        <is>
          <t>Sésamo</t>
        </is>
      </c>
    </row>
    <row r="893">
      <c r="A893" t="inlineStr">
        <is>
          <t>crop</t>
        </is>
      </c>
      <c r="B893" t="inlineStr">
        <is>
          <t>8.6</t>
        </is>
      </c>
      <c r="C893" t="inlineStr">
        <is>
          <t>Bambara nut</t>
        </is>
      </c>
      <c r="D893" t="inlineStr">
        <is>
          <t>Nuez de bambara</t>
        </is>
      </c>
    </row>
    <row r="894">
      <c r="A894" t="inlineStr">
        <is>
          <t>crop</t>
        </is>
      </c>
      <c r="B894" t="inlineStr">
        <is>
          <t>8.7</t>
        </is>
      </c>
      <c r="C894" t="inlineStr">
        <is>
          <t>Almond</t>
        </is>
      </c>
      <c r="D894" t="inlineStr">
        <is>
          <t>Almendra</t>
        </is>
      </c>
    </row>
    <row r="895">
      <c r="A895" t="inlineStr">
        <is>
          <t>crop</t>
        </is>
      </c>
      <c r="B895" t="inlineStr">
        <is>
          <t>8.8</t>
        </is>
      </c>
      <c r="C895" t="inlineStr">
        <is>
          <t>Walnut</t>
        </is>
      </c>
      <c r="D895" t="inlineStr">
        <is>
          <t>Nuez</t>
        </is>
      </c>
    </row>
    <row r="896">
      <c r="A896" t="inlineStr">
        <is>
          <t>crop</t>
        </is>
      </c>
      <c r="B896" t="inlineStr">
        <is>
          <t>8.99</t>
        </is>
      </c>
      <c r="C896" t="inlineStr">
        <is>
          <t>Other nuts</t>
        </is>
      </c>
      <c r="D896" t="inlineStr">
        <is>
          <t>Otros frutos secos</t>
        </is>
      </c>
    </row>
    <row r="897">
      <c r="A897" t="inlineStr">
        <is>
          <t>crop</t>
        </is>
      </c>
      <c r="B897" t="inlineStr">
        <is>
          <t>9.1</t>
        </is>
      </c>
      <c r="C897" t="inlineStr">
        <is>
          <t>Cocoa</t>
        </is>
      </c>
      <c r="D897" t="inlineStr">
        <is>
          <t>Cacao</t>
        </is>
      </c>
    </row>
    <row r="898">
      <c r="A898" t="inlineStr">
        <is>
          <t>crop</t>
        </is>
      </c>
      <c r="B898" t="inlineStr">
        <is>
          <t>9.3</t>
        </is>
      </c>
      <c r="C898" t="inlineStr">
        <is>
          <t>Tea</t>
        </is>
      </c>
      <c r="D898" t="inlineStr">
        <is>
          <t>Té</t>
        </is>
      </c>
    </row>
    <row r="899">
      <c r="A899" t="inlineStr">
        <is>
          <t>crop</t>
        </is>
      </c>
      <c r="B899" t="inlineStr">
        <is>
          <t>9.4</t>
        </is>
      </c>
      <c r="C899" t="inlineStr">
        <is>
          <t>Sugarcane</t>
        </is>
      </c>
      <c r="D899" t="inlineStr">
        <is>
          <t>Caña de azúcar</t>
        </is>
      </c>
    </row>
    <row r="900">
      <c r="A900" t="inlineStr">
        <is>
          <t>crop</t>
        </is>
      </c>
      <c r="B900" t="inlineStr">
        <is>
          <t>9.5</t>
        </is>
      </c>
      <c r="C900" t="inlineStr">
        <is>
          <t>Sunflower</t>
        </is>
      </c>
      <c r="D900" t="inlineStr">
        <is>
          <t>Girasol (plantas o semillas)</t>
        </is>
      </c>
    </row>
    <row r="901">
      <c r="A901" t="inlineStr">
        <is>
          <t>crop</t>
        </is>
      </c>
      <c r="B901" t="inlineStr">
        <is>
          <t>9.99</t>
        </is>
      </c>
      <c r="C901" t="inlineStr">
        <is>
          <t>Other food cash crop</t>
        </is>
      </c>
      <c r="D901" t="inlineStr">
        <is>
          <t>Otros cultivos comerciales alimentarios</t>
        </is>
      </c>
    </row>
    <row r="902">
      <c r="A902" t="inlineStr">
        <is>
          <t>crop</t>
        </is>
      </c>
      <c r="B902" t="inlineStr">
        <is>
          <t>10.1</t>
        </is>
      </c>
      <c r="C902" t="inlineStr">
        <is>
          <t>Cotton</t>
        </is>
      </c>
      <c r="D902" t="inlineStr">
        <is>
          <t>Algodón</t>
        </is>
      </c>
    </row>
    <row r="903">
      <c r="A903" t="inlineStr">
        <is>
          <t>crop</t>
        </is>
      </c>
      <c r="B903" t="inlineStr">
        <is>
          <t>10.2</t>
        </is>
      </c>
      <c r="C903" t="inlineStr">
        <is>
          <t>Rubber</t>
        </is>
      </c>
      <c r="D903" t="inlineStr">
        <is>
          <t>Caucho</t>
        </is>
      </c>
    </row>
    <row r="904">
      <c r="A904" t="inlineStr">
        <is>
          <t>crop</t>
        </is>
      </c>
      <c r="B904" t="inlineStr">
        <is>
          <t>10.3</t>
        </is>
      </c>
      <c r="C904" t="inlineStr">
        <is>
          <t>Jute</t>
        </is>
      </c>
      <c r="D904" t="inlineStr">
        <is>
          <t>Yute</t>
        </is>
      </c>
    </row>
    <row r="905">
      <c r="A905" t="inlineStr">
        <is>
          <t>crop</t>
        </is>
      </c>
      <c r="B905" t="inlineStr">
        <is>
          <t>10.4</t>
        </is>
      </c>
      <c r="C905" t="inlineStr">
        <is>
          <t>Fodder</t>
        </is>
      </c>
      <c r="D905" t="inlineStr">
        <is>
          <t>Forraje</t>
        </is>
      </c>
    </row>
    <row r="906">
      <c r="A906" t="inlineStr">
        <is>
          <t>crop</t>
        </is>
      </c>
      <c r="B906" t="inlineStr">
        <is>
          <t>10.5</t>
        </is>
      </c>
      <c r="C906" t="inlineStr">
        <is>
          <t>Tobacco</t>
        </is>
      </c>
      <c r="D906" t="inlineStr">
        <is>
          <t>Tabaco</t>
        </is>
      </c>
    </row>
    <row r="907">
      <c r="A907" t="inlineStr">
        <is>
          <t>crop</t>
        </is>
      </c>
      <c r="B907" t="inlineStr">
        <is>
          <t>10.6</t>
        </is>
      </c>
      <c r="C907" t="inlineStr">
        <is>
          <t>Qat</t>
        </is>
      </c>
      <c r="D907" t="inlineStr">
        <is>
          <t>Qat</t>
        </is>
      </c>
    </row>
    <row r="908">
      <c r="A908" t="inlineStr">
        <is>
          <t>crop</t>
        </is>
      </c>
      <c r="B908" t="inlineStr">
        <is>
          <t>10.99</t>
        </is>
      </c>
      <c r="C908" t="inlineStr">
        <is>
          <t>Other non-food cash crop</t>
        </is>
      </c>
      <c r="D908" t="inlineStr">
        <is>
          <t>Otros cultivos comerciales no alimentarios</t>
        </is>
      </c>
    </row>
    <row r="909">
      <c r="A909" t="inlineStr">
        <is>
          <t>crop</t>
        </is>
      </c>
      <c r="B909" t="inlineStr">
        <is>
          <t>777</t>
        </is>
      </c>
      <c r="C909" t="inlineStr">
        <is>
          <t>No crop production</t>
        </is>
      </c>
      <c r="D909" t="inlineStr">
        <is>
          <t>Sin producción de cultivos</t>
        </is>
      </c>
    </row>
    <row r="910">
      <c r="A910" t="inlineStr">
        <is>
          <t>crop</t>
        </is>
      </c>
      <c r="B910" t="inlineStr">
        <is>
          <t>888</t>
        </is>
      </c>
      <c r="C910" t="inlineStr">
        <is>
          <t>Don't know</t>
        </is>
      </c>
      <c r="D910" t="inlineStr">
        <is>
          <t>no sé</t>
        </is>
      </c>
    </row>
    <row r="911">
      <c r="A911" t="inlineStr">
        <is>
          <t>crop</t>
        </is>
      </c>
      <c r="B911" t="inlineStr">
        <is>
          <t>999</t>
        </is>
      </c>
      <c r="C911" t="inlineStr">
        <is>
          <t>Refused</t>
        </is>
      </c>
      <c r="D911" t="inlineStr">
        <is>
          <t>Rechazado</t>
        </is>
      </c>
    </row>
    <row r="913">
      <c r="A913" t="inlineStr">
        <is>
          <t>crop2</t>
        </is>
      </c>
      <c r="B913" t="inlineStr">
        <is>
          <t>1.4</t>
        </is>
      </c>
      <c r="C913" t="inlineStr">
        <is>
          <t>Sorghum</t>
        </is>
      </c>
      <c r="D913" t="inlineStr">
        <is>
          <t>Sorgo</t>
        </is>
      </c>
    </row>
    <row r="914">
      <c r="A914" t="inlineStr">
        <is>
          <t>crop2</t>
        </is>
      </c>
      <c r="B914" t="inlineStr">
        <is>
          <t>1.5</t>
        </is>
      </c>
      <c r="C914" t="inlineStr">
        <is>
          <t>Maize</t>
        </is>
      </c>
      <c r="D914" t="inlineStr">
        <is>
          <t>Maíz</t>
        </is>
      </c>
    </row>
    <row r="915">
      <c r="A915" t="inlineStr">
        <is>
          <t>crop2</t>
        </is>
      </c>
      <c r="B915" t="inlineStr">
        <is>
          <t>2.2</t>
        </is>
      </c>
      <c r="C915" t="inlineStr">
        <is>
          <t>Potatoe</t>
        </is>
      </c>
      <c r="D915" t="inlineStr">
        <is>
          <t>Patatas</t>
        </is>
      </c>
    </row>
    <row r="916">
      <c r="A916" t="inlineStr">
        <is>
          <t>crop2</t>
        </is>
      </c>
      <c r="B916" t="inlineStr">
        <is>
          <t>3.1</t>
        </is>
      </c>
      <c r="C916" t="inlineStr">
        <is>
          <t>Beans</t>
        </is>
      </c>
      <c r="D916" t="inlineStr">
        <is>
          <t>Frijoles</t>
        </is>
      </c>
    </row>
    <row r="917">
      <c r="A917" t="inlineStr">
        <is>
          <t>crop2</t>
        </is>
      </c>
      <c r="B917" t="inlineStr">
        <is>
          <t>4.2</t>
        </is>
      </c>
      <c r="C917" t="inlineStr">
        <is>
          <t>Lettuce</t>
        </is>
      </c>
      <c r="D917" t="inlineStr">
        <is>
          <t>Lechuga</t>
        </is>
      </c>
    </row>
    <row r="918">
      <c r="A918" t="inlineStr">
        <is>
          <t>crop2</t>
        </is>
      </c>
      <c r="B918" t="inlineStr">
        <is>
          <t>4.3</t>
        </is>
      </c>
      <c r="C918" t="inlineStr">
        <is>
          <t>Spinach-Amaranth</t>
        </is>
      </c>
      <c r="D918" t="inlineStr">
        <is>
          <t>Espinacas-amaranto</t>
        </is>
      </c>
    </row>
    <row r="919">
      <c r="A919" t="inlineStr">
        <is>
          <t>crop2</t>
        </is>
      </c>
      <c r="B919" t="inlineStr">
        <is>
          <t>4.9</t>
        </is>
      </c>
      <c r="C919" t="inlineStr">
        <is>
          <t>Green salad herbs (thyme, parsley, mint, rocca, other)</t>
        </is>
      </c>
      <c r="D919" t="inlineStr">
        <is>
          <t>Hierbas verdes para ensalada (tomillo, perejil, menta, rocca, otras)</t>
        </is>
      </c>
    </row>
    <row r="920">
      <c r="A920" t="inlineStr">
        <is>
          <t>crop2</t>
        </is>
      </c>
      <c r="B920" t="inlineStr">
        <is>
          <t>5.1</t>
        </is>
      </c>
      <c r="C920" t="inlineStr">
        <is>
          <t>Tomatoes</t>
        </is>
      </c>
      <c r="D920" t="inlineStr">
        <is>
          <t>Tomates</t>
        </is>
      </c>
    </row>
    <row r="921">
      <c r="A921" t="inlineStr">
        <is>
          <t>crop2</t>
        </is>
      </c>
      <c r="B921" t="inlineStr">
        <is>
          <t>5.8</t>
        </is>
      </c>
      <c r="C921" t="inlineStr">
        <is>
          <t>Onions</t>
        </is>
      </c>
      <c r="D921" t="inlineStr">
        <is>
          <t>Cebollas</t>
        </is>
      </c>
    </row>
    <row r="922">
      <c r="A922" t="inlineStr">
        <is>
          <t>crop2</t>
        </is>
      </c>
      <c r="B922" t="inlineStr">
        <is>
          <t>9.2</t>
        </is>
      </c>
      <c r="C922" t="inlineStr">
        <is>
          <t>Coffee</t>
        </is>
      </c>
      <c r="D922" t="inlineStr">
        <is>
          <t>Café</t>
        </is>
      </c>
    </row>
    <row r="923">
      <c r="A923" t="inlineStr">
        <is>
          <t>crop2</t>
        </is>
      </c>
      <c r="B923" t="inlineStr">
        <is>
          <t>1.1</t>
        </is>
      </c>
      <c r="C923" t="inlineStr">
        <is>
          <t>Rice</t>
        </is>
      </c>
      <c r="D923" t="inlineStr">
        <is>
          <t>Arroz</t>
        </is>
      </c>
    </row>
    <row r="924">
      <c r="A924" t="inlineStr">
        <is>
          <t>crop2</t>
        </is>
      </c>
      <c r="B924" t="inlineStr">
        <is>
          <t>1.2</t>
        </is>
      </c>
      <c r="C924" t="inlineStr">
        <is>
          <t>Wheat</t>
        </is>
      </c>
      <c r="D924" t="inlineStr">
        <is>
          <t>Trigo</t>
        </is>
      </c>
    </row>
    <row r="925">
      <c r="A925" t="inlineStr">
        <is>
          <t>crop2</t>
        </is>
      </c>
      <c r="B925" t="inlineStr">
        <is>
          <t>1.3</t>
        </is>
      </c>
      <c r="C925" t="inlineStr">
        <is>
          <t>Millet</t>
        </is>
      </c>
      <c r="D925" t="inlineStr">
        <is>
          <t>Mijo</t>
        </is>
      </c>
    </row>
    <row r="926">
      <c r="A926" t="inlineStr">
        <is>
          <t>crop2</t>
        </is>
      </c>
      <c r="B926" t="inlineStr">
        <is>
          <t>1.6</t>
        </is>
      </c>
      <c r="C926" t="inlineStr">
        <is>
          <t>Barley</t>
        </is>
      </c>
      <c r="D926" t="inlineStr">
        <is>
          <t>Cebada</t>
        </is>
      </c>
    </row>
    <row r="927">
      <c r="A927" t="inlineStr">
        <is>
          <t>crop2</t>
        </is>
      </c>
      <c r="B927" t="inlineStr">
        <is>
          <t>1.99</t>
        </is>
      </c>
      <c r="C927" t="inlineStr">
        <is>
          <t>Other Cereal</t>
        </is>
      </c>
      <c r="D927" t="inlineStr">
        <is>
          <t>Otros cereales</t>
        </is>
      </c>
    </row>
    <row r="928">
      <c r="A928" t="inlineStr">
        <is>
          <t>crop2</t>
        </is>
      </c>
      <c r="B928" t="inlineStr">
        <is>
          <t>2.1</t>
        </is>
      </c>
      <c r="C928" t="inlineStr">
        <is>
          <t>Cassava</t>
        </is>
      </c>
      <c r="D928" t="inlineStr">
        <is>
          <t>Yuca</t>
        </is>
      </c>
    </row>
    <row r="929">
      <c r="A929" t="inlineStr">
        <is>
          <t>crop2</t>
        </is>
      </c>
      <c r="B929" t="inlineStr">
        <is>
          <t>2.3</t>
        </is>
      </c>
      <c r="C929" t="inlineStr">
        <is>
          <t>Sweet Potatoes</t>
        </is>
      </c>
      <c r="D929" t="inlineStr">
        <is>
          <t>Patatas dulces</t>
        </is>
      </c>
    </row>
    <row r="930">
      <c r="A930" t="inlineStr">
        <is>
          <t>crop2</t>
        </is>
      </c>
      <c r="B930" t="inlineStr">
        <is>
          <t>2.4</t>
        </is>
      </c>
      <c r="C930" t="inlineStr">
        <is>
          <t>Yams</t>
        </is>
      </c>
      <c r="D930" t="inlineStr">
        <is>
          <t>Ñames</t>
        </is>
      </c>
    </row>
    <row r="931">
      <c r="A931" t="inlineStr">
        <is>
          <t>crop2</t>
        </is>
      </c>
      <c r="B931" t="inlineStr">
        <is>
          <t>2.5</t>
        </is>
      </c>
      <c r="C931" t="inlineStr">
        <is>
          <t>Carrots</t>
        </is>
      </c>
      <c r="D931" t="inlineStr">
        <is>
          <t>Zanahorias</t>
        </is>
      </c>
    </row>
    <row r="932">
      <c r="A932" t="inlineStr">
        <is>
          <t>crop2</t>
        </is>
      </c>
      <c r="B932" t="inlineStr">
        <is>
          <t>2.6</t>
        </is>
      </c>
      <c r="C932" t="inlineStr">
        <is>
          <t>Cocoyam</t>
        </is>
      </c>
      <c r="D932" t="inlineStr">
        <is>
          <t>Cocoyam</t>
        </is>
      </c>
    </row>
    <row r="933">
      <c r="A933" t="inlineStr">
        <is>
          <t>crop2</t>
        </is>
      </c>
      <c r="B933" t="inlineStr">
        <is>
          <t>2.99</t>
        </is>
      </c>
      <c r="C933" t="inlineStr">
        <is>
          <t>Other tubers</t>
        </is>
      </c>
      <c r="D933" t="inlineStr">
        <is>
          <t>Otros tubérculos</t>
        </is>
      </c>
    </row>
    <row r="934">
      <c r="A934" t="inlineStr">
        <is>
          <t>crop2</t>
        </is>
      </c>
      <c r="B934" t="inlineStr">
        <is>
          <t>3.2</t>
        </is>
      </c>
      <c r="C934" t="inlineStr">
        <is>
          <t>Lentils</t>
        </is>
      </c>
      <c r="D934" t="inlineStr">
        <is>
          <t>Lentejas</t>
        </is>
      </c>
    </row>
    <row r="935">
      <c r="A935" t="inlineStr">
        <is>
          <t>crop2</t>
        </is>
      </c>
      <c r="B935" t="inlineStr">
        <is>
          <t>3.3</t>
        </is>
      </c>
      <c r="C935" t="inlineStr">
        <is>
          <t>Peas</t>
        </is>
      </c>
      <c r="D935" t="inlineStr">
        <is>
          <t>Guisantes</t>
        </is>
      </c>
    </row>
    <row r="936">
      <c r="A936" t="inlineStr">
        <is>
          <t>crop2</t>
        </is>
      </c>
      <c r="B936" t="inlineStr">
        <is>
          <t>3.4</t>
        </is>
      </c>
      <c r="C936" t="inlineStr">
        <is>
          <t>Soybeans</t>
        </is>
      </c>
      <c r="D936" t="inlineStr">
        <is>
          <t>Soja</t>
        </is>
      </c>
    </row>
    <row r="937">
      <c r="A937" t="inlineStr">
        <is>
          <t>crop2</t>
        </is>
      </c>
      <c r="B937" t="inlineStr">
        <is>
          <t>3.5</t>
        </is>
      </c>
      <c r="C937" t="inlineStr">
        <is>
          <t>Chickpeas</t>
        </is>
      </c>
      <c r="D937" t="inlineStr">
        <is>
          <t>Garbanzos</t>
        </is>
      </c>
    </row>
    <row r="938">
      <c r="A938" t="inlineStr">
        <is>
          <t>crop2</t>
        </is>
      </c>
      <c r="B938" t="inlineStr">
        <is>
          <t>3.6</t>
        </is>
      </c>
      <c r="C938" t="inlineStr">
        <is>
          <t>Fava beans</t>
        </is>
      </c>
      <c r="D938" t="inlineStr">
        <is>
          <t>Habas</t>
        </is>
      </c>
    </row>
    <row r="939">
      <c r="A939" t="inlineStr">
        <is>
          <t>crop2</t>
        </is>
      </c>
      <c r="B939" t="inlineStr">
        <is>
          <t>3.7</t>
        </is>
      </c>
      <c r="C939" t="inlineStr">
        <is>
          <t>Broad beans</t>
        </is>
      </c>
      <c r="D939" t="inlineStr">
        <is>
          <t>Habas</t>
        </is>
      </c>
    </row>
    <row r="940">
      <c r="A940" t="inlineStr">
        <is>
          <t>crop2</t>
        </is>
      </c>
      <c r="B940" t="inlineStr">
        <is>
          <t>3.99</t>
        </is>
      </c>
      <c r="C940" t="inlineStr">
        <is>
          <t>Other pulses</t>
        </is>
      </c>
      <c r="D940" t="inlineStr">
        <is>
          <t>Otras legumbres</t>
        </is>
      </c>
    </row>
    <row r="941">
      <c r="A941" t="inlineStr">
        <is>
          <t>crop2</t>
        </is>
      </c>
      <c r="B941" t="inlineStr">
        <is>
          <t>4.1</t>
        </is>
      </c>
      <c r="C941" t="inlineStr">
        <is>
          <t>Cabbage</t>
        </is>
      </c>
      <c r="D941" t="inlineStr">
        <is>
          <t>Coles</t>
        </is>
      </c>
    </row>
    <row r="942">
      <c r="A942" t="inlineStr">
        <is>
          <t>crop2</t>
        </is>
      </c>
      <c r="B942" t="inlineStr">
        <is>
          <t>4.101</t>
        </is>
      </c>
      <c r="C942" t="inlineStr">
        <is>
          <t>Cauliflower</t>
        </is>
      </c>
      <c r="D942" t="inlineStr">
        <is>
          <t>Coliflor</t>
        </is>
      </c>
    </row>
    <row r="943">
      <c r="A943" t="inlineStr">
        <is>
          <t>crop2</t>
        </is>
      </c>
      <c r="B943" t="inlineStr">
        <is>
          <t>4.4</t>
        </is>
      </c>
      <c r="C943" t="inlineStr">
        <is>
          <t>Cassava leaves</t>
        </is>
      </c>
      <c r="D943" t="inlineStr">
        <is>
          <t>Hojas de yuca/mandioca</t>
        </is>
      </c>
    </row>
    <row r="944">
      <c r="A944" t="inlineStr">
        <is>
          <t>crop2</t>
        </is>
      </c>
      <c r="B944" t="inlineStr">
        <is>
          <t>4.5</t>
        </is>
      </c>
      <c r="C944" t="inlineStr">
        <is>
          <t>Potatoe leaves</t>
        </is>
      </c>
      <c r="D944" t="inlineStr">
        <is>
          <t>Hojas de patata</t>
        </is>
      </c>
    </row>
    <row r="945">
      <c r="A945" t="inlineStr">
        <is>
          <t>crop2</t>
        </is>
      </c>
      <c r="B945" t="inlineStr">
        <is>
          <t>4.6</t>
        </is>
      </c>
      <c r="C945" t="inlineStr">
        <is>
          <t>Moringa</t>
        </is>
      </c>
      <c r="D945" t="inlineStr">
        <is>
          <t>Moringa</t>
        </is>
      </c>
    </row>
    <row r="946">
      <c r="A946" t="inlineStr">
        <is>
          <t>crop2</t>
        </is>
      </c>
      <c r="B946" t="inlineStr">
        <is>
          <t>4.7</t>
        </is>
      </c>
      <c r="C946" t="inlineStr">
        <is>
          <t>Sorrel Hibiscus / Rosselle</t>
        </is>
      </c>
      <c r="D946" t="inlineStr">
        <is>
          <t>Rosella / Flor de jamaica</t>
        </is>
      </c>
    </row>
    <row r="947">
      <c r="A947" t="inlineStr">
        <is>
          <t>crop2</t>
        </is>
      </c>
      <c r="B947" t="inlineStr">
        <is>
          <t>4.99</t>
        </is>
      </c>
      <c r="C947" t="inlineStr">
        <is>
          <t>Other leafy vegetables</t>
        </is>
      </c>
      <c r="D947" t="inlineStr">
        <is>
          <t>Otras verduras de hoja</t>
        </is>
      </c>
    </row>
    <row r="948">
      <c r="A948" t="inlineStr">
        <is>
          <t>crop2</t>
        </is>
      </c>
      <c r="B948" t="inlineStr">
        <is>
          <t>5.101</t>
        </is>
      </c>
      <c r="C948" t="inlineStr">
        <is>
          <t>Green peas</t>
        </is>
      </c>
      <c r="D948" t="inlineStr">
        <is>
          <t>Arberjas</t>
        </is>
      </c>
    </row>
    <row r="949">
      <c r="A949" t="inlineStr">
        <is>
          <t>crop2</t>
        </is>
      </c>
      <c r="B949" t="inlineStr">
        <is>
          <t>5.11</t>
        </is>
      </c>
      <c r="C949" t="inlineStr">
        <is>
          <t>Fava beans green</t>
        </is>
      </c>
      <c r="D949" t="inlineStr">
        <is>
          <t>Habas verdes</t>
        </is>
      </c>
    </row>
    <row r="950">
      <c r="A950" t="inlineStr">
        <is>
          <t>crop2</t>
        </is>
      </c>
      <c r="B950" t="inlineStr">
        <is>
          <t>5.2</t>
        </is>
      </c>
      <c r="C950" t="inlineStr">
        <is>
          <t>Cucumber</t>
        </is>
      </c>
      <c r="D950" t="inlineStr">
        <is>
          <t>Pepino</t>
        </is>
      </c>
    </row>
    <row r="951">
      <c r="A951" t="inlineStr">
        <is>
          <t>crop2</t>
        </is>
      </c>
      <c r="B951" t="inlineStr">
        <is>
          <t>5.3</t>
        </is>
      </c>
      <c r="C951" t="inlineStr">
        <is>
          <t>Pumpkin</t>
        </is>
      </c>
      <c r="D951" t="inlineStr">
        <is>
          <t>Calabaza</t>
        </is>
      </c>
    </row>
    <row r="952">
      <c r="A952" t="inlineStr">
        <is>
          <t>crop2</t>
        </is>
      </c>
      <c r="B952" t="inlineStr">
        <is>
          <t>5.4</t>
        </is>
      </c>
      <c r="C952" t="inlineStr">
        <is>
          <t>Eggplant/aubergine</t>
        </is>
      </c>
      <c r="D952" t="inlineStr">
        <is>
          <t>Berenjena</t>
        </is>
      </c>
    </row>
    <row r="953">
      <c r="A953" t="inlineStr">
        <is>
          <t>crop2</t>
        </is>
      </c>
      <c r="B953" t="inlineStr">
        <is>
          <t>5.5</t>
        </is>
      </c>
      <c r="C953" t="inlineStr">
        <is>
          <t>Zucchini</t>
        </is>
      </c>
      <c r="D953" t="inlineStr">
        <is>
          <t>Calabacín</t>
        </is>
      </c>
    </row>
    <row r="954">
      <c r="A954" t="inlineStr">
        <is>
          <t>crop2</t>
        </is>
      </c>
      <c r="B954" t="inlineStr">
        <is>
          <t>5.6</t>
        </is>
      </c>
      <c r="C954" t="inlineStr">
        <is>
          <t>Okra</t>
        </is>
      </c>
      <c r="D954" t="inlineStr">
        <is>
          <t>Okra</t>
        </is>
      </c>
    </row>
    <row r="955">
      <c r="A955" t="inlineStr">
        <is>
          <t>crop2</t>
        </is>
      </c>
      <c r="B955" t="inlineStr">
        <is>
          <t>5.7</t>
        </is>
      </c>
      <c r="C955" t="inlineStr">
        <is>
          <t>Bell pepper</t>
        </is>
      </c>
      <c r="D955" t="inlineStr">
        <is>
          <t>Pimiento</t>
        </is>
      </c>
    </row>
    <row r="956">
      <c r="A956" t="inlineStr">
        <is>
          <t>crop2</t>
        </is>
      </c>
      <c r="B956" t="inlineStr">
        <is>
          <t>5.9</t>
        </is>
      </c>
      <c r="C956" t="inlineStr">
        <is>
          <t>Haricot</t>
        </is>
      </c>
      <c r="D956" t="inlineStr">
        <is>
          <t>Judías</t>
        </is>
      </c>
    </row>
    <row r="957">
      <c r="A957" t="inlineStr">
        <is>
          <t>crop2</t>
        </is>
      </c>
      <c r="B957" t="inlineStr">
        <is>
          <t>5.99</t>
        </is>
      </c>
      <c r="C957" t="inlineStr">
        <is>
          <t>Other non leafy vegs</t>
        </is>
      </c>
      <c r="D957" t="inlineStr">
        <is>
          <t>Otras verduras</t>
        </is>
      </c>
    </row>
    <row r="958">
      <c r="A958" t="inlineStr">
        <is>
          <t>crop2</t>
        </is>
      </c>
      <c r="B958" t="inlineStr">
        <is>
          <t>6.1</t>
        </is>
      </c>
      <c r="C958" t="inlineStr">
        <is>
          <t>Orange</t>
        </is>
      </c>
      <c r="D958" t="inlineStr">
        <is>
          <t>Naranja</t>
        </is>
      </c>
    </row>
    <row r="959">
      <c r="A959" t="inlineStr">
        <is>
          <t>crop2</t>
        </is>
      </c>
      <c r="B959" t="inlineStr">
        <is>
          <t>6.2</t>
        </is>
      </c>
      <c r="C959" t="inlineStr">
        <is>
          <t>Lemon</t>
        </is>
      </c>
      <c r="D959" t="inlineStr">
        <is>
          <t>Limón</t>
        </is>
      </c>
    </row>
    <row r="960">
      <c r="A960" t="inlineStr">
        <is>
          <t>crop2</t>
        </is>
      </c>
      <c r="B960" t="inlineStr">
        <is>
          <t>6.3</t>
        </is>
      </c>
      <c r="C960" t="inlineStr">
        <is>
          <t>Grapefruit</t>
        </is>
      </c>
      <c r="D960" t="inlineStr">
        <is>
          <t>Pomelo</t>
        </is>
      </c>
    </row>
    <row r="961">
      <c r="A961" t="inlineStr">
        <is>
          <t>crop2</t>
        </is>
      </c>
      <c r="B961" t="inlineStr">
        <is>
          <t>6.4</t>
        </is>
      </c>
      <c r="C961" t="inlineStr">
        <is>
          <t>Mandarins/clementines</t>
        </is>
      </c>
      <c r="D961" t="inlineStr">
        <is>
          <t>Mandarinas</t>
        </is>
      </c>
    </row>
    <row r="962">
      <c r="A962" t="inlineStr">
        <is>
          <t>crop2</t>
        </is>
      </c>
      <c r="B962" t="inlineStr">
        <is>
          <t>6.99</t>
        </is>
      </c>
      <c r="C962" t="inlineStr">
        <is>
          <t>Other citrus fruit</t>
        </is>
      </c>
      <c r="D962" t="inlineStr">
        <is>
          <t>Otros cítricos</t>
        </is>
      </c>
    </row>
    <row r="963">
      <c r="A963" t="inlineStr">
        <is>
          <t>crop2</t>
        </is>
      </c>
      <c r="B963" t="inlineStr">
        <is>
          <t>7.1</t>
        </is>
      </c>
      <c r="C963" t="inlineStr">
        <is>
          <t>Sweet Banana</t>
        </is>
      </c>
      <c r="D963" t="inlineStr">
        <is>
          <t>Plátano dulce / bananas</t>
        </is>
      </c>
    </row>
    <row r="964">
      <c r="A964" t="inlineStr">
        <is>
          <t>crop2</t>
        </is>
      </c>
      <c r="B964" t="inlineStr">
        <is>
          <t>7.101</t>
        </is>
      </c>
      <c r="C964" t="inlineStr">
        <is>
          <t>Figs</t>
        </is>
      </c>
      <c r="D964" t="inlineStr">
        <is>
          <t>Higos</t>
        </is>
      </c>
    </row>
    <row r="965">
      <c r="A965" t="inlineStr">
        <is>
          <t>crop2</t>
        </is>
      </c>
      <c r="B965" t="inlineStr">
        <is>
          <t>7.11</t>
        </is>
      </c>
      <c r="C965" t="inlineStr">
        <is>
          <t>Grapes</t>
        </is>
      </c>
      <c r="D965" t="inlineStr">
        <is>
          <t>Uvas</t>
        </is>
      </c>
    </row>
    <row r="966">
      <c r="A966" t="inlineStr">
        <is>
          <t>crop2</t>
        </is>
      </c>
      <c r="B966" t="inlineStr">
        <is>
          <t>7.12</t>
        </is>
      </c>
      <c r="C966" t="inlineStr">
        <is>
          <t>Olives</t>
        </is>
      </c>
      <c r="D966" t="inlineStr">
        <is>
          <t>Aceitunas</t>
        </is>
      </c>
    </row>
    <row r="967">
      <c r="A967" t="inlineStr">
        <is>
          <t>crop2</t>
        </is>
      </c>
      <c r="B967" t="inlineStr">
        <is>
          <t>7.13</t>
        </is>
      </c>
      <c r="C967" t="inlineStr">
        <is>
          <t>Apple</t>
        </is>
      </c>
      <c r="D967" t="inlineStr">
        <is>
          <t>Manzanas</t>
        </is>
      </c>
    </row>
    <row r="968">
      <c r="A968" t="inlineStr">
        <is>
          <t>crop2</t>
        </is>
      </c>
      <c r="B968" t="inlineStr">
        <is>
          <t>7.14</t>
        </is>
      </c>
      <c r="C968" t="inlineStr">
        <is>
          <t>Apricot</t>
        </is>
      </c>
      <c r="D968" t="inlineStr">
        <is>
          <t>Albaricoques</t>
        </is>
      </c>
    </row>
    <row r="969">
      <c r="A969" t="inlineStr">
        <is>
          <t>crop2</t>
        </is>
      </c>
      <c r="B969" t="inlineStr">
        <is>
          <t>7.15</t>
        </is>
      </c>
      <c r="C969" t="inlineStr">
        <is>
          <t>Cherries</t>
        </is>
      </c>
      <c r="D969" t="inlineStr">
        <is>
          <t>Cerezas</t>
        </is>
      </c>
    </row>
    <row r="970">
      <c r="A970" t="inlineStr">
        <is>
          <t>crop2</t>
        </is>
      </c>
      <c r="B970" t="inlineStr">
        <is>
          <t>7.16</t>
        </is>
      </c>
      <c r="C970" t="inlineStr">
        <is>
          <t>Peach/nectarine</t>
        </is>
      </c>
      <c r="D970" t="inlineStr">
        <is>
          <t>Duraznos/ nectárinas</t>
        </is>
      </c>
    </row>
    <row r="971">
      <c r="A971" t="inlineStr">
        <is>
          <t>crop2</t>
        </is>
      </c>
      <c r="B971" t="inlineStr">
        <is>
          <t>7.17</t>
        </is>
      </c>
      <c r="C971" t="inlineStr">
        <is>
          <t>Strawberries</t>
        </is>
      </c>
      <c r="D971" t="inlineStr">
        <is>
          <t>Fresas</t>
        </is>
      </c>
    </row>
    <row r="972">
      <c r="A972" t="inlineStr">
        <is>
          <t>crop2</t>
        </is>
      </c>
      <c r="B972" t="inlineStr">
        <is>
          <t>7.18</t>
        </is>
      </c>
      <c r="C972" t="inlineStr">
        <is>
          <t>Melon (Cantaloupe)</t>
        </is>
      </c>
      <c r="D972" t="inlineStr">
        <is>
          <t>Melon</t>
        </is>
      </c>
    </row>
    <row r="973">
      <c r="A973" t="inlineStr">
        <is>
          <t>crop2</t>
        </is>
      </c>
      <c r="B973" t="inlineStr">
        <is>
          <t>7.2</t>
        </is>
      </c>
      <c r="C973" t="inlineStr">
        <is>
          <t>Plantains</t>
        </is>
      </c>
      <c r="D973" t="inlineStr">
        <is>
          <t>Plátano</t>
        </is>
      </c>
    </row>
    <row r="974">
      <c r="A974" t="inlineStr">
        <is>
          <t>crop2</t>
        </is>
      </c>
      <c r="B974" t="inlineStr">
        <is>
          <t>7.3</t>
        </is>
      </c>
      <c r="C974" t="inlineStr">
        <is>
          <t>Papaya</t>
        </is>
      </c>
      <c r="D974" t="inlineStr">
        <is>
          <t>Papaya</t>
        </is>
      </c>
    </row>
    <row r="975">
      <c r="A975" t="inlineStr">
        <is>
          <t>crop2</t>
        </is>
      </c>
      <c r="B975" t="inlineStr">
        <is>
          <t>7.4</t>
        </is>
      </c>
      <c r="C975" t="inlineStr">
        <is>
          <t>Mango</t>
        </is>
      </c>
      <c r="D975" t="inlineStr">
        <is>
          <t>Mango</t>
        </is>
      </c>
    </row>
    <row r="976">
      <c r="A976" t="inlineStr">
        <is>
          <t>crop2</t>
        </is>
      </c>
      <c r="B976" t="inlineStr">
        <is>
          <t>7.5</t>
        </is>
      </c>
      <c r="C976" t="inlineStr">
        <is>
          <t>Guava</t>
        </is>
      </c>
      <c r="D976" t="inlineStr">
        <is>
          <t>Guayaba</t>
        </is>
      </c>
    </row>
    <row r="977">
      <c r="A977" t="inlineStr">
        <is>
          <t>crop2</t>
        </is>
      </c>
      <c r="B977" t="inlineStr">
        <is>
          <t>7.6</t>
        </is>
      </c>
      <c r="C977" t="inlineStr">
        <is>
          <t>Pineapple</t>
        </is>
      </c>
      <c r="D977" t="inlineStr">
        <is>
          <t>Piña</t>
        </is>
      </c>
    </row>
    <row r="978">
      <c r="A978" t="inlineStr">
        <is>
          <t>crop2</t>
        </is>
      </c>
      <c r="B978" t="inlineStr">
        <is>
          <t>7.7</t>
        </is>
      </c>
      <c r="C978" t="inlineStr">
        <is>
          <t>Avocado</t>
        </is>
      </c>
      <c r="D978" t="inlineStr">
        <is>
          <t>Aguacate</t>
        </is>
      </c>
    </row>
    <row r="979">
      <c r="A979" t="inlineStr">
        <is>
          <t>crop2</t>
        </is>
      </c>
      <c r="B979" t="inlineStr">
        <is>
          <t>7.8</t>
        </is>
      </c>
      <c r="C979" t="inlineStr">
        <is>
          <t>Water Melon</t>
        </is>
      </c>
      <c r="D979" t="inlineStr">
        <is>
          <t>Sandías</t>
        </is>
      </c>
    </row>
    <row r="980">
      <c r="A980" t="inlineStr">
        <is>
          <t>crop2</t>
        </is>
      </c>
      <c r="B980" t="inlineStr">
        <is>
          <t>7.9</t>
        </is>
      </c>
      <c r="C980" t="inlineStr">
        <is>
          <t>Dates</t>
        </is>
      </c>
      <c r="D980" t="inlineStr">
        <is>
          <t>Dátiles</t>
        </is>
      </c>
    </row>
    <row r="981">
      <c r="A981" t="inlineStr">
        <is>
          <t>crop2</t>
        </is>
      </c>
      <c r="B981" t="inlineStr">
        <is>
          <t>7.99</t>
        </is>
      </c>
      <c r="C981" t="inlineStr">
        <is>
          <t>Other fruit</t>
        </is>
      </c>
      <c r="D981" t="inlineStr">
        <is>
          <t>Otras frutas</t>
        </is>
      </c>
    </row>
    <row r="982">
      <c r="A982" t="inlineStr">
        <is>
          <t>crop2</t>
        </is>
      </c>
      <c r="B982" t="inlineStr">
        <is>
          <t>8.1</t>
        </is>
      </c>
      <c r="C982" t="inlineStr">
        <is>
          <t>Coconuts</t>
        </is>
      </c>
      <c r="D982" t="inlineStr">
        <is>
          <t>Coco</t>
        </is>
      </c>
    </row>
    <row r="983">
      <c r="A983" t="inlineStr">
        <is>
          <t>crop2</t>
        </is>
      </c>
      <c r="B983" t="inlineStr">
        <is>
          <t>8.2</t>
        </is>
      </c>
      <c r="C983" t="inlineStr">
        <is>
          <t>Groundnut/peanut</t>
        </is>
      </c>
      <c r="D983" t="inlineStr">
        <is>
          <t>Cacahuates/maní</t>
        </is>
      </c>
    </row>
    <row r="984">
      <c r="A984" t="inlineStr">
        <is>
          <t>crop2</t>
        </is>
      </c>
      <c r="B984" t="inlineStr">
        <is>
          <t>8.3</t>
        </is>
      </c>
      <c r="C984" t="inlineStr">
        <is>
          <t>Cashew Nut</t>
        </is>
      </c>
      <c r="D984" t="inlineStr">
        <is>
          <t>Anacardos</t>
        </is>
      </c>
    </row>
    <row r="985">
      <c r="A985" t="inlineStr">
        <is>
          <t>crop2</t>
        </is>
      </c>
      <c r="B985" t="inlineStr">
        <is>
          <t>8.4</t>
        </is>
      </c>
      <c r="C985" t="inlineStr">
        <is>
          <t>Kola Nut</t>
        </is>
      </c>
      <c r="D985" t="inlineStr">
        <is>
          <t>Nuez de cola</t>
        </is>
      </c>
    </row>
    <row r="986">
      <c r="A986" t="inlineStr">
        <is>
          <t>crop2</t>
        </is>
      </c>
      <c r="B986" t="inlineStr">
        <is>
          <t>8.5</t>
        </is>
      </c>
      <c r="C986" t="inlineStr">
        <is>
          <t>Sesame</t>
        </is>
      </c>
      <c r="D986" t="inlineStr">
        <is>
          <t>Sésamo</t>
        </is>
      </c>
    </row>
    <row r="987">
      <c r="A987" t="inlineStr">
        <is>
          <t>crop2</t>
        </is>
      </c>
      <c r="B987" t="inlineStr">
        <is>
          <t>8.6</t>
        </is>
      </c>
      <c r="C987" t="inlineStr">
        <is>
          <t>Bambara nut</t>
        </is>
      </c>
      <c r="D987" t="inlineStr">
        <is>
          <t>Nuez de bambara</t>
        </is>
      </c>
    </row>
    <row r="988">
      <c r="A988" t="inlineStr">
        <is>
          <t>crop2</t>
        </is>
      </c>
      <c r="B988" t="inlineStr">
        <is>
          <t>8.7</t>
        </is>
      </c>
      <c r="C988" t="inlineStr">
        <is>
          <t>Almond</t>
        </is>
      </c>
      <c r="D988" t="inlineStr">
        <is>
          <t>Almendra</t>
        </is>
      </c>
    </row>
    <row r="989">
      <c r="A989" t="inlineStr">
        <is>
          <t>crop2</t>
        </is>
      </c>
      <c r="B989" t="inlineStr">
        <is>
          <t>8.8</t>
        </is>
      </c>
      <c r="C989" t="inlineStr">
        <is>
          <t>Walnut</t>
        </is>
      </c>
      <c r="D989" t="inlineStr">
        <is>
          <t>Nuez</t>
        </is>
      </c>
    </row>
    <row r="990">
      <c r="A990" t="inlineStr">
        <is>
          <t>crop2</t>
        </is>
      </c>
      <c r="B990" t="inlineStr">
        <is>
          <t>8.99</t>
        </is>
      </c>
      <c r="C990" t="inlineStr">
        <is>
          <t>Other nuts</t>
        </is>
      </c>
      <c r="D990" t="inlineStr">
        <is>
          <t>Otros frutos secos</t>
        </is>
      </c>
    </row>
    <row r="991">
      <c r="A991" t="inlineStr">
        <is>
          <t>crop2</t>
        </is>
      </c>
      <c r="B991" t="inlineStr">
        <is>
          <t>9.1</t>
        </is>
      </c>
      <c r="C991" t="inlineStr">
        <is>
          <t>Cocoa</t>
        </is>
      </c>
      <c r="D991" t="inlineStr">
        <is>
          <t>Cacao</t>
        </is>
      </c>
    </row>
    <row r="992">
      <c r="A992" t="inlineStr">
        <is>
          <t>crop2</t>
        </is>
      </c>
      <c r="B992" t="inlineStr">
        <is>
          <t>9.3</t>
        </is>
      </c>
      <c r="C992" t="inlineStr">
        <is>
          <t>Tea</t>
        </is>
      </c>
      <c r="D992" t="inlineStr">
        <is>
          <t>Té</t>
        </is>
      </c>
    </row>
    <row r="993">
      <c r="A993" t="inlineStr">
        <is>
          <t>crop2</t>
        </is>
      </c>
      <c r="B993" t="inlineStr">
        <is>
          <t>9.4</t>
        </is>
      </c>
      <c r="C993" t="inlineStr">
        <is>
          <t>Sugarcane</t>
        </is>
      </c>
      <c r="D993" t="inlineStr">
        <is>
          <t>Caña de azúcar</t>
        </is>
      </c>
    </row>
    <row r="994">
      <c r="A994" t="inlineStr">
        <is>
          <t>crop2</t>
        </is>
      </c>
      <c r="B994" t="inlineStr">
        <is>
          <t>9.5</t>
        </is>
      </c>
      <c r="C994" t="inlineStr">
        <is>
          <t>Sunflower</t>
        </is>
      </c>
      <c r="D994" t="inlineStr">
        <is>
          <t>Girasol (plantas o semillas)</t>
        </is>
      </c>
    </row>
    <row r="995">
      <c r="A995" t="inlineStr">
        <is>
          <t>crop2</t>
        </is>
      </c>
      <c r="B995" t="inlineStr">
        <is>
          <t>9.99</t>
        </is>
      </c>
      <c r="C995" t="inlineStr">
        <is>
          <t>Other food cash crop</t>
        </is>
      </c>
      <c r="D995" t="inlineStr">
        <is>
          <t>Otros cultivos comerciales alimentarios</t>
        </is>
      </c>
    </row>
    <row r="996">
      <c r="A996" t="inlineStr">
        <is>
          <t>crop2</t>
        </is>
      </c>
      <c r="B996" t="inlineStr">
        <is>
          <t>10.1</t>
        </is>
      </c>
      <c r="C996" t="inlineStr">
        <is>
          <t>Cotton</t>
        </is>
      </c>
      <c r="D996" t="inlineStr">
        <is>
          <t>Algodón</t>
        </is>
      </c>
    </row>
    <row r="997">
      <c r="A997" t="inlineStr">
        <is>
          <t>crop2</t>
        </is>
      </c>
      <c r="B997" t="inlineStr">
        <is>
          <t>10.2</t>
        </is>
      </c>
      <c r="C997" t="inlineStr">
        <is>
          <t>Rubber</t>
        </is>
      </c>
      <c r="D997" t="inlineStr">
        <is>
          <t>Caucho</t>
        </is>
      </c>
    </row>
    <row r="998">
      <c r="A998" t="inlineStr">
        <is>
          <t>crop2</t>
        </is>
      </c>
      <c r="B998" t="inlineStr">
        <is>
          <t>10.3</t>
        </is>
      </c>
      <c r="C998" t="inlineStr">
        <is>
          <t>Jute</t>
        </is>
      </c>
      <c r="D998" t="inlineStr">
        <is>
          <t>Yute</t>
        </is>
      </c>
    </row>
    <row r="999">
      <c r="A999" t="inlineStr">
        <is>
          <t>crop2</t>
        </is>
      </c>
      <c r="B999" t="inlineStr">
        <is>
          <t>10.4</t>
        </is>
      </c>
      <c r="C999" t="inlineStr">
        <is>
          <t>Fodder</t>
        </is>
      </c>
      <c r="D999" t="inlineStr">
        <is>
          <t>Forraje</t>
        </is>
      </c>
    </row>
    <row r="1000">
      <c r="A1000" t="inlineStr">
        <is>
          <t>crop2</t>
        </is>
      </c>
      <c r="B1000" t="inlineStr">
        <is>
          <t>10.5</t>
        </is>
      </c>
      <c r="C1000" t="inlineStr">
        <is>
          <t>Tobacco</t>
        </is>
      </c>
      <c r="D1000" t="inlineStr">
        <is>
          <t>Tabaco</t>
        </is>
      </c>
    </row>
    <row r="1001">
      <c r="A1001" t="inlineStr">
        <is>
          <t>crop2</t>
        </is>
      </c>
      <c r="B1001" t="inlineStr">
        <is>
          <t>10.6</t>
        </is>
      </c>
      <c r="C1001" t="inlineStr">
        <is>
          <t>Qat</t>
        </is>
      </c>
      <c r="D1001" t="inlineStr">
        <is>
          <t>Qat</t>
        </is>
      </c>
    </row>
    <row r="1002">
      <c r="A1002" t="inlineStr">
        <is>
          <t>crop2</t>
        </is>
      </c>
      <c r="B1002" t="inlineStr">
        <is>
          <t>10.99</t>
        </is>
      </c>
      <c r="C1002" t="inlineStr">
        <is>
          <t>Other non-food cash crop</t>
        </is>
      </c>
      <c r="D1002" t="inlineStr">
        <is>
          <t>Otros cultivos comerciales no alimentarios</t>
        </is>
      </c>
    </row>
    <row r="1003">
      <c r="A1003" t="inlineStr">
        <is>
          <t>crop2</t>
        </is>
      </c>
      <c r="B1003" t="inlineStr">
        <is>
          <t>666</t>
        </is>
      </c>
      <c r="C1003" t="inlineStr">
        <is>
          <t>No other crop</t>
        </is>
      </c>
      <c r="D1003" t="inlineStr">
        <is>
          <t>Ningún otro cultivo</t>
        </is>
      </c>
    </row>
    <row r="1004">
      <c r="A1004" t="inlineStr">
        <is>
          <t>crop2</t>
        </is>
      </c>
      <c r="B1004" t="inlineStr">
        <is>
          <t>888</t>
        </is>
      </c>
      <c r="C1004" t="inlineStr">
        <is>
          <t>Don't know</t>
        </is>
      </c>
      <c r="D1004" t="inlineStr">
        <is>
          <t>no sé</t>
        </is>
      </c>
    </row>
    <row r="1005">
      <c r="A1005" t="inlineStr">
        <is>
          <t>crop2</t>
        </is>
      </c>
      <c r="B1005" t="inlineStr">
        <is>
          <t>999</t>
        </is>
      </c>
      <c r="C1005" t="inlineStr">
        <is>
          <t>Refused</t>
        </is>
      </c>
      <c r="D1005" t="inlineStr">
        <is>
          <t>Rechazado</t>
        </is>
      </c>
    </row>
    <row r="1007">
      <c r="A1007" t="inlineStr">
        <is>
          <t>crop3</t>
        </is>
      </c>
      <c r="B1007" t="inlineStr">
        <is>
          <t>1.4</t>
        </is>
      </c>
      <c r="C1007" t="inlineStr">
        <is>
          <t>Sorghum</t>
        </is>
      </c>
      <c r="D1007" t="inlineStr">
        <is>
          <t>Sorgo</t>
        </is>
      </c>
    </row>
    <row r="1008">
      <c r="A1008" t="inlineStr">
        <is>
          <t>crop3</t>
        </is>
      </c>
      <c r="B1008" t="inlineStr">
        <is>
          <t>1.5</t>
        </is>
      </c>
      <c r="C1008" t="inlineStr">
        <is>
          <t>Maize</t>
        </is>
      </c>
      <c r="D1008" t="inlineStr">
        <is>
          <t>Maíz</t>
        </is>
      </c>
    </row>
    <row r="1009">
      <c r="A1009" t="inlineStr">
        <is>
          <t>crop3</t>
        </is>
      </c>
      <c r="B1009" t="inlineStr">
        <is>
          <t>2.2</t>
        </is>
      </c>
      <c r="C1009" t="inlineStr">
        <is>
          <t>Potatoe</t>
        </is>
      </c>
      <c r="D1009" t="inlineStr">
        <is>
          <t>Patatas</t>
        </is>
      </c>
    </row>
    <row r="1010">
      <c r="A1010" t="inlineStr">
        <is>
          <t>crop3</t>
        </is>
      </c>
      <c r="B1010" t="inlineStr">
        <is>
          <t>3.1</t>
        </is>
      </c>
      <c r="C1010" t="inlineStr">
        <is>
          <t>Beans</t>
        </is>
      </c>
      <c r="D1010" t="inlineStr">
        <is>
          <t>Frijoles</t>
        </is>
      </c>
    </row>
    <row r="1011">
      <c r="A1011" t="inlineStr">
        <is>
          <t>crop3</t>
        </is>
      </c>
      <c r="B1011" t="inlineStr">
        <is>
          <t>4.2</t>
        </is>
      </c>
      <c r="C1011" t="inlineStr">
        <is>
          <t>Lettuce</t>
        </is>
      </c>
      <c r="D1011" t="inlineStr">
        <is>
          <t>Lechuga</t>
        </is>
      </c>
    </row>
    <row r="1012">
      <c r="A1012" t="inlineStr">
        <is>
          <t>crop3</t>
        </is>
      </c>
      <c r="B1012" t="inlineStr">
        <is>
          <t>4.3</t>
        </is>
      </c>
      <c r="C1012" t="inlineStr">
        <is>
          <t>Spinach-Amaranth</t>
        </is>
      </c>
      <c r="D1012" t="inlineStr">
        <is>
          <t>Espinacas-amaranto</t>
        </is>
      </c>
    </row>
    <row r="1013">
      <c r="A1013" t="inlineStr">
        <is>
          <t>crop3</t>
        </is>
      </c>
      <c r="B1013" t="inlineStr">
        <is>
          <t>4.9</t>
        </is>
      </c>
      <c r="C1013" t="inlineStr">
        <is>
          <t>Green salad herbs (thyme, parsley, mint, rocca, other)</t>
        </is>
      </c>
      <c r="D1013" t="inlineStr">
        <is>
          <t>Hierbas verdes para ensalada (tomillo, perejil, menta, rocca, otras)</t>
        </is>
      </c>
    </row>
    <row r="1014">
      <c r="A1014" t="inlineStr">
        <is>
          <t>crop3</t>
        </is>
      </c>
      <c r="B1014" t="inlineStr">
        <is>
          <t>5.1</t>
        </is>
      </c>
      <c r="C1014" t="inlineStr">
        <is>
          <t>Tomatoes</t>
        </is>
      </c>
      <c r="D1014" t="inlineStr">
        <is>
          <t>Tomates</t>
        </is>
      </c>
    </row>
    <row r="1015">
      <c r="A1015" t="inlineStr">
        <is>
          <t>crop3</t>
        </is>
      </c>
      <c r="B1015" t="inlineStr">
        <is>
          <t>5.8</t>
        </is>
      </c>
      <c r="C1015" t="inlineStr">
        <is>
          <t>Onions</t>
        </is>
      </c>
      <c r="D1015" t="inlineStr">
        <is>
          <t>Cebollas</t>
        </is>
      </c>
    </row>
    <row r="1016">
      <c r="A1016" t="inlineStr">
        <is>
          <t>crop3</t>
        </is>
      </c>
      <c r="B1016" t="inlineStr">
        <is>
          <t>9.2</t>
        </is>
      </c>
      <c r="C1016" t="inlineStr">
        <is>
          <t>Coffee</t>
        </is>
      </c>
      <c r="D1016" t="inlineStr">
        <is>
          <t>Café</t>
        </is>
      </c>
    </row>
    <row r="1017">
      <c r="A1017" t="inlineStr">
        <is>
          <t>crop3</t>
        </is>
      </c>
      <c r="B1017" t="inlineStr">
        <is>
          <t>1.1</t>
        </is>
      </c>
      <c r="C1017" t="inlineStr">
        <is>
          <t>Rice</t>
        </is>
      </c>
      <c r="D1017" t="inlineStr">
        <is>
          <t>Arroz</t>
        </is>
      </c>
    </row>
    <row r="1018">
      <c r="A1018" t="inlineStr">
        <is>
          <t>crop3</t>
        </is>
      </c>
      <c r="B1018" t="inlineStr">
        <is>
          <t>1.2</t>
        </is>
      </c>
      <c r="C1018" t="inlineStr">
        <is>
          <t>Wheat</t>
        </is>
      </c>
      <c r="D1018" t="inlineStr">
        <is>
          <t>Trigo</t>
        </is>
      </c>
    </row>
    <row r="1019">
      <c r="A1019" t="inlineStr">
        <is>
          <t>crop3</t>
        </is>
      </c>
      <c r="B1019" t="inlineStr">
        <is>
          <t>1.3</t>
        </is>
      </c>
      <c r="C1019" t="inlineStr">
        <is>
          <t>Millet</t>
        </is>
      </c>
      <c r="D1019" t="inlineStr">
        <is>
          <t>Mijo</t>
        </is>
      </c>
    </row>
    <row r="1020">
      <c r="A1020" t="inlineStr">
        <is>
          <t>crop3</t>
        </is>
      </c>
      <c r="B1020" t="inlineStr">
        <is>
          <t>1.6</t>
        </is>
      </c>
      <c r="C1020" t="inlineStr">
        <is>
          <t>Barley</t>
        </is>
      </c>
      <c r="D1020" t="inlineStr">
        <is>
          <t>Cebada</t>
        </is>
      </c>
    </row>
    <row r="1021">
      <c r="A1021" t="inlineStr">
        <is>
          <t>crop3</t>
        </is>
      </c>
      <c r="B1021" t="inlineStr">
        <is>
          <t>1.99</t>
        </is>
      </c>
      <c r="C1021" t="inlineStr">
        <is>
          <t>Other Cereal</t>
        </is>
      </c>
      <c r="D1021" t="inlineStr">
        <is>
          <t>Otros cereales</t>
        </is>
      </c>
    </row>
    <row r="1022">
      <c r="A1022" t="inlineStr">
        <is>
          <t>crop3</t>
        </is>
      </c>
      <c r="B1022" t="inlineStr">
        <is>
          <t>2.1</t>
        </is>
      </c>
      <c r="C1022" t="inlineStr">
        <is>
          <t>Cassava</t>
        </is>
      </c>
      <c r="D1022" t="inlineStr">
        <is>
          <t>Yuca</t>
        </is>
      </c>
    </row>
    <row r="1023">
      <c r="A1023" t="inlineStr">
        <is>
          <t>crop3</t>
        </is>
      </c>
      <c r="B1023" t="inlineStr">
        <is>
          <t>2.3</t>
        </is>
      </c>
      <c r="C1023" t="inlineStr">
        <is>
          <t>Sweet Potatoes</t>
        </is>
      </c>
      <c r="D1023" t="inlineStr">
        <is>
          <t>Patatas dulces</t>
        </is>
      </c>
    </row>
    <row r="1024">
      <c r="A1024" t="inlineStr">
        <is>
          <t>crop3</t>
        </is>
      </c>
      <c r="B1024" t="inlineStr">
        <is>
          <t>2.4</t>
        </is>
      </c>
      <c r="C1024" t="inlineStr">
        <is>
          <t>Yams</t>
        </is>
      </c>
      <c r="D1024" t="inlineStr">
        <is>
          <t>Ñames</t>
        </is>
      </c>
    </row>
    <row r="1025">
      <c r="A1025" t="inlineStr">
        <is>
          <t>crop3</t>
        </is>
      </c>
      <c r="B1025" t="inlineStr">
        <is>
          <t>2.5</t>
        </is>
      </c>
      <c r="C1025" t="inlineStr">
        <is>
          <t>Carrots</t>
        </is>
      </c>
      <c r="D1025" t="inlineStr">
        <is>
          <t>Zanahorias</t>
        </is>
      </c>
    </row>
    <row r="1026">
      <c r="A1026" t="inlineStr">
        <is>
          <t>crop3</t>
        </is>
      </c>
      <c r="B1026" t="inlineStr">
        <is>
          <t>2.6</t>
        </is>
      </c>
      <c r="C1026" t="inlineStr">
        <is>
          <t>Cocoyam</t>
        </is>
      </c>
      <c r="D1026" t="inlineStr">
        <is>
          <t>Cocoyam</t>
        </is>
      </c>
    </row>
    <row r="1027">
      <c r="A1027" t="inlineStr">
        <is>
          <t>crop3</t>
        </is>
      </c>
      <c r="B1027" t="inlineStr">
        <is>
          <t>2.99</t>
        </is>
      </c>
      <c r="C1027" t="inlineStr">
        <is>
          <t>Other tubers</t>
        </is>
      </c>
      <c r="D1027" t="inlineStr">
        <is>
          <t>Otros tubérculos</t>
        </is>
      </c>
    </row>
    <row r="1028">
      <c r="A1028" t="inlineStr">
        <is>
          <t>crop3</t>
        </is>
      </c>
      <c r="B1028" t="inlineStr">
        <is>
          <t>3.2</t>
        </is>
      </c>
      <c r="C1028" t="inlineStr">
        <is>
          <t>Lentils</t>
        </is>
      </c>
      <c r="D1028" t="inlineStr">
        <is>
          <t>Lentejas</t>
        </is>
      </c>
    </row>
    <row r="1029">
      <c r="A1029" t="inlineStr">
        <is>
          <t>crop3</t>
        </is>
      </c>
      <c r="B1029" t="inlineStr">
        <is>
          <t>3.3</t>
        </is>
      </c>
      <c r="C1029" t="inlineStr">
        <is>
          <t>Peas</t>
        </is>
      </c>
      <c r="D1029" t="inlineStr">
        <is>
          <t>Guisantes</t>
        </is>
      </c>
    </row>
    <row r="1030">
      <c r="A1030" t="inlineStr">
        <is>
          <t>crop3</t>
        </is>
      </c>
      <c r="B1030" t="inlineStr">
        <is>
          <t>3.4</t>
        </is>
      </c>
      <c r="C1030" t="inlineStr">
        <is>
          <t>Soybeans</t>
        </is>
      </c>
      <c r="D1030" t="inlineStr">
        <is>
          <t>Soja</t>
        </is>
      </c>
    </row>
    <row r="1031">
      <c r="A1031" t="inlineStr">
        <is>
          <t>crop3</t>
        </is>
      </c>
      <c r="B1031" t="inlineStr">
        <is>
          <t>3.5</t>
        </is>
      </c>
      <c r="C1031" t="inlineStr">
        <is>
          <t>Chickpeas</t>
        </is>
      </c>
      <c r="D1031" t="inlineStr">
        <is>
          <t>Garbanzos</t>
        </is>
      </c>
    </row>
    <row r="1032">
      <c r="A1032" t="inlineStr">
        <is>
          <t>crop3</t>
        </is>
      </c>
      <c r="B1032" t="inlineStr">
        <is>
          <t>3.6</t>
        </is>
      </c>
      <c r="C1032" t="inlineStr">
        <is>
          <t>Fava beans</t>
        </is>
      </c>
      <c r="D1032" t="inlineStr">
        <is>
          <t>Habas</t>
        </is>
      </c>
    </row>
    <row r="1033">
      <c r="A1033" t="inlineStr">
        <is>
          <t>crop3</t>
        </is>
      </c>
      <c r="B1033" t="inlineStr">
        <is>
          <t>3.7</t>
        </is>
      </c>
      <c r="C1033" t="inlineStr">
        <is>
          <t>Broad beans</t>
        </is>
      </c>
      <c r="D1033" t="inlineStr">
        <is>
          <t>Habas</t>
        </is>
      </c>
    </row>
    <row r="1034">
      <c r="A1034" t="inlineStr">
        <is>
          <t>crop3</t>
        </is>
      </c>
      <c r="B1034" t="inlineStr">
        <is>
          <t>3.99</t>
        </is>
      </c>
      <c r="C1034" t="inlineStr">
        <is>
          <t>Other pulses</t>
        </is>
      </c>
      <c r="D1034" t="inlineStr">
        <is>
          <t>Otras legumbres</t>
        </is>
      </c>
    </row>
    <row r="1035">
      <c r="A1035" t="inlineStr">
        <is>
          <t>crop3</t>
        </is>
      </c>
      <c r="B1035" t="inlineStr">
        <is>
          <t>4.1</t>
        </is>
      </c>
      <c r="C1035" t="inlineStr">
        <is>
          <t>Cabbage</t>
        </is>
      </c>
      <c r="D1035" t="inlineStr">
        <is>
          <t>Coles</t>
        </is>
      </c>
    </row>
    <row r="1036">
      <c r="A1036" t="inlineStr">
        <is>
          <t>crop3</t>
        </is>
      </c>
      <c r="B1036" t="inlineStr">
        <is>
          <t>4.101</t>
        </is>
      </c>
      <c r="C1036" t="inlineStr">
        <is>
          <t>Cauliflower</t>
        </is>
      </c>
      <c r="D1036" t="inlineStr">
        <is>
          <t>Coliflor</t>
        </is>
      </c>
    </row>
    <row r="1037">
      <c r="A1037" t="inlineStr">
        <is>
          <t>crop3</t>
        </is>
      </c>
      <c r="B1037" t="inlineStr">
        <is>
          <t>4.4</t>
        </is>
      </c>
      <c r="C1037" t="inlineStr">
        <is>
          <t>Cassava leaves</t>
        </is>
      </c>
      <c r="D1037" t="inlineStr">
        <is>
          <t>Hojas de yuca/mandioca</t>
        </is>
      </c>
    </row>
    <row r="1038">
      <c r="A1038" t="inlineStr">
        <is>
          <t>crop3</t>
        </is>
      </c>
      <c r="B1038" t="inlineStr">
        <is>
          <t>4.5</t>
        </is>
      </c>
      <c r="C1038" t="inlineStr">
        <is>
          <t>Potatoe leaves</t>
        </is>
      </c>
      <c r="D1038" t="inlineStr">
        <is>
          <t>Hojas de patata</t>
        </is>
      </c>
    </row>
    <row r="1039">
      <c r="A1039" t="inlineStr">
        <is>
          <t>crop3</t>
        </is>
      </c>
      <c r="B1039" t="inlineStr">
        <is>
          <t>4.6</t>
        </is>
      </c>
      <c r="C1039" t="inlineStr">
        <is>
          <t>Moringa</t>
        </is>
      </c>
      <c r="D1039" t="inlineStr">
        <is>
          <t>Moringa</t>
        </is>
      </c>
    </row>
    <row r="1040">
      <c r="A1040" t="inlineStr">
        <is>
          <t>crop3</t>
        </is>
      </c>
      <c r="B1040" t="inlineStr">
        <is>
          <t>4.7</t>
        </is>
      </c>
      <c r="C1040" t="inlineStr">
        <is>
          <t>Sorrel Hibiscus / Rosselle</t>
        </is>
      </c>
      <c r="D1040" t="inlineStr">
        <is>
          <t>Rosella / Flor de jamaica</t>
        </is>
      </c>
    </row>
    <row r="1041">
      <c r="A1041" t="inlineStr">
        <is>
          <t>crop3</t>
        </is>
      </c>
      <c r="B1041" t="inlineStr">
        <is>
          <t>4.99</t>
        </is>
      </c>
      <c r="C1041" t="inlineStr">
        <is>
          <t>Other leafy vegetables</t>
        </is>
      </c>
      <c r="D1041" t="inlineStr">
        <is>
          <t>Otras verduras de hoja</t>
        </is>
      </c>
    </row>
    <row r="1042">
      <c r="A1042" t="inlineStr">
        <is>
          <t>crop3</t>
        </is>
      </c>
      <c r="B1042" t="inlineStr">
        <is>
          <t>5.101</t>
        </is>
      </c>
      <c r="C1042" t="inlineStr">
        <is>
          <t>Green peas</t>
        </is>
      </c>
      <c r="D1042" t="inlineStr">
        <is>
          <t>Arberjas</t>
        </is>
      </c>
    </row>
    <row r="1043">
      <c r="A1043" t="inlineStr">
        <is>
          <t>crop3</t>
        </is>
      </c>
      <c r="B1043" t="inlineStr">
        <is>
          <t>5.11</t>
        </is>
      </c>
      <c r="C1043" t="inlineStr">
        <is>
          <t>Fava beans green</t>
        </is>
      </c>
      <c r="D1043" t="inlineStr">
        <is>
          <t>Habas verdes</t>
        </is>
      </c>
    </row>
    <row r="1044">
      <c r="A1044" t="inlineStr">
        <is>
          <t>crop3</t>
        </is>
      </c>
      <c r="B1044" t="inlineStr">
        <is>
          <t>5.2</t>
        </is>
      </c>
      <c r="C1044" t="inlineStr">
        <is>
          <t>Cucumber</t>
        </is>
      </c>
      <c r="D1044" t="inlineStr">
        <is>
          <t>Pepino</t>
        </is>
      </c>
    </row>
    <row r="1045">
      <c r="A1045" t="inlineStr">
        <is>
          <t>crop3</t>
        </is>
      </c>
      <c r="B1045" t="inlineStr">
        <is>
          <t>5.3</t>
        </is>
      </c>
      <c r="C1045" t="inlineStr">
        <is>
          <t>Pumpkin</t>
        </is>
      </c>
      <c r="D1045" t="inlineStr">
        <is>
          <t>Calabaza</t>
        </is>
      </c>
    </row>
    <row r="1046">
      <c r="A1046" t="inlineStr">
        <is>
          <t>crop3</t>
        </is>
      </c>
      <c r="B1046" t="inlineStr">
        <is>
          <t>5.4</t>
        </is>
      </c>
      <c r="C1046" t="inlineStr">
        <is>
          <t>Eggplant/aubergine</t>
        </is>
      </c>
      <c r="D1046" t="inlineStr">
        <is>
          <t>Berenjena</t>
        </is>
      </c>
    </row>
    <row r="1047">
      <c r="A1047" t="inlineStr">
        <is>
          <t>crop3</t>
        </is>
      </c>
      <c r="B1047" t="inlineStr">
        <is>
          <t>5.5</t>
        </is>
      </c>
      <c r="C1047" t="inlineStr">
        <is>
          <t>Zucchini</t>
        </is>
      </c>
      <c r="D1047" t="inlineStr">
        <is>
          <t>Calabacín</t>
        </is>
      </c>
    </row>
    <row r="1048">
      <c r="A1048" t="inlineStr">
        <is>
          <t>crop3</t>
        </is>
      </c>
      <c r="B1048" t="inlineStr">
        <is>
          <t>5.6</t>
        </is>
      </c>
      <c r="C1048" t="inlineStr">
        <is>
          <t>Okra</t>
        </is>
      </c>
      <c r="D1048" t="inlineStr">
        <is>
          <t>Okra</t>
        </is>
      </c>
    </row>
    <row r="1049">
      <c r="A1049" t="inlineStr">
        <is>
          <t>crop3</t>
        </is>
      </c>
      <c r="B1049" t="inlineStr">
        <is>
          <t>5.7</t>
        </is>
      </c>
      <c r="C1049" t="inlineStr">
        <is>
          <t>Bell pepper</t>
        </is>
      </c>
      <c r="D1049" t="inlineStr">
        <is>
          <t>Pimiento</t>
        </is>
      </c>
    </row>
    <row r="1050">
      <c r="A1050" t="inlineStr">
        <is>
          <t>crop3</t>
        </is>
      </c>
      <c r="B1050" t="inlineStr">
        <is>
          <t>5.9</t>
        </is>
      </c>
      <c r="C1050" t="inlineStr">
        <is>
          <t>Haricot</t>
        </is>
      </c>
      <c r="D1050" t="inlineStr">
        <is>
          <t>Judías</t>
        </is>
      </c>
    </row>
    <row r="1051">
      <c r="A1051" t="inlineStr">
        <is>
          <t>crop3</t>
        </is>
      </c>
      <c r="B1051" t="inlineStr">
        <is>
          <t>5.99</t>
        </is>
      </c>
      <c r="C1051" t="inlineStr">
        <is>
          <t>Other non leafy vegs</t>
        </is>
      </c>
      <c r="D1051" t="inlineStr">
        <is>
          <t>Otras verduras</t>
        </is>
      </c>
    </row>
    <row r="1052">
      <c r="A1052" t="inlineStr">
        <is>
          <t>crop3</t>
        </is>
      </c>
      <c r="B1052" t="inlineStr">
        <is>
          <t>6.1</t>
        </is>
      </c>
      <c r="C1052" t="inlineStr">
        <is>
          <t>Orange</t>
        </is>
      </c>
      <c r="D1052" t="inlineStr">
        <is>
          <t>Naranja</t>
        </is>
      </c>
    </row>
    <row r="1053">
      <c r="A1053" t="inlineStr">
        <is>
          <t>crop3</t>
        </is>
      </c>
      <c r="B1053" t="inlineStr">
        <is>
          <t>6.2</t>
        </is>
      </c>
      <c r="C1053" t="inlineStr">
        <is>
          <t>Lemon</t>
        </is>
      </c>
      <c r="D1053" t="inlineStr">
        <is>
          <t>Limón</t>
        </is>
      </c>
    </row>
    <row r="1054">
      <c r="A1054" t="inlineStr">
        <is>
          <t>crop3</t>
        </is>
      </c>
      <c r="B1054" t="inlineStr">
        <is>
          <t>6.3</t>
        </is>
      </c>
      <c r="C1054" t="inlineStr">
        <is>
          <t>Grapefruit</t>
        </is>
      </c>
      <c r="D1054" t="inlineStr">
        <is>
          <t>Pomelo</t>
        </is>
      </c>
    </row>
    <row r="1055">
      <c r="A1055" t="inlineStr">
        <is>
          <t>crop3</t>
        </is>
      </c>
      <c r="B1055" t="inlineStr">
        <is>
          <t>6.4</t>
        </is>
      </c>
      <c r="C1055" t="inlineStr">
        <is>
          <t>Mandarins/clementines</t>
        </is>
      </c>
      <c r="D1055" t="inlineStr">
        <is>
          <t>Mandarinas</t>
        </is>
      </c>
    </row>
    <row r="1056">
      <c r="A1056" t="inlineStr">
        <is>
          <t>crop3</t>
        </is>
      </c>
      <c r="B1056" t="inlineStr">
        <is>
          <t>6.99</t>
        </is>
      </c>
      <c r="C1056" t="inlineStr">
        <is>
          <t>Other citrus fruit</t>
        </is>
      </c>
      <c r="D1056" t="inlineStr">
        <is>
          <t>Otros cítricos</t>
        </is>
      </c>
    </row>
    <row r="1057">
      <c r="A1057" t="inlineStr">
        <is>
          <t>crop3</t>
        </is>
      </c>
      <c r="B1057" t="inlineStr">
        <is>
          <t>7.1</t>
        </is>
      </c>
      <c r="C1057" t="inlineStr">
        <is>
          <t>Sweet Banana</t>
        </is>
      </c>
      <c r="D1057" t="inlineStr">
        <is>
          <t>Plátano dulce / bananas</t>
        </is>
      </c>
    </row>
    <row r="1058">
      <c r="A1058" t="inlineStr">
        <is>
          <t>crop3</t>
        </is>
      </c>
      <c r="B1058" t="inlineStr">
        <is>
          <t>7.101</t>
        </is>
      </c>
      <c r="C1058" t="inlineStr">
        <is>
          <t>Figs</t>
        </is>
      </c>
      <c r="D1058" t="inlineStr">
        <is>
          <t>Higos</t>
        </is>
      </c>
    </row>
    <row r="1059">
      <c r="A1059" t="inlineStr">
        <is>
          <t>crop3</t>
        </is>
      </c>
      <c r="B1059" t="inlineStr">
        <is>
          <t>7.11</t>
        </is>
      </c>
      <c r="C1059" t="inlineStr">
        <is>
          <t>Grapes</t>
        </is>
      </c>
      <c r="D1059" t="inlineStr">
        <is>
          <t>Uvas</t>
        </is>
      </c>
    </row>
    <row r="1060">
      <c r="A1060" t="inlineStr">
        <is>
          <t>crop3</t>
        </is>
      </c>
      <c r="B1060" t="inlineStr">
        <is>
          <t>7.12</t>
        </is>
      </c>
      <c r="C1060" t="inlineStr">
        <is>
          <t>Olives</t>
        </is>
      </c>
      <c r="D1060" t="inlineStr">
        <is>
          <t>Aceitunas</t>
        </is>
      </c>
    </row>
    <row r="1061">
      <c r="A1061" t="inlineStr">
        <is>
          <t>crop3</t>
        </is>
      </c>
      <c r="B1061" t="inlineStr">
        <is>
          <t>7.13</t>
        </is>
      </c>
      <c r="C1061" t="inlineStr">
        <is>
          <t>Apple</t>
        </is>
      </c>
      <c r="D1061" t="inlineStr">
        <is>
          <t>Manzanas</t>
        </is>
      </c>
    </row>
    <row r="1062">
      <c r="A1062" t="inlineStr">
        <is>
          <t>crop3</t>
        </is>
      </c>
      <c r="B1062" t="inlineStr">
        <is>
          <t>7.14</t>
        </is>
      </c>
      <c r="C1062" t="inlineStr">
        <is>
          <t>Apricot</t>
        </is>
      </c>
      <c r="D1062" t="inlineStr">
        <is>
          <t>Albaricoques</t>
        </is>
      </c>
    </row>
    <row r="1063">
      <c r="A1063" t="inlineStr">
        <is>
          <t>crop3</t>
        </is>
      </c>
      <c r="B1063" t="inlineStr">
        <is>
          <t>7.15</t>
        </is>
      </c>
      <c r="C1063" t="inlineStr">
        <is>
          <t>Cherries</t>
        </is>
      </c>
      <c r="D1063" t="inlineStr">
        <is>
          <t>Cerezas</t>
        </is>
      </c>
    </row>
    <row r="1064">
      <c r="A1064" t="inlineStr">
        <is>
          <t>crop3</t>
        </is>
      </c>
      <c r="B1064" t="inlineStr">
        <is>
          <t>7.16</t>
        </is>
      </c>
      <c r="C1064" t="inlineStr">
        <is>
          <t>Peach/nectarine</t>
        </is>
      </c>
      <c r="D1064" t="inlineStr">
        <is>
          <t>Duraznos/ nectárinas</t>
        </is>
      </c>
    </row>
    <row r="1065">
      <c r="A1065" t="inlineStr">
        <is>
          <t>crop3</t>
        </is>
      </c>
      <c r="B1065" t="inlineStr">
        <is>
          <t>7.17</t>
        </is>
      </c>
      <c r="C1065" t="inlineStr">
        <is>
          <t>Strawberries</t>
        </is>
      </c>
      <c r="D1065" t="inlineStr">
        <is>
          <t>Fresas</t>
        </is>
      </c>
    </row>
    <row r="1066">
      <c r="A1066" t="inlineStr">
        <is>
          <t>crop3</t>
        </is>
      </c>
      <c r="B1066" t="inlineStr">
        <is>
          <t>7.18</t>
        </is>
      </c>
      <c r="C1066" t="inlineStr">
        <is>
          <t>Melon (Cantaloupe)</t>
        </is>
      </c>
      <c r="D1066" t="inlineStr">
        <is>
          <t>Melon</t>
        </is>
      </c>
    </row>
    <row r="1067">
      <c r="A1067" t="inlineStr">
        <is>
          <t>crop3</t>
        </is>
      </c>
      <c r="B1067" t="inlineStr">
        <is>
          <t>7.2</t>
        </is>
      </c>
      <c r="C1067" t="inlineStr">
        <is>
          <t>Plantains</t>
        </is>
      </c>
      <c r="D1067" t="inlineStr">
        <is>
          <t>Plátano</t>
        </is>
      </c>
    </row>
    <row r="1068">
      <c r="A1068" t="inlineStr">
        <is>
          <t>crop3</t>
        </is>
      </c>
      <c r="B1068" t="inlineStr">
        <is>
          <t>7.3</t>
        </is>
      </c>
      <c r="C1068" t="inlineStr">
        <is>
          <t>Papaya</t>
        </is>
      </c>
      <c r="D1068" t="inlineStr">
        <is>
          <t>Papaya</t>
        </is>
      </c>
    </row>
    <row r="1069">
      <c r="A1069" t="inlineStr">
        <is>
          <t>crop3</t>
        </is>
      </c>
      <c r="B1069" t="inlineStr">
        <is>
          <t>7.4</t>
        </is>
      </c>
      <c r="C1069" t="inlineStr">
        <is>
          <t>Mango</t>
        </is>
      </c>
      <c r="D1069" t="inlineStr">
        <is>
          <t>Mango</t>
        </is>
      </c>
    </row>
    <row r="1070">
      <c r="A1070" t="inlineStr">
        <is>
          <t>crop3</t>
        </is>
      </c>
      <c r="B1070" t="inlineStr">
        <is>
          <t>7.5</t>
        </is>
      </c>
      <c r="C1070" t="inlineStr">
        <is>
          <t>Guava</t>
        </is>
      </c>
      <c r="D1070" t="inlineStr">
        <is>
          <t>Guayaba</t>
        </is>
      </c>
    </row>
    <row r="1071">
      <c r="A1071" t="inlineStr">
        <is>
          <t>crop3</t>
        </is>
      </c>
      <c r="B1071" t="inlineStr">
        <is>
          <t>7.6</t>
        </is>
      </c>
      <c r="C1071" t="inlineStr">
        <is>
          <t>Pineapple</t>
        </is>
      </c>
      <c r="D1071" t="inlineStr">
        <is>
          <t>Piña</t>
        </is>
      </c>
    </row>
    <row r="1072">
      <c r="A1072" t="inlineStr">
        <is>
          <t>crop3</t>
        </is>
      </c>
      <c r="B1072" t="inlineStr">
        <is>
          <t>7.7</t>
        </is>
      </c>
      <c r="C1072" t="inlineStr">
        <is>
          <t>Avocado</t>
        </is>
      </c>
      <c r="D1072" t="inlineStr">
        <is>
          <t>Aguacate</t>
        </is>
      </c>
    </row>
    <row r="1073">
      <c r="A1073" t="inlineStr">
        <is>
          <t>crop3</t>
        </is>
      </c>
      <c r="B1073" t="inlineStr">
        <is>
          <t>7.8</t>
        </is>
      </c>
      <c r="C1073" t="inlineStr">
        <is>
          <t>Water Melon</t>
        </is>
      </c>
      <c r="D1073" t="inlineStr">
        <is>
          <t>Sandías</t>
        </is>
      </c>
    </row>
    <row r="1074">
      <c r="A1074" t="inlineStr">
        <is>
          <t>crop3</t>
        </is>
      </c>
      <c r="B1074" t="inlineStr">
        <is>
          <t>7.9</t>
        </is>
      </c>
      <c r="C1074" t="inlineStr">
        <is>
          <t>Dates</t>
        </is>
      </c>
      <c r="D1074" t="inlineStr">
        <is>
          <t>Dátiles</t>
        </is>
      </c>
    </row>
    <row r="1075">
      <c r="A1075" t="inlineStr">
        <is>
          <t>crop3</t>
        </is>
      </c>
      <c r="B1075" t="inlineStr">
        <is>
          <t>7.99</t>
        </is>
      </c>
      <c r="C1075" t="inlineStr">
        <is>
          <t>Other fruit</t>
        </is>
      </c>
      <c r="D1075" t="inlineStr">
        <is>
          <t>Otras frutas</t>
        </is>
      </c>
    </row>
    <row r="1076">
      <c r="A1076" t="inlineStr">
        <is>
          <t>crop3</t>
        </is>
      </c>
      <c r="B1076" t="inlineStr">
        <is>
          <t>8.1</t>
        </is>
      </c>
      <c r="C1076" t="inlineStr">
        <is>
          <t>Coconuts</t>
        </is>
      </c>
      <c r="D1076" t="inlineStr">
        <is>
          <t>Coco</t>
        </is>
      </c>
    </row>
    <row r="1077">
      <c r="A1077" t="inlineStr">
        <is>
          <t>crop3</t>
        </is>
      </c>
      <c r="B1077" t="inlineStr">
        <is>
          <t>8.2</t>
        </is>
      </c>
      <c r="C1077" t="inlineStr">
        <is>
          <t>Groundnut/peanut</t>
        </is>
      </c>
      <c r="D1077" t="inlineStr">
        <is>
          <t>Cacahuates/maní</t>
        </is>
      </c>
    </row>
    <row r="1078">
      <c r="A1078" t="inlineStr">
        <is>
          <t>crop3</t>
        </is>
      </c>
      <c r="B1078" t="inlineStr">
        <is>
          <t>8.3</t>
        </is>
      </c>
      <c r="C1078" t="inlineStr">
        <is>
          <t>Cashew Nut</t>
        </is>
      </c>
      <c r="D1078" t="inlineStr">
        <is>
          <t>Anacardos</t>
        </is>
      </c>
    </row>
    <row r="1079">
      <c r="A1079" t="inlineStr">
        <is>
          <t>crop3</t>
        </is>
      </c>
      <c r="B1079" t="inlineStr">
        <is>
          <t>8.4</t>
        </is>
      </c>
      <c r="C1079" t="inlineStr">
        <is>
          <t>Kola Nut</t>
        </is>
      </c>
      <c r="D1079" t="inlineStr">
        <is>
          <t>Nuez de cola</t>
        </is>
      </c>
    </row>
    <row r="1080">
      <c r="A1080" t="inlineStr">
        <is>
          <t>crop3</t>
        </is>
      </c>
      <c r="B1080" t="inlineStr">
        <is>
          <t>8.5</t>
        </is>
      </c>
      <c r="C1080" t="inlineStr">
        <is>
          <t>Sesame</t>
        </is>
      </c>
      <c r="D1080" t="inlineStr">
        <is>
          <t>Sésamo</t>
        </is>
      </c>
    </row>
    <row r="1081">
      <c r="A1081" t="inlineStr">
        <is>
          <t>crop3</t>
        </is>
      </c>
      <c r="B1081" t="inlineStr">
        <is>
          <t>8.6</t>
        </is>
      </c>
      <c r="C1081" t="inlineStr">
        <is>
          <t>Bambara nut</t>
        </is>
      </c>
      <c r="D1081" t="inlineStr">
        <is>
          <t>Nuez de bambara</t>
        </is>
      </c>
    </row>
    <row r="1082">
      <c r="A1082" t="inlineStr">
        <is>
          <t>crop3</t>
        </is>
      </c>
      <c r="B1082" t="inlineStr">
        <is>
          <t>8.7</t>
        </is>
      </c>
      <c r="C1082" t="inlineStr">
        <is>
          <t>Almond</t>
        </is>
      </c>
      <c r="D1082" t="inlineStr">
        <is>
          <t>Almendra</t>
        </is>
      </c>
    </row>
    <row r="1083">
      <c r="A1083" t="inlineStr">
        <is>
          <t>crop3</t>
        </is>
      </c>
      <c r="B1083" t="inlineStr">
        <is>
          <t>8.8</t>
        </is>
      </c>
      <c r="C1083" t="inlineStr">
        <is>
          <t>Walnut</t>
        </is>
      </c>
      <c r="D1083" t="inlineStr">
        <is>
          <t>Nuez</t>
        </is>
      </c>
    </row>
    <row r="1084">
      <c r="A1084" t="inlineStr">
        <is>
          <t>crop3</t>
        </is>
      </c>
      <c r="B1084" t="inlineStr">
        <is>
          <t>8.99</t>
        </is>
      </c>
      <c r="C1084" t="inlineStr">
        <is>
          <t>Other nuts</t>
        </is>
      </c>
      <c r="D1084" t="inlineStr">
        <is>
          <t>Otros frutos secos</t>
        </is>
      </c>
    </row>
    <row r="1085">
      <c r="A1085" t="inlineStr">
        <is>
          <t>crop3</t>
        </is>
      </c>
      <c r="B1085" t="inlineStr">
        <is>
          <t>9.1</t>
        </is>
      </c>
      <c r="C1085" t="inlineStr">
        <is>
          <t>Cocoa</t>
        </is>
      </c>
      <c r="D1085" t="inlineStr">
        <is>
          <t>Cacao</t>
        </is>
      </c>
    </row>
    <row r="1086">
      <c r="A1086" t="inlineStr">
        <is>
          <t>crop3</t>
        </is>
      </c>
      <c r="B1086" t="inlineStr">
        <is>
          <t>9.3</t>
        </is>
      </c>
      <c r="C1086" t="inlineStr">
        <is>
          <t>Tea</t>
        </is>
      </c>
      <c r="D1086" t="inlineStr">
        <is>
          <t>Té</t>
        </is>
      </c>
    </row>
    <row r="1087">
      <c r="A1087" t="inlineStr">
        <is>
          <t>crop3</t>
        </is>
      </c>
      <c r="B1087" t="inlineStr">
        <is>
          <t>9.4</t>
        </is>
      </c>
      <c r="C1087" t="inlineStr">
        <is>
          <t>Sugarcane</t>
        </is>
      </c>
      <c r="D1087" t="inlineStr">
        <is>
          <t>Caña de azúcar</t>
        </is>
      </c>
    </row>
    <row r="1088">
      <c r="A1088" t="inlineStr">
        <is>
          <t>crop3</t>
        </is>
      </c>
      <c r="B1088" t="inlineStr">
        <is>
          <t>9.5</t>
        </is>
      </c>
      <c r="C1088" t="inlineStr">
        <is>
          <t>Sunflower</t>
        </is>
      </c>
      <c r="D1088" t="inlineStr">
        <is>
          <t>Girasol (plantas o semillas)</t>
        </is>
      </c>
    </row>
    <row r="1089">
      <c r="A1089" t="inlineStr">
        <is>
          <t>crop3</t>
        </is>
      </c>
      <c r="B1089" t="inlineStr">
        <is>
          <t>9.99</t>
        </is>
      </c>
      <c r="C1089" t="inlineStr">
        <is>
          <t>Other food cash crop</t>
        </is>
      </c>
      <c r="D1089" t="inlineStr">
        <is>
          <t>Otros cultivos comerciales alimentarios</t>
        </is>
      </c>
    </row>
    <row r="1090">
      <c r="A1090" t="inlineStr">
        <is>
          <t>crop3</t>
        </is>
      </c>
      <c r="B1090" t="inlineStr">
        <is>
          <t>10.1</t>
        </is>
      </c>
      <c r="C1090" t="inlineStr">
        <is>
          <t>Cotton</t>
        </is>
      </c>
      <c r="D1090" t="inlineStr">
        <is>
          <t>Algodón</t>
        </is>
      </c>
    </row>
    <row r="1091">
      <c r="A1091" t="inlineStr">
        <is>
          <t>crop3</t>
        </is>
      </c>
      <c r="B1091" t="inlineStr">
        <is>
          <t>10.2</t>
        </is>
      </c>
      <c r="C1091" t="inlineStr">
        <is>
          <t>Rubber</t>
        </is>
      </c>
      <c r="D1091" t="inlineStr">
        <is>
          <t>Caucho</t>
        </is>
      </c>
    </row>
    <row r="1092">
      <c r="A1092" t="inlineStr">
        <is>
          <t>crop3</t>
        </is>
      </c>
      <c r="B1092" t="inlineStr">
        <is>
          <t>10.3</t>
        </is>
      </c>
      <c r="C1092" t="inlineStr">
        <is>
          <t>Jute</t>
        </is>
      </c>
      <c r="D1092" t="inlineStr">
        <is>
          <t>Yute</t>
        </is>
      </c>
    </row>
    <row r="1093">
      <c r="A1093" t="inlineStr">
        <is>
          <t>crop3</t>
        </is>
      </c>
      <c r="B1093" t="inlineStr">
        <is>
          <t>10.4</t>
        </is>
      </c>
      <c r="C1093" t="inlineStr">
        <is>
          <t>Fodder</t>
        </is>
      </c>
      <c r="D1093" t="inlineStr">
        <is>
          <t>Forraje</t>
        </is>
      </c>
    </row>
    <row r="1094">
      <c r="A1094" t="inlineStr">
        <is>
          <t>crop3</t>
        </is>
      </c>
      <c r="B1094" t="inlineStr">
        <is>
          <t>10.5</t>
        </is>
      </c>
      <c r="C1094" t="inlineStr">
        <is>
          <t>Tobacco</t>
        </is>
      </c>
      <c r="D1094" t="inlineStr">
        <is>
          <t>Tabaco</t>
        </is>
      </c>
    </row>
    <row r="1095">
      <c r="A1095" t="inlineStr">
        <is>
          <t>crop3</t>
        </is>
      </c>
      <c r="B1095" t="inlineStr">
        <is>
          <t>10.6</t>
        </is>
      </c>
      <c r="C1095" t="inlineStr">
        <is>
          <t>Qat</t>
        </is>
      </c>
      <c r="D1095" t="inlineStr">
        <is>
          <t>Qat</t>
        </is>
      </c>
    </row>
    <row r="1096">
      <c r="A1096" t="inlineStr">
        <is>
          <t>crop3</t>
        </is>
      </c>
      <c r="B1096" t="inlineStr">
        <is>
          <t>10.99</t>
        </is>
      </c>
      <c r="C1096" t="inlineStr">
        <is>
          <t>Other non-food cash crop</t>
        </is>
      </c>
      <c r="D1096" t="inlineStr">
        <is>
          <t>Otros cultivos comerciales no alimentarios</t>
        </is>
      </c>
    </row>
    <row r="1097">
      <c r="A1097" t="inlineStr">
        <is>
          <t>crop3</t>
        </is>
      </c>
      <c r="B1097" t="inlineStr">
        <is>
          <t>888</t>
        </is>
      </c>
      <c r="C1097" t="inlineStr">
        <is>
          <t>Don't know</t>
        </is>
      </c>
      <c r="D1097" t="inlineStr">
        <is>
          <t>no sé</t>
        </is>
      </c>
    </row>
    <row r="1098">
      <c r="A1098" t="inlineStr">
        <is>
          <t>crop3</t>
        </is>
      </c>
      <c r="B1098" t="inlineStr">
        <is>
          <t>999</t>
        </is>
      </c>
      <c r="C1098" t="inlineStr">
        <is>
          <t>Refused</t>
        </is>
      </c>
      <c r="D1098" t="inlineStr">
        <is>
          <t>Rechazado</t>
        </is>
      </c>
    </row>
    <row r="1100">
      <c r="A1100" t="inlineStr">
        <is>
          <t>admin1</t>
        </is>
      </c>
      <c r="B1100" t="inlineStr">
        <is>
          <t>GT01</t>
        </is>
      </c>
      <c r="C1100" t="inlineStr">
        <is>
          <t>Guatemala Department</t>
        </is>
      </c>
      <c r="D1100" t="inlineStr">
        <is>
          <t>Guatemala Department</t>
        </is>
      </c>
    </row>
    <row r="1101">
      <c r="A1101" t="inlineStr">
        <is>
          <t>admin1</t>
        </is>
      </c>
      <c r="B1101" t="inlineStr">
        <is>
          <t>GT02</t>
        </is>
      </c>
      <c r="C1101" t="inlineStr">
        <is>
          <t>El Progreso</t>
        </is>
      </c>
      <c r="D1101" t="inlineStr">
        <is>
          <t>El Progreso</t>
        </is>
      </c>
    </row>
    <row r="1102">
      <c r="A1102" t="inlineStr">
        <is>
          <t>admin1</t>
        </is>
      </c>
      <c r="B1102" t="inlineStr">
        <is>
          <t>GT03</t>
        </is>
      </c>
      <c r="C1102" t="inlineStr">
        <is>
          <t>Sacatepéquez</t>
        </is>
      </c>
      <c r="D1102" t="inlineStr">
        <is>
          <t>Sacatepéquez</t>
        </is>
      </c>
    </row>
    <row r="1103">
      <c r="A1103" t="inlineStr">
        <is>
          <t>admin1</t>
        </is>
      </c>
      <c r="B1103" t="inlineStr">
        <is>
          <t>GT04</t>
        </is>
      </c>
      <c r="C1103" t="inlineStr">
        <is>
          <t>Chimaltenango</t>
        </is>
      </c>
      <c r="D1103" t="inlineStr">
        <is>
          <t>Chimaltenango</t>
        </is>
      </c>
    </row>
    <row r="1104">
      <c r="A1104" t="inlineStr">
        <is>
          <t>admin1</t>
        </is>
      </c>
      <c r="B1104" t="inlineStr">
        <is>
          <t>GT05</t>
        </is>
      </c>
      <c r="C1104" t="inlineStr">
        <is>
          <t>Escuintla</t>
        </is>
      </c>
      <c r="D1104" t="inlineStr">
        <is>
          <t>Escuintla</t>
        </is>
      </c>
    </row>
    <row r="1105">
      <c r="A1105" t="inlineStr">
        <is>
          <t>admin1</t>
        </is>
      </c>
      <c r="B1105" t="inlineStr">
        <is>
          <t>GT06</t>
        </is>
      </c>
      <c r="C1105" t="inlineStr">
        <is>
          <t>Santa Rosa</t>
        </is>
      </c>
      <c r="D1105" t="inlineStr">
        <is>
          <t>Santa Rosa</t>
        </is>
      </c>
    </row>
    <row r="1106">
      <c r="A1106" t="inlineStr">
        <is>
          <t>admin1</t>
        </is>
      </c>
      <c r="B1106" t="inlineStr">
        <is>
          <t>GT07</t>
        </is>
      </c>
      <c r="C1106" t="inlineStr">
        <is>
          <t>Sololá</t>
        </is>
      </c>
      <c r="D1106" t="inlineStr">
        <is>
          <t>Sololá</t>
        </is>
      </c>
    </row>
    <row r="1107">
      <c r="A1107" t="inlineStr">
        <is>
          <t>admin1</t>
        </is>
      </c>
      <c r="B1107" t="inlineStr">
        <is>
          <t>GT08</t>
        </is>
      </c>
      <c r="C1107" t="inlineStr">
        <is>
          <t>Totonicapán</t>
        </is>
      </c>
      <c r="D1107" t="inlineStr">
        <is>
          <t>Totonicapán</t>
        </is>
      </c>
    </row>
    <row r="1108">
      <c r="A1108" t="inlineStr">
        <is>
          <t>admin1</t>
        </is>
      </c>
      <c r="B1108" t="inlineStr">
        <is>
          <t>GT09</t>
        </is>
      </c>
      <c r="C1108" t="inlineStr">
        <is>
          <t>Quetzaltenango</t>
        </is>
      </c>
      <c r="D1108" t="inlineStr">
        <is>
          <t>Quetzaltenango</t>
        </is>
      </c>
    </row>
    <row r="1109">
      <c r="A1109" t="inlineStr">
        <is>
          <t>admin1</t>
        </is>
      </c>
      <c r="B1109" t="inlineStr">
        <is>
          <t>GT10</t>
        </is>
      </c>
      <c r="C1109" t="inlineStr">
        <is>
          <t>Suchitepéquez</t>
        </is>
      </c>
      <c r="D1109" t="inlineStr">
        <is>
          <t>Suchitepéquez</t>
        </is>
      </c>
    </row>
    <row r="1110">
      <c r="A1110" t="inlineStr">
        <is>
          <t>admin1</t>
        </is>
      </c>
      <c r="B1110" t="inlineStr">
        <is>
          <t>GT11</t>
        </is>
      </c>
      <c r="C1110" t="inlineStr">
        <is>
          <t>Retalhuleu</t>
        </is>
      </c>
      <c r="D1110" t="inlineStr">
        <is>
          <t>Retalhuleu</t>
        </is>
      </c>
    </row>
    <row r="1111">
      <c r="A1111" t="inlineStr">
        <is>
          <t>admin1</t>
        </is>
      </c>
      <c r="B1111" t="inlineStr">
        <is>
          <t>GT12</t>
        </is>
      </c>
      <c r="C1111" t="inlineStr">
        <is>
          <t>San Marcos</t>
        </is>
      </c>
      <c r="D1111" t="inlineStr">
        <is>
          <t>San Marcos</t>
        </is>
      </c>
    </row>
    <row r="1112">
      <c r="A1112" t="inlineStr">
        <is>
          <t>admin1</t>
        </is>
      </c>
      <c r="B1112" t="inlineStr">
        <is>
          <t>GT13</t>
        </is>
      </c>
      <c r="C1112" t="inlineStr">
        <is>
          <t>Huehuetenango</t>
        </is>
      </c>
      <c r="D1112" t="inlineStr">
        <is>
          <t>Huehuetenango</t>
        </is>
      </c>
    </row>
    <row r="1113">
      <c r="A1113" t="inlineStr">
        <is>
          <t>admin1</t>
        </is>
      </c>
      <c r="B1113" t="inlineStr">
        <is>
          <t>GT14</t>
        </is>
      </c>
      <c r="C1113" t="inlineStr">
        <is>
          <t>Quiché</t>
        </is>
      </c>
      <c r="D1113" t="inlineStr">
        <is>
          <t>Quiché</t>
        </is>
      </c>
    </row>
    <row r="1114">
      <c r="A1114" t="inlineStr">
        <is>
          <t>admin1</t>
        </is>
      </c>
      <c r="B1114" t="inlineStr">
        <is>
          <t>GT15</t>
        </is>
      </c>
      <c r="C1114" t="inlineStr">
        <is>
          <t>Baja Verapaz</t>
        </is>
      </c>
      <c r="D1114" t="inlineStr">
        <is>
          <t>Baja Verapaz</t>
        </is>
      </c>
    </row>
    <row r="1115">
      <c r="A1115" t="inlineStr">
        <is>
          <t>admin1</t>
        </is>
      </c>
      <c r="B1115" t="inlineStr">
        <is>
          <t>GT16</t>
        </is>
      </c>
      <c r="C1115" t="inlineStr">
        <is>
          <t>Alta Verapaz</t>
        </is>
      </c>
      <c r="D1115" t="inlineStr">
        <is>
          <t>Alta Verapaz</t>
        </is>
      </c>
    </row>
    <row r="1116">
      <c r="A1116" t="inlineStr">
        <is>
          <t>admin1</t>
        </is>
      </c>
      <c r="B1116" t="inlineStr">
        <is>
          <t>GT17</t>
        </is>
      </c>
      <c r="C1116" t="inlineStr">
        <is>
          <t>Petén</t>
        </is>
      </c>
      <c r="D1116" t="inlineStr">
        <is>
          <t>Petén</t>
        </is>
      </c>
    </row>
    <row r="1117">
      <c r="A1117" t="inlineStr">
        <is>
          <t>admin1</t>
        </is>
      </c>
      <c r="B1117" t="inlineStr">
        <is>
          <t>GT18</t>
        </is>
      </c>
      <c r="C1117" t="inlineStr">
        <is>
          <t>Izabal</t>
        </is>
      </c>
      <c r="D1117" t="inlineStr">
        <is>
          <t>Izabal</t>
        </is>
      </c>
    </row>
    <row r="1118">
      <c r="A1118" t="inlineStr">
        <is>
          <t>admin1</t>
        </is>
      </c>
      <c r="B1118" t="inlineStr">
        <is>
          <t>GT19</t>
        </is>
      </c>
      <c r="C1118" t="inlineStr">
        <is>
          <t>Zacapa</t>
        </is>
      </c>
      <c r="D1118" t="inlineStr">
        <is>
          <t>Zacapa</t>
        </is>
      </c>
    </row>
    <row r="1119">
      <c r="A1119" t="inlineStr">
        <is>
          <t>admin1</t>
        </is>
      </c>
      <c r="B1119" t="inlineStr">
        <is>
          <t>GT20</t>
        </is>
      </c>
      <c r="C1119" t="inlineStr">
        <is>
          <t>Chiquimula</t>
        </is>
      </c>
      <c r="D1119" t="inlineStr">
        <is>
          <t>Chiquimula</t>
        </is>
      </c>
    </row>
    <row r="1120">
      <c r="A1120" t="inlineStr">
        <is>
          <t>admin1</t>
        </is>
      </c>
      <c r="B1120" t="inlineStr">
        <is>
          <t>GT21</t>
        </is>
      </c>
      <c r="C1120" t="inlineStr">
        <is>
          <t>Jalapa</t>
        </is>
      </c>
      <c r="D1120" t="inlineStr">
        <is>
          <t>Jalapa</t>
        </is>
      </c>
    </row>
    <row r="1121">
      <c r="A1121" t="inlineStr">
        <is>
          <t>admin1</t>
        </is>
      </c>
      <c r="B1121" t="inlineStr">
        <is>
          <t>GT22</t>
        </is>
      </c>
      <c r="C1121" t="inlineStr">
        <is>
          <t>Jutiapa</t>
        </is>
      </c>
      <c r="D1121" t="inlineStr">
        <is>
          <t>Jutiapa</t>
        </is>
      </c>
    </row>
    <row r="1123">
      <c r="A1123" t="inlineStr">
        <is>
          <t>admin2</t>
        </is>
      </c>
      <c r="B1123" t="inlineStr">
        <is>
          <t>GT0100</t>
        </is>
      </c>
      <c r="C1123" t="inlineStr">
        <is>
          <t>Lago De Amatitlan</t>
        </is>
      </c>
      <c r="D1123" t="inlineStr">
        <is>
          <t>Lago De Amatitlan</t>
        </is>
      </c>
      <c r="F1123" t="inlineStr">
        <is>
          <t>GT01</t>
        </is>
      </c>
    </row>
    <row r="1124">
      <c r="A1124" t="inlineStr">
        <is>
          <t>admin2</t>
        </is>
      </c>
      <c r="B1124" t="inlineStr">
        <is>
          <t>GT0101</t>
        </is>
      </c>
      <c r="C1124" t="inlineStr">
        <is>
          <t>Guatemala City</t>
        </is>
      </c>
      <c r="D1124" t="inlineStr">
        <is>
          <t>Guatemala City</t>
        </is>
      </c>
      <c r="F1124" t="inlineStr">
        <is>
          <t>GT01</t>
        </is>
      </c>
    </row>
    <row r="1125">
      <c r="A1125" t="inlineStr">
        <is>
          <t>admin2</t>
        </is>
      </c>
      <c r="B1125" t="inlineStr">
        <is>
          <t>GT0102</t>
        </is>
      </c>
      <c r="C1125" t="inlineStr">
        <is>
          <t>Santa Catarina Pinula</t>
        </is>
      </c>
      <c r="D1125" t="inlineStr">
        <is>
          <t>Santa Catarina Pinula</t>
        </is>
      </c>
      <c r="F1125" t="inlineStr">
        <is>
          <t>GT01</t>
        </is>
      </c>
    </row>
    <row r="1126">
      <c r="A1126" t="inlineStr">
        <is>
          <t>admin2</t>
        </is>
      </c>
      <c r="B1126" t="inlineStr">
        <is>
          <t>GT0103</t>
        </is>
      </c>
      <c r="C1126" t="inlineStr">
        <is>
          <t>San José Pinula</t>
        </is>
      </c>
      <c r="D1126" t="inlineStr">
        <is>
          <t>San José Pinula</t>
        </is>
      </c>
      <c r="F1126" t="inlineStr">
        <is>
          <t>GT01</t>
        </is>
      </c>
    </row>
    <row r="1127">
      <c r="A1127" t="inlineStr">
        <is>
          <t>admin2</t>
        </is>
      </c>
      <c r="B1127" t="inlineStr">
        <is>
          <t>GT0104</t>
        </is>
      </c>
      <c r="C1127" t="inlineStr">
        <is>
          <t>San José del Golfo</t>
        </is>
      </c>
      <c r="D1127" t="inlineStr">
        <is>
          <t>San José del Golfo</t>
        </is>
      </c>
      <c r="F1127" t="inlineStr">
        <is>
          <t>GT01</t>
        </is>
      </c>
    </row>
    <row r="1128">
      <c r="A1128" t="inlineStr">
        <is>
          <t>admin2</t>
        </is>
      </c>
      <c r="B1128" t="inlineStr">
        <is>
          <t>GT0105</t>
        </is>
      </c>
      <c r="C1128" t="inlineStr">
        <is>
          <t>Palencia</t>
        </is>
      </c>
      <c r="D1128" t="inlineStr">
        <is>
          <t>Palencia</t>
        </is>
      </c>
      <c r="F1128" t="inlineStr">
        <is>
          <t>GT01</t>
        </is>
      </c>
    </row>
    <row r="1129">
      <c r="A1129" t="inlineStr">
        <is>
          <t>admin2</t>
        </is>
      </c>
      <c r="B1129" t="inlineStr">
        <is>
          <t>GT0106</t>
        </is>
      </c>
      <c r="C1129" t="inlineStr">
        <is>
          <t>Chinautla</t>
        </is>
      </c>
      <c r="D1129" t="inlineStr">
        <is>
          <t>Chinautla</t>
        </is>
      </c>
      <c r="F1129" t="inlineStr">
        <is>
          <t>GT01</t>
        </is>
      </c>
    </row>
    <row r="1130">
      <c r="A1130" t="inlineStr">
        <is>
          <t>admin2</t>
        </is>
      </c>
      <c r="B1130" t="inlineStr">
        <is>
          <t>GT0107</t>
        </is>
      </c>
      <c r="C1130" t="inlineStr">
        <is>
          <t>San Pedro Ayampuc</t>
        </is>
      </c>
      <c r="D1130" t="inlineStr">
        <is>
          <t>San Pedro Ayampuc</t>
        </is>
      </c>
      <c r="F1130" t="inlineStr">
        <is>
          <t>GT01</t>
        </is>
      </c>
    </row>
    <row r="1131">
      <c r="A1131" t="inlineStr">
        <is>
          <t>admin2</t>
        </is>
      </c>
      <c r="B1131" t="inlineStr">
        <is>
          <t>GT0108</t>
        </is>
      </c>
      <c r="C1131" t="inlineStr">
        <is>
          <t>Mixco</t>
        </is>
      </c>
      <c r="D1131" t="inlineStr">
        <is>
          <t>Mixco</t>
        </is>
      </c>
      <c r="F1131" t="inlineStr">
        <is>
          <t>GT01</t>
        </is>
      </c>
    </row>
    <row r="1132">
      <c r="A1132" t="inlineStr">
        <is>
          <t>admin2</t>
        </is>
      </c>
      <c r="B1132" t="inlineStr">
        <is>
          <t>GT0109</t>
        </is>
      </c>
      <c r="C1132" t="inlineStr">
        <is>
          <t>San Pedro Sacatepéquez</t>
        </is>
      </c>
      <c r="D1132" t="inlineStr">
        <is>
          <t>San Pedro Sacatepéquez</t>
        </is>
      </c>
      <c r="F1132" t="inlineStr">
        <is>
          <t>GT01</t>
        </is>
      </c>
    </row>
    <row r="1133">
      <c r="A1133" t="inlineStr">
        <is>
          <t>admin2</t>
        </is>
      </c>
      <c r="B1133" t="inlineStr">
        <is>
          <t>GT0110</t>
        </is>
      </c>
      <c r="C1133" t="inlineStr">
        <is>
          <t>San Juan Sacatepéquez</t>
        </is>
      </c>
      <c r="D1133" t="inlineStr">
        <is>
          <t>San Juan Sacatepéquez</t>
        </is>
      </c>
      <c r="F1133" t="inlineStr">
        <is>
          <t>GT01</t>
        </is>
      </c>
    </row>
    <row r="1134">
      <c r="A1134" t="inlineStr">
        <is>
          <t>admin2</t>
        </is>
      </c>
      <c r="B1134" t="inlineStr">
        <is>
          <t>GT0111</t>
        </is>
      </c>
      <c r="C1134" t="inlineStr">
        <is>
          <t>San Raimundo</t>
        </is>
      </c>
      <c r="D1134" t="inlineStr">
        <is>
          <t>San Raimundo</t>
        </is>
      </c>
      <c r="F1134" t="inlineStr">
        <is>
          <t>GT01</t>
        </is>
      </c>
    </row>
    <row r="1135">
      <c r="A1135" t="inlineStr">
        <is>
          <t>admin2</t>
        </is>
      </c>
      <c r="B1135" t="inlineStr">
        <is>
          <t>GT0112</t>
        </is>
      </c>
      <c r="C1135" t="inlineStr">
        <is>
          <t>Chuarrancho</t>
        </is>
      </c>
      <c r="D1135" t="inlineStr">
        <is>
          <t>Chuarrancho</t>
        </is>
      </c>
      <c r="F1135" t="inlineStr">
        <is>
          <t>GT01</t>
        </is>
      </c>
    </row>
    <row r="1136">
      <c r="A1136" t="inlineStr">
        <is>
          <t>admin2</t>
        </is>
      </c>
      <c r="B1136" t="inlineStr">
        <is>
          <t>GT0113</t>
        </is>
      </c>
      <c r="C1136" t="inlineStr">
        <is>
          <t>Fraijanes</t>
        </is>
      </c>
      <c r="D1136" t="inlineStr">
        <is>
          <t>Fraijanes</t>
        </is>
      </c>
      <c r="F1136" t="inlineStr">
        <is>
          <t>GT01</t>
        </is>
      </c>
    </row>
    <row r="1137">
      <c r="A1137" t="inlineStr">
        <is>
          <t>admin2</t>
        </is>
      </c>
      <c r="B1137" t="inlineStr">
        <is>
          <t>GT0114</t>
        </is>
      </c>
      <c r="C1137" t="inlineStr">
        <is>
          <t>Amatitlán</t>
        </is>
      </c>
      <c r="D1137" t="inlineStr">
        <is>
          <t>Amatitlán</t>
        </is>
      </c>
      <c r="F1137" t="inlineStr">
        <is>
          <t>GT01</t>
        </is>
      </c>
    </row>
    <row r="1138">
      <c r="A1138" t="inlineStr">
        <is>
          <t>admin2</t>
        </is>
      </c>
      <c r="B1138" t="inlineStr">
        <is>
          <t>GT0115</t>
        </is>
      </c>
      <c r="C1138" t="inlineStr">
        <is>
          <t>Villa Nueva</t>
        </is>
      </c>
      <c r="D1138" t="inlineStr">
        <is>
          <t>Villa Nueva</t>
        </is>
      </c>
      <c r="F1138" t="inlineStr">
        <is>
          <t>GT01</t>
        </is>
      </c>
    </row>
    <row r="1139">
      <c r="A1139" t="inlineStr">
        <is>
          <t>admin2</t>
        </is>
      </c>
      <c r="B1139" t="inlineStr">
        <is>
          <t>GT0116</t>
        </is>
      </c>
      <c r="C1139" t="inlineStr">
        <is>
          <t>Villa Canales</t>
        </is>
      </c>
      <c r="D1139" t="inlineStr">
        <is>
          <t>Villa Canales</t>
        </is>
      </c>
      <c r="F1139" t="inlineStr">
        <is>
          <t>GT01</t>
        </is>
      </c>
    </row>
    <row r="1140">
      <c r="A1140" t="inlineStr">
        <is>
          <t>admin2</t>
        </is>
      </c>
      <c r="B1140" t="inlineStr">
        <is>
          <t>GT0117</t>
        </is>
      </c>
      <c r="C1140" t="inlineStr">
        <is>
          <t>Petapa</t>
        </is>
      </c>
      <c r="D1140" t="inlineStr">
        <is>
          <t>Petapa</t>
        </is>
      </c>
      <c r="F1140" t="inlineStr">
        <is>
          <t>GT01</t>
        </is>
      </c>
    </row>
    <row r="1141">
      <c r="A1141" t="inlineStr">
        <is>
          <t>admin2</t>
        </is>
      </c>
      <c r="B1141" t="inlineStr">
        <is>
          <t>GT0201</t>
        </is>
      </c>
      <c r="C1141" t="inlineStr">
        <is>
          <t>Guastatoya</t>
        </is>
      </c>
      <c r="D1141" t="inlineStr">
        <is>
          <t>Guastatoya</t>
        </is>
      </c>
      <c r="F1141" t="inlineStr">
        <is>
          <t>GT02</t>
        </is>
      </c>
    </row>
    <row r="1142">
      <c r="A1142" t="inlineStr">
        <is>
          <t>admin2</t>
        </is>
      </c>
      <c r="B1142" t="inlineStr">
        <is>
          <t>GT0202</t>
        </is>
      </c>
      <c r="C1142" t="inlineStr">
        <is>
          <t>Morazán</t>
        </is>
      </c>
      <c r="D1142" t="inlineStr">
        <is>
          <t>Morazán</t>
        </is>
      </c>
      <c r="F1142" t="inlineStr">
        <is>
          <t>GT02</t>
        </is>
      </c>
    </row>
    <row r="1143">
      <c r="A1143" t="inlineStr">
        <is>
          <t>admin2</t>
        </is>
      </c>
      <c r="B1143" t="inlineStr">
        <is>
          <t>GT0203</t>
        </is>
      </c>
      <c r="C1143" t="inlineStr">
        <is>
          <t>San Agustín Acasaguastlán</t>
        </is>
      </c>
      <c r="D1143" t="inlineStr">
        <is>
          <t>San Agustín Acasaguastlán</t>
        </is>
      </c>
      <c r="F1143" t="inlineStr">
        <is>
          <t>GT02</t>
        </is>
      </c>
    </row>
    <row r="1144">
      <c r="A1144" t="inlineStr">
        <is>
          <t>admin2</t>
        </is>
      </c>
      <c r="B1144" t="inlineStr">
        <is>
          <t>GT0204</t>
        </is>
      </c>
      <c r="C1144" t="inlineStr">
        <is>
          <t>San Cristóbal Acasaguastlán</t>
        </is>
      </c>
      <c r="D1144" t="inlineStr">
        <is>
          <t>San Cristóbal Acasaguastlán</t>
        </is>
      </c>
      <c r="F1144" t="inlineStr">
        <is>
          <t>GT02</t>
        </is>
      </c>
    </row>
    <row r="1145">
      <c r="A1145" t="inlineStr">
        <is>
          <t>admin2</t>
        </is>
      </c>
      <c r="B1145" t="inlineStr">
        <is>
          <t>GT0205</t>
        </is>
      </c>
      <c r="C1145" t="inlineStr">
        <is>
          <t>El Jícaro</t>
        </is>
      </c>
      <c r="D1145" t="inlineStr">
        <is>
          <t>El Jícaro</t>
        </is>
      </c>
      <c r="F1145" t="inlineStr">
        <is>
          <t>GT02</t>
        </is>
      </c>
    </row>
    <row r="1146">
      <c r="A1146" t="inlineStr">
        <is>
          <t>admin2</t>
        </is>
      </c>
      <c r="B1146" t="inlineStr">
        <is>
          <t>GT0206</t>
        </is>
      </c>
      <c r="C1146" t="inlineStr">
        <is>
          <t>Sanarate</t>
        </is>
      </c>
      <c r="D1146" t="inlineStr">
        <is>
          <t>Sanarate</t>
        </is>
      </c>
      <c r="F1146" t="inlineStr">
        <is>
          <t>GT02</t>
        </is>
      </c>
    </row>
    <row r="1147">
      <c r="A1147" t="inlineStr">
        <is>
          <t>admin2</t>
        </is>
      </c>
      <c r="B1147" t="inlineStr">
        <is>
          <t>GT0207</t>
        </is>
      </c>
      <c r="C1147" t="inlineStr">
        <is>
          <t>Sansare</t>
        </is>
      </c>
      <c r="D1147" t="inlineStr">
        <is>
          <t>Sansare</t>
        </is>
      </c>
      <c r="F1147" t="inlineStr">
        <is>
          <t>GT02</t>
        </is>
      </c>
    </row>
    <row r="1148">
      <c r="A1148" t="inlineStr">
        <is>
          <t>admin2</t>
        </is>
      </c>
      <c r="B1148" t="inlineStr">
        <is>
          <t>GT0208</t>
        </is>
      </c>
      <c r="C1148" t="inlineStr">
        <is>
          <t>San Antonio La Paz</t>
        </is>
      </c>
      <c r="D1148" t="inlineStr">
        <is>
          <t>San Antonio La Paz</t>
        </is>
      </c>
      <c r="F1148" t="inlineStr">
        <is>
          <t>GT02</t>
        </is>
      </c>
    </row>
    <row r="1149">
      <c r="A1149" t="inlineStr">
        <is>
          <t>admin2</t>
        </is>
      </c>
      <c r="B1149" t="inlineStr">
        <is>
          <t>GT0301</t>
        </is>
      </c>
      <c r="C1149" t="inlineStr">
        <is>
          <t>Antigua Guatemala</t>
        </is>
      </c>
      <c r="D1149" t="inlineStr">
        <is>
          <t>Antigua Guatemala</t>
        </is>
      </c>
      <c r="F1149" t="inlineStr">
        <is>
          <t>GT03</t>
        </is>
      </c>
    </row>
    <row r="1150">
      <c r="A1150" t="inlineStr">
        <is>
          <t>admin2</t>
        </is>
      </c>
      <c r="B1150" t="inlineStr">
        <is>
          <t>GT0302</t>
        </is>
      </c>
      <c r="C1150" t="inlineStr">
        <is>
          <t>Jocotenango</t>
        </is>
      </c>
      <c r="D1150" t="inlineStr">
        <is>
          <t>Jocotenango</t>
        </is>
      </c>
      <c r="F1150" t="inlineStr">
        <is>
          <t>GT03</t>
        </is>
      </c>
    </row>
    <row r="1151">
      <c r="A1151" t="inlineStr">
        <is>
          <t>admin2</t>
        </is>
      </c>
      <c r="B1151" t="inlineStr">
        <is>
          <t>GT0303</t>
        </is>
      </c>
      <c r="C1151" t="inlineStr">
        <is>
          <t>Pastores</t>
        </is>
      </c>
      <c r="D1151" t="inlineStr">
        <is>
          <t>Pastores</t>
        </is>
      </c>
      <c r="F1151" t="inlineStr">
        <is>
          <t>GT03</t>
        </is>
      </c>
    </row>
    <row r="1152">
      <c r="A1152" t="inlineStr">
        <is>
          <t>admin2</t>
        </is>
      </c>
      <c r="B1152" t="inlineStr">
        <is>
          <t>GT0304</t>
        </is>
      </c>
      <c r="C1152" t="inlineStr">
        <is>
          <t>Sumpango</t>
        </is>
      </c>
      <c r="D1152" t="inlineStr">
        <is>
          <t>Sumpango</t>
        </is>
      </c>
      <c r="F1152" t="inlineStr">
        <is>
          <t>GT03</t>
        </is>
      </c>
    </row>
    <row r="1153">
      <c r="A1153" t="inlineStr">
        <is>
          <t>admin2</t>
        </is>
      </c>
      <c r="B1153" t="inlineStr">
        <is>
          <t>GT0305</t>
        </is>
      </c>
      <c r="C1153" t="inlineStr">
        <is>
          <t>Santo Domingo Xenacoj</t>
        </is>
      </c>
      <c r="D1153" t="inlineStr">
        <is>
          <t>Santo Domingo Xenacoj</t>
        </is>
      </c>
      <c r="F1153" t="inlineStr">
        <is>
          <t>GT03</t>
        </is>
      </c>
    </row>
    <row r="1154">
      <c r="A1154" t="inlineStr">
        <is>
          <t>admin2</t>
        </is>
      </c>
      <c r="B1154" t="inlineStr">
        <is>
          <t>GT0306</t>
        </is>
      </c>
      <c r="C1154" t="inlineStr">
        <is>
          <t>Santiago Sacatepéquez</t>
        </is>
      </c>
      <c r="D1154" t="inlineStr">
        <is>
          <t>Santiago Sacatepéquez</t>
        </is>
      </c>
      <c r="F1154" t="inlineStr">
        <is>
          <t>GT03</t>
        </is>
      </c>
    </row>
    <row r="1155">
      <c r="A1155" t="inlineStr">
        <is>
          <t>admin2</t>
        </is>
      </c>
      <c r="B1155" t="inlineStr">
        <is>
          <t>GT0307</t>
        </is>
      </c>
      <c r="C1155" t="inlineStr">
        <is>
          <t>San Bartolomé Milpas Altas</t>
        </is>
      </c>
      <c r="D1155" t="inlineStr">
        <is>
          <t>San Bartolomé Milpas Altas</t>
        </is>
      </c>
      <c r="F1155" t="inlineStr">
        <is>
          <t>GT03</t>
        </is>
      </c>
    </row>
    <row r="1156">
      <c r="A1156" t="inlineStr">
        <is>
          <t>admin2</t>
        </is>
      </c>
      <c r="B1156" t="inlineStr">
        <is>
          <t>GT0308</t>
        </is>
      </c>
      <c r="C1156" t="inlineStr">
        <is>
          <t>San Lucas Sacatepéquez</t>
        </is>
      </c>
      <c r="D1156" t="inlineStr">
        <is>
          <t>San Lucas Sacatepéquez</t>
        </is>
      </c>
      <c r="F1156" t="inlineStr">
        <is>
          <t>GT03</t>
        </is>
      </c>
    </row>
    <row r="1157">
      <c r="A1157" t="inlineStr">
        <is>
          <t>admin2</t>
        </is>
      </c>
      <c r="B1157" t="inlineStr">
        <is>
          <t>GT0309</t>
        </is>
      </c>
      <c r="C1157" t="inlineStr">
        <is>
          <t>Santa Lucía Milpas Altas</t>
        </is>
      </c>
      <c r="D1157" t="inlineStr">
        <is>
          <t>Santa Lucía Milpas Altas</t>
        </is>
      </c>
      <c r="F1157" t="inlineStr">
        <is>
          <t>GT03</t>
        </is>
      </c>
    </row>
    <row r="1158">
      <c r="A1158" t="inlineStr">
        <is>
          <t>admin2</t>
        </is>
      </c>
      <c r="B1158" t="inlineStr">
        <is>
          <t>GT0310</t>
        </is>
      </c>
      <c r="C1158" t="inlineStr">
        <is>
          <t>Magdalena Milpas Altas</t>
        </is>
      </c>
      <c r="D1158" t="inlineStr">
        <is>
          <t>Magdalena Milpas Altas</t>
        </is>
      </c>
      <c r="F1158" t="inlineStr">
        <is>
          <t>GT03</t>
        </is>
      </c>
    </row>
    <row r="1159">
      <c r="A1159" t="inlineStr">
        <is>
          <t>admin2</t>
        </is>
      </c>
      <c r="B1159" t="inlineStr">
        <is>
          <t>GT0311</t>
        </is>
      </c>
      <c r="C1159" t="inlineStr">
        <is>
          <t>Santa María de Jesús</t>
        </is>
      </c>
      <c r="D1159" t="inlineStr">
        <is>
          <t>Santa María de Jesús</t>
        </is>
      </c>
      <c r="F1159" t="inlineStr">
        <is>
          <t>GT03</t>
        </is>
      </c>
    </row>
    <row r="1160">
      <c r="A1160" t="inlineStr">
        <is>
          <t>admin2</t>
        </is>
      </c>
      <c r="B1160" t="inlineStr">
        <is>
          <t>GT0312</t>
        </is>
      </c>
      <c r="C1160" t="inlineStr">
        <is>
          <t>Ciudad Vieja</t>
        </is>
      </c>
      <c r="D1160" t="inlineStr">
        <is>
          <t>Ciudad Vieja</t>
        </is>
      </c>
      <c r="F1160" t="inlineStr">
        <is>
          <t>GT03</t>
        </is>
      </c>
    </row>
    <row r="1161">
      <c r="A1161" t="inlineStr">
        <is>
          <t>admin2</t>
        </is>
      </c>
      <c r="B1161" t="inlineStr">
        <is>
          <t>GT0313</t>
        </is>
      </c>
      <c r="C1161" t="inlineStr">
        <is>
          <t>San Miguel Dueñas</t>
        </is>
      </c>
      <c r="D1161" t="inlineStr">
        <is>
          <t>San Miguel Dueñas</t>
        </is>
      </c>
      <c r="F1161" t="inlineStr">
        <is>
          <t>GT03</t>
        </is>
      </c>
    </row>
    <row r="1162">
      <c r="A1162" t="inlineStr">
        <is>
          <t>admin2</t>
        </is>
      </c>
      <c r="B1162" t="inlineStr">
        <is>
          <t>GT0314</t>
        </is>
      </c>
      <c r="C1162" t="inlineStr">
        <is>
          <t>Alotenango</t>
        </is>
      </c>
      <c r="D1162" t="inlineStr">
        <is>
          <t>Alotenango</t>
        </is>
      </c>
      <c r="F1162" t="inlineStr">
        <is>
          <t>GT03</t>
        </is>
      </c>
    </row>
    <row r="1163">
      <c r="A1163" t="inlineStr">
        <is>
          <t>admin2</t>
        </is>
      </c>
      <c r="B1163" t="inlineStr">
        <is>
          <t>GT0315</t>
        </is>
      </c>
      <c r="C1163" t="inlineStr">
        <is>
          <t>San Antonio Aguas Calientes</t>
        </is>
      </c>
      <c r="D1163" t="inlineStr">
        <is>
          <t>San Antonio Aguas Calientes</t>
        </is>
      </c>
      <c r="F1163" t="inlineStr">
        <is>
          <t>GT03</t>
        </is>
      </c>
    </row>
    <row r="1164">
      <c r="A1164" t="inlineStr">
        <is>
          <t>admin2</t>
        </is>
      </c>
      <c r="B1164" t="inlineStr">
        <is>
          <t>GT0316</t>
        </is>
      </c>
      <c r="C1164" t="inlineStr">
        <is>
          <t>Santa Catarina Barahona</t>
        </is>
      </c>
      <c r="D1164" t="inlineStr">
        <is>
          <t>Santa Catarina Barahona</t>
        </is>
      </c>
      <c r="F1164" t="inlineStr">
        <is>
          <t>GT03</t>
        </is>
      </c>
    </row>
    <row r="1165">
      <c r="A1165" t="inlineStr">
        <is>
          <t>admin2</t>
        </is>
      </c>
      <c r="B1165" t="inlineStr">
        <is>
          <t>GT0401</t>
        </is>
      </c>
      <c r="C1165" t="inlineStr">
        <is>
          <t>Chimaltenango</t>
        </is>
      </c>
      <c r="D1165" t="inlineStr">
        <is>
          <t>Chimaltenango</t>
        </is>
      </c>
      <c r="F1165" t="inlineStr">
        <is>
          <t>GT04</t>
        </is>
      </c>
    </row>
    <row r="1166">
      <c r="A1166" t="inlineStr">
        <is>
          <t>admin2</t>
        </is>
      </c>
      <c r="B1166" t="inlineStr">
        <is>
          <t>GT0402</t>
        </is>
      </c>
      <c r="C1166" t="inlineStr">
        <is>
          <t>San José Poaquil</t>
        </is>
      </c>
      <c r="D1166" t="inlineStr">
        <is>
          <t>San José Poaquil</t>
        </is>
      </c>
      <c r="F1166" t="inlineStr">
        <is>
          <t>GT04</t>
        </is>
      </c>
    </row>
    <row r="1167">
      <c r="A1167" t="inlineStr">
        <is>
          <t>admin2</t>
        </is>
      </c>
      <c r="B1167" t="inlineStr">
        <is>
          <t>GT0403</t>
        </is>
      </c>
      <c r="C1167" t="inlineStr">
        <is>
          <t>San Martín Jilotepeque</t>
        </is>
      </c>
      <c r="D1167" t="inlineStr">
        <is>
          <t>San Martín Jilotepeque</t>
        </is>
      </c>
      <c r="F1167" t="inlineStr">
        <is>
          <t>GT04</t>
        </is>
      </c>
    </row>
    <row r="1168">
      <c r="A1168" t="inlineStr">
        <is>
          <t>admin2</t>
        </is>
      </c>
      <c r="B1168" t="inlineStr">
        <is>
          <t>GT0404</t>
        </is>
      </c>
      <c r="C1168" t="inlineStr">
        <is>
          <t>Comalapa</t>
        </is>
      </c>
      <c r="D1168" t="inlineStr">
        <is>
          <t>Comalapa</t>
        </is>
      </c>
      <c r="F1168" t="inlineStr">
        <is>
          <t>GT04</t>
        </is>
      </c>
    </row>
    <row r="1169">
      <c r="A1169" t="inlineStr">
        <is>
          <t>admin2</t>
        </is>
      </c>
      <c r="B1169" t="inlineStr">
        <is>
          <t>GT0405</t>
        </is>
      </c>
      <c r="C1169" t="inlineStr">
        <is>
          <t>Santa Apolonia</t>
        </is>
      </c>
      <c r="D1169" t="inlineStr">
        <is>
          <t>Santa Apolonia</t>
        </is>
      </c>
      <c r="F1169" t="inlineStr">
        <is>
          <t>GT04</t>
        </is>
      </c>
    </row>
    <row r="1170">
      <c r="A1170" t="inlineStr">
        <is>
          <t>admin2</t>
        </is>
      </c>
      <c r="B1170" t="inlineStr">
        <is>
          <t>GT0406</t>
        </is>
      </c>
      <c r="C1170" t="inlineStr">
        <is>
          <t>Tecpán Guatemala</t>
        </is>
      </c>
      <c r="D1170" t="inlineStr">
        <is>
          <t>Tecpán Guatemala</t>
        </is>
      </c>
      <c r="F1170" t="inlineStr">
        <is>
          <t>GT04</t>
        </is>
      </c>
    </row>
    <row r="1171">
      <c r="A1171" t="inlineStr">
        <is>
          <t>admin2</t>
        </is>
      </c>
      <c r="B1171" t="inlineStr">
        <is>
          <t>GT0407</t>
        </is>
      </c>
      <c r="C1171" t="inlineStr">
        <is>
          <t>Patzún</t>
        </is>
      </c>
      <c r="D1171" t="inlineStr">
        <is>
          <t>Patzún</t>
        </is>
      </c>
      <c r="F1171" t="inlineStr">
        <is>
          <t>GT04</t>
        </is>
      </c>
    </row>
    <row r="1172">
      <c r="A1172" t="inlineStr">
        <is>
          <t>admin2</t>
        </is>
      </c>
      <c r="B1172" t="inlineStr">
        <is>
          <t>GT0408</t>
        </is>
      </c>
      <c r="C1172" t="inlineStr">
        <is>
          <t>Pochuta</t>
        </is>
      </c>
      <c r="D1172" t="inlineStr">
        <is>
          <t>Pochuta</t>
        </is>
      </c>
      <c r="F1172" t="inlineStr">
        <is>
          <t>GT04</t>
        </is>
      </c>
    </row>
    <row r="1173">
      <c r="A1173" t="inlineStr">
        <is>
          <t>admin2</t>
        </is>
      </c>
      <c r="B1173" t="inlineStr">
        <is>
          <t>GT0409</t>
        </is>
      </c>
      <c r="C1173" t="inlineStr">
        <is>
          <t>Patzicía</t>
        </is>
      </c>
      <c r="D1173" t="inlineStr">
        <is>
          <t>Patzicía</t>
        </is>
      </c>
      <c r="F1173" t="inlineStr">
        <is>
          <t>GT04</t>
        </is>
      </c>
    </row>
    <row r="1174">
      <c r="A1174" t="inlineStr">
        <is>
          <t>admin2</t>
        </is>
      </c>
      <c r="B1174" t="inlineStr">
        <is>
          <t>GT0410</t>
        </is>
      </c>
      <c r="C1174" t="inlineStr">
        <is>
          <t>Santa Cruz Balanyá</t>
        </is>
      </c>
      <c r="D1174" t="inlineStr">
        <is>
          <t>Santa Cruz Balanyá</t>
        </is>
      </c>
      <c r="F1174" t="inlineStr">
        <is>
          <t>GT04</t>
        </is>
      </c>
    </row>
    <row r="1175">
      <c r="A1175" t="inlineStr">
        <is>
          <t>admin2</t>
        </is>
      </c>
      <c r="B1175" t="inlineStr">
        <is>
          <t>GT0411</t>
        </is>
      </c>
      <c r="C1175" t="inlineStr">
        <is>
          <t>Acatenango</t>
        </is>
      </c>
      <c r="D1175" t="inlineStr">
        <is>
          <t>Acatenango</t>
        </is>
      </c>
      <c r="F1175" t="inlineStr">
        <is>
          <t>GT04</t>
        </is>
      </c>
    </row>
    <row r="1176">
      <c r="A1176" t="inlineStr">
        <is>
          <t>admin2</t>
        </is>
      </c>
      <c r="B1176" t="inlineStr">
        <is>
          <t>GT0412</t>
        </is>
      </c>
      <c r="C1176" t="inlineStr">
        <is>
          <t>Yepocapa</t>
        </is>
      </c>
      <c r="D1176" t="inlineStr">
        <is>
          <t>Yepocapa</t>
        </is>
      </c>
      <c r="F1176" t="inlineStr">
        <is>
          <t>GT04</t>
        </is>
      </c>
    </row>
    <row r="1177">
      <c r="A1177" t="inlineStr">
        <is>
          <t>admin2</t>
        </is>
      </c>
      <c r="B1177" t="inlineStr">
        <is>
          <t>GT0413</t>
        </is>
      </c>
      <c r="C1177" t="inlineStr">
        <is>
          <t>San Andrés Itzapa</t>
        </is>
      </c>
      <c r="D1177" t="inlineStr">
        <is>
          <t>San Andrés Itzapa</t>
        </is>
      </c>
      <c r="F1177" t="inlineStr">
        <is>
          <t>GT04</t>
        </is>
      </c>
    </row>
    <row r="1178">
      <c r="A1178" t="inlineStr">
        <is>
          <t>admin2</t>
        </is>
      </c>
      <c r="B1178" t="inlineStr">
        <is>
          <t>GT0414</t>
        </is>
      </c>
      <c r="C1178" t="inlineStr">
        <is>
          <t>Parramos</t>
        </is>
      </c>
      <c r="D1178" t="inlineStr">
        <is>
          <t>Parramos</t>
        </is>
      </c>
      <c r="F1178" t="inlineStr">
        <is>
          <t>GT04</t>
        </is>
      </c>
    </row>
    <row r="1179">
      <c r="A1179" t="inlineStr">
        <is>
          <t>admin2</t>
        </is>
      </c>
      <c r="B1179" t="inlineStr">
        <is>
          <t>GT0415</t>
        </is>
      </c>
      <c r="C1179" t="inlineStr">
        <is>
          <t>Zaragoza</t>
        </is>
      </c>
      <c r="D1179" t="inlineStr">
        <is>
          <t>Zaragoza</t>
        </is>
      </c>
      <c r="F1179" t="inlineStr">
        <is>
          <t>GT04</t>
        </is>
      </c>
    </row>
    <row r="1180">
      <c r="A1180" t="inlineStr">
        <is>
          <t>admin2</t>
        </is>
      </c>
      <c r="B1180" t="inlineStr">
        <is>
          <t>GT0416</t>
        </is>
      </c>
      <c r="C1180" t="inlineStr">
        <is>
          <t>El Tejar</t>
        </is>
      </c>
      <c r="D1180" t="inlineStr">
        <is>
          <t>El Tejar</t>
        </is>
      </c>
      <c r="F1180" t="inlineStr">
        <is>
          <t>GT04</t>
        </is>
      </c>
    </row>
    <row r="1181">
      <c r="A1181" t="inlineStr">
        <is>
          <t>admin2</t>
        </is>
      </c>
      <c r="B1181" t="inlineStr">
        <is>
          <t>GT0501</t>
        </is>
      </c>
      <c r="C1181" t="inlineStr">
        <is>
          <t>Escuintla</t>
        </is>
      </c>
      <c r="D1181" t="inlineStr">
        <is>
          <t>Escuintla</t>
        </is>
      </c>
      <c r="F1181" t="inlineStr">
        <is>
          <t>GT05</t>
        </is>
      </c>
    </row>
    <row r="1182">
      <c r="A1182" t="inlineStr">
        <is>
          <t>admin2</t>
        </is>
      </c>
      <c r="B1182" t="inlineStr">
        <is>
          <t>GT0502</t>
        </is>
      </c>
      <c r="C1182" t="inlineStr">
        <is>
          <t>Santa Lucía Cotzumalguapa</t>
        </is>
      </c>
      <c r="D1182" t="inlineStr">
        <is>
          <t>Santa Lucía Cotzumalguapa</t>
        </is>
      </c>
      <c r="F1182" t="inlineStr">
        <is>
          <t>GT05</t>
        </is>
      </c>
    </row>
    <row r="1183">
      <c r="A1183" t="inlineStr">
        <is>
          <t>admin2</t>
        </is>
      </c>
      <c r="B1183" t="inlineStr">
        <is>
          <t>GT0503</t>
        </is>
      </c>
      <c r="C1183" t="inlineStr">
        <is>
          <t>La Democracia</t>
        </is>
      </c>
      <c r="D1183" t="inlineStr">
        <is>
          <t>La Democracia</t>
        </is>
      </c>
      <c r="F1183" t="inlineStr">
        <is>
          <t>GT05</t>
        </is>
      </c>
    </row>
    <row r="1184">
      <c r="A1184" t="inlineStr">
        <is>
          <t>admin2</t>
        </is>
      </c>
      <c r="B1184" t="inlineStr">
        <is>
          <t>GT0504</t>
        </is>
      </c>
      <c r="C1184" t="inlineStr">
        <is>
          <t>Siquinalá</t>
        </is>
      </c>
      <c r="D1184" t="inlineStr">
        <is>
          <t>Siquinalá</t>
        </is>
      </c>
      <c r="F1184" t="inlineStr">
        <is>
          <t>GT05</t>
        </is>
      </c>
    </row>
    <row r="1185">
      <c r="A1185" t="inlineStr">
        <is>
          <t>admin2</t>
        </is>
      </c>
      <c r="B1185" t="inlineStr">
        <is>
          <t>GT0505</t>
        </is>
      </c>
      <c r="C1185" t="inlineStr">
        <is>
          <t>Masagua</t>
        </is>
      </c>
      <c r="D1185" t="inlineStr">
        <is>
          <t>Masagua</t>
        </is>
      </c>
      <c r="F1185" t="inlineStr">
        <is>
          <t>GT05</t>
        </is>
      </c>
    </row>
    <row r="1186">
      <c r="A1186" t="inlineStr">
        <is>
          <t>admin2</t>
        </is>
      </c>
      <c r="B1186" t="inlineStr">
        <is>
          <t>GT0506</t>
        </is>
      </c>
      <c r="C1186" t="inlineStr">
        <is>
          <t>Tiquisate</t>
        </is>
      </c>
      <c r="D1186" t="inlineStr">
        <is>
          <t>Tiquisate</t>
        </is>
      </c>
      <c r="F1186" t="inlineStr">
        <is>
          <t>GT05</t>
        </is>
      </c>
    </row>
    <row r="1187">
      <c r="A1187" t="inlineStr">
        <is>
          <t>admin2</t>
        </is>
      </c>
      <c r="B1187" t="inlineStr">
        <is>
          <t>GT0507</t>
        </is>
      </c>
      <c r="C1187" t="inlineStr">
        <is>
          <t>La Gomera</t>
        </is>
      </c>
      <c r="D1187" t="inlineStr">
        <is>
          <t>La Gomera</t>
        </is>
      </c>
      <c r="F1187" t="inlineStr">
        <is>
          <t>GT05</t>
        </is>
      </c>
    </row>
    <row r="1188">
      <c r="A1188" t="inlineStr">
        <is>
          <t>admin2</t>
        </is>
      </c>
      <c r="B1188" t="inlineStr">
        <is>
          <t>GT0508</t>
        </is>
      </c>
      <c r="C1188" t="inlineStr">
        <is>
          <t>Guanagazapa</t>
        </is>
      </c>
      <c r="D1188" t="inlineStr">
        <is>
          <t>Guanagazapa</t>
        </is>
      </c>
      <c r="F1188" t="inlineStr">
        <is>
          <t>GT05</t>
        </is>
      </c>
    </row>
    <row r="1189">
      <c r="A1189" t="inlineStr">
        <is>
          <t>admin2</t>
        </is>
      </c>
      <c r="B1189" t="inlineStr">
        <is>
          <t>GT0509</t>
        </is>
      </c>
      <c r="C1189" t="inlineStr">
        <is>
          <t>San José</t>
        </is>
      </c>
      <c r="D1189" t="inlineStr">
        <is>
          <t>San José</t>
        </is>
      </c>
      <c r="F1189" t="inlineStr">
        <is>
          <t>GT05</t>
        </is>
      </c>
    </row>
    <row r="1190">
      <c r="A1190" t="inlineStr">
        <is>
          <t>admin2</t>
        </is>
      </c>
      <c r="B1190" t="inlineStr">
        <is>
          <t>GT0510</t>
        </is>
      </c>
      <c r="C1190" t="inlineStr">
        <is>
          <t>Iztapa</t>
        </is>
      </c>
      <c r="D1190" t="inlineStr">
        <is>
          <t>Iztapa</t>
        </is>
      </c>
      <c r="F1190" t="inlineStr">
        <is>
          <t>GT05</t>
        </is>
      </c>
    </row>
    <row r="1191">
      <c r="A1191" t="inlineStr">
        <is>
          <t>admin2</t>
        </is>
      </c>
      <c r="B1191" t="inlineStr">
        <is>
          <t>GT0511</t>
        </is>
      </c>
      <c r="C1191" t="inlineStr">
        <is>
          <t>Palín</t>
        </is>
      </c>
      <c r="D1191" t="inlineStr">
        <is>
          <t>Palín</t>
        </is>
      </c>
      <c r="F1191" t="inlineStr">
        <is>
          <t>GT05</t>
        </is>
      </c>
    </row>
    <row r="1192">
      <c r="A1192" t="inlineStr">
        <is>
          <t>admin2</t>
        </is>
      </c>
      <c r="B1192" t="inlineStr">
        <is>
          <t>GT0512</t>
        </is>
      </c>
      <c r="C1192" t="inlineStr">
        <is>
          <t>San Vicente Pacaya</t>
        </is>
      </c>
      <c r="D1192" t="inlineStr">
        <is>
          <t>San Vicente Pacaya</t>
        </is>
      </c>
      <c r="F1192" t="inlineStr">
        <is>
          <t>GT05</t>
        </is>
      </c>
    </row>
    <row r="1193">
      <c r="A1193" t="inlineStr">
        <is>
          <t>admin2</t>
        </is>
      </c>
      <c r="B1193" t="inlineStr">
        <is>
          <t>GT0513</t>
        </is>
      </c>
      <c r="C1193" t="inlineStr">
        <is>
          <t>Nueva Concepción</t>
        </is>
      </c>
      <c r="D1193" t="inlineStr">
        <is>
          <t>Nueva Concepción</t>
        </is>
      </c>
      <c r="F1193" t="inlineStr">
        <is>
          <t>GT05</t>
        </is>
      </c>
    </row>
    <row r="1194">
      <c r="A1194" t="inlineStr">
        <is>
          <t>admin2</t>
        </is>
      </c>
      <c r="B1194" t="inlineStr">
        <is>
          <t>GT0514</t>
        </is>
      </c>
      <c r="C1194" t="inlineStr">
        <is>
          <t>Sipacate</t>
        </is>
      </c>
      <c r="D1194" t="inlineStr">
        <is>
          <t>Sipacate</t>
        </is>
      </c>
      <c r="F1194" t="inlineStr">
        <is>
          <t>GT05</t>
        </is>
      </c>
    </row>
    <row r="1195">
      <c r="A1195" t="inlineStr">
        <is>
          <t>admin2</t>
        </is>
      </c>
      <c r="B1195" t="inlineStr">
        <is>
          <t>GT0601</t>
        </is>
      </c>
      <c r="C1195" t="inlineStr">
        <is>
          <t>Cuilapa</t>
        </is>
      </c>
      <c r="D1195" t="inlineStr">
        <is>
          <t>Cuilapa</t>
        </is>
      </c>
      <c r="F1195" t="inlineStr">
        <is>
          <t>GT06</t>
        </is>
      </c>
    </row>
    <row r="1196">
      <c r="A1196" t="inlineStr">
        <is>
          <t>admin2</t>
        </is>
      </c>
      <c r="B1196" t="inlineStr">
        <is>
          <t>GT0602</t>
        </is>
      </c>
      <c r="C1196" t="inlineStr">
        <is>
          <t>Barberena</t>
        </is>
      </c>
      <c r="D1196" t="inlineStr">
        <is>
          <t>Barberena</t>
        </is>
      </c>
      <c r="F1196" t="inlineStr">
        <is>
          <t>GT06</t>
        </is>
      </c>
    </row>
    <row r="1197">
      <c r="A1197" t="inlineStr">
        <is>
          <t>admin2</t>
        </is>
      </c>
      <c r="B1197" t="inlineStr">
        <is>
          <t>GT0603</t>
        </is>
      </c>
      <c r="C1197" t="inlineStr">
        <is>
          <t>Santa Rosa de Lima</t>
        </is>
      </c>
      <c r="D1197" t="inlineStr">
        <is>
          <t>Santa Rosa de Lima</t>
        </is>
      </c>
      <c r="F1197" t="inlineStr">
        <is>
          <t>GT06</t>
        </is>
      </c>
    </row>
    <row r="1198">
      <c r="A1198" t="inlineStr">
        <is>
          <t>admin2</t>
        </is>
      </c>
      <c r="B1198" t="inlineStr">
        <is>
          <t>GT0604</t>
        </is>
      </c>
      <c r="C1198" t="inlineStr">
        <is>
          <t>Casillas</t>
        </is>
      </c>
      <c r="D1198" t="inlineStr">
        <is>
          <t>Casillas</t>
        </is>
      </c>
      <c r="F1198" t="inlineStr">
        <is>
          <t>GT06</t>
        </is>
      </c>
    </row>
    <row r="1199">
      <c r="A1199" t="inlineStr">
        <is>
          <t>admin2</t>
        </is>
      </c>
      <c r="B1199" t="inlineStr">
        <is>
          <t>GT0605</t>
        </is>
      </c>
      <c r="C1199" t="inlineStr">
        <is>
          <t>San Rafael Las Flores</t>
        </is>
      </c>
      <c r="D1199" t="inlineStr">
        <is>
          <t>San Rafael Las Flores</t>
        </is>
      </c>
      <c r="F1199" t="inlineStr">
        <is>
          <t>GT06</t>
        </is>
      </c>
    </row>
    <row r="1200">
      <c r="A1200" t="inlineStr">
        <is>
          <t>admin2</t>
        </is>
      </c>
      <c r="B1200" t="inlineStr">
        <is>
          <t>GT0606</t>
        </is>
      </c>
      <c r="C1200" t="inlineStr">
        <is>
          <t>Oratorio</t>
        </is>
      </c>
      <c r="D1200" t="inlineStr">
        <is>
          <t>Oratorio</t>
        </is>
      </c>
      <c r="F1200" t="inlineStr">
        <is>
          <t>GT06</t>
        </is>
      </c>
    </row>
    <row r="1201">
      <c r="A1201" t="inlineStr">
        <is>
          <t>admin2</t>
        </is>
      </c>
      <c r="B1201" t="inlineStr">
        <is>
          <t>GT0607</t>
        </is>
      </c>
      <c r="C1201" t="inlineStr">
        <is>
          <t>San Juan Tecuaco</t>
        </is>
      </c>
      <c r="D1201" t="inlineStr">
        <is>
          <t>San Juan Tecuaco</t>
        </is>
      </c>
      <c r="F1201" t="inlineStr">
        <is>
          <t>GT06</t>
        </is>
      </c>
    </row>
    <row r="1202">
      <c r="A1202" t="inlineStr">
        <is>
          <t>admin2</t>
        </is>
      </c>
      <c r="B1202" t="inlineStr">
        <is>
          <t>GT0608</t>
        </is>
      </c>
      <c r="C1202" t="inlineStr">
        <is>
          <t>Chiquimulilla</t>
        </is>
      </c>
      <c r="D1202" t="inlineStr">
        <is>
          <t>Chiquimulilla</t>
        </is>
      </c>
      <c r="F1202" t="inlineStr">
        <is>
          <t>GT06</t>
        </is>
      </c>
    </row>
    <row r="1203">
      <c r="A1203" t="inlineStr">
        <is>
          <t>admin2</t>
        </is>
      </c>
      <c r="B1203" t="inlineStr">
        <is>
          <t>GT0609</t>
        </is>
      </c>
      <c r="C1203" t="inlineStr">
        <is>
          <t>Taxisco</t>
        </is>
      </c>
      <c r="D1203" t="inlineStr">
        <is>
          <t>Taxisco</t>
        </is>
      </c>
      <c r="F1203" t="inlineStr">
        <is>
          <t>GT06</t>
        </is>
      </c>
    </row>
    <row r="1204">
      <c r="A1204" t="inlineStr">
        <is>
          <t>admin2</t>
        </is>
      </c>
      <c r="B1204" t="inlineStr">
        <is>
          <t>GT0610</t>
        </is>
      </c>
      <c r="C1204" t="inlineStr">
        <is>
          <t>Santa María Ixhuatán</t>
        </is>
      </c>
      <c r="D1204" t="inlineStr">
        <is>
          <t>Santa María Ixhuatán</t>
        </is>
      </c>
      <c r="F1204" t="inlineStr">
        <is>
          <t>GT06</t>
        </is>
      </c>
    </row>
    <row r="1205">
      <c r="A1205" t="inlineStr">
        <is>
          <t>admin2</t>
        </is>
      </c>
      <c r="B1205" t="inlineStr">
        <is>
          <t>GT0611</t>
        </is>
      </c>
      <c r="C1205" t="inlineStr">
        <is>
          <t>Guazacapán</t>
        </is>
      </c>
      <c r="D1205" t="inlineStr">
        <is>
          <t>Guazacapán</t>
        </is>
      </c>
      <c r="F1205" t="inlineStr">
        <is>
          <t>GT06</t>
        </is>
      </c>
    </row>
    <row r="1206">
      <c r="A1206" t="inlineStr">
        <is>
          <t>admin2</t>
        </is>
      </c>
      <c r="B1206" t="inlineStr">
        <is>
          <t>GT0612</t>
        </is>
      </c>
      <c r="C1206" t="inlineStr">
        <is>
          <t>Santa Cruz Naranjo</t>
        </is>
      </c>
      <c r="D1206" t="inlineStr">
        <is>
          <t>Santa Cruz Naranjo</t>
        </is>
      </c>
      <c r="F1206" t="inlineStr">
        <is>
          <t>GT06</t>
        </is>
      </c>
    </row>
    <row r="1207">
      <c r="A1207" t="inlineStr">
        <is>
          <t>admin2</t>
        </is>
      </c>
      <c r="B1207" t="inlineStr">
        <is>
          <t>GT0613</t>
        </is>
      </c>
      <c r="C1207" t="inlineStr">
        <is>
          <t>Pueblo Nuevo Viñas</t>
        </is>
      </c>
      <c r="D1207" t="inlineStr">
        <is>
          <t>Pueblo Nuevo Viñas</t>
        </is>
      </c>
      <c r="F1207" t="inlineStr">
        <is>
          <t>GT06</t>
        </is>
      </c>
    </row>
    <row r="1208">
      <c r="A1208" t="inlineStr">
        <is>
          <t>admin2</t>
        </is>
      </c>
      <c r="B1208" t="inlineStr">
        <is>
          <t>GT0614</t>
        </is>
      </c>
      <c r="C1208" t="inlineStr">
        <is>
          <t>Nueva Santa Rosa</t>
        </is>
      </c>
      <c r="D1208" t="inlineStr">
        <is>
          <t>Nueva Santa Rosa</t>
        </is>
      </c>
      <c r="F1208" t="inlineStr">
        <is>
          <t>GT06</t>
        </is>
      </c>
    </row>
    <row r="1209">
      <c r="A1209" t="inlineStr">
        <is>
          <t>admin2</t>
        </is>
      </c>
      <c r="B1209" t="inlineStr">
        <is>
          <t>GT0700</t>
        </is>
      </c>
      <c r="C1209" t="inlineStr">
        <is>
          <t>Lago De Atitlan</t>
        </is>
      </c>
      <c r="D1209" t="inlineStr">
        <is>
          <t>Lago De Atitlan</t>
        </is>
      </c>
      <c r="F1209" t="inlineStr">
        <is>
          <t>GT07</t>
        </is>
      </c>
    </row>
    <row r="1210">
      <c r="A1210" t="inlineStr">
        <is>
          <t>admin2</t>
        </is>
      </c>
      <c r="B1210" t="inlineStr">
        <is>
          <t>GT0701</t>
        </is>
      </c>
      <c r="C1210" t="inlineStr">
        <is>
          <t>Sololá</t>
        </is>
      </c>
      <c r="D1210" t="inlineStr">
        <is>
          <t>Sololá</t>
        </is>
      </c>
      <c r="F1210" t="inlineStr">
        <is>
          <t>GT07</t>
        </is>
      </c>
    </row>
    <row r="1211">
      <c r="A1211" t="inlineStr">
        <is>
          <t>admin2</t>
        </is>
      </c>
      <c r="B1211" t="inlineStr">
        <is>
          <t>GT0702</t>
        </is>
      </c>
      <c r="C1211" t="inlineStr">
        <is>
          <t>San José Chacayá</t>
        </is>
      </c>
      <c r="D1211" t="inlineStr">
        <is>
          <t>San José Chacayá</t>
        </is>
      </c>
      <c r="F1211" t="inlineStr">
        <is>
          <t>GT07</t>
        </is>
      </c>
    </row>
    <row r="1212">
      <c r="A1212" t="inlineStr">
        <is>
          <t>admin2</t>
        </is>
      </c>
      <c r="B1212" t="inlineStr">
        <is>
          <t>GT0703</t>
        </is>
      </c>
      <c r="C1212" t="inlineStr">
        <is>
          <t>Santa María Visitación</t>
        </is>
      </c>
      <c r="D1212" t="inlineStr">
        <is>
          <t>Santa María Visitación</t>
        </is>
      </c>
      <c r="F1212" t="inlineStr">
        <is>
          <t>GT07</t>
        </is>
      </c>
    </row>
    <row r="1213">
      <c r="A1213" t="inlineStr">
        <is>
          <t>admin2</t>
        </is>
      </c>
      <c r="B1213" t="inlineStr">
        <is>
          <t>GT0704</t>
        </is>
      </c>
      <c r="C1213" t="inlineStr">
        <is>
          <t>Santa Lucía Utatlán</t>
        </is>
      </c>
      <c r="D1213" t="inlineStr">
        <is>
          <t>Santa Lucía Utatlán</t>
        </is>
      </c>
      <c r="F1213" t="inlineStr">
        <is>
          <t>GT07</t>
        </is>
      </c>
    </row>
    <row r="1214">
      <c r="A1214" t="inlineStr">
        <is>
          <t>admin2</t>
        </is>
      </c>
      <c r="B1214" t="inlineStr">
        <is>
          <t>GT0705</t>
        </is>
      </c>
      <c r="C1214" t="inlineStr">
        <is>
          <t>Nahualá</t>
        </is>
      </c>
      <c r="D1214" t="inlineStr">
        <is>
          <t>Nahualá</t>
        </is>
      </c>
      <c r="F1214" t="inlineStr">
        <is>
          <t>GT07</t>
        </is>
      </c>
    </row>
    <row r="1215">
      <c r="A1215" t="inlineStr">
        <is>
          <t>admin2</t>
        </is>
      </c>
      <c r="B1215" t="inlineStr">
        <is>
          <t>GT0706</t>
        </is>
      </c>
      <c r="C1215" t="inlineStr">
        <is>
          <t>Santa Catarina Ixtahuacán</t>
        </is>
      </c>
      <c r="D1215" t="inlineStr">
        <is>
          <t>Santa Catarina Ixtahuacán</t>
        </is>
      </c>
      <c r="F1215" t="inlineStr">
        <is>
          <t>GT07</t>
        </is>
      </c>
    </row>
    <row r="1216">
      <c r="A1216" t="inlineStr">
        <is>
          <t>admin2</t>
        </is>
      </c>
      <c r="B1216" t="inlineStr">
        <is>
          <t>GT0707</t>
        </is>
      </c>
      <c r="C1216" t="inlineStr">
        <is>
          <t>Santa Clara La Laguna</t>
        </is>
      </c>
      <c r="D1216" t="inlineStr">
        <is>
          <t>Santa Clara La Laguna</t>
        </is>
      </c>
      <c r="F1216" t="inlineStr">
        <is>
          <t>GT07</t>
        </is>
      </c>
    </row>
    <row r="1217">
      <c r="A1217" t="inlineStr">
        <is>
          <t>admin2</t>
        </is>
      </c>
      <c r="B1217" t="inlineStr">
        <is>
          <t>GT0708</t>
        </is>
      </c>
      <c r="C1217" t="inlineStr">
        <is>
          <t>Concepción</t>
        </is>
      </c>
      <c r="D1217" t="inlineStr">
        <is>
          <t>Concepción</t>
        </is>
      </c>
      <c r="F1217" t="inlineStr">
        <is>
          <t>GT07</t>
        </is>
      </c>
    </row>
    <row r="1218">
      <c r="A1218" t="inlineStr">
        <is>
          <t>admin2</t>
        </is>
      </c>
      <c r="B1218" t="inlineStr">
        <is>
          <t>GT0709</t>
        </is>
      </c>
      <c r="C1218" t="inlineStr">
        <is>
          <t>San Andrés Semetabaj</t>
        </is>
      </c>
      <c r="D1218" t="inlineStr">
        <is>
          <t>San Andrés Semetabaj</t>
        </is>
      </c>
      <c r="F1218" t="inlineStr">
        <is>
          <t>GT07</t>
        </is>
      </c>
    </row>
    <row r="1219">
      <c r="A1219" t="inlineStr">
        <is>
          <t>admin2</t>
        </is>
      </c>
      <c r="B1219" t="inlineStr">
        <is>
          <t>GT0710</t>
        </is>
      </c>
      <c r="C1219" t="inlineStr">
        <is>
          <t>Panajachel</t>
        </is>
      </c>
      <c r="D1219" t="inlineStr">
        <is>
          <t>Panajachel</t>
        </is>
      </c>
      <c r="F1219" t="inlineStr">
        <is>
          <t>GT07</t>
        </is>
      </c>
    </row>
    <row r="1220">
      <c r="A1220" t="inlineStr">
        <is>
          <t>admin2</t>
        </is>
      </c>
      <c r="B1220" t="inlineStr">
        <is>
          <t>GT0711</t>
        </is>
      </c>
      <c r="C1220" t="inlineStr">
        <is>
          <t>Santa Catarina Palopó</t>
        </is>
      </c>
      <c r="D1220" t="inlineStr">
        <is>
          <t>Santa Catarina Palopó</t>
        </is>
      </c>
      <c r="F1220" t="inlineStr">
        <is>
          <t>GT07</t>
        </is>
      </c>
    </row>
    <row r="1221">
      <c r="A1221" t="inlineStr">
        <is>
          <t>admin2</t>
        </is>
      </c>
      <c r="B1221" t="inlineStr">
        <is>
          <t>GT0712</t>
        </is>
      </c>
      <c r="C1221" t="inlineStr">
        <is>
          <t>San Antonio Palopó</t>
        </is>
      </c>
      <c r="D1221" t="inlineStr">
        <is>
          <t>San Antonio Palopó</t>
        </is>
      </c>
      <c r="F1221" t="inlineStr">
        <is>
          <t>GT07</t>
        </is>
      </c>
    </row>
    <row r="1222">
      <c r="A1222" t="inlineStr">
        <is>
          <t>admin2</t>
        </is>
      </c>
      <c r="B1222" t="inlineStr">
        <is>
          <t>GT0713</t>
        </is>
      </c>
      <c r="C1222" t="inlineStr">
        <is>
          <t>San Lucas Tolimán</t>
        </is>
      </c>
      <c r="D1222" t="inlineStr">
        <is>
          <t>San Lucas Tolimán</t>
        </is>
      </c>
      <c r="F1222" t="inlineStr">
        <is>
          <t>GT07</t>
        </is>
      </c>
    </row>
    <row r="1223">
      <c r="A1223" t="inlineStr">
        <is>
          <t>admin2</t>
        </is>
      </c>
      <c r="B1223" t="inlineStr">
        <is>
          <t>GT0714</t>
        </is>
      </c>
      <c r="C1223" t="inlineStr">
        <is>
          <t>Santa Cruz La Laguna</t>
        </is>
      </c>
      <c r="D1223" t="inlineStr">
        <is>
          <t>Santa Cruz La Laguna</t>
        </is>
      </c>
      <c r="F1223" t="inlineStr">
        <is>
          <t>GT07</t>
        </is>
      </c>
    </row>
    <row r="1224">
      <c r="A1224" t="inlineStr">
        <is>
          <t>admin2</t>
        </is>
      </c>
      <c r="B1224" t="inlineStr">
        <is>
          <t>GT0715</t>
        </is>
      </c>
      <c r="C1224" t="inlineStr">
        <is>
          <t>San Pablo La Laguna</t>
        </is>
      </c>
      <c r="D1224" t="inlineStr">
        <is>
          <t>San Pablo La Laguna</t>
        </is>
      </c>
      <c r="F1224" t="inlineStr">
        <is>
          <t>GT07</t>
        </is>
      </c>
    </row>
    <row r="1225">
      <c r="A1225" t="inlineStr">
        <is>
          <t>admin2</t>
        </is>
      </c>
      <c r="B1225" t="inlineStr">
        <is>
          <t>GT0716</t>
        </is>
      </c>
      <c r="C1225" t="inlineStr">
        <is>
          <t>San Marcos La Laguna</t>
        </is>
      </c>
      <c r="D1225" t="inlineStr">
        <is>
          <t>San Marcos La Laguna</t>
        </is>
      </c>
      <c r="F1225" t="inlineStr">
        <is>
          <t>GT07</t>
        </is>
      </c>
    </row>
    <row r="1226">
      <c r="A1226" t="inlineStr">
        <is>
          <t>admin2</t>
        </is>
      </c>
      <c r="B1226" t="inlineStr">
        <is>
          <t>GT0717</t>
        </is>
      </c>
      <c r="C1226" t="inlineStr">
        <is>
          <t>San Juan La Laguna</t>
        </is>
      </c>
      <c r="D1226" t="inlineStr">
        <is>
          <t>San Juan La Laguna</t>
        </is>
      </c>
      <c r="F1226" t="inlineStr">
        <is>
          <t>GT07</t>
        </is>
      </c>
    </row>
    <row r="1227">
      <c r="A1227" t="inlineStr">
        <is>
          <t>admin2</t>
        </is>
      </c>
      <c r="B1227" t="inlineStr">
        <is>
          <t>GT0718</t>
        </is>
      </c>
      <c r="C1227" t="inlineStr">
        <is>
          <t>San Pedro La Laguna</t>
        </is>
      </c>
      <c r="D1227" t="inlineStr">
        <is>
          <t>San Pedro La Laguna</t>
        </is>
      </c>
      <c r="F1227" t="inlineStr">
        <is>
          <t>GT07</t>
        </is>
      </c>
    </row>
    <row r="1228">
      <c r="A1228" t="inlineStr">
        <is>
          <t>admin2</t>
        </is>
      </c>
      <c r="B1228" t="inlineStr">
        <is>
          <t>GT0719</t>
        </is>
      </c>
      <c r="C1228" t="inlineStr">
        <is>
          <t>Santiago Atitlán</t>
        </is>
      </c>
      <c r="D1228" t="inlineStr">
        <is>
          <t>Santiago Atitlán</t>
        </is>
      </c>
      <c r="F1228" t="inlineStr">
        <is>
          <t>GT07</t>
        </is>
      </c>
    </row>
    <row r="1229">
      <c r="A1229" t="inlineStr">
        <is>
          <t>admin2</t>
        </is>
      </c>
      <c r="B1229" t="inlineStr">
        <is>
          <t>GT0801</t>
        </is>
      </c>
      <c r="C1229" t="inlineStr">
        <is>
          <t>Totonicapán</t>
        </is>
      </c>
      <c r="D1229" t="inlineStr">
        <is>
          <t>Totonicapán</t>
        </is>
      </c>
      <c r="F1229" t="inlineStr">
        <is>
          <t>GT08</t>
        </is>
      </c>
    </row>
    <row r="1230">
      <c r="A1230" t="inlineStr">
        <is>
          <t>admin2</t>
        </is>
      </c>
      <c r="B1230" t="inlineStr">
        <is>
          <t>GT0802</t>
        </is>
      </c>
      <c r="C1230" t="inlineStr">
        <is>
          <t>San Cristóbal Totonicapán</t>
        </is>
      </c>
      <c r="D1230" t="inlineStr">
        <is>
          <t>San Cristóbal Totonicapán</t>
        </is>
      </c>
      <c r="F1230" t="inlineStr">
        <is>
          <t>GT08</t>
        </is>
      </c>
    </row>
    <row r="1231">
      <c r="A1231" t="inlineStr">
        <is>
          <t>admin2</t>
        </is>
      </c>
      <c r="B1231" t="inlineStr">
        <is>
          <t>GT0803</t>
        </is>
      </c>
      <c r="C1231" t="inlineStr">
        <is>
          <t>San Francisco El Alto</t>
        </is>
      </c>
      <c r="D1231" t="inlineStr">
        <is>
          <t>San Francisco El Alto</t>
        </is>
      </c>
      <c r="F1231" t="inlineStr">
        <is>
          <t>GT08</t>
        </is>
      </c>
    </row>
    <row r="1232">
      <c r="A1232" t="inlineStr">
        <is>
          <t>admin2</t>
        </is>
      </c>
      <c r="B1232" t="inlineStr">
        <is>
          <t>GT0804</t>
        </is>
      </c>
      <c r="C1232" t="inlineStr">
        <is>
          <t>San Andrés Xecul</t>
        </is>
      </c>
      <c r="D1232" t="inlineStr">
        <is>
          <t>San Andrés Xecul</t>
        </is>
      </c>
      <c r="F1232" t="inlineStr">
        <is>
          <t>GT08</t>
        </is>
      </c>
    </row>
    <row r="1233">
      <c r="A1233" t="inlineStr">
        <is>
          <t>admin2</t>
        </is>
      </c>
      <c r="B1233" t="inlineStr">
        <is>
          <t>GT0805</t>
        </is>
      </c>
      <c r="C1233" t="inlineStr">
        <is>
          <t>Momostenango</t>
        </is>
      </c>
      <c r="D1233" t="inlineStr">
        <is>
          <t>Momostenango</t>
        </is>
      </c>
      <c r="F1233" t="inlineStr">
        <is>
          <t>GT08</t>
        </is>
      </c>
    </row>
    <row r="1234">
      <c r="A1234" t="inlineStr">
        <is>
          <t>admin2</t>
        </is>
      </c>
      <c r="B1234" t="inlineStr">
        <is>
          <t>GT0806</t>
        </is>
      </c>
      <c r="C1234" t="inlineStr">
        <is>
          <t>Santa María Chiquimula</t>
        </is>
      </c>
      <c r="D1234" t="inlineStr">
        <is>
          <t>Santa María Chiquimula</t>
        </is>
      </c>
      <c r="F1234" t="inlineStr">
        <is>
          <t>GT08</t>
        </is>
      </c>
    </row>
    <row r="1235">
      <c r="A1235" t="inlineStr">
        <is>
          <t>admin2</t>
        </is>
      </c>
      <c r="B1235" t="inlineStr">
        <is>
          <t>GT0807</t>
        </is>
      </c>
      <c r="C1235" t="inlineStr">
        <is>
          <t>Santa Lucía La Reforma</t>
        </is>
      </c>
      <c r="D1235" t="inlineStr">
        <is>
          <t>Santa Lucía La Reforma</t>
        </is>
      </c>
      <c r="F1235" t="inlineStr">
        <is>
          <t>GT08</t>
        </is>
      </c>
    </row>
    <row r="1236">
      <c r="A1236" t="inlineStr">
        <is>
          <t>admin2</t>
        </is>
      </c>
      <c r="B1236" t="inlineStr">
        <is>
          <t>GT0808</t>
        </is>
      </c>
      <c r="C1236" t="inlineStr">
        <is>
          <t>San Bartolo</t>
        </is>
      </c>
      <c r="D1236" t="inlineStr">
        <is>
          <t>San Bartolo</t>
        </is>
      </c>
      <c r="F1236" t="inlineStr">
        <is>
          <t>GT08</t>
        </is>
      </c>
    </row>
    <row r="1237">
      <c r="A1237" t="inlineStr">
        <is>
          <t>admin2</t>
        </is>
      </c>
      <c r="B1237" t="inlineStr">
        <is>
          <t>GT0901</t>
        </is>
      </c>
      <c r="C1237" t="inlineStr">
        <is>
          <t>Quetzaltenango</t>
        </is>
      </c>
      <c r="D1237" t="inlineStr">
        <is>
          <t>Quetzaltenango</t>
        </is>
      </c>
      <c r="F1237" t="inlineStr">
        <is>
          <t>GT09</t>
        </is>
      </c>
    </row>
    <row r="1238">
      <c r="A1238" t="inlineStr">
        <is>
          <t>admin2</t>
        </is>
      </c>
      <c r="B1238" t="inlineStr">
        <is>
          <t>GT0902</t>
        </is>
      </c>
      <c r="C1238" t="inlineStr">
        <is>
          <t>Salcajá</t>
        </is>
      </c>
      <c r="D1238" t="inlineStr">
        <is>
          <t>Salcajá</t>
        </is>
      </c>
      <c r="F1238" t="inlineStr">
        <is>
          <t>GT09</t>
        </is>
      </c>
    </row>
    <row r="1239">
      <c r="A1239" t="inlineStr">
        <is>
          <t>admin2</t>
        </is>
      </c>
      <c r="B1239" t="inlineStr">
        <is>
          <t>GT0903</t>
        </is>
      </c>
      <c r="C1239" t="inlineStr">
        <is>
          <t>Olintepeque</t>
        </is>
      </c>
      <c r="D1239" t="inlineStr">
        <is>
          <t>Olintepeque</t>
        </is>
      </c>
      <c r="F1239" t="inlineStr">
        <is>
          <t>GT09</t>
        </is>
      </c>
    </row>
    <row r="1240">
      <c r="A1240" t="inlineStr">
        <is>
          <t>admin2</t>
        </is>
      </c>
      <c r="B1240" t="inlineStr">
        <is>
          <t>GT0904</t>
        </is>
      </c>
      <c r="C1240" t="inlineStr">
        <is>
          <t>San Carlos Sija</t>
        </is>
      </c>
      <c r="D1240" t="inlineStr">
        <is>
          <t>San Carlos Sija</t>
        </is>
      </c>
      <c r="F1240" t="inlineStr">
        <is>
          <t>GT09</t>
        </is>
      </c>
    </row>
    <row r="1241">
      <c r="A1241" t="inlineStr">
        <is>
          <t>admin2</t>
        </is>
      </c>
      <c r="B1241" t="inlineStr">
        <is>
          <t>GT0905</t>
        </is>
      </c>
      <c r="C1241" t="inlineStr">
        <is>
          <t>Sibilia</t>
        </is>
      </c>
      <c r="D1241" t="inlineStr">
        <is>
          <t>Sibilia</t>
        </is>
      </c>
      <c r="F1241" t="inlineStr">
        <is>
          <t>GT09</t>
        </is>
      </c>
    </row>
    <row r="1242">
      <c r="A1242" t="inlineStr">
        <is>
          <t>admin2</t>
        </is>
      </c>
      <c r="B1242" t="inlineStr">
        <is>
          <t>GT0906</t>
        </is>
      </c>
      <c r="C1242" t="inlineStr">
        <is>
          <t>Cabricán</t>
        </is>
      </c>
      <c r="D1242" t="inlineStr">
        <is>
          <t>Cabricán</t>
        </is>
      </c>
      <c r="F1242" t="inlineStr">
        <is>
          <t>GT09</t>
        </is>
      </c>
    </row>
    <row r="1243">
      <c r="A1243" t="inlineStr">
        <is>
          <t>admin2</t>
        </is>
      </c>
      <c r="B1243" t="inlineStr">
        <is>
          <t>GT0907</t>
        </is>
      </c>
      <c r="C1243" t="inlineStr">
        <is>
          <t>Cajolá</t>
        </is>
      </c>
      <c r="D1243" t="inlineStr">
        <is>
          <t>Cajolá</t>
        </is>
      </c>
      <c r="F1243" t="inlineStr">
        <is>
          <t>GT09</t>
        </is>
      </c>
    </row>
    <row r="1244">
      <c r="A1244" t="inlineStr">
        <is>
          <t>admin2</t>
        </is>
      </c>
      <c r="B1244" t="inlineStr">
        <is>
          <t>GT0908</t>
        </is>
      </c>
      <c r="C1244" t="inlineStr">
        <is>
          <t>San Miguel Sigüila</t>
        </is>
      </c>
      <c r="D1244" t="inlineStr">
        <is>
          <t>San Miguel Sigüila</t>
        </is>
      </c>
      <c r="F1244" t="inlineStr">
        <is>
          <t>GT09</t>
        </is>
      </c>
    </row>
    <row r="1245">
      <c r="A1245" t="inlineStr">
        <is>
          <t>admin2</t>
        </is>
      </c>
      <c r="B1245" t="inlineStr">
        <is>
          <t>GT0909</t>
        </is>
      </c>
      <c r="C1245" t="inlineStr">
        <is>
          <t>Ostuncalco</t>
        </is>
      </c>
      <c r="D1245" t="inlineStr">
        <is>
          <t>Ostuncalco</t>
        </is>
      </c>
      <c r="F1245" t="inlineStr">
        <is>
          <t>GT09</t>
        </is>
      </c>
    </row>
    <row r="1246">
      <c r="A1246" t="inlineStr">
        <is>
          <t>admin2</t>
        </is>
      </c>
      <c r="B1246" t="inlineStr">
        <is>
          <t>GT0910</t>
        </is>
      </c>
      <c r="C1246" t="inlineStr">
        <is>
          <t>San Mateo</t>
        </is>
      </c>
      <c r="D1246" t="inlineStr">
        <is>
          <t>San Mateo</t>
        </is>
      </c>
      <c r="F1246" t="inlineStr">
        <is>
          <t>GT09</t>
        </is>
      </c>
    </row>
    <row r="1247">
      <c r="A1247" t="inlineStr">
        <is>
          <t>admin2</t>
        </is>
      </c>
      <c r="B1247" t="inlineStr">
        <is>
          <t>GT0911</t>
        </is>
      </c>
      <c r="C1247" t="inlineStr">
        <is>
          <t>Concepción Chiquirichapa</t>
        </is>
      </c>
      <c r="D1247" t="inlineStr">
        <is>
          <t>Concepción Chiquirichapa</t>
        </is>
      </c>
      <c r="F1247" t="inlineStr">
        <is>
          <t>GT09</t>
        </is>
      </c>
    </row>
    <row r="1248">
      <c r="A1248" t="inlineStr">
        <is>
          <t>admin2</t>
        </is>
      </c>
      <c r="B1248" t="inlineStr">
        <is>
          <t>GT0912</t>
        </is>
      </c>
      <c r="C1248" t="inlineStr">
        <is>
          <t>San Martín Sacatepéquez</t>
        </is>
      </c>
      <c r="D1248" t="inlineStr">
        <is>
          <t>San Martín Sacatepéquez</t>
        </is>
      </c>
      <c r="F1248" t="inlineStr">
        <is>
          <t>GT09</t>
        </is>
      </c>
    </row>
    <row r="1249">
      <c r="A1249" t="inlineStr">
        <is>
          <t>admin2</t>
        </is>
      </c>
      <c r="B1249" t="inlineStr">
        <is>
          <t>GT0913</t>
        </is>
      </c>
      <c r="C1249" t="inlineStr">
        <is>
          <t>Almolonga</t>
        </is>
      </c>
      <c r="D1249" t="inlineStr">
        <is>
          <t>Almolonga</t>
        </is>
      </c>
      <c r="F1249" t="inlineStr">
        <is>
          <t>GT09</t>
        </is>
      </c>
    </row>
    <row r="1250">
      <c r="A1250" t="inlineStr">
        <is>
          <t>admin2</t>
        </is>
      </c>
      <c r="B1250" t="inlineStr">
        <is>
          <t>GT0914</t>
        </is>
      </c>
      <c r="C1250" t="inlineStr">
        <is>
          <t>Cantel</t>
        </is>
      </c>
      <c r="D1250" t="inlineStr">
        <is>
          <t>Cantel</t>
        </is>
      </c>
      <c r="F1250" t="inlineStr">
        <is>
          <t>GT09</t>
        </is>
      </c>
    </row>
    <row r="1251">
      <c r="A1251" t="inlineStr">
        <is>
          <t>admin2</t>
        </is>
      </c>
      <c r="B1251" t="inlineStr">
        <is>
          <t>GT0915</t>
        </is>
      </c>
      <c r="C1251" t="inlineStr">
        <is>
          <t>Huitán</t>
        </is>
      </c>
      <c r="D1251" t="inlineStr">
        <is>
          <t>Huitán</t>
        </is>
      </c>
      <c r="F1251" t="inlineStr">
        <is>
          <t>GT09</t>
        </is>
      </c>
    </row>
    <row r="1252">
      <c r="A1252" t="inlineStr">
        <is>
          <t>admin2</t>
        </is>
      </c>
      <c r="B1252" t="inlineStr">
        <is>
          <t>GT0916</t>
        </is>
      </c>
      <c r="C1252" t="inlineStr">
        <is>
          <t>Zunil</t>
        </is>
      </c>
      <c r="D1252" t="inlineStr">
        <is>
          <t>Zunil</t>
        </is>
      </c>
      <c r="F1252" t="inlineStr">
        <is>
          <t>GT09</t>
        </is>
      </c>
    </row>
    <row r="1253">
      <c r="A1253" t="inlineStr">
        <is>
          <t>admin2</t>
        </is>
      </c>
      <c r="B1253" t="inlineStr">
        <is>
          <t>GT0917</t>
        </is>
      </c>
      <c r="C1253" t="inlineStr">
        <is>
          <t>Colomba</t>
        </is>
      </c>
      <c r="D1253" t="inlineStr">
        <is>
          <t>Colomba</t>
        </is>
      </c>
      <c r="F1253" t="inlineStr">
        <is>
          <t>GT09</t>
        </is>
      </c>
    </row>
    <row r="1254">
      <c r="A1254" t="inlineStr">
        <is>
          <t>admin2</t>
        </is>
      </c>
      <c r="B1254" t="inlineStr">
        <is>
          <t>GT0918</t>
        </is>
      </c>
      <c r="C1254" t="inlineStr">
        <is>
          <t>San Francisco La Unión</t>
        </is>
      </c>
      <c r="D1254" t="inlineStr">
        <is>
          <t>San Francisco La Unión</t>
        </is>
      </c>
      <c r="F1254" t="inlineStr">
        <is>
          <t>GT09</t>
        </is>
      </c>
    </row>
    <row r="1255">
      <c r="A1255" t="inlineStr">
        <is>
          <t>admin2</t>
        </is>
      </c>
      <c r="B1255" t="inlineStr">
        <is>
          <t>GT0919</t>
        </is>
      </c>
      <c r="C1255" t="inlineStr">
        <is>
          <t>El Palmar</t>
        </is>
      </c>
      <c r="D1255" t="inlineStr">
        <is>
          <t>El Palmar</t>
        </is>
      </c>
      <c r="F1255" t="inlineStr">
        <is>
          <t>GT09</t>
        </is>
      </c>
    </row>
    <row r="1256">
      <c r="A1256" t="inlineStr">
        <is>
          <t>admin2</t>
        </is>
      </c>
      <c r="B1256" t="inlineStr">
        <is>
          <t>GT0920</t>
        </is>
      </c>
      <c r="C1256" t="inlineStr">
        <is>
          <t>Coatepeque</t>
        </is>
      </c>
      <c r="D1256" t="inlineStr">
        <is>
          <t>Coatepeque</t>
        </is>
      </c>
      <c r="F1256" t="inlineStr">
        <is>
          <t>GT09</t>
        </is>
      </c>
    </row>
    <row r="1257">
      <c r="A1257" t="inlineStr">
        <is>
          <t>admin2</t>
        </is>
      </c>
      <c r="B1257" t="inlineStr">
        <is>
          <t>GT0921</t>
        </is>
      </c>
      <c r="C1257" t="inlineStr">
        <is>
          <t>Génova</t>
        </is>
      </c>
      <c r="D1257" t="inlineStr">
        <is>
          <t>Génova</t>
        </is>
      </c>
      <c r="F1257" t="inlineStr">
        <is>
          <t>GT09</t>
        </is>
      </c>
    </row>
    <row r="1258">
      <c r="A1258" t="inlineStr">
        <is>
          <t>admin2</t>
        </is>
      </c>
      <c r="B1258" t="inlineStr">
        <is>
          <t>GT0922</t>
        </is>
      </c>
      <c r="C1258" t="inlineStr">
        <is>
          <t>Flores Costa Cuca</t>
        </is>
      </c>
      <c r="D1258" t="inlineStr">
        <is>
          <t>Flores Costa Cuca</t>
        </is>
      </c>
      <c r="F1258" t="inlineStr">
        <is>
          <t>GT09</t>
        </is>
      </c>
    </row>
    <row r="1259">
      <c r="A1259" t="inlineStr">
        <is>
          <t>admin2</t>
        </is>
      </c>
      <c r="B1259" t="inlineStr">
        <is>
          <t>GT0923</t>
        </is>
      </c>
      <c r="C1259" t="inlineStr">
        <is>
          <t>La Esperanza</t>
        </is>
      </c>
      <c r="D1259" t="inlineStr">
        <is>
          <t>La Esperanza</t>
        </is>
      </c>
      <c r="F1259" t="inlineStr">
        <is>
          <t>GT09</t>
        </is>
      </c>
    </row>
    <row r="1260">
      <c r="A1260" t="inlineStr">
        <is>
          <t>admin2</t>
        </is>
      </c>
      <c r="B1260" t="inlineStr">
        <is>
          <t>GT0924</t>
        </is>
      </c>
      <c r="C1260" t="inlineStr">
        <is>
          <t>Palestina de Los Altos</t>
        </is>
      </c>
      <c r="D1260" t="inlineStr">
        <is>
          <t>Palestina de Los Altos</t>
        </is>
      </c>
      <c r="F1260" t="inlineStr">
        <is>
          <t>GT09</t>
        </is>
      </c>
    </row>
    <row r="1261">
      <c r="A1261" t="inlineStr">
        <is>
          <t>admin2</t>
        </is>
      </c>
      <c r="B1261" t="inlineStr">
        <is>
          <t>GT1001</t>
        </is>
      </c>
      <c r="C1261" t="inlineStr">
        <is>
          <t>Mazatenango</t>
        </is>
      </c>
      <c r="D1261" t="inlineStr">
        <is>
          <t>Mazatenango</t>
        </is>
      </c>
      <c r="F1261" t="inlineStr">
        <is>
          <t>GT10</t>
        </is>
      </c>
    </row>
    <row r="1262">
      <c r="A1262" t="inlineStr">
        <is>
          <t>admin2</t>
        </is>
      </c>
      <c r="B1262" t="inlineStr">
        <is>
          <t>GT1002</t>
        </is>
      </c>
      <c r="C1262" t="inlineStr">
        <is>
          <t>Cuyotenango</t>
        </is>
      </c>
      <c r="D1262" t="inlineStr">
        <is>
          <t>Cuyotenango</t>
        </is>
      </c>
      <c r="F1262" t="inlineStr">
        <is>
          <t>GT10</t>
        </is>
      </c>
    </row>
    <row r="1263">
      <c r="A1263" t="inlineStr">
        <is>
          <t>admin2</t>
        </is>
      </c>
      <c r="B1263" t="inlineStr">
        <is>
          <t>GT1003</t>
        </is>
      </c>
      <c r="C1263" t="inlineStr">
        <is>
          <t>San Francisco Zapotitlán</t>
        </is>
      </c>
      <c r="D1263" t="inlineStr">
        <is>
          <t>San Francisco Zapotitlán</t>
        </is>
      </c>
      <c r="F1263" t="inlineStr">
        <is>
          <t>GT10</t>
        </is>
      </c>
    </row>
    <row r="1264">
      <c r="A1264" t="inlineStr">
        <is>
          <t>admin2</t>
        </is>
      </c>
      <c r="B1264" t="inlineStr">
        <is>
          <t>GT1004</t>
        </is>
      </c>
      <c r="C1264" t="inlineStr">
        <is>
          <t>San Bernardino</t>
        </is>
      </c>
      <c r="D1264" t="inlineStr">
        <is>
          <t>San Bernardino</t>
        </is>
      </c>
      <c r="F1264" t="inlineStr">
        <is>
          <t>GT10</t>
        </is>
      </c>
    </row>
    <row r="1265">
      <c r="A1265" t="inlineStr">
        <is>
          <t>admin2</t>
        </is>
      </c>
      <c r="B1265" t="inlineStr">
        <is>
          <t>GT1005</t>
        </is>
      </c>
      <c r="C1265" t="inlineStr">
        <is>
          <t>San José El Ídolo</t>
        </is>
      </c>
      <c r="D1265" t="inlineStr">
        <is>
          <t>San José El Ídolo</t>
        </is>
      </c>
      <c r="F1265" t="inlineStr">
        <is>
          <t>GT10</t>
        </is>
      </c>
    </row>
    <row r="1266">
      <c r="A1266" t="inlineStr">
        <is>
          <t>admin2</t>
        </is>
      </c>
      <c r="B1266" t="inlineStr">
        <is>
          <t>GT1006</t>
        </is>
      </c>
      <c r="C1266" t="inlineStr">
        <is>
          <t>Santo Domingo Suchitepéquez</t>
        </is>
      </c>
      <c r="D1266" t="inlineStr">
        <is>
          <t>Santo Domingo Suchitepéquez</t>
        </is>
      </c>
      <c r="F1266" t="inlineStr">
        <is>
          <t>GT10</t>
        </is>
      </c>
    </row>
    <row r="1267">
      <c r="A1267" t="inlineStr">
        <is>
          <t>admin2</t>
        </is>
      </c>
      <c r="B1267" t="inlineStr">
        <is>
          <t>GT1007</t>
        </is>
      </c>
      <c r="C1267" t="inlineStr">
        <is>
          <t>San Lorenzo</t>
        </is>
      </c>
      <c r="D1267" t="inlineStr">
        <is>
          <t>San Lorenzo</t>
        </is>
      </c>
      <c r="F1267" t="inlineStr">
        <is>
          <t>GT10</t>
        </is>
      </c>
    </row>
    <row r="1268">
      <c r="A1268" t="inlineStr">
        <is>
          <t>admin2</t>
        </is>
      </c>
      <c r="B1268" t="inlineStr">
        <is>
          <t>GT1008</t>
        </is>
      </c>
      <c r="C1268" t="inlineStr">
        <is>
          <t>Samayac</t>
        </is>
      </c>
      <c r="D1268" t="inlineStr">
        <is>
          <t>Samayac</t>
        </is>
      </c>
      <c r="F1268" t="inlineStr">
        <is>
          <t>GT10</t>
        </is>
      </c>
    </row>
    <row r="1269">
      <c r="A1269" t="inlineStr">
        <is>
          <t>admin2</t>
        </is>
      </c>
      <c r="B1269" t="inlineStr">
        <is>
          <t>GT1009</t>
        </is>
      </c>
      <c r="C1269" t="inlineStr">
        <is>
          <t>San Pablo Jocopilas</t>
        </is>
      </c>
      <c r="D1269" t="inlineStr">
        <is>
          <t>San Pablo Jocopilas</t>
        </is>
      </c>
      <c r="F1269" t="inlineStr">
        <is>
          <t>GT10</t>
        </is>
      </c>
    </row>
    <row r="1270">
      <c r="A1270" t="inlineStr">
        <is>
          <t>admin2</t>
        </is>
      </c>
      <c r="B1270" t="inlineStr">
        <is>
          <t>GT1010</t>
        </is>
      </c>
      <c r="C1270" t="inlineStr">
        <is>
          <t>San Antonio Suchitepéquez</t>
        </is>
      </c>
      <c r="D1270" t="inlineStr">
        <is>
          <t>San Antonio Suchitepéquez</t>
        </is>
      </c>
      <c r="F1270" t="inlineStr">
        <is>
          <t>GT10</t>
        </is>
      </c>
    </row>
    <row r="1271">
      <c r="A1271" t="inlineStr">
        <is>
          <t>admin2</t>
        </is>
      </c>
      <c r="B1271" t="inlineStr">
        <is>
          <t>GT1011</t>
        </is>
      </c>
      <c r="C1271" t="inlineStr">
        <is>
          <t>San Miguel Panán</t>
        </is>
      </c>
      <c r="D1271" t="inlineStr">
        <is>
          <t>San Miguel Panán</t>
        </is>
      </c>
      <c r="F1271" t="inlineStr">
        <is>
          <t>GT10</t>
        </is>
      </c>
    </row>
    <row r="1272">
      <c r="A1272" t="inlineStr">
        <is>
          <t>admin2</t>
        </is>
      </c>
      <c r="B1272" t="inlineStr">
        <is>
          <t>GT1012</t>
        </is>
      </c>
      <c r="C1272" t="inlineStr">
        <is>
          <t>San Gabriel</t>
        </is>
      </c>
      <c r="D1272" t="inlineStr">
        <is>
          <t>San Gabriel</t>
        </is>
      </c>
      <c r="F1272" t="inlineStr">
        <is>
          <t>GT10</t>
        </is>
      </c>
    </row>
    <row r="1273">
      <c r="A1273" t="inlineStr">
        <is>
          <t>admin2</t>
        </is>
      </c>
      <c r="B1273" t="inlineStr">
        <is>
          <t>GT1013</t>
        </is>
      </c>
      <c r="C1273" t="inlineStr">
        <is>
          <t>Chicacao</t>
        </is>
      </c>
      <c r="D1273" t="inlineStr">
        <is>
          <t>Chicacao</t>
        </is>
      </c>
      <c r="F1273" t="inlineStr">
        <is>
          <t>GT10</t>
        </is>
      </c>
    </row>
    <row r="1274">
      <c r="A1274" t="inlineStr">
        <is>
          <t>admin2</t>
        </is>
      </c>
      <c r="B1274" t="inlineStr">
        <is>
          <t>GT1014</t>
        </is>
      </c>
      <c r="C1274" t="inlineStr">
        <is>
          <t>Patulul</t>
        </is>
      </c>
      <c r="D1274" t="inlineStr">
        <is>
          <t>Patulul</t>
        </is>
      </c>
      <c r="F1274" t="inlineStr">
        <is>
          <t>GT10</t>
        </is>
      </c>
    </row>
    <row r="1275">
      <c r="A1275" t="inlineStr">
        <is>
          <t>admin2</t>
        </is>
      </c>
      <c r="B1275" t="inlineStr">
        <is>
          <t>GT1015</t>
        </is>
      </c>
      <c r="C1275" t="inlineStr">
        <is>
          <t>Santa Bárbara</t>
        </is>
      </c>
      <c r="D1275" t="inlineStr">
        <is>
          <t>Santa Bárbara</t>
        </is>
      </c>
      <c r="F1275" t="inlineStr">
        <is>
          <t>GT10</t>
        </is>
      </c>
    </row>
    <row r="1276">
      <c r="A1276" t="inlineStr">
        <is>
          <t>admin2</t>
        </is>
      </c>
      <c r="B1276" t="inlineStr">
        <is>
          <t>GT1016</t>
        </is>
      </c>
      <c r="C1276" t="inlineStr">
        <is>
          <t>San Juan Bautista</t>
        </is>
      </c>
      <c r="D1276" t="inlineStr">
        <is>
          <t>San Juan Bautista</t>
        </is>
      </c>
      <c r="F1276" t="inlineStr">
        <is>
          <t>GT10</t>
        </is>
      </c>
    </row>
    <row r="1277">
      <c r="A1277" t="inlineStr">
        <is>
          <t>admin2</t>
        </is>
      </c>
      <c r="B1277" t="inlineStr">
        <is>
          <t>GT1017</t>
        </is>
      </c>
      <c r="C1277" t="inlineStr">
        <is>
          <t>Santo Tomás La Unión</t>
        </is>
      </c>
      <c r="D1277" t="inlineStr">
        <is>
          <t>Santo Tomás La Unión</t>
        </is>
      </c>
      <c r="F1277" t="inlineStr">
        <is>
          <t>GT10</t>
        </is>
      </c>
    </row>
    <row r="1278">
      <c r="A1278" t="inlineStr">
        <is>
          <t>admin2</t>
        </is>
      </c>
      <c r="B1278" t="inlineStr">
        <is>
          <t>GT1018</t>
        </is>
      </c>
      <c r="C1278" t="inlineStr">
        <is>
          <t>Zunilito</t>
        </is>
      </c>
      <c r="D1278" t="inlineStr">
        <is>
          <t>Zunilito</t>
        </is>
      </c>
      <c r="F1278" t="inlineStr">
        <is>
          <t>GT10</t>
        </is>
      </c>
    </row>
    <row r="1279">
      <c r="A1279" t="inlineStr">
        <is>
          <t>admin2</t>
        </is>
      </c>
      <c r="B1279" t="inlineStr">
        <is>
          <t>GT1019</t>
        </is>
      </c>
      <c r="C1279" t="inlineStr">
        <is>
          <t>Pueblo Nuevo</t>
        </is>
      </c>
      <c r="D1279" t="inlineStr">
        <is>
          <t>Pueblo Nuevo</t>
        </is>
      </c>
      <c r="F1279" t="inlineStr">
        <is>
          <t>GT10</t>
        </is>
      </c>
    </row>
    <row r="1280">
      <c r="A1280" t="inlineStr">
        <is>
          <t>admin2</t>
        </is>
      </c>
      <c r="B1280" t="inlineStr">
        <is>
          <t>GT1020</t>
        </is>
      </c>
      <c r="C1280" t="inlineStr">
        <is>
          <t>Río Bravo</t>
        </is>
      </c>
      <c r="D1280" t="inlineStr">
        <is>
          <t>Río Bravo</t>
        </is>
      </c>
      <c r="F1280" t="inlineStr">
        <is>
          <t>GT10</t>
        </is>
      </c>
    </row>
    <row r="1281">
      <c r="A1281" t="inlineStr">
        <is>
          <t>admin2</t>
        </is>
      </c>
      <c r="B1281" t="inlineStr">
        <is>
          <t>GT1021</t>
        </is>
      </c>
      <c r="C1281" t="inlineStr">
        <is>
          <t>San José La Máquina</t>
        </is>
      </c>
      <c r="D1281" t="inlineStr">
        <is>
          <t>San José La Máquina</t>
        </is>
      </c>
      <c r="F1281" t="inlineStr">
        <is>
          <t>GT10</t>
        </is>
      </c>
    </row>
    <row r="1282">
      <c r="A1282" t="inlineStr">
        <is>
          <t>admin2</t>
        </is>
      </c>
      <c r="B1282" t="inlineStr">
        <is>
          <t>GT1101</t>
        </is>
      </c>
      <c r="C1282" t="inlineStr">
        <is>
          <t>Retalhuleu</t>
        </is>
      </c>
      <c r="D1282" t="inlineStr">
        <is>
          <t>Retalhuleu</t>
        </is>
      </c>
      <c r="F1282" t="inlineStr">
        <is>
          <t>GT11</t>
        </is>
      </c>
    </row>
    <row r="1283">
      <c r="A1283" t="inlineStr">
        <is>
          <t>admin2</t>
        </is>
      </c>
      <c r="B1283" t="inlineStr">
        <is>
          <t>GT1102</t>
        </is>
      </c>
      <c r="C1283" t="inlineStr">
        <is>
          <t>San Sebastián</t>
        </is>
      </c>
      <c r="D1283" t="inlineStr">
        <is>
          <t>San Sebastián</t>
        </is>
      </c>
      <c r="F1283" t="inlineStr">
        <is>
          <t>GT11</t>
        </is>
      </c>
    </row>
    <row r="1284">
      <c r="A1284" t="inlineStr">
        <is>
          <t>admin2</t>
        </is>
      </c>
      <c r="B1284" t="inlineStr">
        <is>
          <t>GT1103</t>
        </is>
      </c>
      <c r="C1284" t="inlineStr">
        <is>
          <t>Santa Cruz Muluá</t>
        </is>
      </c>
      <c r="D1284" t="inlineStr">
        <is>
          <t>Santa Cruz Muluá</t>
        </is>
      </c>
      <c r="F1284" t="inlineStr">
        <is>
          <t>GT11</t>
        </is>
      </c>
    </row>
    <row r="1285">
      <c r="A1285" t="inlineStr">
        <is>
          <t>admin2</t>
        </is>
      </c>
      <c r="B1285" t="inlineStr">
        <is>
          <t>GT1104</t>
        </is>
      </c>
      <c r="C1285" t="inlineStr">
        <is>
          <t>San Martín Zapotitlán</t>
        </is>
      </c>
      <c r="D1285" t="inlineStr">
        <is>
          <t>San Martín Zapotitlán</t>
        </is>
      </c>
      <c r="F1285" t="inlineStr">
        <is>
          <t>GT11</t>
        </is>
      </c>
    </row>
    <row r="1286">
      <c r="A1286" t="inlineStr">
        <is>
          <t>admin2</t>
        </is>
      </c>
      <c r="B1286" t="inlineStr">
        <is>
          <t>GT1105</t>
        </is>
      </c>
      <c r="C1286" t="inlineStr">
        <is>
          <t>San Felipe</t>
        </is>
      </c>
      <c r="D1286" t="inlineStr">
        <is>
          <t>San Felipe</t>
        </is>
      </c>
      <c r="F1286" t="inlineStr">
        <is>
          <t>GT11</t>
        </is>
      </c>
    </row>
    <row r="1287">
      <c r="A1287" t="inlineStr">
        <is>
          <t>admin2</t>
        </is>
      </c>
      <c r="B1287" t="inlineStr">
        <is>
          <t>GT1106</t>
        </is>
      </c>
      <c r="C1287" t="inlineStr">
        <is>
          <t>San Andrés Villa Seca</t>
        </is>
      </c>
      <c r="D1287" t="inlineStr">
        <is>
          <t>San Andrés Villa Seca</t>
        </is>
      </c>
      <c r="F1287" t="inlineStr">
        <is>
          <t>GT11</t>
        </is>
      </c>
    </row>
    <row r="1288">
      <c r="A1288" t="inlineStr">
        <is>
          <t>admin2</t>
        </is>
      </c>
      <c r="B1288" t="inlineStr">
        <is>
          <t>GT1107</t>
        </is>
      </c>
      <c r="C1288" t="inlineStr">
        <is>
          <t>Champerico</t>
        </is>
      </c>
      <c r="D1288" t="inlineStr">
        <is>
          <t>Champerico</t>
        </is>
      </c>
      <c r="F1288" t="inlineStr">
        <is>
          <t>GT11</t>
        </is>
      </c>
    </row>
    <row r="1289">
      <c r="A1289" t="inlineStr">
        <is>
          <t>admin2</t>
        </is>
      </c>
      <c r="B1289" t="inlineStr">
        <is>
          <t>GT1108</t>
        </is>
      </c>
      <c r="C1289" t="inlineStr">
        <is>
          <t>Nuevo San Carlos</t>
        </is>
      </c>
      <c r="D1289" t="inlineStr">
        <is>
          <t>Nuevo San Carlos</t>
        </is>
      </c>
      <c r="F1289" t="inlineStr">
        <is>
          <t>GT11</t>
        </is>
      </c>
    </row>
    <row r="1290">
      <c r="A1290" t="inlineStr">
        <is>
          <t>admin2</t>
        </is>
      </c>
      <c r="B1290" t="inlineStr">
        <is>
          <t>GT1109</t>
        </is>
      </c>
      <c r="C1290" t="inlineStr">
        <is>
          <t>El Asintal</t>
        </is>
      </c>
      <c r="D1290" t="inlineStr">
        <is>
          <t>El Asintal</t>
        </is>
      </c>
      <c r="F1290" t="inlineStr">
        <is>
          <t>GT11</t>
        </is>
      </c>
    </row>
    <row r="1291">
      <c r="A1291" t="inlineStr">
        <is>
          <t>admin2</t>
        </is>
      </c>
      <c r="B1291" t="inlineStr">
        <is>
          <t>GT1201</t>
        </is>
      </c>
      <c r="C1291" t="inlineStr">
        <is>
          <t>San Marcos</t>
        </is>
      </c>
      <c r="D1291" t="inlineStr">
        <is>
          <t>San Marcos</t>
        </is>
      </c>
      <c r="F1291" t="inlineStr">
        <is>
          <t>GT12</t>
        </is>
      </c>
    </row>
    <row r="1292">
      <c r="A1292" t="inlineStr">
        <is>
          <t>admin2</t>
        </is>
      </c>
      <c r="B1292" t="inlineStr">
        <is>
          <t>GT1202</t>
        </is>
      </c>
      <c r="C1292" t="inlineStr">
        <is>
          <t>San Pedro Sacatepéquez</t>
        </is>
      </c>
      <c r="D1292" t="inlineStr">
        <is>
          <t>San Pedro Sacatepéquez</t>
        </is>
      </c>
      <c r="F1292" t="inlineStr">
        <is>
          <t>GT12</t>
        </is>
      </c>
    </row>
    <row r="1293">
      <c r="A1293" t="inlineStr">
        <is>
          <t>admin2</t>
        </is>
      </c>
      <c r="B1293" t="inlineStr">
        <is>
          <t>GT1203</t>
        </is>
      </c>
      <c r="C1293" t="inlineStr">
        <is>
          <t>San Antonio Sacatepéquez</t>
        </is>
      </c>
      <c r="D1293" t="inlineStr">
        <is>
          <t>San Antonio Sacatepéquez</t>
        </is>
      </c>
      <c r="F1293" t="inlineStr">
        <is>
          <t>GT12</t>
        </is>
      </c>
    </row>
    <row r="1294">
      <c r="A1294" t="inlineStr">
        <is>
          <t>admin2</t>
        </is>
      </c>
      <c r="B1294" t="inlineStr">
        <is>
          <t>GT1204</t>
        </is>
      </c>
      <c r="C1294" t="inlineStr">
        <is>
          <t>Comitancillo</t>
        </is>
      </c>
      <c r="D1294" t="inlineStr">
        <is>
          <t>Comitancillo</t>
        </is>
      </c>
      <c r="F1294" t="inlineStr">
        <is>
          <t>GT12</t>
        </is>
      </c>
    </row>
    <row r="1295">
      <c r="A1295" t="inlineStr">
        <is>
          <t>admin2</t>
        </is>
      </c>
      <c r="B1295" t="inlineStr">
        <is>
          <t>GT1205</t>
        </is>
      </c>
      <c r="C1295" t="inlineStr">
        <is>
          <t>San Miguel Ixtahuacán</t>
        </is>
      </c>
      <c r="D1295" t="inlineStr">
        <is>
          <t>San Miguel Ixtahuacán</t>
        </is>
      </c>
      <c r="F1295" t="inlineStr">
        <is>
          <t>GT12</t>
        </is>
      </c>
    </row>
    <row r="1296">
      <c r="A1296" t="inlineStr">
        <is>
          <t>admin2</t>
        </is>
      </c>
      <c r="B1296" t="inlineStr">
        <is>
          <t>GT1206</t>
        </is>
      </c>
      <c r="C1296" t="inlineStr">
        <is>
          <t>Concepción Tutuapa</t>
        </is>
      </c>
      <c r="D1296" t="inlineStr">
        <is>
          <t>Concepción Tutuapa</t>
        </is>
      </c>
      <c r="F1296" t="inlineStr">
        <is>
          <t>GT12</t>
        </is>
      </c>
    </row>
    <row r="1297">
      <c r="A1297" t="inlineStr">
        <is>
          <t>admin2</t>
        </is>
      </c>
      <c r="B1297" t="inlineStr">
        <is>
          <t>GT1207</t>
        </is>
      </c>
      <c r="C1297" t="inlineStr">
        <is>
          <t>Tacaná</t>
        </is>
      </c>
      <c r="D1297" t="inlineStr">
        <is>
          <t>Tacaná</t>
        </is>
      </c>
      <c r="F1297" t="inlineStr">
        <is>
          <t>GT12</t>
        </is>
      </c>
    </row>
    <row r="1298">
      <c r="A1298" t="inlineStr">
        <is>
          <t>admin2</t>
        </is>
      </c>
      <c r="B1298" t="inlineStr">
        <is>
          <t>GT1208</t>
        </is>
      </c>
      <c r="C1298" t="inlineStr">
        <is>
          <t>Sibinal</t>
        </is>
      </c>
      <c r="D1298" t="inlineStr">
        <is>
          <t>Sibinal</t>
        </is>
      </c>
      <c r="F1298" t="inlineStr">
        <is>
          <t>GT12</t>
        </is>
      </c>
    </row>
    <row r="1299">
      <c r="A1299" t="inlineStr">
        <is>
          <t>admin2</t>
        </is>
      </c>
      <c r="B1299" t="inlineStr">
        <is>
          <t>GT1209</t>
        </is>
      </c>
      <c r="C1299" t="inlineStr">
        <is>
          <t>Tajumulco</t>
        </is>
      </c>
      <c r="D1299" t="inlineStr">
        <is>
          <t>Tajumulco</t>
        </is>
      </c>
      <c r="F1299" t="inlineStr">
        <is>
          <t>GT12</t>
        </is>
      </c>
    </row>
    <row r="1300">
      <c r="A1300" t="inlineStr">
        <is>
          <t>admin2</t>
        </is>
      </c>
      <c r="B1300" t="inlineStr">
        <is>
          <t>GT1210</t>
        </is>
      </c>
      <c r="C1300" t="inlineStr">
        <is>
          <t>Tejutla</t>
        </is>
      </c>
      <c r="D1300" t="inlineStr">
        <is>
          <t>Tejutla</t>
        </is>
      </c>
      <c r="F1300" t="inlineStr">
        <is>
          <t>GT12</t>
        </is>
      </c>
    </row>
    <row r="1301">
      <c r="A1301" t="inlineStr">
        <is>
          <t>admin2</t>
        </is>
      </c>
      <c r="B1301" t="inlineStr">
        <is>
          <t>GT1211</t>
        </is>
      </c>
      <c r="C1301" t="inlineStr">
        <is>
          <t>San Rafael Pie de la Cuesta</t>
        </is>
      </c>
      <c r="D1301" t="inlineStr">
        <is>
          <t>San Rafael Pie de la Cuesta</t>
        </is>
      </c>
      <c r="F1301" t="inlineStr">
        <is>
          <t>GT12</t>
        </is>
      </c>
    </row>
    <row r="1302">
      <c r="A1302" t="inlineStr">
        <is>
          <t>admin2</t>
        </is>
      </c>
      <c r="B1302" t="inlineStr">
        <is>
          <t>GT1212</t>
        </is>
      </c>
      <c r="C1302" t="inlineStr">
        <is>
          <t>Nuevo Progreso</t>
        </is>
      </c>
      <c r="D1302" t="inlineStr">
        <is>
          <t>Nuevo Progreso</t>
        </is>
      </c>
      <c r="F1302" t="inlineStr">
        <is>
          <t>GT12</t>
        </is>
      </c>
    </row>
    <row r="1303">
      <c r="A1303" t="inlineStr">
        <is>
          <t>admin2</t>
        </is>
      </c>
      <c r="B1303" t="inlineStr">
        <is>
          <t>GT1213</t>
        </is>
      </c>
      <c r="C1303" t="inlineStr">
        <is>
          <t>El Tumbador</t>
        </is>
      </c>
      <c r="D1303" t="inlineStr">
        <is>
          <t>El Tumbador</t>
        </is>
      </c>
      <c r="F1303" t="inlineStr">
        <is>
          <t>GT12</t>
        </is>
      </c>
    </row>
    <row r="1304">
      <c r="A1304" t="inlineStr">
        <is>
          <t>admin2</t>
        </is>
      </c>
      <c r="B1304" t="inlineStr">
        <is>
          <t>GT1214</t>
        </is>
      </c>
      <c r="C1304" t="inlineStr">
        <is>
          <t>El Rodeo</t>
        </is>
      </c>
      <c r="D1304" t="inlineStr">
        <is>
          <t>El Rodeo</t>
        </is>
      </c>
      <c r="F1304" t="inlineStr">
        <is>
          <t>GT12</t>
        </is>
      </c>
    </row>
    <row r="1305">
      <c r="A1305" t="inlineStr">
        <is>
          <t>admin2</t>
        </is>
      </c>
      <c r="B1305" t="inlineStr">
        <is>
          <t>GT1215</t>
        </is>
      </c>
      <c r="C1305" t="inlineStr">
        <is>
          <t>Malacatán</t>
        </is>
      </c>
      <c r="D1305" t="inlineStr">
        <is>
          <t>Malacatán</t>
        </is>
      </c>
      <c r="F1305" t="inlineStr">
        <is>
          <t>GT12</t>
        </is>
      </c>
    </row>
    <row r="1306">
      <c r="A1306" t="inlineStr">
        <is>
          <t>admin2</t>
        </is>
      </c>
      <c r="B1306" t="inlineStr">
        <is>
          <t>GT1216</t>
        </is>
      </c>
      <c r="C1306" t="inlineStr">
        <is>
          <t>Catarina</t>
        </is>
      </c>
      <c r="D1306" t="inlineStr">
        <is>
          <t>Catarina</t>
        </is>
      </c>
      <c r="F1306" t="inlineStr">
        <is>
          <t>GT12</t>
        </is>
      </c>
    </row>
    <row r="1307">
      <c r="A1307" t="inlineStr">
        <is>
          <t>admin2</t>
        </is>
      </c>
      <c r="B1307" t="inlineStr">
        <is>
          <t>GT1217</t>
        </is>
      </c>
      <c r="C1307" t="inlineStr">
        <is>
          <t>Ayutla</t>
        </is>
      </c>
      <c r="D1307" t="inlineStr">
        <is>
          <t>Ayutla</t>
        </is>
      </c>
      <c r="F1307" t="inlineStr">
        <is>
          <t>GT12</t>
        </is>
      </c>
    </row>
    <row r="1308">
      <c r="A1308" t="inlineStr">
        <is>
          <t>admin2</t>
        </is>
      </c>
      <c r="B1308" t="inlineStr">
        <is>
          <t>GT1218</t>
        </is>
      </c>
      <c r="C1308" t="inlineStr">
        <is>
          <t>Ocós</t>
        </is>
      </c>
      <c r="D1308" t="inlineStr">
        <is>
          <t>Ocós</t>
        </is>
      </c>
      <c r="F1308" t="inlineStr">
        <is>
          <t>GT12</t>
        </is>
      </c>
    </row>
    <row r="1309">
      <c r="A1309" t="inlineStr">
        <is>
          <t>admin2</t>
        </is>
      </c>
      <c r="B1309" t="inlineStr">
        <is>
          <t>GT1219</t>
        </is>
      </c>
      <c r="C1309" t="inlineStr">
        <is>
          <t>San Pablo</t>
        </is>
      </c>
      <c r="D1309" t="inlineStr">
        <is>
          <t>San Pablo</t>
        </is>
      </c>
      <c r="F1309" t="inlineStr">
        <is>
          <t>GT12</t>
        </is>
      </c>
    </row>
    <row r="1310">
      <c r="A1310" t="inlineStr">
        <is>
          <t>admin2</t>
        </is>
      </c>
      <c r="B1310" t="inlineStr">
        <is>
          <t>GT1220</t>
        </is>
      </c>
      <c r="C1310" t="inlineStr">
        <is>
          <t>El Quetzal</t>
        </is>
      </c>
      <c r="D1310" t="inlineStr">
        <is>
          <t>El Quetzal</t>
        </is>
      </c>
      <c r="F1310" t="inlineStr">
        <is>
          <t>GT12</t>
        </is>
      </c>
    </row>
    <row r="1311">
      <c r="A1311" t="inlineStr">
        <is>
          <t>admin2</t>
        </is>
      </c>
      <c r="B1311" t="inlineStr">
        <is>
          <t>GT1221</t>
        </is>
      </c>
      <c r="C1311" t="inlineStr">
        <is>
          <t>La Reforma</t>
        </is>
      </c>
      <c r="D1311" t="inlineStr">
        <is>
          <t>La Reforma</t>
        </is>
      </c>
      <c r="F1311" t="inlineStr">
        <is>
          <t>GT12</t>
        </is>
      </c>
    </row>
    <row r="1312">
      <c r="A1312" t="inlineStr">
        <is>
          <t>admin2</t>
        </is>
      </c>
      <c r="B1312" t="inlineStr">
        <is>
          <t>GT1222</t>
        </is>
      </c>
      <c r="C1312" t="inlineStr">
        <is>
          <t>Pajapita</t>
        </is>
      </c>
      <c r="D1312" t="inlineStr">
        <is>
          <t>Pajapita</t>
        </is>
      </c>
      <c r="F1312" t="inlineStr">
        <is>
          <t>GT12</t>
        </is>
      </c>
    </row>
    <row r="1313">
      <c r="A1313" t="inlineStr">
        <is>
          <t>admin2</t>
        </is>
      </c>
      <c r="B1313" t="inlineStr">
        <is>
          <t>GT1223</t>
        </is>
      </c>
      <c r="C1313" t="inlineStr">
        <is>
          <t>Ixchiguán</t>
        </is>
      </c>
      <c r="D1313" t="inlineStr">
        <is>
          <t>Ixchiguán</t>
        </is>
      </c>
      <c r="F1313" t="inlineStr">
        <is>
          <t>GT12</t>
        </is>
      </c>
    </row>
    <row r="1314">
      <c r="A1314" t="inlineStr">
        <is>
          <t>admin2</t>
        </is>
      </c>
      <c r="B1314" t="inlineStr">
        <is>
          <t>GT1224</t>
        </is>
      </c>
      <c r="C1314" t="inlineStr">
        <is>
          <t>San José Ojetenam</t>
        </is>
      </c>
      <c r="D1314" t="inlineStr">
        <is>
          <t>San José Ojetenam</t>
        </is>
      </c>
      <c r="F1314" t="inlineStr">
        <is>
          <t>GT12</t>
        </is>
      </c>
    </row>
    <row r="1315">
      <c r="A1315" t="inlineStr">
        <is>
          <t>admin2</t>
        </is>
      </c>
      <c r="B1315" t="inlineStr">
        <is>
          <t>GT1225</t>
        </is>
      </c>
      <c r="C1315" t="inlineStr">
        <is>
          <t>San Cristóbal Cucho</t>
        </is>
      </c>
      <c r="D1315" t="inlineStr">
        <is>
          <t>San Cristóbal Cucho</t>
        </is>
      </c>
      <c r="F1315" t="inlineStr">
        <is>
          <t>GT12</t>
        </is>
      </c>
    </row>
    <row r="1316">
      <c r="A1316" t="inlineStr">
        <is>
          <t>admin2</t>
        </is>
      </c>
      <c r="B1316" t="inlineStr">
        <is>
          <t>GT1226</t>
        </is>
      </c>
      <c r="C1316" t="inlineStr">
        <is>
          <t>Sipacapa</t>
        </is>
      </c>
      <c r="D1316" t="inlineStr">
        <is>
          <t>Sipacapa</t>
        </is>
      </c>
      <c r="F1316" t="inlineStr">
        <is>
          <t>GT12</t>
        </is>
      </c>
    </row>
    <row r="1317">
      <c r="A1317" t="inlineStr">
        <is>
          <t>admin2</t>
        </is>
      </c>
      <c r="B1317" t="inlineStr">
        <is>
          <t>GT1227</t>
        </is>
      </c>
      <c r="C1317" t="inlineStr">
        <is>
          <t>Esquipulas Palo Gordo</t>
        </is>
      </c>
      <c r="D1317" t="inlineStr">
        <is>
          <t>Esquipulas Palo Gordo</t>
        </is>
      </c>
      <c r="F1317" t="inlineStr">
        <is>
          <t>GT12</t>
        </is>
      </c>
    </row>
    <row r="1318">
      <c r="A1318" t="inlineStr">
        <is>
          <t>admin2</t>
        </is>
      </c>
      <c r="B1318" t="inlineStr">
        <is>
          <t>GT1228</t>
        </is>
      </c>
      <c r="C1318" t="inlineStr">
        <is>
          <t>Río Blanco</t>
        </is>
      </c>
      <c r="D1318" t="inlineStr">
        <is>
          <t>Río Blanco</t>
        </is>
      </c>
      <c r="F1318" t="inlineStr">
        <is>
          <t>GT12</t>
        </is>
      </c>
    </row>
    <row r="1319">
      <c r="A1319" t="inlineStr">
        <is>
          <t>admin2</t>
        </is>
      </c>
      <c r="B1319" t="inlineStr">
        <is>
          <t>GT1229</t>
        </is>
      </c>
      <c r="C1319" t="inlineStr">
        <is>
          <t>San Lorenzo</t>
        </is>
      </c>
      <c r="D1319" t="inlineStr">
        <is>
          <t>San Lorenzo</t>
        </is>
      </c>
      <c r="F1319" t="inlineStr">
        <is>
          <t>GT12</t>
        </is>
      </c>
    </row>
    <row r="1320">
      <c r="A1320" t="inlineStr">
        <is>
          <t>admin2</t>
        </is>
      </c>
      <c r="B1320" t="inlineStr">
        <is>
          <t>GT1230</t>
        </is>
      </c>
      <c r="C1320" t="inlineStr">
        <is>
          <t>La Blanca</t>
        </is>
      </c>
      <c r="D1320" t="inlineStr">
        <is>
          <t>La Blanca</t>
        </is>
      </c>
      <c r="F1320" t="inlineStr">
        <is>
          <t>GT12</t>
        </is>
      </c>
    </row>
    <row r="1321">
      <c r="A1321" t="inlineStr">
        <is>
          <t>admin2</t>
        </is>
      </c>
      <c r="B1321" t="inlineStr">
        <is>
          <t>GT1301</t>
        </is>
      </c>
      <c r="C1321" t="inlineStr">
        <is>
          <t>Huehuetenango</t>
        </is>
      </c>
      <c r="D1321" t="inlineStr">
        <is>
          <t>Huehuetenango</t>
        </is>
      </c>
      <c r="F1321" t="inlineStr">
        <is>
          <t>GT13</t>
        </is>
      </c>
    </row>
    <row r="1322">
      <c r="A1322" t="inlineStr">
        <is>
          <t>admin2</t>
        </is>
      </c>
      <c r="B1322" t="inlineStr">
        <is>
          <t>GT1302</t>
        </is>
      </c>
      <c r="C1322" t="inlineStr">
        <is>
          <t>Chiantla</t>
        </is>
      </c>
      <c r="D1322" t="inlineStr">
        <is>
          <t>Chiantla</t>
        </is>
      </c>
      <c r="F1322" t="inlineStr">
        <is>
          <t>GT13</t>
        </is>
      </c>
    </row>
    <row r="1323">
      <c r="A1323" t="inlineStr">
        <is>
          <t>admin2</t>
        </is>
      </c>
      <c r="B1323" t="inlineStr">
        <is>
          <t>GT1303</t>
        </is>
      </c>
      <c r="C1323" t="inlineStr">
        <is>
          <t>Malacatancito</t>
        </is>
      </c>
      <c r="D1323" t="inlineStr">
        <is>
          <t>Malacatancito</t>
        </is>
      </c>
      <c r="F1323" t="inlineStr">
        <is>
          <t>GT13</t>
        </is>
      </c>
    </row>
    <row r="1324">
      <c r="A1324" t="inlineStr">
        <is>
          <t>admin2</t>
        </is>
      </c>
      <c r="B1324" t="inlineStr">
        <is>
          <t>GT1304</t>
        </is>
      </c>
      <c r="C1324" t="inlineStr">
        <is>
          <t>Cuilco</t>
        </is>
      </c>
      <c r="D1324" t="inlineStr">
        <is>
          <t>Cuilco</t>
        </is>
      </c>
      <c r="F1324" t="inlineStr">
        <is>
          <t>GT13</t>
        </is>
      </c>
    </row>
    <row r="1325">
      <c r="A1325" t="inlineStr">
        <is>
          <t>admin2</t>
        </is>
      </c>
      <c r="B1325" t="inlineStr">
        <is>
          <t>GT1305</t>
        </is>
      </c>
      <c r="C1325" t="inlineStr">
        <is>
          <t>Nentón</t>
        </is>
      </c>
      <c r="D1325" t="inlineStr">
        <is>
          <t>Nentón</t>
        </is>
      </c>
      <c r="F1325" t="inlineStr">
        <is>
          <t>GT13</t>
        </is>
      </c>
    </row>
    <row r="1326">
      <c r="A1326" t="inlineStr">
        <is>
          <t>admin2</t>
        </is>
      </c>
      <c r="B1326" t="inlineStr">
        <is>
          <t>GT1306</t>
        </is>
      </c>
      <c r="C1326" t="inlineStr">
        <is>
          <t>San Pedro Necta</t>
        </is>
      </c>
      <c r="D1326" t="inlineStr">
        <is>
          <t>San Pedro Necta</t>
        </is>
      </c>
      <c r="F1326" t="inlineStr">
        <is>
          <t>GT13</t>
        </is>
      </c>
    </row>
    <row r="1327">
      <c r="A1327" t="inlineStr">
        <is>
          <t>admin2</t>
        </is>
      </c>
      <c r="B1327" t="inlineStr">
        <is>
          <t>GT1307</t>
        </is>
      </c>
      <c r="C1327" t="inlineStr">
        <is>
          <t>Jacaltenango</t>
        </is>
      </c>
      <c r="D1327" t="inlineStr">
        <is>
          <t>Jacaltenango</t>
        </is>
      </c>
      <c r="F1327" t="inlineStr">
        <is>
          <t>GT13</t>
        </is>
      </c>
    </row>
    <row r="1328">
      <c r="A1328" t="inlineStr">
        <is>
          <t>admin2</t>
        </is>
      </c>
      <c r="B1328" t="inlineStr">
        <is>
          <t>GT1308</t>
        </is>
      </c>
      <c r="C1328" t="inlineStr">
        <is>
          <t>Soloma</t>
        </is>
      </c>
      <c r="D1328" t="inlineStr">
        <is>
          <t>Soloma</t>
        </is>
      </c>
      <c r="F1328" t="inlineStr">
        <is>
          <t>GT13</t>
        </is>
      </c>
    </row>
    <row r="1329">
      <c r="A1329" t="inlineStr">
        <is>
          <t>admin2</t>
        </is>
      </c>
      <c r="B1329" t="inlineStr">
        <is>
          <t>GT1309</t>
        </is>
      </c>
      <c r="C1329" t="inlineStr">
        <is>
          <t>Ixtahuacán</t>
        </is>
      </c>
      <c r="D1329" t="inlineStr">
        <is>
          <t>Ixtahuacán</t>
        </is>
      </c>
      <c r="F1329" t="inlineStr">
        <is>
          <t>GT13</t>
        </is>
      </c>
    </row>
    <row r="1330">
      <c r="A1330" t="inlineStr">
        <is>
          <t>admin2</t>
        </is>
      </c>
      <c r="B1330" t="inlineStr">
        <is>
          <t>GT1310</t>
        </is>
      </c>
      <c r="C1330" t="inlineStr">
        <is>
          <t>Santa Bárbara</t>
        </is>
      </c>
      <c r="D1330" t="inlineStr">
        <is>
          <t>Santa Bárbara</t>
        </is>
      </c>
      <c r="F1330" t="inlineStr">
        <is>
          <t>GT13</t>
        </is>
      </c>
    </row>
    <row r="1331">
      <c r="A1331" t="inlineStr">
        <is>
          <t>admin2</t>
        </is>
      </c>
      <c r="B1331" t="inlineStr">
        <is>
          <t>GT1311</t>
        </is>
      </c>
      <c r="C1331" t="inlineStr">
        <is>
          <t>La Libertad</t>
        </is>
      </c>
      <c r="D1331" t="inlineStr">
        <is>
          <t>La Libertad</t>
        </is>
      </c>
      <c r="F1331" t="inlineStr">
        <is>
          <t>GT13</t>
        </is>
      </c>
    </row>
    <row r="1332">
      <c r="A1332" t="inlineStr">
        <is>
          <t>admin2</t>
        </is>
      </c>
      <c r="B1332" t="inlineStr">
        <is>
          <t>GT1312</t>
        </is>
      </c>
      <c r="C1332" t="inlineStr">
        <is>
          <t>La Democracia</t>
        </is>
      </c>
      <c r="D1332" t="inlineStr">
        <is>
          <t>La Democracia</t>
        </is>
      </c>
      <c r="F1332" t="inlineStr">
        <is>
          <t>GT13</t>
        </is>
      </c>
    </row>
    <row r="1333">
      <c r="A1333" t="inlineStr">
        <is>
          <t>admin2</t>
        </is>
      </c>
      <c r="B1333" t="inlineStr">
        <is>
          <t>GT1313</t>
        </is>
      </c>
      <c r="C1333" t="inlineStr">
        <is>
          <t>San Miguel Acatán</t>
        </is>
      </c>
      <c r="D1333" t="inlineStr">
        <is>
          <t>San Miguel Acatán</t>
        </is>
      </c>
      <c r="F1333" t="inlineStr">
        <is>
          <t>GT13</t>
        </is>
      </c>
    </row>
    <row r="1334">
      <c r="A1334" t="inlineStr">
        <is>
          <t>admin2</t>
        </is>
      </c>
      <c r="B1334" t="inlineStr">
        <is>
          <t>GT1314</t>
        </is>
      </c>
      <c r="C1334" t="inlineStr">
        <is>
          <t>San Rafael La Independencia</t>
        </is>
      </c>
      <c r="D1334" t="inlineStr">
        <is>
          <t>San Rafael La Independencia</t>
        </is>
      </c>
      <c r="F1334" t="inlineStr">
        <is>
          <t>GT13</t>
        </is>
      </c>
    </row>
    <row r="1335">
      <c r="A1335" t="inlineStr">
        <is>
          <t>admin2</t>
        </is>
      </c>
      <c r="B1335" t="inlineStr">
        <is>
          <t>GT1315</t>
        </is>
      </c>
      <c r="C1335" t="inlineStr">
        <is>
          <t>Todos Santos Cuchumatán</t>
        </is>
      </c>
      <c r="D1335" t="inlineStr">
        <is>
          <t>Todos Santos Cuchumatán</t>
        </is>
      </c>
      <c r="F1335" t="inlineStr">
        <is>
          <t>GT13</t>
        </is>
      </c>
    </row>
    <row r="1336">
      <c r="A1336" t="inlineStr">
        <is>
          <t>admin2</t>
        </is>
      </c>
      <c r="B1336" t="inlineStr">
        <is>
          <t>GT1316</t>
        </is>
      </c>
      <c r="C1336" t="inlineStr">
        <is>
          <t>San Juan Atitán</t>
        </is>
      </c>
      <c r="D1336" t="inlineStr">
        <is>
          <t>San Juan Atitán</t>
        </is>
      </c>
      <c r="F1336" t="inlineStr">
        <is>
          <t>GT13</t>
        </is>
      </c>
    </row>
    <row r="1337">
      <c r="A1337" t="inlineStr">
        <is>
          <t>admin2</t>
        </is>
      </c>
      <c r="B1337" t="inlineStr">
        <is>
          <t>GT1317</t>
        </is>
      </c>
      <c r="C1337" t="inlineStr">
        <is>
          <t>Santa Eulalia</t>
        </is>
      </c>
      <c r="D1337" t="inlineStr">
        <is>
          <t>Santa Eulalia</t>
        </is>
      </c>
      <c r="F1337" t="inlineStr">
        <is>
          <t>GT13</t>
        </is>
      </c>
    </row>
    <row r="1338">
      <c r="A1338" t="inlineStr">
        <is>
          <t>admin2</t>
        </is>
      </c>
      <c r="B1338" t="inlineStr">
        <is>
          <t>GT1318</t>
        </is>
      </c>
      <c r="C1338" t="inlineStr">
        <is>
          <t>San Mateo Ixtatán</t>
        </is>
      </c>
      <c r="D1338" t="inlineStr">
        <is>
          <t>San Mateo Ixtatán</t>
        </is>
      </c>
      <c r="F1338" t="inlineStr">
        <is>
          <t>GT13</t>
        </is>
      </c>
    </row>
    <row r="1339">
      <c r="A1339" t="inlineStr">
        <is>
          <t>admin2</t>
        </is>
      </c>
      <c r="B1339" t="inlineStr">
        <is>
          <t>GT1319</t>
        </is>
      </c>
      <c r="C1339" t="inlineStr">
        <is>
          <t>Colotenango</t>
        </is>
      </c>
      <c r="D1339" t="inlineStr">
        <is>
          <t>Colotenango</t>
        </is>
      </c>
      <c r="F1339" t="inlineStr">
        <is>
          <t>GT13</t>
        </is>
      </c>
    </row>
    <row r="1340">
      <c r="A1340" t="inlineStr">
        <is>
          <t>admin2</t>
        </is>
      </c>
      <c r="B1340" t="inlineStr">
        <is>
          <t>GT1320</t>
        </is>
      </c>
      <c r="C1340" t="inlineStr">
        <is>
          <t>San Sebastián Huehuetenango</t>
        </is>
      </c>
      <c r="D1340" t="inlineStr">
        <is>
          <t>San Sebastián Huehuetenango</t>
        </is>
      </c>
      <c r="F1340" t="inlineStr">
        <is>
          <t>GT13</t>
        </is>
      </c>
    </row>
    <row r="1341">
      <c r="A1341" t="inlineStr">
        <is>
          <t>admin2</t>
        </is>
      </c>
      <c r="B1341" t="inlineStr">
        <is>
          <t>GT1321</t>
        </is>
      </c>
      <c r="C1341" t="inlineStr">
        <is>
          <t>Tectitán</t>
        </is>
      </c>
      <c r="D1341" t="inlineStr">
        <is>
          <t>Tectitán</t>
        </is>
      </c>
      <c r="F1341" t="inlineStr">
        <is>
          <t>GT13</t>
        </is>
      </c>
    </row>
    <row r="1342">
      <c r="A1342" t="inlineStr">
        <is>
          <t>admin2</t>
        </is>
      </c>
      <c r="B1342" t="inlineStr">
        <is>
          <t>GT1322</t>
        </is>
      </c>
      <c r="C1342" t="inlineStr">
        <is>
          <t>Concepción Huista</t>
        </is>
      </c>
      <c r="D1342" t="inlineStr">
        <is>
          <t>Concepción Huista</t>
        </is>
      </c>
      <c r="F1342" t="inlineStr">
        <is>
          <t>GT13</t>
        </is>
      </c>
    </row>
    <row r="1343">
      <c r="A1343" t="inlineStr">
        <is>
          <t>admin2</t>
        </is>
      </c>
      <c r="B1343" t="inlineStr">
        <is>
          <t>GT1323</t>
        </is>
      </c>
      <c r="C1343" t="inlineStr">
        <is>
          <t>San Juan Ixcoy</t>
        </is>
      </c>
      <c r="D1343" t="inlineStr">
        <is>
          <t>San Juan Ixcoy</t>
        </is>
      </c>
      <c r="F1343" t="inlineStr">
        <is>
          <t>GT13</t>
        </is>
      </c>
    </row>
    <row r="1344">
      <c r="A1344" t="inlineStr">
        <is>
          <t>admin2</t>
        </is>
      </c>
      <c r="B1344" t="inlineStr">
        <is>
          <t>GT1324</t>
        </is>
      </c>
      <c r="C1344" t="inlineStr">
        <is>
          <t>San Antonio Huista</t>
        </is>
      </c>
      <c r="D1344" t="inlineStr">
        <is>
          <t>San Antonio Huista</t>
        </is>
      </c>
      <c r="F1344" t="inlineStr">
        <is>
          <t>GT13</t>
        </is>
      </c>
    </row>
    <row r="1345">
      <c r="A1345" t="inlineStr">
        <is>
          <t>admin2</t>
        </is>
      </c>
      <c r="B1345" t="inlineStr">
        <is>
          <t>GT1325</t>
        </is>
      </c>
      <c r="C1345" t="inlineStr">
        <is>
          <t>San Sebastián Coatán</t>
        </is>
      </c>
      <c r="D1345" t="inlineStr">
        <is>
          <t>San Sebastián Coatán</t>
        </is>
      </c>
      <c r="F1345" t="inlineStr">
        <is>
          <t>GT13</t>
        </is>
      </c>
    </row>
    <row r="1346">
      <c r="A1346" t="inlineStr">
        <is>
          <t>admin2</t>
        </is>
      </c>
      <c r="B1346" t="inlineStr">
        <is>
          <t>GT1326</t>
        </is>
      </c>
      <c r="C1346" t="inlineStr">
        <is>
          <t>Barillas</t>
        </is>
      </c>
      <c r="D1346" t="inlineStr">
        <is>
          <t>Barillas</t>
        </is>
      </c>
      <c r="F1346" t="inlineStr">
        <is>
          <t>GT13</t>
        </is>
      </c>
    </row>
    <row r="1347">
      <c r="A1347" t="inlineStr">
        <is>
          <t>admin2</t>
        </is>
      </c>
      <c r="B1347" t="inlineStr">
        <is>
          <t>GT1327</t>
        </is>
      </c>
      <c r="C1347" t="inlineStr">
        <is>
          <t>Aguacatán</t>
        </is>
      </c>
      <c r="D1347" t="inlineStr">
        <is>
          <t>Aguacatán</t>
        </is>
      </c>
      <c r="F1347" t="inlineStr">
        <is>
          <t>GT13</t>
        </is>
      </c>
    </row>
    <row r="1348">
      <c r="A1348" t="inlineStr">
        <is>
          <t>admin2</t>
        </is>
      </c>
      <c r="B1348" t="inlineStr">
        <is>
          <t>GT1328</t>
        </is>
      </c>
      <c r="C1348" t="inlineStr">
        <is>
          <t>San Rafael Petzal</t>
        </is>
      </c>
      <c r="D1348" t="inlineStr">
        <is>
          <t>San Rafael Petzal</t>
        </is>
      </c>
      <c r="F1348" t="inlineStr">
        <is>
          <t>GT13</t>
        </is>
      </c>
    </row>
    <row r="1349">
      <c r="A1349" t="inlineStr">
        <is>
          <t>admin2</t>
        </is>
      </c>
      <c r="B1349" t="inlineStr">
        <is>
          <t>GT1329</t>
        </is>
      </c>
      <c r="C1349" t="inlineStr">
        <is>
          <t>San Gaspar Ixchil</t>
        </is>
      </c>
      <c r="D1349" t="inlineStr">
        <is>
          <t>San Gaspar Ixchil</t>
        </is>
      </c>
      <c r="F1349" t="inlineStr">
        <is>
          <t>GT13</t>
        </is>
      </c>
    </row>
    <row r="1350">
      <c r="A1350" t="inlineStr">
        <is>
          <t>admin2</t>
        </is>
      </c>
      <c r="B1350" t="inlineStr">
        <is>
          <t>GT1330</t>
        </is>
      </c>
      <c r="C1350" t="inlineStr">
        <is>
          <t>Santiago Chimaltenango</t>
        </is>
      </c>
      <c r="D1350" t="inlineStr">
        <is>
          <t>Santiago Chimaltenango</t>
        </is>
      </c>
      <c r="F1350" t="inlineStr">
        <is>
          <t>GT13</t>
        </is>
      </c>
    </row>
    <row r="1351">
      <c r="A1351" t="inlineStr">
        <is>
          <t>admin2</t>
        </is>
      </c>
      <c r="B1351" t="inlineStr">
        <is>
          <t>GT1331</t>
        </is>
      </c>
      <c r="C1351" t="inlineStr">
        <is>
          <t>Santa Ana Huista</t>
        </is>
      </c>
      <c r="D1351" t="inlineStr">
        <is>
          <t>Santa Ana Huista</t>
        </is>
      </c>
      <c r="F1351" t="inlineStr">
        <is>
          <t>GT13</t>
        </is>
      </c>
    </row>
    <row r="1352">
      <c r="A1352" t="inlineStr">
        <is>
          <t>admin2</t>
        </is>
      </c>
      <c r="B1352" t="inlineStr">
        <is>
          <t>GT1332</t>
        </is>
      </c>
      <c r="C1352" t="inlineStr">
        <is>
          <t>Unión Cantinil</t>
        </is>
      </c>
      <c r="D1352" t="inlineStr">
        <is>
          <t>Unión Cantinil</t>
        </is>
      </c>
      <c r="F1352" t="inlineStr">
        <is>
          <t>GT13</t>
        </is>
      </c>
    </row>
    <row r="1353">
      <c r="A1353" t="inlineStr">
        <is>
          <t>admin2</t>
        </is>
      </c>
      <c r="B1353" t="inlineStr">
        <is>
          <t>GT1333</t>
        </is>
      </c>
      <c r="C1353" t="inlineStr">
        <is>
          <t>Petatán</t>
        </is>
      </c>
      <c r="D1353" t="inlineStr">
        <is>
          <t>Petatán</t>
        </is>
      </c>
      <c r="F1353" t="inlineStr">
        <is>
          <t>GT13</t>
        </is>
      </c>
    </row>
    <row r="1354">
      <c r="A1354" t="inlineStr">
        <is>
          <t>admin2</t>
        </is>
      </c>
      <c r="B1354" t="inlineStr">
        <is>
          <t>GT1401</t>
        </is>
      </c>
      <c r="C1354" t="inlineStr">
        <is>
          <t>Santa Cruz del Quiché</t>
        </is>
      </c>
      <c r="D1354" t="inlineStr">
        <is>
          <t>Santa Cruz del Quiché</t>
        </is>
      </c>
      <c r="F1354" t="inlineStr">
        <is>
          <t>GT14</t>
        </is>
      </c>
    </row>
    <row r="1355">
      <c r="A1355" t="inlineStr">
        <is>
          <t>admin2</t>
        </is>
      </c>
      <c r="B1355" t="inlineStr">
        <is>
          <t>GT1402</t>
        </is>
      </c>
      <c r="C1355" t="inlineStr">
        <is>
          <t>Chiché</t>
        </is>
      </c>
      <c r="D1355" t="inlineStr">
        <is>
          <t>Chiché</t>
        </is>
      </c>
      <c r="F1355" t="inlineStr">
        <is>
          <t>GT14</t>
        </is>
      </c>
    </row>
    <row r="1356">
      <c r="A1356" t="inlineStr">
        <is>
          <t>admin2</t>
        </is>
      </c>
      <c r="B1356" t="inlineStr">
        <is>
          <t>GT1403</t>
        </is>
      </c>
      <c r="C1356" t="inlineStr">
        <is>
          <t>Chinique</t>
        </is>
      </c>
      <c r="D1356" t="inlineStr">
        <is>
          <t>Chinique</t>
        </is>
      </c>
      <c r="F1356" t="inlineStr">
        <is>
          <t>GT14</t>
        </is>
      </c>
    </row>
    <row r="1357">
      <c r="A1357" t="inlineStr">
        <is>
          <t>admin2</t>
        </is>
      </c>
      <c r="B1357" t="inlineStr">
        <is>
          <t>GT1404</t>
        </is>
      </c>
      <c r="C1357" t="inlineStr">
        <is>
          <t>Zacualpa</t>
        </is>
      </c>
      <c r="D1357" t="inlineStr">
        <is>
          <t>Zacualpa</t>
        </is>
      </c>
      <c r="F1357" t="inlineStr">
        <is>
          <t>GT14</t>
        </is>
      </c>
    </row>
    <row r="1358">
      <c r="A1358" t="inlineStr">
        <is>
          <t>admin2</t>
        </is>
      </c>
      <c r="B1358" t="inlineStr">
        <is>
          <t>GT1405</t>
        </is>
      </c>
      <c r="C1358" t="inlineStr">
        <is>
          <t>Chajul</t>
        </is>
      </c>
      <c r="D1358" t="inlineStr">
        <is>
          <t>Chajul</t>
        </is>
      </c>
      <c r="F1358" t="inlineStr">
        <is>
          <t>GT14</t>
        </is>
      </c>
    </row>
    <row r="1359">
      <c r="A1359" t="inlineStr">
        <is>
          <t>admin2</t>
        </is>
      </c>
      <c r="B1359" t="inlineStr">
        <is>
          <t>GT1406</t>
        </is>
      </c>
      <c r="C1359" t="inlineStr">
        <is>
          <t>Chichicastenango</t>
        </is>
      </c>
      <c r="D1359" t="inlineStr">
        <is>
          <t>Chichicastenango</t>
        </is>
      </c>
      <c r="F1359" t="inlineStr">
        <is>
          <t>GT14</t>
        </is>
      </c>
    </row>
    <row r="1360">
      <c r="A1360" t="inlineStr">
        <is>
          <t>admin2</t>
        </is>
      </c>
      <c r="B1360" t="inlineStr">
        <is>
          <t>GT1407</t>
        </is>
      </c>
      <c r="C1360" t="inlineStr">
        <is>
          <t>Patzité</t>
        </is>
      </c>
      <c r="D1360" t="inlineStr">
        <is>
          <t>Patzité</t>
        </is>
      </c>
      <c r="F1360" t="inlineStr">
        <is>
          <t>GT14</t>
        </is>
      </c>
    </row>
    <row r="1361">
      <c r="A1361" t="inlineStr">
        <is>
          <t>admin2</t>
        </is>
      </c>
      <c r="B1361" t="inlineStr">
        <is>
          <t>GT1408</t>
        </is>
      </c>
      <c r="C1361" t="inlineStr">
        <is>
          <t>San Antonio Ilotenango</t>
        </is>
      </c>
      <c r="D1361" t="inlineStr">
        <is>
          <t>San Antonio Ilotenango</t>
        </is>
      </c>
      <c r="F1361" t="inlineStr">
        <is>
          <t>GT14</t>
        </is>
      </c>
    </row>
    <row r="1362">
      <c r="A1362" t="inlineStr">
        <is>
          <t>admin2</t>
        </is>
      </c>
      <c r="B1362" t="inlineStr">
        <is>
          <t>GT1409</t>
        </is>
      </c>
      <c r="C1362" t="inlineStr">
        <is>
          <t>San Pedro Jocopilas</t>
        </is>
      </c>
      <c r="D1362" t="inlineStr">
        <is>
          <t>San Pedro Jocopilas</t>
        </is>
      </c>
      <c r="F1362" t="inlineStr">
        <is>
          <t>GT14</t>
        </is>
      </c>
    </row>
    <row r="1363">
      <c r="A1363" t="inlineStr">
        <is>
          <t>admin2</t>
        </is>
      </c>
      <c r="B1363" t="inlineStr">
        <is>
          <t>GT1410</t>
        </is>
      </c>
      <c r="C1363" t="inlineStr">
        <is>
          <t>Cunén</t>
        </is>
      </c>
      <c r="D1363" t="inlineStr">
        <is>
          <t>Cunén</t>
        </is>
      </c>
      <c r="F1363" t="inlineStr">
        <is>
          <t>GT14</t>
        </is>
      </c>
    </row>
    <row r="1364">
      <c r="A1364" t="inlineStr">
        <is>
          <t>admin2</t>
        </is>
      </c>
      <c r="B1364" t="inlineStr">
        <is>
          <t>GT1411</t>
        </is>
      </c>
      <c r="C1364" t="inlineStr">
        <is>
          <t>San Juan Cotzal</t>
        </is>
      </c>
      <c r="D1364" t="inlineStr">
        <is>
          <t>San Juan Cotzal</t>
        </is>
      </c>
      <c r="F1364" t="inlineStr">
        <is>
          <t>GT14</t>
        </is>
      </c>
    </row>
    <row r="1365">
      <c r="A1365" t="inlineStr">
        <is>
          <t>admin2</t>
        </is>
      </c>
      <c r="B1365" t="inlineStr">
        <is>
          <t>GT1412</t>
        </is>
      </c>
      <c r="C1365" t="inlineStr">
        <is>
          <t>Joyabaj</t>
        </is>
      </c>
      <c r="D1365" t="inlineStr">
        <is>
          <t>Joyabaj</t>
        </is>
      </c>
      <c r="F1365" t="inlineStr">
        <is>
          <t>GT14</t>
        </is>
      </c>
    </row>
    <row r="1366">
      <c r="A1366" t="inlineStr">
        <is>
          <t>admin2</t>
        </is>
      </c>
      <c r="B1366" t="inlineStr">
        <is>
          <t>GT1413</t>
        </is>
      </c>
      <c r="C1366" t="inlineStr">
        <is>
          <t>Nebaj</t>
        </is>
      </c>
      <c r="D1366" t="inlineStr">
        <is>
          <t>Nebaj</t>
        </is>
      </c>
      <c r="F1366" t="inlineStr">
        <is>
          <t>GT14</t>
        </is>
      </c>
    </row>
    <row r="1367">
      <c r="A1367" t="inlineStr">
        <is>
          <t>admin2</t>
        </is>
      </c>
      <c r="B1367" t="inlineStr">
        <is>
          <t>GT1414</t>
        </is>
      </c>
      <c r="C1367" t="inlineStr">
        <is>
          <t>San Andrés Sajcabajá</t>
        </is>
      </c>
      <c r="D1367" t="inlineStr">
        <is>
          <t>San Andrés Sajcabajá</t>
        </is>
      </c>
      <c r="F1367" t="inlineStr">
        <is>
          <t>GT14</t>
        </is>
      </c>
    </row>
    <row r="1368">
      <c r="A1368" t="inlineStr">
        <is>
          <t>admin2</t>
        </is>
      </c>
      <c r="B1368" t="inlineStr">
        <is>
          <t>GT1415</t>
        </is>
      </c>
      <c r="C1368" t="inlineStr">
        <is>
          <t>Uspantán</t>
        </is>
      </c>
      <c r="D1368" t="inlineStr">
        <is>
          <t>Uspantán</t>
        </is>
      </c>
      <c r="F1368" t="inlineStr">
        <is>
          <t>GT14</t>
        </is>
      </c>
    </row>
    <row r="1369">
      <c r="A1369" t="inlineStr">
        <is>
          <t>admin2</t>
        </is>
      </c>
      <c r="B1369" t="inlineStr">
        <is>
          <t>GT1416</t>
        </is>
      </c>
      <c r="C1369" t="inlineStr">
        <is>
          <t>Sacapulas</t>
        </is>
      </c>
      <c r="D1369" t="inlineStr">
        <is>
          <t>Sacapulas</t>
        </is>
      </c>
      <c r="F1369" t="inlineStr">
        <is>
          <t>GT14</t>
        </is>
      </c>
    </row>
    <row r="1370">
      <c r="A1370" t="inlineStr">
        <is>
          <t>admin2</t>
        </is>
      </c>
      <c r="B1370" t="inlineStr">
        <is>
          <t>GT1417</t>
        </is>
      </c>
      <c r="C1370" t="inlineStr">
        <is>
          <t>San Bartolomé Jocotenango</t>
        </is>
      </c>
      <c r="D1370" t="inlineStr">
        <is>
          <t>San Bartolomé Jocotenango</t>
        </is>
      </c>
      <c r="F1370" t="inlineStr">
        <is>
          <t>GT14</t>
        </is>
      </c>
    </row>
    <row r="1371">
      <c r="A1371" t="inlineStr">
        <is>
          <t>admin2</t>
        </is>
      </c>
      <c r="B1371" t="inlineStr">
        <is>
          <t>GT1418</t>
        </is>
      </c>
      <c r="C1371" t="inlineStr">
        <is>
          <t>Canillá</t>
        </is>
      </c>
      <c r="D1371" t="inlineStr">
        <is>
          <t>Canillá</t>
        </is>
      </c>
      <c r="F1371" t="inlineStr">
        <is>
          <t>GT14</t>
        </is>
      </c>
    </row>
    <row r="1372">
      <c r="A1372" t="inlineStr">
        <is>
          <t>admin2</t>
        </is>
      </c>
      <c r="B1372" t="inlineStr">
        <is>
          <t>GT1419</t>
        </is>
      </c>
      <c r="C1372" t="inlineStr">
        <is>
          <t>Chicamán</t>
        </is>
      </c>
      <c r="D1372" t="inlineStr">
        <is>
          <t>Chicamán</t>
        </is>
      </c>
      <c r="F1372" t="inlineStr">
        <is>
          <t>GT14</t>
        </is>
      </c>
    </row>
    <row r="1373">
      <c r="A1373" t="inlineStr">
        <is>
          <t>admin2</t>
        </is>
      </c>
      <c r="B1373" t="inlineStr">
        <is>
          <t>GT1420</t>
        </is>
      </c>
      <c r="C1373" t="inlineStr">
        <is>
          <t>Ixcán</t>
        </is>
      </c>
      <c r="D1373" t="inlineStr">
        <is>
          <t>Ixcán</t>
        </is>
      </c>
      <c r="F1373" t="inlineStr">
        <is>
          <t>GT14</t>
        </is>
      </c>
    </row>
    <row r="1374">
      <c r="A1374" t="inlineStr">
        <is>
          <t>admin2</t>
        </is>
      </c>
      <c r="B1374" t="inlineStr">
        <is>
          <t>GT1421</t>
        </is>
      </c>
      <c r="C1374" t="inlineStr">
        <is>
          <t>Pachalum</t>
        </is>
      </c>
      <c r="D1374" t="inlineStr">
        <is>
          <t>Pachalum</t>
        </is>
      </c>
      <c r="F1374" t="inlineStr">
        <is>
          <t>GT14</t>
        </is>
      </c>
    </row>
    <row r="1375">
      <c r="A1375" t="inlineStr">
        <is>
          <t>admin2</t>
        </is>
      </c>
      <c r="B1375" t="inlineStr">
        <is>
          <t>GT1501</t>
        </is>
      </c>
      <c r="C1375" t="inlineStr">
        <is>
          <t>Salamá</t>
        </is>
      </c>
      <c r="D1375" t="inlineStr">
        <is>
          <t>Salamá</t>
        </is>
      </c>
      <c r="F1375" t="inlineStr">
        <is>
          <t>GT15</t>
        </is>
      </c>
    </row>
    <row r="1376">
      <c r="A1376" t="inlineStr">
        <is>
          <t>admin2</t>
        </is>
      </c>
      <c r="B1376" t="inlineStr">
        <is>
          <t>GT1502</t>
        </is>
      </c>
      <c r="C1376" t="inlineStr">
        <is>
          <t>San Miguel Chicaj</t>
        </is>
      </c>
      <c r="D1376" t="inlineStr">
        <is>
          <t>San Miguel Chicaj</t>
        </is>
      </c>
      <c r="F1376" t="inlineStr">
        <is>
          <t>GT15</t>
        </is>
      </c>
    </row>
    <row r="1377">
      <c r="A1377" t="inlineStr">
        <is>
          <t>admin2</t>
        </is>
      </c>
      <c r="B1377" t="inlineStr">
        <is>
          <t>GT1503</t>
        </is>
      </c>
      <c r="C1377" t="inlineStr">
        <is>
          <t>Rabinal</t>
        </is>
      </c>
      <c r="D1377" t="inlineStr">
        <is>
          <t>Rabinal</t>
        </is>
      </c>
      <c r="F1377" t="inlineStr">
        <is>
          <t>GT15</t>
        </is>
      </c>
    </row>
    <row r="1378">
      <c r="A1378" t="inlineStr">
        <is>
          <t>admin2</t>
        </is>
      </c>
      <c r="B1378" t="inlineStr">
        <is>
          <t>GT1504</t>
        </is>
      </c>
      <c r="C1378" t="inlineStr">
        <is>
          <t>Cubulco</t>
        </is>
      </c>
      <c r="D1378" t="inlineStr">
        <is>
          <t>Cubulco</t>
        </is>
      </c>
      <c r="F1378" t="inlineStr">
        <is>
          <t>GT15</t>
        </is>
      </c>
    </row>
    <row r="1379">
      <c r="A1379" t="inlineStr">
        <is>
          <t>admin2</t>
        </is>
      </c>
      <c r="B1379" t="inlineStr">
        <is>
          <t>GT1505</t>
        </is>
      </c>
      <c r="C1379" t="inlineStr">
        <is>
          <t>Granados</t>
        </is>
      </c>
      <c r="D1379" t="inlineStr">
        <is>
          <t>Granados</t>
        </is>
      </c>
      <c r="F1379" t="inlineStr">
        <is>
          <t>GT15</t>
        </is>
      </c>
    </row>
    <row r="1380">
      <c r="A1380" t="inlineStr">
        <is>
          <t>admin2</t>
        </is>
      </c>
      <c r="B1380" t="inlineStr">
        <is>
          <t>GT1506</t>
        </is>
      </c>
      <c r="C1380" t="inlineStr">
        <is>
          <t>El Chol</t>
        </is>
      </c>
      <c r="D1380" t="inlineStr">
        <is>
          <t>El Chol</t>
        </is>
      </c>
      <c r="F1380" t="inlineStr">
        <is>
          <t>GT15</t>
        </is>
      </c>
    </row>
    <row r="1381">
      <c r="A1381" t="inlineStr">
        <is>
          <t>admin2</t>
        </is>
      </c>
      <c r="B1381" t="inlineStr">
        <is>
          <t>GT1507</t>
        </is>
      </c>
      <c r="C1381" t="inlineStr">
        <is>
          <t>San Jerónimo</t>
        </is>
      </c>
      <c r="D1381" t="inlineStr">
        <is>
          <t>San Jerónimo</t>
        </is>
      </c>
      <c r="F1381" t="inlineStr">
        <is>
          <t>GT15</t>
        </is>
      </c>
    </row>
    <row r="1382">
      <c r="A1382" t="inlineStr">
        <is>
          <t>admin2</t>
        </is>
      </c>
      <c r="B1382" t="inlineStr">
        <is>
          <t>GT1508</t>
        </is>
      </c>
      <c r="C1382" t="inlineStr">
        <is>
          <t>Purulhá</t>
        </is>
      </c>
      <c r="D1382" t="inlineStr">
        <is>
          <t>Purulhá</t>
        </is>
      </c>
      <c r="F1382" t="inlineStr">
        <is>
          <t>GT15</t>
        </is>
      </c>
    </row>
    <row r="1383">
      <c r="A1383" t="inlineStr">
        <is>
          <t>admin2</t>
        </is>
      </c>
      <c r="B1383" t="inlineStr">
        <is>
          <t>GT1601</t>
        </is>
      </c>
      <c r="C1383" t="inlineStr">
        <is>
          <t>Cobán</t>
        </is>
      </c>
      <c r="D1383" t="inlineStr">
        <is>
          <t>Cobán</t>
        </is>
      </c>
      <c r="F1383" t="inlineStr">
        <is>
          <t>GT16</t>
        </is>
      </c>
    </row>
    <row r="1384">
      <c r="A1384" t="inlineStr">
        <is>
          <t>admin2</t>
        </is>
      </c>
      <c r="B1384" t="inlineStr">
        <is>
          <t>GT1602</t>
        </is>
      </c>
      <c r="C1384" t="inlineStr">
        <is>
          <t>Santa Cruz Verapaz</t>
        </is>
      </c>
      <c r="D1384" t="inlineStr">
        <is>
          <t>Santa Cruz Verapaz</t>
        </is>
      </c>
      <c r="F1384" t="inlineStr">
        <is>
          <t>GT16</t>
        </is>
      </c>
    </row>
    <row r="1385">
      <c r="A1385" t="inlineStr">
        <is>
          <t>admin2</t>
        </is>
      </c>
      <c r="B1385" t="inlineStr">
        <is>
          <t>GT1603</t>
        </is>
      </c>
      <c r="C1385" t="inlineStr">
        <is>
          <t>San Cristóbal Verapaz</t>
        </is>
      </c>
      <c r="D1385" t="inlineStr">
        <is>
          <t>San Cristóbal Verapaz</t>
        </is>
      </c>
      <c r="F1385" t="inlineStr">
        <is>
          <t>GT16</t>
        </is>
      </c>
    </row>
    <row r="1386">
      <c r="A1386" t="inlineStr">
        <is>
          <t>admin2</t>
        </is>
      </c>
      <c r="B1386" t="inlineStr">
        <is>
          <t>GT1604</t>
        </is>
      </c>
      <c r="C1386" t="inlineStr">
        <is>
          <t>Tactic</t>
        </is>
      </c>
      <c r="D1386" t="inlineStr">
        <is>
          <t>Tactic</t>
        </is>
      </c>
      <c r="F1386" t="inlineStr">
        <is>
          <t>GT16</t>
        </is>
      </c>
    </row>
    <row r="1387">
      <c r="A1387" t="inlineStr">
        <is>
          <t>admin2</t>
        </is>
      </c>
      <c r="B1387" t="inlineStr">
        <is>
          <t>GT1605</t>
        </is>
      </c>
      <c r="C1387" t="inlineStr">
        <is>
          <t>Tamahú</t>
        </is>
      </c>
      <c r="D1387" t="inlineStr">
        <is>
          <t>Tamahú</t>
        </is>
      </c>
      <c r="F1387" t="inlineStr">
        <is>
          <t>GT16</t>
        </is>
      </c>
    </row>
    <row r="1388">
      <c r="A1388" t="inlineStr">
        <is>
          <t>admin2</t>
        </is>
      </c>
      <c r="B1388" t="inlineStr">
        <is>
          <t>GT1606</t>
        </is>
      </c>
      <c r="C1388" t="inlineStr">
        <is>
          <t>Tucurú</t>
        </is>
      </c>
      <c r="D1388" t="inlineStr">
        <is>
          <t>Tucurú</t>
        </is>
      </c>
      <c r="F1388" t="inlineStr">
        <is>
          <t>GT16</t>
        </is>
      </c>
    </row>
    <row r="1389">
      <c r="A1389" t="inlineStr">
        <is>
          <t>admin2</t>
        </is>
      </c>
      <c r="B1389" t="inlineStr">
        <is>
          <t>GT1607</t>
        </is>
      </c>
      <c r="C1389" t="inlineStr">
        <is>
          <t>Panzós</t>
        </is>
      </c>
      <c r="D1389" t="inlineStr">
        <is>
          <t>Panzós</t>
        </is>
      </c>
      <c r="F1389" t="inlineStr">
        <is>
          <t>GT16</t>
        </is>
      </c>
    </row>
    <row r="1390">
      <c r="A1390" t="inlineStr">
        <is>
          <t>admin2</t>
        </is>
      </c>
      <c r="B1390" t="inlineStr">
        <is>
          <t>GT1608</t>
        </is>
      </c>
      <c r="C1390" t="inlineStr">
        <is>
          <t>Senahú</t>
        </is>
      </c>
      <c r="D1390" t="inlineStr">
        <is>
          <t>Senahú</t>
        </is>
      </c>
      <c r="F1390" t="inlineStr">
        <is>
          <t>GT16</t>
        </is>
      </c>
    </row>
    <row r="1391">
      <c r="A1391" t="inlineStr">
        <is>
          <t>admin2</t>
        </is>
      </c>
      <c r="B1391" t="inlineStr">
        <is>
          <t>GT1609</t>
        </is>
      </c>
      <c r="C1391" t="inlineStr">
        <is>
          <t>San Pedro Carchá</t>
        </is>
      </c>
      <c r="D1391" t="inlineStr">
        <is>
          <t>San Pedro Carchá</t>
        </is>
      </c>
      <c r="F1391" t="inlineStr">
        <is>
          <t>GT16</t>
        </is>
      </c>
    </row>
    <row r="1392">
      <c r="A1392" t="inlineStr">
        <is>
          <t>admin2</t>
        </is>
      </c>
      <c r="B1392" t="inlineStr">
        <is>
          <t>GT1610</t>
        </is>
      </c>
      <c r="C1392" t="inlineStr">
        <is>
          <t>San Juan Chamelco</t>
        </is>
      </c>
      <c r="D1392" t="inlineStr">
        <is>
          <t>San Juan Chamelco</t>
        </is>
      </c>
      <c r="F1392" t="inlineStr">
        <is>
          <t>GT16</t>
        </is>
      </c>
    </row>
    <row r="1393">
      <c r="A1393" t="inlineStr">
        <is>
          <t>admin2</t>
        </is>
      </c>
      <c r="B1393" t="inlineStr">
        <is>
          <t>GT1611</t>
        </is>
      </c>
      <c r="C1393" t="inlineStr">
        <is>
          <t>Lanquín</t>
        </is>
      </c>
      <c r="D1393" t="inlineStr">
        <is>
          <t>Lanquín</t>
        </is>
      </c>
      <c r="F1393" t="inlineStr">
        <is>
          <t>GT16</t>
        </is>
      </c>
    </row>
    <row r="1394">
      <c r="A1394" t="inlineStr">
        <is>
          <t>admin2</t>
        </is>
      </c>
      <c r="B1394" t="inlineStr">
        <is>
          <t>GT1612</t>
        </is>
      </c>
      <c r="C1394" t="inlineStr">
        <is>
          <t>Cahabón</t>
        </is>
      </c>
      <c r="D1394" t="inlineStr">
        <is>
          <t>Cahabón</t>
        </is>
      </c>
      <c r="F1394" t="inlineStr">
        <is>
          <t>GT16</t>
        </is>
      </c>
    </row>
    <row r="1395">
      <c r="A1395" t="inlineStr">
        <is>
          <t>admin2</t>
        </is>
      </c>
      <c r="B1395" t="inlineStr">
        <is>
          <t>GT1613</t>
        </is>
      </c>
      <c r="C1395" t="inlineStr">
        <is>
          <t>Chisec</t>
        </is>
      </c>
      <c r="D1395" t="inlineStr">
        <is>
          <t>Chisec</t>
        </is>
      </c>
      <c r="F1395" t="inlineStr">
        <is>
          <t>GT16</t>
        </is>
      </c>
    </row>
    <row r="1396">
      <c r="A1396" t="inlineStr">
        <is>
          <t>admin2</t>
        </is>
      </c>
      <c r="B1396" t="inlineStr">
        <is>
          <t>GT1614</t>
        </is>
      </c>
      <c r="C1396" t="inlineStr">
        <is>
          <t>Chahal</t>
        </is>
      </c>
      <c r="D1396" t="inlineStr">
        <is>
          <t>Chahal</t>
        </is>
      </c>
      <c r="F1396" t="inlineStr">
        <is>
          <t>GT16</t>
        </is>
      </c>
    </row>
    <row r="1397">
      <c r="A1397" t="inlineStr">
        <is>
          <t>admin2</t>
        </is>
      </c>
      <c r="B1397" t="inlineStr">
        <is>
          <t>GT1615</t>
        </is>
      </c>
      <c r="C1397" t="inlineStr">
        <is>
          <t>Fray Bartolomé de Las Casas</t>
        </is>
      </c>
      <c r="D1397" t="inlineStr">
        <is>
          <t>Fray Bartolomé de Las Casas</t>
        </is>
      </c>
      <c r="F1397" t="inlineStr">
        <is>
          <t>GT16</t>
        </is>
      </c>
    </row>
    <row r="1398">
      <c r="A1398" t="inlineStr">
        <is>
          <t>admin2</t>
        </is>
      </c>
      <c r="B1398" t="inlineStr">
        <is>
          <t>GT1616</t>
        </is>
      </c>
      <c r="C1398" t="inlineStr">
        <is>
          <t>Santa Catalina La Tinta</t>
        </is>
      </c>
      <c r="D1398" t="inlineStr">
        <is>
          <t>Santa Catalina La Tinta</t>
        </is>
      </c>
      <c r="F1398" t="inlineStr">
        <is>
          <t>GT16</t>
        </is>
      </c>
    </row>
    <row r="1399">
      <c r="A1399" t="inlineStr">
        <is>
          <t>admin2</t>
        </is>
      </c>
      <c r="B1399" t="inlineStr">
        <is>
          <t>GT1617</t>
        </is>
      </c>
      <c r="C1399" t="inlineStr">
        <is>
          <t>Raxruhá</t>
        </is>
      </c>
      <c r="D1399" t="inlineStr">
        <is>
          <t>Raxruhá</t>
        </is>
      </c>
      <c r="F1399" t="inlineStr">
        <is>
          <t>GT16</t>
        </is>
      </c>
    </row>
    <row r="1400">
      <c r="A1400" t="inlineStr">
        <is>
          <t>admin2</t>
        </is>
      </c>
      <c r="B1400" t="inlineStr">
        <is>
          <t>GT1701</t>
        </is>
      </c>
      <c r="C1400" t="inlineStr">
        <is>
          <t>Flores</t>
        </is>
      </c>
      <c r="D1400" t="inlineStr">
        <is>
          <t>Flores</t>
        </is>
      </c>
      <c r="F1400" t="inlineStr">
        <is>
          <t>GT17</t>
        </is>
      </c>
    </row>
    <row r="1401">
      <c r="A1401" t="inlineStr">
        <is>
          <t>admin2</t>
        </is>
      </c>
      <c r="B1401" t="inlineStr">
        <is>
          <t>GT1702</t>
        </is>
      </c>
      <c r="C1401" t="inlineStr">
        <is>
          <t>San José</t>
        </is>
      </c>
      <c r="D1401" t="inlineStr">
        <is>
          <t>San José</t>
        </is>
      </c>
      <c r="F1401" t="inlineStr">
        <is>
          <t>GT17</t>
        </is>
      </c>
    </row>
    <row r="1402">
      <c r="A1402" t="inlineStr">
        <is>
          <t>admin2</t>
        </is>
      </c>
      <c r="B1402" t="inlineStr">
        <is>
          <t>GT1703</t>
        </is>
      </c>
      <c r="C1402" t="inlineStr">
        <is>
          <t>San Benito</t>
        </is>
      </c>
      <c r="D1402" t="inlineStr">
        <is>
          <t>San Benito</t>
        </is>
      </c>
      <c r="F1402" t="inlineStr">
        <is>
          <t>GT17</t>
        </is>
      </c>
    </row>
    <row r="1403">
      <c r="A1403" t="inlineStr">
        <is>
          <t>admin2</t>
        </is>
      </c>
      <c r="B1403" t="inlineStr">
        <is>
          <t>GT1704</t>
        </is>
      </c>
      <c r="C1403" t="inlineStr">
        <is>
          <t>San Andrés</t>
        </is>
      </c>
      <c r="D1403" t="inlineStr">
        <is>
          <t>San Andrés</t>
        </is>
      </c>
      <c r="F1403" t="inlineStr">
        <is>
          <t>GT17</t>
        </is>
      </c>
    </row>
    <row r="1404">
      <c r="A1404" t="inlineStr">
        <is>
          <t>admin2</t>
        </is>
      </c>
      <c r="B1404" t="inlineStr">
        <is>
          <t>GT1705</t>
        </is>
      </c>
      <c r="C1404" t="inlineStr">
        <is>
          <t>La Libertad</t>
        </is>
      </c>
      <c r="D1404" t="inlineStr">
        <is>
          <t>La Libertad</t>
        </is>
      </c>
      <c r="F1404" t="inlineStr">
        <is>
          <t>GT17</t>
        </is>
      </c>
    </row>
    <row r="1405">
      <c r="A1405" t="inlineStr">
        <is>
          <t>admin2</t>
        </is>
      </c>
      <c r="B1405" t="inlineStr">
        <is>
          <t>GT1706</t>
        </is>
      </c>
      <c r="C1405" t="inlineStr">
        <is>
          <t>San Francisco</t>
        </is>
      </c>
      <c r="D1405" t="inlineStr">
        <is>
          <t>San Francisco</t>
        </is>
      </c>
      <c r="F1405" t="inlineStr">
        <is>
          <t>GT17</t>
        </is>
      </c>
    </row>
    <row r="1406">
      <c r="A1406" t="inlineStr">
        <is>
          <t>admin2</t>
        </is>
      </c>
      <c r="B1406" t="inlineStr">
        <is>
          <t>GT1707</t>
        </is>
      </c>
      <c r="C1406" t="inlineStr">
        <is>
          <t>Santa Ana</t>
        </is>
      </c>
      <c r="D1406" t="inlineStr">
        <is>
          <t>Santa Ana</t>
        </is>
      </c>
      <c r="F1406" t="inlineStr">
        <is>
          <t>GT17</t>
        </is>
      </c>
    </row>
    <row r="1407">
      <c r="A1407" t="inlineStr">
        <is>
          <t>admin2</t>
        </is>
      </c>
      <c r="B1407" t="inlineStr">
        <is>
          <t>GT1708</t>
        </is>
      </c>
      <c r="C1407" t="inlineStr">
        <is>
          <t>Dolores</t>
        </is>
      </c>
      <c r="D1407" t="inlineStr">
        <is>
          <t>Dolores</t>
        </is>
      </c>
      <c r="F1407" t="inlineStr">
        <is>
          <t>GT17</t>
        </is>
      </c>
    </row>
    <row r="1408">
      <c r="A1408" t="inlineStr">
        <is>
          <t>admin2</t>
        </is>
      </c>
      <c r="B1408" t="inlineStr">
        <is>
          <t>GT1709</t>
        </is>
      </c>
      <c r="C1408" t="inlineStr">
        <is>
          <t>San Luis</t>
        </is>
      </c>
      <c r="D1408" t="inlineStr">
        <is>
          <t>San Luis</t>
        </is>
      </c>
      <c r="F1408" t="inlineStr">
        <is>
          <t>GT17</t>
        </is>
      </c>
    </row>
    <row r="1409">
      <c r="A1409" t="inlineStr">
        <is>
          <t>admin2</t>
        </is>
      </c>
      <c r="B1409" t="inlineStr">
        <is>
          <t>GT1710</t>
        </is>
      </c>
      <c r="C1409" t="inlineStr">
        <is>
          <t>Sayaxché</t>
        </is>
      </c>
      <c r="D1409" t="inlineStr">
        <is>
          <t>Sayaxché</t>
        </is>
      </c>
      <c r="F1409" t="inlineStr">
        <is>
          <t>GT17</t>
        </is>
      </c>
    </row>
    <row r="1410">
      <c r="A1410" t="inlineStr">
        <is>
          <t>admin2</t>
        </is>
      </c>
      <c r="B1410" t="inlineStr">
        <is>
          <t>GT1711</t>
        </is>
      </c>
      <c r="C1410" t="inlineStr">
        <is>
          <t>Melchor de Mencos</t>
        </is>
      </c>
      <c r="D1410" t="inlineStr">
        <is>
          <t>Melchor de Mencos</t>
        </is>
      </c>
      <c r="F1410" t="inlineStr">
        <is>
          <t>GT17</t>
        </is>
      </c>
    </row>
    <row r="1411">
      <c r="A1411" t="inlineStr">
        <is>
          <t>admin2</t>
        </is>
      </c>
      <c r="B1411" t="inlineStr">
        <is>
          <t>GT1712</t>
        </is>
      </c>
      <c r="C1411" t="inlineStr">
        <is>
          <t>Poptún</t>
        </is>
      </c>
      <c r="D1411" t="inlineStr">
        <is>
          <t>Poptún</t>
        </is>
      </c>
      <c r="F1411" t="inlineStr">
        <is>
          <t>GT17</t>
        </is>
      </c>
    </row>
    <row r="1412">
      <c r="A1412" t="inlineStr">
        <is>
          <t>admin2</t>
        </is>
      </c>
      <c r="B1412" t="inlineStr">
        <is>
          <t>GT1713</t>
        </is>
      </c>
      <c r="C1412" t="inlineStr">
        <is>
          <t>Las Cruces</t>
        </is>
      </c>
      <c r="D1412" t="inlineStr">
        <is>
          <t>Las Cruces</t>
        </is>
      </c>
      <c r="F1412" t="inlineStr">
        <is>
          <t>GT17</t>
        </is>
      </c>
    </row>
    <row r="1413">
      <c r="A1413" t="inlineStr">
        <is>
          <t>admin2</t>
        </is>
      </c>
      <c r="B1413" t="inlineStr">
        <is>
          <t>GT1714</t>
        </is>
      </c>
      <c r="C1413" t="inlineStr">
        <is>
          <t>El Chal</t>
        </is>
      </c>
      <c r="D1413" t="inlineStr">
        <is>
          <t>El Chal</t>
        </is>
      </c>
      <c r="F1413" t="inlineStr">
        <is>
          <t>GT17</t>
        </is>
      </c>
    </row>
    <row r="1414">
      <c r="A1414" t="inlineStr">
        <is>
          <t>admin2</t>
        </is>
      </c>
      <c r="B1414" t="inlineStr">
        <is>
          <t>GT1801</t>
        </is>
      </c>
      <c r="C1414" t="inlineStr">
        <is>
          <t>Puerto Barrios</t>
        </is>
      </c>
      <c r="D1414" t="inlineStr">
        <is>
          <t>Puerto Barrios</t>
        </is>
      </c>
      <c r="F1414" t="inlineStr">
        <is>
          <t>GT18</t>
        </is>
      </c>
    </row>
    <row r="1415">
      <c r="A1415" t="inlineStr">
        <is>
          <t>admin2</t>
        </is>
      </c>
      <c r="B1415" t="inlineStr">
        <is>
          <t>GT1802</t>
        </is>
      </c>
      <c r="C1415" t="inlineStr">
        <is>
          <t>Lívingston</t>
        </is>
      </c>
      <c r="D1415" t="inlineStr">
        <is>
          <t>Lívingston</t>
        </is>
      </c>
      <c r="F1415" t="inlineStr">
        <is>
          <t>GT18</t>
        </is>
      </c>
    </row>
    <row r="1416">
      <c r="A1416" t="inlineStr">
        <is>
          <t>admin2</t>
        </is>
      </c>
      <c r="B1416" t="inlineStr">
        <is>
          <t>GT1803</t>
        </is>
      </c>
      <c r="C1416" t="inlineStr">
        <is>
          <t>El Estor</t>
        </is>
      </c>
      <c r="D1416" t="inlineStr">
        <is>
          <t>El Estor</t>
        </is>
      </c>
      <c r="F1416" t="inlineStr">
        <is>
          <t>GT18</t>
        </is>
      </c>
    </row>
    <row r="1417">
      <c r="A1417" t="inlineStr">
        <is>
          <t>admin2</t>
        </is>
      </c>
      <c r="B1417" t="inlineStr">
        <is>
          <t>GT1804</t>
        </is>
      </c>
      <c r="C1417" t="inlineStr">
        <is>
          <t>Morales</t>
        </is>
      </c>
      <c r="D1417" t="inlineStr">
        <is>
          <t>Morales</t>
        </is>
      </c>
      <c r="F1417" t="inlineStr">
        <is>
          <t>GT18</t>
        </is>
      </c>
    </row>
    <row r="1418">
      <c r="A1418" t="inlineStr">
        <is>
          <t>admin2</t>
        </is>
      </c>
      <c r="B1418" t="inlineStr">
        <is>
          <t>GT1805</t>
        </is>
      </c>
      <c r="C1418" t="inlineStr">
        <is>
          <t>Los Amates</t>
        </is>
      </c>
      <c r="D1418" t="inlineStr">
        <is>
          <t>Los Amates</t>
        </is>
      </c>
      <c r="F1418" t="inlineStr">
        <is>
          <t>GT18</t>
        </is>
      </c>
    </row>
    <row r="1419">
      <c r="A1419" t="inlineStr">
        <is>
          <t>admin2</t>
        </is>
      </c>
      <c r="B1419" t="inlineStr">
        <is>
          <t>GT1901</t>
        </is>
      </c>
      <c r="C1419" t="inlineStr">
        <is>
          <t>Zacapa</t>
        </is>
      </c>
      <c r="D1419" t="inlineStr">
        <is>
          <t>Zacapa</t>
        </is>
      </c>
      <c r="F1419" t="inlineStr">
        <is>
          <t>GT19</t>
        </is>
      </c>
    </row>
    <row r="1420">
      <c r="A1420" t="inlineStr">
        <is>
          <t>admin2</t>
        </is>
      </c>
      <c r="B1420" t="inlineStr">
        <is>
          <t>GT1902</t>
        </is>
      </c>
      <c r="C1420" t="inlineStr">
        <is>
          <t>Estanzuela</t>
        </is>
      </c>
      <c r="D1420" t="inlineStr">
        <is>
          <t>Estanzuela</t>
        </is>
      </c>
      <c r="F1420" t="inlineStr">
        <is>
          <t>GT19</t>
        </is>
      </c>
    </row>
    <row r="1421">
      <c r="A1421" t="inlineStr">
        <is>
          <t>admin2</t>
        </is>
      </c>
      <c r="B1421" t="inlineStr">
        <is>
          <t>GT1903</t>
        </is>
      </c>
      <c r="C1421" t="inlineStr">
        <is>
          <t>Río Hondo</t>
        </is>
      </c>
      <c r="D1421" t="inlineStr">
        <is>
          <t>Río Hondo</t>
        </is>
      </c>
      <c r="F1421" t="inlineStr">
        <is>
          <t>GT19</t>
        </is>
      </c>
    </row>
    <row r="1422">
      <c r="A1422" t="inlineStr">
        <is>
          <t>admin2</t>
        </is>
      </c>
      <c r="B1422" t="inlineStr">
        <is>
          <t>GT1904</t>
        </is>
      </c>
      <c r="C1422" t="inlineStr">
        <is>
          <t>Gualán</t>
        </is>
      </c>
      <c r="D1422" t="inlineStr">
        <is>
          <t>Gualán</t>
        </is>
      </c>
      <c r="F1422" t="inlineStr">
        <is>
          <t>GT19</t>
        </is>
      </c>
    </row>
    <row r="1423">
      <c r="A1423" t="inlineStr">
        <is>
          <t>admin2</t>
        </is>
      </c>
      <c r="B1423" t="inlineStr">
        <is>
          <t>GT1905</t>
        </is>
      </c>
      <c r="C1423" t="inlineStr">
        <is>
          <t>Teculután</t>
        </is>
      </c>
      <c r="D1423" t="inlineStr">
        <is>
          <t>Teculután</t>
        </is>
      </c>
      <c r="F1423" t="inlineStr">
        <is>
          <t>GT19</t>
        </is>
      </c>
    </row>
    <row r="1424">
      <c r="A1424" t="inlineStr">
        <is>
          <t>admin2</t>
        </is>
      </c>
      <c r="B1424" t="inlineStr">
        <is>
          <t>GT1906</t>
        </is>
      </c>
      <c r="C1424" t="inlineStr">
        <is>
          <t>Usumatlán</t>
        </is>
      </c>
      <c r="D1424" t="inlineStr">
        <is>
          <t>Usumatlán</t>
        </is>
      </c>
      <c r="F1424" t="inlineStr">
        <is>
          <t>GT19</t>
        </is>
      </c>
    </row>
    <row r="1425">
      <c r="A1425" t="inlineStr">
        <is>
          <t>admin2</t>
        </is>
      </c>
      <c r="B1425" t="inlineStr">
        <is>
          <t>GT1907</t>
        </is>
      </c>
      <c r="C1425" t="inlineStr">
        <is>
          <t>Cabañas</t>
        </is>
      </c>
      <c r="D1425" t="inlineStr">
        <is>
          <t>Cabañas</t>
        </is>
      </c>
      <c r="F1425" t="inlineStr">
        <is>
          <t>GT19</t>
        </is>
      </c>
    </row>
    <row r="1426">
      <c r="A1426" t="inlineStr">
        <is>
          <t>admin2</t>
        </is>
      </c>
      <c r="B1426" t="inlineStr">
        <is>
          <t>GT1908</t>
        </is>
      </c>
      <c r="C1426" t="inlineStr">
        <is>
          <t>San Diego</t>
        </is>
      </c>
      <c r="D1426" t="inlineStr">
        <is>
          <t>San Diego</t>
        </is>
      </c>
      <c r="F1426" t="inlineStr">
        <is>
          <t>GT19</t>
        </is>
      </c>
    </row>
    <row r="1427">
      <c r="A1427" t="inlineStr">
        <is>
          <t>admin2</t>
        </is>
      </c>
      <c r="B1427" t="inlineStr">
        <is>
          <t>GT1909</t>
        </is>
      </c>
      <c r="C1427" t="inlineStr">
        <is>
          <t>La Unión</t>
        </is>
      </c>
      <c r="D1427" t="inlineStr">
        <is>
          <t>La Unión</t>
        </is>
      </c>
      <c r="F1427" t="inlineStr">
        <is>
          <t>GT19</t>
        </is>
      </c>
    </row>
    <row r="1428">
      <c r="A1428" t="inlineStr">
        <is>
          <t>admin2</t>
        </is>
      </c>
      <c r="B1428" t="inlineStr">
        <is>
          <t>GT1910</t>
        </is>
      </c>
      <c r="C1428" t="inlineStr">
        <is>
          <t>Huité</t>
        </is>
      </c>
      <c r="D1428" t="inlineStr">
        <is>
          <t>Huité</t>
        </is>
      </c>
      <c r="F1428" t="inlineStr">
        <is>
          <t>GT19</t>
        </is>
      </c>
    </row>
    <row r="1429">
      <c r="A1429" t="inlineStr">
        <is>
          <t>admin2</t>
        </is>
      </c>
      <c r="B1429" t="inlineStr">
        <is>
          <t>GT1911</t>
        </is>
      </c>
      <c r="C1429" t="inlineStr">
        <is>
          <t>San Jorge</t>
        </is>
      </c>
      <c r="D1429" t="inlineStr">
        <is>
          <t>San Jorge</t>
        </is>
      </c>
      <c r="F1429" t="inlineStr">
        <is>
          <t>GT19</t>
        </is>
      </c>
    </row>
    <row r="1430">
      <c r="A1430" t="inlineStr">
        <is>
          <t>admin2</t>
        </is>
      </c>
      <c r="B1430" t="inlineStr">
        <is>
          <t>GT2001</t>
        </is>
      </c>
      <c r="C1430" t="inlineStr">
        <is>
          <t>Chiquimula</t>
        </is>
      </c>
      <c r="D1430" t="inlineStr">
        <is>
          <t>Chiquimula</t>
        </is>
      </c>
      <c r="F1430" t="inlineStr">
        <is>
          <t>GT20</t>
        </is>
      </c>
    </row>
    <row r="1431">
      <c r="A1431" t="inlineStr">
        <is>
          <t>admin2</t>
        </is>
      </c>
      <c r="B1431" t="inlineStr">
        <is>
          <t>GT2002</t>
        </is>
      </c>
      <c r="C1431" t="inlineStr">
        <is>
          <t>San José La Arada</t>
        </is>
      </c>
      <c r="D1431" t="inlineStr">
        <is>
          <t>San José La Arada</t>
        </is>
      </c>
      <c r="F1431" t="inlineStr">
        <is>
          <t>GT20</t>
        </is>
      </c>
    </row>
    <row r="1432">
      <c r="A1432" t="inlineStr">
        <is>
          <t>admin2</t>
        </is>
      </c>
      <c r="B1432" t="inlineStr">
        <is>
          <t>GT2003</t>
        </is>
      </c>
      <c r="C1432" t="inlineStr">
        <is>
          <t>San Juan Ermita</t>
        </is>
      </c>
      <c r="D1432" t="inlineStr">
        <is>
          <t>San Juan Ermita</t>
        </is>
      </c>
      <c r="F1432" t="inlineStr">
        <is>
          <t>GT20</t>
        </is>
      </c>
    </row>
    <row r="1433">
      <c r="A1433" t="inlineStr">
        <is>
          <t>admin2</t>
        </is>
      </c>
      <c r="B1433" t="inlineStr">
        <is>
          <t>GT2004</t>
        </is>
      </c>
      <c r="C1433" t="inlineStr">
        <is>
          <t>Jocotán</t>
        </is>
      </c>
      <c r="D1433" t="inlineStr">
        <is>
          <t>Jocotán</t>
        </is>
      </c>
      <c r="F1433" t="inlineStr">
        <is>
          <t>GT20</t>
        </is>
      </c>
    </row>
    <row r="1434">
      <c r="A1434" t="inlineStr">
        <is>
          <t>admin2</t>
        </is>
      </c>
      <c r="B1434" t="inlineStr">
        <is>
          <t>GT2005</t>
        </is>
      </c>
      <c r="C1434" t="inlineStr">
        <is>
          <t>Camotán</t>
        </is>
      </c>
      <c r="D1434" t="inlineStr">
        <is>
          <t>Camotán</t>
        </is>
      </c>
      <c r="F1434" t="inlineStr">
        <is>
          <t>GT20</t>
        </is>
      </c>
    </row>
    <row r="1435">
      <c r="A1435" t="inlineStr">
        <is>
          <t>admin2</t>
        </is>
      </c>
      <c r="B1435" t="inlineStr">
        <is>
          <t>GT2006</t>
        </is>
      </c>
      <c r="C1435" t="inlineStr">
        <is>
          <t>Olopa</t>
        </is>
      </c>
      <c r="D1435" t="inlineStr">
        <is>
          <t>Olopa</t>
        </is>
      </c>
      <c r="F1435" t="inlineStr">
        <is>
          <t>GT20</t>
        </is>
      </c>
    </row>
    <row r="1436">
      <c r="A1436" t="inlineStr">
        <is>
          <t>admin2</t>
        </is>
      </c>
      <c r="B1436" t="inlineStr">
        <is>
          <t>GT2007</t>
        </is>
      </c>
      <c r="C1436" t="inlineStr">
        <is>
          <t>Esquipulas</t>
        </is>
      </c>
      <c r="D1436" t="inlineStr">
        <is>
          <t>Esquipulas</t>
        </is>
      </c>
      <c r="F1436" t="inlineStr">
        <is>
          <t>GT20</t>
        </is>
      </c>
    </row>
    <row r="1437">
      <c r="A1437" t="inlineStr">
        <is>
          <t>admin2</t>
        </is>
      </c>
      <c r="B1437" t="inlineStr">
        <is>
          <t>GT2008</t>
        </is>
      </c>
      <c r="C1437" t="inlineStr">
        <is>
          <t>Concepción Las Minas</t>
        </is>
      </c>
      <c r="D1437" t="inlineStr">
        <is>
          <t>Concepción Las Minas</t>
        </is>
      </c>
      <c r="F1437" t="inlineStr">
        <is>
          <t>GT20</t>
        </is>
      </c>
    </row>
    <row r="1438">
      <c r="A1438" t="inlineStr">
        <is>
          <t>admin2</t>
        </is>
      </c>
      <c r="B1438" t="inlineStr">
        <is>
          <t>GT2009</t>
        </is>
      </c>
      <c r="C1438" t="inlineStr">
        <is>
          <t>Quezaltepeque</t>
        </is>
      </c>
      <c r="D1438" t="inlineStr">
        <is>
          <t>Quezaltepeque</t>
        </is>
      </c>
      <c r="F1438" t="inlineStr">
        <is>
          <t>GT20</t>
        </is>
      </c>
    </row>
    <row r="1439">
      <c r="A1439" t="inlineStr">
        <is>
          <t>admin2</t>
        </is>
      </c>
      <c r="B1439" t="inlineStr">
        <is>
          <t>GT2010</t>
        </is>
      </c>
      <c r="C1439" t="inlineStr">
        <is>
          <t>San Jacinto</t>
        </is>
      </c>
      <c r="D1439" t="inlineStr">
        <is>
          <t>San Jacinto</t>
        </is>
      </c>
      <c r="F1439" t="inlineStr">
        <is>
          <t>GT20</t>
        </is>
      </c>
    </row>
    <row r="1440">
      <c r="A1440" t="inlineStr">
        <is>
          <t>admin2</t>
        </is>
      </c>
      <c r="B1440" t="inlineStr">
        <is>
          <t>GT2011</t>
        </is>
      </c>
      <c r="C1440" t="inlineStr">
        <is>
          <t>Ipala</t>
        </is>
      </c>
      <c r="D1440" t="inlineStr">
        <is>
          <t>Ipala</t>
        </is>
      </c>
      <c r="F1440" t="inlineStr">
        <is>
          <t>GT20</t>
        </is>
      </c>
    </row>
    <row r="1441">
      <c r="A1441" t="inlineStr">
        <is>
          <t>admin2</t>
        </is>
      </c>
      <c r="B1441" t="inlineStr">
        <is>
          <t>GT2101</t>
        </is>
      </c>
      <c r="C1441" t="inlineStr">
        <is>
          <t>Jalapa</t>
        </is>
      </c>
      <c r="D1441" t="inlineStr">
        <is>
          <t>Jalapa</t>
        </is>
      </c>
      <c r="F1441" t="inlineStr">
        <is>
          <t>GT21</t>
        </is>
      </c>
    </row>
    <row r="1442">
      <c r="A1442" t="inlineStr">
        <is>
          <t>admin2</t>
        </is>
      </c>
      <c r="B1442" t="inlineStr">
        <is>
          <t>GT2102</t>
        </is>
      </c>
      <c r="C1442" t="inlineStr">
        <is>
          <t>San Pedro Pinula</t>
        </is>
      </c>
      <c r="D1442" t="inlineStr">
        <is>
          <t>San Pedro Pinula</t>
        </is>
      </c>
      <c r="F1442" t="inlineStr">
        <is>
          <t>GT21</t>
        </is>
      </c>
    </row>
    <row r="1443">
      <c r="A1443" t="inlineStr">
        <is>
          <t>admin2</t>
        </is>
      </c>
      <c r="B1443" t="inlineStr">
        <is>
          <t>GT2103</t>
        </is>
      </c>
      <c r="C1443" t="inlineStr">
        <is>
          <t>San Luis Jilotepeque</t>
        </is>
      </c>
      <c r="D1443" t="inlineStr">
        <is>
          <t>San Luis Jilotepeque</t>
        </is>
      </c>
      <c r="F1443" t="inlineStr">
        <is>
          <t>GT21</t>
        </is>
      </c>
    </row>
    <row r="1444">
      <c r="A1444" t="inlineStr">
        <is>
          <t>admin2</t>
        </is>
      </c>
      <c r="B1444" t="inlineStr">
        <is>
          <t>GT2104</t>
        </is>
      </c>
      <c r="C1444" t="inlineStr">
        <is>
          <t>San Manuel Chaparrón</t>
        </is>
      </c>
      <c r="D1444" t="inlineStr">
        <is>
          <t>San Manuel Chaparrón</t>
        </is>
      </c>
      <c r="F1444" t="inlineStr">
        <is>
          <t>GT21</t>
        </is>
      </c>
    </row>
    <row r="1445">
      <c r="A1445" t="inlineStr">
        <is>
          <t>admin2</t>
        </is>
      </c>
      <c r="B1445" t="inlineStr">
        <is>
          <t>GT2105</t>
        </is>
      </c>
      <c r="C1445" t="inlineStr">
        <is>
          <t>San Carlos Alzatate</t>
        </is>
      </c>
      <c r="D1445" t="inlineStr">
        <is>
          <t>San Carlos Alzatate</t>
        </is>
      </c>
      <c r="F1445" t="inlineStr">
        <is>
          <t>GT21</t>
        </is>
      </c>
    </row>
    <row r="1446">
      <c r="A1446" t="inlineStr">
        <is>
          <t>admin2</t>
        </is>
      </c>
      <c r="B1446" t="inlineStr">
        <is>
          <t>GT2106</t>
        </is>
      </c>
      <c r="C1446" t="inlineStr">
        <is>
          <t>Monjas</t>
        </is>
      </c>
      <c r="D1446" t="inlineStr">
        <is>
          <t>Monjas</t>
        </is>
      </c>
      <c r="F1446" t="inlineStr">
        <is>
          <t>GT21</t>
        </is>
      </c>
    </row>
    <row r="1447">
      <c r="A1447" t="inlineStr">
        <is>
          <t>admin2</t>
        </is>
      </c>
      <c r="B1447" t="inlineStr">
        <is>
          <t>GT2107</t>
        </is>
      </c>
      <c r="C1447" t="inlineStr">
        <is>
          <t>Mataquescuintla</t>
        </is>
      </c>
      <c r="D1447" t="inlineStr">
        <is>
          <t>Mataquescuintla</t>
        </is>
      </c>
      <c r="F1447" t="inlineStr">
        <is>
          <t>GT21</t>
        </is>
      </c>
    </row>
    <row r="1448">
      <c r="A1448" t="inlineStr">
        <is>
          <t>admin2</t>
        </is>
      </c>
      <c r="B1448" t="inlineStr">
        <is>
          <t>GT2201</t>
        </is>
      </c>
      <c r="C1448" t="inlineStr">
        <is>
          <t>Jutiapa</t>
        </is>
      </c>
      <c r="D1448" t="inlineStr">
        <is>
          <t>Jutiapa</t>
        </is>
      </c>
      <c r="F1448" t="inlineStr">
        <is>
          <t>GT22</t>
        </is>
      </c>
    </row>
    <row r="1449">
      <c r="A1449" t="inlineStr">
        <is>
          <t>admin2</t>
        </is>
      </c>
      <c r="B1449" t="inlineStr">
        <is>
          <t>GT2202</t>
        </is>
      </c>
      <c r="C1449" t="inlineStr">
        <is>
          <t>El Progreso</t>
        </is>
      </c>
      <c r="D1449" t="inlineStr">
        <is>
          <t>El Progreso</t>
        </is>
      </c>
      <c r="F1449" t="inlineStr">
        <is>
          <t>GT22</t>
        </is>
      </c>
    </row>
    <row r="1450">
      <c r="A1450" t="inlineStr">
        <is>
          <t>admin2</t>
        </is>
      </c>
      <c r="B1450" t="inlineStr">
        <is>
          <t>GT2203</t>
        </is>
      </c>
      <c r="C1450" t="inlineStr">
        <is>
          <t>Santa Catarina Mita</t>
        </is>
      </c>
      <c r="D1450" t="inlineStr">
        <is>
          <t>Santa Catarina Mita</t>
        </is>
      </c>
      <c r="F1450" t="inlineStr">
        <is>
          <t>GT22</t>
        </is>
      </c>
    </row>
    <row r="1451">
      <c r="A1451" t="inlineStr">
        <is>
          <t>admin2</t>
        </is>
      </c>
      <c r="B1451" t="inlineStr">
        <is>
          <t>GT2204</t>
        </is>
      </c>
      <c r="C1451" t="inlineStr">
        <is>
          <t>Agua Blanca</t>
        </is>
      </c>
      <c r="D1451" t="inlineStr">
        <is>
          <t>Agua Blanca</t>
        </is>
      </c>
      <c r="F1451" t="inlineStr">
        <is>
          <t>GT22</t>
        </is>
      </c>
    </row>
    <row r="1452">
      <c r="A1452" t="inlineStr">
        <is>
          <t>admin2</t>
        </is>
      </c>
      <c r="B1452" t="inlineStr">
        <is>
          <t>GT2205</t>
        </is>
      </c>
      <c r="C1452" t="inlineStr">
        <is>
          <t>Asunción Mita</t>
        </is>
      </c>
      <c r="D1452" t="inlineStr">
        <is>
          <t>Asunción Mita</t>
        </is>
      </c>
      <c r="F1452" t="inlineStr">
        <is>
          <t>GT22</t>
        </is>
      </c>
    </row>
    <row r="1453">
      <c r="A1453" t="inlineStr">
        <is>
          <t>admin2</t>
        </is>
      </c>
      <c r="B1453" t="inlineStr">
        <is>
          <t>GT2206</t>
        </is>
      </c>
      <c r="C1453" t="inlineStr">
        <is>
          <t>Yupiltepeque</t>
        </is>
      </c>
      <c r="D1453" t="inlineStr">
        <is>
          <t>Yupiltepeque</t>
        </is>
      </c>
      <c r="F1453" t="inlineStr">
        <is>
          <t>GT22</t>
        </is>
      </c>
    </row>
    <row r="1454">
      <c r="A1454" t="inlineStr">
        <is>
          <t>admin2</t>
        </is>
      </c>
      <c r="B1454" t="inlineStr">
        <is>
          <t>GT2207</t>
        </is>
      </c>
      <c r="C1454" t="inlineStr">
        <is>
          <t>Atescatempa</t>
        </is>
      </c>
      <c r="D1454" t="inlineStr">
        <is>
          <t>Atescatempa</t>
        </is>
      </c>
      <c r="F1454" t="inlineStr">
        <is>
          <t>GT22</t>
        </is>
      </c>
    </row>
    <row r="1455">
      <c r="A1455" t="inlineStr">
        <is>
          <t>admin2</t>
        </is>
      </c>
      <c r="B1455" t="inlineStr">
        <is>
          <t>GT2208</t>
        </is>
      </c>
      <c r="C1455" t="inlineStr">
        <is>
          <t>Jerez</t>
        </is>
      </c>
      <c r="D1455" t="inlineStr">
        <is>
          <t>Jerez</t>
        </is>
      </c>
      <c r="F1455" t="inlineStr">
        <is>
          <t>GT22</t>
        </is>
      </c>
    </row>
    <row r="1456">
      <c r="A1456" t="inlineStr">
        <is>
          <t>admin2</t>
        </is>
      </c>
      <c r="B1456" t="inlineStr">
        <is>
          <t>GT2209</t>
        </is>
      </c>
      <c r="C1456" t="inlineStr">
        <is>
          <t>El Adelanto</t>
        </is>
      </c>
      <c r="D1456" t="inlineStr">
        <is>
          <t>El Adelanto</t>
        </is>
      </c>
      <c r="F1456" t="inlineStr">
        <is>
          <t>GT22</t>
        </is>
      </c>
    </row>
    <row r="1457">
      <c r="A1457" t="inlineStr">
        <is>
          <t>admin2</t>
        </is>
      </c>
      <c r="B1457" t="inlineStr">
        <is>
          <t>GT2210</t>
        </is>
      </c>
      <c r="C1457" t="inlineStr">
        <is>
          <t>Zapotitlán</t>
        </is>
      </c>
      <c r="D1457" t="inlineStr">
        <is>
          <t>Zapotitlán</t>
        </is>
      </c>
      <c r="F1457" t="inlineStr">
        <is>
          <t>GT22</t>
        </is>
      </c>
    </row>
    <row r="1458">
      <c r="A1458" t="inlineStr">
        <is>
          <t>admin2</t>
        </is>
      </c>
      <c r="B1458" t="inlineStr">
        <is>
          <t>GT2211</t>
        </is>
      </c>
      <c r="C1458" t="inlineStr">
        <is>
          <t>Comapa</t>
        </is>
      </c>
      <c r="D1458" t="inlineStr">
        <is>
          <t>Comapa</t>
        </is>
      </c>
      <c r="F1458" t="inlineStr">
        <is>
          <t>GT22</t>
        </is>
      </c>
    </row>
    <row r="1459">
      <c r="A1459" t="inlineStr">
        <is>
          <t>admin2</t>
        </is>
      </c>
      <c r="B1459" t="inlineStr">
        <is>
          <t>GT2212</t>
        </is>
      </c>
      <c r="C1459" t="inlineStr">
        <is>
          <t>Jalpatagua</t>
        </is>
      </c>
      <c r="D1459" t="inlineStr">
        <is>
          <t>Jalpatagua</t>
        </is>
      </c>
      <c r="F1459" t="inlineStr">
        <is>
          <t>GT22</t>
        </is>
      </c>
    </row>
    <row r="1460">
      <c r="A1460" t="inlineStr">
        <is>
          <t>admin2</t>
        </is>
      </c>
      <c r="B1460" t="inlineStr">
        <is>
          <t>GT2213</t>
        </is>
      </c>
      <c r="C1460" t="inlineStr">
        <is>
          <t>Conguaco</t>
        </is>
      </c>
      <c r="D1460" t="inlineStr">
        <is>
          <t>Conguaco</t>
        </is>
      </c>
      <c r="F1460" t="inlineStr">
        <is>
          <t>GT22</t>
        </is>
      </c>
    </row>
    <row r="1461">
      <c r="A1461" t="inlineStr">
        <is>
          <t>admin2</t>
        </is>
      </c>
      <c r="B1461" t="inlineStr">
        <is>
          <t>GT2214</t>
        </is>
      </c>
      <c r="C1461" t="inlineStr">
        <is>
          <t>Moyuta</t>
        </is>
      </c>
      <c r="D1461" t="inlineStr">
        <is>
          <t>Moyuta</t>
        </is>
      </c>
      <c r="F1461" t="inlineStr">
        <is>
          <t>GT22</t>
        </is>
      </c>
    </row>
    <row r="1462">
      <c r="A1462" t="inlineStr">
        <is>
          <t>admin2</t>
        </is>
      </c>
      <c r="B1462" t="inlineStr">
        <is>
          <t>GT2215</t>
        </is>
      </c>
      <c r="C1462" t="inlineStr">
        <is>
          <t>Pasaco</t>
        </is>
      </c>
      <c r="D1462" t="inlineStr">
        <is>
          <t>Pasaco</t>
        </is>
      </c>
      <c r="F1462" t="inlineStr">
        <is>
          <t>GT22</t>
        </is>
      </c>
    </row>
    <row r="1463">
      <c r="A1463" t="inlineStr">
        <is>
          <t>admin2</t>
        </is>
      </c>
      <c r="B1463" t="inlineStr">
        <is>
          <t>GT2216</t>
        </is>
      </c>
      <c r="C1463" t="inlineStr">
        <is>
          <t>San José Acatempa</t>
        </is>
      </c>
      <c r="D1463" t="inlineStr">
        <is>
          <t>San José Acatempa</t>
        </is>
      </c>
      <c r="F1463" t="inlineStr">
        <is>
          <t>GT22</t>
        </is>
      </c>
    </row>
    <row r="1464">
      <c r="A1464" t="inlineStr">
        <is>
          <t>admin2</t>
        </is>
      </c>
      <c r="B1464" t="inlineStr">
        <is>
          <t>GT2217</t>
        </is>
      </c>
      <c r="C1464" t="inlineStr">
        <is>
          <t>Quesada</t>
        </is>
      </c>
      <c r="D1464" t="inlineStr">
        <is>
          <t>Quesada</t>
        </is>
      </c>
      <c r="F1464" t="inlineStr">
        <is>
          <t>GT22</t>
        </is>
      </c>
    </row>
    <row r="1466">
      <c r="A1466" s="287" t="inlineStr">
        <is>
          <t>calldispo</t>
        </is>
      </c>
      <c r="B1466" s="287" t="n">
        <v>1</v>
      </c>
      <c r="C1466" s="287" t="inlineStr">
        <is>
          <t>Someone answers</t>
        </is>
      </c>
      <c r="D1466" s="287" t="inlineStr">
        <is>
          <t>Alguien contesta</t>
        </is>
      </c>
    </row>
    <row r="1467">
      <c r="A1467" s="287" t="inlineStr">
        <is>
          <t>calldispo</t>
        </is>
      </c>
      <c r="B1467" s="287" t="n">
        <v>2</v>
      </c>
      <c r="C1467" s="287" t="inlineStr">
        <is>
          <t>Answering machine</t>
        </is>
      </c>
      <c r="D1467" s="287" t="inlineStr">
        <is>
          <t>Contestadora automatica</t>
        </is>
      </c>
    </row>
    <row r="1468">
      <c r="A1468" s="287" t="inlineStr">
        <is>
          <t>calldispo</t>
        </is>
      </c>
      <c r="B1468" s="287" t="n">
        <v>3</v>
      </c>
      <c r="C1468" s="287" t="inlineStr">
        <is>
          <t>No answer</t>
        </is>
      </c>
      <c r="D1468" s="287" t="inlineStr">
        <is>
          <t>Sin respuesta</t>
        </is>
      </c>
    </row>
    <row r="1469">
      <c r="A1469" s="287" t="inlineStr">
        <is>
          <t>calldispo</t>
        </is>
      </c>
      <c r="B1469" s="287" t="n">
        <v>4</v>
      </c>
      <c r="C1469" s="287" t="inlineStr">
        <is>
          <t>Hang up or refusal</t>
        </is>
      </c>
      <c r="D1469" s="287" t="inlineStr">
        <is>
          <t>Cuelga/no contesta</t>
        </is>
      </c>
    </row>
    <row r="1470">
      <c r="A1470" s="287" t="inlineStr">
        <is>
          <t>calldispo</t>
        </is>
      </c>
      <c r="B1470" s="287" t="n">
        <v>7</v>
      </c>
      <c r="C1470" s="287" t="inlineStr">
        <is>
          <t>Disconnected</t>
        </is>
      </c>
      <c r="D1470" s="287" t="inlineStr">
        <is>
          <t>Desconectado</t>
        </is>
      </c>
    </row>
    <row r="1472">
      <c r="A1472" s="329" t="inlineStr">
        <is>
          <t>reserve_origin</t>
        </is>
      </c>
      <c r="B1472" s="329" t="n">
        <v>1</v>
      </c>
      <c r="C1472" s="329" t="n"/>
      <c r="D1472" s="329" t="inlineStr">
        <is>
          <t>Producción propia</t>
        </is>
      </c>
    </row>
    <row r="1473">
      <c r="A1473" s="329" t="inlineStr">
        <is>
          <t>reserve_origin</t>
        </is>
      </c>
      <c r="B1473" s="3" t="n">
        <v>2</v>
      </c>
      <c r="C1473" s="329" t="n"/>
      <c r="D1473" s="329" t="inlineStr">
        <is>
          <t>Compra</t>
        </is>
      </c>
    </row>
    <row r="1474">
      <c r="A1474" s="329" t="inlineStr">
        <is>
          <t>reserve_origin</t>
        </is>
      </c>
      <c r="B1474" s="329" t="n">
        <v>3</v>
      </c>
      <c r="C1474" s="329" t="n"/>
      <c r="D1474" s="329" t="inlineStr">
        <is>
          <t>Otro</t>
        </is>
      </c>
    </row>
    <row r="1475">
      <c r="A1475" s="329" t="inlineStr">
        <is>
          <t>reserve_origin</t>
        </is>
      </c>
      <c r="B1475" s="329" t="n">
        <v>4</v>
      </c>
      <c r="C1475" s="329" t="n"/>
      <c r="D1475" s="329" t="inlineStr">
        <is>
          <t>No sabe</t>
        </is>
      </c>
    </row>
    <row r="1476">
      <c r="A1476" s="329" t="inlineStr">
        <is>
          <t>reserve_origin</t>
        </is>
      </c>
      <c r="B1476" s="329" t="n">
        <v>5</v>
      </c>
      <c r="C1476" s="329" t="n"/>
      <c r="D1476" s="329" t="inlineStr">
        <is>
          <t>No responde</t>
        </is>
      </c>
    </row>
    <row r="1478">
      <c r="A1478" t="inlineStr">
        <is>
          <t>crop</t>
        </is>
      </c>
      <c r="B1478" t="inlineStr">
        <is>
          <t>1.4</t>
        </is>
      </c>
      <c r="C1478" t="inlineStr">
        <is>
          <t>Sorghum</t>
        </is>
      </c>
      <c r="D1478" t="inlineStr">
        <is>
          <t>Sorgo</t>
        </is>
      </c>
    </row>
    <row r="1479">
      <c r="A1479" t="inlineStr">
        <is>
          <t>crop</t>
        </is>
      </c>
      <c r="B1479" t="inlineStr">
        <is>
          <t>1.5</t>
        </is>
      </c>
      <c r="C1479" t="inlineStr">
        <is>
          <t>Maize</t>
        </is>
      </c>
      <c r="D1479" t="inlineStr">
        <is>
          <t>Maíz</t>
        </is>
      </c>
    </row>
    <row r="1480">
      <c r="A1480" t="inlineStr">
        <is>
          <t>crop</t>
        </is>
      </c>
      <c r="B1480" t="inlineStr">
        <is>
          <t>2.2</t>
        </is>
      </c>
      <c r="C1480" t="inlineStr">
        <is>
          <t>Potatoe</t>
        </is>
      </c>
      <c r="D1480" t="inlineStr">
        <is>
          <t>Patatas</t>
        </is>
      </c>
    </row>
    <row r="1481">
      <c r="A1481" t="inlineStr">
        <is>
          <t>crop</t>
        </is>
      </c>
      <c r="B1481" t="inlineStr">
        <is>
          <t>3.1</t>
        </is>
      </c>
      <c r="C1481" t="inlineStr">
        <is>
          <t>Beans</t>
        </is>
      </c>
      <c r="D1481" t="inlineStr">
        <is>
          <t>Frijoles</t>
        </is>
      </c>
    </row>
    <row r="1482">
      <c r="A1482" t="inlineStr">
        <is>
          <t>crop</t>
        </is>
      </c>
      <c r="B1482" t="inlineStr">
        <is>
          <t>4.2</t>
        </is>
      </c>
      <c r="C1482" t="inlineStr">
        <is>
          <t>Lettuce</t>
        </is>
      </c>
      <c r="D1482" t="inlineStr">
        <is>
          <t>Lechuga</t>
        </is>
      </c>
    </row>
    <row r="1483">
      <c r="A1483" t="inlineStr">
        <is>
          <t>crop</t>
        </is>
      </c>
      <c r="B1483" t="inlineStr">
        <is>
          <t>4.3</t>
        </is>
      </c>
      <c r="C1483" t="inlineStr">
        <is>
          <t>Spinach-Amaranth</t>
        </is>
      </c>
      <c r="D1483" t="inlineStr">
        <is>
          <t>Espinacas-amaranto</t>
        </is>
      </c>
    </row>
    <row r="1484">
      <c r="A1484" t="inlineStr">
        <is>
          <t>crop</t>
        </is>
      </c>
      <c r="B1484" t="inlineStr">
        <is>
          <t>4.9</t>
        </is>
      </c>
      <c r="C1484" t="inlineStr">
        <is>
          <t>Green salad herbs (thyme, parsley, mint, rocca, other)</t>
        </is>
      </c>
      <c r="D1484" t="inlineStr">
        <is>
          <t>Hierbas verdes para ensalada (tomillo, perejil, menta, rocca, otras)</t>
        </is>
      </c>
    </row>
    <row r="1485">
      <c r="A1485" t="inlineStr">
        <is>
          <t>crop</t>
        </is>
      </c>
      <c r="B1485" t="inlineStr">
        <is>
          <t>5.1</t>
        </is>
      </c>
      <c r="C1485" t="inlineStr">
        <is>
          <t>Tomatoes</t>
        </is>
      </c>
      <c r="D1485" t="inlineStr">
        <is>
          <t>Tomates</t>
        </is>
      </c>
    </row>
    <row r="1486">
      <c r="A1486" t="inlineStr">
        <is>
          <t>crop</t>
        </is>
      </c>
      <c r="B1486" t="inlineStr">
        <is>
          <t>5.8</t>
        </is>
      </c>
      <c r="C1486" t="inlineStr">
        <is>
          <t>Onions</t>
        </is>
      </c>
      <c r="D1486" t="inlineStr">
        <is>
          <t>Cebollas</t>
        </is>
      </c>
    </row>
    <row r="1487">
      <c r="A1487" t="inlineStr">
        <is>
          <t>crop</t>
        </is>
      </c>
      <c r="B1487" t="inlineStr">
        <is>
          <t>9.2</t>
        </is>
      </c>
      <c r="C1487" t="inlineStr">
        <is>
          <t>Coffee</t>
        </is>
      </c>
      <c r="D1487" t="inlineStr">
        <is>
          <t>Café</t>
        </is>
      </c>
    </row>
    <row r="1488">
      <c r="A1488" t="inlineStr">
        <is>
          <t>crop</t>
        </is>
      </c>
      <c r="B1488" t="inlineStr">
        <is>
          <t>1.1</t>
        </is>
      </c>
      <c r="C1488" t="inlineStr">
        <is>
          <t>Rice</t>
        </is>
      </c>
      <c r="D1488" t="inlineStr">
        <is>
          <t>Arroz</t>
        </is>
      </c>
    </row>
    <row r="1489">
      <c r="A1489" t="inlineStr">
        <is>
          <t>crop</t>
        </is>
      </c>
      <c r="B1489" t="inlineStr">
        <is>
          <t>1.2</t>
        </is>
      </c>
      <c r="C1489" t="inlineStr">
        <is>
          <t>Wheat</t>
        </is>
      </c>
      <c r="D1489" t="inlineStr">
        <is>
          <t>Trigo</t>
        </is>
      </c>
    </row>
    <row r="1490">
      <c r="A1490" t="inlineStr">
        <is>
          <t>crop</t>
        </is>
      </c>
      <c r="B1490" t="inlineStr">
        <is>
          <t>1.3</t>
        </is>
      </c>
      <c r="C1490" t="inlineStr">
        <is>
          <t>Millet</t>
        </is>
      </c>
      <c r="D1490" t="inlineStr">
        <is>
          <t>Mijo</t>
        </is>
      </c>
    </row>
    <row r="1491">
      <c r="A1491" t="inlineStr">
        <is>
          <t>crop</t>
        </is>
      </c>
      <c r="B1491" t="inlineStr">
        <is>
          <t>1.6</t>
        </is>
      </c>
      <c r="C1491" t="inlineStr">
        <is>
          <t>Barley</t>
        </is>
      </c>
      <c r="D1491" t="inlineStr">
        <is>
          <t>Cebada</t>
        </is>
      </c>
    </row>
    <row r="1492">
      <c r="A1492" t="inlineStr">
        <is>
          <t>crop</t>
        </is>
      </c>
      <c r="B1492" t="inlineStr">
        <is>
          <t>1.99</t>
        </is>
      </c>
      <c r="C1492" t="inlineStr">
        <is>
          <t>Other Cereal</t>
        </is>
      </c>
      <c r="D1492" t="inlineStr">
        <is>
          <t>Otros cereales</t>
        </is>
      </c>
    </row>
    <row r="1493">
      <c r="A1493" t="inlineStr">
        <is>
          <t>crop</t>
        </is>
      </c>
      <c r="B1493" t="inlineStr">
        <is>
          <t>2.1</t>
        </is>
      </c>
      <c r="C1493" t="inlineStr">
        <is>
          <t>Cassava</t>
        </is>
      </c>
      <c r="D1493" t="inlineStr">
        <is>
          <t>Yuca</t>
        </is>
      </c>
    </row>
    <row r="1494">
      <c r="A1494" t="inlineStr">
        <is>
          <t>crop</t>
        </is>
      </c>
      <c r="B1494" t="inlineStr">
        <is>
          <t>2.3</t>
        </is>
      </c>
      <c r="C1494" t="inlineStr">
        <is>
          <t>Sweet Potatoes</t>
        </is>
      </c>
      <c r="D1494" t="inlineStr">
        <is>
          <t>Patatas dulces</t>
        </is>
      </c>
    </row>
    <row r="1495">
      <c r="A1495" t="inlineStr">
        <is>
          <t>crop</t>
        </is>
      </c>
      <c r="B1495" t="inlineStr">
        <is>
          <t>2.4</t>
        </is>
      </c>
      <c r="C1495" t="inlineStr">
        <is>
          <t>Yams</t>
        </is>
      </c>
      <c r="D1495" t="inlineStr">
        <is>
          <t>Ñames</t>
        </is>
      </c>
    </row>
    <row r="1496">
      <c r="A1496" t="inlineStr">
        <is>
          <t>crop</t>
        </is>
      </c>
      <c r="B1496" t="inlineStr">
        <is>
          <t>2.5</t>
        </is>
      </c>
      <c r="C1496" t="inlineStr">
        <is>
          <t>Carrots</t>
        </is>
      </c>
      <c r="D1496" t="inlineStr">
        <is>
          <t>Zanahorias</t>
        </is>
      </c>
    </row>
    <row r="1497">
      <c r="A1497" t="inlineStr">
        <is>
          <t>crop</t>
        </is>
      </c>
      <c r="B1497" t="inlineStr">
        <is>
          <t>2.6</t>
        </is>
      </c>
      <c r="C1497" t="inlineStr">
        <is>
          <t>Cocoyam</t>
        </is>
      </c>
      <c r="D1497" t="inlineStr">
        <is>
          <t>Cocoyam</t>
        </is>
      </c>
    </row>
    <row r="1498">
      <c r="A1498" t="inlineStr">
        <is>
          <t>crop</t>
        </is>
      </c>
      <c r="B1498" t="inlineStr">
        <is>
          <t>2.99</t>
        </is>
      </c>
      <c r="C1498" t="inlineStr">
        <is>
          <t>Other tubers</t>
        </is>
      </c>
      <c r="D1498" t="inlineStr">
        <is>
          <t>Otros tubérculos</t>
        </is>
      </c>
    </row>
    <row r="1499">
      <c r="A1499" t="inlineStr">
        <is>
          <t>crop</t>
        </is>
      </c>
      <c r="B1499" t="inlineStr">
        <is>
          <t>3.2</t>
        </is>
      </c>
      <c r="C1499" t="inlineStr">
        <is>
          <t>Lentils</t>
        </is>
      </c>
      <c r="D1499" t="inlineStr">
        <is>
          <t>Lentejas</t>
        </is>
      </c>
    </row>
    <row r="1500">
      <c r="A1500" t="inlineStr">
        <is>
          <t>crop</t>
        </is>
      </c>
      <c r="B1500" t="inlineStr">
        <is>
          <t>3.3</t>
        </is>
      </c>
      <c r="C1500" t="inlineStr">
        <is>
          <t>Peas</t>
        </is>
      </c>
      <c r="D1500" t="inlineStr">
        <is>
          <t>Guisantes</t>
        </is>
      </c>
    </row>
    <row r="1501">
      <c r="A1501" t="inlineStr">
        <is>
          <t>crop</t>
        </is>
      </c>
      <c r="B1501" t="inlineStr">
        <is>
          <t>3.4</t>
        </is>
      </c>
      <c r="C1501" t="inlineStr">
        <is>
          <t>Soybeans</t>
        </is>
      </c>
      <c r="D1501" t="inlineStr">
        <is>
          <t>Soja</t>
        </is>
      </c>
    </row>
    <row r="1502">
      <c r="A1502" t="inlineStr">
        <is>
          <t>crop</t>
        </is>
      </c>
      <c r="B1502" t="inlineStr">
        <is>
          <t>3.5</t>
        </is>
      </c>
      <c r="C1502" t="inlineStr">
        <is>
          <t>Chickpeas</t>
        </is>
      </c>
      <c r="D1502" t="inlineStr">
        <is>
          <t>Garbanzos</t>
        </is>
      </c>
    </row>
    <row r="1503">
      <c r="A1503" t="inlineStr">
        <is>
          <t>crop</t>
        </is>
      </c>
      <c r="B1503" t="inlineStr">
        <is>
          <t>3.6</t>
        </is>
      </c>
      <c r="C1503" t="inlineStr">
        <is>
          <t>Fava beans</t>
        </is>
      </c>
      <c r="D1503" t="inlineStr">
        <is>
          <t>Habas</t>
        </is>
      </c>
    </row>
    <row r="1504">
      <c r="A1504" t="inlineStr">
        <is>
          <t>crop</t>
        </is>
      </c>
      <c r="B1504" t="inlineStr">
        <is>
          <t>3.7</t>
        </is>
      </c>
      <c r="C1504" t="inlineStr">
        <is>
          <t>Broad beans</t>
        </is>
      </c>
      <c r="D1504" t="inlineStr">
        <is>
          <t>Habas</t>
        </is>
      </c>
    </row>
    <row r="1505">
      <c r="A1505" t="inlineStr">
        <is>
          <t>crop</t>
        </is>
      </c>
      <c r="B1505" t="inlineStr">
        <is>
          <t>3.99</t>
        </is>
      </c>
      <c r="C1505" t="inlineStr">
        <is>
          <t>Other pulses</t>
        </is>
      </c>
      <c r="D1505" t="inlineStr">
        <is>
          <t>Otras legumbres</t>
        </is>
      </c>
    </row>
    <row r="1506">
      <c r="A1506" t="inlineStr">
        <is>
          <t>crop</t>
        </is>
      </c>
      <c r="B1506" t="inlineStr">
        <is>
          <t>4.1</t>
        </is>
      </c>
      <c r="C1506" t="inlineStr">
        <is>
          <t>Cabbage</t>
        </is>
      </c>
      <c r="D1506" t="inlineStr">
        <is>
          <t>Coles</t>
        </is>
      </c>
    </row>
    <row r="1507">
      <c r="A1507" t="inlineStr">
        <is>
          <t>crop</t>
        </is>
      </c>
      <c r="B1507" t="inlineStr">
        <is>
          <t>4.101</t>
        </is>
      </c>
      <c r="C1507" t="inlineStr">
        <is>
          <t>Cauliflower</t>
        </is>
      </c>
      <c r="D1507" t="inlineStr">
        <is>
          <t>Coliflor</t>
        </is>
      </c>
    </row>
    <row r="1508">
      <c r="A1508" t="inlineStr">
        <is>
          <t>crop</t>
        </is>
      </c>
      <c r="B1508" t="inlineStr">
        <is>
          <t>4.4</t>
        </is>
      </c>
      <c r="C1508" t="inlineStr">
        <is>
          <t>Cassava leaves</t>
        </is>
      </c>
      <c r="D1508" t="inlineStr">
        <is>
          <t>Hojas de yuca/mandioca</t>
        </is>
      </c>
    </row>
    <row r="1509">
      <c r="A1509" t="inlineStr">
        <is>
          <t>crop</t>
        </is>
      </c>
      <c r="B1509" t="inlineStr">
        <is>
          <t>4.5</t>
        </is>
      </c>
      <c r="C1509" t="inlineStr">
        <is>
          <t>Potatoe leaves</t>
        </is>
      </c>
      <c r="D1509" t="inlineStr">
        <is>
          <t>Hojas de patata</t>
        </is>
      </c>
    </row>
    <row r="1510">
      <c r="A1510" t="inlineStr">
        <is>
          <t>crop</t>
        </is>
      </c>
      <c r="B1510" t="inlineStr">
        <is>
          <t>4.6</t>
        </is>
      </c>
      <c r="C1510" t="inlineStr">
        <is>
          <t>Moringa</t>
        </is>
      </c>
      <c r="D1510" t="inlineStr">
        <is>
          <t>Moringa</t>
        </is>
      </c>
    </row>
    <row r="1511">
      <c r="A1511" t="inlineStr">
        <is>
          <t>crop</t>
        </is>
      </c>
      <c r="B1511" t="inlineStr">
        <is>
          <t>4.7</t>
        </is>
      </c>
      <c r="C1511" t="inlineStr">
        <is>
          <t>Sorrel Hibiscus / Rosselle</t>
        </is>
      </c>
      <c r="D1511" t="inlineStr">
        <is>
          <t>Rosella / Flor de jamaica</t>
        </is>
      </c>
    </row>
    <row r="1512">
      <c r="A1512" t="inlineStr">
        <is>
          <t>crop</t>
        </is>
      </c>
      <c r="B1512" t="inlineStr">
        <is>
          <t>4.99</t>
        </is>
      </c>
      <c r="C1512" t="inlineStr">
        <is>
          <t>Other leafy vegetables</t>
        </is>
      </c>
      <c r="D1512" t="inlineStr">
        <is>
          <t>Otras verduras de hoja</t>
        </is>
      </c>
    </row>
    <row r="1513">
      <c r="A1513" t="inlineStr">
        <is>
          <t>crop</t>
        </is>
      </c>
      <c r="B1513" t="inlineStr">
        <is>
          <t>5.101</t>
        </is>
      </c>
      <c r="C1513" t="inlineStr">
        <is>
          <t>Green peas</t>
        </is>
      </c>
      <c r="D1513" t="inlineStr">
        <is>
          <t>Arberjas</t>
        </is>
      </c>
    </row>
    <row r="1514">
      <c r="A1514" t="inlineStr">
        <is>
          <t>crop</t>
        </is>
      </c>
      <c r="B1514" t="inlineStr">
        <is>
          <t>5.11</t>
        </is>
      </c>
      <c r="C1514" t="inlineStr">
        <is>
          <t>Fava beans green</t>
        </is>
      </c>
      <c r="D1514" t="inlineStr">
        <is>
          <t>Habas verdes</t>
        </is>
      </c>
    </row>
    <row r="1515">
      <c r="A1515" t="inlineStr">
        <is>
          <t>crop</t>
        </is>
      </c>
      <c r="B1515" t="inlineStr">
        <is>
          <t>5.2</t>
        </is>
      </c>
      <c r="C1515" t="inlineStr">
        <is>
          <t>Cucumber</t>
        </is>
      </c>
      <c r="D1515" t="inlineStr">
        <is>
          <t>Pepino</t>
        </is>
      </c>
    </row>
    <row r="1516">
      <c r="A1516" t="inlineStr">
        <is>
          <t>crop</t>
        </is>
      </c>
      <c r="B1516" t="inlineStr">
        <is>
          <t>5.3</t>
        </is>
      </c>
      <c r="C1516" t="inlineStr">
        <is>
          <t>Pumpkin</t>
        </is>
      </c>
      <c r="D1516" t="inlineStr">
        <is>
          <t>Calabaza</t>
        </is>
      </c>
    </row>
    <row r="1517">
      <c r="A1517" t="inlineStr">
        <is>
          <t>crop</t>
        </is>
      </c>
      <c r="B1517" t="inlineStr">
        <is>
          <t>5.4</t>
        </is>
      </c>
      <c r="C1517" t="inlineStr">
        <is>
          <t>Eggplant/aubergine</t>
        </is>
      </c>
      <c r="D1517" t="inlineStr">
        <is>
          <t>Berenjena</t>
        </is>
      </c>
    </row>
    <row r="1518">
      <c r="A1518" t="inlineStr">
        <is>
          <t>crop</t>
        </is>
      </c>
      <c r="B1518" t="inlineStr">
        <is>
          <t>5.5</t>
        </is>
      </c>
      <c r="C1518" t="inlineStr">
        <is>
          <t>Zucchini</t>
        </is>
      </c>
      <c r="D1518" t="inlineStr">
        <is>
          <t>Calabacín</t>
        </is>
      </c>
    </row>
    <row r="1519">
      <c r="A1519" t="inlineStr">
        <is>
          <t>crop</t>
        </is>
      </c>
      <c r="B1519" t="inlineStr">
        <is>
          <t>5.6</t>
        </is>
      </c>
      <c r="C1519" t="inlineStr">
        <is>
          <t>Okra</t>
        </is>
      </c>
      <c r="D1519" t="inlineStr">
        <is>
          <t>Okra</t>
        </is>
      </c>
    </row>
    <row r="1520">
      <c r="A1520" t="inlineStr">
        <is>
          <t>crop</t>
        </is>
      </c>
      <c r="B1520" t="inlineStr">
        <is>
          <t>5.7</t>
        </is>
      </c>
      <c r="C1520" t="inlineStr">
        <is>
          <t>Bell pepper</t>
        </is>
      </c>
      <c r="D1520" t="inlineStr">
        <is>
          <t>Pimiento</t>
        </is>
      </c>
    </row>
    <row r="1521">
      <c r="A1521" t="inlineStr">
        <is>
          <t>crop</t>
        </is>
      </c>
      <c r="B1521" t="inlineStr">
        <is>
          <t>5.9</t>
        </is>
      </c>
      <c r="C1521" t="inlineStr">
        <is>
          <t>Haricot</t>
        </is>
      </c>
      <c r="D1521" t="inlineStr">
        <is>
          <t>Judías</t>
        </is>
      </c>
    </row>
    <row r="1522">
      <c r="A1522" t="inlineStr">
        <is>
          <t>crop</t>
        </is>
      </c>
      <c r="B1522" t="inlineStr">
        <is>
          <t>5.99</t>
        </is>
      </c>
      <c r="C1522" t="inlineStr">
        <is>
          <t>Other non leafy vegs</t>
        </is>
      </c>
      <c r="D1522" t="inlineStr">
        <is>
          <t>Otras verduras</t>
        </is>
      </c>
    </row>
    <row r="1523">
      <c r="A1523" t="inlineStr">
        <is>
          <t>crop</t>
        </is>
      </c>
      <c r="B1523" t="inlineStr">
        <is>
          <t>6.1</t>
        </is>
      </c>
      <c r="C1523" t="inlineStr">
        <is>
          <t>Orange</t>
        </is>
      </c>
      <c r="D1523" t="inlineStr">
        <is>
          <t>Naranja</t>
        </is>
      </c>
    </row>
    <row r="1524">
      <c r="A1524" t="inlineStr">
        <is>
          <t>crop</t>
        </is>
      </c>
      <c r="B1524" t="inlineStr">
        <is>
          <t>6.2</t>
        </is>
      </c>
      <c r="C1524" t="inlineStr">
        <is>
          <t>Lemon</t>
        </is>
      </c>
      <c r="D1524" t="inlineStr">
        <is>
          <t>Limón</t>
        </is>
      </c>
    </row>
    <row r="1525">
      <c r="A1525" t="inlineStr">
        <is>
          <t>crop</t>
        </is>
      </c>
      <c r="B1525" t="inlineStr">
        <is>
          <t>6.3</t>
        </is>
      </c>
      <c r="C1525" t="inlineStr">
        <is>
          <t>Grapefruit</t>
        </is>
      </c>
      <c r="D1525" t="inlineStr">
        <is>
          <t>Pomelo</t>
        </is>
      </c>
    </row>
    <row r="1526">
      <c r="A1526" t="inlineStr">
        <is>
          <t>crop</t>
        </is>
      </c>
      <c r="B1526" t="inlineStr">
        <is>
          <t>6.4</t>
        </is>
      </c>
      <c r="C1526" t="inlineStr">
        <is>
          <t>Mandarins/clementines</t>
        </is>
      </c>
      <c r="D1526" t="inlineStr">
        <is>
          <t>Mandarinas</t>
        </is>
      </c>
    </row>
    <row r="1527">
      <c r="A1527" t="inlineStr">
        <is>
          <t>crop</t>
        </is>
      </c>
      <c r="B1527" t="inlineStr">
        <is>
          <t>6.99</t>
        </is>
      </c>
      <c r="C1527" t="inlineStr">
        <is>
          <t>Other citrus fruit</t>
        </is>
      </c>
      <c r="D1527" t="inlineStr">
        <is>
          <t>Otros cítricos</t>
        </is>
      </c>
    </row>
    <row r="1528">
      <c r="A1528" t="inlineStr">
        <is>
          <t>crop</t>
        </is>
      </c>
      <c r="B1528" t="inlineStr">
        <is>
          <t>7.1</t>
        </is>
      </c>
      <c r="C1528" t="inlineStr">
        <is>
          <t>Sweet Banana</t>
        </is>
      </c>
      <c r="D1528" t="inlineStr">
        <is>
          <t>Plátano dulce / bananas</t>
        </is>
      </c>
    </row>
    <row r="1529">
      <c r="A1529" t="inlineStr">
        <is>
          <t>crop</t>
        </is>
      </c>
      <c r="B1529" t="inlineStr">
        <is>
          <t>7.101</t>
        </is>
      </c>
      <c r="C1529" t="inlineStr">
        <is>
          <t>Figs</t>
        </is>
      </c>
      <c r="D1529" t="inlineStr">
        <is>
          <t>Higos</t>
        </is>
      </c>
    </row>
    <row r="1530">
      <c r="A1530" t="inlineStr">
        <is>
          <t>crop</t>
        </is>
      </c>
      <c r="B1530" t="inlineStr">
        <is>
          <t>7.11</t>
        </is>
      </c>
      <c r="C1530" t="inlineStr">
        <is>
          <t>Grapes</t>
        </is>
      </c>
      <c r="D1530" t="inlineStr">
        <is>
          <t>Uvas</t>
        </is>
      </c>
    </row>
    <row r="1531">
      <c r="A1531" t="inlineStr">
        <is>
          <t>crop</t>
        </is>
      </c>
      <c r="B1531" t="inlineStr">
        <is>
          <t>7.12</t>
        </is>
      </c>
      <c r="C1531" t="inlineStr">
        <is>
          <t>Olives</t>
        </is>
      </c>
      <c r="D1531" t="inlineStr">
        <is>
          <t>Aceitunas</t>
        </is>
      </c>
    </row>
    <row r="1532">
      <c r="A1532" t="inlineStr">
        <is>
          <t>crop</t>
        </is>
      </c>
      <c r="B1532" t="inlineStr">
        <is>
          <t>7.13</t>
        </is>
      </c>
      <c r="C1532" t="inlineStr">
        <is>
          <t>Apple</t>
        </is>
      </c>
      <c r="D1532" t="inlineStr">
        <is>
          <t>Manzanas</t>
        </is>
      </c>
    </row>
    <row r="1533">
      <c r="A1533" t="inlineStr">
        <is>
          <t>crop</t>
        </is>
      </c>
      <c r="B1533" t="inlineStr">
        <is>
          <t>7.14</t>
        </is>
      </c>
      <c r="C1533" t="inlineStr">
        <is>
          <t>Apricot</t>
        </is>
      </c>
      <c r="D1533" t="inlineStr">
        <is>
          <t>Albaricoques</t>
        </is>
      </c>
    </row>
    <row r="1534">
      <c r="A1534" t="inlineStr">
        <is>
          <t>crop</t>
        </is>
      </c>
      <c r="B1534" t="inlineStr">
        <is>
          <t>7.15</t>
        </is>
      </c>
      <c r="C1534" t="inlineStr">
        <is>
          <t>Cherries</t>
        </is>
      </c>
      <c r="D1534" t="inlineStr">
        <is>
          <t>Cerezas</t>
        </is>
      </c>
    </row>
    <row r="1535">
      <c r="A1535" t="inlineStr">
        <is>
          <t>crop</t>
        </is>
      </c>
      <c r="B1535" t="inlineStr">
        <is>
          <t>7.16</t>
        </is>
      </c>
      <c r="C1535" t="inlineStr">
        <is>
          <t>Peach/nectarine</t>
        </is>
      </c>
      <c r="D1535" t="inlineStr">
        <is>
          <t>Duraznos/ nectárinas</t>
        </is>
      </c>
    </row>
    <row r="1536">
      <c r="A1536" t="inlineStr">
        <is>
          <t>crop</t>
        </is>
      </c>
      <c r="B1536" t="inlineStr">
        <is>
          <t>7.17</t>
        </is>
      </c>
      <c r="C1536" t="inlineStr">
        <is>
          <t>Strawberries</t>
        </is>
      </c>
      <c r="D1536" t="inlineStr">
        <is>
          <t>Fresas</t>
        </is>
      </c>
    </row>
    <row r="1537">
      <c r="A1537" t="inlineStr">
        <is>
          <t>crop</t>
        </is>
      </c>
      <c r="B1537" t="inlineStr">
        <is>
          <t>7.18</t>
        </is>
      </c>
      <c r="C1537" t="inlineStr">
        <is>
          <t>Melon (Cantaloupe)</t>
        </is>
      </c>
      <c r="D1537" t="inlineStr">
        <is>
          <t>Melon</t>
        </is>
      </c>
    </row>
    <row r="1538">
      <c r="A1538" t="inlineStr">
        <is>
          <t>crop</t>
        </is>
      </c>
      <c r="B1538" t="inlineStr">
        <is>
          <t>7.2</t>
        </is>
      </c>
      <c r="C1538" t="inlineStr">
        <is>
          <t>Plantains</t>
        </is>
      </c>
      <c r="D1538" t="inlineStr">
        <is>
          <t>Plátano</t>
        </is>
      </c>
    </row>
    <row r="1539">
      <c r="A1539" t="inlineStr">
        <is>
          <t>crop</t>
        </is>
      </c>
      <c r="B1539" t="inlineStr">
        <is>
          <t>7.3</t>
        </is>
      </c>
      <c r="C1539" t="inlineStr">
        <is>
          <t>Papaya</t>
        </is>
      </c>
      <c r="D1539" t="inlineStr">
        <is>
          <t>Papaya</t>
        </is>
      </c>
    </row>
    <row r="1540">
      <c r="A1540" t="inlineStr">
        <is>
          <t>crop</t>
        </is>
      </c>
      <c r="B1540" t="inlineStr">
        <is>
          <t>7.4</t>
        </is>
      </c>
      <c r="C1540" t="inlineStr">
        <is>
          <t>Mango</t>
        </is>
      </c>
      <c r="D1540" t="inlineStr">
        <is>
          <t>Mango</t>
        </is>
      </c>
    </row>
    <row r="1541">
      <c r="A1541" t="inlineStr">
        <is>
          <t>crop</t>
        </is>
      </c>
      <c r="B1541" t="inlineStr">
        <is>
          <t>7.5</t>
        </is>
      </c>
      <c r="C1541" t="inlineStr">
        <is>
          <t>Guava</t>
        </is>
      </c>
      <c r="D1541" t="inlineStr">
        <is>
          <t>Guayaba</t>
        </is>
      </c>
    </row>
    <row r="1542">
      <c r="A1542" t="inlineStr">
        <is>
          <t>crop</t>
        </is>
      </c>
      <c r="B1542" t="inlineStr">
        <is>
          <t>7.6</t>
        </is>
      </c>
      <c r="C1542" t="inlineStr">
        <is>
          <t>Pineapple</t>
        </is>
      </c>
      <c r="D1542" t="inlineStr">
        <is>
          <t>Piña</t>
        </is>
      </c>
    </row>
    <row r="1543">
      <c r="A1543" t="inlineStr">
        <is>
          <t>crop</t>
        </is>
      </c>
      <c r="B1543" t="inlineStr">
        <is>
          <t>7.7</t>
        </is>
      </c>
      <c r="C1543" t="inlineStr">
        <is>
          <t>Avocado</t>
        </is>
      </c>
      <c r="D1543" t="inlineStr">
        <is>
          <t>Aguacate</t>
        </is>
      </c>
    </row>
    <row r="1544">
      <c r="A1544" t="inlineStr">
        <is>
          <t>crop</t>
        </is>
      </c>
      <c r="B1544" t="inlineStr">
        <is>
          <t>7.8</t>
        </is>
      </c>
      <c r="C1544" t="inlineStr">
        <is>
          <t>Water Melon</t>
        </is>
      </c>
      <c r="D1544" t="inlineStr">
        <is>
          <t>Sandías</t>
        </is>
      </c>
    </row>
    <row r="1545">
      <c r="A1545" t="inlineStr">
        <is>
          <t>crop</t>
        </is>
      </c>
      <c r="B1545" t="inlineStr">
        <is>
          <t>7.9</t>
        </is>
      </c>
      <c r="C1545" t="inlineStr">
        <is>
          <t>Dates</t>
        </is>
      </c>
      <c r="D1545" t="inlineStr">
        <is>
          <t>Dátiles</t>
        </is>
      </c>
    </row>
    <row r="1546">
      <c r="A1546" t="inlineStr">
        <is>
          <t>crop</t>
        </is>
      </c>
      <c r="B1546" t="inlineStr">
        <is>
          <t>7.99</t>
        </is>
      </c>
      <c r="C1546" t="inlineStr">
        <is>
          <t>Other fruit</t>
        </is>
      </c>
      <c r="D1546" t="inlineStr">
        <is>
          <t>Otras frutas</t>
        </is>
      </c>
    </row>
    <row r="1547">
      <c r="A1547" t="inlineStr">
        <is>
          <t>crop</t>
        </is>
      </c>
      <c r="B1547" t="inlineStr">
        <is>
          <t>8.1</t>
        </is>
      </c>
      <c r="C1547" t="inlineStr">
        <is>
          <t>Coconuts</t>
        </is>
      </c>
      <c r="D1547" t="inlineStr">
        <is>
          <t>Coco</t>
        </is>
      </c>
    </row>
    <row r="1548">
      <c r="A1548" t="inlineStr">
        <is>
          <t>crop</t>
        </is>
      </c>
      <c r="B1548" t="inlineStr">
        <is>
          <t>8.2</t>
        </is>
      </c>
      <c r="C1548" t="inlineStr">
        <is>
          <t>Groundnut/peanut</t>
        </is>
      </c>
      <c r="D1548" t="inlineStr">
        <is>
          <t>Cacahuates/maní</t>
        </is>
      </c>
    </row>
    <row r="1549">
      <c r="A1549" t="inlineStr">
        <is>
          <t>crop</t>
        </is>
      </c>
      <c r="B1549" t="inlineStr">
        <is>
          <t>8.3</t>
        </is>
      </c>
      <c r="C1549" t="inlineStr">
        <is>
          <t>Cashew Nut</t>
        </is>
      </c>
      <c r="D1549" t="inlineStr">
        <is>
          <t>Anacardos</t>
        </is>
      </c>
    </row>
    <row r="1550">
      <c r="A1550" t="inlineStr">
        <is>
          <t>crop</t>
        </is>
      </c>
      <c r="B1550" t="inlineStr">
        <is>
          <t>8.4</t>
        </is>
      </c>
      <c r="C1550" t="inlineStr">
        <is>
          <t>Kola Nut</t>
        </is>
      </c>
      <c r="D1550" t="inlineStr">
        <is>
          <t>Nuez de cola</t>
        </is>
      </c>
    </row>
    <row r="1551">
      <c r="A1551" t="inlineStr">
        <is>
          <t>crop</t>
        </is>
      </c>
      <c r="B1551" t="inlineStr">
        <is>
          <t>8.5</t>
        </is>
      </c>
      <c r="C1551" t="inlineStr">
        <is>
          <t>Sesame</t>
        </is>
      </c>
      <c r="D1551" t="inlineStr">
        <is>
          <t>Sésamo</t>
        </is>
      </c>
    </row>
    <row r="1552">
      <c r="A1552" t="inlineStr">
        <is>
          <t>crop</t>
        </is>
      </c>
      <c r="B1552" t="inlineStr">
        <is>
          <t>8.6</t>
        </is>
      </c>
      <c r="C1552" t="inlineStr">
        <is>
          <t>Bambara nut</t>
        </is>
      </c>
      <c r="D1552" t="inlineStr">
        <is>
          <t>Nuez de bambara</t>
        </is>
      </c>
    </row>
    <row r="1553">
      <c r="A1553" t="inlineStr">
        <is>
          <t>crop</t>
        </is>
      </c>
      <c r="B1553" t="inlineStr">
        <is>
          <t>8.7</t>
        </is>
      </c>
      <c r="C1553" t="inlineStr">
        <is>
          <t>Almond</t>
        </is>
      </c>
      <c r="D1553" t="inlineStr">
        <is>
          <t>Almendra</t>
        </is>
      </c>
    </row>
    <row r="1554">
      <c r="A1554" t="inlineStr">
        <is>
          <t>crop</t>
        </is>
      </c>
      <c r="B1554" t="inlineStr">
        <is>
          <t>8.8</t>
        </is>
      </c>
      <c r="C1554" t="inlineStr">
        <is>
          <t>Walnut</t>
        </is>
      </c>
      <c r="D1554" t="inlineStr">
        <is>
          <t>Nuez</t>
        </is>
      </c>
    </row>
    <row r="1555">
      <c r="A1555" t="inlineStr">
        <is>
          <t>crop</t>
        </is>
      </c>
      <c r="B1555" t="inlineStr">
        <is>
          <t>8.99</t>
        </is>
      </c>
      <c r="C1555" t="inlineStr">
        <is>
          <t>Other nuts</t>
        </is>
      </c>
      <c r="D1555" t="inlineStr">
        <is>
          <t>Otros frutos secos</t>
        </is>
      </c>
    </row>
    <row r="1556">
      <c r="A1556" t="inlineStr">
        <is>
          <t>crop</t>
        </is>
      </c>
      <c r="B1556" t="inlineStr">
        <is>
          <t>9.1</t>
        </is>
      </c>
      <c r="C1556" t="inlineStr">
        <is>
          <t>Cocoa</t>
        </is>
      </c>
      <c r="D1556" t="inlineStr">
        <is>
          <t>Cacao</t>
        </is>
      </c>
    </row>
    <row r="1557">
      <c r="A1557" t="inlineStr">
        <is>
          <t>crop</t>
        </is>
      </c>
      <c r="B1557" t="inlineStr">
        <is>
          <t>9.3</t>
        </is>
      </c>
      <c r="C1557" t="inlineStr">
        <is>
          <t>Tea</t>
        </is>
      </c>
      <c r="D1557" t="inlineStr">
        <is>
          <t>Té</t>
        </is>
      </c>
    </row>
    <row r="1558">
      <c r="A1558" t="inlineStr">
        <is>
          <t>crop</t>
        </is>
      </c>
      <c r="B1558" t="inlineStr">
        <is>
          <t>9.4</t>
        </is>
      </c>
      <c r="C1558" t="inlineStr">
        <is>
          <t>Sugarcane</t>
        </is>
      </c>
      <c r="D1558" t="inlineStr">
        <is>
          <t>Caña de azúcar</t>
        </is>
      </c>
    </row>
    <row r="1559">
      <c r="A1559" t="inlineStr">
        <is>
          <t>crop</t>
        </is>
      </c>
      <c r="B1559" t="inlineStr">
        <is>
          <t>9.5</t>
        </is>
      </c>
      <c r="C1559" t="inlineStr">
        <is>
          <t>Sunflower</t>
        </is>
      </c>
      <c r="D1559" t="inlineStr">
        <is>
          <t>Girasol (plantas o semillas)</t>
        </is>
      </c>
    </row>
    <row r="1560">
      <c r="A1560" t="inlineStr">
        <is>
          <t>crop</t>
        </is>
      </c>
      <c r="B1560" t="inlineStr">
        <is>
          <t>9.99</t>
        </is>
      </c>
      <c r="C1560" t="inlineStr">
        <is>
          <t>Other food cash crop</t>
        </is>
      </c>
      <c r="D1560" t="inlineStr">
        <is>
          <t>Otros cultivos comerciales alimentarios</t>
        </is>
      </c>
    </row>
    <row r="1561">
      <c r="A1561" t="inlineStr">
        <is>
          <t>crop</t>
        </is>
      </c>
      <c r="B1561" t="inlineStr">
        <is>
          <t>10.1</t>
        </is>
      </c>
      <c r="C1561" t="inlineStr">
        <is>
          <t>Cotton</t>
        </is>
      </c>
      <c r="D1561" t="inlineStr">
        <is>
          <t>Algodón</t>
        </is>
      </c>
    </row>
    <row r="1562">
      <c r="A1562" t="inlineStr">
        <is>
          <t>crop</t>
        </is>
      </c>
      <c r="B1562" t="inlineStr">
        <is>
          <t>10.2</t>
        </is>
      </c>
      <c r="C1562" t="inlineStr">
        <is>
          <t>Rubber</t>
        </is>
      </c>
      <c r="D1562" t="inlineStr">
        <is>
          <t>Caucho</t>
        </is>
      </c>
    </row>
    <row r="1563">
      <c r="A1563" t="inlineStr">
        <is>
          <t>crop</t>
        </is>
      </c>
      <c r="B1563" t="inlineStr">
        <is>
          <t>10.3</t>
        </is>
      </c>
      <c r="C1563" t="inlineStr">
        <is>
          <t>Jute</t>
        </is>
      </c>
      <c r="D1563" t="inlineStr">
        <is>
          <t>Yute</t>
        </is>
      </c>
    </row>
    <row r="1564">
      <c r="A1564" t="inlineStr">
        <is>
          <t>crop</t>
        </is>
      </c>
      <c r="B1564" t="inlineStr">
        <is>
          <t>10.4</t>
        </is>
      </c>
      <c r="C1564" t="inlineStr">
        <is>
          <t>Fodder</t>
        </is>
      </c>
      <c r="D1564" t="inlineStr">
        <is>
          <t>Forraje</t>
        </is>
      </c>
    </row>
    <row r="1565">
      <c r="A1565" t="inlineStr">
        <is>
          <t>crop</t>
        </is>
      </c>
      <c r="B1565" t="inlineStr">
        <is>
          <t>10.5</t>
        </is>
      </c>
      <c r="C1565" t="inlineStr">
        <is>
          <t>Tobacco</t>
        </is>
      </c>
      <c r="D1565" t="inlineStr">
        <is>
          <t>Tabaco</t>
        </is>
      </c>
    </row>
    <row r="1566">
      <c r="A1566" t="inlineStr">
        <is>
          <t>crop</t>
        </is>
      </c>
      <c r="B1566" t="inlineStr">
        <is>
          <t>10.6</t>
        </is>
      </c>
      <c r="C1566" t="inlineStr">
        <is>
          <t>Qat</t>
        </is>
      </c>
      <c r="D1566" t="inlineStr">
        <is>
          <t>Qat</t>
        </is>
      </c>
    </row>
    <row r="1567">
      <c r="A1567" t="inlineStr">
        <is>
          <t>crop</t>
        </is>
      </c>
      <c r="B1567" t="inlineStr">
        <is>
          <t>10.99</t>
        </is>
      </c>
      <c r="C1567" t="inlineStr">
        <is>
          <t>Other non-food cash crop</t>
        </is>
      </c>
      <c r="D1567" t="inlineStr">
        <is>
          <t>Otros cultivos comerciales no alimentarios</t>
        </is>
      </c>
    </row>
    <row r="1568">
      <c r="A1568" t="inlineStr">
        <is>
          <t>crop</t>
        </is>
      </c>
      <c r="B1568" t="inlineStr">
        <is>
          <t>777</t>
        </is>
      </c>
      <c r="C1568" t="inlineStr">
        <is>
          <t>No crop production</t>
        </is>
      </c>
      <c r="D1568" t="inlineStr">
        <is>
          <t>Sin producción de cultivos</t>
        </is>
      </c>
    </row>
    <row r="1569">
      <c r="A1569" t="inlineStr">
        <is>
          <t>crop</t>
        </is>
      </c>
      <c r="B1569" t="inlineStr">
        <is>
          <t>888</t>
        </is>
      </c>
      <c r="C1569" t="inlineStr">
        <is>
          <t>Don't know</t>
        </is>
      </c>
      <c r="D1569" t="inlineStr">
        <is>
          <t>no sé</t>
        </is>
      </c>
    </row>
    <row r="1570">
      <c r="A1570" t="inlineStr">
        <is>
          <t>crop</t>
        </is>
      </c>
      <c r="B1570" t="inlineStr">
        <is>
          <t>999</t>
        </is>
      </c>
      <c r="C1570" t="inlineStr">
        <is>
          <t>Refused</t>
        </is>
      </c>
      <c r="D1570" t="inlineStr">
        <is>
          <t>Rechazado</t>
        </is>
      </c>
    </row>
    <row r="1572">
      <c r="A1572" t="inlineStr">
        <is>
          <t>crop2</t>
        </is>
      </c>
      <c r="B1572" t="inlineStr">
        <is>
          <t>1.4</t>
        </is>
      </c>
      <c r="C1572" t="inlineStr">
        <is>
          <t>Sorghum</t>
        </is>
      </c>
      <c r="D1572" t="inlineStr">
        <is>
          <t>Sorgo</t>
        </is>
      </c>
    </row>
    <row r="1573">
      <c r="A1573" t="inlineStr">
        <is>
          <t>crop2</t>
        </is>
      </c>
      <c r="B1573" t="inlineStr">
        <is>
          <t>1.5</t>
        </is>
      </c>
      <c r="C1573" t="inlineStr">
        <is>
          <t>Maize</t>
        </is>
      </c>
      <c r="D1573" t="inlineStr">
        <is>
          <t>Maíz</t>
        </is>
      </c>
    </row>
    <row r="1574">
      <c r="A1574" t="inlineStr">
        <is>
          <t>crop2</t>
        </is>
      </c>
      <c r="B1574" t="inlineStr">
        <is>
          <t>2.2</t>
        </is>
      </c>
      <c r="C1574" t="inlineStr">
        <is>
          <t>Potatoe</t>
        </is>
      </c>
      <c r="D1574" t="inlineStr">
        <is>
          <t>Patatas</t>
        </is>
      </c>
    </row>
    <row r="1575">
      <c r="A1575" t="inlineStr">
        <is>
          <t>crop2</t>
        </is>
      </c>
      <c r="B1575" t="inlineStr">
        <is>
          <t>3.1</t>
        </is>
      </c>
      <c r="C1575" t="inlineStr">
        <is>
          <t>Beans</t>
        </is>
      </c>
      <c r="D1575" t="inlineStr">
        <is>
          <t>Frijoles</t>
        </is>
      </c>
    </row>
    <row r="1576">
      <c r="A1576" t="inlineStr">
        <is>
          <t>crop2</t>
        </is>
      </c>
      <c r="B1576" t="inlineStr">
        <is>
          <t>4.2</t>
        </is>
      </c>
      <c r="C1576" t="inlineStr">
        <is>
          <t>Lettuce</t>
        </is>
      </c>
      <c r="D1576" t="inlineStr">
        <is>
          <t>Lechuga</t>
        </is>
      </c>
    </row>
    <row r="1577">
      <c r="A1577" t="inlineStr">
        <is>
          <t>crop2</t>
        </is>
      </c>
      <c r="B1577" t="inlineStr">
        <is>
          <t>4.3</t>
        </is>
      </c>
      <c r="C1577" t="inlineStr">
        <is>
          <t>Spinach-Amaranth</t>
        </is>
      </c>
      <c r="D1577" t="inlineStr">
        <is>
          <t>Espinacas-amaranto</t>
        </is>
      </c>
    </row>
    <row r="1578">
      <c r="A1578" t="inlineStr">
        <is>
          <t>crop2</t>
        </is>
      </c>
      <c r="B1578" t="inlineStr">
        <is>
          <t>4.9</t>
        </is>
      </c>
      <c r="C1578" t="inlineStr">
        <is>
          <t>Green salad herbs (thyme, parsley, mint, rocca, other)</t>
        </is>
      </c>
      <c r="D1578" t="inlineStr">
        <is>
          <t>Hierbas verdes para ensalada (tomillo, perejil, menta, rocca, otras)</t>
        </is>
      </c>
    </row>
    <row r="1579">
      <c r="A1579" t="inlineStr">
        <is>
          <t>crop2</t>
        </is>
      </c>
      <c r="B1579" t="inlineStr">
        <is>
          <t>5.1</t>
        </is>
      </c>
      <c r="C1579" t="inlineStr">
        <is>
          <t>Tomatoes</t>
        </is>
      </c>
      <c r="D1579" t="inlineStr">
        <is>
          <t>Tomates</t>
        </is>
      </c>
    </row>
    <row r="1580">
      <c r="A1580" t="inlineStr">
        <is>
          <t>crop2</t>
        </is>
      </c>
      <c r="B1580" t="inlineStr">
        <is>
          <t>5.8</t>
        </is>
      </c>
      <c r="C1580" t="inlineStr">
        <is>
          <t>Onions</t>
        </is>
      </c>
      <c r="D1580" t="inlineStr">
        <is>
          <t>Cebollas</t>
        </is>
      </c>
    </row>
    <row r="1581">
      <c r="A1581" t="inlineStr">
        <is>
          <t>crop2</t>
        </is>
      </c>
      <c r="B1581" t="inlineStr">
        <is>
          <t>9.2</t>
        </is>
      </c>
      <c r="C1581" t="inlineStr">
        <is>
          <t>Coffee</t>
        </is>
      </c>
      <c r="D1581" t="inlineStr">
        <is>
          <t>Café</t>
        </is>
      </c>
    </row>
    <row r="1582">
      <c r="A1582" t="inlineStr">
        <is>
          <t>crop2</t>
        </is>
      </c>
      <c r="B1582" t="inlineStr">
        <is>
          <t>1.1</t>
        </is>
      </c>
      <c r="C1582" t="inlineStr">
        <is>
          <t>Rice</t>
        </is>
      </c>
      <c r="D1582" t="inlineStr">
        <is>
          <t>Arroz</t>
        </is>
      </c>
    </row>
    <row r="1583">
      <c r="A1583" t="inlineStr">
        <is>
          <t>crop2</t>
        </is>
      </c>
      <c r="B1583" t="inlineStr">
        <is>
          <t>1.2</t>
        </is>
      </c>
      <c r="C1583" t="inlineStr">
        <is>
          <t>Wheat</t>
        </is>
      </c>
      <c r="D1583" t="inlineStr">
        <is>
          <t>Trigo</t>
        </is>
      </c>
    </row>
    <row r="1584">
      <c r="A1584" t="inlineStr">
        <is>
          <t>crop2</t>
        </is>
      </c>
      <c r="B1584" t="inlineStr">
        <is>
          <t>1.3</t>
        </is>
      </c>
      <c r="C1584" t="inlineStr">
        <is>
          <t>Millet</t>
        </is>
      </c>
      <c r="D1584" t="inlineStr">
        <is>
          <t>Mijo</t>
        </is>
      </c>
    </row>
    <row r="1585">
      <c r="A1585" t="inlineStr">
        <is>
          <t>crop2</t>
        </is>
      </c>
      <c r="B1585" t="inlineStr">
        <is>
          <t>1.6</t>
        </is>
      </c>
      <c r="C1585" t="inlineStr">
        <is>
          <t>Barley</t>
        </is>
      </c>
      <c r="D1585" t="inlineStr">
        <is>
          <t>Cebada</t>
        </is>
      </c>
    </row>
    <row r="1586">
      <c r="A1586" t="inlineStr">
        <is>
          <t>crop2</t>
        </is>
      </c>
      <c r="B1586" t="inlineStr">
        <is>
          <t>1.99</t>
        </is>
      </c>
      <c r="C1586" t="inlineStr">
        <is>
          <t>Other Cereal</t>
        </is>
      </c>
      <c r="D1586" t="inlineStr">
        <is>
          <t>Otros cereales</t>
        </is>
      </c>
    </row>
    <row r="1587">
      <c r="A1587" t="inlineStr">
        <is>
          <t>crop2</t>
        </is>
      </c>
      <c r="B1587" t="inlineStr">
        <is>
          <t>2.1</t>
        </is>
      </c>
      <c r="C1587" t="inlineStr">
        <is>
          <t>Cassava</t>
        </is>
      </c>
      <c r="D1587" t="inlineStr">
        <is>
          <t>Yuca</t>
        </is>
      </c>
    </row>
    <row r="1588">
      <c r="A1588" t="inlineStr">
        <is>
          <t>crop2</t>
        </is>
      </c>
      <c r="B1588" t="inlineStr">
        <is>
          <t>2.3</t>
        </is>
      </c>
      <c r="C1588" t="inlineStr">
        <is>
          <t>Sweet Potatoes</t>
        </is>
      </c>
      <c r="D1588" t="inlineStr">
        <is>
          <t>Patatas dulces</t>
        </is>
      </c>
    </row>
    <row r="1589">
      <c r="A1589" t="inlineStr">
        <is>
          <t>crop2</t>
        </is>
      </c>
      <c r="B1589" t="inlineStr">
        <is>
          <t>2.4</t>
        </is>
      </c>
      <c r="C1589" t="inlineStr">
        <is>
          <t>Yams</t>
        </is>
      </c>
      <c r="D1589" t="inlineStr">
        <is>
          <t>Ñames</t>
        </is>
      </c>
    </row>
    <row r="1590">
      <c r="A1590" t="inlineStr">
        <is>
          <t>crop2</t>
        </is>
      </c>
      <c r="B1590" t="inlineStr">
        <is>
          <t>2.5</t>
        </is>
      </c>
      <c r="C1590" t="inlineStr">
        <is>
          <t>Carrots</t>
        </is>
      </c>
      <c r="D1590" t="inlineStr">
        <is>
          <t>Zanahorias</t>
        </is>
      </c>
    </row>
    <row r="1591">
      <c r="A1591" t="inlineStr">
        <is>
          <t>crop2</t>
        </is>
      </c>
      <c r="B1591" t="inlineStr">
        <is>
          <t>2.6</t>
        </is>
      </c>
      <c r="C1591" t="inlineStr">
        <is>
          <t>Cocoyam</t>
        </is>
      </c>
      <c r="D1591" t="inlineStr">
        <is>
          <t>Cocoyam</t>
        </is>
      </c>
    </row>
    <row r="1592">
      <c r="A1592" t="inlineStr">
        <is>
          <t>crop2</t>
        </is>
      </c>
      <c r="B1592" t="inlineStr">
        <is>
          <t>2.99</t>
        </is>
      </c>
      <c r="C1592" t="inlineStr">
        <is>
          <t>Other tubers</t>
        </is>
      </c>
      <c r="D1592" t="inlineStr">
        <is>
          <t>Otros tubérculos</t>
        </is>
      </c>
    </row>
    <row r="1593">
      <c r="A1593" t="inlineStr">
        <is>
          <t>crop2</t>
        </is>
      </c>
      <c r="B1593" t="inlineStr">
        <is>
          <t>3.2</t>
        </is>
      </c>
      <c r="C1593" t="inlineStr">
        <is>
          <t>Lentils</t>
        </is>
      </c>
      <c r="D1593" t="inlineStr">
        <is>
          <t>Lentejas</t>
        </is>
      </c>
    </row>
    <row r="1594">
      <c r="A1594" t="inlineStr">
        <is>
          <t>crop2</t>
        </is>
      </c>
      <c r="B1594" t="inlineStr">
        <is>
          <t>3.3</t>
        </is>
      </c>
      <c r="C1594" t="inlineStr">
        <is>
          <t>Peas</t>
        </is>
      </c>
      <c r="D1594" t="inlineStr">
        <is>
          <t>Guisantes</t>
        </is>
      </c>
    </row>
    <row r="1595">
      <c r="A1595" t="inlineStr">
        <is>
          <t>crop2</t>
        </is>
      </c>
      <c r="B1595" t="inlineStr">
        <is>
          <t>3.4</t>
        </is>
      </c>
      <c r="C1595" t="inlineStr">
        <is>
          <t>Soybeans</t>
        </is>
      </c>
      <c r="D1595" t="inlineStr">
        <is>
          <t>Soja</t>
        </is>
      </c>
    </row>
    <row r="1596">
      <c r="A1596" t="inlineStr">
        <is>
          <t>crop2</t>
        </is>
      </c>
      <c r="B1596" t="inlineStr">
        <is>
          <t>3.5</t>
        </is>
      </c>
      <c r="C1596" t="inlineStr">
        <is>
          <t>Chickpeas</t>
        </is>
      </c>
      <c r="D1596" t="inlineStr">
        <is>
          <t>Garbanzos</t>
        </is>
      </c>
    </row>
    <row r="1597">
      <c r="A1597" t="inlineStr">
        <is>
          <t>crop2</t>
        </is>
      </c>
      <c r="B1597" t="inlineStr">
        <is>
          <t>3.6</t>
        </is>
      </c>
      <c r="C1597" t="inlineStr">
        <is>
          <t>Fava beans</t>
        </is>
      </c>
      <c r="D1597" t="inlineStr">
        <is>
          <t>Habas</t>
        </is>
      </c>
    </row>
    <row r="1598">
      <c r="A1598" t="inlineStr">
        <is>
          <t>crop2</t>
        </is>
      </c>
      <c r="B1598" t="inlineStr">
        <is>
          <t>3.7</t>
        </is>
      </c>
      <c r="C1598" t="inlineStr">
        <is>
          <t>Broad beans</t>
        </is>
      </c>
      <c r="D1598" t="inlineStr">
        <is>
          <t>Habas</t>
        </is>
      </c>
    </row>
    <row r="1599">
      <c r="A1599" t="inlineStr">
        <is>
          <t>crop2</t>
        </is>
      </c>
      <c r="B1599" t="inlineStr">
        <is>
          <t>3.99</t>
        </is>
      </c>
      <c r="C1599" t="inlineStr">
        <is>
          <t>Other pulses</t>
        </is>
      </c>
      <c r="D1599" t="inlineStr">
        <is>
          <t>Otras legumbres</t>
        </is>
      </c>
    </row>
    <row r="1600">
      <c r="A1600" t="inlineStr">
        <is>
          <t>crop2</t>
        </is>
      </c>
      <c r="B1600" t="inlineStr">
        <is>
          <t>4.1</t>
        </is>
      </c>
      <c r="C1600" t="inlineStr">
        <is>
          <t>Cabbage</t>
        </is>
      </c>
      <c r="D1600" t="inlineStr">
        <is>
          <t>Coles</t>
        </is>
      </c>
    </row>
    <row r="1601">
      <c r="A1601" t="inlineStr">
        <is>
          <t>crop2</t>
        </is>
      </c>
      <c r="B1601" t="inlineStr">
        <is>
          <t>4.101</t>
        </is>
      </c>
      <c r="C1601" t="inlineStr">
        <is>
          <t>Cauliflower</t>
        </is>
      </c>
      <c r="D1601" t="inlineStr">
        <is>
          <t>Coliflor</t>
        </is>
      </c>
    </row>
    <row r="1602">
      <c r="A1602" t="inlineStr">
        <is>
          <t>crop2</t>
        </is>
      </c>
      <c r="B1602" t="inlineStr">
        <is>
          <t>4.4</t>
        </is>
      </c>
      <c r="C1602" t="inlineStr">
        <is>
          <t>Cassava leaves</t>
        </is>
      </c>
      <c r="D1602" t="inlineStr">
        <is>
          <t>Hojas de yuca/mandioca</t>
        </is>
      </c>
    </row>
    <row r="1603">
      <c r="A1603" t="inlineStr">
        <is>
          <t>crop2</t>
        </is>
      </c>
      <c r="B1603" t="inlineStr">
        <is>
          <t>4.5</t>
        </is>
      </c>
      <c r="C1603" t="inlineStr">
        <is>
          <t>Potatoe leaves</t>
        </is>
      </c>
      <c r="D1603" t="inlineStr">
        <is>
          <t>Hojas de patata</t>
        </is>
      </c>
    </row>
    <row r="1604">
      <c r="A1604" t="inlineStr">
        <is>
          <t>crop2</t>
        </is>
      </c>
      <c r="B1604" t="inlineStr">
        <is>
          <t>4.6</t>
        </is>
      </c>
      <c r="C1604" t="inlineStr">
        <is>
          <t>Moringa</t>
        </is>
      </c>
      <c r="D1604" t="inlineStr">
        <is>
          <t>Moringa</t>
        </is>
      </c>
    </row>
    <row r="1605">
      <c r="A1605" t="inlineStr">
        <is>
          <t>crop2</t>
        </is>
      </c>
      <c r="B1605" t="inlineStr">
        <is>
          <t>4.7</t>
        </is>
      </c>
      <c r="C1605" t="inlineStr">
        <is>
          <t>Sorrel Hibiscus / Rosselle</t>
        </is>
      </c>
      <c r="D1605" t="inlineStr">
        <is>
          <t>Rosella / Flor de jamaica</t>
        </is>
      </c>
    </row>
    <row r="1606">
      <c r="A1606" t="inlineStr">
        <is>
          <t>crop2</t>
        </is>
      </c>
      <c r="B1606" t="inlineStr">
        <is>
          <t>4.99</t>
        </is>
      </c>
      <c r="C1606" t="inlineStr">
        <is>
          <t>Other leafy vegetables</t>
        </is>
      </c>
      <c r="D1606" t="inlineStr">
        <is>
          <t>Otras verduras de hoja</t>
        </is>
      </c>
    </row>
    <row r="1607">
      <c r="A1607" t="inlineStr">
        <is>
          <t>crop2</t>
        </is>
      </c>
      <c r="B1607" t="inlineStr">
        <is>
          <t>5.101</t>
        </is>
      </c>
      <c r="C1607" t="inlineStr">
        <is>
          <t>Green peas</t>
        </is>
      </c>
      <c r="D1607" t="inlineStr">
        <is>
          <t>Arberjas</t>
        </is>
      </c>
    </row>
    <row r="1608">
      <c r="A1608" t="inlineStr">
        <is>
          <t>crop2</t>
        </is>
      </c>
      <c r="B1608" t="inlineStr">
        <is>
          <t>5.11</t>
        </is>
      </c>
      <c r="C1608" t="inlineStr">
        <is>
          <t>Fava beans green</t>
        </is>
      </c>
      <c r="D1608" t="inlineStr">
        <is>
          <t>Habas verdes</t>
        </is>
      </c>
    </row>
    <row r="1609">
      <c r="A1609" t="inlineStr">
        <is>
          <t>crop2</t>
        </is>
      </c>
      <c r="B1609" t="inlineStr">
        <is>
          <t>5.2</t>
        </is>
      </c>
      <c r="C1609" t="inlineStr">
        <is>
          <t>Cucumber</t>
        </is>
      </c>
      <c r="D1609" t="inlineStr">
        <is>
          <t>Pepino</t>
        </is>
      </c>
    </row>
    <row r="1610">
      <c r="A1610" t="inlineStr">
        <is>
          <t>crop2</t>
        </is>
      </c>
      <c r="B1610" t="inlineStr">
        <is>
          <t>5.3</t>
        </is>
      </c>
      <c r="C1610" t="inlineStr">
        <is>
          <t>Pumpkin</t>
        </is>
      </c>
      <c r="D1610" t="inlineStr">
        <is>
          <t>Calabaza</t>
        </is>
      </c>
    </row>
    <row r="1611">
      <c r="A1611" t="inlineStr">
        <is>
          <t>crop2</t>
        </is>
      </c>
      <c r="B1611" t="inlineStr">
        <is>
          <t>5.4</t>
        </is>
      </c>
      <c r="C1611" t="inlineStr">
        <is>
          <t>Eggplant/aubergine</t>
        </is>
      </c>
      <c r="D1611" t="inlineStr">
        <is>
          <t>Berenjena</t>
        </is>
      </c>
    </row>
    <row r="1612">
      <c r="A1612" t="inlineStr">
        <is>
          <t>crop2</t>
        </is>
      </c>
      <c r="B1612" t="inlineStr">
        <is>
          <t>5.5</t>
        </is>
      </c>
      <c r="C1612" t="inlineStr">
        <is>
          <t>Zucchini</t>
        </is>
      </c>
      <c r="D1612" t="inlineStr">
        <is>
          <t>Calabacín</t>
        </is>
      </c>
    </row>
    <row r="1613">
      <c r="A1613" t="inlineStr">
        <is>
          <t>crop2</t>
        </is>
      </c>
      <c r="B1613" t="inlineStr">
        <is>
          <t>5.6</t>
        </is>
      </c>
      <c r="C1613" t="inlineStr">
        <is>
          <t>Okra</t>
        </is>
      </c>
      <c r="D1613" t="inlineStr">
        <is>
          <t>Okra</t>
        </is>
      </c>
    </row>
    <row r="1614">
      <c r="A1614" t="inlineStr">
        <is>
          <t>crop2</t>
        </is>
      </c>
      <c r="B1614" t="inlineStr">
        <is>
          <t>5.7</t>
        </is>
      </c>
      <c r="C1614" t="inlineStr">
        <is>
          <t>Bell pepper</t>
        </is>
      </c>
      <c r="D1614" t="inlineStr">
        <is>
          <t>Pimiento</t>
        </is>
      </c>
    </row>
    <row r="1615">
      <c r="A1615" t="inlineStr">
        <is>
          <t>crop2</t>
        </is>
      </c>
      <c r="B1615" t="inlineStr">
        <is>
          <t>5.9</t>
        </is>
      </c>
      <c r="C1615" t="inlineStr">
        <is>
          <t>Haricot</t>
        </is>
      </c>
      <c r="D1615" t="inlineStr">
        <is>
          <t>Judías</t>
        </is>
      </c>
    </row>
    <row r="1616">
      <c r="A1616" t="inlineStr">
        <is>
          <t>crop2</t>
        </is>
      </c>
      <c r="B1616" t="inlineStr">
        <is>
          <t>5.99</t>
        </is>
      </c>
      <c r="C1616" t="inlineStr">
        <is>
          <t>Other non leafy vegs</t>
        </is>
      </c>
      <c r="D1616" t="inlineStr">
        <is>
          <t>Otras verduras</t>
        </is>
      </c>
    </row>
    <row r="1617">
      <c r="A1617" t="inlineStr">
        <is>
          <t>crop2</t>
        </is>
      </c>
      <c r="B1617" t="inlineStr">
        <is>
          <t>6.1</t>
        </is>
      </c>
      <c r="C1617" t="inlineStr">
        <is>
          <t>Orange</t>
        </is>
      </c>
      <c r="D1617" t="inlineStr">
        <is>
          <t>Naranja</t>
        </is>
      </c>
    </row>
    <row r="1618">
      <c r="A1618" t="inlineStr">
        <is>
          <t>crop2</t>
        </is>
      </c>
      <c r="B1618" t="inlineStr">
        <is>
          <t>6.2</t>
        </is>
      </c>
      <c r="C1618" t="inlineStr">
        <is>
          <t>Lemon</t>
        </is>
      </c>
      <c r="D1618" t="inlineStr">
        <is>
          <t>Limón</t>
        </is>
      </c>
    </row>
    <row r="1619">
      <c r="A1619" t="inlineStr">
        <is>
          <t>crop2</t>
        </is>
      </c>
      <c r="B1619" t="inlineStr">
        <is>
          <t>6.3</t>
        </is>
      </c>
      <c r="C1619" t="inlineStr">
        <is>
          <t>Grapefruit</t>
        </is>
      </c>
      <c r="D1619" t="inlineStr">
        <is>
          <t>Pomelo</t>
        </is>
      </c>
    </row>
    <row r="1620">
      <c r="A1620" t="inlineStr">
        <is>
          <t>crop2</t>
        </is>
      </c>
      <c r="B1620" t="inlineStr">
        <is>
          <t>6.4</t>
        </is>
      </c>
      <c r="C1620" t="inlineStr">
        <is>
          <t>Mandarins/clementines</t>
        </is>
      </c>
      <c r="D1620" t="inlineStr">
        <is>
          <t>Mandarinas</t>
        </is>
      </c>
    </row>
    <row r="1621">
      <c r="A1621" t="inlineStr">
        <is>
          <t>crop2</t>
        </is>
      </c>
      <c r="B1621" t="inlineStr">
        <is>
          <t>6.99</t>
        </is>
      </c>
      <c r="C1621" t="inlineStr">
        <is>
          <t>Other citrus fruit</t>
        </is>
      </c>
      <c r="D1621" t="inlineStr">
        <is>
          <t>Otros cítricos</t>
        </is>
      </c>
    </row>
    <row r="1622">
      <c r="A1622" t="inlineStr">
        <is>
          <t>crop2</t>
        </is>
      </c>
      <c r="B1622" t="inlineStr">
        <is>
          <t>7.1</t>
        </is>
      </c>
      <c r="C1622" t="inlineStr">
        <is>
          <t>Sweet Banana</t>
        </is>
      </c>
      <c r="D1622" t="inlineStr">
        <is>
          <t>Plátano dulce / bananas</t>
        </is>
      </c>
    </row>
    <row r="1623">
      <c r="A1623" t="inlineStr">
        <is>
          <t>crop2</t>
        </is>
      </c>
      <c r="B1623" t="inlineStr">
        <is>
          <t>7.101</t>
        </is>
      </c>
      <c r="C1623" t="inlineStr">
        <is>
          <t>Figs</t>
        </is>
      </c>
      <c r="D1623" t="inlineStr">
        <is>
          <t>Higos</t>
        </is>
      </c>
    </row>
    <row r="1624">
      <c r="A1624" t="inlineStr">
        <is>
          <t>crop2</t>
        </is>
      </c>
      <c r="B1624" t="inlineStr">
        <is>
          <t>7.11</t>
        </is>
      </c>
      <c r="C1624" t="inlineStr">
        <is>
          <t>Grapes</t>
        </is>
      </c>
      <c r="D1624" t="inlineStr">
        <is>
          <t>Uvas</t>
        </is>
      </c>
    </row>
    <row r="1625">
      <c r="A1625" t="inlineStr">
        <is>
          <t>crop2</t>
        </is>
      </c>
      <c r="B1625" t="inlineStr">
        <is>
          <t>7.12</t>
        </is>
      </c>
      <c r="C1625" t="inlineStr">
        <is>
          <t>Olives</t>
        </is>
      </c>
      <c r="D1625" t="inlineStr">
        <is>
          <t>Aceitunas</t>
        </is>
      </c>
    </row>
    <row r="1626">
      <c r="A1626" t="inlineStr">
        <is>
          <t>crop2</t>
        </is>
      </c>
      <c r="B1626" t="inlineStr">
        <is>
          <t>7.13</t>
        </is>
      </c>
      <c r="C1626" t="inlineStr">
        <is>
          <t>Apple</t>
        </is>
      </c>
      <c r="D1626" t="inlineStr">
        <is>
          <t>Manzanas</t>
        </is>
      </c>
    </row>
    <row r="1627">
      <c r="A1627" t="inlineStr">
        <is>
          <t>crop2</t>
        </is>
      </c>
      <c r="B1627" t="inlineStr">
        <is>
          <t>7.14</t>
        </is>
      </c>
      <c r="C1627" t="inlineStr">
        <is>
          <t>Apricot</t>
        </is>
      </c>
      <c r="D1627" t="inlineStr">
        <is>
          <t>Albaricoques</t>
        </is>
      </c>
    </row>
    <row r="1628">
      <c r="A1628" t="inlineStr">
        <is>
          <t>crop2</t>
        </is>
      </c>
      <c r="B1628" t="inlineStr">
        <is>
          <t>7.15</t>
        </is>
      </c>
      <c r="C1628" t="inlineStr">
        <is>
          <t>Cherries</t>
        </is>
      </c>
      <c r="D1628" t="inlineStr">
        <is>
          <t>Cerezas</t>
        </is>
      </c>
    </row>
    <row r="1629">
      <c r="A1629" t="inlineStr">
        <is>
          <t>crop2</t>
        </is>
      </c>
      <c r="B1629" t="inlineStr">
        <is>
          <t>7.16</t>
        </is>
      </c>
      <c r="C1629" t="inlineStr">
        <is>
          <t>Peach/nectarine</t>
        </is>
      </c>
      <c r="D1629" t="inlineStr">
        <is>
          <t>Duraznos/ nectárinas</t>
        </is>
      </c>
    </row>
    <row r="1630">
      <c r="A1630" t="inlineStr">
        <is>
          <t>crop2</t>
        </is>
      </c>
      <c r="B1630" t="inlineStr">
        <is>
          <t>7.17</t>
        </is>
      </c>
      <c r="C1630" t="inlineStr">
        <is>
          <t>Strawberries</t>
        </is>
      </c>
      <c r="D1630" t="inlineStr">
        <is>
          <t>Fresas</t>
        </is>
      </c>
    </row>
    <row r="1631">
      <c r="A1631" t="inlineStr">
        <is>
          <t>crop2</t>
        </is>
      </c>
      <c r="B1631" t="inlineStr">
        <is>
          <t>7.18</t>
        </is>
      </c>
      <c r="C1631" t="inlineStr">
        <is>
          <t>Melon (Cantaloupe)</t>
        </is>
      </c>
      <c r="D1631" t="inlineStr">
        <is>
          <t>Melon</t>
        </is>
      </c>
    </row>
    <row r="1632">
      <c r="A1632" t="inlineStr">
        <is>
          <t>crop2</t>
        </is>
      </c>
      <c r="B1632" t="inlineStr">
        <is>
          <t>7.2</t>
        </is>
      </c>
      <c r="C1632" t="inlineStr">
        <is>
          <t>Plantains</t>
        </is>
      </c>
      <c r="D1632" t="inlineStr">
        <is>
          <t>Plátano</t>
        </is>
      </c>
    </row>
    <row r="1633">
      <c r="A1633" t="inlineStr">
        <is>
          <t>crop2</t>
        </is>
      </c>
      <c r="B1633" t="inlineStr">
        <is>
          <t>7.3</t>
        </is>
      </c>
      <c r="C1633" t="inlineStr">
        <is>
          <t>Papaya</t>
        </is>
      </c>
      <c r="D1633" t="inlineStr">
        <is>
          <t>Papaya</t>
        </is>
      </c>
    </row>
    <row r="1634">
      <c r="A1634" t="inlineStr">
        <is>
          <t>crop2</t>
        </is>
      </c>
      <c r="B1634" t="inlineStr">
        <is>
          <t>7.4</t>
        </is>
      </c>
      <c r="C1634" t="inlineStr">
        <is>
          <t>Mango</t>
        </is>
      </c>
      <c r="D1634" t="inlineStr">
        <is>
          <t>Mango</t>
        </is>
      </c>
    </row>
    <row r="1635">
      <c r="A1635" t="inlineStr">
        <is>
          <t>crop2</t>
        </is>
      </c>
      <c r="B1635" t="inlineStr">
        <is>
          <t>7.5</t>
        </is>
      </c>
      <c r="C1635" t="inlineStr">
        <is>
          <t>Guava</t>
        </is>
      </c>
      <c r="D1635" t="inlineStr">
        <is>
          <t>Guayaba</t>
        </is>
      </c>
    </row>
    <row r="1636">
      <c r="A1636" t="inlineStr">
        <is>
          <t>crop2</t>
        </is>
      </c>
      <c r="B1636" t="inlineStr">
        <is>
          <t>7.6</t>
        </is>
      </c>
      <c r="C1636" t="inlineStr">
        <is>
          <t>Pineapple</t>
        </is>
      </c>
      <c r="D1636" t="inlineStr">
        <is>
          <t>Piña</t>
        </is>
      </c>
    </row>
    <row r="1637">
      <c r="A1637" t="inlineStr">
        <is>
          <t>crop2</t>
        </is>
      </c>
      <c r="B1637" t="inlineStr">
        <is>
          <t>7.7</t>
        </is>
      </c>
      <c r="C1637" t="inlineStr">
        <is>
          <t>Avocado</t>
        </is>
      </c>
      <c r="D1637" t="inlineStr">
        <is>
          <t>Aguacate</t>
        </is>
      </c>
    </row>
    <row r="1638">
      <c r="A1638" t="inlineStr">
        <is>
          <t>crop2</t>
        </is>
      </c>
      <c r="B1638" t="inlineStr">
        <is>
          <t>7.8</t>
        </is>
      </c>
      <c r="C1638" t="inlineStr">
        <is>
          <t>Water Melon</t>
        </is>
      </c>
      <c r="D1638" t="inlineStr">
        <is>
          <t>Sandías</t>
        </is>
      </c>
    </row>
    <row r="1639">
      <c r="A1639" t="inlineStr">
        <is>
          <t>crop2</t>
        </is>
      </c>
      <c r="B1639" t="inlineStr">
        <is>
          <t>7.9</t>
        </is>
      </c>
      <c r="C1639" t="inlineStr">
        <is>
          <t>Dates</t>
        </is>
      </c>
      <c r="D1639" t="inlineStr">
        <is>
          <t>Dátiles</t>
        </is>
      </c>
    </row>
    <row r="1640">
      <c r="A1640" t="inlineStr">
        <is>
          <t>crop2</t>
        </is>
      </c>
      <c r="B1640" t="inlineStr">
        <is>
          <t>7.99</t>
        </is>
      </c>
      <c r="C1640" t="inlineStr">
        <is>
          <t>Other fruit</t>
        </is>
      </c>
      <c r="D1640" t="inlineStr">
        <is>
          <t>Otras frutas</t>
        </is>
      </c>
    </row>
    <row r="1641">
      <c r="A1641" t="inlineStr">
        <is>
          <t>crop2</t>
        </is>
      </c>
      <c r="B1641" t="inlineStr">
        <is>
          <t>8.1</t>
        </is>
      </c>
      <c r="C1641" t="inlineStr">
        <is>
          <t>Coconuts</t>
        </is>
      </c>
      <c r="D1641" t="inlineStr">
        <is>
          <t>Coco</t>
        </is>
      </c>
    </row>
    <row r="1642">
      <c r="A1642" t="inlineStr">
        <is>
          <t>crop2</t>
        </is>
      </c>
      <c r="B1642" t="inlineStr">
        <is>
          <t>8.2</t>
        </is>
      </c>
      <c r="C1642" t="inlineStr">
        <is>
          <t>Groundnut/peanut</t>
        </is>
      </c>
      <c r="D1642" t="inlineStr">
        <is>
          <t>Cacahuates/maní</t>
        </is>
      </c>
    </row>
    <row r="1643">
      <c r="A1643" t="inlineStr">
        <is>
          <t>crop2</t>
        </is>
      </c>
      <c r="B1643" t="inlineStr">
        <is>
          <t>8.3</t>
        </is>
      </c>
      <c r="C1643" t="inlineStr">
        <is>
          <t>Cashew Nut</t>
        </is>
      </c>
      <c r="D1643" t="inlineStr">
        <is>
          <t>Anacardos</t>
        </is>
      </c>
    </row>
    <row r="1644">
      <c r="A1644" t="inlineStr">
        <is>
          <t>crop2</t>
        </is>
      </c>
      <c r="B1644" t="inlineStr">
        <is>
          <t>8.4</t>
        </is>
      </c>
      <c r="C1644" t="inlineStr">
        <is>
          <t>Kola Nut</t>
        </is>
      </c>
      <c r="D1644" t="inlineStr">
        <is>
          <t>Nuez de cola</t>
        </is>
      </c>
    </row>
    <row r="1645">
      <c r="A1645" t="inlineStr">
        <is>
          <t>crop2</t>
        </is>
      </c>
      <c r="B1645" t="inlineStr">
        <is>
          <t>8.5</t>
        </is>
      </c>
      <c r="C1645" t="inlineStr">
        <is>
          <t>Sesame</t>
        </is>
      </c>
      <c r="D1645" t="inlineStr">
        <is>
          <t>Sésamo</t>
        </is>
      </c>
    </row>
    <row r="1646">
      <c r="A1646" t="inlineStr">
        <is>
          <t>crop2</t>
        </is>
      </c>
      <c r="B1646" t="inlineStr">
        <is>
          <t>8.6</t>
        </is>
      </c>
      <c r="C1646" t="inlineStr">
        <is>
          <t>Bambara nut</t>
        </is>
      </c>
      <c r="D1646" t="inlineStr">
        <is>
          <t>Nuez de bambara</t>
        </is>
      </c>
    </row>
    <row r="1647">
      <c r="A1647" t="inlineStr">
        <is>
          <t>crop2</t>
        </is>
      </c>
      <c r="B1647" t="inlineStr">
        <is>
          <t>8.7</t>
        </is>
      </c>
      <c r="C1647" t="inlineStr">
        <is>
          <t>Almond</t>
        </is>
      </c>
      <c r="D1647" t="inlineStr">
        <is>
          <t>Almendra</t>
        </is>
      </c>
    </row>
    <row r="1648">
      <c r="A1648" t="inlineStr">
        <is>
          <t>crop2</t>
        </is>
      </c>
      <c r="B1648" t="inlineStr">
        <is>
          <t>8.8</t>
        </is>
      </c>
      <c r="C1648" t="inlineStr">
        <is>
          <t>Walnut</t>
        </is>
      </c>
      <c r="D1648" t="inlineStr">
        <is>
          <t>Nuez</t>
        </is>
      </c>
    </row>
    <row r="1649">
      <c r="A1649" t="inlineStr">
        <is>
          <t>crop2</t>
        </is>
      </c>
      <c r="B1649" t="inlineStr">
        <is>
          <t>8.99</t>
        </is>
      </c>
      <c r="C1649" t="inlineStr">
        <is>
          <t>Other nuts</t>
        </is>
      </c>
      <c r="D1649" t="inlineStr">
        <is>
          <t>Otros frutos secos</t>
        </is>
      </c>
    </row>
    <row r="1650">
      <c r="A1650" t="inlineStr">
        <is>
          <t>crop2</t>
        </is>
      </c>
      <c r="B1650" t="inlineStr">
        <is>
          <t>9.1</t>
        </is>
      </c>
      <c r="C1650" t="inlineStr">
        <is>
          <t>Cocoa</t>
        </is>
      </c>
      <c r="D1650" t="inlineStr">
        <is>
          <t>Cacao</t>
        </is>
      </c>
    </row>
    <row r="1651">
      <c r="A1651" t="inlineStr">
        <is>
          <t>crop2</t>
        </is>
      </c>
      <c r="B1651" t="inlineStr">
        <is>
          <t>9.3</t>
        </is>
      </c>
      <c r="C1651" t="inlineStr">
        <is>
          <t>Tea</t>
        </is>
      </c>
      <c r="D1651" t="inlineStr">
        <is>
          <t>Té</t>
        </is>
      </c>
    </row>
    <row r="1652">
      <c r="A1652" t="inlineStr">
        <is>
          <t>crop2</t>
        </is>
      </c>
      <c r="B1652" t="inlineStr">
        <is>
          <t>9.4</t>
        </is>
      </c>
      <c r="C1652" t="inlineStr">
        <is>
          <t>Sugarcane</t>
        </is>
      </c>
      <c r="D1652" t="inlineStr">
        <is>
          <t>Caña de azúcar</t>
        </is>
      </c>
    </row>
    <row r="1653">
      <c r="A1653" t="inlineStr">
        <is>
          <t>crop2</t>
        </is>
      </c>
      <c r="B1653" t="inlineStr">
        <is>
          <t>9.5</t>
        </is>
      </c>
      <c r="C1653" t="inlineStr">
        <is>
          <t>Sunflower</t>
        </is>
      </c>
      <c r="D1653" t="inlineStr">
        <is>
          <t>Girasol (plantas o semillas)</t>
        </is>
      </c>
    </row>
    <row r="1654">
      <c r="A1654" t="inlineStr">
        <is>
          <t>crop2</t>
        </is>
      </c>
      <c r="B1654" t="inlineStr">
        <is>
          <t>9.99</t>
        </is>
      </c>
      <c r="C1654" t="inlineStr">
        <is>
          <t>Other food cash crop</t>
        </is>
      </c>
      <c r="D1654" t="inlineStr">
        <is>
          <t>Otros cultivos comerciales alimentarios</t>
        </is>
      </c>
    </row>
    <row r="1655">
      <c r="A1655" t="inlineStr">
        <is>
          <t>crop2</t>
        </is>
      </c>
      <c r="B1655" t="inlineStr">
        <is>
          <t>10.1</t>
        </is>
      </c>
      <c r="C1655" t="inlineStr">
        <is>
          <t>Cotton</t>
        </is>
      </c>
      <c r="D1655" t="inlineStr">
        <is>
          <t>Algodón</t>
        </is>
      </c>
    </row>
    <row r="1656">
      <c r="A1656" t="inlineStr">
        <is>
          <t>crop2</t>
        </is>
      </c>
      <c r="B1656" t="inlineStr">
        <is>
          <t>10.2</t>
        </is>
      </c>
      <c r="C1656" t="inlineStr">
        <is>
          <t>Rubber</t>
        </is>
      </c>
      <c r="D1656" t="inlineStr">
        <is>
          <t>Caucho</t>
        </is>
      </c>
    </row>
    <row r="1657">
      <c r="A1657" t="inlineStr">
        <is>
          <t>crop2</t>
        </is>
      </c>
      <c r="B1657" t="inlineStr">
        <is>
          <t>10.3</t>
        </is>
      </c>
      <c r="C1657" t="inlineStr">
        <is>
          <t>Jute</t>
        </is>
      </c>
      <c r="D1657" t="inlineStr">
        <is>
          <t>Yute</t>
        </is>
      </c>
    </row>
    <row r="1658">
      <c r="A1658" t="inlineStr">
        <is>
          <t>crop2</t>
        </is>
      </c>
      <c r="B1658" t="inlineStr">
        <is>
          <t>10.4</t>
        </is>
      </c>
      <c r="C1658" t="inlineStr">
        <is>
          <t>Fodder</t>
        </is>
      </c>
      <c r="D1658" t="inlineStr">
        <is>
          <t>Forraje</t>
        </is>
      </c>
    </row>
    <row r="1659">
      <c r="A1659" t="inlineStr">
        <is>
          <t>crop2</t>
        </is>
      </c>
      <c r="B1659" t="inlineStr">
        <is>
          <t>10.5</t>
        </is>
      </c>
      <c r="C1659" t="inlineStr">
        <is>
          <t>Tobacco</t>
        </is>
      </c>
      <c r="D1659" t="inlineStr">
        <is>
          <t>Tabaco</t>
        </is>
      </c>
    </row>
    <row r="1660">
      <c r="A1660" t="inlineStr">
        <is>
          <t>crop2</t>
        </is>
      </c>
      <c r="B1660" t="inlineStr">
        <is>
          <t>10.6</t>
        </is>
      </c>
      <c r="C1660" t="inlineStr">
        <is>
          <t>Qat</t>
        </is>
      </c>
      <c r="D1660" t="inlineStr">
        <is>
          <t>Qat</t>
        </is>
      </c>
    </row>
    <row r="1661">
      <c r="A1661" t="inlineStr">
        <is>
          <t>crop2</t>
        </is>
      </c>
      <c r="B1661" t="inlineStr">
        <is>
          <t>10.99</t>
        </is>
      </c>
      <c r="C1661" t="inlineStr">
        <is>
          <t>Other non-food cash crop</t>
        </is>
      </c>
      <c r="D1661" t="inlineStr">
        <is>
          <t>Otros cultivos comerciales no alimentarios</t>
        </is>
      </c>
    </row>
    <row r="1662">
      <c r="A1662" t="inlineStr">
        <is>
          <t>crop2</t>
        </is>
      </c>
      <c r="B1662" t="inlineStr">
        <is>
          <t>666</t>
        </is>
      </c>
      <c r="C1662" t="inlineStr">
        <is>
          <t>No other crop</t>
        </is>
      </c>
      <c r="D1662" t="inlineStr">
        <is>
          <t>Ningún otro cultivo</t>
        </is>
      </c>
    </row>
    <row r="1663">
      <c r="A1663" t="inlineStr">
        <is>
          <t>crop2</t>
        </is>
      </c>
      <c r="B1663" t="inlineStr">
        <is>
          <t>888</t>
        </is>
      </c>
      <c r="C1663" t="inlineStr">
        <is>
          <t>Don't know</t>
        </is>
      </c>
      <c r="D1663" t="inlineStr">
        <is>
          <t>no sé</t>
        </is>
      </c>
    </row>
    <row r="1664">
      <c r="A1664" t="inlineStr">
        <is>
          <t>crop2</t>
        </is>
      </c>
      <c r="B1664" t="inlineStr">
        <is>
          <t>999</t>
        </is>
      </c>
      <c r="C1664" t="inlineStr">
        <is>
          <t>Refused</t>
        </is>
      </c>
      <c r="D1664" t="inlineStr">
        <is>
          <t>Rechazado</t>
        </is>
      </c>
    </row>
    <row r="1666">
      <c r="A1666" t="inlineStr">
        <is>
          <t>crop3</t>
        </is>
      </c>
      <c r="B1666" t="inlineStr">
        <is>
          <t>1.4</t>
        </is>
      </c>
      <c r="C1666" t="inlineStr">
        <is>
          <t>Sorghum</t>
        </is>
      </c>
      <c r="D1666" t="inlineStr">
        <is>
          <t>Sorgo</t>
        </is>
      </c>
    </row>
    <row r="1667">
      <c r="A1667" t="inlineStr">
        <is>
          <t>crop3</t>
        </is>
      </c>
      <c r="B1667" t="inlineStr">
        <is>
          <t>1.5</t>
        </is>
      </c>
      <c r="C1667" t="inlineStr">
        <is>
          <t>Maize</t>
        </is>
      </c>
      <c r="D1667" t="inlineStr">
        <is>
          <t>Maíz</t>
        </is>
      </c>
    </row>
    <row r="1668">
      <c r="A1668" t="inlineStr">
        <is>
          <t>crop3</t>
        </is>
      </c>
      <c r="B1668" t="inlineStr">
        <is>
          <t>2.2</t>
        </is>
      </c>
      <c r="C1668" t="inlineStr">
        <is>
          <t>Potatoe</t>
        </is>
      </c>
      <c r="D1668" t="inlineStr">
        <is>
          <t>Patatas</t>
        </is>
      </c>
    </row>
    <row r="1669">
      <c r="A1669" t="inlineStr">
        <is>
          <t>crop3</t>
        </is>
      </c>
      <c r="B1669" t="inlineStr">
        <is>
          <t>3.1</t>
        </is>
      </c>
      <c r="C1669" t="inlineStr">
        <is>
          <t>Beans</t>
        </is>
      </c>
      <c r="D1669" t="inlineStr">
        <is>
          <t>Frijoles</t>
        </is>
      </c>
    </row>
    <row r="1670">
      <c r="A1670" t="inlineStr">
        <is>
          <t>crop3</t>
        </is>
      </c>
      <c r="B1670" t="inlineStr">
        <is>
          <t>4.2</t>
        </is>
      </c>
      <c r="C1670" t="inlineStr">
        <is>
          <t>Lettuce</t>
        </is>
      </c>
      <c r="D1670" t="inlineStr">
        <is>
          <t>Lechuga</t>
        </is>
      </c>
    </row>
    <row r="1671">
      <c r="A1671" t="inlineStr">
        <is>
          <t>crop3</t>
        </is>
      </c>
      <c r="B1671" t="inlineStr">
        <is>
          <t>4.3</t>
        </is>
      </c>
      <c r="C1671" t="inlineStr">
        <is>
          <t>Spinach-Amaranth</t>
        </is>
      </c>
      <c r="D1671" t="inlineStr">
        <is>
          <t>Espinacas-amaranto</t>
        </is>
      </c>
    </row>
    <row r="1672">
      <c r="A1672" t="inlineStr">
        <is>
          <t>crop3</t>
        </is>
      </c>
      <c r="B1672" t="inlineStr">
        <is>
          <t>4.9</t>
        </is>
      </c>
      <c r="C1672" t="inlineStr">
        <is>
          <t>Green salad herbs (thyme, parsley, mint, rocca, other)</t>
        </is>
      </c>
      <c r="D1672" t="inlineStr">
        <is>
          <t>Hierbas verdes para ensalada (tomillo, perejil, menta, rocca, otras)</t>
        </is>
      </c>
    </row>
    <row r="1673">
      <c r="A1673" t="inlineStr">
        <is>
          <t>crop3</t>
        </is>
      </c>
      <c r="B1673" t="inlineStr">
        <is>
          <t>5.1</t>
        </is>
      </c>
      <c r="C1673" t="inlineStr">
        <is>
          <t>Tomatoes</t>
        </is>
      </c>
      <c r="D1673" t="inlineStr">
        <is>
          <t>Tomates</t>
        </is>
      </c>
    </row>
    <row r="1674">
      <c r="A1674" t="inlineStr">
        <is>
          <t>crop3</t>
        </is>
      </c>
      <c r="B1674" t="inlineStr">
        <is>
          <t>5.8</t>
        </is>
      </c>
      <c r="C1674" t="inlineStr">
        <is>
          <t>Onions</t>
        </is>
      </c>
      <c r="D1674" t="inlineStr">
        <is>
          <t>Cebollas</t>
        </is>
      </c>
    </row>
    <row r="1675">
      <c r="A1675" t="inlineStr">
        <is>
          <t>crop3</t>
        </is>
      </c>
      <c r="B1675" t="inlineStr">
        <is>
          <t>9.2</t>
        </is>
      </c>
      <c r="C1675" t="inlineStr">
        <is>
          <t>Coffee</t>
        </is>
      </c>
      <c r="D1675" t="inlineStr">
        <is>
          <t>Café</t>
        </is>
      </c>
    </row>
    <row r="1676">
      <c r="A1676" t="inlineStr">
        <is>
          <t>crop3</t>
        </is>
      </c>
      <c r="B1676" t="inlineStr">
        <is>
          <t>1.1</t>
        </is>
      </c>
      <c r="C1676" t="inlineStr">
        <is>
          <t>Rice</t>
        </is>
      </c>
      <c r="D1676" t="inlineStr">
        <is>
          <t>Arroz</t>
        </is>
      </c>
    </row>
    <row r="1677">
      <c r="A1677" t="inlineStr">
        <is>
          <t>crop3</t>
        </is>
      </c>
      <c r="B1677" t="inlineStr">
        <is>
          <t>1.2</t>
        </is>
      </c>
      <c r="C1677" t="inlineStr">
        <is>
          <t>Wheat</t>
        </is>
      </c>
      <c r="D1677" t="inlineStr">
        <is>
          <t>Trigo</t>
        </is>
      </c>
    </row>
    <row r="1678">
      <c r="A1678" t="inlineStr">
        <is>
          <t>crop3</t>
        </is>
      </c>
      <c r="B1678" t="inlineStr">
        <is>
          <t>1.3</t>
        </is>
      </c>
      <c r="C1678" t="inlineStr">
        <is>
          <t>Millet</t>
        </is>
      </c>
      <c r="D1678" t="inlineStr">
        <is>
          <t>Mijo</t>
        </is>
      </c>
    </row>
    <row r="1679">
      <c r="A1679" t="inlineStr">
        <is>
          <t>crop3</t>
        </is>
      </c>
      <c r="B1679" t="inlineStr">
        <is>
          <t>1.6</t>
        </is>
      </c>
      <c r="C1679" t="inlineStr">
        <is>
          <t>Barley</t>
        </is>
      </c>
      <c r="D1679" t="inlineStr">
        <is>
          <t>Cebada</t>
        </is>
      </c>
    </row>
    <row r="1680">
      <c r="A1680" t="inlineStr">
        <is>
          <t>crop3</t>
        </is>
      </c>
      <c r="B1680" t="inlineStr">
        <is>
          <t>1.99</t>
        </is>
      </c>
      <c r="C1680" t="inlineStr">
        <is>
          <t>Other Cereal</t>
        </is>
      </c>
      <c r="D1680" t="inlineStr">
        <is>
          <t>Otros cereales</t>
        </is>
      </c>
    </row>
    <row r="1681">
      <c r="A1681" t="inlineStr">
        <is>
          <t>crop3</t>
        </is>
      </c>
      <c r="B1681" t="inlineStr">
        <is>
          <t>2.1</t>
        </is>
      </c>
      <c r="C1681" t="inlineStr">
        <is>
          <t>Cassava</t>
        </is>
      </c>
      <c r="D1681" t="inlineStr">
        <is>
          <t>Yuca</t>
        </is>
      </c>
    </row>
    <row r="1682">
      <c r="A1682" t="inlineStr">
        <is>
          <t>crop3</t>
        </is>
      </c>
      <c r="B1682" t="inlineStr">
        <is>
          <t>2.3</t>
        </is>
      </c>
      <c r="C1682" t="inlineStr">
        <is>
          <t>Sweet Potatoes</t>
        </is>
      </c>
      <c r="D1682" t="inlineStr">
        <is>
          <t>Patatas dulces</t>
        </is>
      </c>
    </row>
    <row r="1683">
      <c r="A1683" t="inlineStr">
        <is>
          <t>crop3</t>
        </is>
      </c>
      <c r="B1683" t="inlineStr">
        <is>
          <t>2.4</t>
        </is>
      </c>
      <c r="C1683" t="inlineStr">
        <is>
          <t>Yams</t>
        </is>
      </c>
      <c r="D1683" t="inlineStr">
        <is>
          <t>Ñames</t>
        </is>
      </c>
    </row>
    <row r="1684">
      <c r="A1684" t="inlineStr">
        <is>
          <t>crop3</t>
        </is>
      </c>
      <c r="B1684" t="inlineStr">
        <is>
          <t>2.5</t>
        </is>
      </c>
      <c r="C1684" t="inlineStr">
        <is>
          <t>Carrots</t>
        </is>
      </c>
      <c r="D1684" t="inlineStr">
        <is>
          <t>Zanahorias</t>
        </is>
      </c>
    </row>
    <row r="1685">
      <c r="A1685" t="inlineStr">
        <is>
          <t>crop3</t>
        </is>
      </c>
      <c r="B1685" t="inlineStr">
        <is>
          <t>2.6</t>
        </is>
      </c>
      <c r="C1685" t="inlineStr">
        <is>
          <t>Cocoyam</t>
        </is>
      </c>
      <c r="D1685" t="inlineStr">
        <is>
          <t>Cocoyam</t>
        </is>
      </c>
    </row>
    <row r="1686">
      <c r="A1686" t="inlineStr">
        <is>
          <t>crop3</t>
        </is>
      </c>
      <c r="B1686" t="inlineStr">
        <is>
          <t>2.99</t>
        </is>
      </c>
      <c r="C1686" t="inlineStr">
        <is>
          <t>Other tubers</t>
        </is>
      </c>
      <c r="D1686" t="inlineStr">
        <is>
          <t>Otros tubérculos</t>
        </is>
      </c>
    </row>
    <row r="1687">
      <c r="A1687" t="inlineStr">
        <is>
          <t>crop3</t>
        </is>
      </c>
      <c r="B1687" t="inlineStr">
        <is>
          <t>3.2</t>
        </is>
      </c>
      <c r="C1687" t="inlineStr">
        <is>
          <t>Lentils</t>
        </is>
      </c>
      <c r="D1687" t="inlineStr">
        <is>
          <t>Lentejas</t>
        </is>
      </c>
    </row>
    <row r="1688">
      <c r="A1688" t="inlineStr">
        <is>
          <t>crop3</t>
        </is>
      </c>
      <c r="B1688" t="inlineStr">
        <is>
          <t>3.3</t>
        </is>
      </c>
      <c r="C1688" t="inlineStr">
        <is>
          <t>Peas</t>
        </is>
      </c>
      <c r="D1688" t="inlineStr">
        <is>
          <t>Guisantes</t>
        </is>
      </c>
    </row>
    <row r="1689">
      <c r="A1689" t="inlineStr">
        <is>
          <t>crop3</t>
        </is>
      </c>
      <c r="B1689" t="inlineStr">
        <is>
          <t>3.4</t>
        </is>
      </c>
      <c r="C1689" t="inlineStr">
        <is>
          <t>Soybeans</t>
        </is>
      </c>
      <c r="D1689" t="inlineStr">
        <is>
          <t>Soja</t>
        </is>
      </c>
    </row>
    <row r="1690">
      <c r="A1690" t="inlineStr">
        <is>
          <t>crop3</t>
        </is>
      </c>
      <c r="B1690" t="inlineStr">
        <is>
          <t>3.5</t>
        </is>
      </c>
      <c r="C1690" t="inlineStr">
        <is>
          <t>Chickpeas</t>
        </is>
      </c>
      <c r="D1690" t="inlineStr">
        <is>
          <t>Garbanzos</t>
        </is>
      </c>
    </row>
    <row r="1691">
      <c r="A1691" t="inlineStr">
        <is>
          <t>crop3</t>
        </is>
      </c>
      <c r="B1691" t="inlineStr">
        <is>
          <t>3.6</t>
        </is>
      </c>
      <c r="C1691" t="inlineStr">
        <is>
          <t>Fava beans</t>
        </is>
      </c>
      <c r="D1691" t="inlineStr">
        <is>
          <t>Habas</t>
        </is>
      </c>
    </row>
    <row r="1692">
      <c r="A1692" t="inlineStr">
        <is>
          <t>crop3</t>
        </is>
      </c>
      <c r="B1692" t="inlineStr">
        <is>
          <t>3.7</t>
        </is>
      </c>
      <c r="C1692" t="inlineStr">
        <is>
          <t>Broad beans</t>
        </is>
      </c>
      <c r="D1692" t="inlineStr">
        <is>
          <t>Habas</t>
        </is>
      </c>
    </row>
    <row r="1693">
      <c r="A1693" t="inlineStr">
        <is>
          <t>crop3</t>
        </is>
      </c>
      <c r="B1693" t="inlineStr">
        <is>
          <t>3.99</t>
        </is>
      </c>
      <c r="C1693" t="inlineStr">
        <is>
          <t>Other pulses</t>
        </is>
      </c>
      <c r="D1693" t="inlineStr">
        <is>
          <t>Otras legumbres</t>
        </is>
      </c>
    </row>
    <row r="1694">
      <c r="A1694" t="inlineStr">
        <is>
          <t>crop3</t>
        </is>
      </c>
      <c r="B1694" t="inlineStr">
        <is>
          <t>4.1</t>
        </is>
      </c>
      <c r="C1694" t="inlineStr">
        <is>
          <t>Cabbage</t>
        </is>
      </c>
      <c r="D1694" t="inlineStr">
        <is>
          <t>Coles</t>
        </is>
      </c>
    </row>
    <row r="1695">
      <c r="A1695" t="inlineStr">
        <is>
          <t>crop3</t>
        </is>
      </c>
      <c r="B1695" t="inlineStr">
        <is>
          <t>4.101</t>
        </is>
      </c>
      <c r="C1695" t="inlineStr">
        <is>
          <t>Cauliflower</t>
        </is>
      </c>
      <c r="D1695" t="inlineStr">
        <is>
          <t>Coliflor</t>
        </is>
      </c>
    </row>
    <row r="1696">
      <c r="A1696" t="inlineStr">
        <is>
          <t>crop3</t>
        </is>
      </c>
      <c r="B1696" t="inlineStr">
        <is>
          <t>4.4</t>
        </is>
      </c>
      <c r="C1696" t="inlineStr">
        <is>
          <t>Cassava leaves</t>
        </is>
      </c>
      <c r="D1696" t="inlineStr">
        <is>
          <t>Hojas de yuca/mandioca</t>
        </is>
      </c>
    </row>
    <row r="1697">
      <c r="A1697" t="inlineStr">
        <is>
          <t>crop3</t>
        </is>
      </c>
      <c r="B1697" t="inlineStr">
        <is>
          <t>4.5</t>
        </is>
      </c>
      <c r="C1697" t="inlineStr">
        <is>
          <t>Potatoe leaves</t>
        </is>
      </c>
      <c r="D1697" t="inlineStr">
        <is>
          <t>Hojas de patata</t>
        </is>
      </c>
    </row>
    <row r="1698">
      <c r="A1698" t="inlineStr">
        <is>
          <t>crop3</t>
        </is>
      </c>
      <c r="B1698" t="inlineStr">
        <is>
          <t>4.6</t>
        </is>
      </c>
      <c r="C1698" t="inlineStr">
        <is>
          <t>Moringa</t>
        </is>
      </c>
      <c r="D1698" t="inlineStr">
        <is>
          <t>Moringa</t>
        </is>
      </c>
    </row>
    <row r="1699">
      <c r="A1699" t="inlineStr">
        <is>
          <t>crop3</t>
        </is>
      </c>
      <c r="B1699" t="inlineStr">
        <is>
          <t>4.7</t>
        </is>
      </c>
      <c r="C1699" t="inlineStr">
        <is>
          <t>Sorrel Hibiscus / Rosselle</t>
        </is>
      </c>
      <c r="D1699" t="inlineStr">
        <is>
          <t>Rosella / Flor de jamaica</t>
        </is>
      </c>
    </row>
    <row r="1700">
      <c r="A1700" t="inlineStr">
        <is>
          <t>crop3</t>
        </is>
      </c>
      <c r="B1700" t="inlineStr">
        <is>
          <t>4.99</t>
        </is>
      </c>
      <c r="C1700" t="inlineStr">
        <is>
          <t>Other leafy vegetables</t>
        </is>
      </c>
      <c r="D1700" t="inlineStr">
        <is>
          <t>Otras verduras de hoja</t>
        </is>
      </c>
    </row>
    <row r="1701">
      <c r="A1701" t="inlineStr">
        <is>
          <t>crop3</t>
        </is>
      </c>
      <c r="B1701" t="inlineStr">
        <is>
          <t>5.101</t>
        </is>
      </c>
      <c r="C1701" t="inlineStr">
        <is>
          <t>Green peas</t>
        </is>
      </c>
      <c r="D1701" t="inlineStr">
        <is>
          <t>Arberjas</t>
        </is>
      </c>
    </row>
    <row r="1702">
      <c r="A1702" t="inlineStr">
        <is>
          <t>crop3</t>
        </is>
      </c>
      <c r="B1702" t="inlineStr">
        <is>
          <t>5.11</t>
        </is>
      </c>
      <c r="C1702" t="inlineStr">
        <is>
          <t>Fava beans green</t>
        </is>
      </c>
      <c r="D1702" t="inlineStr">
        <is>
          <t>Habas verdes</t>
        </is>
      </c>
    </row>
    <row r="1703">
      <c r="A1703" t="inlineStr">
        <is>
          <t>crop3</t>
        </is>
      </c>
      <c r="B1703" t="inlineStr">
        <is>
          <t>5.2</t>
        </is>
      </c>
      <c r="C1703" t="inlineStr">
        <is>
          <t>Cucumber</t>
        </is>
      </c>
      <c r="D1703" t="inlineStr">
        <is>
          <t>Pepino</t>
        </is>
      </c>
    </row>
    <row r="1704">
      <c r="A1704" t="inlineStr">
        <is>
          <t>crop3</t>
        </is>
      </c>
      <c r="B1704" t="inlineStr">
        <is>
          <t>5.3</t>
        </is>
      </c>
      <c r="C1704" t="inlineStr">
        <is>
          <t>Pumpkin</t>
        </is>
      </c>
      <c r="D1704" t="inlineStr">
        <is>
          <t>Calabaza</t>
        </is>
      </c>
    </row>
    <row r="1705">
      <c r="A1705" t="inlineStr">
        <is>
          <t>crop3</t>
        </is>
      </c>
      <c r="B1705" t="inlineStr">
        <is>
          <t>5.4</t>
        </is>
      </c>
      <c r="C1705" t="inlineStr">
        <is>
          <t>Eggplant/aubergine</t>
        </is>
      </c>
      <c r="D1705" t="inlineStr">
        <is>
          <t>Berenjena</t>
        </is>
      </c>
    </row>
    <row r="1706">
      <c r="A1706" t="inlineStr">
        <is>
          <t>crop3</t>
        </is>
      </c>
      <c r="B1706" t="inlineStr">
        <is>
          <t>5.5</t>
        </is>
      </c>
      <c r="C1706" t="inlineStr">
        <is>
          <t>Zucchini</t>
        </is>
      </c>
      <c r="D1706" t="inlineStr">
        <is>
          <t>Calabacín</t>
        </is>
      </c>
    </row>
    <row r="1707">
      <c r="A1707" t="inlineStr">
        <is>
          <t>crop3</t>
        </is>
      </c>
      <c r="B1707" t="inlineStr">
        <is>
          <t>5.6</t>
        </is>
      </c>
      <c r="C1707" t="inlineStr">
        <is>
          <t>Okra</t>
        </is>
      </c>
      <c r="D1707" t="inlineStr">
        <is>
          <t>Okra</t>
        </is>
      </c>
    </row>
    <row r="1708">
      <c r="A1708" t="inlineStr">
        <is>
          <t>crop3</t>
        </is>
      </c>
      <c r="B1708" t="inlineStr">
        <is>
          <t>5.7</t>
        </is>
      </c>
      <c r="C1708" t="inlineStr">
        <is>
          <t>Bell pepper</t>
        </is>
      </c>
      <c r="D1708" t="inlineStr">
        <is>
          <t>Pimiento</t>
        </is>
      </c>
    </row>
    <row r="1709">
      <c r="A1709" t="inlineStr">
        <is>
          <t>crop3</t>
        </is>
      </c>
      <c r="B1709" t="inlineStr">
        <is>
          <t>5.9</t>
        </is>
      </c>
      <c r="C1709" t="inlineStr">
        <is>
          <t>Haricot</t>
        </is>
      </c>
      <c r="D1709" t="inlineStr">
        <is>
          <t>Judías</t>
        </is>
      </c>
    </row>
    <row r="1710">
      <c r="A1710" t="inlineStr">
        <is>
          <t>crop3</t>
        </is>
      </c>
      <c r="B1710" t="inlineStr">
        <is>
          <t>5.99</t>
        </is>
      </c>
      <c r="C1710" t="inlineStr">
        <is>
          <t>Other non leafy vegs</t>
        </is>
      </c>
      <c r="D1710" t="inlineStr">
        <is>
          <t>Otras verduras</t>
        </is>
      </c>
    </row>
    <row r="1711">
      <c r="A1711" t="inlineStr">
        <is>
          <t>crop3</t>
        </is>
      </c>
      <c r="B1711" t="inlineStr">
        <is>
          <t>6.1</t>
        </is>
      </c>
      <c r="C1711" t="inlineStr">
        <is>
          <t>Orange</t>
        </is>
      </c>
      <c r="D1711" t="inlineStr">
        <is>
          <t>Naranja</t>
        </is>
      </c>
    </row>
    <row r="1712">
      <c r="A1712" t="inlineStr">
        <is>
          <t>crop3</t>
        </is>
      </c>
      <c r="B1712" t="inlineStr">
        <is>
          <t>6.2</t>
        </is>
      </c>
      <c r="C1712" t="inlineStr">
        <is>
          <t>Lemon</t>
        </is>
      </c>
      <c r="D1712" t="inlineStr">
        <is>
          <t>Limón</t>
        </is>
      </c>
    </row>
    <row r="1713">
      <c r="A1713" t="inlineStr">
        <is>
          <t>crop3</t>
        </is>
      </c>
      <c r="B1713" t="inlineStr">
        <is>
          <t>6.3</t>
        </is>
      </c>
      <c r="C1713" t="inlineStr">
        <is>
          <t>Grapefruit</t>
        </is>
      </c>
      <c r="D1713" t="inlineStr">
        <is>
          <t>Pomelo</t>
        </is>
      </c>
    </row>
    <row r="1714">
      <c r="A1714" t="inlineStr">
        <is>
          <t>crop3</t>
        </is>
      </c>
      <c r="B1714" t="inlineStr">
        <is>
          <t>6.4</t>
        </is>
      </c>
      <c r="C1714" t="inlineStr">
        <is>
          <t>Mandarins/clementines</t>
        </is>
      </c>
      <c r="D1714" t="inlineStr">
        <is>
          <t>Mandarinas</t>
        </is>
      </c>
    </row>
    <row r="1715">
      <c r="A1715" t="inlineStr">
        <is>
          <t>crop3</t>
        </is>
      </c>
      <c r="B1715" t="inlineStr">
        <is>
          <t>6.99</t>
        </is>
      </c>
      <c r="C1715" t="inlineStr">
        <is>
          <t>Other citrus fruit</t>
        </is>
      </c>
      <c r="D1715" t="inlineStr">
        <is>
          <t>Otros cítricos</t>
        </is>
      </c>
    </row>
    <row r="1716">
      <c r="A1716" t="inlineStr">
        <is>
          <t>crop3</t>
        </is>
      </c>
      <c r="B1716" t="inlineStr">
        <is>
          <t>7.1</t>
        </is>
      </c>
      <c r="C1716" t="inlineStr">
        <is>
          <t>Sweet Banana</t>
        </is>
      </c>
      <c r="D1716" t="inlineStr">
        <is>
          <t>Plátano dulce / bananas</t>
        </is>
      </c>
    </row>
    <row r="1717">
      <c r="A1717" t="inlineStr">
        <is>
          <t>crop3</t>
        </is>
      </c>
      <c r="B1717" t="inlineStr">
        <is>
          <t>7.101</t>
        </is>
      </c>
      <c r="C1717" t="inlineStr">
        <is>
          <t>Figs</t>
        </is>
      </c>
      <c r="D1717" t="inlineStr">
        <is>
          <t>Higos</t>
        </is>
      </c>
    </row>
    <row r="1718">
      <c r="A1718" t="inlineStr">
        <is>
          <t>crop3</t>
        </is>
      </c>
      <c r="B1718" t="inlineStr">
        <is>
          <t>7.11</t>
        </is>
      </c>
      <c r="C1718" t="inlineStr">
        <is>
          <t>Grapes</t>
        </is>
      </c>
      <c r="D1718" t="inlineStr">
        <is>
          <t>Uvas</t>
        </is>
      </c>
    </row>
    <row r="1719">
      <c r="A1719" t="inlineStr">
        <is>
          <t>crop3</t>
        </is>
      </c>
      <c r="B1719" t="inlineStr">
        <is>
          <t>7.12</t>
        </is>
      </c>
      <c r="C1719" t="inlineStr">
        <is>
          <t>Olives</t>
        </is>
      </c>
      <c r="D1719" t="inlineStr">
        <is>
          <t>Aceitunas</t>
        </is>
      </c>
    </row>
    <row r="1720">
      <c r="A1720" t="inlineStr">
        <is>
          <t>crop3</t>
        </is>
      </c>
      <c r="B1720" t="inlineStr">
        <is>
          <t>7.13</t>
        </is>
      </c>
      <c r="C1720" t="inlineStr">
        <is>
          <t>Apple</t>
        </is>
      </c>
      <c r="D1720" t="inlineStr">
        <is>
          <t>Manzanas</t>
        </is>
      </c>
    </row>
    <row r="1721">
      <c r="A1721" t="inlineStr">
        <is>
          <t>crop3</t>
        </is>
      </c>
      <c r="B1721" t="inlineStr">
        <is>
          <t>7.14</t>
        </is>
      </c>
      <c r="C1721" t="inlineStr">
        <is>
          <t>Apricot</t>
        </is>
      </c>
      <c r="D1721" t="inlineStr">
        <is>
          <t>Albaricoques</t>
        </is>
      </c>
    </row>
    <row r="1722">
      <c r="A1722" t="inlineStr">
        <is>
          <t>crop3</t>
        </is>
      </c>
      <c r="B1722" t="inlineStr">
        <is>
          <t>7.15</t>
        </is>
      </c>
      <c r="C1722" t="inlineStr">
        <is>
          <t>Cherries</t>
        </is>
      </c>
      <c r="D1722" t="inlineStr">
        <is>
          <t>Cerezas</t>
        </is>
      </c>
    </row>
    <row r="1723">
      <c r="A1723" t="inlineStr">
        <is>
          <t>crop3</t>
        </is>
      </c>
      <c r="B1723" t="inlineStr">
        <is>
          <t>7.16</t>
        </is>
      </c>
      <c r="C1723" t="inlineStr">
        <is>
          <t>Peach/nectarine</t>
        </is>
      </c>
      <c r="D1723" t="inlineStr">
        <is>
          <t>Duraznos/ nectárinas</t>
        </is>
      </c>
    </row>
    <row r="1724">
      <c r="A1724" t="inlineStr">
        <is>
          <t>crop3</t>
        </is>
      </c>
      <c r="B1724" t="inlineStr">
        <is>
          <t>7.17</t>
        </is>
      </c>
      <c r="C1724" t="inlineStr">
        <is>
          <t>Strawberries</t>
        </is>
      </c>
      <c r="D1724" t="inlineStr">
        <is>
          <t>Fresas</t>
        </is>
      </c>
    </row>
    <row r="1725">
      <c r="A1725" t="inlineStr">
        <is>
          <t>crop3</t>
        </is>
      </c>
      <c r="B1725" t="inlineStr">
        <is>
          <t>7.18</t>
        </is>
      </c>
      <c r="C1725" t="inlineStr">
        <is>
          <t>Melon (Cantaloupe)</t>
        </is>
      </c>
      <c r="D1725" t="inlineStr">
        <is>
          <t>Melon</t>
        </is>
      </c>
    </row>
    <row r="1726">
      <c r="A1726" t="inlineStr">
        <is>
          <t>crop3</t>
        </is>
      </c>
      <c r="B1726" t="inlineStr">
        <is>
          <t>7.2</t>
        </is>
      </c>
      <c r="C1726" t="inlineStr">
        <is>
          <t>Plantains</t>
        </is>
      </c>
      <c r="D1726" t="inlineStr">
        <is>
          <t>Plátano</t>
        </is>
      </c>
    </row>
    <row r="1727">
      <c r="A1727" t="inlineStr">
        <is>
          <t>crop3</t>
        </is>
      </c>
      <c r="B1727" t="inlineStr">
        <is>
          <t>7.3</t>
        </is>
      </c>
      <c r="C1727" t="inlineStr">
        <is>
          <t>Papaya</t>
        </is>
      </c>
      <c r="D1727" t="inlineStr">
        <is>
          <t>Papaya</t>
        </is>
      </c>
    </row>
    <row r="1728">
      <c r="A1728" t="inlineStr">
        <is>
          <t>crop3</t>
        </is>
      </c>
      <c r="B1728" t="inlineStr">
        <is>
          <t>7.4</t>
        </is>
      </c>
      <c r="C1728" t="inlineStr">
        <is>
          <t>Mango</t>
        </is>
      </c>
      <c r="D1728" t="inlineStr">
        <is>
          <t>Mango</t>
        </is>
      </c>
    </row>
    <row r="1729">
      <c r="A1729" t="inlineStr">
        <is>
          <t>crop3</t>
        </is>
      </c>
      <c r="B1729" t="inlineStr">
        <is>
          <t>7.5</t>
        </is>
      </c>
      <c r="C1729" t="inlineStr">
        <is>
          <t>Guava</t>
        </is>
      </c>
      <c r="D1729" t="inlineStr">
        <is>
          <t>Guayaba</t>
        </is>
      </c>
    </row>
    <row r="1730">
      <c r="A1730" t="inlineStr">
        <is>
          <t>crop3</t>
        </is>
      </c>
      <c r="B1730" t="inlineStr">
        <is>
          <t>7.6</t>
        </is>
      </c>
      <c r="C1730" t="inlineStr">
        <is>
          <t>Pineapple</t>
        </is>
      </c>
      <c r="D1730" t="inlineStr">
        <is>
          <t>Piña</t>
        </is>
      </c>
    </row>
    <row r="1731">
      <c r="A1731" t="inlineStr">
        <is>
          <t>crop3</t>
        </is>
      </c>
      <c r="B1731" t="inlineStr">
        <is>
          <t>7.7</t>
        </is>
      </c>
      <c r="C1731" t="inlineStr">
        <is>
          <t>Avocado</t>
        </is>
      </c>
      <c r="D1731" t="inlineStr">
        <is>
          <t>Aguacate</t>
        </is>
      </c>
    </row>
    <row r="1732">
      <c r="A1732" t="inlineStr">
        <is>
          <t>crop3</t>
        </is>
      </c>
      <c r="B1732" t="inlineStr">
        <is>
          <t>7.8</t>
        </is>
      </c>
      <c r="C1732" t="inlineStr">
        <is>
          <t>Water Melon</t>
        </is>
      </c>
      <c r="D1732" t="inlineStr">
        <is>
          <t>Sandías</t>
        </is>
      </c>
    </row>
    <row r="1733">
      <c r="A1733" t="inlineStr">
        <is>
          <t>crop3</t>
        </is>
      </c>
      <c r="B1733" t="inlineStr">
        <is>
          <t>7.9</t>
        </is>
      </c>
      <c r="C1733" t="inlineStr">
        <is>
          <t>Dates</t>
        </is>
      </c>
      <c r="D1733" t="inlineStr">
        <is>
          <t>Dátiles</t>
        </is>
      </c>
    </row>
    <row r="1734">
      <c r="A1734" t="inlineStr">
        <is>
          <t>crop3</t>
        </is>
      </c>
      <c r="B1734" t="inlineStr">
        <is>
          <t>7.99</t>
        </is>
      </c>
      <c r="C1734" t="inlineStr">
        <is>
          <t>Other fruit</t>
        </is>
      </c>
      <c r="D1734" t="inlineStr">
        <is>
          <t>Otras frutas</t>
        </is>
      </c>
    </row>
    <row r="1735">
      <c r="A1735" t="inlineStr">
        <is>
          <t>crop3</t>
        </is>
      </c>
      <c r="B1735" t="inlineStr">
        <is>
          <t>8.1</t>
        </is>
      </c>
      <c r="C1735" t="inlineStr">
        <is>
          <t>Coconuts</t>
        </is>
      </c>
      <c r="D1735" t="inlineStr">
        <is>
          <t>Coco</t>
        </is>
      </c>
    </row>
    <row r="1736">
      <c r="A1736" t="inlineStr">
        <is>
          <t>crop3</t>
        </is>
      </c>
      <c r="B1736" t="inlineStr">
        <is>
          <t>8.2</t>
        </is>
      </c>
      <c r="C1736" t="inlineStr">
        <is>
          <t>Groundnut/peanut</t>
        </is>
      </c>
      <c r="D1736" t="inlineStr">
        <is>
          <t>Cacahuates/maní</t>
        </is>
      </c>
    </row>
    <row r="1737">
      <c r="A1737" t="inlineStr">
        <is>
          <t>crop3</t>
        </is>
      </c>
      <c r="B1737" t="inlineStr">
        <is>
          <t>8.3</t>
        </is>
      </c>
      <c r="C1737" t="inlineStr">
        <is>
          <t>Cashew Nut</t>
        </is>
      </c>
      <c r="D1737" t="inlineStr">
        <is>
          <t>Anacardos</t>
        </is>
      </c>
    </row>
    <row r="1738">
      <c r="A1738" t="inlineStr">
        <is>
          <t>crop3</t>
        </is>
      </c>
      <c r="B1738" t="inlineStr">
        <is>
          <t>8.4</t>
        </is>
      </c>
      <c r="C1738" t="inlineStr">
        <is>
          <t>Kola Nut</t>
        </is>
      </c>
      <c r="D1738" t="inlineStr">
        <is>
          <t>Nuez de cola</t>
        </is>
      </c>
    </row>
    <row r="1739">
      <c r="A1739" t="inlineStr">
        <is>
          <t>crop3</t>
        </is>
      </c>
      <c r="B1739" t="inlineStr">
        <is>
          <t>8.5</t>
        </is>
      </c>
      <c r="C1739" t="inlineStr">
        <is>
          <t>Sesame</t>
        </is>
      </c>
      <c r="D1739" t="inlineStr">
        <is>
          <t>Sésamo</t>
        </is>
      </c>
    </row>
    <row r="1740">
      <c r="A1740" t="inlineStr">
        <is>
          <t>crop3</t>
        </is>
      </c>
      <c r="B1740" t="inlineStr">
        <is>
          <t>8.6</t>
        </is>
      </c>
      <c r="C1740" t="inlineStr">
        <is>
          <t>Bambara nut</t>
        </is>
      </c>
      <c r="D1740" t="inlineStr">
        <is>
          <t>Nuez de bambara</t>
        </is>
      </c>
    </row>
    <row r="1741">
      <c r="A1741" t="inlineStr">
        <is>
          <t>crop3</t>
        </is>
      </c>
      <c r="B1741" t="inlineStr">
        <is>
          <t>8.7</t>
        </is>
      </c>
      <c r="C1741" t="inlineStr">
        <is>
          <t>Almond</t>
        </is>
      </c>
      <c r="D1741" t="inlineStr">
        <is>
          <t>Almendra</t>
        </is>
      </c>
    </row>
    <row r="1742">
      <c r="A1742" t="inlineStr">
        <is>
          <t>crop3</t>
        </is>
      </c>
      <c r="B1742" t="inlineStr">
        <is>
          <t>8.8</t>
        </is>
      </c>
      <c r="C1742" t="inlineStr">
        <is>
          <t>Walnut</t>
        </is>
      </c>
      <c r="D1742" t="inlineStr">
        <is>
          <t>Nuez</t>
        </is>
      </c>
    </row>
    <row r="1743">
      <c r="A1743" t="inlineStr">
        <is>
          <t>crop3</t>
        </is>
      </c>
      <c r="B1743" t="inlineStr">
        <is>
          <t>8.99</t>
        </is>
      </c>
      <c r="C1743" t="inlineStr">
        <is>
          <t>Other nuts</t>
        </is>
      </c>
      <c r="D1743" t="inlineStr">
        <is>
          <t>Otros frutos secos</t>
        </is>
      </c>
    </row>
    <row r="1744">
      <c r="A1744" t="inlineStr">
        <is>
          <t>crop3</t>
        </is>
      </c>
      <c r="B1744" t="inlineStr">
        <is>
          <t>9.1</t>
        </is>
      </c>
      <c r="C1744" t="inlineStr">
        <is>
          <t>Cocoa</t>
        </is>
      </c>
      <c r="D1744" t="inlineStr">
        <is>
          <t>Cacao</t>
        </is>
      </c>
    </row>
    <row r="1745">
      <c r="A1745" t="inlineStr">
        <is>
          <t>crop3</t>
        </is>
      </c>
      <c r="B1745" t="inlineStr">
        <is>
          <t>9.3</t>
        </is>
      </c>
      <c r="C1745" t="inlineStr">
        <is>
          <t>Tea</t>
        </is>
      </c>
      <c r="D1745" t="inlineStr">
        <is>
          <t>Té</t>
        </is>
      </c>
    </row>
    <row r="1746">
      <c r="A1746" t="inlineStr">
        <is>
          <t>crop3</t>
        </is>
      </c>
      <c r="B1746" t="inlineStr">
        <is>
          <t>9.4</t>
        </is>
      </c>
      <c r="C1746" t="inlineStr">
        <is>
          <t>Sugarcane</t>
        </is>
      </c>
      <c r="D1746" t="inlineStr">
        <is>
          <t>Caña de azúcar</t>
        </is>
      </c>
    </row>
    <row r="1747">
      <c r="A1747" t="inlineStr">
        <is>
          <t>crop3</t>
        </is>
      </c>
      <c r="B1747" t="inlineStr">
        <is>
          <t>9.5</t>
        </is>
      </c>
      <c r="C1747" t="inlineStr">
        <is>
          <t>Sunflower</t>
        </is>
      </c>
      <c r="D1747" t="inlineStr">
        <is>
          <t>Girasol (plantas o semillas)</t>
        </is>
      </c>
    </row>
    <row r="1748">
      <c r="A1748" t="inlineStr">
        <is>
          <t>crop3</t>
        </is>
      </c>
      <c r="B1748" t="inlineStr">
        <is>
          <t>9.99</t>
        </is>
      </c>
      <c r="C1748" t="inlineStr">
        <is>
          <t>Other food cash crop</t>
        </is>
      </c>
      <c r="D1748" t="inlineStr">
        <is>
          <t>Otros cultivos comerciales alimentarios</t>
        </is>
      </c>
    </row>
    <row r="1749">
      <c r="A1749" t="inlineStr">
        <is>
          <t>crop3</t>
        </is>
      </c>
      <c r="B1749" t="inlineStr">
        <is>
          <t>10.1</t>
        </is>
      </c>
      <c r="C1749" t="inlineStr">
        <is>
          <t>Cotton</t>
        </is>
      </c>
      <c r="D1749" t="inlineStr">
        <is>
          <t>Algodón</t>
        </is>
      </c>
    </row>
    <row r="1750">
      <c r="A1750" t="inlineStr">
        <is>
          <t>crop3</t>
        </is>
      </c>
      <c r="B1750" t="inlineStr">
        <is>
          <t>10.2</t>
        </is>
      </c>
      <c r="C1750" t="inlineStr">
        <is>
          <t>Rubber</t>
        </is>
      </c>
      <c r="D1750" t="inlineStr">
        <is>
          <t>Caucho</t>
        </is>
      </c>
    </row>
    <row r="1751">
      <c r="A1751" t="inlineStr">
        <is>
          <t>crop3</t>
        </is>
      </c>
      <c r="B1751" t="inlineStr">
        <is>
          <t>10.3</t>
        </is>
      </c>
      <c r="C1751" t="inlineStr">
        <is>
          <t>Jute</t>
        </is>
      </c>
      <c r="D1751" t="inlineStr">
        <is>
          <t>Yute</t>
        </is>
      </c>
    </row>
    <row r="1752">
      <c r="A1752" t="inlineStr">
        <is>
          <t>crop3</t>
        </is>
      </c>
      <c r="B1752" t="inlineStr">
        <is>
          <t>10.4</t>
        </is>
      </c>
      <c r="C1752" t="inlineStr">
        <is>
          <t>Fodder</t>
        </is>
      </c>
      <c r="D1752" t="inlineStr">
        <is>
          <t>Forraje</t>
        </is>
      </c>
    </row>
    <row r="1753">
      <c r="A1753" t="inlineStr">
        <is>
          <t>crop3</t>
        </is>
      </c>
      <c r="B1753" t="inlineStr">
        <is>
          <t>10.5</t>
        </is>
      </c>
      <c r="C1753" t="inlineStr">
        <is>
          <t>Tobacco</t>
        </is>
      </c>
      <c r="D1753" t="inlineStr">
        <is>
          <t>Tabaco</t>
        </is>
      </c>
    </row>
    <row r="1754">
      <c r="A1754" t="inlineStr">
        <is>
          <t>crop3</t>
        </is>
      </c>
      <c r="B1754" t="inlineStr">
        <is>
          <t>10.6</t>
        </is>
      </c>
      <c r="C1754" t="inlineStr">
        <is>
          <t>Qat</t>
        </is>
      </c>
      <c r="D1754" t="inlineStr">
        <is>
          <t>Qat</t>
        </is>
      </c>
    </row>
    <row r="1755">
      <c r="A1755" t="inlineStr">
        <is>
          <t>crop3</t>
        </is>
      </c>
      <c r="B1755" t="inlineStr">
        <is>
          <t>10.99</t>
        </is>
      </c>
      <c r="C1755" t="inlineStr">
        <is>
          <t>Other non-food cash crop</t>
        </is>
      </c>
      <c r="D1755" t="inlineStr">
        <is>
          <t>Otros cultivos comerciales no alimentarios</t>
        </is>
      </c>
    </row>
    <row r="1756">
      <c r="A1756" t="inlineStr">
        <is>
          <t>crop3</t>
        </is>
      </c>
      <c r="B1756" t="inlineStr">
        <is>
          <t>888</t>
        </is>
      </c>
      <c r="C1756" t="inlineStr">
        <is>
          <t>Don't know</t>
        </is>
      </c>
      <c r="D1756" t="inlineStr">
        <is>
          <t>no sé</t>
        </is>
      </c>
    </row>
    <row r="1757">
      <c r="A1757" t="inlineStr">
        <is>
          <t>crop3</t>
        </is>
      </c>
      <c r="B1757" t="inlineStr">
        <is>
          <t>999</t>
        </is>
      </c>
      <c r="C1757" t="inlineStr">
        <is>
          <t>Refused</t>
        </is>
      </c>
      <c r="D1757" t="inlineStr">
        <is>
          <t>Rechazado</t>
        </is>
      </c>
    </row>
    <row r="1759">
      <c r="A1759" t="inlineStr">
        <is>
          <t>admin1</t>
        </is>
      </c>
      <c r="B1759" t="inlineStr">
        <is>
          <t>GT01</t>
        </is>
      </c>
      <c r="C1759" t="inlineStr">
        <is>
          <t>Guatemala Department</t>
        </is>
      </c>
    </row>
    <row r="1760">
      <c r="A1760" t="inlineStr">
        <is>
          <t>admin1</t>
        </is>
      </c>
      <c r="B1760" t="inlineStr">
        <is>
          <t>GT02</t>
        </is>
      </c>
      <c r="C1760" t="inlineStr">
        <is>
          <t>El Progreso</t>
        </is>
      </c>
    </row>
    <row r="1761">
      <c r="A1761" t="inlineStr">
        <is>
          <t>admin1</t>
        </is>
      </c>
      <c r="B1761" t="inlineStr">
        <is>
          <t>GT03</t>
        </is>
      </c>
      <c r="C1761" t="inlineStr">
        <is>
          <t>Sacatepéquez</t>
        </is>
      </c>
    </row>
    <row r="1762">
      <c r="A1762" t="inlineStr">
        <is>
          <t>admin1</t>
        </is>
      </c>
      <c r="B1762" t="inlineStr">
        <is>
          <t>GT04</t>
        </is>
      </c>
      <c r="C1762" t="inlineStr">
        <is>
          <t>Chimaltenango</t>
        </is>
      </c>
    </row>
    <row r="1763">
      <c r="A1763" t="inlineStr">
        <is>
          <t>admin1</t>
        </is>
      </c>
      <c r="B1763" t="inlineStr">
        <is>
          <t>GT05</t>
        </is>
      </c>
      <c r="C1763" t="inlineStr">
        <is>
          <t>Escuintla</t>
        </is>
      </c>
    </row>
    <row r="1764">
      <c r="A1764" t="inlineStr">
        <is>
          <t>admin1</t>
        </is>
      </c>
      <c r="B1764" t="inlineStr">
        <is>
          <t>GT06</t>
        </is>
      </c>
      <c r="C1764" t="inlineStr">
        <is>
          <t>Santa Rosa</t>
        </is>
      </c>
    </row>
    <row r="1765">
      <c r="A1765" t="inlineStr">
        <is>
          <t>admin1</t>
        </is>
      </c>
      <c r="B1765" t="inlineStr">
        <is>
          <t>GT07</t>
        </is>
      </c>
      <c r="C1765" t="inlineStr">
        <is>
          <t>Sololá</t>
        </is>
      </c>
    </row>
    <row r="1766">
      <c r="A1766" t="inlineStr">
        <is>
          <t>admin1</t>
        </is>
      </c>
      <c r="B1766" t="inlineStr">
        <is>
          <t>GT08</t>
        </is>
      </c>
      <c r="C1766" t="inlineStr">
        <is>
          <t>Totonicapán</t>
        </is>
      </c>
    </row>
    <row r="1767">
      <c r="A1767" t="inlineStr">
        <is>
          <t>admin1</t>
        </is>
      </c>
      <c r="B1767" t="inlineStr">
        <is>
          <t>GT09</t>
        </is>
      </c>
      <c r="C1767" t="inlineStr">
        <is>
          <t>Quetzaltenango</t>
        </is>
      </c>
    </row>
    <row r="1768">
      <c r="A1768" t="inlineStr">
        <is>
          <t>admin1</t>
        </is>
      </c>
      <c r="B1768" t="inlineStr">
        <is>
          <t>GT10</t>
        </is>
      </c>
      <c r="C1768" t="inlineStr">
        <is>
          <t>Suchitepéquez</t>
        </is>
      </c>
    </row>
    <row r="1769">
      <c r="A1769" t="inlineStr">
        <is>
          <t>admin1</t>
        </is>
      </c>
      <c r="B1769" t="inlineStr">
        <is>
          <t>GT11</t>
        </is>
      </c>
      <c r="C1769" t="inlineStr">
        <is>
          <t>Retalhuleu</t>
        </is>
      </c>
    </row>
    <row r="1770">
      <c r="A1770" t="inlineStr">
        <is>
          <t>admin1</t>
        </is>
      </c>
      <c r="B1770" t="inlineStr">
        <is>
          <t>GT12</t>
        </is>
      </c>
      <c r="C1770" t="inlineStr">
        <is>
          <t>San Marcos</t>
        </is>
      </c>
    </row>
    <row r="1771">
      <c r="A1771" t="inlineStr">
        <is>
          <t>admin1</t>
        </is>
      </c>
      <c r="B1771" t="inlineStr">
        <is>
          <t>GT13</t>
        </is>
      </c>
      <c r="C1771" t="inlineStr">
        <is>
          <t>Huehuetenango</t>
        </is>
      </c>
    </row>
    <row r="1772">
      <c r="A1772" t="inlineStr">
        <is>
          <t>admin1</t>
        </is>
      </c>
      <c r="B1772" t="inlineStr">
        <is>
          <t>GT14</t>
        </is>
      </c>
      <c r="C1772" t="inlineStr">
        <is>
          <t>Quiché</t>
        </is>
      </c>
    </row>
    <row r="1773">
      <c r="A1773" t="inlineStr">
        <is>
          <t>admin1</t>
        </is>
      </c>
      <c r="B1773" t="inlineStr">
        <is>
          <t>GT15</t>
        </is>
      </c>
      <c r="C1773" t="inlineStr">
        <is>
          <t>Baja Verapaz</t>
        </is>
      </c>
    </row>
    <row r="1774">
      <c r="A1774" t="inlineStr">
        <is>
          <t>admin1</t>
        </is>
      </c>
      <c r="B1774" t="inlineStr">
        <is>
          <t>GT16</t>
        </is>
      </c>
      <c r="C1774" t="inlineStr">
        <is>
          <t>Alta Verapaz</t>
        </is>
      </c>
    </row>
    <row r="1775">
      <c r="A1775" t="inlineStr">
        <is>
          <t>admin1</t>
        </is>
      </c>
      <c r="B1775" t="inlineStr">
        <is>
          <t>GT17</t>
        </is>
      </c>
      <c r="C1775" t="inlineStr">
        <is>
          <t>Petén</t>
        </is>
      </c>
    </row>
    <row r="1776">
      <c r="A1776" t="inlineStr">
        <is>
          <t>admin1</t>
        </is>
      </c>
      <c r="B1776" t="inlineStr">
        <is>
          <t>GT18</t>
        </is>
      </c>
      <c r="C1776" t="inlineStr">
        <is>
          <t>Izabal</t>
        </is>
      </c>
    </row>
    <row r="1777">
      <c r="A1777" t="inlineStr">
        <is>
          <t>admin1</t>
        </is>
      </c>
      <c r="B1777" t="inlineStr">
        <is>
          <t>GT19</t>
        </is>
      </c>
      <c r="C1777" t="inlineStr">
        <is>
          <t>Zacapa</t>
        </is>
      </c>
    </row>
    <row r="1778">
      <c r="A1778" t="inlineStr">
        <is>
          <t>admin1</t>
        </is>
      </c>
      <c r="B1778" t="inlineStr">
        <is>
          <t>GT20</t>
        </is>
      </c>
      <c r="C1778" t="inlineStr">
        <is>
          <t>Chiquimula</t>
        </is>
      </c>
    </row>
    <row r="1779">
      <c r="A1779" t="inlineStr">
        <is>
          <t>admin1</t>
        </is>
      </c>
      <c r="B1779" t="inlineStr">
        <is>
          <t>GT21</t>
        </is>
      </c>
      <c r="C1779" t="inlineStr">
        <is>
          <t>Jalapa</t>
        </is>
      </c>
    </row>
    <row r="1780">
      <c r="A1780" t="inlineStr">
        <is>
          <t>admin1</t>
        </is>
      </c>
      <c r="B1780" t="inlineStr">
        <is>
          <t>GT22</t>
        </is>
      </c>
      <c r="C1780" t="inlineStr">
        <is>
          <t>Jutiapa</t>
        </is>
      </c>
    </row>
    <row r="1782">
      <c r="A1782" t="inlineStr">
        <is>
          <t>admin2</t>
        </is>
      </c>
      <c r="B1782" t="inlineStr">
        <is>
          <t>GT0100</t>
        </is>
      </c>
      <c r="C1782" t="inlineStr">
        <is>
          <t>Lago De Amatitlan</t>
        </is>
      </c>
      <c r="E1782" t="inlineStr">
        <is>
          <t>GT01</t>
        </is>
      </c>
    </row>
    <row r="1783">
      <c r="A1783" t="inlineStr">
        <is>
          <t>admin2</t>
        </is>
      </c>
      <c r="B1783" t="inlineStr">
        <is>
          <t>GT0101</t>
        </is>
      </c>
      <c r="C1783" t="inlineStr">
        <is>
          <t>Guatemala City</t>
        </is>
      </c>
      <c r="E1783" t="inlineStr">
        <is>
          <t>GT01</t>
        </is>
      </c>
    </row>
    <row r="1784">
      <c r="A1784" t="inlineStr">
        <is>
          <t>admin2</t>
        </is>
      </c>
      <c r="B1784" t="inlineStr">
        <is>
          <t>GT0102</t>
        </is>
      </c>
      <c r="C1784" t="inlineStr">
        <is>
          <t>Santa Catarina Pinula</t>
        </is>
      </c>
      <c r="E1784" t="inlineStr">
        <is>
          <t>GT01</t>
        </is>
      </c>
    </row>
    <row r="1785">
      <c r="A1785" t="inlineStr">
        <is>
          <t>admin2</t>
        </is>
      </c>
      <c r="B1785" t="inlineStr">
        <is>
          <t>GT0103</t>
        </is>
      </c>
      <c r="C1785" t="inlineStr">
        <is>
          <t>San José Pinula</t>
        </is>
      </c>
      <c r="E1785" t="inlineStr">
        <is>
          <t>GT01</t>
        </is>
      </c>
    </row>
    <row r="1786">
      <c r="A1786" t="inlineStr">
        <is>
          <t>admin2</t>
        </is>
      </c>
      <c r="B1786" t="inlineStr">
        <is>
          <t>GT0104</t>
        </is>
      </c>
      <c r="C1786" t="inlineStr">
        <is>
          <t>San José del Golfo</t>
        </is>
      </c>
      <c r="E1786" t="inlineStr">
        <is>
          <t>GT01</t>
        </is>
      </c>
    </row>
    <row r="1787">
      <c r="A1787" t="inlineStr">
        <is>
          <t>admin2</t>
        </is>
      </c>
      <c r="B1787" t="inlineStr">
        <is>
          <t>GT0105</t>
        </is>
      </c>
      <c r="C1787" t="inlineStr">
        <is>
          <t>Palencia</t>
        </is>
      </c>
      <c r="E1787" t="inlineStr">
        <is>
          <t>GT01</t>
        </is>
      </c>
    </row>
    <row r="1788">
      <c r="A1788" t="inlineStr">
        <is>
          <t>admin2</t>
        </is>
      </c>
      <c r="B1788" t="inlineStr">
        <is>
          <t>GT0106</t>
        </is>
      </c>
      <c r="C1788" t="inlineStr">
        <is>
          <t>Chinautla</t>
        </is>
      </c>
      <c r="E1788" t="inlineStr">
        <is>
          <t>GT01</t>
        </is>
      </c>
    </row>
    <row r="1789">
      <c r="A1789" t="inlineStr">
        <is>
          <t>admin2</t>
        </is>
      </c>
      <c r="B1789" t="inlineStr">
        <is>
          <t>GT0107</t>
        </is>
      </c>
      <c r="C1789" t="inlineStr">
        <is>
          <t>San Pedro Ayampuc</t>
        </is>
      </c>
      <c r="E1789" t="inlineStr">
        <is>
          <t>GT01</t>
        </is>
      </c>
    </row>
    <row r="1790">
      <c r="A1790" t="inlineStr">
        <is>
          <t>admin2</t>
        </is>
      </c>
      <c r="B1790" t="inlineStr">
        <is>
          <t>GT0108</t>
        </is>
      </c>
      <c r="C1790" t="inlineStr">
        <is>
          <t>Mixco</t>
        </is>
      </c>
      <c r="E1790" t="inlineStr">
        <is>
          <t>GT01</t>
        </is>
      </c>
    </row>
    <row r="1791">
      <c r="A1791" t="inlineStr">
        <is>
          <t>admin2</t>
        </is>
      </c>
      <c r="B1791" t="inlineStr">
        <is>
          <t>GT0109</t>
        </is>
      </c>
      <c r="C1791" t="inlineStr">
        <is>
          <t>San Pedro Sacatepéquez</t>
        </is>
      </c>
      <c r="E1791" t="inlineStr">
        <is>
          <t>GT01</t>
        </is>
      </c>
    </row>
    <row r="1792">
      <c r="A1792" t="inlineStr">
        <is>
          <t>admin2</t>
        </is>
      </c>
      <c r="B1792" t="inlineStr">
        <is>
          <t>GT0110</t>
        </is>
      </c>
      <c r="C1792" t="inlineStr">
        <is>
          <t>San Juan Sacatepéquez</t>
        </is>
      </c>
      <c r="E1792" t="inlineStr">
        <is>
          <t>GT01</t>
        </is>
      </c>
    </row>
    <row r="1793">
      <c r="A1793" t="inlineStr">
        <is>
          <t>admin2</t>
        </is>
      </c>
      <c r="B1793" t="inlineStr">
        <is>
          <t>GT0111</t>
        </is>
      </c>
      <c r="C1793" t="inlineStr">
        <is>
          <t>San Raimundo</t>
        </is>
      </c>
      <c r="E1793" t="inlineStr">
        <is>
          <t>GT01</t>
        </is>
      </c>
    </row>
    <row r="1794">
      <c r="A1794" t="inlineStr">
        <is>
          <t>admin2</t>
        </is>
      </c>
      <c r="B1794" t="inlineStr">
        <is>
          <t>GT0112</t>
        </is>
      </c>
      <c r="C1794" t="inlineStr">
        <is>
          <t>Chuarrancho</t>
        </is>
      </c>
      <c r="E1794" t="inlineStr">
        <is>
          <t>GT01</t>
        </is>
      </c>
    </row>
    <row r="1795">
      <c r="A1795" t="inlineStr">
        <is>
          <t>admin2</t>
        </is>
      </c>
      <c r="B1795" t="inlineStr">
        <is>
          <t>GT0113</t>
        </is>
      </c>
      <c r="C1795" t="inlineStr">
        <is>
          <t>Fraijanes</t>
        </is>
      </c>
      <c r="E1795" t="inlineStr">
        <is>
          <t>GT01</t>
        </is>
      </c>
    </row>
    <row r="1796">
      <c r="A1796" t="inlineStr">
        <is>
          <t>admin2</t>
        </is>
      </c>
      <c r="B1796" t="inlineStr">
        <is>
          <t>GT0114</t>
        </is>
      </c>
      <c r="C1796" t="inlineStr">
        <is>
          <t>Amatitlán</t>
        </is>
      </c>
      <c r="E1796" t="inlineStr">
        <is>
          <t>GT01</t>
        </is>
      </c>
    </row>
    <row r="1797">
      <c r="A1797" t="inlineStr">
        <is>
          <t>admin2</t>
        </is>
      </c>
      <c r="B1797" t="inlineStr">
        <is>
          <t>GT0115</t>
        </is>
      </c>
      <c r="C1797" t="inlineStr">
        <is>
          <t>Villa Nueva</t>
        </is>
      </c>
      <c r="E1797" t="inlineStr">
        <is>
          <t>GT01</t>
        </is>
      </c>
    </row>
    <row r="1798">
      <c r="A1798" t="inlineStr">
        <is>
          <t>admin2</t>
        </is>
      </c>
      <c r="B1798" t="inlineStr">
        <is>
          <t>GT0116</t>
        </is>
      </c>
      <c r="C1798" t="inlineStr">
        <is>
          <t>Villa Canales</t>
        </is>
      </c>
      <c r="E1798" t="inlineStr">
        <is>
          <t>GT01</t>
        </is>
      </c>
    </row>
    <row r="1799">
      <c r="A1799" t="inlineStr">
        <is>
          <t>admin2</t>
        </is>
      </c>
      <c r="B1799" t="inlineStr">
        <is>
          <t>GT0117</t>
        </is>
      </c>
      <c r="C1799" t="inlineStr">
        <is>
          <t>Petapa</t>
        </is>
      </c>
      <c r="E1799" t="inlineStr">
        <is>
          <t>GT01</t>
        </is>
      </c>
    </row>
    <row r="1800">
      <c r="A1800" t="inlineStr">
        <is>
          <t>admin2</t>
        </is>
      </c>
      <c r="B1800" t="inlineStr">
        <is>
          <t>GT0201</t>
        </is>
      </c>
      <c r="C1800" t="inlineStr">
        <is>
          <t>Guastatoya</t>
        </is>
      </c>
      <c r="E1800" t="inlineStr">
        <is>
          <t>GT02</t>
        </is>
      </c>
    </row>
    <row r="1801">
      <c r="A1801" t="inlineStr">
        <is>
          <t>admin2</t>
        </is>
      </c>
      <c r="B1801" t="inlineStr">
        <is>
          <t>GT0202</t>
        </is>
      </c>
      <c r="C1801" t="inlineStr">
        <is>
          <t>Morazán</t>
        </is>
      </c>
      <c r="E1801" t="inlineStr">
        <is>
          <t>GT02</t>
        </is>
      </c>
    </row>
    <row r="1802">
      <c r="A1802" t="inlineStr">
        <is>
          <t>admin2</t>
        </is>
      </c>
      <c r="B1802" t="inlineStr">
        <is>
          <t>GT0203</t>
        </is>
      </c>
      <c r="C1802" t="inlineStr">
        <is>
          <t>San Agustín Acasaguastlán</t>
        </is>
      </c>
      <c r="E1802" t="inlineStr">
        <is>
          <t>GT02</t>
        </is>
      </c>
    </row>
    <row r="1803">
      <c r="A1803" t="inlineStr">
        <is>
          <t>admin2</t>
        </is>
      </c>
      <c r="B1803" t="inlineStr">
        <is>
          <t>GT0204</t>
        </is>
      </c>
      <c r="C1803" t="inlineStr">
        <is>
          <t>San Cristóbal Acasaguastlán</t>
        </is>
      </c>
      <c r="E1803" t="inlineStr">
        <is>
          <t>GT02</t>
        </is>
      </c>
    </row>
    <row r="1804">
      <c r="A1804" t="inlineStr">
        <is>
          <t>admin2</t>
        </is>
      </c>
      <c r="B1804" t="inlineStr">
        <is>
          <t>GT0205</t>
        </is>
      </c>
      <c r="C1804" t="inlineStr">
        <is>
          <t>El Jícaro</t>
        </is>
      </c>
      <c r="E1804" t="inlineStr">
        <is>
          <t>GT02</t>
        </is>
      </c>
    </row>
    <row r="1805">
      <c r="A1805" t="inlineStr">
        <is>
          <t>admin2</t>
        </is>
      </c>
      <c r="B1805" t="inlineStr">
        <is>
          <t>GT0206</t>
        </is>
      </c>
      <c r="C1805" t="inlineStr">
        <is>
          <t>Sanarate</t>
        </is>
      </c>
      <c r="E1805" t="inlineStr">
        <is>
          <t>GT02</t>
        </is>
      </c>
    </row>
    <row r="1806">
      <c r="A1806" t="inlineStr">
        <is>
          <t>admin2</t>
        </is>
      </c>
      <c r="B1806" t="inlineStr">
        <is>
          <t>GT0207</t>
        </is>
      </c>
      <c r="C1806" t="inlineStr">
        <is>
          <t>Sansare</t>
        </is>
      </c>
      <c r="E1806" t="inlineStr">
        <is>
          <t>GT02</t>
        </is>
      </c>
    </row>
    <row r="1807">
      <c r="A1807" t="inlineStr">
        <is>
          <t>admin2</t>
        </is>
      </c>
      <c r="B1807" t="inlineStr">
        <is>
          <t>GT0208</t>
        </is>
      </c>
      <c r="C1807" t="inlineStr">
        <is>
          <t>San Antonio La Paz</t>
        </is>
      </c>
      <c r="E1807" t="inlineStr">
        <is>
          <t>GT02</t>
        </is>
      </c>
    </row>
    <row r="1808">
      <c r="A1808" t="inlineStr">
        <is>
          <t>admin2</t>
        </is>
      </c>
      <c r="B1808" t="inlineStr">
        <is>
          <t>GT0301</t>
        </is>
      </c>
      <c r="C1808" t="inlineStr">
        <is>
          <t>Antigua Guatemala</t>
        </is>
      </c>
      <c r="E1808" t="inlineStr">
        <is>
          <t>GT03</t>
        </is>
      </c>
    </row>
    <row r="1809">
      <c r="A1809" t="inlineStr">
        <is>
          <t>admin2</t>
        </is>
      </c>
      <c r="B1809" t="inlineStr">
        <is>
          <t>GT0302</t>
        </is>
      </c>
      <c r="C1809" t="inlineStr">
        <is>
          <t>Jocotenango</t>
        </is>
      </c>
      <c r="E1809" t="inlineStr">
        <is>
          <t>GT03</t>
        </is>
      </c>
    </row>
    <row r="1810">
      <c r="A1810" t="inlineStr">
        <is>
          <t>admin2</t>
        </is>
      </c>
      <c r="B1810" t="inlineStr">
        <is>
          <t>GT0303</t>
        </is>
      </c>
      <c r="C1810" t="inlineStr">
        <is>
          <t>Pastores</t>
        </is>
      </c>
      <c r="E1810" t="inlineStr">
        <is>
          <t>GT03</t>
        </is>
      </c>
    </row>
    <row r="1811">
      <c r="A1811" t="inlineStr">
        <is>
          <t>admin2</t>
        </is>
      </c>
      <c r="B1811" t="inlineStr">
        <is>
          <t>GT0304</t>
        </is>
      </c>
      <c r="C1811" t="inlineStr">
        <is>
          <t>Sumpango</t>
        </is>
      </c>
      <c r="E1811" t="inlineStr">
        <is>
          <t>GT03</t>
        </is>
      </c>
    </row>
    <row r="1812">
      <c r="A1812" t="inlineStr">
        <is>
          <t>admin2</t>
        </is>
      </c>
      <c r="B1812" t="inlineStr">
        <is>
          <t>GT0305</t>
        </is>
      </c>
      <c r="C1812" t="inlineStr">
        <is>
          <t>Santo Domingo Xenacoj</t>
        </is>
      </c>
      <c r="E1812" t="inlineStr">
        <is>
          <t>GT03</t>
        </is>
      </c>
    </row>
    <row r="1813">
      <c r="A1813" t="inlineStr">
        <is>
          <t>admin2</t>
        </is>
      </c>
      <c r="B1813" t="inlineStr">
        <is>
          <t>GT0306</t>
        </is>
      </c>
      <c r="C1813" t="inlineStr">
        <is>
          <t>Santiago Sacatepéquez</t>
        </is>
      </c>
      <c r="E1813" t="inlineStr">
        <is>
          <t>GT03</t>
        </is>
      </c>
    </row>
    <row r="1814">
      <c r="A1814" t="inlineStr">
        <is>
          <t>admin2</t>
        </is>
      </c>
      <c r="B1814" t="inlineStr">
        <is>
          <t>GT0307</t>
        </is>
      </c>
      <c r="C1814" t="inlineStr">
        <is>
          <t>San Bartolomé Milpas Altas</t>
        </is>
      </c>
      <c r="E1814" t="inlineStr">
        <is>
          <t>GT03</t>
        </is>
      </c>
    </row>
    <row r="1815">
      <c r="A1815" t="inlineStr">
        <is>
          <t>admin2</t>
        </is>
      </c>
      <c r="B1815" t="inlineStr">
        <is>
          <t>GT0308</t>
        </is>
      </c>
      <c r="C1815" t="inlineStr">
        <is>
          <t>San Lucas Sacatepéquez</t>
        </is>
      </c>
      <c r="E1815" t="inlineStr">
        <is>
          <t>GT03</t>
        </is>
      </c>
    </row>
    <row r="1816">
      <c r="A1816" t="inlineStr">
        <is>
          <t>admin2</t>
        </is>
      </c>
      <c r="B1816" t="inlineStr">
        <is>
          <t>GT0309</t>
        </is>
      </c>
      <c r="C1816" t="inlineStr">
        <is>
          <t>Santa Lucía Milpas Altas</t>
        </is>
      </c>
      <c r="E1816" t="inlineStr">
        <is>
          <t>GT03</t>
        </is>
      </c>
    </row>
    <row r="1817">
      <c r="A1817" t="inlineStr">
        <is>
          <t>admin2</t>
        </is>
      </c>
      <c r="B1817" t="inlineStr">
        <is>
          <t>GT0310</t>
        </is>
      </c>
      <c r="C1817" t="inlineStr">
        <is>
          <t>Magdalena Milpas Altas</t>
        </is>
      </c>
      <c r="E1817" t="inlineStr">
        <is>
          <t>GT03</t>
        </is>
      </c>
    </row>
    <row r="1818">
      <c r="A1818" t="inlineStr">
        <is>
          <t>admin2</t>
        </is>
      </c>
      <c r="B1818" t="inlineStr">
        <is>
          <t>GT0311</t>
        </is>
      </c>
      <c r="C1818" t="inlineStr">
        <is>
          <t>Santa María de Jesús</t>
        </is>
      </c>
      <c r="E1818" t="inlineStr">
        <is>
          <t>GT03</t>
        </is>
      </c>
    </row>
    <row r="1819">
      <c r="A1819" t="inlineStr">
        <is>
          <t>admin2</t>
        </is>
      </c>
      <c r="B1819" t="inlineStr">
        <is>
          <t>GT0312</t>
        </is>
      </c>
      <c r="C1819" t="inlineStr">
        <is>
          <t>Ciudad Vieja</t>
        </is>
      </c>
      <c r="E1819" t="inlineStr">
        <is>
          <t>GT03</t>
        </is>
      </c>
    </row>
    <row r="1820">
      <c r="A1820" t="inlineStr">
        <is>
          <t>admin2</t>
        </is>
      </c>
      <c r="B1820" t="inlineStr">
        <is>
          <t>GT0313</t>
        </is>
      </c>
      <c r="C1820" t="inlineStr">
        <is>
          <t>San Miguel Dueñas</t>
        </is>
      </c>
      <c r="E1820" t="inlineStr">
        <is>
          <t>GT03</t>
        </is>
      </c>
    </row>
    <row r="1821">
      <c r="A1821" t="inlineStr">
        <is>
          <t>admin2</t>
        </is>
      </c>
      <c r="B1821" t="inlineStr">
        <is>
          <t>GT0314</t>
        </is>
      </c>
      <c r="C1821" t="inlineStr">
        <is>
          <t>Alotenango</t>
        </is>
      </c>
      <c r="E1821" t="inlineStr">
        <is>
          <t>GT03</t>
        </is>
      </c>
    </row>
    <row r="1822">
      <c r="A1822" t="inlineStr">
        <is>
          <t>admin2</t>
        </is>
      </c>
      <c r="B1822" t="inlineStr">
        <is>
          <t>GT0315</t>
        </is>
      </c>
      <c r="C1822" t="inlineStr">
        <is>
          <t>San Antonio Aguas Calientes</t>
        </is>
      </c>
      <c r="E1822" t="inlineStr">
        <is>
          <t>GT03</t>
        </is>
      </c>
    </row>
    <row r="1823">
      <c r="A1823" t="inlineStr">
        <is>
          <t>admin2</t>
        </is>
      </c>
      <c r="B1823" t="inlineStr">
        <is>
          <t>GT0316</t>
        </is>
      </c>
      <c r="C1823" t="inlineStr">
        <is>
          <t>Santa Catarina Barahona</t>
        </is>
      </c>
      <c r="E1823" t="inlineStr">
        <is>
          <t>GT03</t>
        </is>
      </c>
    </row>
    <row r="1824">
      <c r="A1824" t="inlineStr">
        <is>
          <t>admin2</t>
        </is>
      </c>
      <c r="B1824" t="inlineStr">
        <is>
          <t>GT0401</t>
        </is>
      </c>
      <c r="C1824" t="inlineStr">
        <is>
          <t>Chimaltenango</t>
        </is>
      </c>
      <c r="E1824" t="inlineStr">
        <is>
          <t>GT04</t>
        </is>
      </c>
    </row>
    <row r="1825">
      <c r="A1825" t="inlineStr">
        <is>
          <t>admin2</t>
        </is>
      </c>
      <c r="B1825" t="inlineStr">
        <is>
          <t>GT0402</t>
        </is>
      </c>
      <c r="C1825" t="inlineStr">
        <is>
          <t>San José Poaquil</t>
        </is>
      </c>
      <c r="E1825" t="inlineStr">
        <is>
          <t>GT04</t>
        </is>
      </c>
    </row>
    <row r="1826">
      <c r="A1826" t="inlineStr">
        <is>
          <t>admin2</t>
        </is>
      </c>
      <c r="B1826" t="inlineStr">
        <is>
          <t>GT0403</t>
        </is>
      </c>
      <c r="C1826" t="inlineStr">
        <is>
          <t>San Martín Jilotepeque</t>
        </is>
      </c>
      <c r="E1826" t="inlineStr">
        <is>
          <t>GT04</t>
        </is>
      </c>
    </row>
    <row r="1827">
      <c r="A1827" t="inlineStr">
        <is>
          <t>admin2</t>
        </is>
      </c>
      <c r="B1827" t="inlineStr">
        <is>
          <t>GT0404</t>
        </is>
      </c>
      <c r="C1827" t="inlineStr">
        <is>
          <t>Comalapa</t>
        </is>
      </c>
      <c r="E1827" t="inlineStr">
        <is>
          <t>GT04</t>
        </is>
      </c>
    </row>
    <row r="1828">
      <c r="A1828" t="inlineStr">
        <is>
          <t>admin2</t>
        </is>
      </c>
      <c r="B1828" t="inlineStr">
        <is>
          <t>GT0405</t>
        </is>
      </c>
      <c r="C1828" t="inlineStr">
        <is>
          <t>Santa Apolonia</t>
        </is>
      </c>
      <c r="E1828" t="inlineStr">
        <is>
          <t>GT04</t>
        </is>
      </c>
    </row>
    <row r="1829">
      <c r="A1829" t="inlineStr">
        <is>
          <t>admin2</t>
        </is>
      </c>
      <c r="B1829" t="inlineStr">
        <is>
          <t>GT0406</t>
        </is>
      </c>
      <c r="C1829" t="inlineStr">
        <is>
          <t>Tecpán Guatemala</t>
        </is>
      </c>
      <c r="E1829" t="inlineStr">
        <is>
          <t>GT04</t>
        </is>
      </c>
    </row>
    <row r="1830">
      <c r="A1830" t="inlineStr">
        <is>
          <t>admin2</t>
        </is>
      </c>
      <c r="B1830" t="inlineStr">
        <is>
          <t>GT0407</t>
        </is>
      </c>
      <c r="C1830" t="inlineStr">
        <is>
          <t>Patzún</t>
        </is>
      </c>
      <c r="E1830" t="inlineStr">
        <is>
          <t>GT04</t>
        </is>
      </c>
    </row>
    <row r="1831">
      <c r="A1831" t="inlineStr">
        <is>
          <t>admin2</t>
        </is>
      </c>
      <c r="B1831" t="inlineStr">
        <is>
          <t>GT0408</t>
        </is>
      </c>
      <c r="C1831" t="inlineStr">
        <is>
          <t>Pochuta</t>
        </is>
      </c>
      <c r="E1831" t="inlineStr">
        <is>
          <t>GT04</t>
        </is>
      </c>
    </row>
    <row r="1832">
      <c r="A1832" t="inlineStr">
        <is>
          <t>admin2</t>
        </is>
      </c>
      <c r="B1832" t="inlineStr">
        <is>
          <t>GT0409</t>
        </is>
      </c>
      <c r="C1832" t="inlineStr">
        <is>
          <t>Patzicía</t>
        </is>
      </c>
      <c r="E1832" t="inlineStr">
        <is>
          <t>GT04</t>
        </is>
      </c>
    </row>
    <row r="1833">
      <c r="A1833" t="inlineStr">
        <is>
          <t>admin2</t>
        </is>
      </c>
      <c r="B1833" t="inlineStr">
        <is>
          <t>GT0410</t>
        </is>
      </c>
      <c r="C1833" t="inlineStr">
        <is>
          <t>Santa Cruz Balanyá</t>
        </is>
      </c>
      <c r="E1833" t="inlineStr">
        <is>
          <t>GT04</t>
        </is>
      </c>
    </row>
    <row r="1834">
      <c r="A1834" t="inlineStr">
        <is>
          <t>admin2</t>
        </is>
      </c>
      <c r="B1834" t="inlineStr">
        <is>
          <t>GT0411</t>
        </is>
      </c>
      <c r="C1834" t="inlineStr">
        <is>
          <t>Acatenango</t>
        </is>
      </c>
      <c r="E1834" t="inlineStr">
        <is>
          <t>GT04</t>
        </is>
      </c>
    </row>
    <row r="1835">
      <c r="A1835" t="inlineStr">
        <is>
          <t>admin2</t>
        </is>
      </c>
      <c r="B1835" t="inlineStr">
        <is>
          <t>GT0412</t>
        </is>
      </c>
      <c r="C1835" t="inlineStr">
        <is>
          <t>Yepocapa</t>
        </is>
      </c>
      <c r="E1835" t="inlineStr">
        <is>
          <t>GT04</t>
        </is>
      </c>
    </row>
    <row r="1836">
      <c r="A1836" t="inlineStr">
        <is>
          <t>admin2</t>
        </is>
      </c>
      <c r="B1836" t="inlineStr">
        <is>
          <t>GT0413</t>
        </is>
      </c>
      <c r="C1836" t="inlineStr">
        <is>
          <t>San Andrés Itzapa</t>
        </is>
      </c>
      <c r="E1836" t="inlineStr">
        <is>
          <t>GT04</t>
        </is>
      </c>
    </row>
    <row r="1837">
      <c r="A1837" t="inlineStr">
        <is>
          <t>admin2</t>
        </is>
      </c>
      <c r="B1837" t="inlineStr">
        <is>
          <t>GT0414</t>
        </is>
      </c>
      <c r="C1837" t="inlineStr">
        <is>
          <t>Parramos</t>
        </is>
      </c>
      <c r="E1837" t="inlineStr">
        <is>
          <t>GT04</t>
        </is>
      </c>
    </row>
    <row r="1838">
      <c r="A1838" t="inlineStr">
        <is>
          <t>admin2</t>
        </is>
      </c>
      <c r="B1838" t="inlineStr">
        <is>
          <t>GT0415</t>
        </is>
      </c>
      <c r="C1838" t="inlineStr">
        <is>
          <t>Zaragoza</t>
        </is>
      </c>
      <c r="E1838" t="inlineStr">
        <is>
          <t>GT04</t>
        </is>
      </c>
    </row>
    <row r="1839">
      <c r="A1839" t="inlineStr">
        <is>
          <t>admin2</t>
        </is>
      </c>
      <c r="B1839" t="inlineStr">
        <is>
          <t>GT0416</t>
        </is>
      </c>
      <c r="C1839" t="inlineStr">
        <is>
          <t>El Tejar</t>
        </is>
      </c>
      <c r="E1839" t="inlineStr">
        <is>
          <t>GT04</t>
        </is>
      </c>
    </row>
    <row r="1840">
      <c r="A1840" t="inlineStr">
        <is>
          <t>admin2</t>
        </is>
      </c>
      <c r="B1840" t="inlineStr">
        <is>
          <t>GT0501</t>
        </is>
      </c>
      <c r="C1840" t="inlineStr">
        <is>
          <t>Escuintla</t>
        </is>
      </c>
      <c r="E1840" t="inlineStr">
        <is>
          <t>GT05</t>
        </is>
      </c>
    </row>
    <row r="1841">
      <c r="A1841" t="inlineStr">
        <is>
          <t>admin2</t>
        </is>
      </c>
      <c r="B1841" t="inlineStr">
        <is>
          <t>GT0502</t>
        </is>
      </c>
      <c r="C1841" t="inlineStr">
        <is>
          <t>Santa Lucía Cotzumalguapa</t>
        </is>
      </c>
      <c r="E1841" t="inlineStr">
        <is>
          <t>GT05</t>
        </is>
      </c>
    </row>
    <row r="1842">
      <c r="A1842" t="inlineStr">
        <is>
          <t>admin2</t>
        </is>
      </c>
      <c r="B1842" t="inlineStr">
        <is>
          <t>GT0503</t>
        </is>
      </c>
      <c r="C1842" t="inlineStr">
        <is>
          <t>La Democracia</t>
        </is>
      </c>
      <c r="E1842" t="inlineStr">
        <is>
          <t>GT05</t>
        </is>
      </c>
    </row>
    <row r="1843">
      <c r="A1843" t="inlineStr">
        <is>
          <t>admin2</t>
        </is>
      </c>
      <c r="B1843" t="inlineStr">
        <is>
          <t>GT0504</t>
        </is>
      </c>
      <c r="C1843" t="inlineStr">
        <is>
          <t>Siquinalá</t>
        </is>
      </c>
      <c r="E1843" t="inlineStr">
        <is>
          <t>GT05</t>
        </is>
      </c>
    </row>
    <row r="1844">
      <c r="A1844" t="inlineStr">
        <is>
          <t>admin2</t>
        </is>
      </c>
      <c r="B1844" t="inlineStr">
        <is>
          <t>GT0505</t>
        </is>
      </c>
      <c r="C1844" t="inlineStr">
        <is>
          <t>Masagua</t>
        </is>
      </c>
      <c r="E1844" t="inlineStr">
        <is>
          <t>GT05</t>
        </is>
      </c>
    </row>
    <row r="1845">
      <c r="A1845" t="inlineStr">
        <is>
          <t>admin2</t>
        </is>
      </c>
      <c r="B1845" t="inlineStr">
        <is>
          <t>GT0506</t>
        </is>
      </c>
      <c r="C1845" t="inlineStr">
        <is>
          <t>Tiquisate</t>
        </is>
      </c>
      <c r="E1845" t="inlineStr">
        <is>
          <t>GT05</t>
        </is>
      </c>
    </row>
    <row r="1846">
      <c r="A1846" t="inlineStr">
        <is>
          <t>admin2</t>
        </is>
      </c>
      <c r="B1846" t="inlineStr">
        <is>
          <t>GT0507</t>
        </is>
      </c>
      <c r="C1846" t="inlineStr">
        <is>
          <t>La Gomera</t>
        </is>
      </c>
      <c r="E1846" t="inlineStr">
        <is>
          <t>GT05</t>
        </is>
      </c>
    </row>
    <row r="1847">
      <c r="A1847" t="inlineStr">
        <is>
          <t>admin2</t>
        </is>
      </c>
      <c r="B1847" t="inlineStr">
        <is>
          <t>GT0508</t>
        </is>
      </c>
      <c r="C1847" t="inlineStr">
        <is>
          <t>Guanagazapa</t>
        </is>
      </c>
      <c r="E1847" t="inlineStr">
        <is>
          <t>GT05</t>
        </is>
      </c>
    </row>
    <row r="1848">
      <c r="A1848" t="inlineStr">
        <is>
          <t>admin2</t>
        </is>
      </c>
      <c r="B1848" t="inlineStr">
        <is>
          <t>GT0509</t>
        </is>
      </c>
      <c r="C1848" t="inlineStr">
        <is>
          <t>San José</t>
        </is>
      </c>
      <c r="E1848" t="inlineStr">
        <is>
          <t>GT05</t>
        </is>
      </c>
    </row>
    <row r="1849">
      <c r="A1849" t="inlineStr">
        <is>
          <t>admin2</t>
        </is>
      </c>
      <c r="B1849" t="inlineStr">
        <is>
          <t>GT0510</t>
        </is>
      </c>
      <c r="C1849" t="inlineStr">
        <is>
          <t>Iztapa</t>
        </is>
      </c>
      <c r="E1849" t="inlineStr">
        <is>
          <t>GT05</t>
        </is>
      </c>
    </row>
    <row r="1850">
      <c r="A1850" t="inlineStr">
        <is>
          <t>admin2</t>
        </is>
      </c>
      <c r="B1850" t="inlineStr">
        <is>
          <t>GT0511</t>
        </is>
      </c>
      <c r="C1850" t="inlineStr">
        <is>
          <t>Palín</t>
        </is>
      </c>
      <c r="E1850" t="inlineStr">
        <is>
          <t>GT05</t>
        </is>
      </c>
    </row>
    <row r="1851">
      <c r="A1851" t="inlineStr">
        <is>
          <t>admin2</t>
        </is>
      </c>
      <c r="B1851" t="inlineStr">
        <is>
          <t>GT0512</t>
        </is>
      </c>
      <c r="C1851" t="inlineStr">
        <is>
          <t>San Vicente Pacaya</t>
        </is>
      </c>
      <c r="E1851" t="inlineStr">
        <is>
          <t>GT05</t>
        </is>
      </c>
    </row>
    <row r="1852">
      <c r="A1852" t="inlineStr">
        <is>
          <t>admin2</t>
        </is>
      </c>
      <c r="B1852" t="inlineStr">
        <is>
          <t>GT0513</t>
        </is>
      </c>
      <c r="C1852" t="inlineStr">
        <is>
          <t>Nueva Concepción</t>
        </is>
      </c>
      <c r="E1852" t="inlineStr">
        <is>
          <t>GT05</t>
        </is>
      </c>
    </row>
    <row r="1853">
      <c r="A1853" t="inlineStr">
        <is>
          <t>admin2</t>
        </is>
      </c>
      <c r="B1853" t="inlineStr">
        <is>
          <t>GT0514</t>
        </is>
      </c>
      <c r="C1853" t="inlineStr">
        <is>
          <t>Sipacate</t>
        </is>
      </c>
      <c r="E1853" t="inlineStr">
        <is>
          <t>GT05</t>
        </is>
      </c>
    </row>
    <row r="1854">
      <c r="A1854" t="inlineStr">
        <is>
          <t>admin2</t>
        </is>
      </c>
      <c r="B1854" t="inlineStr">
        <is>
          <t>GT0601</t>
        </is>
      </c>
      <c r="C1854" t="inlineStr">
        <is>
          <t>Cuilapa</t>
        </is>
      </c>
      <c r="E1854" t="inlineStr">
        <is>
          <t>GT06</t>
        </is>
      </c>
    </row>
    <row r="1855">
      <c r="A1855" t="inlineStr">
        <is>
          <t>admin2</t>
        </is>
      </c>
      <c r="B1855" t="inlineStr">
        <is>
          <t>GT0602</t>
        </is>
      </c>
      <c r="C1855" t="inlineStr">
        <is>
          <t>Barberena</t>
        </is>
      </c>
      <c r="E1855" t="inlineStr">
        <is>
          <t>GT06</t>
        </is>
      </c>
    </row>
    <row r="1856">
      <c r="A1856" t="inlineStr">
        <is>
          <t>admin2</t>
        </is>
      </c>
      <c r="B1856" t="inlineStr">
        <is>
          <t>GT0603</t>
        </is>
      </c>
      <c r="C1856" t="inlineStr">
        <is>
          <t>Santa Rosa de Lima</t>
        </is>
      </c>
      <c r="E1856" t="inlineStr">
        <is>
          <t>GT06</t>
        </is>
      </c>
    </row>
    <row r="1857">
      <c r="A1857" t="inlineStr">
        <is>
          <t>admin2</t>
        </is>
      </c>
      <c r="B1857" t="inlineStr">
        <is>
          <t>GT0604</t>
        </is>
      </c>
      <c r="C1857" t="inlineStr">
        <is>
          <t>Casillas</t>
        </is>
      </c>
      <c r="E1857" t="inlineStr">
        <is>
          <t>GT06</t>
        </is>
      </c>
    </row>
    <row r="1858">
      <c r="A1858" t="inlineStr">
        <is>
          <t>admin2</t>
        </is>
      </c>
      <c r="B1858" t="inlineStr">
        <is>
          <t>GT0605</t>
        </is>
      </c>
      <c r="C1858" t="inlineStr">
        <is>
          <t>San Rafael Las Flores</t>
        </is>
      </c>
      <c r="E1858" t="inlineStr">
        <is>
          <t>GT06</t>
        </is>
      </c>
    </row>
    <row r="1859">
      <c r="A1859" t="inlineStr">
        <is>
          <t>admin2</t>
        </is>
      </c>
      <c r="B1859" t="inlineStr">
        <is>
          <t>GT0606</t>
        </is>
      </c>
      <c r="C1859" t="inlineStr">
        <is>
          <t>Oratorio</t>
        </is>
      </c>
      <c r="E1859" t="inlineStr">
        <is>
          <t>GT06</t>
        </is>
      </c>
    </row>
    <row r="1860">
      <c r="A1860" t="inlineStr">
        <is>
          <t>admin2</t>
        </is>
      </c>
      <c r="B1860" t="inlineStr">
        <is>
          <t>GT0607</t>
        </is>
      </c>
      <c r="C1860" t="inlineStr">
        <is>
          <t>San Juan Tecuaco</t>
        </is>
      </c>
      <c r="E1860" t="inlineStr">
        <is>
          <t>GT06</t>
        </is>
      </c>
    </row>
    <row r="1861">
      <c r="A1861" t="inlineStr">
        <is>
          <t>admin2</t>
        </is>
      </c>
      <c r="B1861" t="inlineStr">
        <is>
          <t>GT0608</t>
        </is>
      </c>
      <c r="C1861" t="inlineStr">
        <is>
          <t>Chiquimulilla</t>
        </is>
      </c>
      <c r="E1861" t="inlineStr">
        <is>
          <t>GT06</t>
        </is>
      </c>
    </row>
    <row r="1862">
      <c r="A1862" t="inlineStr">
        <is>
          <t>admin2</t>
        </is>
      </c>
      <c r="B1862" t="inlineStr">
        <is>
          <t>GT0609</t>
        </is>
      </c>
      <c r="C1862" t="inlineStr">
        <is>
          <t>Taxisco</t>
        </is>
      </c>
      <c r="E1862" t="inlineStr">
        <is>
          <t>GT06</t>
        </is>
      </c>
    </row>
    <row r="1863">
      <c r="A1863" t="inlineStr">
        <is>
          <t>admin2</t>
        </is>
      </c>
      <c r="B1863" t="inlineStr">
        <is>
          <t>GT0610</t>
        </is>
      </c>
      <c r="C1863" t="inlineStr">
        <is>
          <t>Santa María Ixhuatán</t>
        </is>
      </c>
      <c r="E1863" t="inlineStr">
        <is>
          <t>GT06</t>
        </is>
      </c>
    </row>
    <row r="1864">
      <c r="A1864" t="inlineStr">
        <is>
          <t>admin2</t>
        </is>
      </c>
      <c r="B1864" t="inlineStr">
        <is>
          <t>GT0611</t>
        </is>
      </c>
      <c r="C1864" t="inlineStr">
        <is>
          <t>Guazacapán</t>
        </is>
      </c>
      <c r="E1864" t="inlineStr">
        <is>
          <t>GT06</t>
        </is>
      </c>
    </row>
    <row r="1865">
      <c r="A1865" t="inlineStr">
        <is>
          <t>admin2</t>
        </is>
      </c>
      <c r="B1865" t="inlineStr">
        <is>
          <t>GT0612</t>
        </is>
      </c>
      <c r="C1865" t="inlineStr">
        <is>
          <t>Santa Cruz Naranjo</t>
        </is>
      </c>
      <c r="E1865" t="inlineStr">
        <is>
          <t>GT06</t>
        </is>
      </c>
    </row>
    <row r="1866">
      <c r="A1866" t="inlineStr">
        <is>
          <t>admin2</t>
        </is>
      </c>
      <c r="B1866" t="inlineStr">
        <is>
          <t>GT0613</t>
        </is>
      </c>
      <c r="C1866" t="inlineStr">
        <is>
          <t>Pueblo Nuevo Viñas</t>
        </is>
      </c>
      <c r="E1866" t="inlineStr">
        <is>
          <t>GT06</t>
        </is>
      </c>
    </row>
    <row r="1867">
      <c r="A1867" t="inlineStr">
        <is>
          <t>admin2</t>
        </is>
      </c>
      <c r="B1867" t="inlineStr">
        <is>
          <t>GT0614</t>
        </is>
      </c>
      <c r="C1867" t="inlineStr">
        <is>
          <t>Nueva Santa Rosa</t>
        </is>
      </c>
      <c r="E1867" t="inlineStr">
        <is>
          <t>GT06</t>
        </is>
      </c>
    </row>
    <row r="1868">
      <c r="A1868" t="inlineStr">
        <is>
          <t>admin2</t>
        </is>
      </c>
      <c r="B1868" t="inlineStr">
        <is>
          <t>GT0700</t>
        </is>
      </c>
      <c r="C1868" t="inlineStr">
        <is>
          <t>Lago De Atitlan</t>
        </is>
      </c>
      <c r="E1868" t="inlineStr">
        <is>
          <t>GT07</t>
        </is>
      </c>
    </row>
    <row r="1869">
      <c r="A1869" t="inlineStr">
        <is>
          <t>admin2</t>
        </is>
      </c>
      <c r="B1869" t="inlineStr">
        <is>
          <t>GT0701</t>
        </is>
      </c>
      <c r="C1869" t="inlineStr">
        <is>
          <t>Sololá</t>
        </is>
      </c>
      <c r="E1869" t="inlineStr">
        <is>
          <t>GT07</t>
        </is>
      </c>
    </row>
    <row r="1870">
      <c r="A1870" t="inlineStr">
        <is>
          <t>admin2</t>
        </is>
      </c>
      <c r="B1870" t="inlineStr">
        <is>
          <t>GT0702</t>
        </is>
      </c>
      <c r="C1870" t="inlineStr">
        <is>
          <t>San José Chacayá</t>
        </is>
      </c>
      <c r="E1870" t="inlineStr">
        <is>
          <t>GT07</t>
        </is>
      </c>
    </row>
    <row r="1871">
      <c r="A1871" t="inlineStr">
        <is>
          <t>admin2</t>
        </is>
      </c>
      <c r="B1871" t="inlineStr">
        <is>
          <t>GT0703</t>
        </is>
      </c>
      <c r="C1871" t="inlineStr">
        <is>
          <t>Santa María Visitación</t>
        </is>
      </c>
      <c r="E1871" t="inlineStr">
        <is>
          <t>GT07</t>
        </is>
      </c>
    </row>
    <row r="1872">
      <c r="A1872" t="inlineStr">
        <is>
          <t>admin2</t>
        </is>
      </c>
      <c r="B1872" t="inlineStr">
        <is>
          <t>GT0704</t>
        </is>
      </c>
      <c r="C1872" t="inlineStr">
        <is>
          <t>Santa Lucía Utatlán</t>
        </is>
      </c>
      <c r="E1872" t="inlineStr">
        <is>
          <t>GT07</t>
        </is>
      </c>
    </row>
    <row r="1873">
      <c r="A1873" t="inlineStr">
        <is>
          <t>admin2</t>
        </is>
      </c>
      <c r="B1873" t="inlineStr">
        <is>
          <t>GT0705</t>
        </is>
      </c>
      <c r="C1873" t="inlineStr">
        <is>
          <t>Nahualá</t>
        </is>
      </c>
      <c r="E1873" t="inlineStr">
        <is>
          <t>GT07</t>
        </is>
      </c>
    </row>
    <row r="1874">
      <c r="A1874" t="inlineStr">
        <is>
          <t>admin2</t>
        </is>
      </c>
      <c r="B1874" t="inlineStr">
        <is>
          <t>GT0706</t>
        </is>
      </c>
      <c r="C1874" t="inlineStr">
        <is>
          <t>Santa Catarina Ixtahuacán</t>
        </is>
      </c>
      <c r="E1874" t="inlineStr">
        <is>
          <t>GT07</t>
        </is>
      </c>
    </row>
    <row r="1875">
      <c r="A1875" t="inlineStr">
        <is>
          <t>admin2</t>
        </is>
      </c>
      <c r="B1875" t="inlineStr">
        <is>
          <t>GT0707</t>
        </is>
      </c>
      <c r="C1875" t="inlineStr">
        <is>
          <t>Santa Clara La Laguna</t>
        </is>
      </c>
      <c r="E1875" t="inlineStr">
        <is>
          <t>GT07</t>
        </is>
      </c>
    </row>
    <row r="1876">
      <c r="A1876" t="inlineStr">
        <is>
          <t>admin2</t>
        </is>
      </c>
      <c r="B1876" t="inlineStr">
        <is>
          <t>GT0708</t>
        </is>
      </c>
      <c r="C1876" t="inlineStr">
        <is>
          <t>Concepción</t>
        </is>
      </c>
      <c r="E1876" t="inlineStr">
        <is>
          <t>GT07</t>
        </is>
      </c>
    </row>
    <row r="1877">
      <c r="A1877" t="inlineStr">
        <is>
          <t>admin2</t>
        </is>
      </c>
      <c r="B1877" t="inlineStr">
        <is>
          <t>GT0709</t>
        </is>
      </c>
      <c r="C1877" t="inlineStr">
        <is>
          <t>San Andrés Semetabaj</t>
        </is>
      </c>
      <c r="E1877" t="inlineStr">
        <is>
          <t>GT07</t>
        </is>
      </c>
    </row>
    <row r="1878">
      <c r="A1878" t="inlineStr">
        <is>
          <t>admin2</t>
        </is>
      </c>
      <c r="B1878" t="inlineStr">
        <is>
          <t>GT0710</t>
        </is>
      </c>
      <c r="C1878" t="inlineStr">
        <is>
          <t>Panajachel</t>
        </is>
      </c>
      <c r="E1878" t="inlineStr">
        <is>
          <t>GT07</t>
        </is>
      </c>
    </row>
    <row r="1879">
      <c r="A1879" t="inlineStr">
        <is>
          <t>admin2</t>
        </is>
      </c>
      <c r="B1879" t="inlineStr">
        <is>
          <t>GT0711</t>
        </is>
      </c>
      <c r="C1879" t="inlineStr">
        <is>
          <t>Santa Catarina Palopó</t>
        </is>
      </c>
      <c r="E1879" t="inlineStr">
        <is>
          <t>GT07</t>
        </is>
      </c>
    </row>
    <row r="1880">
      <c r="A1880" t="inlineStr">
        <is>
          <t>admin2</t>
        </is>
      </c>
      <c r="B1880" t="inlineStr">
        <is>
          <t>GT0712</t>
        </is>
      </c>
      <c r="C1880" t="inlineStr">
        <is>
          <t>San Antonio Palopó</t>
        </is>
      </c>
      <c r="E1880" t="inlineStr">
        <is>
          <t>GT07</t>
        </is>
      </c>
    </row>
    <row r="1881">
      <c r="A1881" t="inlineStr">
        <is>
          <t>admin2</t>
        </is>
      </c>
      <c r="B1881" t="inlineStr">
        <is>
          <t>GT0713</t>
        </is>
      </c>
      <c r="C1881" t="inlineStr">
        <is>
          <t>San Lucas Tolimán</t>
        </is>
      </c>
      <c r="E1881" t="inlineStr">
        <is>
          <t>GT07</t>
        </is>
      </c>
    </row>
    <row r="1882">
      <c r="A1882" t="inlineStr">
        <is>
          <t>admin2</t>
        </is>
      </c>
      <c r="B1882" t="inlineStr">
        <is>
          <t>GT0714</t>
        </is>
      </c>
      <c r="C1882" t="inlineStr">
        <is>
          <t>Santa Cruz La Laguna</t>
        </is>
      </c>
      <c r="E1882" t="inlineStr">
        <is>
          <t>GT07</t>
        </is>
      </c>
    </row>
    <row r="1883">
      <c r="A1883" t="inlineStr">
        <is>
          <t>admin2</t>
        </is>
      </c>
      <c r="B1883" t="inlineStr">
        <is>
          <t>GT0715</t>
        </is>
      </c>
      <c r="C1883" t="inlineStr">
        <is>
          <t>San Pablo La Laguna</t>
        </is>
      </c>
      <c r="E1883" t="inlineStr">
        <is>
          <t>GT07</t>
        </is>
      </c>
    </row>
    <row r="1884">
      <c r="A1884" t="inlineStr">
        <is>
          <t>admin2</t>
        </is>
      </c>
      <c r="B1884" t="inlineStr">
        <is>
          <t>GT0716</t>
        </is>
      </c>
      <c r="C1884" t="inlineStr">
        <is>
          <t>San Marcos La Laguna</t>
        </is>
      </c>
      <c r="E1884" t="inlineStr">
        <is>
          <t>GT07</t>
        </is>
      </c>
    </row>
    <row r="1885">
      <c r="A1885" t="inlineStr">
        <is>
          <t>admin2</t>
        </is>
      </c>
      <c r="B1885" t="inlineStr">
        <is>
          <t>GT0717</t>
        </is>
      </c>
      <c r="C1885" t="inlineStr">
        <is>
          <t>San Juan La Laguna</t>
        </is>
      </c>
      <c r="E1885" t="inlineStr">
        <is>
          <t>GT07</t>
        </is>
      </c>
    </row>
    <row r="1886">
      <c r="A1886" t="inlineStr">
        <is>
          <t>admin2</t>
        </is>
      </c>
      <c r="B1886" t="inlineStr">
        <is>
          <t>GT0718</t>
        </is>
      </c>
      <c r="C1886" t="inlineStr">
        <is>
          <t>San Pedro La Laguna</t>
        </is>
      </c>
      <c r="E1886" t="inlineStr">
        <is>
          <t>GT07</t>
        </is>
      </c>
    </row>
    <row r="1887">
      <c r="A1887" t="inlineStr">
        <is>
          <t>admin2</t>
        </is>
      </c>
      <c r="B1887" t="inlineStr">
        <is>
          <t>GT0719</t>
        </is>
      </c>
      <c r="C1887" t="inlineStr">
        <is>
          <t>Santiago Atitlán</t>
        </is>
      </c>
      <c r="E1887" t="inlineStr">
        <is>
          <t>GT07</t>
        </is>
      </c>
    </row>
    <row r="1888">
      <c r="A1888" t="inlineStr">
        <is>
          <t>admin2</t>
        </is>
      </c>
      <c r="B1888" t="inlineStr">
        <is>
          <t>GT0801</t>
        </is>
      </c>
      <c r="C1888" t="inlineStr">
        <is>
          <t>Totonicapán</t>
        </is>
      </c>
      <c r="E1888" t="inlineStr">
        <is>
          <t>GT08</t>
        </is>
      </c>
    </row>
    <row r="1889">
      <c r="A1889" t="inlineStr">
        <is>
          <t>admin2</t>
        </is>
      </c>
      <c r="B1889" t="inlineStr">
        <is>
          <t>GT0802</t>
        </is>
      </c>
      <c r="C1889" t="inlineStr">
        <is>
          <t>San Cristóbal Totonicapán</t>
        </is>
      </c>
      <c r="E1889" t="inlineStr">
        <is>
          <t>GT08</t>
        </is>
      </c>
    </row>
    <row r="1890">
      <c r="A1890" t="inlineStr">
        <is>
          <t>admin2</t>
        </is>
      </c>
      <c r="B1890" t="inlineStr">
        <is>
          <t>GT0803</t>
        </is>
      </c>
      <c r="C1890" t="inlineStr">
        <is>
          <t>San Francisco El Alto</t>
        </is>
      </c>
      <c r="E1890" t="inlineStr">
        <is>
          <t>GT08</t>
        </is>
      </c>
    </row>
    <row r="1891">
      <c r="A1891" t="inlineStr">
        <is>
          <t>admin2</t>
        </is>
      </c>
      <c r="B1891" t="inlineStr">
        <is>
          <t>GT0804</t>
        </is>
      </c>
      <c r="C1891" t="inlineStr">
        <is>
          <t>San Andrés Xecul</t>
        </is>
      </c>
      <c r="E1891" t="inlineStr">
        <is>
          <t>GT08</t>
        </is>
      </c>
    </row>
    <row r="1892">
      <c r="A1892" t="inlineStr">
        <is>
          <t>admin2</t>
        </is>
      </c>
      <c r="B1892" t="inlineStr">
        <is>
          <t>GT0805</t>
        </is>
      </c>
      <c r="C1892" t="inlineStr">
        <is>
          <t>Momostenango</t>
        </is>
      </c>
      <c r="E1892" t="inlineStr">
        <is>
          <t>GT08</t>
        </is>
      </c>
    </row>
    <row r="1893">
      <c r="A1893" t="inlineStr">
        <is>
          <t>admin2</t>
        </is>
      </c>
      <c r="B1893" t="inlineStr">
        <is>
          <t>GT0806</t>
        </is>
      </c>
      <c r="C1893" t="inlineStr">
        <is>
          <t>Santa María Chiquimula</t>
        </is>
      </c>
      <c r="E1893" t="inlineStr">
        <is>
          <t>GT08</t>
        </is>
      </c>
    </row>
    <row r="1894">
      <c r="A1894" t="inlineStr">
        <is>
          <t>admin2</t>
        </is>
      </c>
      <c r="B1894" t="inlineStr">
        <is>
          <t>GT0807</t>
        </is>
      </c>
      <c r="C1894" t="inlineStr">
        <is>
          <t>Santa Lucía La Reforma</t>
        </is>
      </c>
      <c r="E1894" t="inlineStr">
        <is>
          <t>GT08</t>
        </is>
      </c>
    </row>
    <row r="1895">
      <c r="A1895" t="inlineStr">
        <is>
          <t>admin2</t>
        </is>
      </c>
      <c r="B1895" t="inlineStr">
        <is>
          <t>GT0808</t>
        </is>
      </c>
      <c r="C1895" t="inlineStr">
        <is>
          <t>San Bartolo</t>
        </is>
      </c>
      <c r="E1895" t="inlineStr">
        <is>
          <t>GT08</t>
        </is>
      </c>
    </row>
    <row r="1896">
      <c r="A1896" t="inlineStr">
        <is>
          <t>admin2</t>
        </is>
      </c>
      <c r="B1896" t="inlineStr">
        <is>
          <t>GT0901</t>
        </is>
      </c>
      <c r="C1896" t="inlineStr">
        <is>
          <t>Quetzaltenango</t>
        </is>
      </c>
      <c r="E1896" t="inlineStr">
        <is>
          <t>GT09</t>
        </is>
      </c>
    </row>
    <row r="1897">
      <c r="A1897" t="inlineStr">
        <is>
          <t>admin2</t>
        </is>
      </c>
      <c r="B1897" t="inlineStr">
        <is>
          <t>GT0902</t>
        </is>
      </c>
      <c r="C1897" t="inlineStr">
        <is>
          <t>Salcajá</t>
        </is>
      </c>
      <c r="E1897" t="inlineStr">
        <is>
          <t>GT09</t>
        </is>
      </c>
    </row>
    <row r="1898">
      <c r="A1898" t="inlineStr">
        <is>
          <t>admin2</t>
        </is>
      </c>
      <c r="B1898" t="inlineStr">
        <is>
          <t>GT0903</t>
        </is>
      </c>
      <c r="C1898" t="inlineStr">
        <is>
          <t>Olintepeque</t>
        </is>
      </c>
      <c r="E1898" t="inlineStr">
        <is>
          <t>GT09</t>
        </is>
      </c>
    </row>
    <row r="1899">
      <c r="A1899" t="inlineStr">
        <is>
          <t>admin2</t>
        </is>
      </c>
      <c r="B1899" t="inlineStr">
        <is>
          <t>GT0904</t>
        </is>
      </c>
      <c r="C1899" t="inlineStr">
        <is>
          <t>San Carlos Sija</t>
        </is>
      </c>
      <c r="E1899" t="inlineStr">
        <is>
          <t>GT09</t>
        </is>
      </c>
    </row>
    <row r="1900">
      <c r="A1900" t="inlineStr">
        <is>
          <t>admin2</t>
        </is>
      </c>
      <c r="B1900" t="inlineStr">
        <is>
          <t>GT0905</t>
        </is>
      </c>
      <c r="C1900" t="inlineStr">
        <is>
          <t>Sibilia</t>
        </is>
      </c>
      <c r="E1900" t="inlineStr">
        <is>
          <t>GT09</t>
        </is>
      </c>
    </row>
    <row r="1901">
      <c r="A1901" t="inlineStr">
        <is>
          <t>admin2</t>
        </is>
      </c>
      <c r="B1901" t="inlineStr">
        <is>
          <t>GT0906</t>
        </is>
      </c>
      <c r="C1901" t="inlineStr">
        <is>
          <t>Cabricán</t>
        </is>
      </c>
      <c r="E1901" t="inlineStr">
        <is>
          <t>GT09</t>
        </is>
      </c>
    </row>
    <row r="1902">
      <c r="A1902" t="inlineStr">
        <is>
          <t>admin2</t>
        </is>
      </c>
      <c r="B1902" t="inlineStr">
        <is>
          <t>GT0907</t>
        </is>
      </c>
      <c r="C1902" t="inlineStr">
        <is>
          <t>Cajolá</t>
        </is>
      </c>
      <c r="E1902" t="inlineStr">
        <is>
          <t>GT09</t>
        </is>
      </c>
    </row>
    <row r="1903">
      <c r="A1903" t="inlineStr">
        <is>
          <t>admin2</t>
        </is>
      </c>
      <c r="B1903" t="inlineStr">
        <is>
          <t>GT0908</t>
        </is>
      </c>
      <c r="C1903" t="inlineStr">
        <is>
          <t>San Miguel Sigüila</t>
        </is>
      </c>
      <c r="E1903" t="inlineStr">
        <is>
          <t>GT09</t>
        </is>
      </c>
    </row>
    <row r="1904">
      <c r="A1904" t="inlineStr">
        <is>
          <t>admin2</t>
        </is>
      </c>
      <c r="B1904" t="inlineStr">
        <is>
          <t>GT0909</t>
        </is>
      </c>
      <c r="C1904" t="inlineStr">
        <is>
          <t>Ostuncalco</t>
        </is>
      </c>
      <c r="E1904" t="inlineStr">
        <is>
          <t>GT09</t>
        </is>
      </c>
    </row>
    <row r="1905">
      <c r="A1905" t="inlineStr">
        <is>
          <t>admin2</t>
        </is>
      </c>
      <c r="B1905" t="inlineStr">
        <is>
          <t>GT0910</t>
        </is>
      </c>
      <c r="C1905" t="inlineStr">
        <is>
          <t>San Mateo</t>
        </is>
      </c>
      <c r="E1905" t="inlineStr">
        <is>
          <t>GT09</t>
        </is>
      </c>
    </row>
    <row r="1906">
      <c r="A1906" t="inlineStr">
        <is>
          <t>admin2</t>
        </is>
      </c>
      <c r="B1906" t="inlineStr">
        <is>
          <t>GT0911</t>
        </is>
      </c>
      <c r="C1906" t="inlineStr">
        <is>
          <t>Concepción Chiquirichapa</t>
        </is>
      </c>
      <c r="E1906" t="inlineStr">
        <is>
          <t>GT09</t>
        </is>
      </c>
    </row>
    <row r="1907">
      <c r="A1907" t="inlineStr">
        <is>
          <t>admin2</t>
        </is>
      </c>
      <c r="B1907" t="inlineStr">
        <is>
          <t>GT0912</t>
        </is>
      </c>
      <c r="C1907" t="inlineStr">
        <is>
          <t>San Martín Sacatepéquez</t>
        </is>
      </c>
      <c r="E1907" t="inlineStr">
        <is>
          <t>GT09</t>
        </is>
      </c>
    </row>
    <row r="1908">
      <c r="A1908" t="inlineStr">
        <is>
          <t>admin2</t>
        </is>
      </c>
      <c r="B1908" t="inlineStr">
        <is>
          <t>GT0913</t>
        </is>
      </c>
      <c r="C1908" t="inlineStr">
        <is>
          <t>Almolonga</t>
        </is>
      </c>
      <c r="E1908" t="inlineStr">
        <is>
          <t>GT09</t>
        </is>
      </c>
    </row>
    <row r="1909">
      <c r="A1909" t="inlineStr">
        <is>
          <t>admin2</t>
        </is>
      </c>
      <c r="B1909" t="inlineStr">
        <is>
          <t>GT0914</t>
        </is>
      </c>
      <c r="C1909" t="inlineStr">
        <is>
          <t>Cantel</t>
        </is>
      </c>
      <c r="E1909" t="inlineStr">
        <is>
          <t>GT09</t>
        </is>
      </c>
    </row>
    <row r="1910">
      <c r="A1910" t="inlineStr">
        <is>
          <t>admin2</t>
        </is>
      </c>
      <c r="B1910" t="inlineStr">
        <is>
          <t>GT0915</t>
        </is>
      </c>
      <c r="C1910" t="inlineStr">
        <is>
          <t>Huitán</t>
        </is>
      </c>
      <c r="E1910" t="inlineStr">
        <is>
          <t>GT09</t>
        </is>
      </c>
    </row>
    <row r="1911">
      <c r="A1911" t="inlineStr">
        <is>
          <t>admin2</t>
        </is>
      </c>
      <c r="B1911" t="inlineStr">
        <is>
          <t>GT0916</t>
        </is>
      </c>
      <c r="C1911" t="inlineStr">
        <is>
          <t>Zunil</t>
        </is>
      </c>
      <c r="E1911" t="inlineStr">
        <is>
          <t>GT09</t>
        </is>
      </c>
    </row>
    <row r="1912">
      <c r="A1912" t="inlineStr">
        <is>
          <t>admin2</t>
        </is>
      </c>
      <c r="B1912" t="inlineStr">
        <is>
          <t>GT0917</t>
        </is>
      </c>
      <c r="C1912" t="inlineStr">
        <is>
          <t>Colomba</t>
        </is>
      </c>
      <c r="E1912" t="inlineStr">
        <is>
          <t>GT09</t>
        </is>
      </c>
    </row>
    <row r="1913">
      <c r="A1913" t="inlineStr">
        <is>
          <t>admin2</t>
        </is>
      </c>
      <c r="B1913" t="inlineStr">
        <is>
          <t>GT0918</t>
        </is>
      </c>
      <c r="C1913" t="inlineStr">
        <is>
          <t>San Francisco La Unión</t>
        </is>
      </c>
      <c r="E1913" t="inlineStr">
        <is>
          <t>GT09</t>
        </is>
      </c>
    </row>
    <row r="1914">
      <c r="A1914" t="inlineStr">
        <is>
          <t>admin2</t>
        </is>
      </c>
      <c r="B1914" t="inlineStr">
        <is>
          <t>GT0919</t>
        </is>
      </c>
      <c r="C1914" t="inlineStr">
        <is>
          <t>El Palmar</t>
        </is>
      </c>
      <c r="E1914" t="inlineStr">
        <is>
          <t>GT09</t>
        </is>
      </c>
    </row>
    <row r="1915">
      <c r="A1915" t="inlineStr">
        <is>
          <t>admin2</t>
        </is>
      </c>
      <c r="B1915" t="inlineStr">
        <is>
          <t>GT0920</t>
        </is>
      </c>
      <c r="C1915" t="inlineStr">
        <is>
          <t>Coatepeque</t>
        </is>
      </c>
      <c r="E1915" t="inlineStr">
        <is>
          <t>GT09</t>
        </is>
      </c>
    </row>
    <row r="1916">
      <c r="A1916" t="inlineStr">
        <is>
          <t>admin2</t>
        </is>
      </c>
      <c r="B1916" t="inlineStr">
        <is>
          <t>GT0921</t>
        </is>
      </c>
      <c r="C1916" t="inlineStr">
        <is>
          <t>Génova</t>
        </is>
      </c>
      <c r="E1916" t="inlineStr">
        <is>
          <t>GT09</t>
        </is>
      </c>
    </row>
    <row r="1917">
      <c r="A1917" t="inlineStr">
        <is>
          <t>admin2</t>
        </is>
      </c>
      <c r="B1917" t="inlineStr">
        <is>
          <t>GT0922</t>
        </is>
      </c>
      <c r="C1917" t="inlineStr">
        <is>
          <t>Flores Costa Cuca</t>
        </is>
      </c>
      <c r="E1917" t="inlineStr">
        <is>
          <t>GT09</t>
        </is>
      </c>
    </row>
    <row r="1918">
      <c r="A1918" t="inlineStr">
        <is>
          <t>admin2</t>
        </is>
      </c>
      <c r="B1918" t="inlineStr">
        <is>
          <t>GT0923</t>
        </is>
      </c>
      <c r="C1918" t="inlineStr">
        <is>
          <t>La Esperanza</t>
        </is>
      </c>
      <c r="E1918" t="inlineStr">
        <is>
          <t>GT09</t>
        </is>
      </c>
    </row>
    <row r="1919">
      <c r="A1919" t="inlineStr">
        <is>
          <t>admin2</t>
        </is>
      </c>
      <c r="B1919" t="inlineStr">
        <is>
          <t>GT0924</t>
        </is>
      </c>
      <c r="C1919" t="inlineStr">
        <is>
          <t>Palestina de Los Altos</t>
        </is>
      </c>
      <c r="E1919" t="inlineStr">
        <is>
          <t>GT09</t>
        </is>
      </c>
    </row>
    <row r="1920">
      <c r="A1920" t="inlineStr">
        <is>
          <t>admin2</t>
        </is>
      </c>
      <c r="B1920" t="inlineStr">
        <is>
          <t>GT1001</t>
        </is>
      </c>
      <c r="C1920" t="inlineStr">
        <is>
          <t>Mazatenango</t>
        </is>
      </c>
      <c r="E1920" t="inlineStr">
        <is>
          <t>GT10</t>
        </is>
      </c>
    </row>
    <row r="1921">
      <c r="A1921" t="inlineStr">
        <is>
          <t>admin2</t>
        </is>
      </c>
      <c r="B1921" t="inlineStr">
        <is>
          <t>GT1002</t>
        </is>
      </c>
      <c r="C1921" t="inlineStr">
        <is>
          <t>Cuyotenango</t>
        </is>
      </c>
      <c r="E1921" t="inlineStr">
        <is>
          <t>GT10</t>
        </is>
      </c>
    </row>
    <row r="1922">
      <c r="A1922" t="inlineStr">
        <is>
          <t>admin2</t>
        </is>
      </c>
      <c r="B1922" t="inlineStr">
        <is>
          <t>GT1003</t>
        </is>
      </c>
      <c r="C1922" t="inlineStr">
        <is>
          <t>San Francisco Zapotitlán</t>
        </is>
      </c>
      <c r="E1922" t="inlineStr">
        <is>
          <t>GT10</t>
        </is>
      </c>
    </row>
    <row r="1923">
      <c r="A1923" t="inlineStr">
        <is>
          <t>admin2</t>
        </is>
      </c>
      <c r="B1923" t="inlineStr">
        <is>
          <t>GT1004</t>
        </is>
      </c>
      <c r="C1923" t="inlineStr">
        <is>
          <t>San Bernardino</t>
        </is>
      </c>
      <c r="E1923" t="inlineStr">
        <is>
          <t>GT10</t>
        </is>
      </c>
    </row>
    <row r="1924">
      <c r="A1924" t="inlineStr">
        <is>
          <t>admin2</t>
        </is>
      </c>
      <c r="B1924" t="inlineStr">
        <is>
          <t>GT1005</t>
        </is>
      </c>
      <c r="C1924" t="inlineStr">
        <is>
          <t>San José El Ídolo</t>
        </is>
      </c>
      <c r="E1924" t="inlineStr">
        <is>
          <t>GT10</t>
        </is>
      </c>
    </row>
    <row r="1925">
      <c r="A1925" t="inlineStr">
        <is>
          <t>admin2</t>
        </is>
      </c>
      <c r="B1925" t="inlineStr">
        <is>
          <t>GT1006</t>
        </is>
      </c>
      <c r="C1925" t="inlineStr">
        <is>
          <t>Santo Domingo Suchitepéquez</t>
        </is>
      </c>
      <c r="E1925" t="inlineStr">
        <is>
          <t>GT10</t>
        </is>
      </c>
    </row>
    <row r="1926">
      <c r="A1926" t="inlineStr">
        <is>
          <t>admin2</t>
        </is>
      </c>
      <c r="B1926" t="inlineStr">
        <is>
          <t>GT1007</t>
        </is>
      </c>
      <c r="C1926" t="inlineStr">
        <is>
          <t>San Lorenzo</t>
        </is>
      </c>
      <c r="E1926" t="inlineStr">
        <is>
          <t>GT10</t>
        </is>
      </c>
    </row>
    <row r="1927">
      <c r="A1927" t="inlineStr">
        <is>
          <t>admin2</t>
        </is>
      </c>
      <c r="B1927" t="inlineStr">
        <is>
          <t>GT1008</t>
        </is>
      </c>
      <c r="C1927" t="inlineStr">
        <is>
          <t>Samayac</t>
        </is>
      </c>
      <c r="E1927" t="inlineStr">
        <is>
          <t>GT10</t>
        </is>
      </c>
    </row>
    <row r="1928">
      <c r="A1928" t="inlineStr">
        <is>
          <t>admin2</t>
        </is>
      </c>
      <c r="B1928" t="inlineStr">
        <is>
          <t>GT1009</t>
        </is>
      </c>
      <c r="C1928" t="inlineStr">
        <is>
          <t>San Pablo Jocopilas</t>
        </is>
      </c>
      <c r="E1928" t="inlineStr">
        <is>
          <t>GT10</t>
        </is>
      </c>
    </row>
    <row r="1929">
      <c r="A1929" t="inlineStr">
        <is>
          <t>admin2</t>
        </is>
      </c>
      <c r="B1929" t="inlineStr">
        <is>
          <t>GT1010</t>
        </is>
      </c>
      <c r="C1929" t="inlineStr">
        <is>
          <t>San Antonio Suchitepéquez</t>
        </is>
      </c>
      <c r="E1929" t="inlineStr">
        <is>
          <t>GT10</t>
        </is>
      </c>
    </row>
    <row r="1930">
      <c r="A1930" t="inlineStr">
        <is>
          <t>admin2</t>
        </is>
      </c>
      <c r="B1930" t="inlineStr">
        <is>
          <t>GT1011</t>
        </is>
      </c>
      <c r="C1930" t="inlineStr">
        <is>
          <t>San Miguel Panán</t>
        </is>
      </c>
      <c r="E1930" t="inlineStr">
        <is>
          <t>GT10</t>
        </is>
      </c>
    </row>
    <row r="1931">
      <c r="A1931" t="inlineStr">
        <is>
          <t>admin2</t>
        </is>
      </c>
      <c r="B1931" t="inlineStr">
        <is>
          <t>GT1012</t>
        </is>
      </c>
      <c r="C1931" t="inlineStr">
        <is>
          <t>San Gabriel</t>
        </is>
      </c>
      <c r="E1931" t="inlineStr">
        <is>
          <t>GT10</t>
        </is>
      </c>
    </row>
    <row r="1932">
      <c r="A1932" t="inlineStr">
        <is>
          <t>admin2</t>
        </is>
      </c>
      <c r="B1932" t="inlineStr">
        <is>
          <t>GT1013</t>
        </is>
      </c>
      <c r="C1932" t="inlineStr">
        <is>
          <t>Chicacao</t>
        </is>
      </c>
      <c r="E1932" t="inlineStr">
        <is>
          <t>GT10</t>
        </is>
      </c>
    </row>
    <row r="1933">
      <c r="A1933" t="inlineStr">
        <is>
          <t>admin2</t>
        </is>
      </c>
      <c r="B1933" t="inlineStr">
        <is>
          <t>GT1014</t>
        </is>
      </c>
      <c r="C1933" t="inlineStr">
        <is>
          <t>Patulul</t>
        </is>
      </c>
      <c r="E1933" t="inlineStr">
        <is>
          <t>GT10</t>
        </is>
      </c>
    </row>
    <row r="1934">
      <c r="A1934" t="inlineStr">
        <is>
          <t>admin2</t>
        </is>
      </c>
      <c r="B1934" t="inlineStr">
        <is>
          <t>GT1015</t>
        </is>
      </c>
      <c r="C1934" t="inlineStr">
        <is>
          <t>Santa Bárbara</t>
        </is>
      </c>
      <c r="E1934" t="inlineStr">
        <is>
          <t>GT10</t>
        </is>
      </c>
    </row>
    <row r="1935">
      <c r="A1935" t="inlineStr">
        <is>
          <t>admin2</t>
        </is>
      </c>
      <c r="B1935" t="inlineStr">
        <is>
          <t>GT1016</t>
        </is>
      </c>
      <c r="C1935" t="inlineStr">
        <is>
          <t>San Juan Bautista</t>
        </is>
      </c>
      <c r="E1935" t="inlineStr">
        <is>
          <t>GT10</t>
        </is>
      </c>
    </row>
    <row r="1936">
      <c r="A1936" t="inlineStr">
        <is>
          <t>admin2</t>
        </is>
      </c>
      <c r="B1936" t="inlineStr">
        <is>
          <t>GT1017</t>
        </is>
      </c>
      <c r="C1936" t="inlineStr">
        <is>
          <t>Santo Tomás La Unión</t>
        </is>
      </c>
      <c r="E1936" t="inlineStr">
        <is>
          <t>GT10</t>
        </is>
      </c>
    </row>
    <row r="1937">
      <c r="A1937" t="inlineStr">
        <is>
          <t>admin2</t>
        </is>
      </c>
      <c r="B1937" t="inlineStr">
        <is>
          <t>GT1018</t>
        </is>
      </c>
      <c r="C1937" t="inlineStr">
        <is>
          <t>Zunilito</t>
        </is>
      </c>
      <c r="E1937" t="inlineStr">
        <is>
          <t>GT10</t>
        </is>
      </c>
    </row>
    <row r="1938">
      <c r="A1938" t="inlineStr">
        <is>
          <t>admin2</t>
        </is>
      </c>
      <c r="B1938" t="inlineStr">
        <is>
          <t>GT1019</t>
        </is>
      </c>
      <c r="C1938" t="inlineStr">
        <is>
          <t>Pueblo Nuevo</t>
        </is>
      </c>
      <c r="E1938" t="inlineStr">
        <is>
          <t>GT10</t>
        </is>
      </c>
    </row>
    <row r="1939">
      <c r="A1939" t="inlineStr">
        <is>
          <t>admin2</t>
        </is>
      </c>
      <c r="B1939" t="inlineStr">
        <is>
          <t>GT1020</t>
        </is>
      </c>
      <c r="C1939" t="inlineStr">
        <is>
          <t>Río Bravo</t>
        </is>
      </c>
      <c r="E1939" t="inlineStr">
        <is>
          <t>GT10</t>
        </is>
      </c>
    </row>
    <row r="1940">
      <c r="A1940" t="inlineStr">
        <is>
          <t>admin2</t>
        </is>
      </c>
      <c r="B1940" t="inlineStr">
        <is>
          <t>GT1021</t>
        </is>
      </c>
      <c r="C1940" t="inlineStr">
        <is>
          <t>San José La Máquina</t>
        </is>
      </c>
      <c r="E1940" t="inlineStr">
        <is>
          <t>GT10</t>
        </is>
      </c>
    </row>
    <row r="1941">
      <c r="A1941" t="inlineStr">
        <is>
          <t>admin2</t>
        </is>
      </c>
      <c r="B1941" t="inlineStr">
        <is>
          <t>GT1101</t>
        </is>
      </c>
      <c r="C1941" t="inlineStr">
        <is>
          <t>Retalhuleu</t>
        </is>
      </c>
      <c r="E1941" t="inlineStr">
        <is>
          <t>GT11</t>
        </is>
      </c>
    </row>
    <row r="1942">
      <c r="A1942" t="inlineStr">
        <is>
          <t>admin2</t>
        </is>
      </c>
      <c r="B1942" t="inlineStr">
        <is>
          <t>GT1102</t>
        </is>
      </c>
      <c r="C1942" t="inlineStr">
        <is>
          <t>San Sebastián</t>
        </is>
      </c>
      <c r="E1942" t="inlineStr">
        <is>
          <t>GT11</t>
        </is>
      </c>
    </row>
    <row r="1943">
      <c r="A1943" t="inlineStr">
        <is>
          <t>admin2</t>
        </is>
      </c>
      <c r="B1943" t="inlineStr">
        <is>
          <t>GT1103</t>
        </is>
      </c>
      <c r="C1943" t="inlineStr">
        <is>
          <t>Santa Cruz Muluá</t>
        </is>
      </c>
      <c r="E1943" t="inlineStr">
        <is>
          <t>GT11</t>
        </is>
      </c>
    </row>
    <row r="1944">
      <c r="A1944" t="inlineStr">
        <is>
          <t>admin2</t>
        </is>
      </c>
      <c r="B1944" t="inlineStr">
        <is>
          <t>GT1104</t>
        </is>
      </c>
      <c r="C1944" t="inlineStr">
        <is>
          <t>San Martín Zapotitlán</t>
        </is>
      </c>
      <c r="E1944" t="inlineStr">
        <is>
          <t>GT11</t>
        </is>
      </c>
    </row>
    <row r="1945">
      <c r="A1945" t="inlineStr">
        <is>
          <t>admin2</t>
        </is>
      </c>
      <c r="B1945" t="inlineStr">
        <is>
          <t>GT1105</t>
        </is>
      </c>
      <c r="C1945" t="inlineStr">
        <is>
          <t>San Felipe</t>
        </is>
      </c>
      <c r="E1945" t="inlineStr">
        <is>
          <t>GT11</t>
        </is>
      </c>
    </row>
    <row r="1946">
      <c r="A1946" t="inlineStr">
        <is>
          <t>admin2</t>
        </is>
      </c>
      <c r="B1946" t="inlineStr">
        <is>
          <t>GT1106</t>
        </is>
      </c>
      <c r="C1946" t="inlineStr">
        <is>
          <t>San Andrés Villa Seca</t>
        </is>
      </c>
      <c r="E1946" t="inlineStr">
        <is>
          <t>GT11</t>
        </is>
      </c>
    </row>
    <row r="1947">
      <c r="A1947" t="inlineStr">
        <is>
          <t>admin2</t>
        </is>
      </c>
      <c r="B1947" t="inlineStr">
        <is>
          <t>GT1107</t>
        </is>
      </c>
      <c r="C1947" t="inlineStr">
        <is>
          <t>Champerico</t>
        </is>
      </c>
      <c r="E1947" t="inlineStr">
        <is>
          <t>GT11</t>
        </is>
      </c>
    </row>
    <row r="1948">
      <c r="A1948" t="inlineStr">
        <is>
          <t>admin2</t>
        </is>
      </c>
      <c r="B1948" t="inlineStr">
        <is>
          <t>GT1108</t>
        </is>
      </c>
      <c r="C1948" t="inlineStr">
        <is>
          <t>Nuevo San Carlos</t>
        </is>
      </c>
      <c r="E1948" t="inlineStr">
        <is>
          <t>GT11</t>
        </is>
      </c>
    </row>
    <row r="1949">
      <c r="A1949" t="inlineStr">
        <is>
          <t>admin2</t>
        </is>
      </c>
      <c r="B1949" t="inlineStr">
        <is>
          <t>GT1109</t>
        </is>
      </c>
      <c r="C1949" t="inlineStr">
        <is>
          <t>El Asintal</t>
        </is>
      </c>
      <c r="E1949" t="inlineStr">
        <is>
          <t>GT11</t>
        </is>
      </c>
    </row>
    <row r="1950">
      <c r="A1950" t="inlineStr">
        <is>
          <t>admin2</t>
        </is>
      </c>
      <c r="B1950" t="inlineStr">
        <is>
          <t>GT1201</t>
        </is>
      </c>
      <c r="C1950" t="inlineStr">
        <is>
          <t>San Marcos</t>
        </is>
      </c>
      <c r="E1950" t="inlineStr">
        <is>
          <t>GT12</t>
        </is>
      </c>
    </row>
    <row r="1951">
      <c r="A1951" t="inlineStr">
        <is>
          <t>admin2</t>
        </is>
      </c>
      <c r="B1951" t="inlineStr">
        <is>
          <t>GT1202</t>
        </is>
      </c>
      <c r="C1951" t="inlineStr">
        <is>
          <t>San Pedro Sacatepéquez</t>
        </is>
      </c>
      <c r="E1951" t="inlineStr">
        <is>
          <t>GT12</t>
        </is>
      </c>
    </row>
    <row r="1952">
      <c r="A1952" t="inlineStr">
        <is>
          <t>admin2</t>
        </is>
      </c>
      <c r="B1952" t="inlineStr">
        <is>
          <t>GT1203</t>
        </is>
      </c>
      <c r="C1952" t="inlineStr">
        <is>
          <t>San Antonio Sacatepéquez</t>
        </is>
      </c>
      <c r="E1952" t="inlineStr">
        <is>
          <t>GT12</t>
        </is>
      </c>
    </row>
    <row r="1953">
      <c r="A1953" t="inlineStr">
        <is>
          <t>admin2</t>
        </is>
      </c>
      <c r="B1953" t="inlineStr">
        <is>
          <t>GT1204</t>
        </is>
      </c>
      <c r="C1953" t="inlineStr">
        <is>
          <t>Comitancillo</t>
        </is>
      </c>
      <c r="E1953" t="inlineStr">
        <is>
          <t>GT12</t>
        </is>
      </c>
    </row>
    <row r="1954">
      <c r="A1954" t="inlineStr">
        <is>
          <t>admin2</t>
        </is>
      </c>
      <c r="B1954" t="inlineStr">
        <is>
          <t>GT1205</t>
        </is>
      </c>
      <c r="C1954" t="inlineStr">
        <is>
          <t>San Miguel Ixtahuacán</t>
        </is>
      </c>
      <c r="E1954" t="inlineStr">
        <is>
          <t>GT12</t>
        </is>
      </c>
    </row>
    <row r="1955">
      <c r="A1955" t="inlineStr">
        <is>
          <t>admin2</t>
        </is>
      </c>
      <c r="B1955" t="inlineStr">
        <is>
          <t>GT1206</t>
        </is>
      </c>
      <c r="C1955" t="inlineStr">
        <is>
          <t>Concepción Tutuapa</t>
        </is>
      </c>
      <c r="E1955" t="inlineStr">
        <is>
          <t>GT12</t>
        </is>
      </c>
    </row>
    <row r="1956">
      <c r="A1956" t="inlineStr">
        <is>
          <t>admin2</t>
        </is>
      </c>
      <c r="B1956" t="inlineStr">
        <is>
          <t>GT1207</t>
        </is>
      </c>
      <c r="C1956" t="inlineStr">
        <is>
          <t>Tacaná</t>
        </is>
      </c>
      <c r="E1956" t="inlineStr">
        <is>
          <t>GT12</t>
        </is>
      </c>
    </row>
    <row r="1957">
      <c r="A1957" t="inlineStr">
        <is>
          <t>admin2</t>
        </is>
      </c>
      <c r="B1957" t="inlineStr">
        <is>
          <t>GT1208</t>
        </is>
      </c>
      <c r="C1957" t="inlineStr">
        <is>
          <t>Sibinal</t>
        </is>
      </c>
      <c r="E1957" t="inlineStr">
        <is>
          <t>GT12</t>
        </is>
      </c>
    </row>
    <row r="1958">
      <c r="A1958" t="inlineStr">
        <is>
          <t>admin2</t>
        </is>
      </c>
      <c r="B1958" t="inlineStr">
        <is>
          <t>GT1209</t>
        </is>
      </c>
      <c r="C1958" t="inlineStr">
        <is>
          <t>Tajumulco</t>
        </is>
      </c>
      <c r="E1958" t="inlineStr">
        <is>
          <t>GT12</t>
        </is>
      </c>
    </row>
    <row r="1959">
      <c r="A1959" t="inlineStr">
        <is>
          <t>admin2</t>
        </is>
      </c>
      <c r="B1959" t="inlineStr">
        <is>
          <t>GT1210</t>
        </is>
      </c>
      <c r="C1959" t="inlineStr">
        <is>
          <t>Tejutla</t>
        </is>
      </c>
      <c r="E1959" t="inlineStr">
        <is>
          <t>GT12</t>
        </is>
      </c>
    </row>
    <row r="1960">
      <c r="A1960" t="inlineStr">
        <is>
          <t>admin2</t>
        </is>
      </c>
      <c r="B1960" t="inlineStr">
        <is>
          <t>GT1211</t>
        </is>
      </c>
      <c r="C1960" t="inlineStr">
        <is>
          <t>San Rafael Pie de la Cuesta</t>
        </is>
      </c>
      <c r="E1960" t="inlineStr">
        <is>
          <t>GT12</t>
        </is>
      </c>
    </row>
    <row r="1961">
      <c r="A1961" t="inlineStr">
        <is>
          <t>admin2</t>
        </is>
      </c>
      <c r="B1961" t="inlineStr">
        <is>
          <t>GT1212</t>
        </is>
      </c>
      <c r="C1961" t="inlineStr">
        <is>
          <t>Nuevo Progreso</t>
        </is>
      </c>
      <c r="E1961" t="inlineStr">
        <is>
          <t>GT12</t>
        </is>
      </c>
    </row>
    <row r="1962">
      <c r="A1962" t="inlineStr">
        <is>
          <t>admin2</t>
        </is>
      </c>
      <c r="B1962" t="inlineStr">
        <is>
          <t>GT1213</t>
        </is>
      </c>
      <c r="C1962" t="inlineStr">
        <is>
          <t>El Tumbador</t>
        </is>
      </c>
      <c r="E1962" t="inlineStr">
        <is>
          <t>GT12</t>
        </is>
      </c>
    </row>
    <row r="1963">
      <c r="A1963" t="inlineStr">
        <is>
          <t>admin2</t>
        </is>
      </c>
      <c r="B1963" t="inlineStr">
        <is>
          <t>GT1214</t>
        </is>
      </c>
      <c r="C1963" t="inlineStr">
        <is>
          <t>El Rodeo</t>
        </is>
      </c>
      <c r="E1963" t="inlineStr">
        <is>
          <t>GT12</t>
        </is>
      </c>
    </row>
    <row r="1964">
      <c r="A1964" t="inlineStr">
        <is>
          <t>admin2</t>
        </is>
      </c>
      <c r="B1964" t="inlineStr">
        <is>
          <t>GT1215</t>
        </is>
      </c>
      <c r="C1964" t="inlineStr">
        <is>
          <t>Malacatán</t>
        </is>
      </c>
      <c r="E1964" t="inlineStr">
        <is>
          <t>GT12</t>
        </is>
      </c>
    </row>
    <row r="1965">
      <c r="A1965" t="inlineStr">
        <is>
          <t>admin2</t>
        </is>
      </c>
      <c r="B1965" t="inlineStr">
        <is>
          <t>GT1216</t>
        </is>
      </c>
      <c r="C1965" t="inlineStr">
        <is>
          <t>Catarina</t>
        </is>
      </c>
      <c r="E1965" t="inlineStr">
        <is>
          <t>GT12</t>
        </is>
      </c>
    </row>
    <row r="1966">
      <c r="A1966" t="inlineStr">
        <is>
          <t>admin2</t>
        </is>
      </c>
      <c r="B1966" t="inlineStr">
        <is>
          <t>GT1217</t>
        </is>
      </c>
      <c r="C1966" t="inlineStr">
        <is>
          <t>Ayutla</t>
        </is>
      </c>
      <c r="E1966" t="inlineStr">
        <is>
          <t>GT12</t>
        </is>
      </c>
    </row>
    <row r="1967">
      <c r="A1967" t="inlineStr">
        <is>
          <t>admin2</t>
        </is>
      </c>
      <c r="B1967" t="inlineStr">
        <is>
          <t>GT1218</t>
        </is>
      </c>
      <c r="C1967" t="inlineStr">
        <is>
          <t>Ocós</t>
        </is>
      </c>
      <c r="E1967" t="inlineStr">
        <is>
          <t>GT12</t>
        </is>
      </c>
    </row>
    <row r="1968">
      <c r="A1968" t="inlineStr">
        <is>
          <t>admin2</t>
        </is>
      </c>
      <c r="B1968" t="inlineStr">
        <is>
          <t>GT1219</t>
        </is>
      </c>
      <c r="C1968" t="inlineStr">
        <is>
          <t>San Pablo</t>
        </is>
      </c>
      <c r="E1968" t="inlineStr">
        <is>
          <t>GT12</t>
        </is>
      </c>
    </row>
    <row r="1969">
      <c r="A1969" t="inlineStr">
        <is>
          <t>admin2</t>
        </is>
      </c>
      <c r="B1969" t="inlineStr">
        <is>
          <t>GT1220</t>
        </is>
      </c>
      <c r="C1969" t="inlineStr">
        <is>
          <t>El Quetzal</t>
        </is>
      </c>
      <c r="E1969" t="inlineStr">
        <is>
          <t>GT12</t>
        </is>
      </c>
    </row>
    <row r="1970">
      <c r="A1970" t="inlineStr">
        <is>
          <t>admin2</t>
        </is>
      </c>
      <c r="B1970" t="inlineStr">
        <is>
          <t>GT1221</t>
        </is>
      </c>
      <c r="C1970" t="inlineStr">
        <is>
          <t>La Reforma</t>
        </is>
      </c>
      <c r="E1970" t="inlineStr">
        <is>
          <t>GT12</t>
        </is>
      </c>
    </row>
    <row r="1971">
      <c r="A1971" t="inlineStr">
        <is>
          <t>admin2</t>
        </is>
      </c>
      <c r="B1971" t="inlineStr">
        <is>
          <t>GT1222</t>
        </is>
      </c>
      <c r="C1971" t="inlineStr">
        <is>
          <t>Pajapita</t>
        </is>
      </c>
      <c r="E1971" t="inlineStr">
        <is>
          <t>GT12</t>
        </is>
      </c>
    </row>
    <row r="1972">
      <c r="A1972" t="inlineStr">
        <is>
          <t>admin2</t>
        </is>
      </c>
      <c r="B1972" t="inlineStr">
        <is>
          <t>GT1223</t>
        </is>
      </c>
      <c r="C1972" t="inlineStr">
        <is>
          <t>Ixchiguán</t>
        </is>
      </c>
      <c r="E1972" t="inlineStr">
        <is>
          <t>GT12</t>
        </is>
      </c>
    </row>
    <row r="1973">
      <c r="A1973" t="inlineStr">
        <is>
          <t>admin2</t>
        </is>
      </c>
      <c r="B1973" t="inlineStr">
        <is>
          <t>GT1224</t>
        </is>
      </c>
      <c r="C1973" t="inlineStr">
        <is>
          <t>San José Ojetenam</t>
        </is>
      </c>
      <c r="E1973" t="inlineStr">
        <is>
          <t>GT12</t>
        </is>
      </c>
    </row>
    <row r="1974">
      <c r="A1974" t="inlineStr">
        <is>
          <t>admin2</t>
        </is>
      </c>
      <c r="B1974" t="inlineStr">
        <is>
          <t>GT1225</t>
        </is>
      </c>
      <c r="C1974" t="inlineStr">
        <is>
          <t>San Cristóbal Cucho</t>
        </is>
      </c>
      <c r="E1974" t="inlineStr">
        <is>
          <t>GT12</t>
        </is>
      </c>
    </row>
    <row r="1975">
      <c r="A1975" t="inlineStr">
        <is>
          <t>admin2</t>
        </is>
      </c>
      <c r="B1975" t="inlineStr">
        <is>
          <t>GT1226</t>
        </is>
      </c>
      <c r="C1975" t="inlineStr">
        <is>
          <t>Sipacapa</t>
        </is>
      </c>
      <c r="E1975" t="inlineStr">
        <is>
          <t>GT12</t>
        </is>
      </c>
    </row>
    <row r="1976">
      <c r="A1976" t="inlineStr">
        <is>
          <t>admin2</t>
        </is>
      </c>
      <c r="B1976" t="inlineStr">
        <is>
          <t>GT1227</t>
        </is>
      </c>
      <c r="C1976" t="inlineStr">
        <is>
          <t>Esquipulas Palo Gordo</t>
        </is>
      </c>
      <c r="E1976" t="inlineStr">
        <is>
          <t>GT12</t>
        </is>
      </c>
    </row>
    <row r="1977">
      <c r="A1977" t="inlineStr">
        <is>
          <t>admin2</t>
        </is>
      </c>
      <c r="B1977" t="inlineStr">
        <is>
          <t>GT1228</t>
        </is>
      </c>
      <c r="C1977" t="inlineStr">
        <is>
          <t>Río Blanco</t>
        </is>
      </c>
      <c r="E1977" t="inlineStr">
        <is>
          <t>GT12</t>
        </is>
      </c>
    </row>
    <row r="1978">
      <c r="A1978" t="inlineStr">
        <is>
          <t>admin2</t>
        </is>
      </c>
      <c r="B1978" t="inlineStr">
        <is>
          <t>GT1229</t>
        </is>
      </c>
      <c r="C1978" t="inlineStr">
        <is>
          <t>San Lorenzo</t>
        </is>
      </c>
      <c r="E1978" t="inlineStr">
        <is>
          <t>GT12</t>
        </is>
      </c>
    </row>
    <row r="1979">
      <c r="A1979" t="inlineStr">
        <is>
          <t>admin2</t>
        </is>
      </c>
      <c r="B1979" t="inlineStr">
        <is>
          <t>GT1230</t>
        </is>
      </c>
      <c r="C1979" t="inlineStr">
        <is>
          <t>La Blanca</t>
        </is>
      </c>
      <c r="E1979" t="inlineStr">
        <is>
          <t>GT12</t>
        </is>
      </c>
    </row>
    <row r="1980">
      <c r="A1980" t="inlineStr">
        <is>
          <t>admin2</t>
        </is>
      </c>
      <c r="B1980" t="inlineStr">
        <is>
          <t>GT1301</t>
        </is>
      </c>
      <c r="C1980" t="inlineStr">
        <is>
          <t>Huehuetenango</t>
        </is>
      </c>
      <c r="E1980" t="inlineStr">
        <is>
          <t>GT13</t>
        </is>
      </c>
    </row>
    <row r="1981">
      <c r="A1981" t="inlineStr">
        <is>
          <t>admin2</t>
        </is>
      </c>
      <c r="B1981" t="inlineStr">
        <is>
          <t>GT1302</t>
        </is>
      </c>
      <c r="C1981" t="inlineStr">
        <is>
          <t>Chiantla</t>
        </is>
      </c>
      <c r="E1981" t="inlineStr">
        <is>
          <t>GT13</t>
        </is>
      </c>
    </row>
    <row r="1982">
      <c r="A1982" t="inlineStr">
        <is>
          <t>admin2</t>
        </is>
      </c>
      <c r="B1982" t="inlineStr">
        <is>
          <t>GT1303</t>
        </is>
      </c>
      <c r="C1982" t="inlineStr">
        <is>
          <t>Malacatancito</t>
        </is>
      </c>
      <c r="E1982" t="inlineStr">
        <is>
          <t>GT13</t>
        </is>
      </c>
    </row>
    <row r="1983">
      <c r="A1983" t="inlineStr">
        <is>
          <t>admin2</t>
        </is>
      </c>
      <c r="B1983" t="inlineStr">
        <is>
          <t>GT1304</t>
        </is>
      </c>
      <c r="C1983" t="inlineStr">
        <is>
          <t>Cuilco</t>
        </is>
      </c>
      <c r="E1983" t="inlineStr">
        <is>
          <t>GT13</t>
        </is>
      </c>
    </row>
    <row r="1984">
      <c r="A1984" t="inlineStr">
        <is>
          <t>admin2</t>
        </is>
      </c>
      <c r="B1984" t="inlineStr">
        <is>
          <t>GT1305</t>
        </is>
      </c>
      <c r="C1984" t="inlineStr">
        <is>
          <t>Nentón</t>
        </is>
      </c>
      <c r="E1984" t="inlineStr">
        <is>
          <t>GT13</t>
        </is>
      </c>
    </row>
    <row r="1985">
      <c r="A1985" t="inlineStr">
        <is>
          <t>admin2</t>
        </is>
      </c>
      <c r="B1985" t="inlineStr">
        <is>
          <t>GT1306</t>
        </is>
      </c>
      <c r="C1985" t="inlineStr">
        <is>
          <t>San Pedro Necta</t>
        </is>
      </c>
      <c r="E1985" t="inlineStr">
        <is>
          <t>GT13</t>
        </is>
      </c>
    </row>
    <row r="1986">
      <c r="A1986" t="inlineStr">
        <is>
          <t>admin2</t>
        </is>
      </c>
      <c r="B1986" t="inlineStr">
        <is>
          <t>GT1307</t>
        </is>
      </c>
      <c r="C1986" t="inlineStr">
        <is>
          <t>Jacaltenango</t>
        </is>
      </c>
      <c r="E1986" t="inlineStr">
        <is>
          <t>GT13</t>
        </is>
      </c>
    </row>
    <row r="1987">
      <c r="A1987" t="inlineStr">
        <is>
          <t>admin2</t>
        </is>
      </c>
      <c r="B1987" t="inlineStr">
        <is>
          <t>GT1308</t>
        </is>
      </c>
      <c r="C1987" t="inlineStr">
        <is>
          <t>Soloma</t>
        </is>
      </c>
      <c r="E1987" t="inlineStr">
        <is>
          <t>GT13</t>
        </is>
      </c>
    </row>
    <row r="1988">
      <c r="A1988" t="inlineStr">
        <is>
          <t>admin2</t>
        </is>
      </c>
      <c r="B1988" t="inlineStr">
        <is>
          <t>GT1309</t>
        </is>
      </c>
      <c r="C1988" t="inlineStr">
        <is>
          <t>Ixtahuacán</t>
        </is>
      </c>
      <c r="E1988" t="inlineStr">
        <is>
          <t>GT13</t>
        </is>
      </c>
    </row>
    <row r="1989">
      <c r="A1989" t="inlineStr">
        <is>
          <t>admin2</t>
        </is>
      </c>
      <c r="B1989" t="inlineStr">
        <is>
          <t>GT1310</t>
        </is>
      </c>
      <c r="C1989" t="inlineStr">
        <is>
          <t>Santa Bárbara</t>
        </is>
      </c>
      <c r="E1989" t="inlineStr">
        <is>
          <t>GT13</t>
        </is>
      </c>
    </row>
    <row r="1990">
      <c r="A1990" t="inlineStr">
        <is>
          <t>admin2</t>
        </is>
      </c>
      <c r="B1990" t="inlineStr">
        <is>
          <t>GT1311</t>
        </is>
      </c>
      <c r="C1990" t="inlineStr">
        <is>
          <t>La Libertad</t>
        </is>
      </c>
      <c r="E1990" t="inlineStr">
        <is>
          <t>GT13</t>
        </is>
      </c>
    </row>
    <row r="1991">
      <c r="A1991" t="inlineStr">
        <is>
          <t>admin2</t>
        </is>
      </c>
      <c r="B1991" t="inlineStr">
        <is>
          <t>GT1312</t>
        </is>
      </c>
      <c r="C1991" t="inlineStr">
        <is>
          <t>La Democracia</t>
        </is>
      </c>
      <c r="E1991" t="inlineStr">
        <is>
          <t>GT13</t>
        </is>
      </c>
    </row>
    <row r="1992">
      <c r="A1992" t="inlineStr">
        <is>
          <t>admin2</t>
        </is>
      </c>
      <c r="B1992" t="inlineStr">
        <is>
          <t>GT1313</t>
        </is>
      </c>
      <c r="C1992" t="inlineStr">
        <is>
          <t>San Miguel Acatán</t>
        </is>
      </c>
      <c r="E1992" t="inlineStr">
        <is>
          <t>GT13</t>
        </is>
      </c>
    </row>
    <row r="1993">
      <c r="A1993" t="inlineStr">
        <is>
          <t>admin2</t>
        </is>
      </c>
      <c r="B1993" t="inlineStr">
        <is>
          <t>GT1314</t>
        </is>
      </c>
      <c r="C1993" t="inlineStr">
        <is>
          <t>San Rafael La Independencia</t>
        </is>
      </c>
      <c r="E1993" t="inlineStr">
        <is>
          <t>GT13</t>
        </is>
      </c>
    </row>
    <row r="1994">
      <c r="A1994" t="inlineStr">
        <is>
          <t>admin2</t>
        </is>
      </c>
      <c r="B1994" t="inlineStr">
        <is>
          <t>GT1315</t>
        </is>
      </c>
      <c r="C1994" t="inlineStr">
        <is>
          <t>Todos Santos Cuchumatán</t>
        </is>
      </c>
      <c r="E1994" t="inlineStr">
        <is>
          <t>GT13</t>
        </is>
      </c>
    </row>
    <row r="1995">
      <c r="A1995" t="inlineStr">
        <is>
          <t>admin2</t>
        </is>
      </c>
      <c r="B1995" t="inlineStr">
        <is>
          <t>GT1316</t>
        </is>
      </c>
      <c r="C1995" t="inlineStr">
        <is>
          <t>San Juan Atitán</t>
        </is>
      </c>
      <c r="E1995" t="inlineStr">
        <is>
          <t>GT13</t>
        </is>
      </c>
    </row>
    <row r="1996">
      <c r="A1996" t="inlineStr">
        <is>
          <t>admin2</t>
        </is>
      </c>
      <c r="B1996" t="inlineStr">
        <is>
          <t>GT1317</t>
        </is>
      </c>
      <c r="C1996" t="inlineStr">
        <is>
          <t>Santa Eulalia</t>
        </is>
      </c>
      <c r="E1996" t="inlineStr">
        <is>
          <t>GT13</t>
        </is>
      </c>
    </row>
    <row r="1997">
      <c r="A1997" t="inlineStr">
        <is>
          <t>admin2</t>
        </is>
      </c>
      <c r="B1997" t="inlineStr">
        <is>
          <t>GT1318</t>
        </is>
      </c>
      <c r="C1997" t="inlineStr">
        <is>
          <t>San Mateo Ixtatán</t>
        </is>
      </c>
      <c r="E1997" t="inlineStr">
        <is>
          <t>GT13</t>
        </is>
      </c>
    </row>
    <row r="1998">
      <c r="A1998" t="inlineStr">
        <is>
          <t>admin2</t>
        </is>
      </c>
      <c r="B1998" t="inlineStr">
        <is>
          <t>GT1319</t>
        </is>
      </c>
      <c r="C1998" t="inlineStr">
        <is>
          <t>Colotenango</t>
        </is>
      </c>
      <c r="E1998" t="inlineStr">
        <is>
          <t>GT13</t>
        </is>
      </c>
    </row>
    <row r="1999">
      <c r="A1999" t="inlineStr">
        <is>
          <t>admin2</t>
        </is>
      </c>
      <c r="B1999" t="inlineStr">
        <is>
          <t>GT1320</t>
        </is>
      </c>
      <c r="C1999" t="inlineStr">
        <is>
          <t>San Sebastián Huehuetenango</t>
        </is>
      </c>
      <c r="E1999" t="inlineStr">
        <is>
          <t>GT13</t>
        </is>
      </c>
    </row>
    <row r="2000">
      <c r="A2000" t="inlineStr">
        <is>
          <t>admin2</t>
        </is>
      </c>
      <c r="B2000" t="inlineStr">
        <is>
          <t>GT1321</t>
        </is>
      </c>
      <c r="C2000" t="inlineStr">
        <is>
          <t>Tectitán</t>
        </is>
      </c>
      <c r="E2000" t="inlineStr">
        <is>
          <t>GT13</t>
        </is>
      </c>
    </row>
    <row r="2001">
      <c r="A2001" t="inlineStr">
        <is>
          <t>admin2</t>
        </is>
      </c>
      <c r="B2001" t="inlineStr">
        <is>
          <t>GT1322</t>
        </is>
      </c>
      <c r="C2001" t="inlineStr">
        <is>
          <t>Concepción Huista</t>
        </is>
      </c>
      <c r="E2001" t="inlineStr">
        <is>
          <t>GT13</t>
        </is>
      </c>
    </row>
    <row r="2002">
      <c r="A2002" t="inlineStr">
        <is>
          <t>admin2</t>
        </is>
      </c>
      <c r="B2002" t="inlineStr">
        <is>
          <t>GT1323</t>
        </is>
      </c>
      <c r="C2002" t="inlineStr">
        <is>
          <t>San Juan Ixcoy</t>
        </is>
      </c>
      <c r="E2002" t="inlineStr">
        <is>
          <t>GT13</t>
        </is>
      </c>
    </row>
    <row r="2003">
      <c r="A2003" t="inlineStr">
        <is>
          <t>admin2</t>
        </is>
      </c>
      <c r="B2003" t="inlineStr">
        <is>
          <t>GT1324</t>
        </is>
      </c>
      <c r="C2003" t="inlineStr">
        <is>
          <t>San Antonio Huista</t>
        </is>
      </c>
      <c r="E2003" t="inlineStr">
        <is>
          <t>GT13</t>
        </is>
      </c>
    </row>
    <row r="2004">
      <c r="A2004" t="inlineStr">
        <is>
          <t>admin2</t>
        </is>
      </c>
      <c r="B2004" t="inlineStr">
        <is>
          <t>GT1325</t>
        </is>
      </c>
      <c r="C2004" t="inlineStr">
        <is>
          <t>San Sebastián Coatán</t>
        </is>
      </c>
      <c r="E2004" t="inlineStr">
        <is>
          <t>GT13</t>
        </is>
      </c>
    </row>
    <row r="2005">
      <c r="A2005" t="inlineStr">
        <is>
          <t>admin2</t>
        </is>
      </c>
      <c r="B2005" t="inlineStr">
        <is>
          <t>GT1326</t>
        </is>
      </c>
      <c r="C2005" t="inlineStr">
        <is>
          <t>Barillas</t>
        </is>
      </c>
      <c r="E2005" t="inlineStr">
        <is>
          <t>GT13</t>
        </is>
      </c>
    </row>
    <row r="2006">
      <c r="A2006" t="inlineStr">
        <is>
          <t>admin2</t>
        </is>
      </c>
      <c r="B2006" t="inlineStr">
        <is>
          <t>GT1327</t>
        </is>
      </c>
      <c r="C2006" t="inlineStr">
        <is>
          <t>Aguacatán</t>
        </is>
      </c>
      <c r="E2006" t="inlineStr">
        <is>
          <t>GT13</t>
        </is>
      </c>
    </row>
    <row r="2007">
      <c r="A2007" t="inlineStr">
        <is>
          <t>admin2</t>
        </is>
      </c>
      <c r="B2007" t="inlineStr">
        <is>
          <t>GT1328</t>
        </is>
      </c>
      <c r="C2007" t="inlineStr">
        <is>
          <t>San Rafael Petzal</t>
        </is>
      </c>
      <c r="E2007" t="inlineStr">
        <is>
          <t>GT13</t>
        </is>
      </c>
    </row>
    <row r="2008">
      <c r="A2008" t="inlineStr">
        <is>
          <t>admin2</t>
        </is>
      </c>
      <c r="B2008" t="inlineStr">
        <is>
          <t>GT1329</t>
        </is>
      </c>
      <c r="C2008" t="inlineStr">
        <is>
          <t>San Gaspar Ixchil</t>
        </is>
      </c>
      <c r="E2008" t="inlineStr">
        <is>
          <t>GT13</t>
        </is>
      </c>
    </row>
    <row r="2009">
      <c r="A2009" t="inlineStr">
        <is>
          <t>admin2</t>
        </is>
      </c>
      <c r="B2009" t="inlineStr">
        <is>
          <t>GT1330</t>
        </is>
      </c>
      <c r="C2009" t="inlineStr">
        <is>
          <t>Santiago Chimaltenango</t>
        </is>
      </c>
      <c r="E2009" t="inlineStr">
        <is>
          <t>GT13</t>
        </is>
      </c>
    </row>
    <row r="2010">
      <c r="A2010" t="inlineStr">
        <is>
          <t>admin2</t>
        </is>
      </c>
      <c r="B2010" t="inlineStr">
        <is>
          <t>GT1331</t>
        </is>
      </c>
      <c r="C2010" t="inlineStr">
        <is>
          <t>Santa Ana Huista</t>
        </is>
      </c>
      <c r="E2010" t="inlineStr">
        <is>
          <t>GT13</t>
        </is>
      </c>
    </row>
    <row r="2011">
      <c r="A2011" t="inlineStr">
        <is>
          <t>admin2</t>
        </is>
      </c>
      <c r="B2011" t="inlineStr">
        <is>
          <t>GT1332</t>
        </is>
      </c>
      <c r="C2011" t="inlineStr">
        <is>
          <t>Unión Cantinil</t>
        </is>
      </c>
      <c r="E2011" t="inlineStr">
        <is>
          <t>GT13</t>
        </is>
      </c>
    </row>
    <row r="2012">
      <c r="A2012" t="inlineStr">
        <is>
          <t>admin2</t>
        </is>
      </c>
      <c r="B2012" t="inlineStr">
        <is>
          <t>GT1333</t>
        </is>
      </c>
      <c r="C2012" t="inlineStr">
        <is>
          <t>Petatán</t>
        </is>
      </c>
      <c r="E2012" t="inlineStr">
        <is>
          <t>GT13</t>
        </is>
      </c>
    </row>
    <row r="2013">
      <c r="A2013" t="inlineStr">
        <is>
          <t>admin2</t>
        </is>
      </c>
      <c r="B2013" t="inlineStr">
        <is>
          <t>GT1401</t>
        </is>
      </c>
      <c r="C2013" t="inlineStr">
        <is>
          <t>Santa Cruz del Quiché</t>
        </is>
      </c>
      <c r="E2013" t="inlineStr">
        <is>
          <t>GT14</t>
        </is>
      </c>
    </row>
    <row r="2014">
      <c r="A2014" t="inlineStr">
        <is>
          <t>admin2</t>
        </is>
      </c>
      <c r="B2014" t="inlineStr">
        <is>
          <t>GT1402</t>
        </is>
      </c>
      <c r="C2014" t="inlineStr">
        <is>
          <t>Chiché</t>
        </is>
      </c>
      <c r="E2014" t="inlineStr">
        <is>
          <t>GT14</t>
        </is>
      </c>
    </row>
    <row r="2015">
      <c r="A2015" t="inlineStr">
        <is>
          <t>admin2</t>
        </is>
      </c>
      <c r="B2015" t="inlineStr">
        <is>
          <t>GT1403</t>
        </is>
      </c>
      <c r="C2015" t="inlineStr">
        <is>
          <t>Chinique</t>
        </is>
      </c>
      <c r="E2015" t="inlineStr">
        <is>
          <t>GT14</t>
        </is>
      </c>
    </row>
    <row r="2016">
      <c r="A2016" t="inlineStr">
        <is>
          <t>admin2</t>
        </is>
      </c>
      <c r="B2016" t="inlineStr">
        <is>
          <t>GT1404</t>
        </is>
      </c>
      <c r="C2016" t="inlineStr">
        <is>
          <t>Zacualpa</t>
        </is>
      </c>
      <c r="E2016" t="inlineStr">
        <is>
          <t>GT14</t>
        </is>
      </c>
    </row>
    <row r="2017">
      <c r="A2017" t="inlineStr">
        <is>
          <t>admin2</t>
        </is>
      </c>
      <c r="B2017" t="inlineStr">
        <is>
          <t>GT1405</t>
        </is>
      </c>
      <c r="C2017" t="inlineStr">
        <is>
          <t>Chajul</t>
        </is>
      </c>
      <c r="E2017" t="inlineStr">
        <is>
          <t>GT14</t>
        </is>
      </c>
    </row>
    <row r="2018">
      <c r="A2018" t="inlineStr">
        <is>
          <t>admin2</t>
        </is>
      </c>
      <c r="B2018" t="inlineStr">
        <is>
          <t>GT1406</t>
        </is>
      </c>
      <c r="C2018" t="inlineStr">
        <is>
          <t>Chichicastenango</t>
        </is>
      </c>
      <c r="E2018" t="inlineStr">
        <is>
          <t>GT14</t>
        </is>
      </c>
    </row>
    <row r="2019">
      <c r="A2019" t="inlineStr">
        <is>
          <t>admin2</t>
        </is>
      </c>
      <c r="B2019" t="inlineStr">
        <is>
          <t>GT1407</t>
        </is>
      </c>
      <c r="C2019" t="inlineStr">
        <is>
          <t>Patzité</t>
        </is>
      </c>
      <c r="E2019" t="inlineStr">
        <is>
          <t>GT14</t>
        </is>
      </c>
    </row>
    <row r="2020">
      <c r="A2020" t="inlineStr">
        <is>
          <t>admin2</t>
        </is>
      </c>
      <c r="B2020" t="inlineStr">
        <is>
          <t>GT1408</t>
        </is>
      </c>
      <c r="C2020" t="inlineStr">
        <is>
          <t>San Antonio Ilotenango</t>
        </is>
      </c>
      <c r="E2020" t="inlineStr">
        <is>
          <t>GT14</t>
        </is>
      </c>
    </row>
    <row r="2021">
      <c r="A2021" t="inlineStr">
        <is>
          <t>admin2</t>
        </is>
      </c>
      <c r="B2021" t="inlineStr">
        <is>
          <t>GT1409</t>
        </is>
      </c>
      <c r="C2021" t="inlineStr">
        <is>
          <t>San Pedro Jocopilas</t>
        </is>
      </c>
      <c r="E2021" t="inlineStr">
        <is>
          <t>GT14</t>
        </is>
      </c>
    </row>
    <row r="2022">
      <c r="A2022" t="inlineStr">
        <is>
          <t>admin2</t>
        </is>
      </c>
      <c r="B2022" t="inlineStr">
        <is>
          <t>GT1410</t>
        </is>
      </c>
      <c r="C2022" t="inlineStr">
        <is>
          <t>Cunén</t>
        </is>
      </c>
      <c r="E2022" t="inlineStr">
        <is>
          <t>GT14</t>
        </is>
      </c>
    </row>
    <row r="2023">
      <c r="A2023" t="inlineStr">
        <is>
          <t>admin2</t>
        </is>
      </c>
      <c r="B2023" t="inlineStr">
        <is>
          <t>GT1411</t>
        </is>
      </c>
      <c r="C2023" t="inlineStr">
        <is>
          <t>San Juan Cotzal</t>
        </is>
      </c>
      <c r="E2023" t="inlineStr">
        <is>
          <t>GT14</t>
        </is>
      </c>
    </row>
    <row r="2024">
      <c r="A2024" t="inlineStr">
        <is>
          <t>admin2</t>
        </is>
      </c>
      <c r="B2024" t="inlineStr">
        <is>
          <t>GT1412</t>
        </is>
      </c>
      <c r="C2024" t="inlineStr">
        <is>
          <t>Joyabaj</t>
        </is>
      </c>
      <c r="E2024" t="inlineStr">
        <is>
          <t>GT14</t>
        </is>
      </c>
    </row>
    <row r="2025">
      <c r="A2025" t="inlineStr">
        <is>
          <t>admin2</t>
        </is>
      </c>
      <c r="B2025" t="inlineStr">
        <is>
          <t>GT1413</t>
        </is>
      </c>
      <c r="C2025" t="inlineStr">
        <is>
          <t>Nebaj</t>
        </is>
      </c>
      <c r="E2025" t="inlineStr">
        <is>
          <t>GT14</t>
        </is>
      </c>
    </row>
    <row r="2026">
      <c r="A2026" t="inlineStr">
        <is>
          <t>admin2</t>
        </is>
      </c>
      <c r="B2026" t="inlineStr">
        <is>
          <t>GT1414</t>
        </is>
      </c>
      <c r="C2026" t="inlineStr">
        <is>
          <t>San Andrés Sajcabajá</t>
        </is>
      </c>
      <c r="E2026" t="inlineStr">
        <is>
          <t>GT14</t>
        </is>
      </c>
    </row>
    <row r="2027">
      <c r="A2027" t="inlineStr">
        <is>
          <t>admin2</t>
        </is>
      </c>
      <c r="B2027" t="inlineStr">
        <is>
          <t>GT1415</t>
        </is>
      </c>
      <c r="C2027" t="inlineStr">
        <is>
          <t>Uspantán</t>
        </is>
      </c>
      <c r="E2027" t="inlineStr">
        <is>
          <t>GT14</t>
        </is>
      </c>
    </row>
    <row r="2028">
      <c r="A2028" t="inlineStr">
        <is>
          <t>admin2</t>
        </is>
      </c>
      <c r="B2028" t="inlineStr">
        <is>
          <t>GT1416</t>
        </is>
      </c>
      <c r="C2028" t="inlineStr">
        <is>
          <t>Sacapulas</t>
        </is>
      </c>
      <c r="E2028" t="inlineStr">
        <is>
          <t>GT14</t>
        </is>
      </c>
    </row>
    <row r="2029">
      <c r="A2029" t="inlineStr">
        <is>
          <t>admin2</t>
        </is>
      </c>
      <c r="B2029" t="inlineStr">
        <is>
          <t>GT1417</t>
        </is>
      </c>
      <c r="C2029" t="inlineStr">
        <is>
          <t>San Bartolomé Jocotenango</t>
        </is>
      </c>
      <c r="E2029" t="inlineStr">
        <is>
          <t>GT14</t>
        </is>
      </c>
    </row>
    <row r="2030">
      <c r="A2030" t="inlineStr">
        <is>
          <t>admin2</t>
        </is>
      </c>
      <c r="B2030" t="inlineStr">
        <is>
          <t>GT1418</t>
        </is>
      </c>
      <c r="C2030" t="inlineStr">
        <is>
          <t>Canillá</t>
        </is>
      </c>
      <c r="E2030" t="inlineStr">
        <is>
          <t>GT14</t>
        </is>
      </c>
    </row>
    <row r="2031">
      <c r="A2031" t="inlineStr">
        <is>
          <t>admin2</t>
        </is>
      </c>
      <c r="B2031" t="inlineStr">
        <is>
          <t>GT1419</t>
        </is>
      </c>
      <c r="C2031" t="inlineStr">
        <is>
          <t>Chicamán</t>
        </is>
      </c>
      <c r="E2031" t="inlineStr">
        <is>
          <t>GT14</t>
        </is>
      </c>
    </row>
    <row r="2032">
      <c r="A2032" t="inlineStr">
        <is>
          <t>admin2</t>
        </is>
      </c>
      <c r="B2032" t="inlineStr">
        <is>
          <t>GT1420</t>
        </is>
      </c>
      <c r="C2032" t="inlineStr">
        <is>
          <t>Ixcán</t>
        </is>
      </c>
      <c r="E2032" t="inlineStr">
        <is>
          <t>GT14</t>
        </is>
      </c>
    </row>
    <row r="2033">
      <c r="A2033" t="inlineStr">
        <is>
          <t>admin2</t>
        </is>
      </c>
      <c r="B2033" t="inlineStr">
        <is>
          <t>GT1421</t>
        </is>
      </c>
      <c r="C2033" t="inlineStr">
        <is>
          <t>Pachalum</t>
        </is>
      </c>
      <c r="E2033" t="inlineStr">
        <is>
          <t>GT14</t>
        </is>
      </c>
    </row>
    <row r="2034">
      <c r="A2034" t="inlineStr">
        <is>
          <t>admin2</t>
        </is>
      </c>
      <c r="B2034" t="inlineStr">
        <is>
          <t>GT1501</t>
        </is>
      </c>
      <c r="C2034" t="inlineStr">
        <is>
          <t>Salamá</t>
        </is>
      </c>
      <c r="E2034" t="inlineStr">
        <is>
          <t>GT15</t>
        </is>
      </c>
    </row>
    <row r="2035">
      <c r="A2035" t="inlineStr">
        <is>
          <t>admin2</t>
        </is>
      </c>
      <c r="B2035" t="inlineStr">
        <is>
          <t>GT1502</t>
        </is>
      </c>
      <c r="C2035" t="inlineStr">
        <is>
          <t>San Miguel Chicaj</t>
        </is>
      </c>
      <c r="E2035" t="inlineStr">
        <is>
          <t>GT15</t>
        </is>
      </c>
    </row>
    <row r="2036">
      <c r="A2036" t="inlineStr">
        <is>
          <t>admin2</t>
        </is>
      </c>
      <c r="B2036" t="inlineStr">
        <is>
          <t>GT1503</t>
        </is>
      </c>
      <c r="C2036" t="inlineStr">
        <is>
          <t>Rabinal</t>
        </is>
      </c>
      <c r="E2036" t="inlineStr">
        <is>
          <t>GT15</t>
        </is>
      </c>
    </row>
    <row r="2037">
      <c r="A2037" t="inlineStr">
        <is>
          <t>admin2</t>
        </is>
      </c>
      <c r="B2037" t="inlineStr">
        <is>
          <t>GT1504</t>
        </is>
      </c>
      <c r="C2037" t="inlineStr">
        <is>
          <t>Cubulco</t>
        </is>
      </c>
      <c r="E2037" t="inlineStr">
        <is>
          <t>GT15</t>
        </is>
      </c>
    </row>
    <row r="2038">
      <c r="A2038" t="inlineStr">
        <is>
          <t>admin2</t>
        </is>
      </c>
      <c r="B2038" t="inlineStr">
        <is>
          <t>GT1505</t>
        </is>
      </c>
      <c r="C2038" t="inlineStr">
        <is>
          <t>Granados</t>
        </is>
      </c>
      <c r="E2038" t="inlineStr">
        <is>
          <t>GT15</t>
        </is>
      </c>
    </row>
    <row r="2039">
      <c r="A2039" t="inlineStr">
        <is>
          <t>admin2</t>
        </is>
      </c>
      <c r="B2039" t="inlineStr">
        <is>
          <t>GT1506</t>
        </is>
      </c>
      <c r="C2039" t="inlineStr">
        <is>
          <t>El Chol</t>
        </is>
      </c>
      <c r="E2039" t="inlineStr">
        <is>
          <t>GT15</t>
        </is>
      </c>
    </row>
    <row r="2040">
      <c r="A2040" t="inlineStr">
        <is>
          <t>admin2</t>
        </is>
      </c>
      <c r="B2040" t="inlineStr">
        <is>
          <t>GT1507</t>
        </is>
      </c>
      <c r="C2040" t="inlineStr">
        <is>
          <t>San Jerónimo</t>
        </is>
      </c>
      <c r="E2040" t="inlineStr">
        <is>
          <t>GT15</t>
        </is>
      </c>
    </row>
    <row r="2041">
      <c r="A2041" t="inlineStr">
        <is>
          <t>admin2</t>
        </is>
      </c>
      <c r="B2041" t="inlineStr">
        <is>
          <t>GT1508</t>
        </is>
      </c>
      <c r="C2041" t="inlineStr">
        <is>
          <t>Purulhá</t>
        </is>
      </c>
      <c r="E2041" t="inlineStr">
        <is>
          <t>GT15</t>
        </is>
      </c>
    </row>
    <row r="2042">
      <c r="A2042" t="inlineStr">
        <is>
          <t>admin2</t>
        </is>
      </c>
      <c r="B2042" t="inlineStr">
        <is>
          <t>GT1601</t>
        </is>
      </c>
      <c r="C2042" t="inlineStr">
        <is>
          <t>Cobán</t>
        </is>
      </c>
      <c r="E2042" t="inlineStr">
        <is>
          <t>GT16</t>
        </is>
      </c>
    </row>
    <row r="2043">
      <c r="A2043" t="inlineStr">
        <is>
          <t>admin2</t>
        </is>
      </c>
      <c r="B2043" t="inlineStr">
        <is>
          <t>GT1602</t>
        </is>
      </c>
      <c r="C2043" t="inlineStr">
        <is>
          <t>Santa Cruz Verapaz</t>
        </is>
      </c>
      <c r="E2043" t="inlineStr">
        <is>
          <t>GT16</t>
        </is>
      </c>
    </row>
    <row r="2044">
      <c r="A2044" t="inlineStr">
        <is>
          <t>admin2</t>
        </is>
      </c>
      <c r="B2044" t="inlineStr">
        <is>
          <t>GT1603</t>
        </is>
      </c>
      <c r="C2044" t="inlineStr">
        <is>
          <t>San Cristóbal Verapaz</t>
        </is>
      </c>
      <c r="E2044" t="inlineStr">
        <is>
          <t>GT16</t>
        </is>
      </c>
    </row>
    <row r="2045">
      <c r="A2045" t="inlineStr">
        <is>
          <t>admin2</t>
        </is>
      </c>
      <c r="B2045" t="inlineStr">
        <is>
          <t>GT1604</t>
        </is>
      </c>
      <c r="C2045" t="inlineStr">
        <is>
          <t>Tactic</t>
        </is>
      </c>
      <c r="E2045" t="inlineStr">
        <is>
          <t>GT16</t>
        </is>
      </c>
    </row>
    <row r="2046">
      <c r="A2046" t="inlineStr">
        <is>
          <t>admin2</t>
        </is>
      </c>
      <c r="B2046" t="inlineStr">
        <is>
          <t>GT1605</t>
        </is>
      </c>
      <c r="C2046" t="inlineStr">
        <is>
          <t>Tamahú</t>
        </is>
      </c>
      <c r="E2046" t="inlineStr">
        <is>
          <t>GT16</t>
        </is>
      </c>
    </row>
    <row r="2047">
      <c r="A2047" t="inlineStr">
        <is>
          <t>admin2</t>
        </is>
      </c>
      <c r="B2047" t="inlineStr">
        <is>
          <t>GT1606</t>
        </is>
      </c>
      <c r="C2047" t="inlineStr">
        <is>
          <t>Tucurú</t>
        </is>
      </c>
      <c r="E2047" t="inlineStr">
        <is>
          <t>GT16</t>
        </is>
      </c>
    </row>
    <row r="2048">
      <c r="A2048" t="inlineStr">
        <is>
          <t>admin2</t>
        </is>
      </c>
      <c r="B2048" t="inlineStr">
        <is>
          <t>GT1607</t>
        </is>
      </c>
      <c r="C2048" t="inlineStr">
        <is>
          <t>Panzós</t>
        </is>
      </c>
      <c r="E2048" t="inlineStr">
        <is>
          <t>GT16</t>
        </is>
      </c>
    </row>
    <row r="2049">
      <c r="A2049" t="inlineStr">
        <is>
          <t>admin2</t>
        </is>
      </c>
      <c r="B2049" t="inlineStr">
        <is>
          <t>GT1608</t>
        </is>
      </c>
      <c r="C2049" t="inlineStr">
        <is>
          <t>Senahú</t>
        </is>
      </c>
      <c r="E2049" t="inlineStr">
        <is>
          <t>GT16</t>
        </is>
      </c>
    </row>
    <row r="2050">
      <c r="A2050" t="inlineStr">
        <is>
          <t>admin2</t>
        </is>
      </c>
      <c r="B2050" t="inlineStr">
        <is>
          <t>GT1609</t>
        </is>
      </c>
      <c r="C2050" t="inlineStr">
        <is>
          <t>San Pedro Carchá</t>
        </is>
      </c>
      <c r="E2050" t="inlineStr">
        <is>
          <t>GT16</t>
        </is>
      </c>
    </row>
    <row r="2051">
      <c r="A2051" t="inlineStr">
        <is>
          <t>admin2</t>
        </is>
      </c>
      <c r="B2051" t="inlineStr">
        <is>
          <t>GT1610</t>
        </is>
      </c>
      <c r="C2051" t="inlineStr">
        <is>
          <t>San Juan Chamelco</t>
        </is>
      </c>
      <c r="E2051" t="inlineStr">
        <is>
          <t>GT16</t>
        </is>
      </c>
    </row>
    <row r="2052">
      <c r="A2052" t="inlineStr">
        <is>
          <t>admin2</t>
        </is>
      </c>
      <c r="B2052" t="inlineStr">
        <is>
          <t>GT1611</t>
        </is>
      </c>
      <c r="C2052" t="inlineStr">
        <is>
          <t>Lanquín</t>
        </is>
      </c>
      <c r="E2052" t="inlineStr">
        <is>
          <t>GT16</t>
        </is>
      </c>
    </row>
    <row r="2053">
      <c r="A2053" t="inlineStr">
        <is>
          <t>admin2</t>
        </is>
      </c>
      <c r="B2053" t="inlineStr">
        <is>
          <t>GT1612</t>
        </is>
      </c>
      <c r="C2053" t="inlineStr">
        <is>
          <t>Cahabón</t>
        </is>
      </c>
      <c r="E2053" t="inlineStr">
        <is>
          <t>GT16</t>
        </is>
      </c>
    </row>
    <row r="2054">
      <c r="A2054" t="inlineStr">
        <is>
          <t>admin2</t>
        </is>
      </c>
      <c r="B2054" t="inlineStr">
        <is>
          <t>GT1613</t>
        </is>
      </c>
      <c r="C2054" t="inlineStr">
        <is>
          <t>Chisec</t>
        </is>
      </c>
      <c r="E2054" t="inlineStr">
        <is>
          <t>GT16</t>
        </is>
      </c>
    </row>
    <row r="2055">
      <c r="A2055" t="inlineStr">
        <is>
          <t>admin2</t>
        </is>
      </c>
      <c r="B2055" t="inlineStr">
        <is>
          <t>GT1614</t>
        </is>
      </c>
      <c r="C2055" t="inlineStr">
        <is>
          <t>Chahal</t>
        </is>
      </c>
      <c r="E2055" t="inlineStr">
        <is>
          <t>GT16</t>
        </is>
      </c>
    </row>
    <row r="2056">
      <c r="A2056" t="inlineStr">
        <is>
          <t>admin2</t>
        </is>
      </c>
      <c r="B2056" t="inlineStr">
        <is>
          <t>GT1615</t>
        </is>
      </c>
      <c r="C2056" t="inlineStr">
        <is>
          <t>Fray Bartolomé de Las Casas</t>
        </is>
      </c>
      <c r="E2056" t="inlineStr">
        <is>
          <t>GT16</t>
        </is>
      </c>
    </row>
    <row r="2057">
      <c r="A2057" t="inlineStr">
        <is>
          <t>admin2</t>
        </is>
      </c>
      <c r="B2057" t="inlineStr">
        <is>
          <t>GT1616</t>
        </is>
      </c>
      <c r="C2057" t="inlineStr">
        <is>
          <t>Santa Catalina La Tinta</t>
        </is>
      </c>
      <c r="E2057" t="inlineStr">
        <is>
          <t>GT16</t>
        </is>
      </c>
    </row>
    <row r="2058">
      <c r="A2058" t="inlineStr">
        <is>
          <t>admin2</t>
        </is>
      </c>
      <c r="B2058" t="inlineStr">
        <is>
          <t>GT1617</t>
        </is>
      </c>
      <c r="C2058" t="inlineStr">
        <is>
          <t>Raxruhá</t>
        </is>
      </c>
      <c r="E2058" t="inlineStr">
        <is>
          <t>GT16</t>
        </is>
      </c>
    </row>
    <row r="2059">
      <c r="A2059" t="inlineStr">
        <is>
          <t>admin2</t>
        </is>
      </c>
      <c r="B2059" t="inlineStr">
        <is>
          <t>GT1701</t>
        </is>
      </c>
      <c r="C2059" t="inlineStr">
        <is>
          <t>Flores</t>
        </is>
      </c>
      <c r="E2059" t="inlineStr">
        <is>
          <t>GT17</t>
        </is>
      </c>
    </row>
    <row r="2060">
      <c r="A2060" t="inlineStr">
        <is>
          <t>admin2</t>
        </is>
      </c>
      <c r="B2060" t="inlineStr">
        <is>
          <t>GT1702</t>
        </is>
      </c>
      <c r="C2060" t="inlineStr">
        <is>
          <t>San José</t>
        </is>
      </c>
      <c r="E2060" t="inlineStr">
        <is>
          <t>GT17</t>
        </is>
      </c>
    </row>
    <row r="2061">
      <c r="A2061" t="inlineStr">
        <is>
          <t>admin2</t>
        </is>
      </c>
      <c r="B2061" t="inlineStr">
        <is>
          <t>GT1703</t>
        </is>
      </c>
      <c r="C2061" t="inlineStr">
        <is>
          <t>San Benito</t>
        </is>
      </c>
      <c r="E2061" t="inlineStr">
        <is>
          <t>GT17</t>
        </is>
      </c>
    </row>
    <row r="2062">
      <c r="A2062" t="inlineStr">
        <is>
          <t>admin2</t>
        </is>
      </c>
      <c r="B2062" t="inlineStr">
        <is>
          <t>GT1704</t>
        </is>
      </c>
      <c r="C2062" t="inlineStr">
        <is>
          <t>San Andrés</t>
        </is>
      </c>
      <c r="E2062" t="inlineStr">
        <is>
          <t>GT17</t>
        </is>
      </c>
    </row>
    <row r="2063">
      <c r="A2063" t="inlineStr">
        <is>
          <t>admin2</t>
        </is>
      </c>
      <c r="B2063" t="inlineStr">
        <is>
          <t>GT1705</t>
        </is>
      </c>
      <c r="C2063" t="inlineStr">
        <is>
          <t>La Libertad</t>
        </is>
      </c>
      <c r="E2063" t="inlineStr">
        <is>
          <t>GT17</t>
        </is>
      </c>
    </row>
    <row r="2064">
      <c r="A2064" t="inlineStr">
        <is>
          <t>admin2</t>
        </is>
      </c>
      <c r="B2064" t="inlineStr">
        <is>
          <t>GT1706</t>
        </is>
      </c>
      <c r="C2064" t="inlineStr">
        <is>
          <t>San Francisco</t>
        </is>
      </c>
      <c r="E2064" t="inlineStr">
        <is>
          <t>GT17</t>
        </is>
      </c>
    </row>
    <row r="2065">
      <c r="A2065" t="inlineStr">
        <is>
          <t>admin2</t>
        </is>
      </c>
      <c r="B2065" t="inlineStr">
        <is>
          <t>GT1707</t>
        </is>
      </c>
      <c r="C2065" t="inlineStr">
        <is>
          <t>Santa Ana</t>
        </is>
      </c>
      <c r="E2065" t="inlineStr">
        <is>
          <t>GT17</t>
        </is>
      </c>
    </row>
    <row r="2066">
      <c r="A2066" t="inlineStr">
        <is>
          <t>admin2</t>
        </is>
      </c>
      <c r="B2066" t="inlineStr">
        <is>
          <t>GT1708</t>
        </is>
      </c>
      <c r="C2066" t="inlineStr">
        <is>
          <t>Dolores</t>
        </is>
      </c>
      <c r="E2066" t="inlineStr">
        <is>
          <t>GT17</t>
        </is>
      </c>
    </row>
    <row r="2067">
      <c r="A2067" t="inlineStr">
        <is>
          <t>admin2</t>
        </is>
      </c>
      <c r="B2067" t="inlineStr">
        <is>
          <t>GT1709</t>
        </is>
      </c>
      <c r="C2067" t="inlineStr">
        <is>
          <t>San Luis</t>
        </is>
      </c>
      <c r="E2067" t="inlineStr">
        <is>
          <t>GT17</t>
        </is>
      </c>
    </row>
    <row r="2068">
      <c r="A2068" t="inlineStr">
        <is>
          <t>admin2</t>
        </is>
      </c>
      <c r="B2068" t="inlineStr">
        <is>
          <t>GT1710</t>
        </is>
      </c>
      <c r="C2068" t="inlineStr">
        <is>
          <t>Sayaxché</t>
        </is>
      </c>
      <c r="E2068" t="inlineStr">
        <is>
          <t>GT17</t>
        </is>
      </c>
    </row>
    <row r="2069">
      <c r="A2069" t="inlineStr">
        <is>
          <t>admin2</t>
        </is>
      </c>
      <c r="B2069" t="inlineStr">
        <is>
          <t>GT1711</t>
        </is>
      </c>
      <c r="C2069" t="inlineStr">
        <is>
          <t>Melchor de Mencos</t>
        </is>
      </c>
      <c r="E2069" t="inlineStr">
        <is>
          <t>GT17</t>
        </is>
      </c>
    </row>
    <row r="2070">
      <c r="A2070" t="inlineStr">
        <is>
          <t>admin2</t>
        </is>
      </c>
      <c r="B2070" t="inlineStr">
        <is>
          <t>GT1712</t>
        </is>
      </c>
      <c r="C2070" t="inlineStr">
        <is>
          <t>Poptún</t>
        </is>
      </c>
      <c r="E2070" t="inlineStr">
        <is>
          <t>GT17</t>
        </is>
      </c>
    </row>
    <row r="2071">
      <c r="A2071" t="inlineStr">
        <is>
          <t>admin2</t>
        </is>
      </c>
      <c r="B2071" t="inlineStr">
        <is>
          <t>GT1713</t>
        </is>
      </c>
      <c r="C2071" t="inlineStr">
        <is>
          <t>Las Cruces</t>
        </is>
      </c>
      <c r="E2071" t="inlineStr">
        <is>
          <t>GT17</t>
        </is>
      </c>
    </row>
    <row r="2072">
      <c r="A2072" t="inlineStr">
        <is>
          <t>admin2</t>
        </is>
      </c>
      <c r="B2072" t="inlineStr">
        <is>
          <t>GT1714</t>
        </is>
      </c>
      <c r="C2072" t="inlineStr">
        <is>
          <t>El Chal</t>
        </is>
      </c>
      <c r="E2072" t="inlineStr">
        <is>
          <t>GT17</t>
        </is>
      </c>
    </row>
    <row r="2073">
      <c r="A2073" t="inlineStr">
        <is>
          <t>admin2</t>
        </is>
      </c>
      <c r="B2073" t="inlineStr">
        <is>
          <t>GT1801</t>
        </is>
      </c>
      <c r="C2073" t="inlineStr">
        <is>
          <t>Puerto Barrios</t>
        </is>
      </c>
      <c r="E2073" t="inlineStr">
        <is>
          <t>GT18</t>
        </is>
      </c>
    </row>
    <row r="2074">
      <c r="A2074" t="inlineStr">
        <is>
          <t>admin2</t>
        </is>
      </c>
      <c r="B2074" t="inlineStr">
        <is>
          <t>GT1802</t>
        </is>
      </c>
      <c r="C2074" t="inlineStr">
        <is>
          <t>Lívingston</t>
        </is>
      </c>
      <c r="E2074" t="inlineStr">
        <is>
          <t>GT18</t>
        </is>
      </c>
    </row>
    <row r="2075">
      <c r="A2075" t="inlineStr">
        <is>
          <t>admin2</t>
        </is>
      </c>
      <c r="B2075" t="inlineStr">
        <is>
          <t>GT1803</t>
        </is>
      </c>
      <c r="C2075" t="inlineStr">
        <is>
          <t>El Estor</t>
        </is>
      </c>
      <c r="E2075" t="inlineStr">
        <is>
          <t>GT18</t>
        </is>
      </c>
    </row>
    <row r="2076">
      <c r="A2076" t="inlineStr">
        <is>
          <t>admin2</t>
        </is>
      </c>
      <c r="B2076" t="inlineStr">
        <is>
          <t>GT1804</t>
        </is>
      </c>
      <c r="C2076" t="inlineStr">
        <is>
          <t>Morales</t>
        </is>
      </c>
      <c r="E2076" t="inlineStr">
        <is>
          <t>GT18</t>
        </is>
      </c>
    </row>
    <row r="2077">
      <c r="A2077" t="inlineStr">
        <is>
          <t>admin2</t>
        </is>
      </c>
      <c r="B2077" t="inlineStr">
        <is>
          <t>GT1805</t>
        </is>
      </c>
      <c r="C2077" t="inlineStr">
        <is>
          <t>Los Amates</t>
        </is>
      </c>
      <c r="E2077" t="inlineStr">
        <is>
          <t>GT18</t>
        </is>
      </c>
    </row>
    <row r="2078">
      <c r="A2078" t="inlineStr">
        <is>
          <t>admin2</t>
        </is>
      </c>
      <c r="B2078" t="inlineStr">
        <is>
          <t>GT1901</t>
        </is>
      </c>
      <c r="C2078" t="inlineStr">
        <is>
          <t>Zacapa</t>
        </is>
      </c>
      <c r="E2078" t="inlineStr">
        <is>
          <t>GT19</t>
        </is>
      </c>
    </row>
    <row r="2079">
      <c r="A2079" t="inlineStr">
        <is>
          <t>admin2</t>
        </is>
      </c>
      <c r="B2079" t="inlineStr">
        <is>
          <t>GT1902</t>
        </is>
      </c>
      <c r="C2079" t="inlineStr">
        <is>
          <t>Estanzuela</t>
        </is>
      </c>
      <c r="E2079" t="inlineStr">
        <is>
          <t>GT19</t>
        </is>
      </c>
    </row>
    <row r="2080">
      <c r="A2080" t="inlineStr">
        <is>
          <t>admin2</t>
        </is>
      </c>
      <c r="B2080" t="inlineStr">
        <is>
          <t>GT1903</t>
        </is>
      </c>
      <c r="C2080" t="inlineStr">
        <is>
          <t>Río Hondo</t>
        </is>
      </c>
      <c r="E2080" t="inlineStr">
        <is>
          <t>GT19</t>
        </is>
      </c>
    </row>
    <row r="2081">
      <c r="A2081" t="inlineStr">
        <is>
          <t>admin2</t>
        </is>
      </c>
      <c r="B2081" t="inlineStr">
        <is>
          <t>GT1904</t>
        </is>
      </c>
      <c r="C2081" t="inlineStr">
        <is>
          <t>Gualán</t>
        </is>
      </c>
      <c r="E2081" t="inlineStr">
        <is>
          <t>GT19</t>
        </is>
      </c>
    </row>
    <row r="2082">
      <c r="A2082" t="inlineStr">
        <is>
          <t>admin2</t>
        </is>
      </c>
      <c r="B2082" t="inlineStr">
        <is>
          <t>GT1905</t>
        </is>
      </c>
      <c r="C2082" t="inlineStr">
        <is>
          <t>Teculután</t>
        </is>
      </c>
      <c r="E2082" t="inlineStr">
        <is>
          <t>GT19</t>
        </is>
      </c>
    </row>
    <row r="2083">
      <c r="A2083" t="inlineStr">
        <is>
          <t>admin2</t>
        </is>
      </c>
      <c r="B2083" t="inlineStr">
        <is>
          <t>GT1906</t>
        </is>
      </c>
      <c r="C2083" t="inlineStr">
        <is>
          <t>Usumatlán</t>
        </is>
      </c>
      <c r="E2083" t="inlineStr">
        <is>
          <t>GT19</t>
        </is>
      </c>
    </row>
    <row r="2084">
      <c r="A2084" t="inlineStr">
        <is>
          <t>admin2</t>
        </is>
      </c>
      <c r="B2084" t="inlineStr">
        <is>
          <t>GT1907</t>
        </is>
      </c>
      <c r="C2084" t="inlineStr">
        <is>
          <t>Cabañas</t>
        </is>
      </c>
      <c r="E2084" t="inlineStr">
        <is>
          <t>GT19</t>
        </is>
      </c>
    </row>
    <row r="2085">
      <c r="A2085" t="inlineStr">
        <is>
          <t>admin2</t>
        </is>
      </c>
      <c r="B2085" t="inlineStr">
        <is>
          <t>GT1908</t>
        </is>
      </c>
      <c r="C2085" t="inlineStr">
        <is>
          <t>San Diego</t>
        </is>
      </c>
      <c r="E2085" t="inlineStr">
        <is>
          <t>GT19</t>
        </is>
      </c>
    </row>
    <row r="2086">
      <c r="A2086" t="inlineStr">
        <is>
          <t>admin2</t>
        </is>
      </c>
      <c r="B2086" t="inlineStr">
        <is>
          <t>GT1909</t>
        </is>
      </c>
      <c r="C2086" t="inlineStr">
        <is>
          <t>La Unión</t>
        </is>
      </c>
      <c r="E2086" t="inlineStr">
        <is>
          <t>GT19</t>
        </is>
      </c>
    </row>
    <row r="2087">
      <c r="A2087" t="inlineStr">
        <is>
          <t>admin2</t>
        </is>
      </c>
      <c r="B2087" t="inlineStr">
        <is>
          <t>GT1910</t>
        </is>
      </c>
      <c r="C2087" t="inlineStr">
        <is>
          <t>Huité</t>
        </is>
      </c>
      <c r="E2087" t="inlineStr">
        <is>
          <t>GT19</t>
        </is>
      </c>
    </row>
    <row r="2088">
      <c r="A2088" t="inlineStr">
        <is>
          <t>admin2</t>
        </is>
      </c>
      <c r="B2088" t="inlineStr">
        <is>
          <t>GT1911</t>
        </is>
      </c>
      <c r="C2088" t="inlineStr">
        <is>
          <t>San Jorge</t>
        </is>
      </c>
      <c r="E2088" t="inlineStr">
        <is>
          <t>GT19</t>
        </is>
      </c>
    </row>
    <row r="2089">
      <c r="A2089" t="inlineStr">
        <is>
          <t>admin2</t>
        </is>
      </c>
      <c r="B2089" t="inlineStr">
        <is>
          <t>GT2001</t>
        </is>
      </c>
      <c r="C2089" t="inlineStr">
        <is>
          <t>Chiquimula</t>
        </is>
      </c>
      <c r="E2089" t="inlineStr">
        <is>
          <t>GT20</t>
        </is>
      </c>
    </row>
    <row r="2090">
      <c r="A2090" t="inlineStr">
        <is>
          <t>admin2</t>
        </is>
      </c>
      <c r="B2090" t="inlineStr">
        <is>
          <t>GT2002</t>
        </is>
      </c>
      <c r="C2090" t="inlineStr">
        <is>
          <t>San José La Arada</t>
        </is>
      </c>
      <c r="E2090" t="inlineStr">
        <is>
          <t>GT20</t>
        </is>
      </c>
    </row>
    <row r="2091">
      <c r="A2091" t="inlineStr">
        <is>
          <t>admin2</t>
        </is>
      </c>
      <c r="B2091" t="inlineStr">
        <is>
          <t>GT2003</t>
        </is>
      </c>
      <c r="C2091" t="inlineStr">
        <is>
          <t>San Juan Ermita</t>
        </is>
      </c>
      <c r="E2091" t="inlineStr">
        <is>
          <t>GT20</t>
        </is>
      </c>
    </row>
    <row r="2092">
      <c r="A2092" t="inlineStr">
        <is>
          <t>admin2</t>
        </is>
      </c>
      <c r="B2092" t="inlineStr">
        <is>
          <t>GT2004</t>
        </is>
      </c>
      <c r="C2092" t="inlineStr">
        <is>
          <t>Jocotán</t>
        </is>
      </c>
      <c r="E2092" t="inlineStr">
        <is>
          <t>GT20</t>
        </is>
      </c>
    </row>
    <row r="2093">
      <c r="A2093" t="inlineStr">
        <is>
          <t>admin2</t>
        </is>
      </c>
      <c r="B2093" t="inlineStr">
        <is>
          <t>GT2005</t>
        </is>
      </c>
      <c r="C2093" t="inlineStr">
        <is>
          <t>Camotán</t>
        </is>
      </c>
      <c r="E2093" t="inlineStr">
        <is>
          <t>GT20</t>
        </is>
      </c>
    </row>
    <row r="2094">
      <c r="A2094" t="inlineStr">
        <is>
          <t>admin2</t>
        </is>
      </c>
      <c r="B2094" t="inlineStr">
        <is>
          <t>GT2006</t>
        </is>
      </c>
      <c r="C2094" t="inlineStr">
        <is>
          <t>Olopa</t>
        </is>
      </c>
      <c r="E2094" t="inlineStr">
        <is>
          <t>GT20</t>
        </is>
      </c>
    </row>
    <row r="2095">
      <c r="A2095" t="inlineStr">
        <is>
          <t>admin2</t>
        </is>
      </c>
      <c r="B2095" t="inlineStr">
        <is>
          <t>GT2007</t>
        </is>
      </c>
      <c r="C2095" t="inlineStr">
        <is>
          <t>Esquipulas</t>
        </is>
      </c>
      <c r="E2095" t="inlineStr">
        <is>
          <t>GT20</t>
        </is>
      </c>
    </row>
    <row r="2096">
      <c r="A2096" t="inlineStr">
        <is>
          <t>admin2</t>
        </is>
      </c>
      <c r="B2096" t="inlineStr">
        <is>
          <t>GT2008</t>
        </is>
      </c>
      <c r="C2096" t="inlineStr">
        <is>
          <t>Concepción Las Minas</t>
        </is>
      </c>
      <c r="E2096" t="inlineStr">
        <is>
          <t>GT20</t>
        </is>
      </c>
    </row>
    <row r="2097">
      <c r="A2097" t="inlineStr">
        <is>
          <t>admin2</t>
        </is>
      </c>
      <c r="B2097" t="inlineStr">
        <is>
          <t>GT2009</t>
        </is>
      </c>
      <c r="C2097" t="inlineStr">
        <is>
          <t>Quezaltepeque</t>
        </is>
      </c>
      <c r="E2097" t="inlineStr">
        <is>
          <t>GT20</t>
        </is>
      </c>
    </row>
    <row r="2098">
      <c r="A2098" t="inlineStr">
        <is>
          <t>admin2</t>
        </is>
      </c>
      <c r="B2098" t="inlineStr">
        <is>
          <t>GT2010</t>
        </is>
      </c>
      <c r="C2098" t="inlineStr">
        <is>
          <t>San Jacinto</t>
        </is>
      </c>
      <c r="E2098" t="inlineStr">
        <is>
          <t>GT20</t>
        </is>
      </c>
    </row>
    <row r="2099">
      <c r="A2099" t="inlineStr">
        <is>
          <t>admin2</t>
        </is>
      </c>
      <c r="B2099" t="inlineStr">
        <is>
          <t>GT2011</t>
        </is>
      </c>
      <c r="C2099" t="inlineStr">
        <is>
          <t>Ipala</t>
        </is>
      </c>
      <c r="E2099" t="inlineStr">
        <is>
          <t>GT20</t>
        </is>
      </c>
    </row>
    <row r="2100">
      <c r="A2100" t="inlineStr">
        <is>
          <t>admin2</t>
        </is>
      </c>
      <c r="B2100" t="inlineStr">
        <is>
          <t>GT2101</t>
        </is>
      </c>
      <c r="C2100" t="inlineStr">
        <is>
          <t>Jalapa</t>
        </is>
      </c>
      <c r="E2100" t="inlineStr">
        <is>
          <t>GT21</t>
        </is>
      </c>
    </row>
    <row r="2101">
      <c r="A2101" t="inlineStr">
        <is>
          <t>admin2</t>
        </is>
      </c>
      <c r="B2101" t="inlineStr">
        <is>
          <t>GT2102</t>
        </is>
      </c>
      <c r="C2101" t="inlineStr">
        <is>
          <t>San Pedro Pinula</t>
        </is>
      </c>
      <c r="E2101" t="inlineStr">
        <is>
          <t>GT21</t>
        </is>
      </c>
    </row>
    <row r="2102">
      <c r="A2102" t="inlineStr">
        <is>
          <t>admin2</t>
        </is>
      </c>
      <c r="B2102" t="inlineStr">
        <is>
          <t>GT2103</t>
        </is>
      </c>
      <c r="C2102" t="inlineStr">
        <is>
          <t>San Luis Jilotepeque</t>
        </is>
      </c>
      <c r="E2102" t="inlineStr">
        <is>
          <t>GT21</t>
        </is>
      </c>
    </row>
    <row r="2103">
      <c r="A2103" t="inlineStr">
        <is>
          <t>admin2</t>
        </is>
      </c>
      <c r="B2103" t="inlineStr">
        <is>
          <t>GT2104</t>
        </is>
      </c>
      <c r="C2103" t="inlineStr">
        <is>
          <t>San Manuel Chaparrón</t>
        </is>
      </c>
      <c r="E2103" t="inlineStr">
        <is>
          <t>GT21</t>
        </is>
      </c>
    </row>
    <row r="2104">
      <c r="A2104" t="inlineStr">
        <is>
          <t>admin2</t>
        </is>
      </c>
      <c r="B2104" t="inlineStr">
        <is>
          <t>GT2105</t>
        </is>
      </c>
      <c r="C2104" t="inlineStr">
        <is>
          <t>San Carlos Alzatate</t>
        </is>
      </c>
      <c r="E2104" t="inlineStr">
        <is>
          <t>GT21</t>
        </is>
      </c>
    </row>
    <row r="2105">
      <c r="A2105" t="inlineStr">
        <is>
          <t>admin2</t>
        </is>
      </c>
      <c r="B2105" t="inlineStr">
        <is>
          <t>GT2106</t>
        </is>
      </c>
      <c r="C2105" t="inlineStr">
        <is>
          <t>Monjas</t>
        </is>
      </c>
      <c r="E2105" t="inlineStr">
        <is>
          <t>GT21</t>
        </is>
      </c>
    </row>
    <row r="2106">
      <c r="A2106" t="inlineStr">
        <is>
          <t>admin2</t>
        </is>
      </c>
      <c r="B2106" t="inlineStr">
        <is>
          <t>GT2107</t>
        </is>
      </c>
      <c r="C2106" t="inlineStr">
        <is>
          <t>Mataquescuintla</t>
        </is>
      </c>
      <c r="E2106" t="inlineStr">
        <is>
          <t>GT21</t>
        </is>
      </c>
    </row>
    <row r="2107">
      <c r="A2107" t="inlineStr">
        <is>
          <t>admin2</t>
        </is>
      </c>
      <c r="B2107" t="inlineStr">
        <is>
          <t>GT2201</t>
        </is>
      </c>
      <c r="C2107" t="inlineStr">
        <is>
          <t>Jutiapa</t>
        </is>
      </c>
      <c r="E2107" t="inlineStr">
        <is>
          <t>GT22</t>
        </is>
      </c>
    </row>
    <row r="2108">
      <c r="A2108" t="inlineStr">
        <is>
          <t>admin2</t>
        </is>
      </c>
      <c r="B2108" t="inlineStr">
        <is>
          <t>GT2202</t>
        </is>
      </c>
      <c r="C2108" t="inlineStr">
        <is>
          <t>El Progreso</t>
        </is>
      </c>
      <c r="E2108" t="inlineStr">
        <is>
          <t>GT22</t>
        </is>
      </c>
    </row>
    <row r="2109">
      <c r="A2109" t="inlineStr">
        <is>
          <t>admin2</t>
        </is>
      </c>
      <c r="B2109" t="inlineStr">
        <is>
          <t>GT2203</t>
        </is>
      </c>
      <c r="C2109" t="inlineStr">
        <is>
          <t>Santa Catarina Mita</t>
        </is>
      </c>
      <c r="E2109" t="inlineStr">
        <is>
          <t>GT22</t>
        </is>
      </c>
    </row>
    <row r="2110">
      <c r="A2110" t="inlineStr">
        <is>
          <t>admin2</t>
        </is>
      </c>
      <c r="B2110" t="inlineStr">
        <is>
          <t>GT2204</t>
        </is>
      </c>
      <c r="C2110" t="inlineStr">
        <is>
          <t>Agua Blanca</t>
        </is>
      </c>
      <c r="E2110" t="inlineStr">
        <is>
          <t>GT22</t>
        </is>
      </c>
    </row>
    <row r="2111">
      <c r="A2111" t="inlineStr">
        <is>
          <t>admin2</t>
        </is>
      </c>
      <c r="B2111" t="inlineStr">
        <is>
          <t>GT2205</t>
        </is>
      </c>
      <c r="C2111" t="inlineStr">
        <is>
          <t>Asunción Mita</t>
        </is>
      </c>
      <c r="E2111" t="inlineStr">
        <is>
          <t>GT22</t>
        </is>
      </c>
    </row>
    <row r="2112">
      <c r="A2112" t="inlineStr">
        <is>
          <t>admin2</t>
        </is>
      </c>
      <c r="B2112" t="inlineStr">
        <is>
          <t>GT2206</t>
        </is>
      </c>
      <c r="C2112" t="inlineStr">
        <is>
          <t>Yupiltepeque</t>
        </is>
      </c>
      <c r="E2112" t="inlineStr">
        <is>
          <t>GT22</t>
        </is>
      </c>
    </row>
    <row r="2113">
      <c r="A2113" t="inlineStr">
        <is>
          <t>admin2</t>
        </is>
      </c>
      <c r="B2113" t="inlineStr">
        <is>
          <t>GT2207</t>
        </is>
      </c>
      <c r="C2113" t="inlineStr">
        <is>
          <t>Atescatempa</t>
        </is>
      </c>
      <c r="E2113" t="inlineStr">
        <is>
          <t>GT22</t>
        </is>
      </c>
    </row>
    <row r="2114">
      <c r="A2114" t="inlineStr">
        <is>
          <t>admin2</t>
        </is>
      </c>
      <c r="B2114" t="inlineStr">
        <is>
          <t>GT2208</t>
        </is>
      </c>
      <c r="C2114" t="inlineStr">
        <is>
          <t>Jerez</t>
        </is>
      </c>
      <c r="E2114" t="inlineStr">
        <is>
          <t>GT22</t>
        </is>
      </c>
    </row>
    <row r="2115">
      <c r="A2115" t="inlineStr">
        <is>
          <t>admin2</t>
        </is>
      </c>
      <c r="B2115" t="inlineStr">
        <is>
          <t>GT2209</t>
        </is>
      </c>
      <c r="C2115" t="inlineStr">
        <is>
          <t>El Adelanto</t>
        </is>
      </c>
      <c r="E2115" t="inlineStr">
        <is>
          <t>GT22</t>
        </is>
      </c>
    </row>
    <row r="2116">
      <c r="A2116" t="inlineStr">
        <is>
          <t>admin2</t>
        </is>
      </c>
      <c r="B2116" t="inlineStr">
        <is>
          <t>GT2210</t>
        </is>
      </c>
      <c r="C2116" t="inlineStr">
        <is>
          <t>Zapotitlán</t>
        </is>
      </c>
      <c r="E2116" t="inlineStr">
        <is>
          <t>GT22</t>
        </is>
      </c>
    </row>
    <row r="2117">
      <c r="A2117" t="inlineStr">
        <is>
          <t>admin2</t>
        </is>
      </c>
      <c r="B2117" t="inlineStr">
        <is>
          <t>GT2211</t>
        </is>
      </c>
      <c r="C2117" t="inlineStr">
        <is>
          <t>Comapa</t>
        </is>
      </c>
      <c r="E2117" t="inlineStr">
        <is>
          <t>GT22</t>
        </is>
      </c>
    </row>
    <row r="2118">
      <c r="A2118" t="inlineStr">
        <is>
          <t>admin2</t>
        </is>
      </c>
      <c r="B2118" t="inlineStr">
        <is>
          <t>GT2212</t>
        </is>
      </c>
      <c r="C2118" t="inlineStr">
        <is>
          <t>Jalpatagua</t>
        </is>
      </c>
      <c r="E2118" t="inlineStr">
        <is>
          <t>GT22</t>
        </is>
      </c>
    </row>
    <row r="2119">
      <c r="A2119" t="inlineStr">
        <is>
          <t>admin2</t>
        </is>
      </c>
      <c r="B2119" t="inlineStr">
        <is>
          <t>GT2213</t>
        </is>
      </c>
      <c r="C2119" t="inlineStr">
        <is>
          <t>Conguaco</t>
        </is>
      </c>
      <c r="E2119" t="inlineStr">
        <is>
          <t>GT22</t>
        </is>
      </c>
    </row>
    <row r="2120">
      <c r="A2120" t="inlineStr">
        <is>
          <t>admin2</t>
        </is>
      </c>
      <c r="B2120" t="inlineStr">
        <is>
          <t>GT2214</t>
        </is>
      </c>
      <c r="C2120" t="inlineStr">
        <is>
          <t>Moyuta</t>
        </is>
      </c>
      <c r="E2120" t="inlineStr">
        <is>
          <t>GT22</t>
        </is>
      </c>
    </row>
    <row r="2121">
      <c r="A2121" t="inlineStr">
        <is>
          <t>admin2</t>
        </is>
      </c>
      <c r="B2121" t="inlineStr">
        <is>
          <t>GT2215</t>
        </is>
      </c>
      <c r="C2121" t="inlineStr">
        <is>
          <t>Pasaco</t>
        </is>
      </c>
      <c r="E2121" t="inlineStr">
        <is>
          <t>GT22</t>
        </is>
      </c>
    </row>
    <row r="2122">
      <c r="A2122" t="inlineStr">
        <is>
          <t>admin2</t>
        </is>
      </c>
      <c r="B2122" t="inlineStr">
        <is>
          <t>GT2216</t>
        </is>
      </c>
      <c r="C2122" t="inlineStr">
        <is>
          <t>San José Acatempa</t>
        </is>
      </c>
      <c r="E2122" t="inlineStr">
        <is>
          <t>GT22</t>
        </is>
      </c>
    </row>
    <row r="2123">
      <c r="A2123" t="inlineStr">
        <is>
          <t>admin2</t>
        </is>
      </c>
      <c r="B2123" t="inlineStr">
        <is>
          <t>GT2217</t>
        </is>
      </c>
      <c r="C2123" t="inlineStr">
        <is>
          <t>Quesada</t>
        </is>
      </c>
      <c r="E2123" t="inlineStr">
        <is>
          <t>GT22</t>
        </is>
      </c>
    </row>
  </sheetData>
  <sheetProtection selectLockedCells="0" selectUnlockedCells="0" algorithmName="SHA-512" sheet="1" objects="0" insertRows="0" insertHyperlinks="1" autoFilter="1" scenarios="0" formatColumns="0" deleteColumns="0" insertColumns="0" pivotTables="1" deleteRows="0" formatCells="0" saltValue="1R8opbwvts7shoJ9XG0tjQ==" formatRows="0" sort="1" spinCount="100000" hashValue="lMucXCAkvXCXVEGEjhno0XTLDRZlUI7vC5YBI4QYOM6JTa7EMv31PHS+cs/XIis1HrkLDl2oZFQZQJqAP120O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5546875" defaultRowHeight="15"/>
  <cols>
    <col width="28.140625" customWidth="1" style="3" min="1" max="4"/>
    <col width="8.85546875" customWidth="1" style="3" min="5" max="5"/>
    <col width="8.8554687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Spanish (es)</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4" sqref="C4:C92"/>
    </sheetView>
  </sheetViews>
  <sheetFormatPr baseColWidth="8" defaultColWidth="10.85546875" defaultRowHeight="15"/>
  <cols>
    <col width="10.85546875" customWidth="1" style="89" min="1" max="2"/>
    <col width="15.140625" customWidth="1" style="103" min="3" max="3"/>
    <col width="10.85546875" customWidth="1" style="104" min="4" max="4"/>
    <col width="28.7109375" customWidth="1" style="105" min="5" max="5"/>
    <col width="38.85546875" customWidth="1" style="105" min="6" max="6"/>
    <col width="10.85546875" customWidth="1" style="89" min="7" max="7"/>
    <col width="10.85546875" customWidth="1" style="89" min="8" max="16384"/>
  </cols>
  <sheetData>
    <row r="2">
      <c r="C2" s="90" t="n"/>
      <c r="D2" s="91" t="n"/>
      <c r="E2" s="92" t="n"/>
      <c r="F2" s="92" t="n"/>
    </row>
    <row r="3" ht="32.1" customHeight="1">
      <c r="B3" s="93" t="n"/>
      <c r="C3" s="94" t="inlineStr">
        <is>
          <t xml:space="preserve">Select top 10 crops </t>
        </is>
      </c>
      <c r="D3" s="95" t="inlineStr">
        <is>
          <t>Dataset code</t>
        </is>
      </c>
      <c r="E3" s="96" t="inlineStr">
        <is>
          <t>Label (EN)</t>
        </is>
      </c>
      <c r="F3" s="96" t="inlineStr">
        <is>
          <t>Label (ES)</t>
        </is>
      </c>
    </row>
    <row r="4" ht="15.95" customHeight="1">
      <c r="B4" s="93" t="n"/>
      <c r="C4" s="330" t="n"/>
      <c r="D4" s="97" t="inlineStr">
        <is>
          <t>1.1</t>
        </is>
      </c>
      <c r="E4" s="98" t="inlineStr">
        <is>
          <t>Rice</t>
        </is>
      </c>
      <c r="F4" s="98" t="inlineStr">
        <is>
          <t>Arroz</t>
        </is>
      </c>
    </row>
    <row r="5" ht="15.95" customHeight="1">
      <c r="B5" s="93" t="n"/>
      <c r="C5" s="330" t="n"/>
      <c r="D5" s="97" t="inlineStr">
        <is>
          <t>1.2</t>
        </is>
      </c>
      <c r="E5" s="98" t="inlineStr">
        <is>
          <t>Wheat</t>
        </is>
      </c>
      <c r="F5" s="98" t="inlineStr">
        <is>
          <t>Trigo</t>
        </is>
      </c>
    </row>
    <row r="6" ht="15.95" customHeight="1">
      <c r="B6" s="93" t="n"/>
      <c r="C6" s="330" t="n"/>
      <c r="D6" s="97" t="inlineStr">
        <is>
          <t>1.3</t>
        </is>
      </c>
      <c r="E6" s="98" t="inlineStr">
        <is>
          <t>Millet</t>
        </is>
      </c>
      <c r="F6" s="98" t="inlineStr">
        <is>
          <t>Mijo</t>
        </is>
      </c>
    </row>
    <row r="7" ht="15.95" customHeight="1">
      <c r="B7" s="93" t="n"/>
      <c r="C7" s="330" t="inlineStr">
        <is>
          <t>x</t>
        </is>
      </c>
      <c r="D7" s="97" t="inlineStr">
        <is>
          <t>1.4</t>
        </is>
      </c>
      <c r="E7" s="98" t="inlineStr">
        <is>
          <t>Sorghum</t>
        </is>
      </c>
      <c r="F7" s="98" t="inlineStr">
        <is>
          <t>Sorgo</t>
        </is>
      </c>
    </row>
    <row r="8" ht="15.95" customHeight="1">
      <c r="B8" s="93" t="n"/>
      <c r="C8" s="330" t="inlineStr">
        <is>
          <t>x</t>
        </is>
      </c>
      <c r="D8" s="97" t="inlineStr">
        <is>
          <t>1.5</t>
        </is>
      </c>
      <c r="E8" s="98" t="inlineStr">
        <is>
          <t>Maize</t>
        </is>
      </c>
      <c r="F8" s="98" t="inlineStr">
        <is>
          <t>Maíz</t>
        </is>
      </c>
    </row>
    <row r="9" ht="15.95" customHeight="1">
      <c r="B9" s="93" t="n"/>
      <c r="C9" s="330" t="n"/>
      <c r="D9" s="97" t="inlineStr">
        <is>
          <t>1.6</t>
        </is>
      </c>
      <c r="E9" s="98" t="inlineStr">
        <is>
          <t>Barley</t>
        </is>
      </c>
      <c r="F9" s="98" t="inlineStr">
        <is>
          <t>Cebada</t>
        </is>
      </c>
    </row>
    <row r="10" ht="15.95" customHeight="1">
      <c r="B10" s="93" t="n"/>
      <c r="C10" s="331" t="n"/>
      <c r="D10" s="97" t="inlineStr">
        <is>
          <t>1.99</t>
        </is>
      </c>
      <c r="E10" s="99" t="inlineStr">
        <is>
          <t>Other Cereal</t>
        </is>
      </c>
      <c r="F10" s="99" t="inlineStr">
        <is>
          <t>Otros cereales</t>
        </is>
      </c>
    </row>
    <row r="11" ht="15.95" customHeight="1">
      <c r="B11" s="93" t="n"/>
      <c r="C11" s="330" t="n"/>
      <c r="D11" s="97" t="inlineStr">
        <is>
          <t>2.1</t>
        </is>
      </c>
      <c r="E11" s="98" t="inlineStr">
        <is>
          <t>Cassava</t>
        </is>
      </c>
      <c r="F11" s="98" t="inlineStr">
        <is>
          <t>Yuca</t>
        </is>
      </c>
    </row>
    <row r="12" ht="15.95" customHeight="1">
      <c r="B12" s="93" t="n"/>
      <c r="C12" s="330" t="inlineStr">
        <is>
          <t>x</t>
        </is>
      </c>
      <c r="D12" s="97" t="inlineStr">
        <is>
          <t>2.2</t>
        </is>
      </c>
      <c r="E12" s="98" t="inlineStr">
        <is>
          <t>Potatoe</t>
        </is>
      </c>
      <c r="F12" s="98" t="inlineStr">
        <is>
          <t>Patatas</t>
        </is>
      </c>
    </row>
    <row r="13" ht="15.95" customHeight="1">
      <c r="B13" s="93" t="n"/>
      <c r="C13" s="330" t="n"/>
      <c r="D13" s="97" t="inlineStr">
        <is>
          <t>2.3</t>
        </is>
      </c>
      <c r="E13" s="98" t="inlineStr">
        <is>
          <t>Sweet Potatoes</t>
        </is>
      </c>
      <c r="F13" s="98" t="inlineStr">
        <is>
          <t>Patatas dulces</t>
        </is>
      </c>
    </row>
    <row r="14" ht="15.95" customHeight="1">
      <c r="B14" s="93" t="n"/>
      <c r="C14" s="330" t="n"/>
      <c r="D14" s="97" t="inlineStr">
        <is>
          <t>2.4</t>
        </is>
      </c>
      <c r="E14" s="98" t="inlineStr">
        <is>
          <t>Yams</t>
        </is>
      </c>
      <c r="F14" s="98" t="inlineStr">
        <is>
          <t>Ñames</t>
        </is>
      </c>
    </row>
    <row r="15" ht="15.95" customHeight="1">
      <c r="B15" s="93" t="n"/>
      <c r="C15" s="330" t="n"/>
      <c r="D15" s="97" t="inlineStr">
        <is>
          <t>2.5</t>
        </is>
      </c>
      <c r="E15" s="98" t="inlineStr">
        <is>
          <t>Carrots</t>
        </is>
      </c>
      <c r="F15" s="98" t="inlineStr">
        <is>
          <t>Zanahorias</t>
        </is>
      </c>
    </row>
    <row r="16" ht="15.95" customHeight="1">
      <c r="B16" s="93" t="n"/>
      <c r="C16" s="330" t="n"/>
      <c r="D16" s="97" t="inlineStr">
        <is>
          <t>2.6</t>
        </is>
      </c>
      <c r="E16" s="98" t="inlineStr">
        <is>
          <t>Cocoyam</t>
        </is>
      </c>
      <c r="F16" s="98" t="inlineStr">
        <is>
          <t>Cocoyam</t>
        </is>
      </c>
    </row>
    <row r="17" ht="15.95" customHeight="1">
      <c r="B17" s="93" t="n"/>
      <c r="C17" s="331" t="n"/>
      <c r="D17" s="97" t="inlineStr">
        <is>
          <t>2.99</t>
        </is>
      </c>
      <c r="E17" s="99" t="inlineStr">
        <is>
          <t>Other tubers</t>
        </is>
      </c>
      <c r="F17" s="99" t="inlineStr">
        <is>
          <t>Otros tubérculos</t>
        </is>
      </c>
    </row>
    <row r="18" ht="15.95" customHeight="1">
      <c r="B18" s="93" t="n"/>
      <c r="C18" s="330" t="inlineStr">
        <is>
          <t>x</t>
        </is>
      </c>
      <c r="D18" s="97" t="inlineStr">
        <is>
          <t>3.1</t>
        </is>
      </c>
      <c r="E18" s="98" t="inlineStr">
        <is>
          <t>Beans</t>
        </is>
      </c>
      <c r="F18" s="98" t="inlineStr">
        <is>
          <t>Frijoles</t>
        </is>
      </c>
    </row>
    <row r="19" ht="15.95" customHeight="1">
      <c r="B19" s="93" t="n"/>
      <c r="C19" s="330" t="n"/>
      <c r="D19" s="97" t="inlineStr">
        <is>
          <t>3.2</t>
        </is>
      </c>
      <c r="E19" s="98" t="inlineStr">
        <is>
          <t>Lentils</t>
        </is>
      </c>
      <c r="F19" s="98" t="inlineStr">
        <is>
          <t>Lentejas</t>
        </is>
      </c>
    </row>
    <row r="20" ht="15.95" customHeight="1">
      <c r="B20" s="93" t="n"/>
      <c r="C20" s="330" t="n"/>
      <c r="D20" s="97" t="inlineStr">
        <is>
          <t>3.3</t>
        </is>
      </c>
      <c r="E20" s="98" t="inlineStr">
        <is>
          <t>Peas</t>
        </is>
      </c>
      <c r="F20" s="98" t="inlineStr">
        <is>
          <t>Guisantes</t>
        </is>
      </c>
    </row>
    <row r="21" ht="15.95" customHeight="1">
      <c r="B21" s="93" t="n"/>
      <c r="C21" s="330" t="n"/>
      <c r="D21" s="97" t="inlineStr">
        <is>
          <t>3.4</t>
        </is>
      </c>
      <c r="E21" s="98" t="inlineStr">
        <is>
          <t>Soybeans</t>
        </is>
      </c>
      <c r="F21" s="98" t="inlineStr">
        <is>
          <t>Soja</t>
        </is>
      </c>
    </row>
    <row r="22" ht="15.95" customHeight="1">
      <c r="B22" s="93" t="n"/>
      <c r="C22" s="330" t="n"/>
      <c r="D22" s="97" t="inlineStr">
        <is>
          <t>3.5</t>
        </is>
      </c>
      <c r="E22" s="98" t="inlineStr">
        <is>
          <t>Chickpeas</t>
        </is>
      </c>
      <c r="F22" s="98" t="inlineStr">
        <is>
          <t>Garbanzos</t>
        </is>
      </c>
    </row>
    <row r="23" ht="15.95" customHeight="1">
      <c r="B23" s="93" t="n"/>
      <c r="C23" s="330" t="n"/>
      <c r="D23" s="97" t="inlineStr">
        <is>
          <t>3.6</t>
        </is>
      </c>
      <c r="E23" s="98" t="inlineStr">
        <is>
          <t>Fava beans</t>
        </is>
      </c>
      <c r="F23" s="98" t="inlineStr">
        <is>
          <t>Habas</t>
        </is>
      </c>
    </row>
    <row r="24" ht="15.95" customHeight="1">
      <c r="B24" s="93" t="n"/>
      <c r="C24" s="330" t="n"/>
      <c r="D24" s="97" t="inlineStr">
        <is>
          <t>3.7</t>
        </is>
      </c>
      <c r="E24" s="98" t="inlineStr">
        <is>
          <t>Broad beans</t>
        </is>
      </c>
      <c r="F24" s="98" t="inlineStr">
        <is>
          <t>Habas</t>
        </is>
      </c>
    </row>
    <row r="25" ht="15.95" customHeight="1">
      <c r="B25" s="93" t="n"/>
      <c r="C25" s="331" t="n"/>
      <c r="D25" s="97" t="inlineStr">
        <is>
          <t>3.99</t>
        </is>
      </c>
      <c r="E25" s="99" t="inlineStr">
        <is>
          <t>Other pulses</t>
        </is>
      </c>
      <c r="F25" s="99" t="inlineStr">
        <is>
          <t>Otras legumbres</t>
        </is>
      </c>
    </row>
    <row r="26" ht="15.95" customHeight="1">
      <c r="B26" s="93" t="n"/>
      <c r="C26" s="330" t="n"/>
      <c r="D26" s="97" t="inlineStr">
        <is>
          <t>4.1</t>
        </is>
      </c>
      <c r="E26" s="98" t="inlineStr">
        <is>
          <t>Cabbage</t>
        </is>
      </c>
      <c r="F26" s="98" t="inlineStr">
        <is>
          <t>Coles</t>
        </is>
      </c>
    </row>
    <row r="27" ht="15.95" customHeight="1">
      <c r="B27" s="93" t="n"/>
      <c r="C27" s="330" t="inlineStr">
        <is>
          <t>x</t>
        </is>
      </c>
      <c r="D27" s="97" t="inlineStr">
        <is>
          <t>4.2</t>
        </is>
      </c>
      <c r="E27" s="98" t="inlineStr">
        <is>
          <t>Lettuce</t>
        </is>
      </c>
      <c r="F27" s="98" t="inlineStr">
        <is>
          <t>Lechuga</t>
        </is>
      </c>
    </row>
    <row r="28" ht="15.95" customHeight="1">
      <c r="B28" s="93" t="n"/>
      <c r="C28" s="330" t="inlineStr">
        <is>
          <t>x</t>
        </is>
      </c>
      <c r="D28" s="97" t="inlineStr">
        <is>
          <t>4.3</t>
        </is>
      </c>
      <c r="E28" s="98" t="inlineStr">
        <is>
          <t>Spinach-Amaranth</t>
        </is>
      </c>
      <c r="F28" s="98" t="inlineStr">
        <is>
          <t>Espinacas-amaranto</t>
        </is>
      </c>
    </row>
    <row r="29" ht="15.95" customHeight="1">
      <c r="B29" s="93" t="n"/>
      <c r="C29" s="330" t="n"/>
      <c r="D29" s="97" t="inlineStr">
        <is>
          <t>4.4</t>
        </is>
      </c>
      <c r="E29" s="98" t="inlineStr">
        <is>
          <t>Cassava leaves</t>
        </is>
      </c>
      <c r="F29" s="98" t="inlineStr">
        <is>
          <t>Hojas de yuca/mandioca</t>
        </is>
      </c>
    </row>
    <row r="30" ht="15.95" customHeight="1">
      <c r="B30" s="93" t="n"/>
      <c r="C30" s="330" t="n"/>
      <c r="D30" s="97" t="inlineStr">
        <is>
          <t>4.5</t>
        </is>
      </c>
      <c r="E30" s="98" t="inlineStr">
        <is>
          <t>Potatoe leaves</t>
        </is>
      </c>
      <c r="F30" s="98" t="inlineStr">
        <is>
          <t>Hojas de patata</t>
        </is>
      </c>
    </row>
    <row r="31" ht="15.95" customHeight="1">
      <c r="B31" s="93" t="n"/>
      <c r="C31" s="330" t="n"/>
      <c r="D31" s="97" t="inlineStr">
        <is>
          <t>4.6</t>
        </is>
      </c>
      <c r="E31" s="98" t="inlineStr">
        <is>
          <t>Moringa</t>
        </is>
      </c>
      <c r="F31" s="98" t="inlineStr">
        <is>
          <t>Moringa</t>
        </is>
      </c>
    </row>
    <row r="32" ht="15.95" customHeight="1">
      <c r="B32" s="93" t="n"/>
      <c r="C32" s="330" t="n"/>
      <c r="D32" s="97" t="inlineStr">
        <is>
          <t>4.7</t>
        </is>
      </c>
      <c r="E32" s="98" t="inlineStr">
        <is>
          <t>Sorrel Hibiscus / Rosselle</t>
        </is>
      </c>
      <c r="F32" s="98" t="inlineStr">
        <is>
          <t>Rosella / Flor de jamaica</t>
        </is>
      </c>
    </row>
    <row r="33" ht="32.1" customHeight="1">
      <c r="B33" s="93" t="n"/>
      <c r="C33" s="330" t="inlineStr">
        <is>
          <t>x</t>
        </is>
      </c>
      <c r="D33" s="97" t="inlineStr">
        <is>
          <t>4.9</t>
        </is>
      </c>
      <c r="E33" s="98" t="inlineStr">
        <is>
          <t>Green salad herbs (thyme, parsley, mint, rocca, other)</t>
        </is>
      </c>
      <c r="F33" s="98" t="inlineStr">
        <is>
          <t>Hierbas verdes para ensalada (tomillo, perejil, menta, rocca, otras)</t>
        </is>
      </c>
    </row>
    <row r="34" ht="15.95" customHeight="1">
      <c r="B34" s="93" t="n"/>
      <c r="C34" s="330" t="n"/>
      <c r="D34" s="97" t="inlineStr">
        <is>
          <t>4.101</t>
        </is>
      </c>
      <c r="E34" s="98" t="inlineStr">
        <is>
          <t>Cauliflower</t>
        </is>
      </c>
      <c r="F34" s="98" t="inlineStr">
        <is>
          <t>Coliflor</t>
        </is>
      </c>
    </row>
    <row r="35" ht="15.95" customHeight="1">
      <c r="B35" s="93" t="n"/>
      <c r="C35" s="331" t="n"/>
      <c r="D35" s="97" t="inlineStr">
        <is>
          <t>4.99</t>
        </is>
      </c>
      <c r="E35" s="99" t="inlineStr">
        <is>
          <t>Other leafy vegetables</t>
        </is>
      </c>
      <c r="F35" s="99" t="inlineStr">
        <is>
          <t>Otras verduras de hoja</t>
        </is>
      </c>
    </row>
    <row r="36" ht="15.95" customHeight="1">
      <c r="B36" s="93" t="n"/>
      <c r="C36" s="330" t="inlineStr">
        <is>
          <t>x</t>
        </is>
      </c>
      <c r="D36" s="97" t="inlineStr">
        <is>
          <t>5.1</t>
        </is>
      </c>
      <c r="E36" s="98" t="inlineStr">
        <is>
          <t>Tomatoes</t>
        </is>
      </c>
      <c r="F36" s="98" t="inlineStr">
        <is>
          <t>Tomates</t>
        </is>
      </c>
    </row>
    <row r="37" ht="15.95" customHeight="1">
      <c r="B37" s="93" t="n"/>
      <c r="C37" s="330" t="n"/>
      <c r="D37" s="97" t="inlineStr">
        <is>
          <t>5.2</t>
        </is>
      </c>
      <c r="E37" s="98" t="inlineStr">
        <is>
          <t>Cucumber</t>
        </is>
      </c>
      <c r="F37" s="98" t="inlineStr">
        <is>
          <t>Pepino</t>
        </is>
      </c>
    </row>
    <row r="38" ht="15.95" customHeight="1">
      <c r="B38" s="93" t="n"/>
      <c r="C38" s="330" t="n"/>
      <c r="D38" s="97" t="inlineStr">
        <is>
          <t>5.3</t>
        </is>
      </c>
      <c r="E38" s="98" t="inlineStr">
        <is>
          <t>Pumpkin</t>
        </is>
      </c>
      <c r="F38" s="98" t="inlineStr">
        <is>
          <t>Calabaza</t>
        </is>
      </c>
    </row>
    <row r="39" ht="15.95" customHeight="1">
      <c r="B39" s="93" t="n"/>
      <c r="C39" s="330" t="n"/>
      <c r="D39" s="97" t="inlineStr">
        <is>
          <t>5.4</t>
        </is>
      </c>
      <c r="E39" s="98" t="inlineStr">
        <is>
          <t>Eggplant/aubergine</t>
        </is>
      </c>
      <c r="F39" s="98" t="inlineStr">
        <is>
          <t>Berenjena</t>
        </is>
      </c>
    </row>
    <row r="40" ht="15.95" customHeight="1">
      <c r="B40" s="93" t="n"/>
      <c r="C40" s="330" t="n"/>
      <c r="D40" s="97" t="inlineStr">
        <is>
          <t>5.5</t>
        </is>
      </c>
      <c r="E40" s="98" t="inlineStr">
        <is>
          <t>Zucchini</t>
        </is>
      </c>
      <c r="F40" s="98" t="inlineStr">
        <is>
          <t>Calabacín</t>
        </is>
      </c>
    </row>
    <row r="41" ht="15.95" customHeight="1">
      <c r="B41" s="93" t="n"/>
      <c r="C41" s="330" t="n"/>
      <c r="D41" s="97" t="inlineStr">
        <is>
          <t>5.6</t>
        </is>
      </c>
      <c r="E41" s="98" t="inlineStr">
        <is>
          <t>Okra</t>
        </is>
      </c>
      <c r="F41" s="98" t="inlineStr">
        <is>
          <t>Okra</t>
        </is>
      </c>
    </row>
    <row r="42" ht="15.95" customHeight="1">
      <c r="B42" s="93" t="n"/>
      <c r="C42" s="330" t="n"/>
      <c r="D42" s="97" t="inlineStr">
        <is>
          <t>5.7</t>
        </is>
      </c>
      <c r="E42" s="98" t="inlineStr">
        <is>
          <t>Bell pepper</t>
        </is>
      </c>
      <c r="F42" s="98" t="inlineStr">
        <is>
          <t>Pimiento</t>
        </is>
      </c>
    </row>
    <row r="43" ht="15.95" customHeight="1">
      <c r="B43" s="93" t="n"/>
      <c r="C43" s="330" t="inlineStr">
        <is>
          <t>x</t>
        </is>
      </c>
      <c r="D43" s="97" t="inlineStr">
        <is>
          <t>5.8</t>
        </is>
      </c>
      <c r="E43" s="98" t="inlineStr">
        <is>
          <t>Onions</t>
        </is>
      </c>
      <c r="F43" s="98" t="inlineStr">
        <is>
          <t>Cebollas</t>
        </is>
      </c>
    </row>
    <row r="44" ht="15.95" customHeight="1">
      <c r="B44" s="93" t="n"/>
      <c r="C44" s="330" t="n"/>
      <c r="D44" s="97" t="inlineStr">
        <is>
          <t>5.9</t>
        </is>
      </c>
      <c r="E44" s="98" t="inlineStr">
        <is>
          <t>Haricot</t>
        </is>
      </c>
      <c r="F44" s="98" t="inlineStr">
        <is>
          <t>Judías</t>
        </is>
      </c>
    </row>
    <row r="45" ht="15.95" customHeight="1">
      <c r="B45" s="93" t="n"/>
      <c r="C45" s="330" t="n"/>
      <c r="D45" s="97" t="inlineStr">
        <is>
          <t>5.101</t>
        </is>
      </c>
      <c r="E45" s="98" t="inlineStr">
        <is>
          <t>Green peas</t>
        </is>
      </c>
      <c r="F45" s="98" t="inlineStr">
        <is>
          <t>Arberjas</t>
        </is>
      </c>
    </row>
    <row r="46" ht="15.95" customHeight="1">
      <c r="B46" s="93" t="n"/>
      <c r="C46" s="330" t="n"/>
      <c r="D46" s="97" t="inlineStr">
        <is>
          <t>5.11</t>
        </is>
      </c>
      <c r="E46" s="98" t="inlineStr">
        <is>
          <t>Fava beans green</t>
        </is>
      </c>
      <c r="F46" s="98" t="inlineStr">
        <is>
          <t>Habas verdes</t>
        </is>
      </c>
    </row>
    <row r="47" ht="15.95" customHeight="1">
      <c r="B47" s="93" t="n"/>
      <c r="C47" s="331" t="n"/>
      <c r="D47" s="97" t="inlineStr">
        <is>
          <t>5.99</t>
        </is>
      </c>
      <c r="E47" s="99" t="inlineStr">
        <is>
          <t>Other non leafy vegs</t>
        </is>
      </c>
      <c r="F47" s="99" t="inlineStr">
        <is>
          <t>Otras verduras</t>
        </is>
      </c>
    </row>
    <row r="48" ht="15.95" customHeight="1">
      <c r="B48" s="93" t="n"/>
      <c r="C48" s="330" t="n"/>
      <c r="D48" s="97" t="inlineStr">
        <is>
          <t>6.1</t>
        </is>
      </c>
      <c r="E48" s="98" t="inlineStr">
        <is>
          <t>Orange</t>
        </is>
      </c>
      <c r="F48" s="98" t="inlineStr">
        <is>
          <t>Naranja</t>
        </is>
      </c>
    </row>
    <row r="49" ht="15.95" customHeight="1">
      <c r="B49" s="93" t="n"/>
      <c r="C49" s="330" t="n"/>
      <c r="D49" s="97" t="inlineStr">
        <is>
          <t>6.2</t>
        </is>
      </c>
      <c r="E49" s="98" t="inlineStr">
        <is>
          <t>Lemon</t>
        </is>
      </c>
      <c r="F49" s="98" t="inlineStr">
        <is>
          <t>Limón</t>
        </is>
      </c>
    </row>
    <row r="50" ht="15.95" customHeight="1">
      <c r="B50" s="93" t="n"/>
      <c r="C50" s="330" t="n"/>
      <c r="D50" s="97" t="inlineStr">
        <is>
          <t>6.3</t>
        </is>
      </c>
      <c r="E50" s="98" t="inlineStr">
        <is>
          <t>Grapefruit</t>
        </is>
      </c>
      <c r="F50" s="98" t="inlineStr">
        <is>
          <t>Pomelo</t>
        </is>
      </c>
    </row>
    <row r="51" ht="15.95" customHeight="1">
      <c r="B51" s="93" t="n"/>
      <c r="C51" s="330" t="n"/>
      <c r="D51" s="97" t="inlineStr">
        <is>
          <t>6.4</t>
        </is>
      </c>
      <c r="E51" s="98" t="inlineStr">
        <is>
          <t>Mandarins/clementines</t>
        </is>
      </c>
      <c r="F51" s="98" t="inlineStr">
        <is>
          <t>Mandarinas</t>
        </is>
      </c>
    </row>
    <row r="52" ht="15.95" customHeight="1">
      <c r="B52" s="93" t="n"/>
      <c r="C52" s="331" t="n"/>
      <c r="D52" s="97" t="inlineStr">
        <is>
          <t>6.99</t>
        </is>
      </c>
      <c r="E52" s="99" t="inlineStr">
        <is>
          <t>Other citrus fruit</t>
        </is>
      </c>
      <c r="F52" s="99" t="inlineStr">
        <is>
          <t>Otros cítricos</t>
        </is>
      </c>
    </row>
    <row r="53" ht="15.95" customHeight="1">
      <c r="B53" s="93" t="n"/>
      <c r="C53" s="330" t="n"/>
      <c r="D53" s="97" t="inlineStr">
        <is>
          <t>7.1</t>
        </is>
      </c>
      <c r="E53" s="98" t="inlineStr">
        <is>
          <t>Sweet Banana</t>
        </is>
      </c>
      <c r="F53" s="98" t="inlineStr">
        <is>
          <t>Plátano dulce / bananas</t>
        </is>
      </c>
    </row>
    <row r="54" ht="15.95" customHeight="1">
      <c r="B54" s="93" t="n"/>
      <c r="C54" s="330" t="n"/>
      <c r="D54" s="97" t="inlineStr">
        <is>
          <t>7.2</t>
        </is>
      </c>
      <c r="E54" s="98" t="inlineStr">
        <is>
          <t>Plantains</t>
        </is>
      </c>
      <c r="F54" s="98" t="inlineStr">
        <is>
          <t>Plátano</t>
        </is>
      </c>
    </row>
    <row r="55" ht="15.95" customHeight="1">
      <c r="B55" s="93" t="n"/>
      <c r="C55" s="330" t="n"/>
      <c r="D55" s="97" t="inlineStr">
        <is>
          <t>7.3</t>
        </is>
      </c>
      <c r="E55" s="98" t="inlineStr">
        <is>
          <t>Papaya</t>
        </is>
      </c>
      <c r="F55" s="98" t="inlineStr">
        <is>
          <t>Papaya</t>
        </is>
      </c>
    </row>
    <row r="56" ht="15.95" customHeight="1">
      <c r="B56" s="93" t="n"/>
      <c r="C56" s="330" t="n"/>
      <c r="D56" s="97" t="inlineStr">
        <is>
          <t>7.4</t>
        </is>
      </c>
      <c r="E56" s="98" t="inlineStr">
        <is>
          <t>Mango</t>
        </is>
      </c>
      <c r="F56" s="98" t="inlineStr">
        <is>
          <t>Mango</t>
        </is>
      </c>
    </row>
    <row r="57" ht="15.95" customHeight="1">
      <c r="B57" s="93" t="n"/>
      <c r="C57" s="330" t="n"/>
      <c r="D57" s="97" t="inlineStr">
        <is>
          <t>7.5</t>
        </is>
      </c>
      <c r="E57" s="98" t="inlineStr">
        <is>
          <t>Guava</t>
        </is>
      </c>
      <c r="F57" s="98" t="inlineStr">
        <is>
          <t>Guayaba</t>
        </is>
      </c>
    </row>
    <row r="58" ht="15.95" customHeight="1">
      <c r="B58" s="93" t="n"/>
      <c r="C58" s="330" t="n"/>
      <c r="D58" s="97" t="inlineStr">
        <is>
          <t>7.6</t>
        </is>
      </c>
      <c r="E58" s="98" t="inlineStr">
        <is>
          <t>Pineapple</t>
        </is>
      </c>
      <c r="F58" s="98" t="inlineStr">
        <is>
          <t>Piña</t>
        </is>
      </c>
    </row>
    <row r="59" ht="15.95" customHeight="1">
      <c r="B59" s="93" t="n"/>
      <c r="C59" s="330" t="n"/>
      <c r="D59" s="97" t="inlineStr">
        <is>
          <t>7.7</t>
        </is>
      </c>
      <c r="E59" s="98" t="inlineStr">
        <is>
          <t>Avocado</t>
        </is>
      </c>
      <c r="F59" s="98" t="inlineStr">
        <is>
          <t>Aguacate</t>
        </is>
      </c>
    </row>
    <row r="60" ht="15.95" customHeight="1">
      <c r="B60" s="93" t="n"/>
      <c r="C60" s="330" t="n"/>
      <c r="D60" s="97" t="inlineStr">
        <is>
          <t>7.8</t>
        </is>
      </c>
      <c r="E60" s="98" t="inlineStr">
        <is>
          <t>Water Melon</t>
        </is>
      </c>
      <c r="F60" s="98" t="inlineStr">
        <is>
          <t>Sandías</t>
        </is>
      </c>
    </row>
    <row r="61" ht="15.95" customHeight="1">
      <c r="B61" s="93" t="n"/>
      <c r="C61" s="330" t="n"/>
      <c r="D61" s="97" t="inlineStr">
        <is>
          <t>7.9</t>
        </is>
      </c>
      <c r="E61" s="98" t="inlineStr">
        <is>
          <t>Dates</t>
        </is>
      </c>
      <c r="F61" s="98" t="inlineStr">
        <is>
          <t>Dátiles</t>
        </is>
      </c>
    </row>
    <row r="62" ht="15.95" customHeight="1">
      <c r="B62" s="93" t="n"/>
      <c r="C62" s="330" t="n"/>
      <c r="D62" s="97" t="inlineStr">
        <is>
          <t>7.101</t>
        </is>
      </c>
      <c r="E62" s="98" t="inlineStr">
        <is>
          <t>Figs</t>
        </is>
      </c>
      <c r="F62" s="98" t="inlineStr">
        <is>
          <t>Higos</t>
        </is>
      </c>
    </row>
    <row r="63" ht="15.95" customHeight="1">
      <c r="B63" s="93" t="n"/>
      <c r="C63" s="330" t="n"/>
      <c r="D63" s="97" t="inlineStr">
        <is>
          <t>7.11</t>
        </is>
      </c>
      <c r="E63" s="98" t="inlineStr">
        <is>
          <t>Grapes</t>
        </is>
      </c>
      <c r="F63" s="98" t="inlineStr">
        <is>
          <t>Uvas</t>
        </is>
      </c>
    </row>
    <row r="64" ht="15.95" customHeight="1">
      <c r="B64" s="93" t="n"/>
      <c r="C64" s="330" t="n"/>
      <c r="D64" s="97" t="inlineStr">
        <is>
          <t>7.12</t>
        </is>
      </c>
      <c r="E64" s="98" t="inlineStr">
        <is>
          <t>Olives</t>
        </is>
      </c>
      <c r="F64" s="98" t="inlineStr">
        <is>
          <t>Aceitunas</t>
        </is>
      </c>
    </row>
    <row r="65" ht="15.95" customHeight="1">
      <c r="B65" s="93" t="n"/>
      <c r="C65" s="330" t="n"/>
      <c r="D65" s="97" t="inlineStr">
        <is>
          <t>7.13</t>
        </is>
      </c>
      <c r="E65" s="98" t="inlineStr">
        <is>
          <t>Apple</t>
        </is>
      </c>
      <c r="F65" s="98" t="inlineStr">
        <is>
          <t>Manzanas</t>
        </is>
      </c>
    </row>
    <row r="66" ht="15.95" customHeight="1">
      <c r="B66" s="93" t="n"/>
      <c r="C66" s="330" t="n"/>
      <c r="D66" s="97" t="inlineStr">
        <is>
          <t>7.14</t>
        </is>
      </c>
      <c r="E66" s="98" t="inlineStr">
        <is>
          <t>Apricot</t>
        </is>
      </c>
      <c r="F66" s="98" t="inlineStr">
        <is>
          <t>Albaricoques</t>
        </is>
      </c>
    </row>
    <row r="67" ht="15.95" customHeight="1">
      <c r="B67" s="93" t="n"/>
      <c r="C67" s="330" t="n"/>
      <c r="D67" s="97" t="inlineStr">
        <is>
          <t>7.15</t>
        </is>
      </c>
      <c r="E67" s="98" t="inlineStr">
        <is>
          <t>Cherries</t>
        </is>
      </c>
      <c r="F67" s="98" t="inlineStr">
        <is>
          <t>Cerezas</t>
        </is>
      </c>
    </row>
    <row r="68" ht="15.95" customHeight="1">
      <c r="B68" s="93" t="n"/>
      <c r="C68" s="330" t="n"/>
      <c r="D68" s="97" t="inlineStr">
        <is>
          <t>7.16</t>
        </is>
      </c>
      <c r="E68" s="98" t="inlineStr">
        <is>
          <t>Peach/nectarine</t>
        </is>
      </c>
      <c r="F68" s="98" t="inlineStr">
        <is>
          <t>Duraznos/ nectárinas</t>
        </is>
      </c>
    </row>
    <row r="69" ht="15.95" customHeight="1">
      <c r="B69" s="93" t="n"/>
      <c r="C69" s="330" t="n"/>
      <c r="D69" s="97" t="inlineStr">
        <is>
          <t>7.17</t>
        </is>
      </c>
      <c r="E69" s="98" t="inlineStr">
        <is>
          <t>Strawberries</t>
        </is>
      </c>
      <c r="F69" s="98" t="inlineStr">
        <is>
          <t>Fresas</t>
        </is>
      </c>
    </row>
    <row r="70" ht="15.95" customHeight="1">
      <c r="B70" s="93" t="n"/>
      <c r="C70" s="330" t="n"/>
      <c r="D70" s="97" t="inlineStr">
        <is>
          <t>7.18</t>
        </is>
      </c>
      <c r="E70" s="98" t="inlineStr">
        <is>
          <t>Melon (Cantaloupe)</t>
        </is>
      </c>
      <c r="F70" s="98" t="inlineStr">
        <is>
          <t>Melon</t>
        </is>
      </c>
    </row>
    <row r="71" ht="15.95" customHeight="1">
      <c r="B71" s="93" t="n"/>
      <c r="C71" s="331" t="n"/>
      <c r="D71" s="97" t="inlineStr">
        <is>
          <t>7.99</t>
        </is>
      </c>
      <c r="E71" s="99" t="inlineStr">
        <is>
          <t>Other fruit</t>
        </is>
      </c>
      <c r="F71" s="99" t="inlineStr">
        <is>
          <t>Otras frutas</t>
        </is>
      </c>
    </row>
    <row r="72" ht="15.95" customHeight="1">
      <c r="B72" s="93" t="n"/>
      <c r="C72" s="330" t="n"/>
      <c r="D72" s="97" t="inlineStr">
        <is>
          <t>8.1</t>
        </is>
      </c>
      <c r="E72" s="98" t="inlineStr">
        <is>
          <t>Coconuts</t>
        </is>
      </c>
      <c r="F72" s="98" t="inlineStr">
        <is>
          <t>Coco</t>
        </is>
      </c>
    </row>
    <row r="73" ht="15.95" customHeight="1">
      <c r="B73" s="93" t="n"/>
      <c r="C73" s="330" t="n"/>
      <c r="D73" s="97" t="inlineStr">
        <is>
          <t>8.2</t>
        </is>
      </c>
      <c r="E73" s="98" t="inlineStr">
        <is>
          <t>Groundnut/peanut</t>
        </is>
      </c>
      <c r="F73" s="98" t="inlineStr">
        <is>
          <t>Cacahuates/maní</t>
        </is>
      </c>
    </row>
    <row r="74" ht="15.95" customHeight="1">
      <c r="B74" s="93" t="n"/>
      <c r="C74" s="330" t="n"/>
      <c r="D74" s="97" t="inlineStr">
        <is>
          <t>8.3</t>
        </is>
      </c>
      <c r="E74" s="98" t="inlineStr">
        <is>
          <t>Cashew Nut</t>
        </is>
      </c>
      <c r="F74" s="98" t="inlineStr">
        <is>
          <t>Anacardos</t>
        </is>
      </c>
    </row>
    <row r="75" ht="15.95" customHeight="1">
      <c r="B75" s="93" t="n"/>
      <c r="C75" s="330" t="n"/>
      <c r="D75" s="97" t="inlineStr">
        <is>
          <t>8.4</t>
        </is>
      </c>
      <c r="E75" s="98" t="inlineStr">
        <is>
          <t>Kola Nut</t>
        </is>
      </c>
      <c r="F75" s="98" t="inlineStr">
        <is>
          <t>Nuez de cola</t>
        </is>
      </c>
    </row>
    <row r="76" ht="15.95" customHeight="1">
      <c r="B76" s="93" t="n"/>
      <c r="C76" s="330" t="n"/>
      <c r="D76" s="97" t="inlineStr">
        <is>
          <t>8.5</t>
        </is>
      </c>
      <c r="E76" s="98" t="inlineStr">
        <is>
          <t>Sesame</t>
        </is>
      </c>
      <c r="F76" s="98" t="inlineStr">
        <is>
          <t>Sésamo</t>
        </is>
      </c>
    </row>
    <row r="77" ht="15.95" customHeight="1">
      <c r="B77" s="93" t="n"/>
      <c r="C77" s="330" t="n"/>
      <c r="D77" s="97" t="inlineStr">
        <is>
          <t>8.6</t>
        </is>
      </c>
      <c r="E77" s="98" t="inlineStr">
        <is>
          <t>Bambara nut</t>
        </is>
      </c>
      <c r="F77" s="98" t="inlineStr">
        <is>
          <t>Nuez de bambara</t>
        </is>
      </c>
    </row>
    <row r="78" ht="15.95" customHeight="1">
      <c r="B78" s="93" t="n"/>
      <c r="C78" s="330" t="n"/>
      <c r="D78" s="97" t="inlineStr">
        <is>
          <t>8.7</t>
        </is>
      </c>
      <c r="E78" s="98" t="inlineStr">
        <is>
          <t>Almond</t>
        </is>
      </c>
      <c r="F78" s="98" t="inlineStr">
        <is>
          <t>Almendra</t>
        </is>
      </c>
    </row>
    <row r="79" ht="15.95" customHeight="1">
      <c r="B79" s="93" t="n"/>
      <c r="C79" s="330" t="n"/>
      <c r="D79" s="97" t="inlineStr">
        <is>
          <t>8.8</t>
        </is>
      </c>
      <c r="E79" s="98" t="inlineStr">
        <is>
          <t>Walnut</t>
        </is>
      </c>
      <c r="F79" s="98" t="inlineStr">
        <is>
          <t>Nuez</t>
        </is>
      </c>
    </row>
    <row r="80" ht="15.95" customHeight="1">
      <c r="B80" s="93" t="n"/>
      <c r="C80" s="331" t="n"/>
      <c r="D80" s="97" t="inlineStr">
        <is>
          <t>8.99</t>
        </is>
      </c>
      <c r="E80" s="99" t="inlineStr">
        <is>
          <t>Other nuts</t>
        </is>
      </c>
      <c r="F80" s="99" t="inlineStr">
        <is>
          <t>Otros frutos secos</t>
        </is>
      </c>
    </row>
    <row r="81" ht="15.95" customHeight="1">
      <c r="B81" s="93" t="n"/>
      <c r="C81" s="330" t="n"/>
      <c r="D81" s="97" t="inlineStr">
        <is>
          <t>9.1</t>
        </is>
      </c>
      <c r="E81" s="98" t="inlineStr">
        <is>
          <t>Cocoa</t>
        </is>
      </c>
      <c r="F81" s="98" t="inlineStr">
        <is>
          <t>Cacao</t>
        </is>
      </c>
    </row>
    <row r="82" ht="15.95" customHeight="1">
      <c r="B82" s="93" t="n"/>
      <c r="C82" s="330" t="inlineStr">
        <is>
          <t>x</t>
        </is>
      </c>
      <c r="D82" s="97" t="inlineStr">
        <is>
          <t>9.2</t>
        </is>
      </c>
      <c r="E82" s="98" t="inlineStr">
        <is>
          <t>Coffee</t>
        </is>
      </c>
      <c r="F82" s="98" t="inlineStr">
        <is>
          <t>Café</t>
        </is>
      </c>
    </row>
    <row r="83" ht="15.95" customHeight="1">
      <c r="B83" s="93" t="n"/>
      <c r="C83" s="330" t="n"/>
      <c r="D83" s="97" t="inlineStr">
        <is>
          <t>9.3</t>
        </is>
      </c>
      <c r="E83" s="98" t="inlineStr">
        <is>
          <t>Tea</t>
        </is>
      </c>
      <c r="F83" s="98" t="inlineStr">
        <is>
          <t>Té</t>
        </is>
      </c>
    </row>
    <row r="84" ht="15.95" customHeight="1">
      <c r="B84" s="93" t="n"/>
      <c r="C84" s="330" t="n"/>
      <c r="D84" s="97" t="inlineStr">
        <is>
          <t>9.4</t>
        </is>
      </c>
      <c r="E84" s="98" t="inlineStr">
        <is>
          <t>Sugarcane</t>
        </is>
      </c>
      <c r="F84" s="98" t="inlineStr">
        <is>
          <t>Caña de azúcar</t>
        </is>
      </c>
    </row>
    <row r="85" ht="15.95" customHeight="1">
      <c r="B85" s="93" t="n"/>
      <c r="C85" s="330" t="n"/>
      <c r="D85" s="97" t="inlineStr">
        <is>
          <t>9.5</t>
        </is>
      </c>
      <c r="E85" s="98" t="inlineStr">
        <is>
          <t>Sunflower</t>
        </is>
      </c>
      <c r="F85" s="98" t="inlineStr">
        <is>
          <t>Girasol (plantas o semillas)</t>
        </is>
      </c>
    </row>
    <row r="86" ht="15.95" customHeight="1">
      <c r="B86" s="93" t="n"/>
      <c r="C86" s="331" t="n"/>
      <c r="D86" s="97" t="inlineStr">
        <is>
          <t>9.99</t>
        </is>
      </c>
      <c r="E86" s="99" t="inlineStr">
        <is>
          <t>Other food cash crop</t>
        </is>
      </c>
      <c r="F86" s="99" t="inlineStr">
        <is>
          <t>Otros cultivos comerciales alimentarios</t>
        </is>
      </c>
    </row>
    <row r="87" ht="15.95" customHeight="1">
      <c r="B87" s="93" t="n"/>
      <c r="C87" s="330" t="n"/>
      <c r="D87" s="97" t="inlineStr">
        <is>
          <t>10.1</t>
        </is>
      </c>
      <c r="E87" s="98" t="inlineStr">
        <is>
          <t>Cotton</t>
        </is>
      </c>
      <c r="F87" s="98" t="inlineStr">
        <is>
          <t>Algodón</t>
        </is>
      </c>
    </row>
    <row r="88" ht="15.95" customHeight="1">
      <c r="B88" s="93" t="n"/>
      <c r="C88" s="330" t="n"/>
      <c r="D88" s="97" t="inlineStr">
        <is>
          <t>10.2</t>
        </is>
      </c>
      <c r="E88" s="98" t="inlineStr">
        <is>
          <t>Rubber</t>
        </is>
      </c>
      <c r="F88" s="98" t="inlineStr">
        <is>
          <t>Caucho</t>
        </is>
      </c>
    </row>
    <row r="89" ht="15.95" customHeight="1">
      <c r="B89" s="93" t="n"/>
      <c r="C89" s="330" t="n"/>
      <c r="D89" s="97" t="inlineStr">
        <is>
          <t>10.3</t>
        </is>
      </c>
      <c r="E89" s="98" t="inlineStr">
        <is>
          <t>Jute</t>
        </is>
      </c>
      <c r="F89" s="98" t="inlineStr">
        <is>
          <t>Yute</t>
        </is>
      </c>
    </row>
    <row r="90" ht="15.95" customHeight="1">
      <c r="B90" s="93" t="n"/>
      <c r="C90" s="330" t="n"/>
      <c r="D90" s="97" t="inlineStr">
        <is>
          <t>10.4</t>
        </is>
      </c>
      <c r="E90" s="98" t="inlineStr">
        <is>
          <t>Fodder</t>
        </is>
      </c>
      <c r="F90" s="98" t="inlineStr">
        <is>
          <t>Forraje</t>
        </is>
      </c>
    </row>
    <row r="91" ht="15.95" customHeight="1">
      <c r="B91" s="93" t="n"/>
      <c r="C91" s="330" t="n"/>
      <c r="D91" s="97" t="inlineStr">
        <is>
          <t>10.5</t>
        </is>
      </c>
      <c r="E91" s="98" t="inlineStr">
        <is>
          <t>Tobacco</t>
        </is>
      </c>
      <c r="F91" s="98" t="inlineStr">
        <is>
          <t>Tabaco</t>
        </is>
      </c>
    </row>
    <row r="92" ht="15.95" customHeight="1">
      <c r="B92" s="93" t="n"/>
      <c r="C92" s="330" t="n"/>
      <c r="D92" s="97" t="inlineStr">
        <is>
          <t>10.6</t>
        </is>
      </c>
      <c r="E92" s="98" t="inlineStr">
        <is>
          <t>Qat</t>
        </is>
      </c>
      <c r="F92" s="98" t="inlineStr">
        <is>
          <t>Qat</t>
        </is>
      </c>
    </row>
    <row r="93" ht="15.95" customFormat="1" customHeight="1" s="105">
      <c r="B93" s="239" t="n"/>
      <c r="C93" s="240" t="n"/>
      <c r="D93" s="241" t="inlineStr">
        <is>
          <t>10.99</t>
        </is>
      </c>
      <c r="E93" s="99" t="inlineStr">
        <is>
          <t>Other non-food cash crop</t>
        </is>
      </c>
      <c r="F93" s="99" t="inlineStr">
        <is>
          <t>Otros cultivos comerciales no alimentarios</t>
        </is>
      </c>
    </row>
    <row r="94">
      <c r="C94" s="100" t="n"/>
      <c r="D94" s="101" t="n"/>
      <c r="E94" s="102" t="n"/>
      <c r="F94" s="102" t="n"/>
    </row>
  </sheetData>
  <sheetProtection selectLockedCells="1" selectUnlockedCells="0" algorithmName="SHA-512" sheet="1" objects="0" insertRows="1" insertHyperlinks="1" autoFilter="1" scenarios="0" formatColumns="1" deleteColumns="1" insertColumns="1" pivotTables="1" deleteRows="1" formatCells="1" saltValue="1HNO4iQkbyh1ve7xhKeOnA==" formatRows="1" sort="1" spinCount="100000" hashValue="xQIQxFm4wi3GE2Ra55hjTZwqVR8D77kYa5iBGMm5V1kKuPX5WhUJ/Hw/7fiKf9G3O2W34GlzmptGVr1c+peveg=="/>
  <dataValidations count="1">
    <dataValidation sqref="C4:C9 C11:C16 C18:C24 C26:C34 C36:C46 C48:C51 C53:C70 C72:C79 C81:C85 C87:C92" showErrorMessage="1" showInputMessage="1" allowBlank="0" type="list">
      <formula1>"x"</formula1>
      <formula2>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C3" sqref="C3"/>
    </sheetView>
  </sheetViews>
  <sheetFormatPr baseColWidth="8" defaultColWidth="10.85546875" defaultRowHeight="15.75"/>
  <cols>
    <col width="10.85546875" customWidth="1" style="152" min="1" max="1"/>
    <col width="8.85546875" customWidth="1" style="152" min="2" max="2"/>
    <col width="27.7109375" customWidth="1" style="152" min="3" max="3"/>
    <col width="20.85546875" customWidth="1" style="152" min="4" max="5"/>
    <col width="46.42578125" customWidth="1" style="165" min="6" max="7"/>
    <col width="20.85546875" customWidth="1" style="235" min="8" max="8"/>
    <col width="20.85546875" customWidth="1" style="152" min="9" max="9"/>
    <col width="10.85546875" customWidth="1" style="152" min="10" max="10"/>
    <col width="10.85546875" customWidth="1" style="152" min="11" max="16384"/>
  </cols>
  <sheetData>
    <row r="1" ht="17.1" customHeight="1" thickBot="1">
      <c r="C1" s="153" t="n"/>
      <c r="D1" s="153" t="n"/>
      <c r="E1" s="153" t="n"/>
      <c r="F1" s="154" t="n"/>
      <c r="G1" s="154" t="n"/>
      <c r="H1" s="155" t="n"/>
      <c r="I1" s="153" t="n"/>
    </row>
    <row r="2" ht="17.1" customFormat="1" customHeight="1" s="165" thickBot="1">
      <c r="A2" s="156" t="n"/>
      <c r="B2" s="157" t="n"/>
      <c r="C2" s="158" t="inlineStr">
        <is>
          <t>Original</t>
        </is>
      </c>
      <c r="D2" s="159" t="inlineStr">
        <is>
          <t>Replacement (ES)</t>
        </is>
      </c>
      <c r="E2" s="159" t="inlineStr">
        <is>
          <t>Replacement (EN)</t>
        </is>
      </c>
      <c r="F2" s="160" t="inlineStr">
        <is>
          <t>Comment (ES)</t>
        </is>
      </c>
      <c r="G2" s="161" t="inlineStr">
        <is>
          <t>Comment (EN)</t>
        </is>
      </c>
      <c r="H2" s="162" t="inlineStr">
        <is>
          <t>Exemple (ES)</t>
        </is>
      </c>
      <c r="I2" s="163" t="inlineStr">
        <is>
          <t>Example(EN)</t>
        </is>
      </c>
      <c r="J2" s="164" t="n"/>
    </row>
    <row r="3" ht="62.45" customHeight="1">
      <c r="A3" s="166" t="n"/>
      <c r="B3" s="346" t="inlineStr">
        <is>
          <t>FOR CORE QUESTIONS    .
(Mandatory to fill out)    .</t>
        </is>
      </c>
      <c r="C3" s="167" t="inlineStr">
        <is>
          <t>phone number</t>
        </is>
      </c>
      <c r="D3" s="332" t="inlineStr">
        <is>
          <t>502********</t>
        </is>
      </c>
      <c r="E3" s="168" t="inlineStr">
        <is>
          <t>502********</t>
        </is>
      </c>
      <c r="F3" s="169" t="inlineStr">
        <is>
          <t>Escriba un número de teléfono de su país en el formato típico, por ejemplo 77******* [por favor, utilice exactamente el número de caracteres que se encuentran en un número de teléfono].</t>
        </is>
      </c>
      <c r="G3" s="170" t="inlineStr">
        <is>
          <t>Type a phone number from your country in typical format, e.g. 77******* [please use exactly the number of characters that are found in a phone number].</t>
        </is>
      </c>
      <c r="H3" s="171" t="inlineStr">
        <is>
          <t>070******</t>
        </is>
      </c>
      <c r="I3" s="172" t="inlineStr">
        <is>
          <t>070******</t>
        </is>
      </c>
      <c r="J3" s="173" t="n"/>
    </row>
    <row r="4" ht="31.7" customHeight="1">
      <c r="A4" s="166" t="n"/>
      <c r="B4" s="343" t="n"/>
      <c r="C4" s="174" t="inlineStr">
        <is>
          <t>age</t>
        </is>
      </c>
      <c r="D4" s="333" t="n">
        <v>18</v>
      </c>
      <c r="E4" s="175" t="n">
        <v>18</v>
      </c>
      <c r="F4" s="176" t="inlineStr">
        <is>
          <t>Edad mínima del encuestado (recomendamos 18 años).</t>
        </is>
      </c>
      <c r="G4" s="177" t="inlineStr">
        <is>
          <t>Minimum age of respondent (recommend 18 years old)</t>
        </is>
      </c>
      <c r="H4" s="178" t="n">
        <v>18</v>
      </c>
      <c r="I4" s="179" t="n">
        <v>18</v>
      </c>
      <c r="J4" s="173" t="n"/>
    </row>
    <row r="5" ht="66" customHeight="1">
      <c r="A5" s="166" t="n"/>
      <c r="B5" s="343" t="n"/>
      <c r="C5" s="180" t="inlineStr">
        <is>
          <t>ADMIN1</t>
        </is>
      </c>
      <c r="D5" s="334" t="inlineStr">
        <is>
          <t>Departamento</t>
        </is>
      </c>
      <c r="E5" s="257" t="inlineStr">
        <is>
          <t>Department</t>
        </is>
      </c>
      <c r="F5" s="246" t="inlineStr">
        <is>
          <t xml:space="preserve">La primera subdivisión del país, después del nivel nacional; región; provincia; gobernación; etc. Solo una palabra debe ser ingresada - No incluir espacios. </t>
        </is>
      </c>
      <c r="G5" s="177" t="inlineStr">
        <is>
          <t>The first subdivision of the country, after national level; region; province; governorate; etc. Only one word should be inputted - Do not include spaces.</t>
        </is>
      </c>
      <c r="H5" s="181" t="inlineStr">
        <is>
          <t>departamento</t>
        </is>
      </c>
      <c r="I5" s="182" t="inlineStr">
        <is>
          <t>department</t>
        </is>
      </c>
      <c r="J5" s="173" t="n"/>
    </row>
    <row r="6" ht="48" customHeight="1">
      <c r="A6" s="166" t="n"/>
      <c r="B6" s="343" t="n"/>
      <c r="C6" s="183" t="inlineStr">
        <is>
          <t>ADMIN2</t>
        </is>
      </c>
      <c r="D6" s="334" t="inlineStr">
        <is>
          <t>Municipio</t>
        </is>
      </c>
      <c r="E6" s="257" t="inlineStr">
        <is>
          <t>Municipality</t>
        </is>
      </c>
      <c r="F6" s="246" t="inlineStr">
        <is>
          <t xml:space="preserve">La segunda subdivisión del país; distrito; municipio; LGA; etc. Solo una palabra debe ser ingresada - No incluir espacios. </t>
        </is>
      </c>
      <c r="G6" s="176" t="inlineStr">
        <is>
          <t>The second subdivision of the country; district; municipality; LGA; etc. Only one word should be inputted - Do not include spaces.</t>
        </is>
      </c>
      <c r="H6" s="184" t="inlineStr">
        <is>
          <t>municipio</t>
        </is>
      </c>
      <c r="I6" s="185" t="inlineStr">
        <is>
          <t>municipality</t>
        </is>
      </c>
      <c r="J6" s="173" t="n"/>
    </row>
    <row r="7" ht="100.5" customFormat="1" customHeight="1" s="191">
      <c r="A7" s="186" t="n"/>
      <c r="B7" s="343" t="n"/>
      <c r="C7" s="187" t="inlineStr">
        <is>
          <t>reference year</t>
        </is>
      </c>
      <c r="D7" s="151" t="inlineStr">
        <is>
          <t>un año normal</t>
        </is>
      </c>
      <c r="E7" s="267" t="inlineStr">
        <is>
          <t>a normal year</t>
        </is>
      </c>
      <c r="F7" s="246" t="inlineStr">
        <is>
          <t>Las preguntas de comparación necesitarán un año de referencia. Seleccione si desea utilizar "el año pasado" o "un año normal" como referencia. Un "año normal" debe referirse a un año promedio de los últimos 5 años; asegúrese de capacitar a los encuestadores en consecuencia.</t>
        </is>
      </c>
      <c r="G7" s="188"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184" t="inlineStr">
        <is>
          <t>un año normal</t>
        </is>
      </c>
      <c r="I7" s="189" t="inlineStr">
        <is>
          <t>a normal year</t>
        </is>
      </c>
      <c r="J7" s="190" t="n"/>
    </row>
    <row r="8" ht="120.95" customHeight="1">
      <c r="A8" s="166" t="n"/>
      <c r="B8" s="343" t="n"/>
      <c r="C8" s="183" t="inlineStr">
        <is>
          <t>season</t>
        </is>
      </c>
      <c r="D8" s="15" t="inlineStr">
        <is>
          <t>La última temporada o la temporada en curso</t>
        </is>
      </c>
      <c r="E8" s="341" t="inlineStr">
        <is>
          <t>The last season or the current season</t>
        </is>
      </c>
      <c r="F8" s="247" t="inlineStr">
        <is>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is>
      </c>
      <c r="G8" s="192" t="inlineStr">
        <is>
          <t>Name the crop season(s) of interest if there are several cropping seasons in the country (e.g. Meher and Belg in Ethiopia, rainy season / flood-recession cropping / irrigated dry season in the Sahel). You can refer to the “last season” or “ongoing season".</t>
        </is>
      </c>
      <c r="H8" s="193" t="inlineStr">
        <is>
          <t>la temporada de siembra de primera</t>
        </is>
      </c>
      <c r="I8" s="194" t="inlineStr">
        <is>
          <t>the first planting season</t>
        </is>
      </c>
      <c r="J8" s="173" t="n"/>
      <c r="K8" s="268" t="n"/>
    </row>
    <row r="9" ht="96" customHeight="1">
      <c r="A9" s="166" t="n"/>
      <c r="B9" s="343" t="n"/>
      <c r="C9" s="183" t="inlineStr">
        <is>
          <t>season phase</t>
        </is>
      </c>
      <c r="D9" s="335" t="inlineStr">
        <is>
          <t>plantación</t>
        </is>
      </c>
      <c r="E9" s="195" t="inlineStr">
        <is>
          <t>Planting</t>
        </is>
      </c>
      <c r="F9" s="247" t="inlineStr">
        <is>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is>
      </c>
      <c r="G9" s="19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193" t="inlineStr">
        <is>
          <t>cosecha</t>
        </is>
      </c>
      <c r="I9" s="185" t="inlineStr">
        <is>
          <t>Harvesting</t>
        </is>
      </c>
      <c r="J9" s="173" t="n"/>
    </row>
    <row r="10" ht="84.95" customFormat="1" customHeight="1" s="191">
      <c r="A10" s="186" t="n"/>
      <c r="B10" s="343" t="n"/>
      <c r="C10" s="196" t="inlineStr">
        <is>
          <t>local measurement unit</t>
        </is>
      </c>
      <c r="D10" s="336" t="inlineStr">
        <is>
          <t>Manzanas</t>
        </is>
      </c>
      <c r="E10" s="269" t="inlineStr">
        <is>
          <t>Manzanas</t>
        </is>
      </c>
      <c r="F10" s="248" t="inlineStr">
        <is>
          <t>Especifique la unidad de medida local para el area sembrada, que no sean acres, hectáreas, metros cuadrados y pies cuadrados. Si no se necesita otra unidad de medida, deje esta celda en blanco.</t>
        </is>
      </c>
      <c r="G10" s="197" t="inlineStr">
        <is>
          <t xml:space="preserve">Specify the local measurement unit for land size, other than acres, hectares, square meters and square feet. If no other unit of measurement is needed, keep this cell blank. </t>
        </is>
      </c>
      <c r="H10" s="193" t="inlineStr">
        <is>
          <t>Manzanas</t>
        </is>
      </c>
      <c r="I10" s="198" t="inlineStr">
        <is>
          <t>Manzanas</t>
        </is>
      </c>
      <c r="J10" s="190" t="n"/>
    </row>
    <row r="11" ht="50.25" customFormat="1" customHeight="1" s="191" thickBot="1">
      <c r="A11" s="186" t="n"/>
      <c r="B11" s="344" t="n"/>
      <c r="C11" s="199" t="inlineStr">
        <is>
          <t>local measurement unit conversion</t>
        </is>
      </c>
      <c r="D11" s="337" t="n">
        <v>1.43</v>
      </c>
      <c r="E11" s="200" t="n">
        <v>1.43</v>
      </c>
      <c r="F11" s="249" t="inlineStr">
        <is>
          <t>Incluir la conversión de la unidad de medida local a hectáreas. En otras palabras, cuántas unidades de medida locales hay en 1 ha.</t>
        </is>
      </c>
      <c r="G11" s="201" t="inlineStr">
        <is>
          <t xml:space="preserve">Include the conversion of the local measurement unit to hectares. In other words, how many local measurement units are in 1 ha. </t>
        </is>
      </c>
      <c r="H11" s="202" t="n">
        <v>1.43</v>
      </c>
      <c r="I11" s="203" t="n">
        <v>1.43</v>
      </c>
      <c r="J11" s="190" t="n"/>
    </row>
    <row r="12" ht="57.6" customHeight="1">
      <c r="A12" s="166" t="n"/>
      <c r="B12" s="342" t="inlineStr">
        <is>
          <t>FOR OPTIONAL QUESTIONS    .
(Fill out if applicable)    .</t>
        </is>
      </c>
      <c r="C12" s="204" t="inlineStr">
        <is>
          <t>currency</t>
        </is>
      </c>
      <c r="D12" s="338" t="inlineStr">
        <is>
          <t>Quetzal</t>
        </is>
      </c>
      <c r="E12" s="175" t="inlineStr">
        <is>
          <t>Quetzal</t>
        </is>
      </c>
      <c r="F12" s="250" t="inlineStr">
        <is>
          <t>El nombre de la moneda principal utilizada a nivel nacional; USD; quetzales; lempiras; pesos; etc.</t>
        </is>
      </c>
      <c r="G12" s="205" t="inlineStr">
        <is>
          <t xml:space="preserve">The name of the main currency used nationally; USD; Naira; Rial; Pesos; etc. </t>
        </is>
      </c>
      <c r="H12" s="181" t="inlineStr">
        <is>
          <t>Pesos</t>
        </is>
      </c>
      <c r="I12" s="206" t="inlineStr">
        <is>
          <t>Pesos</t>
        </is>
      </c>
      <c r="J12" s="173" t="n"/>
    </row>
    <row r="13" ht="145.5" customHeight="1">
      <c r="A13" s="166" t="n"/>
      <c r="B13" s="343" t="n"/>
      <c r="C13" s="207" t="inlineStr">
        <is>
          <t>MIN AMOUNT</t>
        </is>
      </c>
      <c r="D13" s="339" t="n">
        <v>1</v>
      </c>
      <c r="E13" s="175" t="n">
        <v>1</v>
      </c>
      <c r="F13" s="251" t="inlineStr">
        <is>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is>
      </c>
      <c r="G13" s="20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193" t="n">
        <v>5</v>
      </c>
      <c r="I13" s="209" t="n">
        <v>5</v>
      </c>
      <c r="J13" s="210" t="n"/>
      <c r="K13" s="211" t="n"/>
    </row>
    <row r="14" ht="198" customHeight="1">
      <c r="A14" s="166" t="n"/>
      <c r="B14" s="343" t="n"/>
      <c r="C14" s="207" t="inlineStr">
        <is>
          <t>THRESHOLD</t>
        </is>
      </c>
      <c r="D14" s="339" t="n">
        <v>80000</v>
      </c>
      <c r="E14" s="175" t="n">
        <v>80000</v>
      </c>
      <c r="F14" s="252" t="inlineStr">
        <is>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is>
      </c>
      <c r="G14" s="19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193" t="n">
        <v>1200000</v>
      </c>
      <c r="I14" s="209" t="n">
        <v>1200000</v>
      </c>
      <c r="J14" s="173" t="n"/>
    </row>
    <row r="15" ht="48" customHeight="1">
      <c r="A15" s="166" t="n"/>
      <c r="B15" s="343" t="n"/>
      <c r="C15" s="212" t="inlineStr">
        <is>
          <t>local vegetables</t>
        </is>
      </c>
      <c r="D15" s="334" t="inlineStr">
        <is>
          <t>chipilin, loroco, hierba mora, quilete</t>
        </is>
      </c>
      <c r="E15" s="15" t="n"/>
      <c r="F15" s="248" t="inlineStr">
        <is>
          <t>Ingrese algunas verduras locales comunes [para usar como ejemplos en el indicador de puntaje de consumo de alimentos].</t>
        </is>
      </c>
      <c r="G15" s="197" t="inlineStr">
        <is>
          <t>Input some common local vegetables [to be used as examples in the food consumption score indicator].</t>
        </is>
      </c>
      <c r="H15" s="193" t="inlineStr">
        <is>
          <t>berenjenas, calabacín, coliflor</t>
        </is>
      </c>
      <c r="I15" s="194" t="inlineStr">
        <is>
          <t>eggplants, zucchini, cauliflower</t>
        </is>
      </c>
      <c r="J15" s="173" t="n"/>
    </row>
    <row r="16" ht="48.95" customHeight="1" thickBot="1">
      <c r="A16" s="166" t="n"/>
      <c r="B16" s="344" t="n"/>
      <c r="C16" s="213" t="inlineStr">
        <is>
          <t>local fruits</t>
        </is>
      </c>
      <c r="D16" s="340" t="inlineStr">
        <is>
          <t>Anona, mango, banano, papaya</t>
        </is>
      </c>
      <c r="E16" s="16" t="n"/>
      <c r="F16" s="253" t="inlineStr">
        <is>
          <t>Ingrese algunas frutas locales comunes [para usar como ejemplos en el indicador de puntaje de consumo de alimentos].</t>
        </is>
      </c>
      <c r="G16" s="214" t="inlineStr">
        <is>
          <t>Input some common local fruits [to be used as examples in the food consumption score indicator].</t>
        </is>
      </c>
      <c r="H16" s="215" t="inlineStr">
        <is>
          <t>manzanas, bananas, naranjas</t>
        </is>
      </c>
      <c r="I16" s="216" t="inlineStr">
        <is>
          <t>apples, bananas, oranges</t>
        </is>
      </c>
      <c r="J16" s="173" t="n"/>
    </row>
    <row r="17" ht="5.45" customFormat="1" customHeight="1" s="225" thickBot="1">
      <c r="A17" s="217" t="n"/>
      <c r="B17" s="218" t="n"/>
      <c r="C17" s="219" t="n"/>
      <c r="D17" s="220" t="n"/>
      <c r="E17" s="221" t="n"/>
      <c r="G17" s="222" t="n"/>
      <c r="H17" s="223" t="n"/>
      <c r="I17" s="224" t="n"/>
      <c r="J17" s="211" t="n"/>
    </row>
    <row r="18" ht="176.1" customHeight="1">
      <c r="A18" s="166" t="n"/>
      <c r="B18" s="345" t="inlineStr">
        <is>
          <t>FILL OUT FOR QUESTIONNAIRE DURATION ESTIMATION    .</t>
        </is>
      </c>
      <c r="C18" s="226" t="inlineStr">
        <is>
          <t>Expected percentage of respondents cultivating crops</t>
        </is>
      </c>
      <c r="D18" s="236" t="n">
        <v>60</v>
      </c>
      <c r="E18" s="270" t="n">
        <v>60</v>
      </c>
      <c r="F18" s="254" t="inlineStr">
        <is>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is>
      </c>
      <c r="G18" s="227"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145" t="n">
        <v>0.91</v>
      </c>
      <c r="I18" s="146" t="n">
        <v>0.91</v>
      </c>
      <c r="J18" s="173" t="n"/>
    </row>
    <row r="19" ht="176.1" customHeight="1">
      <c r="A19" s="166" t="n"/>
      <c r="B19" s="343" t="n"/>
      <c r="C19" s="228" t="inlineStr">
        <is>
          <t>Expected percentage of respondents raising livestock</t>
        </is>
      </c>
      <c r="D19" s="237" t="n">
        <v>0.2</v>
      </c>
      <c r="E19" s="271" t="n">
        <v>0.2</v>
      </c>
      <c r="F19" s="255" t="inlineStr">
        <is>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is>
      </c>
      <c r="G19" s="229"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147" t="n">
        <v>0.91</v>
      </c>
      <c r="I19" s="148" t="n">
        <v>0.91</v>
      </c>
      <c r="J19" s="173" t="n"/>
    </row>
    <row r="20" ht="141" customHeight="1" thickBot="1">
      <c r="A20" s="166" t="n"/>
      <c r="B20" s="344" t="n"/>
      <c r="C20" s="230" t="inlineStr">
        <is>
          <t>Expected percentage of respondents involved in fishery</t>
        </is>
      </c>
      <c r="D20" s="238" t="n">
        <v>0.05</v>
      </c>
      <c r="E20" s="272" t="n">
        <v>0.05</v>
      </c>
      <c r="F20" s="256" t="inlineStr">
        <is>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is>
      </c>
      <c r="G20" s="23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149" t="n">
        <v>0.05</v>
      </c>
      <c r="I20" s="150" t="n">
        <v>0.05</v>
      </c>
      <c r="J20" s="173" t="n"/>
    </row>
    <row r="21">
      <c r="B21" s="232" t="n"/>
      <c r="C21" s="232" t="n"/>
      <c r="D21" s="232" t="n"/>
      <c r="E21" s="232" t="n"/>
      <c r="F21" s="233" t="n"/>
      <c r="G21" s="233" t="n"/>
      <c r="H21" s="234" t="n"/>
      <c r="I21" s="232" t="n"/>
    </row>
  </sheetData>
  <sheetProtection selectLockedCells="0" selectUnlockedCells="0" algorithmName="SHA-512" sheet="1" objects="1" insertRows="1" insertHyperlinks="1" autoFilter="1" scenarios="1" formatColumns="1" deleteColumns="1" insertColumns="1" pivotTables="1" deleteRows="1" formatCells="1" saltValue="TkiTU+mYS6789IV2itC76Q==" formatRows="1" sort="1" spinCount="100000" hashValue="sj58Hz/jU948XcjYJO4YXW4PLXN0EcHKg3iAetLrn+7SkxFm1iUGv6Y0Pebmdvz2tfBpDmV1WYXH/Q20gPhR6w=="/>
  <mergeCells count="3">
    <mergeCell ref="B12:B16"/>
    <mergeCell ref="B18:B20"/>
    <mergeCell ref="B3:B11"/>
  </mergeCells>
  <dataValidations count="2">
    <dataValidation sqref="D7" showErrorMessage="1" showInputMessage="1" allowBlank="1" type="list">
      <formula1>"el año pasado, un año normal"</formula1>
    </dataValidation>
    <dataValidation sqref="D9" showErrorMessage="1" showInputMessage="1" allowBlank="1" type="list">
      <formula1>"todavía no está en temporada, preparación de tierra, plantación, crecimiento temprano, crecimiento, maduración, cosecha, terminado recientemente"</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2024-05-03T08:36:57Z</dcterms:modified>
  <cp:lastModifiedBy>Medina, Mathias (OER)</cp:lastModifiedBy>
</cp:coreProperties>
</file>