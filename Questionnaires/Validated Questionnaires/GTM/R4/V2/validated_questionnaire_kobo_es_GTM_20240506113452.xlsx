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4/V2/"/>
    </mc:Choice>
  </mc:AlternateContent>
  <xr:revisionPtr revIDLastSave="0" documentId="13_ncr:1_{AF15B124-A3CD-D546-8527-085EB6F1F53A}" xr6:coauthVersionLast="47" xr6:coauthVersionMax="47" xr10:uidLastSave="{00000000-0000-0000-0000-000000000000}"/>
  <bookViews>
    <workbookView xWindow="4180" yWindow="500" windowWidth="29420" windowHeight="19620" xr2:uid="{00000000-000D-0000-FFFF-FFFF00000000}"/>
  </bookViews>
  <sheets>
    <sheet name="survey" sheetId="1" r:id="rId1"/>
    <sheet name="choices" sheetId="2" r:id="rId2"/>
    <sheet name="settings" sheetId="3" r:id="rId3"/>
    <sheet name="Crop list" sheetId="4" state="hidden" r:id="rId4"/>
    <sheet name="Additional information" sheetId="5"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59" i="1" l="1"/>
  <c r="Z356" i="1"/>
  <c r="Y356" i="1"/>
  <c r="Z355" i="1"/>
  <c r="Y355" i="1"/>
  <c r="Z354" i="1"/>
  <c r="Y354" i="1"/>
  <c r="Z353" i="1"/>
  <c r="Y353" i="1"/>
  <c r="Z352" i="1"/>
  <c r="Y352" i="1"/>
  <c r="Z351" i="1"/>
  <c r="Y351" i="1"/>
  <c r="Z350" i="1"/>
  <c r="Y350" i="1"/>
  <c r="Z349" i="1"/>
  <c r="Y349" i="1"/>
  <c r="Z348" i="1"/>
  <c r="Y348" i="1"/>
  <c r="Z347" i="1"/>
  <c r="Y347" i="1"/>
  <c r="Z346" i="1"/>
  <c r="Y346" i="1"/>
  <c r="Z345" i="1"/>
  <c r="Y345" i="1"/>
  <c r="Z344" i="1"/>
  <c r="Y344" i="1"/>
  <c r="Z341" i="1"/>
  <c r="Y341"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X301" i="1"/>
  <c r="W301" i="1"/>
  <c r="X300" i="1"/>
  <c r="W300" i="1"/>
  <c r="X299" i="1"/>
  <c r="W299" i="1"/>
  <c r="X297" i="1"/>
  <c r="W297" i="1"/>
  <c r="X296" i="1"/>
  <c r="W296" i="1"/>
  <c r="X295" i="1"/>
  <c r="W295" i="1"/>
  <c r="X293" i="1"/>
  <c r="W293" i="1"/>
  <c r="X292" i="1"/>
  <c r="W292" i="1"/>
  <c r="X291" i="1"/>
  <c r="W291" i="1"/>
  <c r="X290" i="1"/>
  <c r="W290" i="1"/>
  <c r="X288" i="1"/>
  <c r="W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X264" i="1"/>
  <c r="Z263" i="1"/>
  <c r="Y263" i="1"/>
  <c r="X263" i="1"/>
  <c r="Z262" i="1"/>
  <c r="Y262" i="1"/>
  <c r="X262" i="1"/>
  <c r="Z261" i="1"/>
  <c r="Y261" i="1"/>
  <c r="X261" i="1"/>
  <c r="X260" i="1"/>
  <c r="Z260" i="1" s="1"/>
  <c r="Y259" i="1"/>
  <c r="X259" i="1"/>
  <c r="Z259" i="1" s="1"/>
  <c r="Z258" i="1"/>
  <c r="Y258" i="1"/>
  <c r="X258" i="1"/>
  <c r="Z257" i="1"/>
  <c r="Y257" i="1"/>
  <c r="X257" i="1"/>
  <c r="Z256" i="1"/>
  <c r="Y256" i="1"/>
  <c r="X256" i="1"/>
  <c r="Z255" i="1"/>
  <c r="Y255" i="1"/>
  <c r="X255" i="1"/>
  <c r="Z254" i="1"/>
  <c r="Y254" i="1"/>
  <c r="X254" i="1"/>
  <c r="Z253" i="1"/>
  <c r="Y253" i="1"/>
  <c r="Z252" i="1"/>
  <c r="Y252" i="1"/>
  <c r="Z251" i="1"/>
  <c r="Y251" i="1"/>
  <c r="X251" i="1"/>
  <c r="Z250" i="1"/>
  <c r="Y250" i="1"/>
  <c r="X250" i="1"/>
  <c r="Z249" i="1"/>
  <c r="Y249" i="1"/>
  <c r="X249" i="1"/>
  <c r="X248" i="1"/>
  <c r="Y248" i="1" s="1"/>
  <c r="Z247" i="1"/>
  <c r="Y247" i="1"/>
  <c r="X247" i="1"/>
  <c r="Z246" i="1"/>
  <c r="Y246" i="1"/>
  <c r="X246" i="1"/>
  <c r="X245" i="1"/>
  <c r="Z245" i="1" s="1"/>
  <c r="Z244" i="1"/>
  <c r="Y244" i="1"/>
  <c r="X244" i="1"/>
  <c r="Y243" i="1"/>
  <c r="X243" i="1"/>
  <c r="Z243" i="1" s="1"/>
  <c r="Z242" i="1"/>
  <c r="Y242" i="1"/>
  <c r="X242" i="1"/>
  <c r="Z241" i="1"/>
  <c r="Y241" i="1"/>
  <c r="X241" i="1"/>
  <c r="Z240" i="1"/>
  <c r="Y240" i="1"/>
  <c r="Z239" i="1"/>
  <c r="Y239" i="1"/>
  <c r="Z238" i="1"/>
  <c r="Y238" i="1"/>
  <c r="X238" i="1"/>
  <c r="Y237" i="1"/>
  <c r="X237" i="1"/>
  <c r="Z237" i="1" s="1"/>
  <c r="Z236" i="1"/>
  <c r="Y236" i="1"/>
  <c r="X236" i="1"/>
  <c r="Z235" i="1"/>
  <c r="Y235" i="1"/>
  <c r="X235" i="1"/>
  <c r="X234" i="1"/>
  <c r="Z234" i="1" s="1"/>
  <c r="Z233" i="1"/>
  <c r="Y233" i="1"/>
  <c r="X233" i="1"/>
  <c r="Z232" i="1"/>
  <c r="Y232" i="1"/>
  <c r="X232" i="1"/>
  <c r="Y231" i="1"/>
  <c r="X231" i="1"/>
  <c r="Z231" i="1" s="1"/>
  <c r="Z230" i="1"/>
  <c r="Y230" i="1"/>
  <c r="X230" i="1"/>
  <c r="Z229" i="1"/>
  <c r="Y229" i="1"/>
  <c r="Z228" i="1"/>
  <c r="Y228" i="1"/>
  <c r="Z222" i="1"/>
  <c r="Y222" i="1"/>
  <c r="X222" i="1"/>
  <c r="Z221" i="1"/>
  <c r="X221" i="1"/>
  <c r="Y221" i="1" s="1"/>
  <c r="Z219" i="1"/>
  <c r="Y219" i="1"/>
  <c r="X219" i="1"/>
  <c r="Z218" i="1"/>
  <c r="X218" i="1"/>
  <c r="Y218" i="1" s="1"/>
  <c r="Y217" i="1"/>
  <c r="X217" i="1"/>
  <c r="Z217" i="1" s="1"/>
  <c r="Z216" i="1"/>
  <c r="Y216" i="1"/>
  <c r="X216" i="1"/>
  <c r="Z215" i="1"/>
  <c r="Y215" i="1"/>
  <c r="X215" i="1"/>
  <c r="Z214" i="1"/>
  <c r="Y214" i="1"/>
  <c r="X214" i="1"/>
  <c r="Z213" i="1"/>
  <c r="Y213" i="1"/>
  <c r="X213" i="1"/>
  <c r="Z212" i="1"/>
  <c r="Y212" i="1"/>
  <c r="X212" i="1"/>
  <c r="Z211" i="1"/>
  <c r="Y211" i="1"/>
  <c r="X211" i="1"/>
  <c r="Y210" i="1"/>
  <c r="X210" i="1"/>
  <c r="Z210" i="1" s="1"/>
  <c r="Y209" i="1"/>
  <c r="X209" i="1"/>
  <c r="Z209" i="1" s="1"/>
  <c r="Z208" i="1"/>
  <c r="Y208" i="1"/>
  <c r="X208" i="1"/>
  <c r="Z207" i="1"/>
  <c r="Y207" i="1"/>
  <c r="X207" i="1"/>
  <c r="X206" i="1"/>
  <c r="Z206" i="1" s="1"/>
  <c r="Z205" i="1"/>
  <c r="Y205" i="1"/>
  <c r="X205" i="1"/>
  <c r="X204" i="1"/>
  <c r="Z204" i="1" s="1"/>
  <c r="Z203" i="1"/>
  <c r="Y203" i="1"/>
  <c r="Z202" i="1"/>
  <c r="Y202" i="1"/>
  <c r="Z201" i="1"/>
  <c r="Y201" i="1"/>
  <c r="X201" i="1"/>
  <c r="X200" i="1"/>
  <c r="Z200" i="1" s="1"/>
  <c r="Z199" i="1"/>
  <c r="Y199" i="1"/>
  <c r="X199" i="1"/>
  <c r="X198" i="1"/>
  <c r="Z198" i="1" s="1"/>
  <c r="Y197" i="1"/>
  <c r="X197" i="1"/>
  <c r="Z197" i="1" s="1"/>
  <c r="X196" i="1"/>
  <c r="X195" i="1"/>
  <c r="X194" i="1"/>
  <c r="X193" i="1"/>
  <c r="Y193" i="1" s="1"/>
  <c r="X192" i="1"/>
  <c r="Y192" i="1" s="1"/>
  <c r="Z191" i="1"/>
  <c r="Y191" i="1"/>
  <c r="Z190" i="1"/>
  <c r="Y190" i="1"/>
  <c r="Z182" i="1"/>
  <c r="Y182" i="1"/>
  <c r="X182" i="1"/>
  <c r="Z181" i="1"/>
  <c r="Y181" i="1"/>
  <c r="X181" i="1"/>
  <c r="Z174" i="1"/>
  <c r="Y174" i="1"/>
  <c r="X174" i="1"/>
  <c r="Z171" i="1"/>
  <c r="Y171" i="1"/>
  <c r="X171" i="1"/>
  <c r="Z170" i="1"/>
  <c r="X170" i="1"/>
  <c r="Y170" i="1" s="1"/>
  <c r="X169" i="1"/>
  <c r="Z169" i="1" s="1"/>
  <c r="Z168" i="1"/>
  <c r="Y168" i="1"/>
  <c r="X168" i="1"/>
  <c r="Z167" i="1"/>
  <c r="X167" i="1"/>
  <c r="Y167" i="1" s="1"/>
  <c r="Z165" i="1"/>
  <c r="Y165" i="1"/>
  <c r="X165" i="1"/>
  <c r="Z164" i="1"/>
  <c r="Y164" i="1"/>
  <c r="X164" i="1"/>
  <c r="Z163" i="1"/>
  <c r="Y163" i="1"/>
  <c r="X163" i="1"/>
  <c r="Z162" i="1"/>
  <c r="X162" i="1"/>
  <c r="Y162" i="1" s="1"/>
  <c r="Z160" i="1"/>
  <c r="Y160" i="1"/>
  <c r="X160" i="1"/>
  <c r="Z159" i="1"/>
  <c r="Y159" i="1"/>
  <c r="X159" i="1"/>
  <c r="X158" i="1"/>
  <c r="Z158" i="1" s="1"/>
  <c r="Y145" i="1"/>
  <c r="X145" i="1"/>
  <c r="W145" i="1"/>
  <c r="Z144" i="1"/>
  <c r="Y144" i="1"/>
  <c r="X144" i="1"/>
  <c r="Z143" i="1"/>
  <c r="Y143" i="1"/>
  <c r="X143" i="1"/>
  <c r="Z142" i="1"/>
  <c r="Y142" i="1"/>
  <c r="X142" i="1"/>
  <c r="X141" i="1"/>
  <c r="Z141" i="1" s="1"/>
  <c r="Z139" i="1"/>
  <c r="Y139" i="1"/>
  <c r="X139" i="1"/>
  <c r="X138" i="1"/>
  <c r="Z138" i="1" s="1"/>
  <c r="Y137" i="1"/>
  <c r="X137" i="1"/>
  <c r="Z137" i="1" s="1"/>
  <c r="Z134" i="1"/>
  <c r="Y134" i="1"/>
  <c r="X134" i="1"/>
  <c r="Y133" i="1"/>
  <c r="X133" i="1"/>
  <c r="Z133" i="1" s="1"/>
  <c r="Z132" i="1"/>
  <c r="Y132" i="1"/>
  <c r="Z131" i="1"/>
  <c r="Y131" i="1"/>
  <c r="Z120" i="1"/>
  <c r="Y120" i="1"/>
  <c r="X120" i="1"/>
  <c r="Z119" i="1"/>
  <c r="Y119" i="1"/>
  <c r="Z118" i="1"/>
  <c r="Y118" i="1"/>
  <c r="X118" i="1"/>
  <c r="Z117" i="1"/>
  <c r="Y117" i="1"/>
  <c r="X117" i="1"/>
  <c r="X115" i="1"/>
  <c r="Y115" i="1" s="1"/>
  <c r="Z108" i="1"/>
  <c r="Y108" i="1"/>
  <c r="X108" i="1"/>
  <c r="Y107" i="1"/>
  <c r="X107" i="1"/>
  <c r="Z107" i="1" s="1"/>
  <c r="Z106" i="1"/>
  <c r="Y106" i="1"/>
  <c r="X106" i="1"/>
  <c r="Z105" i="1"/>
  <c r="Y105" i="1"/>
  <c r="X105" i="1"/>
  <c r="X104" i="1"/>
  <c r="Z104" i="1" s="1"/>
  <c r="X103" i="1"/>
  <c r="Z103" i="1" s="1"/>
  <c r="X102" i="1"/>
  <c r="Z102" i="1" s="1"/>
  <c r="Z101" i="1"/>
  <c r="Y101" i="1"/>
  <c r="X101" i="1"/>
  <c r="Z100" i="1"/>
  <c r="X100" i="1"/>
  <c r="Y100" i="1" s="1"/>
  <c r="Z99" i="1"/>
  <c r="Y99" i="1"/>
  <c r="X99" i="1"/>
  <c r="Y98" i="1"/>
  <c r="X98" i="1"/>
  <c r="Z98" i="1" s="1"/>
  <c r="Z97" i="1"/>
  <c r="Y97" i="1"/>
  <c r="X97" i="1"/>
  <c r="Z96" i="1"/>
  <c r="Y96" i="1"/>
  <c r="X96" i="1"/>
  <c r="Z95" i="1"/>
  <c r="Y95" i="1"/>
  <c r="X95" i="1"/>
  <c r="Z94" i="1"/>
  <c r="X94" i="1"/>
  <c r="Y94" i="1" s="1"/>
  <c r="X93" i="1"/>
  <c r="Z93" i="1" s="1"/>
  <c r="Z92" i="1"/>
  <c r="Y92" i="1"/>
  <c r="X92" i="1"/>
  <c r="Z91" i="1"/>
  <c r="Y91" i="1"/>
  <c r="X91" i="1"/>
  <c r="Z90" i="1"/>
  <c r="Y90" i="1"/>
  <c r="X90" i="1"/>
  <c r="Z89" i="1"/>
  <c r="Y89" i="1"/>
  <c r="X89" i="1"/>
  <c r="Z88" i="1"/>
  <c r="Y88" i="1"/>
  <c r="X88" i="1"/>
  <c r="Z84" i="1"/>
  <c r="X84" i="1"/>
  <c r="Y84" i="1" s="1"/>
  <c r="Z83" i="1"/>
  <c r="X83" i="1"/>
  <c r="Y83" i="1" s="1"/>
  <c r="Z82" i="1"/>
  <c r="Y82" i="1"/>
  <c r="X82" i="1"/>
  <c r="Z81" i="1"/>
  <c r="X81" i="1"/>
  <c r="Y81" i="1" s="1"/>
  <c r="Y80" i="1"/>
  <c r="X80" i="1"/>
  <c r="Z80" i="1" s="1"/>
  <c r="Y79" i="1"/>
  <c r="X79" i="1"/>
  <c r="Z79" i="1" s="1"/>
  <c r="Z78" i="1"/>
  <c r="Y78" i="1"/>
  <c r="X78" i="1"/>
  <c r="X77" i="1"/>
  <c r="Y77" i="1" s="1"/>
  <c r="Z76" i="1"/>
  <c r="Y76" i="1"/>
  <c r="X76" i="1"/>
  <c r="Z75" i="1"/>
  <c r="Y75" i="1"/>
  <c r="X75" i="1"/>
  <c r="Z74" i="1"/>
  <c r="Y74" i="1"/>
  <c r="X74" i="1"/>
  <c r="Z73" i="1"/>
  <c r="Y73" i="1"/>
  <c r="X73" i="1"/>
  <c r="Z72" i="1"/>
  <c r="Y72" i="1"/>
  <c r="X72" i="1"/>
  <c r="Z62" i="1"/>
  <c r="Y62" i="1"/>
  <c r="X62" i="1"/>
  <c r="Z61" i="1"/>
  <c r="Y61" i="1"/>
  <c r="X61" i="1"/>
  <c r="X60" i="1"/>
  <c r="Z60" i="1" s="1"/>
  <c r="X59" i="1"/>
  <c r="Z59" i="1" s="1"/>
  <c r="X58" i="1"/>
  <c r="Z58" i="1" s="1"/>
  <c r="Z57" i="1"/>
  <c r="Y57" i="1"/>
  <c r="X57" i="1"/>
  <c r="Z56" i="1"/>
  <c r="X56" i="1"/>
  <c r="Y56" i="1" s="1"/>
  <c r="Z55" i="1"/>
  <c r="Y55" i="1"/>
  <c r="X55" i="1"/>
  <c r="Y54" i="1"/>
  <c r="X54" i="1"/>
  <c r="Z54" i="1" s="1"/>
  <c r="Z52" i="1"/>
  <c r="Y52" i="1"/>
  <c r="X52" i="1"/>
  <c r="Z51" i="1"/>
  <c r="Y51" i="1"/>
  <c r="Z50" i="1"/>
  <c r="Y50" i="1"/>
  <c r="Z49" i="1"/>
  <c r="Y49" i="1"/>
  <c r="X49" i="1"/>
  <c r="Y47" i="1"/>
  <c r="X47" i="1"/>
  <c r="Z47" i="1" s="1"/>
  <c r="Z46" i="1"/>
  <c r="Y46" i="1"/>
  <c r="X46" i="1"/>
  <c r="Z44" i="1"/>
  <c r="Y44" i="1"/>
  <c r="X44" i="1"/>
  <c r="X43" i="1"/>
  <c r="Y43" i="1" s="1"/>
  <c r="Z42" i="1"/>
  <c r="Y42" i="1"/>
  <c r="X42" i="1"/>
  <c r="Z41" i="1"/>
  <c r="X41" i="1"/>
  <c r="Y41" i="1" s="1"/>
  <c r="Z40" i="1"/>
  <c r="Y40" i="1"/>
  <c r="X40" i="1"/>
  <c r="Z39" i="1"/>
  <c r="Y39" i="1"/>
  <c r="X39" i="1"/>
  <c r="Z38" i="1"/>
  <c r="Y38" i="1"/>
  <c r="X38" i="1"/>
  <c r="Z37" i="1"/>
  <c r="Y37" i="1"/>
  <c r="X37" i="1"/>
  <c r="Z36" i="1"/>
  <c r="Y36" i="1"/>
  <c r="X36" i="1"/>
  <c r="Z35" i="1"/>
  <c r="X35" i="1"/>
  <c r="Y35" i="1" s="1"/>
  <c r="Z34" i="1"/>
  <c r="X34" i="1"/>
  <c r="Y34" i="1" s="1"/>
  <c r="Z33" i="1"/>
  <c r="X33" i="1"/>
  <c r="Y33" i="1" s="1"/>
  <c r="Z32" i="1"/>
  <c r="Y32" i="1"/>
  <c r="X32" i="1"/>
  <c r="Z31" i="1"/>
  <c r="X31" i="1"/>
  <c r="Y31" i="1" s="1"/>
  <c r="Z30" i="1"/>
  <c r="Y30" i="1"/>
  <c r="X30" i="1"/>
  <c r="Y29" i="1"/>
  <c r="X29" i="1"/>
  <c r="Z29" i="1" s="1"/>
  <c r="Z28" i="1"/>
  <c r="Y28" i="1"/>
  <c r="X28" i="1"/>
  <c r="X27" i="1"/>
  <c r="Y27" i="1" s="1"/>
  <c r="Z26" i="1"/>
  <c r="Y26" i="1"/>
  <c r="X26" i="1"/>
  <c r="Z25" i="1"/>
  <c r="Y25" i="1"/>
  <c r="Z24" i="1"/>
  <c r="Y24" i="1"/>
  <c r="Z23" i="1"/>
  <c r="Y23" i="1"/>
  <c r="Z22" i="1"/>
  <c r="Y22" i="1"/>
  <c r="Z21" i="1"/>
  <c r="Y21" i="1"/>
  <c r="AA20" i="1"/>
  <c r="Z20" i="1"/>
  <c r="AA19" i="1"/>
  <c r="Z19" i="1"/>
  <c r="Z18" i="1"/>
  <c r="X18" i="1"/>
  <c r="Y18" i="1" s="1"/>
  <c r="Z17" i="1"/>
  <c r="Y17" i="1"/>
  <c r="AA16" i="1"/>
  <c r="Z16" i="1"/>
  <c r="AA15" i="1"/>
  <c r="Z15" i="1"/>
  <c r="AA14" i="1"/>
  <c r="Z14" i="1"/>
  <c r="AA13" i="1"/>
  <c r="Z13" i="1"/>
  <c r="Z10" i="1"/>
  <c r="Y10" i="1"/>
  <c r="Z9" i="1"/>
  <c r="Y9" i="1"/>
  <c r="Z5" i="1"/>
  <c r="Y5" i="1"/>
  <c r="Z4" i="1"/>
  <c r="Y4" i="1"/>
  <c r="Z3" i="1"/>
  <c r="Y3" i="1"/>
  <c r="Z2" i="1"/>
  <c r="Y2" i="1"/>
  <c r="Z77" i="1" l="1"/>
  <c r="Z248" i="1"/>
  <c r="Z27" i="1"/>
  <c r="Z366" i="1" s="1"/>
  <c r="Z43" i="1"/>
  <c r="Y58" i="1"/>
  <c r="Y366" i="1" s="1"/>
  <c r="Y102" i="1"/>
  <c r="Y138" i="1"/>
  <c r="Y169" i="1"/>
  <c r="Y198" i="1"/>
  <c r="Y204" i="1"/>
  <c r="Y260" i="1"/>
  <c r="Y59" i="1"/>
  <c r="Y103" i="1"/>
  <c r="Y158" i="1"/>
  <c r="Y245" i="1"/>
  <c r="Y93" i="1"/>
  <c r="Y60" i="1"/>
  <c r="Y104" i="1"/>
  <c r="Z115" i="1"/>
  <c r="Y141" i="1"/>
  <c r="Y200" i="1"/>
  <c r="Y206" i="1"/>
  <c r="Y234" i="1"/>
</calcChain>
</file>

<file path=xl/sharedStrings.xml><?xml version="1.0" encoding="utf-8"?>
<sst xmlns="http://schemas.openxmlformats.org/spreadsheetml/2006/main" count="7343" uniqueCount="3116">
  <si>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</si>
  <si>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</si>
  <si>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</si>
  <si>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</si>
  <si>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</si>
  <si>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</si>
  <si>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</si>
  <si>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</si>
  <si>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</si>
  <si>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</si>
  <si>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</si>
  <si>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</si>
  <si>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</si>
  <si>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</si>
  <si>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</si>
  <si>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</si>
  <si>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</si>
  <si>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</si>
  <si>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</si>
  <si>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</si>
  <si>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</si>
  <si>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</si>
  <si>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</si>
  <si>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</si>
  <si>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</si>
  <si>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</si>
  <si>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</si>
  <si>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</si>
  <si>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</si>
  <si>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</si>
  <si>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</si>
  <si>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</si>
  <si>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</si>
  <si>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</si>
  <si>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</si>
  <si>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Nombre del encuestador</t>
  </si>
  <si>
    <t>true</t>
  </si>
  <si>
    <t>yes</t>
  </si>
  <si>
    <t>enumerator_</t>
  </si>
  <si>
    <t>jr:choice-name(${enumerator},'${enumerator}')</t>
  </si>
  <si>
    <t>Sample</t>
  </si>
  <si>
    <t>concat('F2F')</t>
  </si>
  <si>
    <t>text</t>
  </si>
  <si>
    <t>phone_number</t>
  </si>
  <si>
    <t>Input the phone number that you are contacting:</t>
  </si>
  <si>
    <t>Inserte el número de teléfono contactado</t>
  </si>
  <si>
    <t>use the format ********</t>
  </si>
  <si>
    <t>utilise el formato ********</t>
  </si>
  <si>
    <t>numbers</t>
  </si>
  <si>
    <t>regex(.,’^[0-9]{8}$’)</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</si>
  <si>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</si>
  <si>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</si>
  <si>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</si>
  <si>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</si>
  <si>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</si>
  <si>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</si>
  <si>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</si>
  <si>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</si>
  <si>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</si>
  <si>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</si>
  <si>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</si>
  <si>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</si>
  <si>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</si>
  <si>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</si>
  <si>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</si>
  <si>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</si>
  <si>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</si>
  <si>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</si>
  <si>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</si>
  <si>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select_one yesno</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</si>
  <si>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</si>
  <si>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</si>
  <si>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</si>
  <si>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</si>
  <si>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</si>
  <si>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</si>
  <si>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</si>
  <si>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</si>
  <si>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</si>
  <si>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</si>
  <si>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</si>
  <si>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</si>
  <si>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</si>
  <si>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</si>
  <si>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</si>
  <si>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</si>
  <si>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</si>
  <si>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</si>
  <si>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</si>
  <si>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end_group</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</si>
  <si>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</si>
  <si>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</si>
  <si>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</si>
  <si>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</si>
  <si>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</si>
  <si>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</si>
  <si>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</si>
  <si>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</si>
  <si>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</si>
  <si>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</si>
  <si>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</si>
  <si>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</si>
  <si>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</si>
  <si>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</si>
  <si>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</si>
  <si>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</si>
  <si>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</si>
  <si>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</si>
  <si>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</si>
  <si>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</si>
  <si>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</si>
  <si>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</si>
  <si>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</si>
  <si>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</si>
  <si>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</si>
  <si>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</si>
  <si>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</si>
  <si>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</si>
  <si>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</si>
  <si>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</si>
  <si>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</si>
  <si>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</si>
  <si>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</si>
  <si>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</si>
  <si>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</si>
  <si>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</si>
  <si>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</si>
  <si>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</si>
  <si>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</si>
  <si>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</si>
  <si>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</si>
  <si>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</si>
  <si>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</si>
  <si>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</si>
  <si>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</si>
  <si>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</si>
  <si>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</si>
  <si>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</si>
  <si>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</si>
  <si>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</si>
  <si>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</si>
  <si>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</si>
  <si>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</si>
  <si>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</si>
  <si>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</si>
  <si>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</si>
  <si>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</si>
  <si>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</si>
  <si>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</si>
  <si>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</si>
  <si>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my_filter_admin=${adm1_pcode}</t>
  </si>
  <si>
    <t>adm2_name</t>
  </si>
  <si>
    <t>jr:choice-name(${adm2_pcode},'${adm2_pcode}')</t>
  </si>
  <si>
    <t>select_one ea</t>
  </si>
  <si>
    <t>cluster</t>
  </si>
  <si>
    <t>[DO NOT READ TO RESPONDENT] Select the enumeration area in which you are conducting this interview.</t>
  </si>
  <si>
    <t>[NO LEA AL ENCUESTADO] Seleccione el área de enumeración en la que está realizando esta entrevista.</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</si>
  <si>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</si>
  <si>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</si>
  <si>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</si>
  <si>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</si>
  <si>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</si>
  <si>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</si>
  <si>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</si>
  <si>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select_multiple ethnic</t>
  </si>
  <si>
    <t>o_hh_ethnic</t>
  </si>
  <si>
    <t>¿Usted o algún miembro de su hogar se autorreconoce bajo alguno de los siguientes grupos étnicos?</t>
  </si>
  <si>
    <t>generalInfo</t>
  </si>
  <si>
    <t>GENERAL INFORMATION</t>
  </si>
  <si>
    <t>INFORMACIÓN GENERAL</t>
  </si>
  <si>
    <t>${resp_agree} = '1' and ${hh_agricactivity} != '5' and ${hh_agricactivity} != '6'</t>
  </si>
  <si>
    <t>select_one yes_no</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</si>
  <si>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</si>
  <si>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</si>
  <si>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</si>
  <si>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</si>
  <si>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</si>
  <si>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</si>
  <si>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</si>
  <si>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</si>
  <si>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</si>
  <si>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</si>
  <si>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</si>
  <si>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</si>
  <si>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</si>
  <si>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</si>
  <si>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</si>
  <si>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</si>
  <si>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</si>
  <si>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</si>
  <si>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</si>
  <si>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</si>
  <si>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</si>
  <si>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</si>
  <si>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</si>
  <si>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</si>
  <si>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</si>
  <si>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</si>
  <si>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</si>
  <si>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</si>
  <si>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</si>
  <si>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</si>
  <si>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</si>
  <si>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</si>
  <si>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</si>
  <si>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</si>
  <si>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del hogar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</si>
  <si>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</si>
  <si>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</si>
  <si>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</si>
  <si>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</si>
  <si>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</si>
  <si>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</si>
  <si>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select_one o_migration_genero</t>
  </si>
  <si>
    <t>o_migration_genero</t>
  </si>
  <si>
    <t>¿Cuál es el género de las personas que emigraron?</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</si>
  <si>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</si>
  <si>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</si>
  <si>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</si>
  <si>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</si>
  <si>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</si>
  <si>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</si>
  <si>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</si>
  <si>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</si>
  <si>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</si>
  <si>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</si>
  <si>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</si>
  <si>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</si>
  <si>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o_hh_U5</t>
  </si>
  <si>
    <t>How many people are part of the household?</t>
  </si>
  <si>
    <t>¿Cuántos niños menores de 5 años viven en su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</si>
  <si>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</si>
  <si>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</si>
  <si>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</si>
  <si>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</si>
  <si>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</si>
  <si>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</si>
  <si>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</si>
  <si>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</si>
  <si>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</si>
  <si>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</si>
  <si>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</si>
  <si>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</si>
  <si>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</si>
  <si>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</si>
  <si>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</si>
  <si>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</si>
  <si>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¿Los cultivos vendidos son también producidos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</si>
  <si>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</si>
  <si>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</si>
  <si>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</si>
  <si>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</si>
  <si>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</si>
  <si>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</si>
  <si>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</si>
  <si>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</si>
  <si>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</si>
  <si>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</si>
  <si>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</si>
  <si>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</si>
  <si>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</si>
  <si>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 IT IS THE CUMULATED AMOUNT FOR THE LAST 3 MONTHS]</t>
  </si>
  <si>
    <t>[ENCUESTADOR/A: COMPRUEBE QUE LA RESPUESTA ESTÉ REGISTRADA EN LA MONEDA CORRECTA. ESCRIBA 888 PARA "NO SABE" Y 999 PARA "NO RESPONDE". SE TRATA DEL MONTO TOTAL ACUMULADO EN LOS 3 ÚLTIMOS MESES]</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</si>
  <si>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</si>
  <si>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</si>
  <si>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</si>
  <si>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</si>
  <si>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</si>
  <si>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</si>
  <si>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</si>
  <si>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</si>
  <si>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</si>
  <si>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</si>
  <si>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</si>
  <si>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</si>
  <si>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</si>
  <si>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</si>
  <si>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</si>
  <si>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</si>
  <si>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</si>
  <si>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</si>
  <si>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</si>
  <si>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a normal year?</t>
  </si>
  <si>
    <t>En los últimos 3 meses, ¿han cambiado los ingresos del hogar provenientes de la ${incomemain} comparado con el mismo periodo en un año normal?</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</si>
  <si>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</si>
  <si>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</si>
  <si>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</si>
  <si>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</si>
  <si>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</si>
  <si>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</si>
  <si>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</si>
  <si>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</si>
  <si>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</si>
  <si>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</si>
  <si>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¿Las cosechas de los cultivos vendidos son también producidas por usted o algún miembro de su hogar? </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</si>
  <si>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</si>
  <si>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</si>
  <si>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</si>
  <si>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</si>
  <si>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</si>
  <si>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</si>
  <si>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income_sec_comp</t>
  </si>
  <si>
    <t>Has your household's income from ${incomesec} changed in the last 3 months compared to the same period of a normal year?</t>
  </si>
  <si>
    <t>En los últimos 3 meses, ¿han cambiado los ingresos del hogar provenientes de la ${incomesec} comparado con el mismo periodo en un año normal?</t>
  </si>
  <si>
    <t xml:space="preserve">${income_main} != '19' and ${income_main} != '20' and ${income_sec} != '19' and ${income_sec} != '20' and ${income_sec} != '21' </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</si>
  <si>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</si>
  <si>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</si>
  <si>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</si>
  <si>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</si>
  <si>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</si>
  <si>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</si>
  <si>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</si>
  <si>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</si>
  <si>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</si>
  <si>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</si>
  <si>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</si>
  <si>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</si>
  <si>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</si>
  <si>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</si>
  <si>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</si>
  <si>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</si>
  <si>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En los últimos 3 meses, ¿han cambiado los ingresos del hogar provenientes de la ${incomethird} comparado con el mismo periodo en un año normal?</t>
  </si>
  <si>
    <t xml:space="preserve">${income_main} != '19' and ${income_main} != '20' and ${income_sec} != '19' and ${income_sec} != '20' and ${income_sec} != '21' and ${income_third} != '19' and ${income_third} != '20' and ${income_third} != '21' </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</si>
  <si>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</si>
  <si>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</si>
  <si>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select_multiple o_jornal_where</t>
  </si>
  <si>
    <t>o_jornal_where</t>
  </si>
  <si>
    <t>¿En dónde han trabajado las personas de su hogar que han trabajado como jornalero o trabajador agrícola?</t>
  </si>
  <si>
    <t>${o_jornal} = '1' or  ${income_main} = '9' or
${income_sec} = '9' or
${income_third} = '9'</t>
  </si>
  <si>
    <t>select_multiple o_jornal_crop</t>
  </si>
  <si>
    <t>o_jornal_crop</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</si>
  <si>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</si>
  <si>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</si>
  <si>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</si>
  <si>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</si>
  <si>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o_jornal_duration</t>
  </si>
  <si>
    <t>¿Cuánto tiempo (en meses) realiza labores como jornalero agrícola durante el año? (Si hay varias duraciones ingresar la duración de la actividad mas importante en términos de cantidad de dias trabajados)</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</si>
  <si>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</si>
  <si>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</si>
  <si>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</si>
  <si>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</si>
  <si>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</si>
  <si>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</si>
  <si>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</si>
  <si>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</si>
  <si>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</si>
  <si>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</si>
  <si>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</si>
  <si>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</si>
  <si>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</si>
  <si>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</si>
  <si>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</si>
  <si>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</si>
  <si>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</si>
  <si>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</si>
  <si>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</si>
  <si>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</si>
  <si>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${o_reserves_corn} = '1'</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</si>
  <si>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</si>
  <si>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</si>
  <si>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</si>
  <si>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</si>
  <si>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</si>
  <si>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 &lt; 13</t>
  </si>
  <si>
    <t>o_reserves_bean</t>
  </si>
  <si>
    <t>¿Tiene reservas de frijol para consumo en el hogar?</t>
  </si>
  <si>
    <t>o_reserves_bean_qty</t>
  </si>
  <si>
    <t>¿Cuántos quintales de frijol de reserva tiene?</t>
  </si>
  <si>
    <t>${o_reserves_bean} = '1'</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</si>
  <si>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</si>
  <si>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</si>
  <si>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</si>
  <si>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</si>
  <si>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</si>
  <si>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Quetzal) del quintal de maíz en el mercado?</t>
  </si>
  <si>
    <t>. &lt; 999</t>
  </si>
  <si>
    <t>o_beans_price_market</t>
  </si>
  <si>
    <t>¿Cuál es el precio actual (en Quetzal) del quintal de frijol en el mercado?</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</si>
  <si>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</si>
  <si>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</si>
  <si>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</si>
  <si>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</si>
  <si>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</si>
  <si>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season or the current season.</t>
  </si>
  <si>
    <t>Ahora me gustaría preguntarle sobre la producción de cultivos. Estas preguntas aplican para usted o cualquier miembro de su hogar que esté involucrado/a en la producción de cultivos. Todas las preguntas se refieren a lo producido durante La última temporada o la temporada en curso.</t>
  </si>
  <si>
    <t>select_one o_crp_season</t>
  </si>
  <si>
    <t>o_crp_season</t>
  </si>
  <si>
    <t xml:space="preserve">¿Cuál es la temporada en curso o la última temporada agrícola en la que participó? </t>
  </si>
  <si>
    <t>select_one o_crp_season_harvested</t>
  </si>
  <si>
    <t>o_crp_season_harvested</t>
  </si>
  <si>
    <t>¿Ya cosechó para la última temporada o la temporada en curso?</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</si>
  <si>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</si>
  <si>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</si>
  <si>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</si>
  <si>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</si>
  <si>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</si>
  <si>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</si>
  <si>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</si>
  <si>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</si>
  <si>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</si>
  <si>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</si>
  <si>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</si>
  <si>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</si>
  <si>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</si>
  <si>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o_landtenure</t>
  </si>
  <si>
    <t>¿El terreno que cultivó o cultiva es propio?</t>
  </si>
  <si>
    <t>${crp_landsize_num}&gt;0</t>
  </si>
  <si>
    <t>select_one crop</t>
  </si>
  <si>
    <t>crp_main</t>
  </si>
  <si>
    <t>What is the main crop that your household grows for food or income generation in The last season or the current season, if any?</t>
  </si>
  <si>
    <t>De haber alguno, ¿cuál es el principal cultivo que su hogar produce para la alimentación o la generación de ingresos en La última temporada o la temporada en curso?</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</si>
  <si>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</si>
  <si>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</si>
  <si>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</si>
  <si>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</si>
  <si>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</si>
  <si>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</si>
  <si>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season or the current season?</t>
  </si>
  <si>
    <t>¿Por qué no produjo ningún cultivo en La última temporada o la temporada en curso</t>
  </si>
  <si>
    <t>${crp_main}='777'</t>
  </si>
  <si>
    <t>select_one o_production_use</t>
  </si>
  <si>
    <t>o_production_use</t>
  </si>
  <si>
    <t>Your crop production is intended for consumption, sale or both?</t>
  </si>
  <si>
    <t>¿Su producción de cultivos es destinada al consumo, venta o ambos?</t>
  </si>
  <si>
    <t>[INSTRUCTIONS: SINGLE RESPONSE.]</t>
  </si>
  <si>
    <t>[ENCUESTADOR/A: RESPUESTA ÚNICA.]</t>
  </si>
  <si>
    <t>o_crp_grain_frequency</t>
  </si>
  <si>
    <t>¿Cuántas siembras de &lt;span style="color:red"&gt;${crpmain}&lt;/span&gt; realiza al año habitualmente?</t>
  </si>
  <si>
    <t>${crp_main} = 1.5 or ${crp_main} = 1.4 or ${crp_main} = 1.5 or ${crp_main} = 3.1</t>
  </si>
  <si>
    <t>select_one meses</t>
  </si>
  <si>
    <t>o_crp_grain_datemonth</t>
  </si>
  <si>
    <t>¿En que mes sembró el &lt;span style="color:red"&gt;${crpmain}&lt;/span&gt;  para la última temporada en que sembró &lt;span style="color:red"&gt;${crpmain}&lt;/span&gt; ?</t>
  </si>
  <si>
    <t>select_one o_crp_grain_datemonth2</t>
  </si>
  <si>
    <t>o_crp_grain_datemonth2</t>
  </si>
  <si>
    <t>¿En que parte del mes sembró el &lt;span style="color:red"&gt;${crpmain}&lt;/span&gt;  para la última temporada en que sembró &lt;span style="color:red"&gt;${crpmain}&lt;/span&gt; ?</t>
  </si>
  <si>
    <t>o_crp_grain_datechange</t>
  </si>
  <si>
    <t xml:space="preserve">¿Ha cambiado la fecha en que siembra habitualmente el &lt;span style="color:red"&gt;${crpmain}&lt;/span&gt; en esa temporada? </t>
  </si>
  <si>
    <t>select_one o_crp_grain_datechange_why</t>
  </si>
  <si>
    <t>o_crp_grain_datechange_why</t>
  </si>
  <si>
    <t>¿Por qué cambió la fecha de siembra habitual del &lt;span style="color:red"&gt;${crpmain}&lt;/span&gt;  en época de primera de este año?</t>
  </si>
  <si>
    <t>o_crp_grain_harvest_month</t>
  </si>
  <si>
    <t>¿En qué mes cosechó el &lt;span style="color:red"&gt;${crpmain}&lt;/span&gt;  en la última temporada?</t>
  </si>
  <si>
    <t>select_one o_crp_grain_harvest_month2</t>
  </si>
  <si>
    <t>o_crp_grain_harvest_month2</t>
  </si>
  <si>
    <t>¿En qué parte del mes cosechó el &lt;span style="color:red"&gt;${crpmain}&lt;/span&gt;en la última temporada?</t>
  </si>
  <si>
    <t>select_one o_crp_grain_next</t>
  </si>
  <si>
    <t>o_crp_grain_next</t>
  </si>
  <si>
    <t>¿En que temporada va a volver a sembrar &lt;span style="color:red"&gt;${crpmain}&lt;/span&gt; ?</t>
  </si>
  <si>
    <t>o_crp_destinocosecha_cons</t>
  </si>
  <si>
    <t xml:space="preserve">¿Del total de la producción de ${crpmain}, cuánto destinó para consumo en el hogar en porcentaje (%)? </t>
  </si>
  <si>
    <t>.&gt;= 0 and .&lt;=100</t>
  </si>
  <si>
    <t>o_crp_destinocosecha_com</t>
  </si>
  <si>
    <t xml:space="preserve">¿Del total de la producción de ${crpmain}, cuánto destinó para la comercialización en porcentaje (%)? </t>
  </si>
  <si>
    <t>o_crp_destinocosecha_otro</t>
  </si>
  <si>
    <t xml:space="preserve">¿Del total de la producción de ${crpmain}, cuánto destinó para otros usos (%)? </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</si>
  <si>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</si>
  <si>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</si>
  <si>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</si>
  <si>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</si>
  <si>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</si>
  <si>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</si>
  <si>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</si>
  <si>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</si>
  <si>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</si>
  <si>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</si>
  <si>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</si>
  <si>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</si>
  <si>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</si>
  <si>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</si>
  <si>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</si>
  <si>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</si>
  <si>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</si>
  <si>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</si>
  <si>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</si>
  <si>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</si>
  <si>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</si>
  <si>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</si>
  <si>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</si>
  <si>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season or the current season compare to a normal year?</t>
  </si>
  <si>
    <t>¿Cómo se compara el ***área sembrada*** de ${crpmain} en La última temporada o la temporada en curso con respecto a un año normal?</t>
  </si>
  <si>
    <t>select_one o_crp_area_changewhy</t>
  </si>
  <si>
    <t>o_crp_area_changewhy</t>
  </si>
  <si>
    <t>¿Por qué sembró menos ${crpmain} que el año pasado?</t>
  </si>
  <si>
    <t xml:space="preserve">${crp_area_change} = '4' or ${crp_area_change} = '5' </t>
  </si>
  <si>
    <t>crp_harv_change</t>
  </si>
  <si>
    <t xml:space="preserve">How does the  ***harvest*** of ${crpmain} in the The last season or the current season compare to a normal year? </t>
  </si>
  <si>
    <t>¿Cómo compara la ***cosecha***  para su ${crpmain} en La última temporada o la temporada en curso comparado con un año normal?</t>
  </si>
  <si>
    <t>crp_proddif</t>
  </si>
  <si>
    <t>Has your household faced any significant difficulty ***in terms of crop production*** in The last season or the current season?</t>
  </si>
  <si>
    <t xml:space="preserve">¿Ha enfrentado su hogar algún tipo de dificultad con la ***producción de cultivos*** en La última temporada o la temporada en curso? </t>
  </si>
  <si>
    <t>${crp_main} != '888' and ${crp_main} != '999' and ${crp_main_check} != 1</t>
  </si>
  <si>
    <t>select_multiple cropproddiff</t>
  </si>
  <si>
    <t>crp_proddif_</t>
  </si>
  <si>
    <t>Which difficulties has your household faced with crop production in The last season or the current season?</t>
  </si>
  <si>
    <t>¿Cuáles dificultades ha enfrentado su hogar con la producción de cultivos en La última temporada o la temporada en curso?</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</si>
  <si>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</si>
  <si>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</si>
  <si>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</si>
  <si>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</si>
  <si>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</si>
  <si>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</si>
  <si>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</si>
  <si>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</si>
  <si>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</si>
  <si>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</si>
  <si>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</si>
  <si>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</si>
  <si>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</si>
  <si>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</si>
  <si>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</si>
  <si>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</si>
  <si>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</si>
  <si>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</si>
  <si>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</si>
  <si>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</si>
  <si>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</si>
  <si>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</si>
  <si>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</si>
  <si>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</si>
  <si>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</si>
  <si>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</si>
  <si>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</si>
  <si>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</si>
  <si>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</si>
  <si>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</si>
  <si>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select_multiple o_crop2</t>
  </si>
  <si>
    <t>o_crp_all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</si>
  <si>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</si>
  <si>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</si>
  <si>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</si>
  <si>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</si>
  <si>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</si>
  <si>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${crp_main} != '888' and ${crp_main} != '999' and ${crp_main} != '777'</t>
  </si>
  <si>
    <t>not(selected(${crp_main}, name))</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</si>
  <si>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</si>
  <si>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</si>
  <si>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</si>
  <si>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</si>
  <si>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</si>
  <si>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</si>
  <si>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</si>
  <si>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</si>
  <si>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</si>
  <si>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</si>
  <si>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</si>
  <si>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</si>
  <si>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</si>
  <si>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</si>
  <si>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</si>
  <si>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</si>
  <si>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 &gt;= 1 and . &lt;= 100) or . = 888</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</si>
  <si>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</si>
  <si>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</si>
  <si>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</si>
  <si>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</si>
  <si>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</si>
  <si>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</si>
  <si>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</si>
  <si>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</si>
  <si>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</si>
  <si>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</si>
  <si>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</si>
  <si>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</si>
  <si>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</si>
  <si>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</si>
  <si>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</si>
  <si>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</si>
  <si>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</si>
  <si>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</si>
  <si>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</si>
  <si>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</si>
  <si>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</si>
  <si>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</si>
  <si>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</si>
  <si>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</si>
  <si>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</si>
  <si>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</si>
  <si>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</si>
  <si>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</si>
  <si>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</si>
  <si>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</si>
  <si>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</si>
  <si>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</si>
  <si>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</si>
  <si>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</si>
  <si>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¿Cómo compararía el precio actual de la cosecha principal de su hogar ${crp_sales_main} con respecto al precio promedio en un año normal?</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</si>
  <si>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</si>
  <si>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</si>
  <si>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</si>
  <si>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</si>
  <si>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</si>
  <si>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</si>
  <si>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</si>
  <si>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</si>
  <si>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</si>
  <si>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</si>
  <si>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</si>
  <si>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</si>
  <si>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</si>
  <si>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</si>
  <si>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</si>
  <si>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</si>
  <si>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</si>
  <si>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</si>
  <si>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</si>
  <si>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</si>
  <si>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</si>
  <si>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</si>
  <si>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</si>
  <si>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</si>
  <si>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</si>
  <si>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</si>
  <si>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</si>
  <si>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</si>
  <si>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</si>
  <si>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</si>
  <si>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</si>
  <si>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</si>
  <si>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</si>
  <si>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</si>
  <si>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</si>
  <si>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</si>
  <si>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</si>
  <si>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</si>
  <si>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</si>
  <si>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</si>
  <si>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</si>
  <si>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</si>
  <si>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</si>
  <si>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</si>
  <si>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</si>
  <si>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</si>
  <si>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</si>
  <si>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</si>
  <si>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</si>
  <si>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</si>
  <si>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</si>
  <si>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</si>
  <si>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</si>
  <si>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</si>
  <si>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</si>
  <si>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</si>
  <si>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</si>
  <si>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</si>
  <si>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</si>
  <si>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</si>
  <si>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</si>
  <si>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</si>
  <si>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</si>
  <si>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</si>
  <si>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</si>
  <si>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</si>
  <si>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</si>
  <si>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</si>
  <si>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</si>
  <si>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</si>
  <si>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</si>
  <si>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</si>
  <si>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</si>
  <si>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</si>
  <si>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</si>
  <si>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</si>
  <si>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</si>
  <si>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</si>
  <si>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</si>
  <si>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</si>
  <si>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</si>
  <si>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</si>
  <si>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</si>
  <si>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</si>
  <si>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</si>
  <si>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</si>
  <si>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</si>
  <si>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</si>
  <si>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</si>
  <si>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</si>
  <si>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a normal year?</t>
  </si>
  <si>
    <t>¿Cómo se compara el precio actual del ${lssalesmain} con el precio promedio para la misma época del año en un año normal?</t>
  </si>
  <si>
    <t>[ENCUESTADOR/A: INSISTA EN EL PRINCIPAL PRODUCTO MENCIONADO.]</t>
  </si>
  <si>
    <t>Fishing_group</t>
  </si>
  <si>
    <t>FISHING / AQUACULTURE PRODUCTION</t>
  </si>
  <si>
    <t>PESCA / PRODUCCIÓN ACUÍCOLA</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</si>
  <si>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</si>
  <si>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</si>
  <si>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</si>
  <si>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</si>
  <si>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</si>
  <si>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</si>
  <si>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</si>
  <si>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</si>
  <si>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</si>
  <si>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</si>
  <si>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</si>
  <si>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</si>
  <si>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</si>
  <si>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</si>
  <si>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</si>
  <si>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</si>
  <si>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</si>
  <si>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</si>
  <si>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</si>
  <si>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</si>
  <si>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</si>
  <si>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</si>
  <si>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</si>
  <si>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</si>
  <si>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</si>
  <si>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</si>
  <si>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</si>
  <si>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</si>
  <si>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</si>
  <si>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</si>
  <si>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</si>
  <si>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</si>
  <si>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</si>
  <si>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</si>
  <si>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</si>
  <si>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</si>
  <si>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</si>
  <si>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</si>
  <si>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</si>
  <si>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</si>
  <si>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</si>
  <si>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</si>
  <si>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</si>
  <si>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</si>
  <si>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</si>
  <si>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</si>
  <si>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</si>
  <si>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</si>
  <si>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</si>
  <si>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</si>
  <si>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</si>
  <si>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¿Cómo se compara el precio actual de ${fishsalesmain} vendido por su hogar, con respecto con el precio promedio para el mismo periodo/cosecha de un año normal?</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</si>
  <si>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</si>
  <si>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</si>
  <si>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</si>
  <si>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</si>
  <si>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</si>
  <si>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</si>
  <si>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</si>
  <si>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</si>
  <si>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</si>
  <si>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</si>
  <si>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</si>
  <si>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</si>
  <si>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</si>
  <si>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</si>
  <si>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</si>
  <si>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</si>
  <si>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</si>
  <si>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</si>
  <si>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</si>
  <si>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</si>
  <si>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</si>
  <si>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</si>
  <si>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</si>
  <si>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</si>
  <si>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</si>
  <si>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</si>
  <si>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</si>
  <si>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</si>
  <si>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</si>
  <si>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</si>
  <si>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</si>
  <si>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</si>
  <si>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</si>
  <si>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</si>
  <si>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</si>
  <si>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</si>
  <si>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</si>
  <si>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</si>
  <si>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</si>
  <si>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</si>
  <si>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</si>
  <si>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</si>
  <si>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</si>
  <si>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</si>
  <si>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</si>
  <si>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</si>
  <si>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</si>
  <si>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</si>
  <si>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</si>
  <si>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</si>
  <si>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</si>
  <si>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</si>
  <si>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</si>
  <si>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</si>
  <si>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</si>
  <si>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</si>
  <si>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</si>
  <si>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</si>
  <si>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</si>
  <si>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</si>
  <si>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</si>
  <si>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</si>
  <si>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</si>
  <si>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</si>
  <si>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</si>
  <si>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</si>
  <si>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</si>
  <si>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</si>
  <si>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</si>
  <si>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</si>
  <si>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</si>
  <si>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</si>
  <si>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</si>
  <si>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</si>
  <si>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</si>
  <si>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</si>
  <si>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</si>
  <si>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</si>
  <si>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</si>
  <si>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</si>
  <si>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</si>
  <si>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</si>
  <si>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</si>
  <si>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</si>
  <si>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</si>
  <si>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</si>
  <si>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</si>
  <si>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</si>
  <si>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</si>
  <si>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</si>
  <si>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</si>
  <si>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</si>
  <si>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</si>
  <si>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</si>
  <si>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</si>
  <si>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</si>
  <si>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</si>
  <si>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</si>
  <si>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</si>
  <si>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</si>
  <si>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</si>
  <si>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</si>
  <si>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</si>
  <si>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</si>
  <si>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</si>
  <si>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</si>
  <si>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</si>
  <si>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</si>
  <si>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</si>
  <si>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</si>
  <si>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</si>
  <si>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¿Durante cuántos días en los *últimos 7 días* consumió usted o su hogar **vegetales y hojas** como chipilin, loroco, hierba mora, quilete y/o otras hojas/verduras?</t>
  </si>
  <si>
    <t>fcs_fruit_days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</si>
  <si>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</si>
  <si>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</si>
  <si>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</si>
  <si>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</si>
  <si>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</si>
  <si>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</si>
  <si>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</si>
  <si>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</si>
  <si>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</si>
  <si>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</si>
  <si>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</si>
  <si>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</si>
  <si>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</si>
  <si>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</si>
  <si>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</si>
  <si>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</si>
  <si>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</si>
  <si>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</si>
  <si>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</si>
  <si>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</si>
  <si>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</si>
  <si>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</si>
  <si>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</si>
  <si>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</si>
  <si>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</si>
  <si>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</si>
  <si>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</si>
  <si>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</si>
  <si>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</si>
  <si>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</si>
  <si>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</si>
  <si>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</si>
  <si>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</si>
  <si>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</si>
  <si>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</si>
  <si>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</si>
  <si>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</si>
  <si>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</si>
  <si>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</si>
  <si>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</si>
  <si>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</si>
  <si>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</si>
  <si>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</si>
  <si>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</si>
  <si>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</si>
  <si>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</si>
  <si>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</si>
  <si>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</si>
  <si>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</si>
  <si>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</si>
  <si>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</si>
  <si>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</si>
  <si>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</si>
  <si>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</si>
  <si>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</si>
  <si>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</si>
  <si>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</si>
  <si>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</si>
  <si>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</si>
  <si>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</si>
  <si>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</si>
  <si>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</si>
  <si>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</si>
  <si>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</si>
  <si>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</si>
  <si>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</si>
  <si>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</si>
  <si>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</si>
  <si>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</si>
  <si>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</si>
  <si>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</si>
  <si>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</si>
  <si>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</si>
  <si>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</si>
  <si>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</si>
  <si>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</si>
  <si>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</si>
  <si>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</si>
  <si>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</si>
  <si>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</si>
  <si>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</si>
  <si>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</si>
  <si>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</si>
  <si>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</si>
  <si>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</si>
  <si>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</si>
  <si>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</si>
  <si>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</si>
  <si>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</si>
  <si>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</si>
  <si>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</si>
  <si>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</si>
  <si>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</si>
  <si>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</si>
  <si>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</si>
  <si>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</si>
  <si>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</si>
  <si>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</si>
  <si>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</si>
  <si>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</si>
  <si>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</si>
  <si>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</si>
  <si>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</si>
  <si>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</si>
  <si>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</si>
  <si>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</si>
  <si>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</si>
  <si>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</si>
  <si>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</si>
  <si>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</si>
  <si>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</si>
  <si>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</si>
  <si>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</si>
  <si>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</si>
  <si>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</si>
  <si>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</si>
  <si>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</si>
  <si>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</si>
  <si>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</si>
  <si>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</si>
  <si>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</si>
  <si>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</si>
  <si>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</si>
  <si>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</si>
  <si>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</si>
  <si>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</si>
  <si>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</si>
  <si>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</si>
  <si>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</si>
  <si>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</si>
  <si>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</si>
  <si>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</si>
  <si>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</si>
  <si>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</si>
  <si>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</si>
  <si>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</si>
  <si>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</si>
  <si>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</si>
  <si>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</si>
  <si>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</si>
  <si>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</si>
  <si>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</si>
  <si>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</si>
  <si>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</si>
  <si>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</si>
  <si>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</si>
  <si>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</si>
  <si>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</si>
  <si>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</si>
  <si>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</si>
  <si>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</si>
  <si>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</si>
  <si>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</si>
  <si>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</si>
  <si>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</si>
  <si>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</si>
  <si>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</si>
  <si>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</si>
  <si>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</si>
  <si>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</si>
  <si>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</si>
  <si>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</si>
  <si>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</si>
  <si>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</si>
  <si>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</si>
  <si>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</si>
  <si>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</si>
  <si>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</si>
  <si>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</si>
  <si>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</si>
  <si>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</si>
  <si>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</si>
  <si>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</si>
  <si>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</si>
  <si>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</si>
  <si>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</si>
  <si>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</si>
  <si>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</si>
  <si>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</si>
  <si>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</si>
  <si>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</si>
  <si>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</si>
  <si>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</si>
  <si>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</si>
  <si>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</si>
  <si>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</si>
  <si>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</si>
  <si>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</si>
  <si>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</si>
  <si>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</si>
  <si>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</si>
  <si>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</si>
  <si>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</si>
  <si>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</si>
  <si>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</si>
  <si>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</si>
  <si>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</si>
  <si>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</si>
  <si>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</si>
  <si>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</si>
  <si>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</si>
  <si>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</si>
  <si>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</si>
  <si>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</si>
  <si>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</si>
  <si>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</si>
  <si>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</si>
  <si>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</si>
  <si>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</si>
  <si>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</si>
  <si>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</si>
  <si>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</si>
  <si>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</si>
  <si>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</si>
  <si>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</si>
  <si>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</si>
  <si>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</si>
  <si>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</si>
  <si>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</si>
  <si>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</si>
  <si>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</si>
  <si>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</si>
  <si>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</si>
  <si>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</si>
  <si>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</si>
  <si>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</si>
  <si>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</si>
  <si>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</si>
  <si>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</si>
  <si>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</si>
  <si>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</si>
  <si>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</si>
  <si>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</si>
  <si>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</si>
  <si>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</si>
  <si>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</si>
  <si>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</si>
  <si>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</si>
  <si>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</si>
  <si>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</si>
  <si>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</si>
  <si>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</si>
  <si>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</si>
  <si>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</si>
  <si>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</si>
  <si>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</si>
  <si>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</si>
  <si>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</si>
  <si>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</si>
  <si>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</si>
  <si>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</si>
  <si>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</si>
  <si>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</si>
  <si>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</si>
  <si>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</si>
  <si>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</si>
  <si>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</si>
  <si>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</si>
  <si>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</si>
  <si>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</si>
  <si>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</si>
  <si>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</si>
  <si>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</si>
  <si>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</si>
  <si>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</si>
  <si>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</si>
  <si>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</si>
  <si>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</si>
  <si>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</si>
  <si>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</si>
  <si>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</si>
  <si>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</si>
  <si>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</si>
  <si>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</si>
  <si>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</si>
  <si>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</si>
  <si>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</si>
  <si>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</si>
  <si>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</si>
  <si>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</si>
  <si>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</si>
  <si>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</si>
  <si>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</si>
  <si>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</si>
  <si>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</si>
  <si>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</si>
  <si>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</si>
  <si>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</si>
  <si>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</si>
  <si>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</si>
  <si>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</si>
  <si>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</si>
  <si>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</si>
  <si>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</si>
  <si>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</si>
  <si>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</si>
  <si>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</si>
  <si>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</si>
  <si>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</si>
  <si>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</si>
  <si>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</si>
  <si>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</si>
  <si>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</si>
  <si>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</si>
  <si>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</si>
  <si>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</si>
  <si>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</si>
  <si>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</si>
  <si>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</si>
  <si>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</si>
  <si>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</si>
  <si>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</si>
  <si>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</si>
  <si>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</si>
  <si>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</si>
  <si>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</si>
  <si>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</si>
  <si>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</si>
  <si>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</si>
  <si>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</si>
  <si>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</si>
  <si>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</si>
  <si>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</si>
  <si>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</si>
  <si>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</si>
  <si>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</si>
  <si>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</si>
  <si>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</si>
  <si>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</si>
  <si>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</si>
  <si>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</si>
  <si>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</si>
  <si>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</si>
  <si>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</si>
  <si>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</si>
  <si>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</si>
  <si>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</si>
  <si>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</si>
  <si>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</si>
  <si>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</si>
  <si>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</si>
  <si>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</si>
  <si>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</si>
  <si>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</si>
  <si>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</si>
  <si>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</si>
  <si>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</si>
  <si>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</si>
  <si>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</si>
  <si>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</si>
  <si>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</si>
  <si>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</si>
  <si>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</si>
  <si>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</si>
  <si>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</si>
  <si>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</si>
  <si>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</si>
  <si>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</si>
  <si>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</si>
  <si>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</si>
  <si>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</si>
  <si>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</si>
  <si>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</si>
  <si>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</si>
  <si>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</si>
  <si>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</si>
  <si>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</si>
  <si>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</si>
  <si>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</si>
  <si>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</si>
  <si>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</si>
  <si>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</si>
  <si>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</si>
  <si>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</si>
  <si>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</si>
  <si>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</si>
  <si>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</si>
  <si>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</si>
  <si>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</si>
  <si>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</si>
  <si>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</si>
  <si>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</si>
  <si>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</si>
  <si>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</si>
  <si>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</si>
  <si>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</si>
  <si>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</si>
  <si>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</si>
  <si>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</si>
  <si>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</si>
  <si>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</si>
  <si>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</si>
  <si>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</si>
  <si>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</si>
  <si>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</si>
  <si>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</si>
  <si>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</si>
  <si>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</si>
  <si>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</si>
  <si>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</si>
  <si>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</si>
  <si>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</si>
  <si>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</si>
  <si>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</si>
  <si>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</si>
  <si>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</si>
  <si>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</si>
  <si>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</si>
  <si>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</si>
  <si>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</si>
  <si>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</si>
  <si>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</si>
  <si>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</si>
  <si>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</si>
  <si>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</si>
  <si>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</si>
  <si>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</si>
  <si>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</si>
  <si>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</si>
  <si>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</si>
  <si>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</si>
  <si>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</si>
  <si>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</si>
  <si>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</si>
  <si>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</si>
  <si>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</si>
  <si>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</si>
  <si>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</si>
  <si>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</si>
  <si>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</si>
  <si>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</si>
  <si>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</si>
  <si>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</si>
  <si>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</si>
  <si>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</si>
  <si>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</si>
  <si>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</si>
  <si>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</si>
  <si>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</si>
  <si>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</si>
  <si>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</si>
  <si>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</si>
  <si>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</si>
  <si>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</si>
  <si>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</si>
  <si>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</si>
  <si>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</si>
  <si>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</si>
  <si>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</si>
  <si>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</si>
  <si>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</si>
  <si>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</si>
  <si>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</si>
  <si>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</si>
  <si>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</si>
  <si>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</si>
  <si>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</si>
  <si>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</si>
  <si>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</si>
  <si>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</si>
  <si>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</si>
  <si>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</si>
  <si>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</si>
  <si>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</si>
  <si>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</si>
  <si>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</si>
  <si>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</si>
  <si>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</si>
  <si>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</si>
  <si>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</si>
  <si>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</si>
  <si>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</si>
  <si>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</si>
  <si>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</si>
  <si>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</si>
  <si>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</si>
  <si>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</si>
  <si>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</si>
  <si>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</si>
  <si>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</si>
  <si>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</si>
  <si>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</si>
  <si>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</si>
  <si>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</si>
  <si>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</si>
  <si>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</si>
  <si>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</si>
  <si>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</si>
  <si>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</si>
  <si>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</si>
  <si>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</si>
  <si>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</si>
  <si>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</si>
  <si>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</si>
  <si>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</si>
  <si>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</si>
  <si>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</si>
  <si>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</si>
  <si>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</si>
  <si>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</si>
  <si>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</si>
  <si>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</si>
  <si>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</si>
  <si>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</si>
  <si>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</si>
  <si>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</si>
  <si>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</si>
  <si>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</si>
  <si>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</si>
  <si>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</si>
  <si>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</si>
  <si>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</si>
  <si>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</si>
  <si>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</si>
  <si>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</si>
  <si>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</si>
  <si>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</si>
  <si>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</si>
  <si>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</si>
  <si>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</si>
  <si>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</si>
  <si>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</si>
  <si>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</si>
  <si>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</si>
  <si>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</si>
  <si>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</si>
  <si>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</si>
  <si>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</si>
  <si>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</si>
  <si>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</si>
  <si>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</si>
  <si>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</si>
  <si>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</si>
  <si>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</si>
  <si>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</si>
  <si>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</si>
  <si>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</si>
  <si>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</si>
  <si>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</si>
  <si>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</si>
  <si>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</si>
  <si>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</si>
  <si>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</si>
  <si>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</si>
  <si>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</si>
  <si>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</si>
  <si>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</si>
  <si>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</si>
  <si>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</si>
  <si>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</si>
  <si>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</si>
  <si>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</si>
  <si>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</si>
  <si>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</si>
  <si>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</si>
  <si>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</si>
  <si>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</si>
  <si>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</si>
  <si>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</si>
  <si>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</si>
  <si>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</si>
  <si>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</si>
  <si>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</si>
  <si>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</si>
  <si>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</si>
  <si>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</si>
  <si>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</si>
  <si>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</si>
  <si>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</si>
  <si>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</si>
  <si>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</si>
  <si>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</si>
  <si>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</si>
  <si>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</si>
  <si>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</si>
  <si>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</si>
  <si>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</si>
  <si>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</si>
  <si>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</si>
  <si>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</si>
  <si>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</si>
  <si>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</si>
  <si>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</si>
  <si>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</si>
  <si>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</si>
  <si>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</si>
  <si>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</si>
  <si>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</si>
  <si>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</si>
  <si>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</si>
  <si>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</si>
  <si>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</si>
  <si>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</si>
  <si>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</si>
  <si>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</si>
  <si>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</si>
  <si>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</si>
  <si>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</si>
  <si>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</si>
  <si>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</si>
  <si>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</si>
  <si>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</si>
  <si>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</si>
  <si>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</si>
  <si>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</si>
  <si>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</si>
  <si>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</si>
  <si>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</si>
  <si>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</si>
  <si>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</si>
  <si>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</si>
  <si>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</si>
  <si>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</si>
  <si>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</si>
  <si>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</si>
  <si>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</si>
  <si>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</si>
  <si>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</si>
  <si>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</si>
  <si>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</si>
  <si>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</si>
  <si>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</si>
  <si>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</si>
  <si>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</si>
  <si>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</si>
  <si>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</si>
  <si>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</si>
  <si>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</si>
  <si>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</si>
  <si>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</si>
  <si>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</si>
  <si>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</si>
  <si>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</si>
  <si>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</si>
  <si>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</si>
  <si>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</si>
  <si>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</si>
  <si>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</si>
  <si>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</si>
  <si>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</si>
  <si>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</si>
  <si>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</si>
  <si>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</si>
  <si>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</si>
  <si>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</si>
  <si>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</si>
  <si>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</si>
  <si>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</si>
  <si>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</si>
  <si>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</si>
  <si>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</si>
  <si>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</si>
  <si>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</si>
  <si>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</si>
  <si>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</si>
  <si>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</si>
  <si>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</si>
  <si>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</si>
  <si>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</si>
  <si>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</si>
  <si>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</si>
  <si>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</si>
  <si>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</si>
  <si>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</si>
  <si>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</si>
  <si>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</si>
  <si>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</si>
  <si>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</si>
  <si>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</si>
  <si>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</si>
  <si>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</si>
  <si>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</si>
  <si>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</si>
  <si>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</si>
  <si>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</si>
  <si>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</si>
  <si>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</si>
  <si>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</si>
  <si>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</si>
  <si>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</si>
  <si>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</si>
  <si>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</si>
  <si>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</si>
  <si>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</si>
  <si>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</si>
  <si>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</si>
  <si>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</si>
  <si>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</si>
  <si>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</si>
  <si>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</si>
  <si>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</si>
  <si>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</si>
  <si>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</si>
  <si>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</si>
  <si>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</si>
  <si>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</si>
  <si>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</si>
  <si>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</si>
  <si>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</si>
  <si>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</si>
  <si>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</si>
  <si>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</si>
  <si>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</si>
  <si>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</si>
  <si>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</si>
  <si>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</si>
  <si>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</si>
  <si>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</si>
  <si>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</si>
  <si>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</si>
  <si>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</si>
  <si>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</si>
  <si>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</si>
  <si>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</si>
  <si>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</si>
  <si>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</si>
  <si>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</si>
  <si>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</si>
  <si>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</si>
  <si>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</si>
  <si>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</si>
  <si>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</si>
  <si>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</si>
  <si>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</si>
  <si>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</si>
  <si>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</si>
  <si>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</si>
  <si>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</si>
  <si>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</si>
  <si>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</si>
  <si>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</si>
  <si>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</si>
  <si>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</si>
  <si>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</si>
  <si>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</si>
  <si>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</si>
  <si>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</si>
  <si>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</si>
  <si>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</si>
  <si>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</si>
  <si>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</si>
  <si>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</si>
  <si>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</si>
  <si>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</si>
  <si>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</si>
  <si>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</si>
  <si>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</si>
  <si>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</si>
  <si>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</si>
  <si>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</si>
  <si>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</si>
  <si>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</si>
  <si>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</si>
  <si>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</si>
  <si>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</si>
  <si>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</si>
  <si>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</si>
  <si>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</si>
  <si>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</si>
  <si>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</si>
  <si>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</si>
  <si>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</si>
  <si>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</si>
  <si>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</si>
  <si>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</si>
  <si>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</si>
  <si>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</si>
  <si>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</si>
  <si>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</si>
  <si>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</si>
  <si>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</si>
  <si>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</si>
  <si>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</si>
  <si>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</si>
  <si>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</si>
  <si>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</si>
  <si>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</si>
  <si>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</si>
  <si>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</si>
  <si>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</si>
  <si>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</si>
  <si>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</si>
  <si>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</si>
  <si>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</si>
  <si>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</si>
  <si>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</si>
  <si>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</si>
  <si>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</si>
  <si>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</si>
  <si>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</si>
  <si>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</si>
  <si>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</si>
  <si>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</si>
  <si>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</si>
  <si>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</si>
  <si>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</si>
  <si>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</si>
  <si>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</si>
  <si>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</si>
  <si>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</si>
  <si>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</si>
  <si>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</si>
  <si>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</si>
  <si>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</si>
  <si>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</si>
  <si>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</si>
  <si>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</si>
  <si>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</si>
  <si>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</si>
  <si>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</si>
  <si>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</si>
  <si>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</si>
  <si>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</si>
  <si>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</si>
  <si>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</si>
  <si>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</si>
  <si>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</si>
  <si>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</si>
  <si>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</si>
  <si>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</si>
  <si>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</si>
  <si>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</si>
  <si>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</si>
  <si>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</si>
  <si>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</si>
  <si>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</si>
  <si>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</si>
  <si>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</si>
  <si>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</si>
  <si>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</si>
  <si>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</si>
  <si>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</si>
  <si>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</si>
  <si>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</si>
  <si>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</si>
  <si>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</si>
  <si>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</si>
  <si>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</si>
  <si>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</si>
  <si>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</si>
  <si>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</si>
  <si>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</si>
  <si>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</si>
  <si>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</si>
  <si>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</si>
  <si>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</si>
  <si>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</si>
  <si>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</si>
  <si>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</si>
  <si>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</si>
  <si>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</si>
  <si>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</si>
  <si>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</si>
  <si>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</si>
  <si>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</si>
  <si>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</si>
  <si>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</si>
  <si>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</si>
  <si>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</si>
  <si>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</si>
  <si>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</si>
  <si>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</si>
  <si>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</si>
  <si>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</si>
  <si>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</si>
  <si>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</si>
  <si>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</si>
  <si>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</si>
  <si>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</si>
  <si>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</si>
  <si>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</si>
  <si>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</si>
  <si>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</si>
  <si>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</si>
  <si>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</si>
  <si>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</si>
  <si>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</si>
  <si>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</si>
  <si>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</si>
  <si>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</si>
  <si>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</si>
  <si>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</si>
  <si>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</si>
  <si>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</si>
  <si>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</si>
  <si>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</si>
  <si>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</si>
  <si>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</si>
  <si>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</si>
  <si>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</si>
  <si>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</si>
  <si>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</si>
  <si>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</si>
  <si>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</si>
  <si>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</si>
  <si>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</si>
  <si>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</si>
  <si>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</si>
  <si>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</si>
  <si>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</si>
  <si>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</si>
  <si>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</si>
  <si>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</si>
  <si>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</si>
  <si>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</si>
  <si>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</si>
  <si>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</si>
  <si>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</si>
  <si>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</si>
  <si>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</si>
  <si>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</si>
  <si>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</si>
  <si>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</si>
  <si>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</si>
  <si>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</si>
  <si>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</si>
  <si>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</si>
  <si>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</si>
  <si>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</si>
  <si>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</si>
  <si>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</si>
  <si>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</si>
  <si>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</si>
  <si>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</si>
  <si>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</si>
  <si>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</si>
  <si>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</si>
  <si>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</si>
  <si>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</si>
  <si>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</si>
  <si>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</si>
  <si>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</si>
  <si>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</si>
  <si>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</si>
  <si>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</si>
  <si>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</si>
  <si>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</si>
  <si>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</si>
  <si>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</si>
  <si>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</si>
  <si>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</si>
  <si>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</si>
  <si>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</si>
  <si>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</si>
  <si>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</si>
  <si>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</si>
  <si>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</si>
  <si>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</si>
  <si>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</si>
  <si>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</si>
  <si>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</si>
  <si>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</si>
  <si>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</si>
  <si>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</si>
  <si>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</si>
  <si>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</si>
  <si>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</si>
  <si>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</si>
  <si>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</si>
  <si>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</si>
  <si>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</si>
  <si>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</si>
  <si>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</si>
  <si>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</si>
  <si>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</si>
  <si>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</si>
  <si>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</si>
  <si>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</si>
  <si>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</si>
  <si>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</si>
  <si>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</si>
  <si>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</si>
  <si>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</si>
  <si>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</si>
  <si>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</si>
  <si>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</si>
  <si>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</si>
  <si>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</si>
  <si>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</si>
  <si>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</si>
  <si>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</si>
  <si>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</si>
  <si>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</si>
  <si>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</si>
  <si>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</si>
  <si>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</si>
  <si>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</si>
  <si>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</si>
  <si>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</si>
  <si>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</si>
  <si>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</si>
  <si>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</si>
  <si>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</si>
  <si>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</si>
  <si>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</si>
  <si>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</si>
  <si>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</si>
  <si>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</si>
  <si>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</si>
  <si>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</si>
  <si>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</si>
  <si>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</si>
  <si>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</si>
  <si>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ea</t>
  </si>
  <si>
    <t>EAA1</t>
  </si>
  <si>
    <t>Enumeration area 1 in District A</t>
  </si>
  <si>
    <t>Área de enumeración 1 en el Distrito A</t>
  </si>
  <si>
    <t>EAA2</t>
  </si>
  <si>
    <t>Enumeration area 2 in District A</t>
  </si>
  <si>
    <t>Área de enumeración 2 en el Distrito A</t>
  </si>
  <si>
    <t>EAB1</t>
  </si>
  <si>
    <t>Enumeration area 1 in District B</t>
  </si>
  <si>
    <t>Área de enumeración 1 en el Distrito B</t>
  </si>
  <si>
    <t>EAB2</t>
  </si>
  <si>
    <t>Enumeration area 2 in District B</t>
  </si>
  <si>
    <t>Área de enumeración 2 en el Distrito B</t>
  </si>
  <si>
    <t>EAC1</t>
  </si>
  <si>
    <t>Enumeration area 1 in District C</t>
  </si>
  <si>
    <t>Área de enumeración 1 en el Distrito C</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</si>
  <si>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</si>
  <si>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</si>
  <si>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</si>
  <si>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</si>
  <si>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</si>
  <si>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</si>
  <si>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</si>
  <si>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</si>
  <si>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</si>
  <si>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</si>
  <si>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</si>
  <si>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</si>
  <si>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</si>
  <si>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</si>
  <si>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</si>
  <si>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</si>
  <si>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</si>
  <si>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</si>
  <si>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</si>
  <si>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</si>
  <si>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</si>
  <si>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</si>
  <si>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</si>
  <si>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</si>
  <si>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</si>
  <si>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</si>
  <si>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</si>
  <si>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</si>
  <si>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</si>
  <si>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</si>
  <si>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</si>
  <si>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</si>
  <si>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</si>
  <si>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</si>
  <si>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</si>
  <si>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</si>
  <si>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</si>
  <si>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</si>
  <si>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</si>
  <si>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</si>
  <si>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</si>
  <si>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</si>
  <si>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</si>
  <si>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</si>
  <si>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</si>
  <si>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</si>
  <si>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</si>
  <si>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</si>
  <si>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</si>
  <si>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</si>
  <si>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</si>
  <si>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</si>
  <si>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</si>
  <si>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</si>
  <si>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</si>
  <si>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</si>
  <si>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</si>
  <si>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</si>
  <si>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</si>
  <si>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Reencuentro familiar</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</si>
  <si>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</si>
  <si>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</si>
  <si>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</si>
  <si>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</si>
  <si>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</si>
  <si>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</si>
  <si>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</si>
  <si>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</si>
  <si>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</si>
  <si>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</si>
  <si>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</si>
  <si>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</si>
  <si>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</si>
  <si>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</si>
  <si>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</si>
  <si>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</si>
  <si>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</si>
  <si>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</si>
  <si>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</si>
  <si>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</si>
  <si>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</si>
  <si>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</si>
  <si>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</si>
  <si>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</si>
  <si>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</si>
  <si>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</si>
  <si>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</si>
  <si>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</si>
  <si>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</si>
  <si>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</si>
  <si>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</si>
  <si>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</si>
  <si>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</si>
  <si>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</si>
  <si>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</si>
  <si>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</si>
  <si>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</si>
  <si>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o_creditdestination</t>
  </si>
  <si>
    <t>Agrícola</t>
  </si>
  <si>
    <t>Pecuario</t>
  </si>
  <si>
    <t>Pesquero/acuícola</t>
  </si>
  <si>
    <t>o_creditwhere</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</si>
  <si>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</si>
  <si>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</si>
  <si>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</si>
  <si>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</si>
  <si>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</si>
  <si>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</si>
  <si>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</si>
  <si>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</si>
  <si>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</si>
  <si>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</si>
  <si>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</si>
  <si>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</si>
  <si>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</si>
  <si>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</si>
  <si>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</si>
  <si>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</si>
  <si>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</si>
  <si>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Afro</t>
  </si>
  <si>
    <t>o_crop2</t>
  </si>
  <si>
    <t>Maiz</t>
  </si>
  <si>
    <t>Frijol</t>
  </si>
  <si>
    <t>reserves_origin</t>
  </si>
  <si>
    <t>Compra</t>
  </si>
  <si>
    <t>Self-consumption</t>
  </si>
  <si>
    <t>Autoconsumo</t>
  </si>
  <si>
    <t>Sales</t>
  </si>
  <si>
    <t>Venta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</si>
  <si>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</si>
  <si>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</si>
  <si>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</si>
  <si>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</si>
  <si>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</si>
  <si>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</si>
  <si>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</si>
  <si>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</si>
  <si>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</si>
  <si>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</si>
  <si>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</si>
  <si>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</si>
  <si>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</si>
  <si>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</si>
  <si>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</si>
  <si>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</si>
  <si>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</si>
  <si>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</si>
  <si>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</si>
  <si>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</si>
  <si>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</si>
  <si>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</si>
  <si>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</si>
  <si>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</si>
  <si>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</si>
  <si>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</si>
  <si>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</si>
  <si>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</si>
  <si>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</si>
  <si>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</si>
  <si>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</si>
  <si>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</si>
  <si>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</si>
  <si>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</si>
  <si>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</si>
  <si>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</si>
  <si>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</si>
  <si>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</si>
  <si>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</si>
  <si>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</si>
  <si>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</si>
  <si>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</si>
  <si>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</si>
  <si>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</si>
  <si>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</si>
  <si>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Coffee</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</si>
  <si>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</si>
  <si>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</si>
  <si>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</si>
  <si>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</si>
  <si>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</si>
  <si>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</si>
  <si>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</si>
  <si>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</si>
  <si>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</si>
  <si>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</si>
  <si>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</si>
  <si>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</si>
  <si>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</si>
  <si>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</si>
  <si>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</si>
  <si>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</si>
  <si>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</si>
  <si>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</si>
  <si>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</si>
  <si>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</si>
  <si>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</si>
  <si>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</si>
  <si>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</si>
  <si>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</si>
  <si>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</si>
  <si>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</si>
  <si>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</si>
  <si>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</si>
  <si>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</si>
  <si>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</si>
  <si>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</si>
  <si>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</si>
  <si>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</si>
  <si>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</si>
  <si>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</si>
  <si>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</si>
  <si>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</si>
  <si>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</si>
  <si>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</si>
  <si>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</si>
  <si>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</si>
  <si>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</si>
  <si>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</si>
  <si>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</si>
  <si>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</si>
  <si>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</si>
  <si>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</si>
  <si>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</si>
  <si>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</si>
  <si>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</si>
  <si>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</si>
  <si>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</si>
  <si>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</si>
  <si>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</si>
  <si>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</si>
  <si>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</si>
  <si>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</si>
  <si>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</si>
  <si>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</si>
  <si>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</si>
  <si>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</si>
  <si>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</si>
  <si>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</si>
  <si>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</si>
  <si>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</si>
  <si>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</si>
  <si>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</si>
  <si>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</si>
  <si>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</si>
  <si>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</si>
  <si>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</si>
  <si>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</si>
  <si>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</si>
  <si>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</si>
  <si>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</si>
  <si>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</si>
  <si>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</si>
  <si>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</si>
  <si>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</si>
  <si>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</si>
  <si>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</si>
  <si>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</si>
  <si>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</si>
  <si>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</si>
  <si>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</si>
  <si>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</si>
  <si>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</si>
  <si>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</si>
  <si>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</si>
  <si>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</si>
  <si>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</si>
  <si>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</si>
  <si>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</si>
  <si>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</si>
  <si>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</si>
  <si>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</si>
  <si>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</si>
  <si>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</si>
  <si>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</si>
  <si>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</si>
  <si>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</si>
  <si>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</si>
  <si>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</si>
  <si>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</si>
  <si>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</si>
  <si>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</si>
  <si>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</si>
  <si>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</si>
  <si>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</si>
  <si>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</si>
  <si>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</si>
  <si>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</si>
  <si>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</si>
  <si>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</si>
  <si>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</si>
  <si>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</si>
  <si>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</si>
  <si>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</si>
  <si>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</si>
  <si>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</si>
  <si>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</si>
  <si>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</si>
  <si>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</si>
  <si>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</si>
  <si>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</si>
  <si>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</si>
  <si>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</si>
  <si>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</si>
  <si>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</si>
  <si>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</si>
  <si>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</si>
  <si>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</si>
  <si>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</si>
  <si>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</si>
  <si>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</si>
  <si>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</si>
  <si>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</si>
  <si>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</si>
  <si>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</si>
  <si>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</si>
  <si>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</si>
  <si>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</si>
  <si>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</si>
  <si>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</si>
  <si>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</si>
  <si>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</si>
  <si>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</si>
  <si>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</si>
  <si>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</si>
  <si>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</si>
  <si>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</si>
  <si>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</si>
  <si>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</si>
  <si>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</si>
  <si>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</si>
  <si>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</si>
  <si>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</si>
  <si>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</si>
  <si>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</si>
  <si>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</si>
  <si>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</si>
  <si>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</si>
  <si>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</si>
  <si>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</si>
  <si>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</si>
  <si>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</si>
  <si>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</si>
  <si>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</si>
  <si>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</si>
  <si>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</si>
  <si>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</si>
  <si>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</si>
  <si>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</si>
  <si>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</si>
  <si>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</si>
  <si>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</si>
  <si>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</si>
  <si>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</si>
  <si>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</si>
  <si>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</si>
  <si>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</si>
  <si>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</si>
  <si>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</si>
  <si>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</si>
  <si>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</si>
  <si>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</si>
  <si>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</si>
  <si>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</si>
  <si>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</si>
  <si>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</si>
  <si>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</si>
  <si>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</si>
  <si>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</si>
  <si>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</si>
  <si>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</si>
  <si>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</si>
  <si>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</si>
  <si>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</si>
  <si>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</si>
  <si>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</si>
  <si>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</si>
  <si>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</si>
  <si>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</si>
  <si>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</si>
  <si>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</si>
  <si>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</si>
  <si>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</si>
  <si>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</si>
  <si>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</si>
  <si>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</si>
  <si>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</si>
  <si>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</si>
  <si>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</si>
  <si>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</si>
  <si>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</si>
  <si>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</si>
  <si>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</si>
  <si>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</si>
  <si>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</si>
  <si>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</si>
  <si>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</si>
  <si>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</si>
  <si>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</si>
  <si>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</si>
  <si>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</si>
  <si>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</si>
  <si>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</si>
  <si>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</si>
  <si>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</si>
  <si>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</si>
  <si>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</si>
  <si>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</si>
  <si>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</si>
  <si>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</si>
  <si>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</si>
  <si>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</si>
  <si>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</si>
  <si>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</si>
  <si>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</si>
  <si>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</si>
  <si>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</si>
  <si>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</si>
  <si>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</si>
  <si>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</si>
  <si>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</si>
  <si>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</si>
  <si>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</si>
  <si>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</si>
  <si>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</si>
  <si>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</si>
  <si>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</si>
  <si>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</si>
  <si>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</si>
  <si>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</si>
  <si>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</si>
  <si>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</si>
  <si>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</si>
  <si>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</si>
  <si>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</si>
  <si>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</si>
  <si>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</si>
  <si>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</si>
  <si>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</si>
  <si>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</si>
  <si>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</si>
  <si>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</si>
  <si>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</si>
  <si>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</si>
  <si>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</si>
  <si>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</si>
  <si>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</si>
  <si>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</si>
  <si>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</si>
  <si>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</si>
  <si>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</si>
  <si>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</si>
  <si>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</si>
  <si>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</si>
  <si>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</si>
  <si>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</si>
  <si>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</si>
  <si>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</si>
  <si>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</si>
  <si>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</si>
  <si>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</si>
  <si>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</si>
  <si>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</si>
  <si>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</si>
  <si>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</si>
  <si>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</si>
  <si>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</si>
  <si>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</si>
  <si>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</si>
  <si>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</si>
  <si>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</si>
  <si>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</si>
  <si>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</si>
  <si>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</si>
  <si>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</si>
  <si>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</si>
  <si>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</si>
  <si>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</si>
  <si>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</si>
  <si>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</si>
  <si>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</si>
  <si>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</si>
  <si>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</si>
  <si>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</si>
  <si>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</si>
  <si>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</si>
  <si>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</si>
  <si>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</si>
  <si>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</si>
  <si>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</si>
  <si>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</si>
  <si>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</si>
  <si>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</si>
  <si>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</si>
  <si>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</si>
  <si>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</si>
  <si>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</si>
  <si>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</si>
  <si>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</si>
  <si>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</si>
  <si>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</si>
  <si>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</si>
  <si>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</si>
  <si>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</si>
  <si>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</si>
  <si>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</si>
  <si>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</si>
  <si>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</si>
  <si>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</si>
  <si>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</si>
  <si>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</si>
  <si>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</si>
  <si>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</si>
  <si>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</si>
  <si>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</si>
  <si>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</si>
  <si>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</si>
  <si>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</si>
  <si>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</si>
  <si>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</si>
  <si>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</si>
  <si>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</si>
  <si>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</si>
  <si>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</si>
  <si>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</si>
  <si>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</si>
  <si>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</si>
  <si>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</si>
  <si>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</si>
  <si>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</si>
  <si>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</si>
  <si>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</si>
  <si>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</si>
  <si>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</si>
  <si>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</si>
  <si>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</si>
  <si>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</si>
  <si>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</si>
  <si>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</si>
  <si>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</si>
  <si>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</si>
  <si>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</si>
  <si>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</si>
  <si>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</si>
  <si>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</si>
  <si>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</si>
  <si>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</si>
  <si>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</si>
  <si>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</si>
  <si>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</si>
  <si>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</si>
  <si>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</si>
  <si>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</si>
  <si>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</si>
  <si>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</si>
  <si>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</si>
  <si>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</si>
  <si>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</si>
  <si>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</si>
  <si>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</si>
  <si>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</si>
  <si>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</si>
  <si>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</si>
  <si>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</si>
  <si>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</si>
  <si>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</si>
  <si>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</si>
  <si>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</si>
  <si>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</si>
  <si>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</si>
  <si>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</si>
  <si>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</si>
  <si>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</si>
  <si>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</si>
  <si>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</si>
  <si>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</si>
  <si>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</si>
  <si>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</si>
  <si>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</si>
  <si>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</si>
  <si>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</si>
  <si>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</si>
  <si>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</si>
  <si>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</si>
  <si>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</si>
  <si>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</si>
  <si>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</si>
  <si>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</si>
  <si>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</si>
  <si>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</si>
  <si>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</si>
  <si>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</si>
  <si>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</si>
  <si>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</si>
  <si>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</si>
  <si>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</si>
  <si>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</si>
  <si>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</si>
  <si>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</si>
  <si>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</si>
  <si>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</si>
  <si>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</si>
  <si>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</si>
  <si>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</si>
  <si>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</si>
  <si>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</si>
  <si>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</si>
  <si>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</si>
  <si>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</si>
  <si>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</si>
  <si>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</si>
  <si>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</si>
  <si>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</si>
  <si>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</si>
  <si>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</si>
  <si>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</si>
  <si>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</si>
  <si>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</si>
  <si>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</si>
  <si>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</si>
  <si>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</si>
  <si>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</si>
  <si>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</si>
  <si>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</si>
  <si>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</si>
  <si>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</si>
  <si>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</si>
  <si>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</si>
  <si>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</si>
  <si>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</si>
  <si>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</si>
  <si>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</si>
  <si>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</si>
  <si>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</si>
  <si>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</si>
  <si>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</si>
  <si>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</si>
  <si>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</si>
  <si>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</si>
  <si>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</si>
  <si>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</si>
  <si>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</si>
  <si>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</si>
  <si>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</si>
  <si>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</si>
  <si>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</si>
  <si>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</si>
  <si>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</si>
  <si>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</si>
  <si>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</si>
  <si>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</si>
  <si>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</si>
  <si>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</si>
  <si>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</si>
  <si>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</si>
  <si>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</si>
  <si>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</si>
  <si>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</si>
  <si>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</si>
  <si>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</si>
  <si>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</si>
  <si>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</si>
  <si>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</si>
  <si>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</si>
  <si>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</si>
  <si>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</si>
  <si>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</si>
  <si>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</si>
  <si>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</si>
  <si>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</si>
  <si>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</si>
  <si>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</si>
  <si>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</si>
  <si>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</si>
  <si>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</si>
  <si>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</si>
  <si>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</si>
  <si>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</si>
  <si>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</si>
  <si>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</si>
  <si>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</si>
  <si>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</si>
  <si>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</si>
  <si>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</si>
  <si>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</si>
  <si>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</si>
  <si>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</si>
  <si>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</si>
  <si>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</si>
  <si>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</si>
  <si>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</si>
  <si>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</si>
  <si>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</si>
  <si>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</si>
  <si>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</si>
  <si>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</si>
  <si>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</si>
  <si>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</si>
  <si>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</si>
  <si>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</si>
  <si>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</si>
  <si>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</si>
  <si>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</si>
  <si>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</si>
  <si>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</si>
  <si>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</si>
  <si>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</si>
  <si>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</si>
  <si>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</si>
  <si>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</si>
  <si>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</si>
  <si>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</si>
  <si>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</si>
  <si>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</si>
  <si>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</si>
  <si>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</si>
  <si>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</si>
  <si>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</si>
  <si>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</si>
  <si>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</si>
  <si>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</si>
  <si>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</si>
  <si>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</si>
  <si>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</si>
  <si>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</si>
  <si>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</si>
  <si>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</si>
  <si>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</si>
  <si>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</si>
  <si>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</si>
  <si>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</si>
  <si>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</si>
  <si>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</si>
  <si>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</si>
  <si>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</si>
  <si>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</si>
  <si>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</si>
  <si>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</si>
  <si>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</si>
  <si>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</si>
  <si>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</si>
  <si>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</si>
  <si>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</si>
  <si>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</si>
  <si>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</si>
  <si>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</si>
  <si>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</si>
  <si>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</si>
  <si>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</si>
  <si>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</si>
  <si>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</si>
  <si>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</si>
  <si>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</si>
  <si>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</si>
  <si>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</si>
  <si>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</si>
  <si>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</si>
  <si>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</si>
  <si>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</si>
  <si>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</si>
  <si>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</si>
  <si>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</si>
  <si>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</si>
  <si>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</si>
  <si>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</si>
  <si>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</si>
  <si>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</si>
  <si>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</si>
  <si>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</si>
  <si>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</si>
  <si>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</si>
  <si>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</si>
  <si>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</si>
  <si>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</si>
  <si>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</si>
  <si>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</si>
  <si>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</si>
  <si>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</si>
  <si>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</si>
  <si>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</si>
  <si>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</si>
  <si>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</si>
  <si>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</si>
  <si>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</si>
  <si>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</si>
  <si>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</si>
  <si>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</si>
  <si>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</si>
  <si>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</si>
  <si>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</si>
  <si>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</si>
  <si>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</si>
  <si>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</si>
  <si>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</si>
  <si>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</si>
  <si>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</si>
  <si>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</si>
  <si>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</si>
  <si>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</si>
  <si>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</si>
  <si>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</si>
  <si>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</si>
  <si>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</si>
  <si>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</si>
  <si>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</si>
  <si>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</si>
  <si>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</si>
  <si>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</si>
  <si>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</si>
  <si>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</si>
  <si>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</si>
  <si>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</si>
  <si>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</si>
  <si>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</si>
  <si>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</si>
  <si>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</si>
  <si>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</si>
  <si>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</si>
  <si>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</si>
  <si>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</si>
  <si>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</si>
  <si>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</si>
  <si>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</si>
  <si>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</si>
  <si>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</si>
  <si>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</si>
  <si>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</si>
  <si>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</si>
  <si>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</si>
  <si>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</si>
  <si>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</si>
  <si>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</si>
  <si>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</si>
  <si>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</si>
  <si>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</si>
  <si>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</si>
  <si>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</si>
  <si>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</si>
  <si>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</si>
  <si>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</si>
  <si>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</si>
  <si>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</si>
  <si>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</si>
  <si>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</si>
  <si>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</si>
  <si>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</si>
  <si>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</si>
  <si>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</si>
  <si>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</si>
  <si>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</si>
  <si>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</si>
  <si>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</si>
  <si>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</si>
  <si>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</si>
  <si>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</si>
  <si>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</si>
  <si>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</si>
  <si>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</si>
  <si>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</si>
  <si>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</si>
  <si>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</si>
  <si>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</si>
  <si>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</si>
  <si>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</si>
  <si>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</si>
  <si>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</si>
  <si>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</si>
  <si>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</si>
  <si>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</si>
  <si>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</si>
  <si>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</si>
  <si>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</si>
  <si>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</si>
  <si>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</si>
  <si>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</si>
  <si>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</si>
  <si>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</si>
  <si>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</si>
  <si>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</si>
  <si>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</si>
  <si>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</si>
  <si>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</si>
  <si>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</si>
  <si>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</si>
  <si>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</si>
  <si>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</si>
  <si>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</si>
  <si>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</si>
  <si>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</si>
  <si>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</si>
  <si>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</si>
  <si>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</si>
  <si>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</si>
  <si>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</si>
  <si>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</si>
  <si>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</si>
  <si>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</si>
  <si>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</si>
  <si>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</si>
  <si>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</si>
  <si>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</si>
  <si>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</si>
  <si>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</si>
  <si>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</si>
  <si>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</si>
  <si>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</si>
  <si>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</si>
  <si>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</si>
  <si>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</si>
  <si>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</si>
  <si>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</si>
  <si>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</si>
  <si>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</si>
  <si>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</si>
  <si>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</si>
  <si>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</si>
  <si>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</si>
  <si>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</si>
  <si>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</si>
  <si>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</si>
  <si>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</si>
  <si>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</si>
  <si>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</si>
  <si>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</si>
  <si>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</si>
  <si>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</si>
  <si>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</si>
  <si>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</si>
  <si>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</si>
  <si>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</si>
  <si>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</si>
  <si>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</si>
  <si>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</si>
  <si>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</si>
  <si>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</si>
  <si>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</si>
  <si>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</si>
  <si>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</si>
  <si>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</si>
  <si>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</si>
  <si>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</si>
  <si>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</si>
  <si>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</si>
  <si>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</si>
  <si>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</si>
  <si>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</si>
  <si>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</si>
  <si>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</si>
  <si>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</si>
  <si>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</si>
  <si>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</si>
  <si>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</si>
  <si>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</si>
  <si>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</si>
  <si>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</si>
  <si>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</si>
  <si>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</si>
  <si>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</si>
  <si>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</si>
  <si>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</si>
  <si>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</si>
  <si>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</si>
  <si>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</si>
  <si>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</si>
  <si>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</si>
  <si>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</si>
  <si>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</si>
  <si>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</si>
  <si>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</si>
  <si>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</si>
  <si>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</si>
  <si>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</si>
  <si>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</si>
  <si>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</si>
  <si>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</si>
  <si>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</si>
  <si>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</si>
  <si>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</si>
  <si>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</si>
  <si>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</si>
  <si>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</si>
  <si>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</si>
  <si>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</si>
  <si>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</si>
  <si>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</si>
  <si>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</si>
  <si>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</si>
  <si>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</si>
  <si>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</si>
  <si>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</si>
  <si>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</si>
  <si>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</si>
  <si>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</si>
  <si>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</si>
  <si>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</si>
  <si>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</si>
  <si>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</si>
  <si>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</si>
  <si>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</si>
  <si>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</si>
  <si>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</si>
  <si>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</si>
  <si>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</si>
  <si>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</si>
  <si>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</si>
  <si>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</si>
  <si>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</si>
  <si>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</si>
  <si>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</si>
  <si>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</si>
  <si>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</si>
  <si>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</si>
  <si>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</si>
  <si>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</si>
  <si>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</si>
  <si>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</si>
  <si>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</si>
  <si>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</si>
  <si>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</si>
  <si>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</si>
  <si>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</si>
  <si>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</si>
  <si>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</si>
  <si>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</si>
  <si>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</si>
  <si>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</si>
  <si>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</si>
  <si>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</si>
  <si>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</si>
  <si>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</si>
  <si>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</si>
  <si>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</si>
  <si>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</si>
  <si>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</si>
  <si>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</si>
  <si>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</si>
  <si>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</si>
  <si>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</si>
  <si>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</si>
  <si>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</si>
  <si>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</si>
  <si>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</si>
  <si>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</si>
  <si>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</si>
  <si>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</si>
  <si>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</si>
  <si>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</si>
  <si>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</si>
  <si>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</si>
  <si>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</si>
  <si>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</si>
  <si>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</si>
  <si>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</si>
  <si>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</si>
  <si>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</si>
  <si>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</si>
  <si>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</si>
  <si>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</si>
  <si>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</si>
  <si>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</si>
  <si>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</si>
  <si>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</si>
  <si>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</si>
  <si>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</si>
  <si>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</si>
  <si>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</si>
  <si>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</si>
  <si>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</si>
  <si>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</si>
  <si>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</si>
  <si>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</si>
  <si>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</si>
  <si>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</si>
  <si>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</si>
  <si>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</si>
  <si>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</si>
  <si>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</si>
  <si>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</si>
  <si>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</si>
  <si>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</si>
  <si>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</si>
  <si>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</si>
  <si>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</si>
  <si>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</si>
  <si>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</si>
  <si>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</si>
  <si>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</si>
  <si>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</si>
  <si>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</si>
  <si>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</si>
  <si>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</si>
  <si>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</si>
  <si>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</si>
  <si>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</si>
  <si>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</si>
  <si>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</si>
  <si>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</si>
  <si>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</si>
  <si>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</si>
  <si>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</si>
  <si>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</si>
  <si>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</si>
  <si>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</si>
  <si>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</si>
  <si>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</si>
  <si>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</si>
  <si>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</si>
  <si>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</si>
  <si>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</si>
  <si>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</si>
  <si>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</si>
  <si>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</si>
  <si>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</si>
  <si>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</si>
  <si>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</si>
  <si>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</si>
  <si>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</si>
  <si>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</si>
  <si>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</si>
  <si>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</si>
  <si>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</si>
  <si>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</si>
  <si>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</si>
  <si>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</si>
  <si>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</si>
  <si>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</si>
  <si>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</si>
  <si>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</si>
  <si>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</si>
  <si>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</si>
  <si>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</si>
  <si>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</si>
  <si>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</si>
  <si>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</si>
  <si>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Someone answers</t>
  </si>
  <si>
    <t>Alguien contesta</t>
  </si>
  <si>
    <t>Answering machine</t>
  </si>
  <si>
    <t>Contestadora automatica</t>
  </si>
  <si>
    <t>No answer</t>
  </si>
  <si>
    <t>Sin respuesta</t>
  </si>
  <si>
    <t>Hang up or refusal</t>
  </si>
  <si>
    <t>Cuelga/no contesta</t>
  </si>
  <si>
    <t>Disconnected</t>
  </si>
  <si>
    <t>Desconectado</t>
  </si>
  <si>
    <t>reserve_origin</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</si>
  <si>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</si>
  <si>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</si>
  <si>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</si>
  <si>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</si>
  <si>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</si>
  <si>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</si>
  <si>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</si>
  <si>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</si>
  <si>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</si>
  <si>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</si>
  <si>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</si>
  <si>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</si>
  <si>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</si>
  <si>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</si>
  <si>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</si>
  <si>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</si>
  <si>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</si>
  <si>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</si>
  <si>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</si>
  <si>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</si>
  <si>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</si>
  <si>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</si>
  <si>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</si>
  <si>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</si>
  <si>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</si>
  <si>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</si>
  <si>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</si>
  <si>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</si>
  <si>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</si>
  <si>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</si>
  <si>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</si>
  <si>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</si>
  <si>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</si>
  <si>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</si>
  <si>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</si>
  <si>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</si>
  <si>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</si>
  <si>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</si>
  <si>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</si>
  <si>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</si>
  <si>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</si>
  <si>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</si>
  <si>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</si>
  <si>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un año normal</t>
  </si>
  <si>
    <t>a normal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</si>
  <si>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</si>
  <si>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</si>
  <si>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</si>
  <si>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La última temporada o la temporada en curso</t>
  </si>
  <si>
    <t>The last season or the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</si>
  <si>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</si>
  <si>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</si>
  <si>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</si>
  <si>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</si>
  <si>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</si>
  <si>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</si>
  <si>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</si>
  <si>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</si>
  <si>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</si>
  <si>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</si>
  <si>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</si>
  <si>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</si>
  <si>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</si>
  <si>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</si>
  <si>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</si>
  <si>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</si>
  <si>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</si>
  <si>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</si>
  <si>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</si>
  <si>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</si>
  <si>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</si>
  <si>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</si>
  <si>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</si>
  <si>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</si>
  <si>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</si>
  <si>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</si>
  <si>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</si>
  <si>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</si>
  <si>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</si>
  <si>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</si>
  <si>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</si>
  <si>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</si>
  <si>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</si>
  <si>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</si>
  <si>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</si>
  <si>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</si>
  <si>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</si>
  <si>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Anona, mango, banana,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</si>
  <si>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</si>
  <si>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</si>
  <si>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</si>
  <si>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</si>
  <si>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</si>
  <si>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</si>
  <si>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</si>
  <si>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</si>
  <si>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</si>
  <si>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</si>
  <si>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</si>
  <si>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</si>
  <si>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</si>
  <si>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</si>
  <si>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</si>
  <si>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</si>
  <si>
    <t>How many days over *the last 7 days*, did members of your household eat **vegetables or leaves** such as chipilin, loroco, hierba mora, quilete and/or other leaves/vegetables?</t>
  </si>
  <si>
    <t>How many days over *the last 7 days*, did members of your household eat **fruit** such as Anona, mango, banana, papaya and/or other 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</si>
</sst>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
  </numFmts>
  <fonts count="4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0"/>
      <name val="Calibri"/>
      <family val="2"/>
      <scheme val="minor"/>
    </font>
    <font>
      <sz val="11"/>
      <color theme="0" tint="-0.34998626667073579"/>
      <name val="Calibri"/>
      <family val="2"/>
      <charset val="1"/>
    </font>
    <font>
      <sz val="11"/>
      <name val="Calibri"/>
      <family val="2"/>
      <charset val="1"/>
    </font>
    <font>
      <sz val="11"/>
      <color rgb="FF0070C0"/>
      <name val="Calibri"/>
      <family val="2"/>
      <charset val="1"/>
    </font>
    <font>
      <sz val="11"/>
      <color theme="0" tint="-0.34998626667073579"/>
      <name val="Calibri (Cuerpo)"/>
      <charset val="1"/>
    </font>
    <font>
      <sz val="12"/>
      <color theme="1"/>
      <name val="Calibri"/>
      <family val="2"/>
      <scheme val="minor"/>
    </font>
    <font>
      <b/>
      <sz val="12"/>
      <color theme="0"/>
      <name val="Calibri"/>
      <family val="2"/>
      <charset val="1"/>
    </font>
    <font>
      <b/>
      <sz val="12"/>
      <name val="Calibri"/>
      <family val="2"/>
      <charset val="1"/>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A5A5A5"/>
        <bgColor rgb="FFA6A6A6"/>
      </patternFill>
    </fill>
    <fill>
      <patternFill patternType="solid">
        <fgColor theme="5" tint="0.79989013336588644"/>
        <bgColor rgb="FFF6DFDC"/>
      </patternFill>
    </fill>
    <fill>
      <patternFill patternType="solid">
        <fgColor rgb="FFF6DFDC"/>
        <bgColor rgb="FFF2DCDB"/>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1">
    <xf numFmtId="0" fontId="0" fillId="0" borderId="0"/>
    <xf numFmtId="0" fontId="41" fillId="0" borderId="0"/>
    <xf numFmtId="0" fontId="10" fillId="0" borderId="0"/>
    <xf numFmtId="0" fontId="16" fillId="0" borderId="0"/>
    <xf numFmtId="0" fontId="41" fillId="0" borderId="0"/>
    <xf numFmtId="0" fontId="41" fillId="0" borderId="0"/>
    <xf numFmtId="0" fontId="20" fillId="4" borderId="14"/>
    <xf numFmtId="9" fontId="10" fillId="0" borderId="0"/>
    <xf numFmtId="0" fontId="41" fillId="0" borderId="0"/>
    <xf numFmtId="0" fontId="41" fillId="0" borderId="0"/>
    <xf numFmtId="0" fontId="41" fillId="0" borderId="0"/>
    <xf numFmtId="0" fontId="41" fillId="0" borderId="0"/>
    <xf numFmtId="0" fontId="10" fillId="0" borderId="0"/>
    <xf numFmtId="0" fontId="41" fillId="0" borderId="0"/>
    <xf numFmtId="0" fontId="10" fillId="0" borderId="0"/>
    <xf numFmtId="0" fontId="41" fillId="0" borderId="0"/>
    <xf numFmtId="0" fontId="10" fillId="0" borderId="0"/>
    <xf numFmtId="0" fontId="41" fillId="0" borderId="0"/>
    <xf numFmtId="0" fontId="41" fillId="0" borderId="0"/>
    <xf numFmtId="0" fontId="41" fillId="0" borderId="0"/>
    <xf numFmtId="0" fontId="42" fillId="12" borderId="14"/>
  </cellStyleXfs>
  <cellXfs count="348">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6" fillId="3" borderId="7" xfId="10" applyFont="1" applyFill="1" applyBorder="1" applyAlignment="1" applyProtection="1">
      <alignment horizontal="center" vertical="center"/>
      <protection locked="0"/>
    </xf>
    <xf numFmtId="0" fontId="6" fillId="3" borderId="4" xfId="10" applyFont="1" applyFill="1" applyBorder="1" applyAlignment="1" applyProtection="1">
      <alignment horizontal="center" vertical="center"/>
      <protection locked="0"/>
    </xf>
    <xf numFmtId="0" fontId="22"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2"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6"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5" fillId="2" borderId="0" xfId="0" applyFont="1" applyFill="1" applyAlignment="1" applyProtection="1">
      <alignment vertical="top"/>
      <protection locked="0"/>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5" fillId="0" borderId="0" xfId="0" applyFont="1" applyAlignment="1" applyProtection="1">
      <alignment vertical="center"/>
      <protection locked="0"/>
    </xf>
    <xf numFmtId="0" fontId="12" fillId="0" borderId="0" xfId="0" applyFont="1" applyAlignment="1" applyProtection="1">
      <alignment vertical="center" wrapText="1"/>
      <protection locked="0"/>
    </xf>
    <xf numFmtId="0" fontId="8" fillId="0" borderId="0" xfId="0" applyFont="1" applyAlignment="1">
      <alignment vertical="center"/>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2"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9" fillId="2" borderId="0" xfId="0" applyFont="1" applyFill="1" applyAlignment="1" applyProtection="1">
      <alignment vertical="top" wrapText="1"/>
      <protection locked="0"/>
    </xf>
    <xf numFmtId="0" fontId="29" fillId="2" borderId="0" xfId="0" applyFont="1" applyFill="1" applyAlignment="1" applyProtection="1">
      <alignment vertical="top"/>
      <protection locked="0"/>
    </xf>
    <xf numFmtId="0" fontId="23" fillId="0" borderId="0" xfId="0" applyFont="1" applyAlignment="1" applyProtection="1">
      <alignment vertical="top" wrapText="1"/>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9" fillId="0" borderId="0" xfId="0" applyNumberFormat="1" applyFont="1" applyAlignment="1">
      <alignment horizontal="left" vertical="top" wrapText="1"/>
    </xf>
    <xf numFmtId="0" fontId="25" fillId="0" borderId="0" xfId="0" applyFont="1" applyProtection="1">
      <protection locked="0"/>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0" fontId="9"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12" fillId="3" borderId="0" xfId="0" applyFont="1" applyFill="1" applyProtection="1">
      <protection locked="0"/>
    </xf>
    <xf numFmtId="0" fontId="23" fillId="2" borderId="0" xfId="0" applyFont="1" applyFill="1" applyProtection="1">
      <protection locked="0"/>
    </xf>
    <xf numFmtId="0" fontId="23" fillId="0" borderId="0" xfId="0" applyFont="1" applyProtection="1">
      <protection locked="0"/>
    </xf>
    <xf numFmtId="0" fontId="0" fillId="3" borderId="0" xfId="0" applyFill="1" applyProtection="1">
      <protection locked="0"/>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0" fontId="0" fillId="0" borderId="0" xfId="0" applyAlignment="1" applyProtection="1">
      <alignment horizontal="left" vertical="center" wrapText="1"/>
      <protection locked="0"/>
    </xf>
    <xf numFmtId="0" fontId="11" fillId="0" borderId="0" xfId="0" applyFont="1" applyAlignment="1">
      <alignment horizontal="left" vertical="top"/>
    </xf>
    <xf numFmtId="164" fontId="18" fillId="0" borderId="50"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49"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5" fillId="2" borderId="7" xfId="17" applyFont="1" applyFill="1" applyBorder="1" applyAlignment="1" applyProtection="1">
      <alignment horizontal="center" vertical="center"/>
      <protection locked="0"/>
    </xf>
    <xf numFmtId="0" fontId="6" fillId="0" borderId="2" xfId="10" applyFont="1" applyBorder="1"/>
    <xf numFmtId="0" fontId="6" fillId="0" borderId="13" xfId="10" applyFont="1" applyBorder="1"/>
    <xf numFmtId="0" fontId="6" fillId="0" borderId="13" xfId="10" applyFont="1" applyBorder="1" applyAlignment="1">
      <alignment vertical="center"/>
    </xf>
    <xf numFmtId="0" fontId="5" fillId="0" borderId="13" xfId="17" applyFont="1" applyBorder="1"/>
    <xf numFmtId="0" fontId="6" fillId="0" borderId="6" xfId="10" applyFont="1" applyBorder="1" applyAlignment="1">
      <alignment vertical="center"/>
    </xf>
    <xf numFmtId="0" fontId="6"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46" xfId="10" applyFont="1" applyBorder="1" applyAlignment="1">
      <alignment horizontal="center" vertical="center"/>
    </xf>
    <xf numFmtId="0" fontId="19" fillId="0" borderId="26" xfId="10" applyFont="1" applyBorder="1" applyAlignment="1">
      <alignment horizontal="center" vertical="center"/>
    </xf>
    <xf numFmtId="0" fontId="19" fillId="0" borderId="46" xfId="17" applyFont="1" applyBorder="1" applyAlignment="1">
      <alignment horizontal="center" vertical="center"/>
    </xf>
    <xf numFmtId="0" fontId="19" fillId="0" borderId="18" xfId="10" applyFont="1" applyBorder="1" applyAlignment="1">
      <alignment horizontal="center" vertical="center"/>
    </xf>
    <xf numFmtId="0" fontId="6" fillId="0" borderId="23" xfId="10" applyFont="1" applyBorder="1" applyAlignment="1">
      <alignment vertical="center"/>
    </xf>
    <xf numFmtId="0" fontId="6" fillId="0" borderId="2" xfId="10" applyFont="1" applyBorder="1" applyAlignment="1">
      <alignment vertical="center"/>
    </xf>
    <xf numFmtId="0" fontId="6" fillId="0" borderId="6" xfId="10" applyFont="1" applyBorder="1"/>
    <xf numFmtId="0" fontId="17" fillId="0" borderId="15" xfId="5" applyFont="1" applyBorder="1" applyAlignment="1">
      <alignment horizontal="left" vertical="center" wrapText="1"/>
    </xf>
    <xf numFmtId="0" fontId="5" fillId="5" borderId="54" xfId="17" applyFont="1" applyFill="1" applyBorder="1" applyAlignment="1">
      <alignment horizontal="center" vertical="center"/>
    </xf>
    <xf numFmtId="0" fontId="18" fillId="0" borderId="47" xfId="5" applyFont="1" applyBorder="1" applyAlignment="1">
      <alignment vertical="center" wrapText="1"/>
    </xf>
    <xf numFmtId="0" fontId="18" fillId="0" borderId="16" xfId="5" applyFont="1" applyBorder="1" applyAlignment="1">
      <alignment vertical="center" wrapText="1"/>
    </xf>
    <xf numFmtId="0" fontId="10" fillId="0" borderId="52" xfId="17" applyFont="1" applyBorder="1" applyAlignment="1">
      <alignment horizontal="center" vertical="center"/>
    </xf>
    <xf numFmtId="0" fontId="32" fillId="0" borderId="42" xfId="5" applyFont="1" applyBorder="1" applyAlignment="1">
      <alignment horizontal="center" vertical="center"/>
    </xf>
    <xf numFmtId="0" fontId="6" fillId="0" borderId="23" xfId="10" applyFont="1" applyBorder="1"/>
    <xf numFmtId="0" fontId="17" fillId="0" borderId="10" xfId="5" applyFont="1" applyBorder="1" applyAlignment="1">
      <alignment horizontal="left" vertical="center"/>
    </xf>
    <xf numFmtId="0" fontId="5" fillId="5" borderId="7" xfId="17" applyFont="1" applyFill="1" applyBorder="1" applyAlignment="1">
      <alignment horizontal="center" vertical="center"/>
    </xf>
    <xf numFmtId="0" fontId="17" fillId="0" borderId="7" xfId="5" applyFont="1" applyBorder="1" applyAlignment="1">
      <alignment vertical="center" wrapText="1"/>
    </xf>
    <xf numFmtId="0" fontId="17" fillId="0" borderId="9" xfId="5" applyFont="1" applyBorder="1" applyAlignment="1">
      <alignment vertical="center" wrapText="1"/>
    </xf>
    <xf numFmtId="0" fontId="10" fillId="0" borderId="53" xfId="17" applyFont="1" applyBorder="1" applyAlignment="1">
      <alignment horizontal="center" vertical="center"/>
    </xf>
    <xf numFmtId="0" fontId="32" fillId="0" borderId="43" xfId="5" applyFont="1" applyBorder="1" applyAlignment="1">
      <alignment horizontal="center" vertical="center"/>
    </xf>
    <xf numFmtId="0" fontId="17" fillId="0" borderId="38" xfId="10" applyFont="1" applyBorder="1" applyAlignment="1">
      <alignment horizontal="left" vertical="center"/>
    </xf>
    <xf numFmtId="0" fontId="17" fillId="0" borderId="38" xfId="17" applyFont="1" applyBorder="1" applyAlignment="1">
      <alignment horizontal="center" vertical="center" wrapText="1"/>
    </xf>
    <xf numFmtId="0" fontId="32" fillId="0" borderId="32" xfId="10" applyFont="1" applyBorder="1" applyAlignment="1">
      <alignment horizontal="center" vertical="center" wrapText="1"/>
    </xf>
    <xf numFmtId="0" fontId="17" fillId="0" borderId="37" xfId="10" applyFont="1" applyBorder="1" applyAlignment="1">
      <alignment horizontal="left" vertical="center"/>
    </xf>
    <xf numFmtId="0" fontId="17" fillId="0" borderId="37" xfId="17" applyFont="1" applyBorder="1" applyAlignment="1">
      <alignment horizontal="center" vertical="center" wrapText="1"/>
    </xf>
    <xf numFmtId="0" fontId="32" fillId="0" borderId="28" xfId="10" applyFont="1" applyBorder="1" applyAlignment="1">
      <alignment horizontal="center" vertical="center" wrapText="1"/>
    </xf>
    <xf numFmtId="0" fontId="7"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32" fillId="0" borderId="28" xfId="5" applyFont="1" applyBorder="1" applyAlignment="1">
      <alignment horizontal="center" vertical="center" wrapText="1"/>
    </xf>
    <xf numFmtId="0" fontId="7" fillId="0" borderId="23" xfId="5" applyFont="1" applyBorder="1"/>
    <xf numFmtId="0" fontId="7" fillId="0" borderId="2" xfId="5" applyFont="1" applyBorder="1"/>
    <xf numFmtId="0" fontId="18" fillId="0" borderId="7" xfId="10" applyFont="1" applyBorder="1" applyAlignment="1">
      <alignment vertical="center" wrapText="1"/>
    </xf>
    <xf numFmtId="0" fontId="18" fillId="0" borderId="37" xfId="17" applyFont="1" applyBorder="1" applyAlignment="1">
      <alignment horizontal="center" vertical="center" wrapText="1"/>
    </xf>
    <xf numFmtId="0" fontId="18" fillId="0" borderId="28" xfId="10" applyFont="1" applyBorder="1" applyAlignment="1">
      <alignment horizontal="center" vertical="center" wrapText="1"/>
    </xf>
    <xf numFmtId="0" fontId="5" fillId="5" borderId="7" xfId="17" applyFont="1" applyFill="1" applyBorder="1" applyAlignment="1">
      <alignment horizontal="center" vertical="center" wrapText="1"/>
    </xf>
    <xf numFmtId="0" fontId="17" fillId="0" borderId="44" xfId="5" applyFont="1" applyBorder="1" applyAlignment="1">
      <alignment vertical="center"/>
    </xf>
    <xf numFmtId="0" fontId="18" fillId="0" borderId="19" xfId="10" applyFont="1" applyBorder="1" applyAlignment="1">
      <alignment vertical="center" wrapText="1"/>
    </xf>
    <xf numFmtId="0" fontId="18" fillId="0" borderId="28" xfId="5" applyFont="1" applyBorder="1" applyAlignment="1">
      <alignment horizontal="center" vertical="center" wrapText="1"/>
    </xf>
    <xf numFmtId="0" fontId="17" fillId="0" borderId="34" xfId="5" applyFont="1" applyBorder="1" applyAlignment="1">
      <alignment vertical="center"/>
    </xf>
    <xf numFmtId="4" fontId="5" fillId="5" borderId="4" xfId="17" applyNumberFormat="1" applyFont="1" applyFill="1" applyBorder="1" applyAlignment="1">
      <alignment horizontal="center" vertical="center"/>
    </xf>
    <xf numFmtId="0" fontId="18" fillId="0" borderId="35" xfId="10" applyFont="1" applyBorder="1" applyAlignment="1">
      <alignment vertical="center" wrapText="1"/>
    </xf>
    <xf numFmtId="2" fontId="18" fillId="0" borderId="48" xfId="17" applyNumberFormat="1" applyFont="1" applyBorder="1" applyAlignment="1">
      <alignment horizontal="center" vertical="center" wrapText="1"/>
    </xf>
    <xf numFmtId="0" fontId="32" fillId="0" borderId="36" xfId="5" applyFont="1" applyBorder="1" applyAlignment="1">
      <alignment horizontal="center" vertical="center" wrapText="1"/>
    </xf>
    <xf numFmtId="0" fontId="17" fillId="0" borderId="10" xfId="10" applyFont="1" applyBorder="1" applyAlignment="1">
      <alignment horizontal="left" vertical="center"/>
    </xf>
    <xf numFmtId="0" fontId="17" fillId="0" borderId="31" xfId="10" applyFont="1" applyBorder="1" applyAlignment="1">
      <alignment vertical="center" wrapText="1"/>
    </xf>
    <xf numFmtId="0" fontId="31" fillId="0" borderId="32" xfId="10" applyFont="1" applyBorder="1" applyAlignment="1">
      <alignment horizontal="center"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31" fillId="0" borderId="28" xfId="10" applyFont="1" applyBorder="1" applyAlignment="1">
      <alignment horizontal="center" vertical="center" wrapText="1"/>
    </xf>
    <xf numFmtId="0" fontId="6" fillId="0" borderId="40" xfId="10" applyFont="1" applyBorder="1"/>
    <xf numFmtId="0" fontId="6" fillId="5" borderId="23" xfId="10" applyFont="1" applyFill="1" applyBorder="1"/>
    <xf numFmtId="0" fontId="17" fillId="0" borderId="8" xfId="10" applyFont="1" applyBorder="1" applyAlignment="1">
      <alignment horizontal="left" vertical="center" wrapText="1"/>
    </xf>
    <xf numFmtId="0" fontId="17" fillId="0" borderId="5" xfId="10" applyFont="1" applyBorder="1" applyAlignment="1">
      <alignment horizontal="left" vertical="center" wrapText="1"/>
    </xf>
    <xf numFmtId="0" fontId="18" fillId="0" borderId="30" xfId="10" applyFont="1" applyBorder="1" applyAlignment="1">
      <alignment vertical="center" wrapText="1"/>
    </xf>
    <xf numFmtId="0" fontId="18" fillId="0" borderId="49" xfId="17" applyFont="1" applyBorder="1" applyAlignment="1">
      <alignment horizontal="center" vertical="center" wrapText="1"/>
    </xf>
    <xf numFmtId="0" fontId="18" fillId="0" borderId="22" xfId="10" applyFont="1" applyBorder="1" applyAlignment="1">
      <alignment horizontal="center" vertical="center" wrapText="1"/>
    </xf>
    <xf numFmtId="0" fontId="6" fillId="5" borderId="6" xfId="10" applyFont="1" applyFill="1" applyBorder="1"/>
    <xf numFmtId="0" fontId="6" fillId="5" borderId="33" xfId="10" applyFont="1" applyFill="1" applyBorder="1" applyAlignment="1">
      <alignment wrapText="1"/>
    </xf>
    <xf numFmtId="0" fontId="17" fillId="5" borderId="34" xfId="10" applyFont="1" applyFill="1" applyBorder="1" applyAlignment="1">
      <alignment vertical="center"/>
    </xf>
    <xf numFmtId="0" fontId="6" fillId="5" borderId="24" xfId="10" applyFont="1" applyFill="1" applyBorder="1" applyAlignment="1">
      <alignment horizontal="center" vertical="center"/>
    </xf>
    <xf numFmtId="0" fontId="6" fillId="5" borderId="45" xfId="10" applyFont="1" applyFill="1" applyBorder="1" applyAlignment="1">
      <alignment horizontal="center" vertical="center"/>
    </xf>
    <xf numFmtId="0" fontId="18" fillId="5" borderId="35" xfId="10" applyFont="1" applyFill="1" applyBorder="1" applyAlignment="1">
      <alignment vertical="center" wrapText="1"/>
    </xf>
    <xf numFmtId="0" fontId="18" fillId="5" borderId="48" xfId="17" applyFont="1" applyFill="1" applyBorder="1" applyAlignment="1">
      <alignment horizontal="center" vertical="center" wrapText="1"/>
    </xf>
    <xf numFmtId="0" fontId="18" fillId="5" borderId="36" xfId="10" applyFont="1" applyFill="1" applyBorder="1" applyAlignment="1">
      <alignment horizontal="center" vertical="center" wrapText="1"/>
    </xf>
    <xf numFmtId="0" fontId="6" fillId="5" borderId="2" xfId="10" applyFont="1" applyFill="1" applyBorder="1"/>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4" fillId="0" borderId="8" xfId="10" applyFont="1" applyBorder="1" applyAlignment="1">
      <alignment horizontal="center" vertical="center" wrapText="1"/>
    </xf>
    <xf numFmtId="0" fontId="28" fillId="0" borderId="7" xfId="10" applyFont="1" applyBorder="1" applyAlignment="1">
      <alignment vertical="center" wrapText="1"/>
    </xf>
    <xf numFmtId="0" fontId="24" fillId="0" borderId="5" xfId="10" applyFont="1" applyBorder="1" applyAlignment="1">
      <alignment horizontal="center" vertical="center" wrapText="1"/>
    </xf>
    <xf numFmtId="0" fontId="28" fillId="0" borderId="4" xfId="10" applyFont="1" applyBorder="1" applyAlignment="1">
      <alignment vertical="center" wrapText="1"/>
    </xf>
    <xf numFmtId="0" fontId="6" fillId="0" borderId="3" xfId="10" applyFont="1" applyBorder="1"/>
    <xf numFmtId="0" fontId="6" fillId="0" borderId="3" xfId="10" applyFont="1" applyBorder="1" applyAlignment="1">
      <alignment vertical="center"/>
    </xf>
    <xf numFmtId="0" fontId="5" fillId="0" borderId="3" xfId="17" applyFont="1" applyBorder="1"/>
    <xf numFmtId="0" fontId="5" fillId="0" borderId="2" xfId="17" applyFont="1" applyBorder="1"/>
    <xf numFmtId="164" fontId="6" fillId="2" borderId="16" xfId="10" applyNumberFormat="1" applyFont="1" applyFill="1" applyBorder="1" applyAlignment="1" applyProtection="1">
      <alignment horizontal="center" vertical="center"/>
      <protection locked="0"/>
    </xf>
    <xf numFmtId="164" fontId="6" fillId="2" borderId="7" xfId="10" applyNumberFormat="1" applyFont="1" applyFill="1" applyBorder="1" applyAlignment="1" applyProtection="1">
      <alignment horizontal="center" vertical="center"/>
      <protection locked="0"/>
    </xf>
    <xf numFmtId="164" fontId="6"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21" fillId="0" borderId="7" xfId="6"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left" vertical="center" wrapText="1"/>
    </xf>
    <xf numFmtId="0" fontId="33" fillId="8" borderId="0" xfId="0" applyFont="1" applyFill="1" applyProtection="1">
      <protection locked="0"/>
    </xf>
    <xf numFmtId="0" fontId="11" fillId="8" borderId="0" xfId="0" applyFont="1" applyFill="1" applyProtection="1">
      <protection locked="0"/>
    </xf>
    <xf numFmtId="0" fontId="33" fillId="0" borderId="0" xfId="0" applyFont="1" applyProtection="1">
      <protection locked="0"/>
    </xf>
    <xf numFmtId="0" fontId="17" fillId="0" borderId="7" xfId="17" applyFont="1" applyBorder="1" applyAlignment="1">
      <alignment vertical="center" wrapText="1"/>
    </xf>
    <xf numFmtId="0" fontId="18" fillId="0" borderId="7" xfId="17" applyFont="1" applyBorder="1" applyAlignment="1">
      <alignment vertical="center" wrapText="1"/>
    </xf>
    <xf numFmtId="0" fontId="18" fillId="0" borderId="37" xfId="17" applyFont="1" applyBorder="1" applyAlignment="1">
      <alignment vertical="center" wrapText="1"/>
    </xf>
    <xf numFmtId="0" fontId="18" fillId="0" borderId="48" xfId="17" applyFont="1" applyBorder="1" applyAlignment="1">
      <alignment vertical="center" wrapText="1"/>
    </xf>
    <xf numFmtId="0" fontId="17" fillId="0" borderId="55" xfId="17" applyFont="1" applyBorder="1" applyAlignment="1">
      <alignment vertical="center" wrapText="1"/>
    </xf>
    <xf numFmtId="0" fontId="18" fillId="0" borderId="56" xfId="17" applyFont="1" applyBorder="1" applyAlignment="1">
      <alignment vertical="center" wrapText="1"/>
    </xf>
    <xf numFmtId="0" fontId="18" fillId="0" borderId="56" xfId="17" applyFont="1" applyBorder="1" applyAlignment="1">
      <alignment wrapText="1"/>
    </xf>
    <xf numFmtId="0" fontId="18" fillId="0" borderId="49" xfId="17" applyFont="1" applyBorder="1" applyAlignment="1">
      <alignment vertical="center" wrapText="1"/>
    </xf>
    <xf numFmtId="0" fontId="28" fillId="0" borderId="50" xfId="17" applyFont="1" applyBorder="1" applyAlignment="1">
      <alignment vertical="center" wrapText="1"/>
    </xf>
    <xf numFmtId="0" fontId="28" fillId="0" borderId="51" xfId="17" applyFont="1" applyBorder="1" applyAlignment="1">
      <alignment vertical="center" wrapText="1"/>
    </xf>
    <xf numFmtId="0" fontId="28" fillId="0" borderId="49" xfId="17" applyFont="1" applyBorder="1" applyAlignment="1">
      <alignment vertical="center" wrapText="1"/>
    </xf>
    <xf numFmtId="0" fontId="5" fillId="9" borderId="7" xfId="17" applyFont="1" applyFill="1" applyBorder="1" applyAlignment="1" applyProtection="1">
      <alignment horizontal="center" vertical="center"/>
      <protection locked="0"/>
    </xf>
    <xf numFmtId="0" fontId="11" fillId="0" borderId="7" xfId="3" applyFont="1" applyBorder="1" applyAlignment="1" applyProtection="1">
      <alignment horizontal="center" vertical="center" wrapText="1"/>
      <protection locked="0"/>
    </xf>
    <xf numFmtId="0" fontId="11" fillId="0" borderId="0" xfId="2" applyFont="1" applyAlignment="1" applyProtection="1">
      <alignment wrapText="1"/>
      <protection locked="0"/>
    </xf>
    <xf numFmtId="0" fontId="13" fillId="0" borderId="0" xfId="0" applyFont="1"/>
    <xf numFmtId="0" fontId="11" fillId="0" borderId="0" xfId="0" applyFont="1"/>
    <xf numFmtId="0" fontId="12" fillId="0" borderId="0" xfId="0" applyFont="1"/>
    <xf numFmtId="0" fontId="33" fillId="0" borderId="0" xfId="0" applyFont="1"/>
    <xf numFmtId="49" fontId="34" fillId="5" borderId="57" xfId="0" applyNumberFormat="1" applyFont="1" applyFill="1" applyBorder="1" applyAlignment="1">
      <alignment vertical="center" wrapText="1"/>
    </xf>
    <xf numFmtId="0" fontId="35" fillId="0" borderId="0" xfId="0" applyFont="1" applyAlignment="1">
      <alignment vertical="top" wrapText="1"/>
    </xf>
    <xf numFmtId="0" fontId="4" fillId="0" borderId="7" xfId="5" applyFont="1" applyBorder="1" applyAlignment="1">
      <alignment horizontal="center" vertical="center"/>
    </xf>
    <xf numFmtId="0" fontId="4" fillId="0" borderId="2" xfId="10" applyFont="1" applyBorder="1"/>
    <xf numFmtId="0" fontId="4" fillId="3" borderId="7" xfId="5" applyFont="1" applyFill="1" applyBorder="1" applyAlignment="1" applyProtection="1">
      <alignment horizontal="center" vertical="center"/>
      <protection locked="0"/>
    </xf>
    <xf numFmtId="164" fontId="4" fillId="5" borderId="16" xfId="7" applyNumberFormat="1" applyFont="1" applyFill="1" applyBorder="1" applyAlignment="1">
      <alignment horizontal="center" vertical="center"/>
    </xf>
    <xf numFmtId="164" fontId="4" fillId="5" borderId="7" xfId="7" applyNumberFormat="1" applyFont="1" applyFill="1" applyBorder="1" applyAlignment="1">
      <alignment horizontal="center" vertical="center"/>
    </xf>
    <xf numFmtId="164" fontId="4" fillId="5" borderId="4" xfId="7" applyNumberFormat="1" applyFont="1" applyFill="1" applyBorder="1" applyAlignment="1">
      <alignment horizontal="center" vertical="center"/>
    </xf>
    <xf numFmtId="0" fontId="22" fillId="0" borderId="0" xfId="0" applyFont="1" applyAlignment="1" applyProtection="1">
      <alignment vertical="center"/>
      <protection locked="0"/>
    </xf>
    <xf numFmtId="0" fontId="11" fillId="7" borderId="0" xfId="0" applyFont="1" applyFill="1" applyAlignment="1" applyProtection="1">
      <alignment vertical="top"/>
      <protection locked="0"/>
    </xf>
    <xf numFmtId="0" fontId="11" fillId="7" borderId="0" xfId="0" applyFont="1" applyFill="1" applyAlignment="1" applyProtection="1">
      <alignment vertical="top" wrapText="1"/>
      <protection locked="0"/>
    </xf>
    <xf numFmtId="0" fontId="23" fillId="7" borderId="0" xfId="0" applyFont="1" applyFill="1" applyAlignment="1" applyProtection="1">
      <alignment vertical="top"/>
      <protection locked="0"/>
    </xf>
    <xf numFmtId="0" fontId="30" fillId="7" borderId="0" xfId="0" applyFont="1" applyFill="1" applyProtection="1">
      <protection locked="0"/>
    </xf>
    <xf numFmtId="0" fontId="11" fillId="7" borderId="0" xfId="0" applyFont="1" applyFill="1" applyAlignment="1" applyProtection="1">
      <alignment vertical="center"/>
      <protection locked="0"/>
    </xf>
    <xf numFmtId="0" fontId="12" fillId="7" borderId="0" xfId="0" applyFont="1" applyFill="1" applyAlignment="1" applyProtection="1">
      <alignment vertical="center"/>
      <protection locked="0"/>
    </xf>
    <xf numFmtId="0" fontId="36" fillId="0" borderId="0" xfId="0" applyFont="1" applyAlignment="1" applyProtection="1">
      <alignment vertical="top"/>
      <protection locked="0"/>
    </xf>
    <xf numFmtId="9" fontId="36" fillId="0" borderId="0" xfId="7" applyFont="1" applyAlignment="1" applyProtection="1">
      <alignment vertical="top"/>
      <protection locked="0"/>
    </xf>
    <xf numFmtId="165" fontId="36" fillId="0" borderId="0" xfId="0" applyNumberFormat="1" applyFont="1" applyAlignment="1" applyProtection="1">
      <alignment vertical="top"/>
      <protection locked="0"/>
    </xf>
    <xf numFmtId="0" fontId="22" fillId="7" borderId="0" xfId="0" applyFont="1" applyFill="1" applyAlignment="1" applyProtection="1">
      <alignment vertical="top"/>
      <protection locked="0"/>
    </xf>
    <xf numFmtId="0" fontId="11" fillId="7" borderId="1" xfId="0" applyFont="1" applyFill="1" applyBorder="1" applyAlignment="1" applyProtection="1">
      <alignment vertical="top"/>
      <protection locked="0"/>
    </xf>
    <xf numFmtId="0" fontId="11" fillId="7" borderId="1" xfId="0" applyFont="1" applyFill="1" applyBorder="1" applyAlignment="1" applyProtection="1">
      <alignment vertical="top" wrapText="1"/>
      <protection locked="0"/>
    </xf>
    <xf numFmtId="0" fontId="11" fillId="7" borderId="1" xfId="0" applyFont="1" applyFill="1" applyBorder="1" applyAlignment="1" applyProtection="1">
      <alignment vertical="center"/>
      <protection locked="0"/>
    </xf>
    <xf numFmtId="0" fontId="11" fillId="7" borderId="0" xfId="0" applyFont="1" applyFill="1" applyProtection="1">
      <protection locked="0"/>
    </xf>
    <xf numFmtId="0" fontId="11" fillId="7" borderId="0" xfId="0" applyFont="1" applyFill="1" applyAlignment="1" applyProtection="1">
      <alignment horizontal="left" vertical="top"/>
      <protection locked="0"/>
    </xf>
    <xf numFmtId="0" fontId="0" fillId="10" borderId="0" xfId="0" applyFill="1" applyAlignment="1">
      <alignment vertical="top"/>
    </xf>
    <xf numFmtId="0" fontId="12" fillId="0" borderId="0" xfId="0" applyFont="1" applyAlignment="1" applyProtection="1">
      <alignment horizontal="left" vertical="center" wrapText="1"/>
      <protection locked="0"/>
    </xf>
    <xf numFmtId="0" fontId="0" fillId="10" borderId="0" xfId="0" applyFill="1" applyAlignment="1">
      <alignment vertical="top" wrapText="1"/>
    </xf>
    <xf numFmtId="0" fontId="0" fillId="2" borderId="0" xfId="0" applyFill="1" applyAlignment="1" applyProtection="1">
      <alignment horizontal="left" vertical="center" wrapText="1"/>
      <protection locked="0"/>
    </xf>
    <xf numFmtId="165" fontId="11" fillId="0" borderId="0" xfId="0" applyNumberFormat="1" applyFont="1" applyAlignment="1" applyProtection="1">
      <alignment horizontal="left" vertical="center" wrapText="1"/>
      <protection locked="0"/>
    </xf>
    <xf numFmtId="9" fontId="11" fillId="0" borderId="0" xfId="7" applyFont="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0" fillId="11" borderId="0" xfId="0" applyFont="1" applyFill="1" applyAlignment="1" applyProtection="1">
      <alignment horizontal="left" vertical="center" wrapText="1"/>
      <protection locked="0"/>
    </xf>
    <xf numFmtId="0" fontId="12" fillId="2" borderId="0" xfId="0" applyFont="1" applyFill="1" applyAlignment="1" applyProtection="1">
      <alignment horizontal="left" vertical="center" wrapText="1"/>
      <protection locked="0"/>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2" borderId="1" xfId="0" applyFont="1" applyFill="1" applyBorder="1" applyAlignment="1" applyProtection="1">
      <alignment horizontal="lef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vertical="top"/>
      <protection locked="0"/>
    </xf>
    <xf numFmtId="164" fontId="11" fillId="0" borderId="0" xfId="0" applyNumberFormat="1" applyFont="1" applyAlignment="1" applyProtection="1">
      <alignment horizontal="left" vertical="center" wrapText="1"/>
      <protection locked="0"/>
    </xf>
    <xf numFmtId="0" fontId="23" fillId="0" borderId="0" xfId="0" applyFont="1" applyAlignment="1" applyProtection="1">
      <alignment horizontal="left" vertical="center" wrapText="1"/>
      <protection locked="0"/>
    </xf>
    <xf numFmtId="165" fontId="12" fillId="0" borderId="0" xfId="0" applyNumberFormat="1" applyFont="1" applyAlignment="1" applyProtection="1">
      <alignment horizontal="left" vertical="center" wrapText="1"/>
      <protection locked="0"/>
    </xf>
    <xf numFmtId="9" fontId="12" fillId="0" borderId="0" xfId="0" applyNumberFormat="1" applyFont="1" applyAlignment="1" applyProtection="1">
      <alignment horizontal="left" vertical="center" wrapText="1"/>
      <protection locked="0"/>
    </xf>
    <xf numFmtId="0" fontId="37" fillId="0" borderId="0" xfId="0" applyFont="1" applyAlignment="1" applyProtection="1">
      <alignment vertical="top"/>
      <protection locked="0"/>
    </xf>
    <xf numFmtId="0" fontId="37" fillId="0" borderId="0" xfId="0" applyFont="1" applyAlignment="1" applyProtection="1">
      <alignment vertical="top" wrapText="1"/>
      <protection locked="0"/>
    </xf>
    <xf numFmtId="0" fontId="37" fillId="0" borderId="0" xfId="0" applyFont="1" applyAlignment="1" applyProtection="1">
      <alignment vertical="center"/>
      <protection locked="0"/>
    </xf>
    <xf numFmtId="165" fontId="37" fillId="0" borderId="0" xfId="0" applyNumberFormat="1" applyFont="1" applyAlignment="1" applyProtection="1">
      <alignment horizontal="right" vertical="top"/>
      <protection locked="0"/>
    </xf>
    <xf numFmtId="166" fontId="37" fillId="0" borderId="0" xfId="0" applyNumberFormat="1" applyFont="1" applyAlignment="1" applyProtection="1">
      <alignment vertical="top"/>
      <protection locked="0"/>
    </xf>
    <xf numFmtId="165" fontId="37" fillId="0" borderId="0" xfId="0" applyNumberFormat="1" applyFont="1" applyAlignment="1" applyProtection="1">
      <alignment vertical="top"/>
      <protection locked="0"/>
    </xf>
    <xf numFmtId="0" fontId="38" fillId="0" borderId="0" xfId="0" applyFont="1" applyAlignment="1" applyProtection="1">
      <alignment horizontal="right" vertical="top"/>
      <protection locked="0"/>
    </xf>
    <xf numFmtId="9" fontId="38" fillId="0" borderId="0" xfId="7" applyFont="1" applyAlignment="1" applyProtection="1">
      <alignment vertical="top"/>
      <protection locked="0"/>
    </xf>
    <xf numFmtId="0" fontId="38" fillId="0" borderId="0" xfId="0" applyFont="1" applyAlignment="1" applyProtection="1">
      <alignment vertical="top"/>
      <protection locked="0"/>
    </xf>
    <xf numFmtId="0" fontId="39" fillId="0" borderId="0" xfId="0" applyFont="1" applyAlignment="1" applyProtection="1">
      <alignment vertical="top"/>
      <protection locked="0"/>
    </xf>
    <xf numFmtId="0" fontId="39" fillId="0" borderId="0" xfId="0" applyFont="1" applyAlignment="1" applyProtection="1">
      <alignment vertical="center"/>
      <protection locked="0"/>
    </xf>
    <xf numFmtId="165" fontId="38" fillId="0" borderId="0" xfId="0" applyNumberFormat="1" applyFont="1" applyAlignment="1" applyProtection="1">
      <alignment horizontal="right" vertical="top"/>
      <protection locked="0"/>
    </xf>
    <xf numFmtId="166" fontId="38" fillId="0" borderId="0" xfId="0" applyNumberFormat="1" applyFont="1" applyAlignment="1" applyProtection="1">
      <alignment vertical="top"/>
      <protection locked="0"/>
    </xf>
    <xf numFmtId="165" fontId="38" fillId="0" borderId="0" xfId="0" applyNumberFormat="1" applyFont="1" applyAlignment="1" applyProtection="1">
      <alignment vertical="top"/>
      <protection locked="0"/>
    </xf>
    <xf numFmtId="0" fontId="40" fillId="0" borderId="0" xfId="0" applyFont="1" applyAlignment="1" applyProtection="1">
      <alignment vertical="top" wrapText="1"/>
      <protection locked="0"/>
    </xf>
    <xf numFmtId="9" fontId="11" fillId="0" borderId="0" xfId="0" applyNumberFormat="1" applyFont="1" applyAlignment="1" applyProtection="1">
      <alignment horizontal="left" vertical="center" wrapText="1"/>
      <protection locked="0"/>
    </xf>
    <xf numFmtId="0" fontId="0" fillId="0" borderId="0" xfId="0" applyAlignment="1" applyProtection="1">
      <alignment horizontal="left"/>
      <protection locked="0"/>
    </xf>
    <xf numFmtId="0" fontId="14" fillId="0" borderId="0" xfId="0" applyFont="1" applyAlignment="1" applyProtection="1">
      <alignment horizontal="left"/>
      <protection locked="0"/>
    </xf>
    <xf numFmtId="0" fontId="41" fillId="0" borderId="0" xfId="0" applyFont="1" applyProtection="1">
      <protection locked="0"/>
    </xf>
    <xf numFmtId="0" fontId="0" fillId="0" borderId="0" xfId="0" applyAlignment="1" applyProtection="1">
      <alignment horizontal="right"/>
      <protection locked="0"/>
    </xf>
    <xf numFmtId="0" fontId="14" fillId="0" borderId="0" xfId="0" applyFont="1" applyAlignment="1" applyProtection="1">
      <alignment horizontal="right"/>
      <protection locked="0"/>
    </xf>
    <xf numFmtId="0" fontId="0" fillId="0" borderId="0" xfId="0" applyAlignment="1" applyProtection="1">
      <alignment wrapText="1"/>
      <protection locked="0"/>
    </xf>
    <xf numFmtId="0" fontId="0" fillId="7" borderId="0" xfId="0" applyFill="1" applyProtection="1">
      <protection locked="0"/>
    </xf>
    <xf numFmtId="0" fontId="43" fillId="13" borderId="7" xfId="20" applyFont="1" applyFill="1" applyBorder="1" applyAlignment="1" applyProtection="1">
      <alignment horizontal="center" vertical="center"/>
      <protection locked="0"/>
    </xf>
    <xf numFmtId="0" fontId="43" fillId="0" borderId="7" xfId="20" applyFont="1" applyFill="1" applyBorder="1" applyAlignment="1">
      <alignment horizontal="center" vertical="center"/>
    </xf>
    <xf numFmtId="49" fontId="7" fillId="14" borderId="16" xfId="5" applyNumberFormat="1" applyFont="1" applyFill="1" applyBorder="1" applyAlignment="1" applyProtection="1">
      <alignment horizontal="center" vertical="center"/>
      <protection locked="0"/>
    </xf>
    <xf numFmtId="1" fontId="27" fillId="2" borderId="7" xfId="10" applyNumberFormat="1" applyFont="1" applyFill="1" applyBorder="1" applyAlignment="1" applyProtection="1">
      <alignment horizontal="center" vertical="center"/>
      <protection locked="0"/>
    </xf>
    <xf numFmtId="0" fontId="6" fillId="14" borderId="7" xfId="10" applyFont="1" applyFill="1" applyBorder="1" applyAlignment="1" applyProtection="1">
      <alignment horizontal="center" vertical="center"/>
      <protection locked="0"/>
    </xf>
    <xf numFmtId="0" fontId="5" fillId="3" borderId="7" xfId="17" applyFont="1" applyFill="1" applyBorder="1" applyAlignment="1" applyProtection="1">
      <alignment horizontal="center" vertical="center" wrapText="1"/>
      <protection locked="0"/>
    </xf>
    <xf numFmtId="2" fontId="7" fillId="14" borderId="24" xfId="5" applyNumberFormat="1" applyFont="1" applyFill="1" applyBorder="1" applyAlignment="1" applyProtection="1">
      <alignment horizontal="center" vertical="center"/>
      <protection locked="0"/>
    </xf>
    <xf numFmtId="0" fontId="6" fillId="14" borderId="9" xfId="10" applyFont="1" applyFill="1" applyBorder="1" applyAlignment="1" applyProtection="1">
      <alignment horizontal="center" vertical="center"/>
      <protection locked="0"/>
    </xf>
    <xf numFmtId="1" fontId="6" fillId="14" borderId="7" xfId="10" applyNumberFormat="1" applyFont="1" applyFill="1" applyBorder="1" applyAlignment="1" applyProtection="1">
      <alignment horizontal="center" vertical="center"/>
      <protection locked="0"/>
    </xf>
    <xf numFmtId="0" fontId="6" fillId="14" borderId="4" xfId="10"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2" fillId="14" borderId="7" xfId="10" applyFont="1" applyFill="1" applyBorder="1" applyAlignment="1" applyProtection="1">
      <alignment horizontal="center" vertical="center"/>
      <protection locked="0"/>
    </xf>
    <xf numFmtId="0" fontId="2" fillId="14" borderId="7" xfId="5" applyFont="1" applyFill="1" applyBorder="1" applyAlignment="1" applyProtection="1">
      <alignment horizontal="center" vertical="center"/>
      <protection locked="0"/>
    </xf>
    <xf numFmtId="0" fontId="6" fillId="0" borderId="29" xfId="10" applyFont="1" applyBorder="1" applyAlignment="1">
      <alignment horizontal="center" vertical="top" textRotation="90" wrapText="1"/>
    </xf>
    <xf numFmtId="0" fontId="0" fillId="0" borderId="27" xfId="0" applyBorder="1"/>
    <xf numFmtId="0" fontId="0" fillId="0" borderId="29" xfId="0" applyBorder="1"/>
    <xf numFmtId="0" fontId="6" fillId="0" borderId="33" xfId="10" applyFont="1" applyBorder="1" applyAlignment="1">
      <alignment horizontal="center" vertical="top" textRotation="90"/>
    </xf>
    <xf numFmtId="0" fontId="6" fillId="0" borderId="33" xfId="10" applyFont="1" applyBorder="1" applyAlignment="1">
      <alignment horizontal="center" vertical="top" textRotation="90" wrapText="1"/>
    </xf>
    <xf numFmtId="0" fontId="1" fillId="3" borderId="7" xfId="10" applyFont="1" applyFill="1" applyBorder="1" applyAlignment="1" applyProtection="1">
      <alignment horizontal="center" vertical="center"/>
      <protection locked="0"/>
    </xf>
  </cellXfs>
  <cellStyles count="21">
    <cellStyle name="Check Cell" xfId="6" builtinId="23"/>
    <cellStyle name="Excel Built-in Check Cell" xfId="20" xr:uid="{00000000-0005-0000-0000-000014000000}"/>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3" xfId="18" xr:uid="{00000000-0005-0000-0000-000012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 val="New Durations"/>
    </sheetNames>
    <sheetDataSet>
      <sheetData sheetId="0" refreshError="1"/>
      <sheetData sheetId="1" refreshError="1"/>
      <sheetData sheetId="2" refreshError="1"/>
      <sheetData sheetId="3" refreshError="1"/>
      <sheetData sheetId="4" refreshError="1">
        <row r="17">
          <cell r="D17">
            <v>0.91</v>
          </cell>
        </row>
        <row r="18">
          <cell r="D18">
            <v>0.91</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6"/>
  <sheetViews>
    <sheetView tabSelected="1" zoomScale="115" zoomScaleNormal="115" workbookViewId="0">
      <pane ySplit="1" topLeftCell="A299" activePane="bottomLeft" state="frozen"/>
      <selection pane="bottomLeft" activeCell="C312" sqref="C312"/>
    </sheetView>
  </sheetViews>
  <sheetFormatPr baseColWidth="10" defaultColWidth="8.83203125" defaultRowHeight="15" x14ac:dyDescent="0.2"/>
  <cols>
    <col min="1" max="1" width="21.1640625" style="20" customWidth="1"/>
    <col min="2" max="2" width="25.83203125" style="20" customWidth="1"/>
    <col min="3" max="4" width="66" style="21" customWidth="1"/>
    <col min="5" max="5" width="16.83203125" style="21" customWidth="1"/>
    <col min="6" max="7" width="28" style="20" customWidth="1"/>
    <col min="8" max="8" width="15.5" style="20" customWidth="1"/>
    <col min="9" max="10" width="8.83203125" style="78" customWidth="1"/>
    <col min="11" max="11" width="14.6640625" style="78" customWidth="1"/>
    <col min="12" max="16" width="8.83203125" style="78" customWidth="1"/>
    <col min="17" max="20" width="8.83203125" style="20" customWidth="1"/>
    <col min="21" max="21" width="9.5" style="20" hidden="1" customWidth="1"/>
    <col min="22" max="22" width="8.83203125" style="20" hidden="1" customWidth="1"/>
    <col min="23" max="23" width="18.1640625" style="125" hidden="1" customWidth="1"/>
    <col min="24" max="24" width="18.33203125" style="113" hidden="1" customWidth="1"/>
    <col min="25" max="25" width="14.1640625" style="29" customWidth="1"/>
    <col min="26" max="26" width="19.6640625" style="29" hidden="1" customWidth="1"/>
    <col min="27" max="27" width="8.83203125" style="29" customWidth="1"/>
    <col min="28" max="29" width="8.83203125" style="20" customWidth="1"/>
    <col min="30" max="16384" width="8.83203125" style="20"/>
  </cols>
  <sheetData>
    <row r="1" spans="1:27" s="69" customFormat="1" ht="33" customHeight="1" thickBot="1" x14ac:dyDescent="0.25">
      <c r="A1" s="65" t="s">
        <v>0</v>
      </c>
      <c r="B1" s="65" t="s">
        <v>1</v>
      </c>
      <c r="C1" s="66" t="s">
        <v>2</v>
      </c>
      <c r="D1" s="66" t="s">
        <v>3</v>
      </c>
      <c r="E1" s="67" t="s">
        <v>4</v>
      </c>
      <c r="F1" s="65" t="s">
        <v>5</v>
      </c>
      <c r="G1" s="65" t="s">
        <v>6</v>
      </c>
      <c r="H1" s="68" t="s">
        <v>7</v>
      </c>
      <c r="I1" s="65" t="s">
        <v>8</v>
      </c>
      <c r="J1" s="65" t="s">
        <v>9</v>
      </c>
      <c r="K1" s="65" t="s">
        <v>10</v>
      </c>
      <c r="L1" s="65" t="s">
        <v>11</v>
      </c>
      <c r="M1" s="65" t="s">
        <v>12</v>
      </c>
      <c r="N1" s="65" t="s">
        <v>13</v>
      </c>
      <c r="O1" s="65" t="s">
        <v>14</v>
      </c>
      <c r="P1" s="65" t="s">
        <v>15</v>
      </c>
      <c r="U1" s="130" t="s">
        <v>16</v>
      </c>
      <c r="W1" s="131" t="s">
        <v>17</v>
      </c>
      <c r="X1" s="132" t="s">
        <v>18</v>
      </c>
      <c r="Y1" s="133" t="s">
        <v>19</v>
      </c>
      <c r="Z1" s="17" t="s">
        <v>20</v>
      </c>
      <c r="AA1" s="70"/>
    </row>
    <row r="2" spans="1:27" x14ac:dyDescent="0.2">
      <c r="A2" s="28" t="s">
        <v>21</v>
      </c>
      <c r="B2" s="28" t="s">
        <v>21</v>
      </c>
      <c r="C2" s="19"/>
      <c r="D2" s="19"/>
      <c r="E2" s="41"/>
      <c r="F2" s="28"/>
      <c r="G2" s="28"/>
      <c r="H2" s="42"/>
      <c r="I2" s="71"/>
      <c r="J2" s="71"/>
      <c r="K2" s="71"/>
      <c r="L2" s="71"/>
      <c r="M2" s="71"/>
      <c r="N2" s="71"/>
      <c r="O2" s="71"/>
      <c r="P2" s="71"/>
      <c r="W2" s="126"/>
      <c r="Y2" s="114" t="str">
        <f>IF(W2&lt;&gt;"",W2*X2,"")</f>
        <v/>
      </c>
      <c r="Z2" s="114" t="str">
        <f>IF(AND(W2&lt;&gt;"",U2="yes"),W2*X2,"")</f>
        <v/>
      </c>
    </row>
    <row r="3" spans="1:27" x14ac:dyDescent="0.2">
      <c r="A3" s="28" t="s">
        <v>22</v>
      </c>
      <c r="B3" s="28" t="s">
        <v>22</v>
      </c>
      <c r="C3" s="19"/>
      <c r="D3" s="19"/>
      <c r="E3" s="41"/>
      <c r="F3" s="28"/>
      <c r="G3" s="28"/>
      <c r="H3" s="42"/>
      <c r="I3" s="71"/>
      <c r="J3" s="71"/>
      <c r="K3" s="71"/>
      <c r="L3" s="71"/>
      <c r="M3" s="71"/>
      <c r="N3" s="71"/>
      <c r="O3" s="71"/>
      <c r="P3" s="71"/>
      <c r="W3" s="126"/>
      <c r="Y3" s="114" t="str">
        <f>IF(W3&lt;&gt;"",W3*X3,"")</f>
        <v/>
      </c>
      <c r="Z3" s="114" t="str">
        <f>IF(AND(W3&lt;&gt;"",U3="yes"),W3*X3,"")</f>
        <v/>
      </c>
    </row>
    <row r="4" spans="1:27" x14ac:dyDescent="0.2">
      <c r="A4" s="28" t="s">
        <v>23</v>
      </c>
      <c r="B4" s="28" t="s">
        <v>23</v>
      </c>
      <c r="C4" s="19"/>
      <c r="D4" s="19"/>
      <c r="E4" s="41"/>
      <c r="F4" s="28"/>
      <c r="G4" s="28"/>
      <c r="H4" s="42"/>
      <c r="I4" s="71"/>
      <c r="J4" s="71"/>
      <c r="K4" s="71"/>
      <c r="L4" s="71"/>
      <c r="M4" s="71"/>
      <c r="N4" s="71"/>
      <c r="O4" s="71"/>
      <c r="P4" s="71"/>
      <c r="W4" s="126"/>
      <c r="Y4" s="114" t="str">
        <f>IF(W4&lt;&gt;"",W4*X4,"")</f>
        <v/>
      </c>
      <c r="Z4" s="114" t="str">
        <f>IF(AND(W4&lt;&gt;"",U4="yes"),W4*X4,"")</f>
        <v/>
      </c>
    </row>
    <row r="5" spans="1:27" x14ac:dyDescent="0.2">
      <c r="A5" s="28" t="s">
        <v>24</v>
      </c>
      <c r="B5" s="28" t="s">
        <v>24</v>
      </c>
      <c r="C5" s="19"/>
      <c r="D5" s="19"/>
      <c r="E5" s="41"/>
      <c r="F5" s="28"/>
      <c r="G5" s="28"/>
      <c r="H5" s="42"/>
      <c r="I5" s="71"/>
      <c r="J5" s="71"/>
      <c r="K5" s="71"/>
      <c r="L5" s="71"/>
      <c r="M5" s="71"/>
      <c r="N5" s="71"/>
      <c r="O5" s="71"/>
      <c r="P5" s="71"/>
      <c r="W5" s="126"/>
      <c r="Y5" s="114" t="str">
        <f>IF(W5&lt;&gt;"",W5*X5,"")</f>
        <v/>
      </c>
      <c r="Z5" s="114" t="str">
        <f>IF(AND(W5&lt;&gt;"",U5="yes"),W5*X5,"")</f>
        <v/>
      </c>
    </row>
    <row r="6" spans="1:27" x14ac:dyDescent="0.2">
      <c r="A6" s="28" t="s">
        <v>25</v>
      </c>
      <c r="B6" s="28" t="s">
        <v>25</v>
      </c>
      <c r="C6" s="19"/>
      <c r="D6" s="19"/>
      <c r="E6" s="41"/>
      <c r="F6" s="28"/>
      <c r="G6" s="28"/>
      <c r="H6" s="42"/>
      <c r="I6" s="71"/>
      <c r="J6" s="71"/>
      <c r="K6" s="71"/>
      <c r="L6" s="71"/>
      <c r="M6" s="71"/>
      <c r="N6" s="71"/>
      <c r="O6" s="71"/>
      <c r="P6" s="71"/>
      <c r="W6" s="126"/>
      <c r="Y6" s="114"/>
      <c r="Z6" s="114"/>
    </row>
    <row r="7" spans="1:27" x14ac:dyDescent="0.2">
      <c r="A7" s="28" t="s">
        <v>26</v>
      </c>
      <c r="B7" s="28" t="s">
        <v>27</v>
      </c>
      <c r="C7" s="19"/>
      <c r="D7" s="19"/>
      <c r="E7" s="41"/>
      <c r="F7" s="28"/>
      <c r="G7" s="28"/>
      <c r="H7" s="42"/>
      <c r="I7" s="71"/>
      <c r="J7" s="71"/>
      <c r="K7" s="71"/>
      <c r="L7" s="71"/>
      <c r="M7" s="20"/>
      <c r="N7" s="71"/>
      <c r="O7" s="71"/>
      <c r="P7" s="71" t="s">
        <v>28</v>
      </c>
      <c r="W7" s="126"/>
      <c r="Y7" s="114"/>
      <c r="Z7" s="114"/>
    </row>
    <row r="8" spans="1:27" x14ac:dyDescent="0.2">
      <c r="A8" s="28" t="s">
        <v>29</v>
      </c>
      <c r="B8" s="28" t="s">
        <v>29</v>
      </c>
      <c r="C8" s="19"/>
      <c r="D8" s="19"/>
      <c r="E8" s="41"/>
      <c r="F8" s="28"/>
      <c r="G8" s="28"/>
      <c r="H8" s="42"/>
      <c r="I8" s="71"/>
      <c r="J8" s="71"/>
      <c r="K8" s="71"/>
      <c r="L8" s="71"/>
      <c r="M8" s="71" t="s">
        <v>30</v>
      </c>
      <c r="N8" s="71"/>
      <c r="O8" s="71" t="s">
        <v>31</v>
      </c>
      <c r="P8" s="71"/>
      <c r="W8" s="126"/>
      <c r="Y8" s="114"/>
      <c r="Z8" s="114"/>
    </row>
    <row r="9" spans="1:27" ht="16" customHeight="1" x14ac:dyDescent="0.2">
      <c r="A9" s="28" t="s">
        <v>32</v>
      </c>
      <c r="B9" s="28" t="s">
        <v>33</v>
      </c>
      <c r="C9" s="19" t="s">
        <v>34</v>
      </c>
      <c r="D9" s="19" t="s">
        <v>35</v>
      </c>
      <c r="E9" s="41"/>
      <c r="F9" s="28"/>
      <c r="G9" s="28"/>
      <c r="H9" s="42"/>
      <c r="I9" s="71" t="s">
        <v>36</v>
      </c>
      <c r="J9" s="71"/>
      <c r="K9" s="71"/>
      <c r="L9" s="71"/>
      <c r="M9" s="71"/>
      <c r="N9" s="72"/>
      <c r="O9" s="71"/>
      <c r="P9" s="71"/>
      <c r="U9" s="20" t="s">
        <v>37</v>
      </c>
      <c r="W9" s="126"/>
      <c r="Y9" s="114" t="str">
        <f>IF(W9&lt;&gt;"",W9*X9,"")</f>
        <v/>
      </c>
      <c r="Z9" s="114" t="str">
        <f>IF(AND(W9&lt;&gt;"",U9="yes"),W9*X9,"")</f>
        <v/>
      </c>
    </row>
    <row r="10" spans="1:27" x14ac:dyDescent="0.2">
      <c r="A10" s="28" t="s">
        <v>26</v>
      </c>
      <c r="B10" s="28" t="s">
        <v>38</v>
      </c>
      <c r="C10" s="19"/>
      <c r="D10" s="19"/>
      <c r="E10" s="41"/>
      <c r="F10" s="28"/>
      <c r="G10" s="28"/>
      <c r="H10" s="42"/>
      <c r="I10" s="71"/>
      <c r="J10" s="71"/>
      <c r="K10" s="71"/>
      <c r="L10" s="71"/>
      <c r="M10" s="71"/>
      <c r="N10" s="71"/>
      <c r="O10" s="71"/>
      <c r="P10" s="71" t="s">
        <v>39</v>
      </c>
      <c r="U10" s="20" t="s">
        <v>37</v>
      </c>
      <c r="W10" s="126"/>
      <c r="Y10" s="114" t="str">
        <f>IF(W10&lt;&gt;"",W10*X10,"")</f>
        <v/>
      </c>
      <c r="Z10" s="114" t="str">
        <f>IF(AND(W10&lt;&gt;"",U10="yes"),W10*X10,"")</f>
        <v/>
      </c>
    </row>
    <row r="11" spans="1:27" x14ac:dyDescent="0.2">
      <c r="A11" s="20" t="s">
        <v>26</v>
      </c>
      <c r="B11" s="28" t="s">
        <v>40</v>
      </c>
      <c r="E11" s="41"/>
      <c r="H11" s="42"/>
      <c r="P11" s="78" t="s">
        <v>41</v>
      </c>
      <c r="W11" s="126"/>
      <c r="Y11" s="114"/>
      <c r="Z11" s="114"/>
    </row>
    <row r="12" spans="1:27" s="30" customFormat="1" ht="16" customHeight="1" thickBot="1" x14ac:dyDescent="0.25">
      <c r="A12" s="37"/>
      <c r="B12" s="37"/>
      <c r="C12" s="38"/>
      <c r="D12" s="38"/>
      <c r="E12" s="39"/>
      <c r="F12" s="37"/>
      <c r="G12" s="37"/>
      <c r="H12" s="40"/>
      <c r="I12" s="74"/>
      <c r="J12" s="74"/>
      <c r="K12" s="74"/>
      <c r="L12" s="74"/>
      <c r="M12" s="74"/>
      <c r="N12" s="74"/>
      <c r="O12" s="74"/>
      <c r="P12" s="74"/>
      <c r="W12" s="126"/>
      <c r="X12" s="113"/>
      <c r="Y12" s="114"/>
      <c r="Z12" s="114"/>
      <c r="AA12" s="29"/>
    </row>
    <row r="13" spans="1:27" s="29" customFormat="1" ht="14" customHeight="1" thickTop="1" x14ac:dyDescent="0.2">
      <c r="A13" s="273" t="s">
        <v>42</v>
      </c>
      <c r="B13" s="273" t="s">
        <v>43</v>
      </c>
      <c r="C13" s="274" t="s">
        <v>44</v>
      </c>
      <c r="D13" s="274" t="s">
        <v>45</v>
      </c>
      <c r="E13" s="274"/>
      <c r="F13" s="275" t="s">
        <v>46</v>
      </c>
      <c r="G13" s="276" t="s">
        <v>47</v>
      </c>
      <c r="H13" s="276"/>
      <c r="I13" s="277" t="s">
        <v>36</v>
      </c>
      <c r="J13" s="277" t="s">
        <v>48</v>
      </c>
      <c r="K13" s="278" t="s">
        <v>49</v>
      </c>
      <c r="L13" s="277" t="s">
        <v>50</v>
      </c>
      <c r="M13" s="277"/>
      <c r="N13" s="277"/>
      <c r="O13" s="277"/>
      <c r="P13" s="277"/>
      <c r="U13" s="29" t="s">
        <v>51</v>
      </c>
      <c r="W13" s="279"/>
      <c r="X13" s="279">
        <v>0</v>
      </c>
      <c r="Y13" s="280"/>
      <c r="Z13" s="281">
        <f>IF(X13&lt;&gt;"",X13*Y13,"")</f>
        <v>0</v>
      </c>
      <c r="AA13" s="281" t="str">
        <f>IF(AND(X13&lt;&gt;"",U13="yes"),X13*Y13,"")</f>
        <v/>
      </c>
    </row>
    <row r="14" spans="1:27" s="29" customFormat="1" ht="14" customHeight="1" x14ac:dyDescent="0.2">
      <c r="A14" s="273" t="s">
        <v>42</v>
      </c>
      <c r="B14" s="273" t="s">
        <v>52</v>
      </c>
      <c r="C14" s="274" t="s">
        <v>53</v>
      </c>
      <c r="D14" s="274" t="s">
        <v>54</v>
      </c>
      <c r="E14" s="274"/>
      <c r="F14" s="282"/>
      <c r="G14" s="282"/>
      <c r="H14" s="282"/>
      <c r="I14" s="277" t="s">
        <v>55</v>
      </c>
      <c r="J14" s="277"/>
      <c r="K14" s="277"/>
      <c r="L14" s="277"/>
      <c r="M14" s="277"/>
      <c r="N14" s="277"/>
      <c r="O14" s="277"/>
      <c r="P14" s="277"/>
      <c r="U14" s="29" t="s">
        <v>37</v>
      </c>
      <c r="W14" s="279"/>
      <c r="X14" s="279">
        <v>0</v>
      </c>
      <c r="Y14" s="280"/>
      <c r="Z14" s="281">
        <f>IF(X14&lt;&gt;"",X14*Y14,"")</f>
        <v>0</v>
      </c>
      <c r="AA14" s="281">
        <f>IF(AND(X14&lt;&gt;"",U14="yes"),X14*Y14,"")</f>
        <v>0</v>
      </c>
    </row>
    <row r="15" spans="1:27" s="29" customFormat="1" ht="14" customHeight="1" x14ac:dyDescent="0.2">
      <c r="A15" s="273" t="s">
        <v>56</v>
      </c>
      <c r="B15" s="273" t="s">
        <v>57</v>
      </c>
      <c r="C15" s="274" t="s">
        <v>58</v>
      </c>
      <c r="D15" s="274" t="s">
        <v>59</v>
      </c>
      <c r="E15" s="274"/>
      <c r="F15" s="273"/>
      <c r="G15" s="273"/>
      <c r="H15" s="273"/>
      <c r="I15" s="277"/>
      <c r="J15" s="277"/>
      <c r="K15" s="277"/>
      <c r="L15" s="277"/>
      <c r="M15" s="277"/>
      <c r="N15" s="277"/>
      <c r="O15" s="277"/>
      <c r="P15" s="277"/>
      <c r="U15" s="29" t="s">
        <v>51</v>
      </c>
      <c r="X15" s="279">
        <v>0</v>
      </c>
      <c r="Z15" s="281">
        <f>IF(X15&lt;&gt;"",X15*Y15,"")</f>
        <v>0</v>
      </c>
      <c r="AA15" s="281" t="str">
        <f>IF(AND(X15&lt;&gt;"",U15="yes"),X15*Y15,"")</f>
        <v/>
      </c>
    </row>
    <row r="16" spans="1:27" s="29" customFormat="1" ht="17" customHeight="1" thickBot="1" x14ac:dyDescent="0.25">
      <c r="A16" s="283" t="s">
        <v>60</v>
      </c>
      <c r="B16" s="283" t="s">
        <v>61</v>
      </c>
      <c r="C16" s="284" t="s">
        <v>58</v>
      </c>
      <c r="D16" s="284" t="s">
        <v>59</v>
      </c>
      <c r="E16" s="284"/>
      <c r="F16" s="283"/>
      <c r="G16" s="283"/>
      <c r="H16" s="283"/>
      <c r="I16" s="285" t="s">
        <v>55</v>
      </c>
      <c r="J16" s="285"/>
      <c r="K16" s="285"/>
      <c r="L16" s="285"/>
      <c r="M16" s="285" t="s">
        <v>62</v>
      </c>
      <c r="N16" s="285"/>
      <c r="O16" s="285"/>
      <c r="P16" s="285"/>
      <c r="U16" s="29" t="s">
        <v>51</v>
      </c>
      <c r="W16" s="281"/>
      <c r="X16" s="279"/>
      <c r="Y16" s="280"/>
      <c r="Z16" s="281" t="str">
        <f>IF(X16&lt;&gt;"",X16*Y16,"")</f>
        <v/>
      </c>
      <c r="AA16" s="281" t="str">
        <f>IF(AND(X16&lt;&gt;"",U16="yes"),X16*Y16,"")</f>
        <v/>
      </c>
    </row>
    <row r="17" spans="1:27" ht="241" customHeight="1" thickTop="1" x14ac:dyDescent="0.2">
      <c r="A17" s="28" t="s">
        <v>63</v>
      </c>
      <c r="B17" s="28" t="s">
        <v>64</v>
      </c>
      <c r="C17" s="143" t="s">
        <v>65</v>
      </c>
      <c r="D17" s="143" t="s">
        <v>66</v>
      </c>
      <c r="E17" s="41"/>
      <c r="F17" s="28" t="s">
        <v>67</v>
      </c>
      <c r="G17" s="28" t="s">
        <v>68</v>
      </c>
      <c r="H17" s="42"/>
      <c r="I17" s="71" t="s">
        <v>55</v>
      </c>
      <c r="J17" s="71"/>
      <c r="K17" s="71"/>
      <c r="L17" s="71"/>
      <c r="M17" s="71"/>
      <c r="N17" s="71"/>
      <c r="O17" s="71"/>
      <c r="P17" s="71"/>
      <c r="U17" s="20" t="s">
        <v>51</v>
      </c>
      <c r="W17" s="126">
        <v>50.822540283203118</v>
      </c>
      <c r="Y17" s="114">
        <f>IF(W17&lt;&gt;"",W17*X17,"")</f>
        <v>0</v>
      </c>
      <c r="Z17" s="114" t="str">
        <f>IF(AND(W17&lt;&gt;"",U17="yes"),W17*X17,"")</f>
        <v/>
      </c>
    </row>
    <row r="18" spans="1:27" ht="16" customHeight="1" x14ac:dyDescent="0.2">
      <c r="A18" s="28" t="s">
        <v>69</v>
      </c>
      <c r="B18" s="28" t="s">
        <v>70</v>
      </c>
      <c r="C18" s="19" t="s">
        <v>71</v>
      </c>
      <c r="D18" s="19" t="s">
        <v>72</v>
      </c>
      <c r="E18" s="41"/>
      <c r="F18" s="28"/>
      <c r="G18" s="28"/>
      <c r="H18" s="42"/>
      <c r="I18" s="71" t="s">
        <v>55</v>
      </c>
      <c r="J18" s="71"/>
      <c r="K18" s="71"/>
      <c r="L18" s="71"/>
      <c r="M18" s="71"/>
      <c r="N18" s="71"/>
      <c r="O18" s="71"/>
      <c r="P18" s="71"/>
      <c r="U18" s="20" t="s">
        <v>37</v>
      </c>
      <c r="W18" s="126">
        <v>3.5</v>
      </c>
      <c r="X18" s="113">
        <f>1</f>
        <v>1</v>
      </c>
      <c r="Y18" s="114">
        <f>IF(W18&lt;&gt;"",W18*X18,"")</f>
        <v>3.5</v>
      </c>
      <c r="Z18" s="114">
        <f>IF(AND(W18&lt;&gt;"",U18="yes"),W18*X18,"")</f>
        <v>3.5</v>
      </c>
    </row>
    <row r="19" spans="1:27" s="29" customFormat="1" ht="15" customHeight="1" x14ac:dyDescent="0.2">
      <c r="A19" s="273" t="s">
        <v>73</v>
      </c>
      <c r="B19" s="273" t="s">
        <v>74</v>
      </c>
      <c r="C19" s="274" t="s">
        <v>75</v>
      </c>
      <c r="D19" s="274" t="s">
        <v>76</v>
      </c>
      <c r="E19" s="274"/>
      <c r="F19" s="273" t="s">
        <v>77</v>
      </c>
      <c r="G19" s="286" t="s">
        <v>78</v>
      </c>
      <c r="H19" s="286"/>
      <c r="I19" s="277" t="s">
        <v>55</v>
      </c>
      <c r="J19" s="277"/>
      <c r="K19" s="277"/>
      <c r="L19" s="277"/>
      <c r="M19" s="277" t="s">
        <v>79</v>
      </c>
      <c r="N19" s="277"/>
      <c r="O19" s="277"/>
      <c r="P19" s="277"/>
      <c r="U19" s="29" t="s">
        <v>51</v>
      </c>
      <c r="W19" s="281">
        <v>0</v>
      </c>
      <c r="X19" s="279">
        <v>0</v>
      </c>
      <c r="Y19" s="280"/>
      <c r="Z19" s="281">
        <f>IF(X19&lt;&gt;"",X19*Y19,"")</f>
        <v>0</v>
      </c>
      <c r="AA19" s="281" t="str">
        <f>IF(AND(X19&lt;&gt;"",U19="yes"),X19*Y19,"")</f>
        <v/>
      </c>
    </row>
    <row r="20" spans="1:27" s="29" customFormat="1" ht="27.5" customHeight="1" x14ac:dyDescent="0.2">
      <c r="A20" s="273" t="s">
        <v>42</v>
      </c>
      <c r="B20" s="273" t="s">
        <v>80</v>
      </c>
      <c r="C20" s="274" t="s">
        <v>81</v>
      </c>
      <c r="D20" s="274" t="s">
        <v>82</v>
      </c>
      <c r="E20" s="274"/>
      <c r="F20" s="273" t="s">
        <v>83</v>
      </c>
      <c r="G20" s="287" t="s">
        <v>84</v>
      </c>
      <c r="H20" s="287"/>
      <c r="I20" s="277" t="s">
        <v>55</v>
      </c>
      <c r="J20" s="277"/>
      <c r="K20" s="277"/>
      <c r="L20" s="277"/>
      <c r="M20" s="277" t="s">
        <v>79</v>
      </c>
      <c r="N20" s="277"/>
      <c r="O20" s="277"/>
      <c r="P20" s="277"/>
      <c r="U20" s="29" t="s">
        <v>51</v>
      </c>
      <c r="W20" s="281">
        <v>0</v>
      </c>
      <c r="X20" s="279">
        <v>0</v>
      </c>
      <c r="Y20" s="280"/>
      <c r="Z20" s="281">
        <f>IF(X20&lt;&gt;"",X20*Y20,"")</f>
        <v>0</v>
      </c>
      <c r="AA20" s="281" t="str">
        <f>IF(AND(X20&lt;&gt;"",U20="yes"),X20*Y20,"")</f>
        <v/>
      </c>
    </row>
    <row r="21" spans="1:27" s="29" customFormat="1" ht="16" customHeight="1" x14ac:dyDescent="0.2">
      <c r="A21" s="33" t="s">
        <v>63</v>
      </c>
      <c r="B21" s="33" t="s">
        <v>85</v>
      </c>
      <c r="C21" s="34" t="s">
        <v>86</v>
      </c>
      <c r="D21" s="34" t="s">
        <v>87</v>
      </c>
      <c r="E21" s="52"/>
      <c r="F21" s="33"/>
      <c r="G21" s="33"/>
      <c r="H21" s="54"/>
      <c r="I21" s="73" t="s">
        <v>55</v>
      </c>
      <c r="J21" s="73"/>
      <c r="K21" s="73"/>
      <c r="L21" s="73"/>
      <c r="M21" s="73" t="s">
        <v>88</v>
      </c>
      <c r="N21" s="73"/>
      <c r="O21" s="73"/>
      <c r="P21" s="73"/>
      <c r="U21" s="29" t="s">
        <v>51</v>
      </c>
      <c r="W21" s="126">
        <v>0</v>
      </c>
      <c r="X21" s="113">
        <v>1</v>
      </c>
      <c r="Y21" s="114">
        <f t="shared" ref="Y21:Y44" si="0">IF(W21&lt;&gt;"",W21*X21,"")</f>
        <v>0</v>
      </c>
      <c r="Z21" s="114" t="str">
        <f t="shared" ref="Z21:Z44" si="1">IF(AND(W21&lt;&gt;"",U21="yes"),W21*X21,"")</f>
        <v/>
      </c>
    </row>
    <row r="22" spans="1:27" s="29" customFormat="1" ht="16" customHeight="1" thickBot="1" x14ac:dyDescent="0.25">
      <c r="A22" s="43"/>
      <c r="B22" s="43"/>
      <c r="C22" s="44"/>
      <c r="D22" s="44"/>
      <c r="E22" s="45"/>
      <c r="F22" s="43"/>
      <c r="G22" s="43"/>
      <c r="H22" s="46"/>
      <c r="I22" s="75"/>
      <c r="J22" s="75"/>
      <c r="K22" s="75"/>
      <c r="L22" s="75"/>
      <c r="M22" s="75"/>
      <c r="N22" s="75"/>
      <c r="O22" s="75"/>
      <c r="P22" s="75"/>
      <c r="W22" s="126"/>
      <c r="X22" s="113"/>
      <c r="Y22" s="114" t="str">
        <f t="shared" si="0"/>
        <v/>
      </c>
      <c r="Z22" s="114" t="str">
        <f t="shared" si="1"/>
        <v/>
      </c>
    </row>
    <row r="23" spans="1:27" s="29" customFormat="1" ht="16" customHeight="1" thickTop="1" thickBot="1" x14ac:dyDescent="0.25">
      <c r="A23" s="43" t="s">
        <v>89</v>
      </c>
      <c r="B23" s="43"/>
      <c r="C23" s="44"/>
      <c r="D23" s="44"/>
      <c r="E23" s="45"/>
      <c r="F23" s="43"/>
      <c r="G23" s="43"/>
      <c r="H23" s="46"/>
      <c r="I23" s="75"/>
      <c r="J23" s="75"/>
      <c r="K23" s="75"/>
      <c r="L23" s="75"/>
      <c r="M23" s="75"/>
      <c r="N23" s="75"/>
      <c r="O23" s="75"/>
      <c r="P23" s="75"/>
      <c r="W23" s="126"/>
      <c r="X23" s="113"/>
      <c r="Y23" s="114" t="str">
        <f t="shared" si="0"/>
        <v/>
      </c>
      <c r="Z23" s="114" t="str">
        <f t="shared" si="1"/>
        <v/>
      </c>
    </row>
    <row r="24" spans="1:27" s="26" customFormat="1" ht="17" customHeight="1" thickTop="1" x14ac:dyDescent="0.2">
      <c r="A24" s="23" t="s">
        <v>60</v>
      </c>
      <c r="B24" s="23" t="s">
        <v>90</v>
      </c>
      <c r="C24" s="47" t="s">
        <v>91</v>
      </c>
      <c r="D24" s="47" t="s">
        <v>92</v>
      </c>
      <c r="E24" s="24"/>
      <c r="F24" s="23"/>
      <c r="G24" s="23"/>
      <c r="H24" s="25"/>
      <c r="I24" s="76" t="s">
        <v>55</v>
      </c>
      <c r="J24" s="76"/>
      <c r="K24" s="76"/>
      <c r="L24" s="76"/>
      <c r="M24" s="77" t="s">
        <v>93</v>
      </c>
      <c r="N24" s="76"/>
      <c r="O24" s="76"/>
      <c r="P24" s="76"/>
      <c r="U24" s="20" t="s">
        <v>37</v>
      </c>
      <c r="W24" s="126"/>
      <c r="X24" s="113"/>
      <c r="Y24" s="114" t="str">
        <f t="shared" si="0"/>
        <v/>
      </c>
      <c r="Z24" s="114" t="str">
        <f t="shared" si="1"/>
        <v/>
      </c>
      <c r="AA24" s="27"/>
    </row>
    <row r="25" spans="1:27" s="30" customFormat="1" x14ac:dyDescent="0.2">
      <c r="C25" s="31"/>
      <c r="D25" s="31"/>
      <c r="E25" s="32"/>
      <c r="H25" s="36"/>
      <c r="I25" s="72"/>
      <c r="J25" s="72"/>
      <c r="K25" s="72"/>
      <c r="L25" s="72"/>
      <c r="M25" s="72"/>
      <c r="N25" s="72"/>
      <c r="O25" s="72"/>
      <c r="P25" s="72"/>
      <c r="W25" s="126"/>
      <c r="X25" s="29"/>
      <c r="Y25" s="114" t="str">
        <f t="shared" si="0"/>
        <v/>
      </c>
      <c r="Z25" s="114" t="str">
        <f t="shared" si="1"/>
        <v/>
      </c>
      <c r="AA25" s="29"/>
    </row>
    <row r="26" spans="1:27" s="30" customFormat="1" ht="16" customHeight="1" x14ac:dyDescent="0.2">
      <c r="A26" s="33" t="s">
        <v>42</v>
      </c>
      <c r="B26" s="33" t="s">
        <v>94</v>
      </c>
      <c r="C26" s="34" t="s">
        <v>95</v>
      </c>
      <c r="D26" s="34" t="s">
        <v>96</v>
      </c>
      <c r="E26" s="32"/>
      <c r="F26" s="29" t="s">
        <v>97</v>
      </c>
      <c r="G26" s="28" t="s">
        <v>98</v>
      </c>
      <c r="H26" s="36"/>
      <c r="I26" s="73" t="s">
        <v>36</v>
      </c>
      <c r="J26" s="73"/>
      <c r="K26" s="73"/>
      <c r="L26" s="73"/>
      <c r="M26" s="73"/>
      <c r="N26" s="73"/>
      <c r="O26" s="73"/>
      <c r="P26" s="73"/>
      <c r="U26" s="29" t="s">
        <v>37</v>
      </c>
      <c r="W26" s="126">
        <v>10</v>
      </c>
      <c r="X26" s="113">
        <f>1</f>
        <v>1</v>
      </c>
      <c r="Y26" s="114">
        <f t="shared" si="0"/>
        <v>10</v>
      </c>
      <c r="Z26" s="114">
        <f t="shared" si="1"/>
        <v>10</v>
      </c>
      <c r="AA26" s="29"/>
    </row>
    <row r="27" spans="1:27" s="30" customFormat="1" ht="16" customHeight="1" x14ac:dyDescent="0.2">
      <c r="A27" s="33" t="s">
        <v>42</v>
      </c>
      <c r="B27" s="33" t="s">
        <v>99</v>
      </c>
      <c r="C27" s="34" t="s">
        <v>100</v>
      </c>
      <c r="D27" s="34" t="s">
        <v>101</v>
      </c>
      <c r="E27" s="32"/>
      <c r="F27" s="29" t="s">
        <v>102</v>
      </c>
      <c r="G27" s="28" t="s">
        <v>103</v>
      </c>
      <c r="H27" s="36"/>
      <c r="I27" s="73" t="s">
        <v>36</v>
      </c>
      <c r="J27" s="73"/>
      <c r="K27" s="73"/>
      <c r="L27" s="73"/>
      <c r="M27" s="73"/>
      <c r="N27" s="73"/>
      <c r="O27" s="73"/>
      <c r="P27" s="73"/>
      <c r="U27" s="29" t="s">
        <v>37</v>
      </c>
      <c r="W27" s="126">
        <v>10</v>
      </c>
      <c r="X27" s="113">
        <f>1</f>
        <v>1</v>
      </c>
      <c r="Y27" s="114">
        <f t="shared" si="0"/>
        <v>10</v>
      </c>
      <c r="Z27" s="114">
        <f t="shared" si="1"/>
        <v>10</v>
      </c>
      <c r="AA27" s="29"/>
    </row>
    <row r="28" spans="1:27" s="30" customFormat="1" x14ac:dyDescent="0.2">
      <c r="C28" s="31"/>
      <c r="D28" s="31"/>
      <c r="E28" s="32"/>
      <c r="H28" s="36"/>
      <c r="I28" s="72"/>
      <c r="J28" s="72"/>
      <c r="K28" s="72"/>
      <c r="L28" s="72"/>
      <c r="M28" s="72"/>
      <c r="N28" s="72"/>
      <c r="O28" s="72"/>
      <c r="P28" s="72"/>
      <c r="W28" s="126"/>
      <c r="X28" s="113">
        <f>1</f>
        <v>1</v>
      </c>
      <c r="Y28" s="114" t="str">
        <f t="shared" si="0"/>
        <v/>
      </c>
      <c r="Z28" s="114" t="str">
        <f t="shared" si="1"/>
        <v/>
      </c>
      <c r="AA28" s="29"/>
    </row>
    <row r="29" spans="1:27" ht="16" customHeight="1" x14ac:dyDescent="0.2">
      <c r="A29" s="28" t="s">
        <v>104</v>
      </c>
      <c r="B29" s="28" t="s">
        <v>105</v>
      </c>
      <c r="C29" s="19" t="s">
        <v>106</v>
      </c>
      <c r="D29" s="19" t="s">
        <v>107</v>
      </c>
      <c r="E29" s="52"/>
      <c r="F29" s="33" t="s">
        <v>108</v>
      </c>
      <c r="G29" s="28" t="s">
        <v>109</v>
      </c>
      <c r="H29" s="42"/>
      <c r="I29" s="71" t="s">
        <v>36</v>
      </c>
      <c r="J29" s="71"/>
      <c r="K29" s="71" t="s">
        <v>110</v>
      </c>
      <c r="L29" s="71"/>
      <c r="M29" s="71"/>
      <c r="N29" s="71"/>
      <c r="O29" s="71"/>
      <c r="P29" s="71"/>
      <c r="U29" s="20" t="s">
        <v>37</v>
      </c>
      <c r="W29" s="126">
        <v>13.753072738647459</v>
      </c>
      <c r="X29" s="113">
        <f>1</f>
        <v>1</v>
      </c>
      <c r="Y29" s="114">
        <f t="shared" si="0"/>
        <v>13.753072738647459</v>
      </c>
      <c r="Z29" s="114">
        <f t="shared" si="1"/>
        <v>13.753072738647459</v>
      </c>
    </row>
    <row r="30" spans="1:27" x14ac:dyDescent="0.2">
      <c r="E30" s="41"/>
      <c r="H30" s="42"/>
      <c r="W30" s="126"/>
      <c r="X30" s="113">
        <f>1</f>
        <v>1</v>
      </c>
      <c r="Y30" s="114" t="str">
        <f t="shared" si="0"/>
        <v/>
      </c>
      <c r="Z30" s="114" t="str">
        <f t="shared" si="1"/>
        <v/>
      </c>
    </row>
    <row r="31" spans="1:27" s="29" customFormat="1" ht="16" customHeight="1" x14ac:dyDescent="0.2">
      <c r="A31" s="33" t="s">
        <v>111</v>
      </c>
      <c r="B31" s="33" t="s">
        <v>112</v>
      </c>
      <c r="C31" s="34" t="s">
        <v>113</v>
      </c>
      <c r="D31" s="22" t="s">
        <v>114</v>
      </c>
      <c r="E31" s="52"/>
      <c r="F31" s="29" t="s">
        <v>115</v>
      </c>
      <c r="G31" s="29" t="s">
        <v>116</v>
      </c>
      <c r="H31" s="54"/>
      <c r="I31" s="83" t="s">
        <v>36</v>
      </c>
      <c r="J31" s="83"/>
      <c r="K31" s="83"/>
      <c r="L31" s="83"/>
      <c r="M31" s="83"/>
      <c r="N31" s="83"/>
      <c r="O31" s="83"/>
      <c r="P31" s="83"/>
      <c r="U31" s="29" t="s">
        <v>37</v>
      </c>
      <c r="W31" s="126">
        <v>2.1173560619354248</v>
      </c>
      <c r="X31" s="113">
        <f>1</f>
        <v>1</v>
      </c>
      <c r="Y31" s="114">
        <f t="shared" si="0"/>
        <v>2.1173560619354248</v>
      </c>
      <c r="Z31" s="114">
        <f t="shared" si="1"/>
        <v>2.1173560619354248</v>
      </c>
    </row>
    <row r="32" spans="1:27" s="30" customFormat="1" x14ac:dyDescent="0.2">
      <c r="C32" s="31"/>
      <c r="D32" s="31"/>
      <c r="E32" s="32"/>
      <c r="H32" s="36"/>
      <c r="I32" s="72"/>
      <c r="J32" s="72"/>
      <c r="K32" s="72"/>
      <c r="L32" s="79"/>
      <c r="M32" s="72"/>
      <c r="N32" s="72"/>
      <c r="O32" s="72"/>
      <c r="P32" s="72"/>
      <c r="W32" s="126"/>
      <c r="X32" s="113">
        <f>1</f>
        <v>1</v>
      </c>
      <c r="Y32" s="114" t="str">
        <f t="shared" si="0"/>
        <v/>
      </c>
      <c r="Z32" s="114" t="str">
        <f t="shared" si="1"/>
        <v/>
      </c>
      <c r="AA32" s="29"/>
    </row>
    <row r="33" spans="1:27" s="49" customFormat="1" ht="16" customHeight="1" x14ac:dyDescent="0.2">
      <c r="A33" s="107" t="s">
        <v>42</v>
      </c>
      <c r="B33" s="107" t="s">
        <v>117</v>
      </c>
      <c r="C33" s="108" t="s">
        <v>118</v>
      </c>
      <c r="D33" s="108" t="s">
        <v>119</v>
      </c>
      <c r="E33" s="110"/>
      <c r="F33" s="109"/>
      <c r="G33" s="109"/>
      <c r="H33" s="111"/>
      <c r="I33" s="106" t="s">
        <v>36</v>
      </c>
      <c r="J33" s="106" t="s">
        <v>48</v>
      </c>
      <c r="K33" s="81" t="s">
        <v>49</v>
      </c>
      <c r="L33" s="106" t="s">
        <v>120</v>
      </c>
      <c r="M33" s="106"/>
      <c r="N33" s="106"/>
      <c r="O33" s="106"/>
      <c r="P33" s="80"/>
      <c r="U33" s="109" t="s">
        <v>121</v>
      </c>
      <c r="W33" s="126">
        <v>10</v>
      </c>
      <c r="X33" s="113">
        <f>1</f>
        <v>1</v>
      </c>
      <c r="Y33" s="114">
        <f t="shared" si="0"/>
        <v>10</v>
      </c>
      <c r="Z33" s="114" t="str">
        <f t="shared" si="1"/>
        <v/>
      </c>
    </row>
    <row r="34" spans="1:27" s="49" customFormat="1" ht="48" customHeight="1" x14ac:dyDescent="0.2">
      <c r="A34" s="107" t="s">
        <v>122</v>
      </c>
      <c r="B34" s="107" t="s">
        <v>123</v>
      </c>
      <c r="C34" s="108" t="s">
        <v>124</v>
      </c>
      <c r="D34" s="108" t="s">
        <v>125</v>
      </c>
      <c r="E34" s="110"/>
      <c r="F34" s="109"/>
      <c r="G34" s="109"/>
      <c r="H34" s="111"/>
      <c r="I34" s="106" t="s">
        <v>36</v>
      </c>
      <c r="J34" s="106"/>
      <c r="K34" s="80"/>
      <c r="L34" s="106"/>
      <c r="M34" s="106"/>
      <c r="N34" s="106"/>
      <c r="O34" s="106"/>
      <c r="P34" s="80"/>
      <c r="U34" s="109" t="s">
        <v>121</v>
      </c>
      <c r="W34" s="126">
        <v>10</v>
      </c>
      <c r="X34" s="113">
        <f>1</f>
        <v>1</v>
      </c>
      <c r="Y34" s="114">
        <f t="shared" si="0"/>
        <v>10</v>
      </c>
      <c r="Z34" s="114" t="str">
        <f t="shared" si="1"/>
        <v/>
      </c>
    </row>
    <row r="35" spans="1:27" s="49" customFormat="1" ht="16" customHeight="1" x14ac:dyDescent="0.2">
      <c r="A35" s="107" t="s">
        <v>42</v>
      </c>
      <c r="B35" s="107" t="s">
        <v>126</v>
      </c>
      <c r="C35" s="108" t="s">
        <v>127</v>
      </c>
      <c r="D35" s="108" t="s">
        <v>128</v>
      </c>
      <c r="E35" s="110"/>
      <c r="F35" s="109"/>
      <c r="G35" s="109"/>
      <c r="H35" s="111"/>
      <c r="I35" s="106" t="s">
        <v>36</v>
      </c>
      <c r="J35" s="106" t="s">
        <v>48</v>
      </c>
      <c r="K35" s="81" t="s">
        <v>49</v>
      </c>
      <c r="L35" s="106" t="s">
        <v>120</v>
      </c>
      <c r="M35" s="106" t="s">
        <v>129</v>
      </c>
      <c r="N35" s="106"/>
      <c r="O35" s="106"/>
      <c r="P35" s="80"/>
      <c r="U35" s="109" t="s">
        <v>121</v>
      </c>
      <c r="W35" s="126">
        <v>10</v>
      </c>
      <c r="X35" s="113">
        <f>1</f>
        <v>1</v>
      </c>
      <c r="Y35" s="114">
        <f t="shared" si="0"/>
        <v>10</v>
      </c>
      <c r="Z35" s="114" t="str">
        <f t="shared" si="1"/>
        <v/>
      </c>
    </row>
    <row r="36" spans="1:27" s="49" customFormat="1" ht="16" customHeight="1" x14ac:dyDescent="0.2">
      <c r="A36" s="107" t="s">
        <v>42</v>
      </c>
      <c r="B36" s="107" t="s">
        <v>130</v>
      </c>
      <c r="C36" s="108" t="s">
        <v>131</v>
      </c>
      <c r="D36" s="108" t="s">
        <v>132</v>
      </c>
      <c r="E36" s="110"/>
      <c r="F36" s="109"/>
      <c r="G36" s="109"/>
      <c r="H36" s="111"/>
      <c r="I36" s="106" t="s">
        <v>36</v>
      </c>
      <c r="J36" s="106"/>
      <c r="K36" s="80"/>
      <c r="L36" s="106"/>
      <c r="M36" s="106" t="s">
        <v>133</v>
      </c>
      <c r="N36" s="106"/>
      <c r="O36" s="106"/>
      <c r="P36" s="80"/>
      <c r="U36" s="109" t="s">
        <v>121</v>
      </c>
      <c r="W36" s="126">
        <v>10</v>
      </c>
      <c r="X36" s="113">
        <f>1</f>
        <v>1</v>
      </c>
      <c r="Y36" s="114">
        <f t="shared" si="0"/>
        <v>10</v>
      </c>
      <c r="Z36" s="114" t="str">
        <f t="shared" si="1"/>
        <v/>
      </c>
    </row>
    <row r="37" spans="1:27" s="49" customFormat="1" ht="48" customHeight="1" x14ac:dyDescent="0.2">
      <c r="A37" s="107" t="s">
        <v>122</v>
      </c>
      <c r="B37" s="107" t="s">
        <v>134</v>
      </c>
      <c r="C37" s="108" t="s">
        <v>124</v>
      </c>
      <c r="D37" s="108" t="s">
        <v>125</v>
      </c>
      <c r="E37" s="110"/>
      <c r="F37" s="20"/>
      <c r="G37" s="20"/>
      <c r="H37" s="111"/>
      <c r="I37" s="106" t="s">
        <v>36</v>
      </c>
      <c r="J37" s="106"/>
      <c r="K37" s="80"/>
      <c r="L37" s="106"/>
      <c r="M37" s="106" t="s">
        <v>129</v>
      </c>
      <c r="N37" s="106"/>
      <c r="O37" s="106"/>
      <c r="P37" s="80"/>
      <c r="U37" s="109" t="s">
        <v>121</v>
      </c>
      <c r="W37" s="126">
        <v>10</v>
      </c>
      <c r="X37" s="113">
        <f>1</f>
        <v>1</v>
      </c>
      <c r="Y37" s="114">
        <f t="shared" si="0"/>
        <v>10</v>
      </c>
      <c r="Z37" s="114" t="str">
        <f t="shared" si="1"/>
        <v/>
      </c>
    </row>
    <row r="38" spans="1:27" s="49" customFormat="1" ht="16" customHeight="1" x14ac:dyDescent="0.2">
      <c r="A38" s="107" t="s">
        <v>42</v>
      </c>
      <c r="B38" s="107" t="s">
        <v>135</v>
      </c>
      <c r="C38" s="108" t="s">
        <v>127</v>
      </c>
      <c r="D38" s="108" t="s">
        <v>128</v>
      </c>
      <c r="E38" s="110"/>
      <c r="F38" s="109"/>
      <c r="G38" s="109"/>
      <c r="H38" s="111"/>
      <c r="I38" s="106" t="s">
        <v>36</v>
      </c>
      <c r="J38" s="106" t="s">
        <v>48</v>
      </c>
      <c r="K38" s="81" t="s">
        <v>49</v>
      </c>
      <c r="L38" s="106" t="s">
        <v>120</v>
      </c>
      <c r="M38" s="106" t="s">
        <v>136</v>
      </c>
      <c r="N38" s="106"/>
      <c r="O38" s="106"/>
      <c r="P38" s="80"/>
      <c r="U38" s="109" t="s">
        <v>121</v>
      </c>
      <c r="W38" s="126">
        <v>10</v>
      </c>
      <c r="X38" s="113">
        <f>1</f>
        <v>1</v>
      </c>
      <c r="Y38" s="114">
        <f t="shared" si="0"/>
        <v>10</v>
      </c>
      <c r="Z38" s="114" t="str">
        <f t="shared" si="1"/>
        <v/>
      </c>
    </row>
    <row r="39" spans="1:27" s="49" customFormat="1" ht="16" customHeight="1" x14ac:dyDescent="0.2">
      <c r="A39" s="107" t="s">
        <v>42</v>
      </c>
      <c r="B39" s="107" t="s">
        <v>137</v>
      </c>
      <c r="C39" s="108" t="s">
        <v>131</v>
      </c>
      <c r="D39" s="108" t="s">
        <v>132</v>
      </c>
      <c r="E39" s="110"/>
      <c r="F39" s="109"/>
      <c r="G39" s="109"/>
      <c r="H39" s="111"/>
      <c r="I39" s="106" t="s">
        <v>36</v>
      </c>
      <c r="J39" s="106"/>
      <c r="K39" s="80"/>
      <c r="L39" s="106"/>
      <c r="M39" s="106" t="s">
        <v>138</v>
      </c>
      <c r="N39" s="106"/>
      <c r="O39" s="106"/>
      <c r="P39" s="80"/>
      <c r="U39" s="109" t="s">
        <v>121</v>
      </c>
      <c r="W39" s="126">
        <v>10</v>
      </c>
      <c r="X39" s="113">
        <f>1</f>
        <v>1</v>
      </c>
      <c r="Y39" s="114">
        <f t="shared" si="0"/>
        <v>10</v>
      </c>
      <c r="Z39" s="114" t="str">
        <f t="shared" si="1"/>
        <v/>
      </c>
    </row>
    <row r="40" spans="1:27" s="30" customFormat="1" x14ac:dyDescent="0.2">
      <c r="C40" s="31"/>
      <c r="D40" s="31"/>
      <c r="E40" s="32"/>
      <c r="H40" s="36"/>
      <c r="I40" s="72"/>
      <c r="J40" s="72"/>
      <c r="K40" s="72"/>
      <c r="L40" s="79"/>
      <c r="M40" s="72"/>
      <c r="N40" s="72"/>
      <c r="O40" s="72"/>
      <c r="P40" s="72"/>
      <c r="W40" s="126"/>
      <c r="X40" s="113">
        <f>1</f>
        <v>1</v>
      </c>
      <c r="Y40" s="114" t="str">
        <f t="shared" si="0"/>
        <v/>
      </c>
      <c r="Z40" s="114" t="str">
        <f t="shared" si="1"/>
        <v/>
      </c>
      <c r="AA40" s="29"/>
    </row>
    <row r="41" spans="1:27" ht="16" customHeight="1" x14ac:dyDescent="0.2">
      <c r="A41" s="28" t="s">
        <v>139</v>
      </c>
      <c r="B41" s="28" t="s">
        <v>140</v>
      </c>
      <c r="C41" s="19" t="s">
        <v>141</v>
      </c>
      <c r="D41" s="19" t="s">
        <v>3112</v>
      </c>
      <c r="E41" s="41"/>
      <c r="F41" s="28" t="s">
        <v>142</v>
      </c>
      <c r="G41" s="28" t="s">
        <v>143</v>
      </c>
      <c r="H41" s="42"/>
      <c r="I41" s="71" t="s">
        <v>36</v>
      </c>
      <c r="J41" s="71" t="s">
        <v>144</v>
      </c>
      <c r="K41" s="71"/>
      <c r="L41" s="80"/>
      <c r="M41" s="71"/>
      <c r="N41" s="71"/>
      <c r="O41" s="71"/>
      <c r="P41" s="71"/>
      <c r="U41" s="20" t="s">
        <v>37</v>
      </c>
      <c r="W41" s="126">
        <v>8.8000000000000007</v>
      </c>
      <c r="X41" s="113">
        <f>1</f>
        <v>1</v>
      </c>
      <c r="Y41" s="114">
        <f t="shared" si="0"/>
        <v>8.8000000000000007</v>
      </c>
      <c r="Z41" s="114">
        <f t="shared" si="1"/>
        <v>8.8000000000000007</v>
      </c>
    </row>
    <row r="42" spans="1:27" x14ac:dyDescent="0.2">
      <c r="A42" s="28" t="s">
        <v>26</v>
      </c>
      <c r="B42" s="28" t="s">
        <v>145</v>
      </c>
      <c r="C42" s="19"/>
      <c r="D42" s="19"/>
      <c r="E42" s="41"/>
      <c r="F42" s="28"/>
      <c r="G42" s="28"/>
      <c r="H42" s="42"/>
      <c r="I42" s="71"/>
      <c r="J42" s="71"/>
      <c r="K42" s="71"/>
      <c r="L42" s="71"/>
      <c r="M42" s="71"/>
      <c r="N42" s="71"/>
      <c r="O42" s="71"/>
      <c r="P42" s="71" t="s">
        <v>146</v>
      </c>
      <c r="U42" s="20" t="s">
        <v>37</v>
      </c>
      <c r="W42" s="126"/>
      <c r="X42" s="113">
        <f>1</f>
        <v>1</v>
      </c>
      <c r="Y42" s="114" t="str">
        <f t="shared" si="0"/>
        <v/>
      </c>
      <c r="Z42" s="114" t="str">
        <f t="shared" si="1"/>
        <v/>
      </c>
    </row>
    <row r="43" spans="1:27" ht="16" customHeight="1" x14ac:dyDescent="0.2">
      <c r="A43" s="28" t="s">
        <v>147</v>
      </c>
      <c r="B43" s="28" t="s">
        <v>148</v>
      </c>
      <c r="C43" s="19" t="s">
        <v>149</v>
      </c>
      <c r="D43" s="19" t="s">
        <v>3113</v>
      </c>
      <c r="E43" s="41"/>
      <c r="F43" s="28"/>
      <c r="G43" s="19"/>
      <c r="H43" s="42"/>
      <c r="I43" s="71" t="s">
        <v>36</v>
      </c>
      <c r="J43" s="71" t="s">
        <v>144</v>
      </c>
      <c r="K43" s="71"/>
      <c r="L43" s="71"/>
      <c r="M43" s="71"/>
      <c r="N43" s="71" t="s">
        <v>150</v>
      </c>
      <c r="O43" s="71"/>
      <c r="P43" s="71"/>
      <c r="U43" s="20" t="s">
        <v>37</v>
      </c>
      <c r="W43" s="126">
        <v>10.4</v>
      </c>
      <c r="X43" s="113">
        <f>1</f>
        <v>1</v>
      </c>
      <c r="Y43" s="114">
        <f t="shared" si="0"/>
        <v>10.4</v>
      </c>
      <c r="Z43" s="114">
        <f t="shared" si="1"/>
        <v>10.4</v>
      </c>
    </row>
    <row r="44" spans="1:27" x14ac:dyDescent="0.2">
      <c r="A44" s="28" t="s">
        <v>26</v>
      </c>
      <c r="B44" s="28" t="s">
        <v>151</v>
      </c>
      <c r="C44" s="19"/>
      <c r="D44" s="19"/>
      <c r="E44" s="41"/>
      <c r="F44" s="28"/>
      <c r="G44" s="28"/>
      <c r="H44" s="42"/>
      <c r="I44" s="71"/>
      <c r="J44" s="71"/>
      <c r="K44" s="71"/>
      <c r="L44" s="71"/>
      <c r="M44" s="71"/>
      <c r="N44" s="71"/>
      <c r="O44" s="71"/>
      <c r="P44" s="71" t="s">
        <v>152</v>
      </c>
      <c r="U44" s="20" t="s">
        <v>37</v>
      </c>
      <c r="W44" s="126"/>
      <c r="X44" s="113">
        <f>1</f>
        <v>1</v>
      </c>
      <c r="Y44" s="114" t="str">
        <f t="shared" si="0"/>
        <v/>
      </c>
      <c r="Z44" s="114" t="str">
        <f t="shared" si="1"/>
        <v/>
      </c>
    </row>
    <row r="45" spans="1:27" s="29" customFormat="1" ht="32" customHeight="1" x14ac:dyDescent="0.2">
      <c r="A45" s="29" t="s">
        <v>153</v>
      </c>
      <c r="B45" s="29" t="s">
        <v>154</v>
      </c>
      <c r="C45" s="22" t="s">
        <v>155</v>
      </c>
      <c r="D45" s="22" t="s">
        <v>156</v>
      </c>
      <c r="E45" s="52"/>
      <c r="H45" s="54"/>
      <c r="I45" s="78" t="s">
        <v>36</v>
      </c>
      <c r="J45" s="78" t="s">
        <v>144</v>
      </c>
      <c r="K45" s="83"/>
      <c r="L45" s="83"/>
      <c r="M45" s="83"/>
      <c r="N45" s="83" t="s">
        <v>157</v>
      </c>
      <c r="O45" s="83"/>
      <c r="P45" s="83"/>
      <c r="W45" s="126"/>
      <c r="X45" s="113"/>
      <c r="Y45" s="114"/>
      <c r="Z45" s="114"/>
    </row>
    <row r="46" spans="1:27" x14ac:dyDescent="0.2">
      <c r="E46" s="41"/>
      <c r="H46" s="42"/>
      <c r="W46" s="126"/>
      <c r="X46" s="113">
        <f>1</f>
        <v>1</v>
      </c>
      <c r="Y46" s="114" t="str">
        <f>IF(W46&lt;&gt;"",W46*X46,"")</f>
        <v/>
      </c>
      <c r="Z46" s="114" t="str">
        <f>IF(AND(W46&lt;&gt;"",U46="yes"),W46*X46,"")</f>
        <v/>
      </c>
    </row>
    <row r="47" spans="1:27" s="21" customFormat="1" ht="48" customHeight="1" x14ac:dyDescent="0.2">
      <c r="A47" s="19" t="s">
        <v>158</v>
      </c>
      <c r="B47" s="19" t="s">
        <v>159</v>
      </c>
      <c r="C47" s="19" t="s">
        <v>160</v>
      </c>
      <c r="D47" s="19" t="s">
        <v>161</v>
      </c>
      <c r="E47" s="41"/>
      <c r="F47" s="28" t="s">
        <v>162</v>
      </c>
      <c r="G47" s="28" t="s">
        <v>163</v>
      </c>
      <c r="H47" s="41"/>
      <c r="I47" s="18" t="s">
        <v>36</v>
      </c>
      <c r="J47" s="18"/>
      <c r="K47" s="18"/>
      <c r="L47" s="18"/>
      <c r="M47" s="18"/>
      <c r="N47" s="18"/>
      <c r="O47" s="18"/>
      <c r="P47" s="18"/>
      <c r="U47" s="21" t="s">
        <v>37</v>
      </c>
      <c r="W47" s="129">
        <v>31.372377395629879</v>
      </c>
      <c r="X47" s="113">
        <f>1</f>
        <v>1</v>
      </c>
      <c r="Y47" s="115">
        <f>IF(W47&lt;&gt;"",W47*X47,"")</f>
        <v>31.372377395629879</v>
      </c>
      <c r="Z47" s="115">
        <f>IF(AND(W47&lt;&gt;"",U47="yes"),W47*X47,"")</f>
        <v>31.372377395629879</v>
      </c>
      <c r="AA47" s="22"/>
    </row>
    <row r="48" spans="1:27" s="143" customFormat="1" ht="32" customHeight="1" x14ac:dyDescent="0.2">
      <c r="A48" s="288" t="s">
        <v>164</v>
      </c>
      <c r="B48" s="288" t="s">
        <v>165</v>
      </c>
      <c r="C48" s="289"/>
      <c r="D48" s="290" t="s">
        <v>166</v>
      </c>
      <c r="E48" s="291"/>
      <c r="F48" s="289"/>
      <c r="G48" s="289"/>
      <c r="H48" s="291"/>
      <c r="I48" s="290" t="s">
        <v>36</v>
      </c>
      <c r="U48" s="289"/>
      <c r="V48" s="289"/>
      <c r="W48" s="292"/>
      <c r="X48" s="293"/>
      <c r="Y48" s="292"/>
      <c r="Z48" s="292"/>
      <c r="AA48" s="294"/>
    </row>
    <row r="49" spans="1:27" x14ac:dyDescent="0.2">
      <c r="E49" s="41"/>
      <c r="H49" s="42"/>
      <c r="W49" s="126"/>
      <c r="X49" s="113">
        <f>1</f>
        <v>1</v>
      </c>
      <c r="Y49" s="114" t="str">
        <f>IF(W49&lt;&gt;"",W49*X49,"")</f>
        <v/>
      </c>
      <c r="Z49" s="114" t="str">
        <f>IF(AND(W49&lt;&gt;"",U49="yes"),W49*X49,"")</f>
        <v/>
      </c>
    </row>
    <row r="50" spans="1:27" s="29" customFormat="1" ht="16" customHeight="1" thickBot="1" x14ac:dyDescent="0.25">
      <c r="A50" s="50" t="s">
        <v>89</v>
      </c>
      <c r="B50" s="50"/>
      <c r="C50" s="51"/>
      <c r="D50" s="51"/>
      <c r="E50" s="45"/>
      <c r="F50" s="50"/>
      <c r="G50" s="50"/>
      <c r="H50" s="46"/>
      <c r="I50" s="82"/>
      <c r="J50" s="82"/>
      <c r="K50" s="82"/>
      <c r="L50" s="82"/>
      <c r="M50" s="82"/>
      <c r="N50" s="82"/>
      <c r="O50" s="82"/>
      <c r="P50" s="82"/>
      <c r="W50" s="126"/>
      <c r="X50" s="113"/>
      <c r="Y50" s="114" t="str">
        <f>IF(W50&lt;&gt;"",W50*X50,"")</f>
        <v/>
      </c>
      <c r="Z50" s="114" t="str">
        <f>IF(AND(W50&lt;&gt;"",U50="yes"),W50*X50,"")</f>
        <v/>
      </c>
    </row>
    <row r="51" spans="1:27" s="26" customFormat="1" ht="17" customHeight="1" thickTop="1" x14ac:dyDescent="0.2">
      <c r="A51" s="23" t="s">
        <v>60</v>
      </c>
      <c r="B51" s="23" t="s">
        <v>167</v>
      </c>
      <c r="C51" s="47" t="s">
        <v>168</v>
      </c>
      <c r="D51" s="47" t="s">
        <v>169</v>
      </c>
      <c r="E51" s="24"/>
      <c r="F51" s="23"/>
      <c r="G51" s="23"/>
      <c r="H51" s="25"/>
      <c r="I51" s="76" t="s">
        <v>55</v>
      </c>
      <c r="J51" s="76"/>
      <c r="K51" s="76"/>
      <c r="L51" s="76"/>
      <c r="M51" s="77" t="s">
        <v>170</v>
      </c>
      <c r="N51" s="76"/>
      <c r="O51" s="76"/>
      <c r="P51" s="76"/>
      <c r="U51" s="20" t="s">
        <v>37</v>
      </c>
      <c r="W51" s="126"/>
      <c r="X51" s="113"/>
      <c r="Y51" s="114" t="str">
        <f>IF(W51&lt;&gt;"",W51*X51,"")</f>
        <v/>
      </c>
      <c r="Z51" s="114" t="str">
        <f>IF(AND(W51&lt;&gt;"",U51="yes"),W51*X51,"")</f>
        <v/>
      </c>
      <c r="AA51" s="27"/>
    </row>
    <row r="52" spans="1:27" x14ac:dyDescent="0.2">
      <c r="E52" s="41"/>
      <c r="H52" s="42"/>
      <c r="W52" s="126"/>
      <c r="X52" s="113">
        <f>1</f>
        <v>1</v>
      </c>
      <c r="Y52" s="114" t="str">
        <f>IF(W52&lt;&gt;"",W52*X52,"")</f>
        <v/>
      </c>
      <c r="Z52" s="114" t="str">
        <f>IF(AND(W52&lt;&gt;"",U52="yes"),W52*X52,"")</f>
        <v/>
      </c>
    </row>
    <row r="53" spans="1:27" ht="16" customHeight="1" x14ac:dyDescent="0.2">
      <c r="A53" s="28" t="s">
        <v>171</v>
      </c>
      <c r="B53" s="28" t="s">
        <v>172</v>
      </c>
      <c r="C53" s="19" t="s">
        <v>173</v>
      </c>
      <c r="D53" s="19" t="s">
        <v>174</v>
      </c>
      <c r="E53" s="41"/>
      <c r="F53" s="28"/>
      <c r="G53" s="28"/>
      <c r="H53" s="42"/>
      <c r="I53" s="71" t="s">
        <v>36</v>
      </c>
      <c r="J53" s="71"/>
      <c r="K53" s="71"/>
      <c r="L53" s="71"/>
      <c r="M53" s="71"/>
      <c r="N53" s="71"/>
      <c r="O53" s="71"/>
      <c r="P53" s="71"/>
      <c r="U53" s="20" t="s">
        <v>37</v>
      </c>
      <c r="W53" s="140"/>
      <c r="X53" s="141"/>
      <c r="Y53" s="142"/>
      <c r="Z53" s="114"/>
    </row>
    <row r="54" spans="1:27" ht="16" customHeight="1" x14ac:dyDescent="0.2">
      <c r="A54" s="28" t="s">
        <v>111</v>
      </c>
      <c r="B54" s="28" t="s">
        <v>175</v>
      </c>
      <c r="C54" s="19" t="s">
        <v>176</v>
      </c>
      <c r="D54" s="19" t="s">
        <v>177</v>
      </c>
      <c r="E54" s="41"/>
      <c r="F54" s="28"/>
      <c r="G54" s="28"/>
      <c r="H54" s="42"/>
      <c r="I54" s="71" t="s">
        <v>36</v>
      </c>
      <c r="J54" s="71"/>
      <c r="K54" s="71"/>
      <c r="L54" s="71"/>
      <c r="M54" s="71" t="s">
        <v>178</v>
      </c>
      <c r="N54" s="71"/>
      <c r="O54" s="71"/>
      <c r="P54" s="71"/>
      <c r="U54" s="20" t="s">
        <v>37</v>
      </c>
      <c r="W54" s="126">
        <v>10.08573150634766</v>
      </c>
      <c r="X54" s="113">
        <f>1</f>
        <v>1</v>
      </c>
      <c r="Y54" s="114">
        <f t="shared" ref="Y54:Y62" si="2">IF(W54&lt;&gt;"",W54*X54,"")</f>
        <v>10.08573150634766</v>
      </c>
      <c r="Z54" s="114">
        <f t="shared" ref="Z54:Z62" si="3">IF(AND(W54&lt;&gt;"",U54="yes"),W54*X54,"")</f>
        <v>10.08573150634766</v>
      </c>
    </row>
    <row r="55" spans="1:27" x14ac:dyDescent="0.2">
      <c r="E55" s="41"/>
      <c r="H55" s="42"/>
      <c r="W55" s="126"/>
      <c r="X55" s="113">
        <f>1</f>
        <v>1</v>
      </c>
      <c r="Y55" s="114" t="str">
        <f t="shared" si="2"/>
        <v/>
      </c>
      <c r="Z55" s="114" t="str">
        <f t="shared" si="3"/>
        <v/>
      </c>
    </row>
    <row r="56" spans="1:27" ht="16" customHeight="1" x14ac:dyDescent="0.2">
      <c r="A56" s="28" t="s">
        <v>179</v>
      </c>
      <c r="B56" s="28" t="s">
        <v>180</v>
      </c>
      <c r="C56" s="19" t="s">
        <v>181</v>
      </c>
      <c r="D56" s="19" t="s">
        <v>182</v>
      </c>
      <c r="E56" s="41"/>
      <c r="F56" s="28"/>
      <c r="G56" s="28"/>
      <c r="H56" s="42"/>
      <c r="I56" s="71" t="s">
        <v>36</v>
      </c>
      <c r="J56" s="71"/>
      <c r="K56" s="71"/>
      <c r="L56" s="71"/>
      <c r="M56" s="71"/>
      <c r="N56" s="71"/>
      <c r="O56" s="71"/>
      <c r="P56" s="71"/>
      <c r="U56" s="20" t="s">
        <v>37</v>
      </c>
      <c r="W56" s="126">
        <v>12.894034385681151</v>
      </c>
      <c r="X56" s="113">
        <f>1</f>
        <v>1</v>
      </c>
      <c r="Y56" s="114">
        <f t="shared" si="2"/>
        <v>12.894034385681151</v>
      </c>
      <c r="Z56" s="114">
        <f t="shared" si="3"/>
        <v>12.894034385681151</v>
      </c>
    </row>
    <row r="57" spans="1:27" x14ac:dyDescent="0.2">
      <c r="E57" s="41"/>
      <c r="H57" s="42"/>
      <c r="W57" s="126"/>
      <c r="X57" s="113">
        <f>1</f>
        <v>1</v>
      </c>
      <c r="Y57" s="114" t="str">
        <f t="shared" si="2"/>
        <v/>
      </c>
      <c r="Z57" s="114" t="str">
        <f t="shared" si="3"/>
        <v/>
      </c>
    </row>
    <row r="58" spans="1:27" s="29" customFormat="1" ht="16" customHeight="1" x14ac:dyDescent="0.2">
      <c r="A58" s="29" t="s">
        <v>183</v>
      </c>
      <c r="B58" s="29" t="s">
        <v>184</v>
      </c>
      <c r="C58" s="22" t="s">
        <v>185</v>
      </c>
      <c r="D58" s="22" t="s">
        <v>186</v>
      </c>
      <c r="E58" s="52"/>
      <c r="F58" s="53"/>
      <c r="G58" s="53"/>
      <c r="H58" s="54"/>
      <c r="I58" s="78" t="s">
        <v>36</v>
      </c>
      <c r="J58" s="83"/>
      <c r="K58" s="83"/>
      <c r="L58" s="83"/>
      <c r="M58" s="83"/>
      <c r="N58" s="83"/>
      <c r="O58" s="83"/>
      <c r="P58" s="83"/>
      <c r="U58" s="29" t="s">
        <v>37</v>
      </c>
      <c r="W58" s="126">
        <v>15.265829086303709</v>
      </c>
      <c r="X58" s="113">
        <f>1</f>
        <v>1</v>
      </c>
      <c r="Y58" s="114">
        <f t="shared" si="2"/>
        <v>15.265829086303709</v>
      </c>
      <c r="Z58" s="114">
        <f t="shared" si="3"/>
        <v>15.265829086303709</v>
      </c>
    </row>
    <row r="59" spans="1:27" s="29" customFormat="1" ht="16" customHeight="1" x14ac:dyDescent="0.2">
      <c r="A59" s="29" t="s">
        <v>187</v>
      </c>
      <c r="B59" s="29" t="s">
        <v>188</v>
      </c>
      <c r="C59" s="22" t="s">
        <v>189</v>
      </c>
      <c r="D59" s="22" t="s">
        <v>190</v>
      </c>
      <c r="E59" s="52"/>
      <c r="F59" s="53"/>
      <c r="G59" s="53"/>
      <c r="H59" s="54"/>
      <c r="I59" s="78" t="s">
        <v>36</v>
      </c>
      <c r="J59" s="83"/>
      <c r="K59" s="83"/>
      <c r="L59" s="83"/>
      <c r="M59" s="83"/>
      <c r="N59" s="83"/>
      <c r="O59" s="83"/>
      <c r="P59" s="83"/>
      <c r="U59" s="29" t="s">
        <v>37</v>
      </c>
      <c r="W59" s="126">
        <v>15.12371826171875</v>
      </c>
      <c r="X59" s="113">
        <f>1</f>
        <v>1</v>
      </c>
      <c r="Y59" s="114">
        <f t="shared" si="2"/>
        <v>15.12371826171875</v>
      </c>
      <c r="Z59" s="114">
        <f t="shared" si="3"/>
        <v>15.12371826171875</v>
      </c>
    </row>
    <row r="60" spans="1:27" s="29" customFormat="1" ht="16" customHeight="1" x14ac:dyDescent="0.2">
      <c r="A60" s="29" t="s">
        <v>191</v>
      </c>
      <c r="B60" s="29" t="s">
        <v>192</v>
      </c>
      <c r="C60" s="22" t="s">
        <v>193</v>
      </c>
      <c r="D60" s="22" t="s">
        <v>194</v>
      </c>
      <c r="E60" s="52"/>
      <c r="F60" s="53"/>
      <c r="G60" s="53"/>
      <c r="H60" s="54"/>
      <c r="I60" s="78" t="s">
        <v>36</v>
      </c>
      <c r="J60" s="83"/>
      <c r="K60" s="83"/>
      <c r="L60" s="83"/>
      <c r="M60" s="83"/>
      <c r="N60" s="83"/>
      <c r="O60" s="83"/>
      <c r="P60" s="83"/>
      <c r="U60" s="29" t="s">
        <v>37</v>
      </c>
      <c r="W60" s="126">
        <v>13.76013851165771</v>
      </c>
      <c r="X60" s="113">
        <f>1</f>
        <v>1</v>
      </c>
      <c r="Y60" s="114">
        <f t="shared" si="2"/>
        <v>13.76013851165771</v>
      </c>
      <c r="Z60" s="114">
        <f t="shared" si="3"/>
        <v>13.76013851165771</v>
      </c>
    </row>
    <row r="61" spans="1:27" s="29" customFormat="1" x14ac:dyDescent="0.2">
      <c r="C61" s="22"/>
      <c r="D61" s="22"/>
      <c r="E61" s="52"/>
      <c r="F61" s="53"/>
      <c r="G61" s="53"/>
      <c r="H61" s="54"/>
      <c r="I61" s="83"/>
      <c r="J61" s="83"/>
      <c r="K61" s="83"/>
      <c r="L61" s="83"/>
      <c r="M61" s="83"/>
      <c r="N61" s="83"/>
      <c r="O61" s="83"/>
      <c r="P61" s="83"/>
      <c r="W61" s="126"/>
      <c r="X61" s="113">
        <f>1</f>
        <v>1</v>
      </c>
      <c r="Y61" s="114" t="str">
        <f t="shared" si="2"/>
        <v/>
      </c>
      <c r="Z61" s="114" t="str">
        <f t="shared" si="3"/>
        <v/>
      </c>
    </row>
    <row r="62" spans="1:27" s="30" customFormat="1" ht="16" customHeight="1" x14ac:dyDescent="0.2">
      <c r="A62" s="30" t="s">
        <v>195</v>
      </c>
      <c r="B62" s="30" t="s">
        <v>196</v>
      </c>
      <c r="C62" s="31" t="s">
        <v>197</v>
      </c>
      <c r="D62" s="31" t="s">
        <v>198</v>
      </c>
      <c r="E62" s="32"/>
      <c r="F62" s="30" t="s">
        <v>199</v>
      </c>
      <c r="G62" s="30" t="s">
        <v>200</v>
      </c>
      <c r="H62" s="36"/>
      <c r="I62" s="72" t="s">
        <v>36</v>
      </c>
      <c r="J62" s="72"/>
      <c r="K62" s="72"/>
      <c r="L62" s="72"/>
      <c r="M62" s="72"/>
      <c r="N62" s="72"/>
      <c r="O62" s="72"/>
      <c r="P62" s="72"/>
      <c r="U62" s="30" t="s">
        <v>51</v>
      </c>
      <c r="W62" s="126">
        <v>30.646188735961911</v>
      </c>
      <c r="X62" s="113">
        <f>1</f>
        <v>1</v>
      </c>
      <c r="Y62" s="114">
        <f t="shared" si="2"/>
        <v>30.646188735961911</v>
      </c>
      <c r="Z62" s="114" t="str">
        <f t="shared" si="3"/>
        <v/>
      </c>
      <c r="AA62" s="29"/>
    </row>
    <row r="63" spans="1:27" s="289" customFormat="1" ht="96" customHeight="1" x14ac:dyDescent="0.2">
      <c r="A63" s="295" t="s">
        <v>201</v>
      </c>
      <c r="B63" s="295" t="s">
        <v>202</v>
      </c>
      <c r="C63" s="295"/>
      <c r="D63" s="295" t="s">
        <v>203</v>
      </c>
      <c r="E63" s="295"/>
      <c r="F63" s="295"/>
      <c r="G63" s="295"/>
      <c r="H63" s="295"/>
      <c r="I63" s="295" t="b">
        <v>1</v>
      </c>
      <c r="J63" s="295"/>
      <c r="K63" s="295"/>
      <c r="L63" s="295"/>
      <c r="M63" s="295" t="s">
        <v>204</v>
      </c>
      <c r="W63" s="292"/>
      <c r="X63" s="293"/>
      <c r="Y63" s="292"/>
      <c r="Z63" s="292"/>
      <c r="AA63" s="294"/>
    </row>
    <row r="64" spans="1:27" s="289" customFormat="1" ht="32" customHeight="1" x14ac:dyDescent="0.2">
      <c r="A64" s="295" t="s">
        <v>171</v>
      </c>
      <c r="B64" s="295" t="s">
        <v>205</v>
      </c>
      <c r="C64" s="295"/>
      <c r="D64" s="295" t="s">
        <v>206</v>
      </c>
      <c r="E64" s="295"/>
      <c r="F64" s="295"/>
      <c r="G64" s="295"/>
      <c r="H64" s="295"/>
      <c r="I64" s="295" t="b">
        <v>1</v>
      </c>
      <c r="J64" s="295"/>
      <c r="K64" s="295"/>
      <c r="L64" s="295"/>
      <c r="M64" s="295"/>
      <c r="W64" s="292"/>
      <c r="X64" s="293"/>
      <c r="Y64" s="292"/>
      <c r="Z64" s="292"/>
      <c r="AA64" s="294"/>
    </row>
    <row r="65" spans="1:27" s="289" customFormat="1" ht="32" customHeight="1" x14ac:dyDescent="0.2">
      <c r="A65" s="295" t="s">
        <v>207</v>
      </c>
      <c r="B65" s="295" t="s">
        <v>208</v>
      </c>
      <c r="C65" s="295"/>
      <c r="D65" s="295" t="s">
        <v>209</v>
      </c>
      <c r="E65" s="295"/>
      <c r="F65" s="295"/>
      <c r="G65" s="295"/>
      <c r="H65" s="295"/>
      <c r="I65" s="295" t="b">
        <v>1</v>
      </c>
      <c r="J65" s="295"/>
      <c r="K65" s="295"/>
      <c r="L65" s="295"/>
      <c r="M65" s="295" t="s">
        <v>210</v>
      </c>
      <c r="W65" s="292"/>
      <c r="X65" s="293"/>
      <c r="Y65" s="292"/>
      <c r="Z65" s="292"/>
      <c r="AA65" s="294"/>
    </row>
    <row r="66" spans="1:27" s="289" customFormat="1" x14ac:dyDescent="0.2">
      <c r="A66" s="288" t="s">
        <v>104</v>
      </c>
      <c r="B66" s="288" t="s">
        <v>211</v>
      </c>
      <c r="C66" s="288"/>
      <c r="D66" s="288" t="s">
        <v>212</v>
      </c>
      <c r="E66" s="288"/>
      <c r="F66" s="288"/>
      <c r="G66" s="288"/>
      <c r="H66" s="288"/>
      <c r="I66" s="288" t="b">
        <v>1</v>
      </c>
      <c r="J66" s="288"/>
      <c r="K66" s="288"/>
      <c r="L66" s="288"/>
      <c r="M66" s="288" t="s">
        <v>210</v>
      </c>
      <c r="W66" s="292"/>
      <c r="X66" s="293"/>
      <c r="Y66" s="292"/>
      <c r="Z66" s="292"/>
      <c r="AA66" s="294"/>
    </row>
    <row r="67" spans="1:27" s="289" customFormat="1" x14ac:dyDescent="0.2">
      <c r="A67" s="288" t="s">
        <v>213</v>
      </c>
      <c r="B67" s="288" t="s">
        <v>214</v>
      </c>
      <c r="C67" s="288"/>
      <c r="D67" s="288" t="s">
        <v>215</v>
      </c>
      <c r="E67" s="288"/>
      <c r="F67" s="288"/>
      <c r="G67" s="288"/>
      <c r="H67" s="288"/>
      <c r="I67" s="288" t="b">
        <v>1</v>
      </c>
      <c r="J67" s="288"/>
      <c r="K67" s="288"/>
      <c r="L67" s="288"/>
      <c r="M67" s="288" t="s">
        <v>210</v>
      </c>
      <c r="W67" s="292"/>
      <c r="X67" s="293"/>
      <c r="Y67" s="292"/>
      <c r="Z67" s="292"/>
      <c r="AA67" s="294"/>
    </row>
    <row r="68" spans="1:27" s="289" customFormat="1" ht="32" customHeight="1" x14ac:dyDescent="0.2">
      <c r="A68" s="295" t="s">
        <v>216</v>
      </c>
      <c r="B68" s="295" t="s">
        <v>217</v>
      </c>
      <c r="C68" s="295"/>
      <c r="D68" s="295" t="s">
        <v>203</v>
      </c>
      <c r="E68" s="295"/>
      <c r="F68" s="295"/>
      <c r="G68" s="295"/>
      <c r="H68" s="295"/>
      <c r="I68" s="295" t="b">
        <v>1</v>
      </c>
      <c r="J68" s="295"/>
      <c r="K68" s="295"/>
      <c r="L68" s="295"/>
      <c r="M68" s="295" t="s">
        <v>210</v>
      </c>
      <c r="W68" s="292"/>
      <c r="X68" s="293"/>
      <c r="Y68" s="292"/>
      <c r="Z68" s="292"/>
      <c r="AA68" s="294"/>
    </row>
    <row r="69" spans="1:27" s="289" customFormat="1" ht="32" customHeight="1" x14ac:dyDescent="0.2">
      <c r="A69" s="295" t="s">
        <v>218</v>
      </c>
      <c r="B69" s="295" t="s">
        <v>219</v>
      </c>
      <c r="C69" s="295"/>
      <c r="D69" s="295" t="s">
        <v>220</v>
      </c>
      <c r="E69" s="295"/>
      <c r="F69" s="295"/>
      <c r="G69" s="295"/>
      <c r="H69" s="295"/>
      <c r="I69" s="295" t="b">
        <v>1</v>
      </c>
      <c r="J69" s="295"/>
      <c r="K69" s="295"/>
      <c r="L69" s="295"/>
      <c r="M69" s="295"/>
      <c r="W69" s="292"/>
      <c r="X69" s="293"/>
      <c r="Y69" s="292"/>
      <c r="Z69" s="292"/>
      <c r="AA69" s="294"/>
    </row>
    <row r="70" spans="1:27" s="289" customFormat="1" x14ac:dyDescent="0.2">
      <c r="A70" s="288" t="s">
        <v>221</v>
      </c>
      <c r="B70" s="288" t="s">
        <v>222</v>
      </c>
      <c r="C70" s="288"/>
      <c r="D70" s="288" t="s">
        <v>223</v>
      </c>
      <c r="E70" s="288"/>
      <c r="F70" s="288"/>
      <c r="G70" s="288"/>
      <c r="H70" s="288"/>
      <c r="I70" s="288" t="b">
        <v>1</v>
      </c>
      <c r="J70" s="288"/>
      <c r="K70" s="288"/>
      <c r="L70" s="288"/>
      <c r="M70" s="288" t="s">
        <v>224</v>
      </c>
      <c r="W70" s="292"/>
      <c r="X70" s="293"/>
      <c r="Y70" s="292"/>
      <c r="Z70" s="292"/>
      <c r="AA70" s="294"/>
    </row>
    <row r="71" spans="1:27" s="289" customFormat="1" ht="96" customHeight="1" x14ac:dyDescent="0.2">
      <c r="A71" s="295" t="s">
        <v>225</v>
      </c>
      <c r="B71" s="295" t="s">
        <v>226</v>
      </c>
      <c r="C71" s="295"/>
      <c r="D71" s="295" t="s">
        <v>227</v>
      </c>
      <c r="E71" s="295"/>
      <c r="F71" s="295"/>
      <c r="G71" s="295"/>
      <c r="H71" s="295"/>
      <c r="I71" s="295" t="b">
        <v>1</v>
      </c>
      <c r="J71" s="295"/>
      <c r="K71" s="295"/>
      <c r="L71" s="295"/>
      <c r="M71" s="295" t="s">
        <v>224</v>
      </c>
      <c r="W71" s="292"/>
      <c r="X71" s="293"/>
      <c r="Y71" s="292"/>
      <c r="Z71" s="292"/>
      <c r="AA71" s="294"/>
    </row>
    <row r="72" spans="1:27" s="289" customFormat="1" ht="144" customHeight="1" x14ac:dyDescent="0.2">
      <c r="A72" s="289" t="s">
        <v>104</v>
      </c>
      <c r="B72" s="289" t="s">
        <v>228</v>
      </c>
      <c r="C72" s="289" t="s">
        <v>229</v>
      </c>
      <c r="D72" s="289" t="s">
        <v>230</v>
      </c>
      <c r="E72" s="296"/>
      <c r="F72" s="289" t="s">
        <v>231</v>
      </c>
      <c r="G72" s="289" t="s">
        <v>232</v>
      </c>
      <c r="H72" s="296"/>
      <c r="I72" s="289" t="s">
        <v>36</v>
      </c>
      <c r="K72" s="289" t="s">
        <v>233</v>
      </c>
      <c r="U72" s="289" t="s">
        <v>51</v>
      </c>
      <c r="W72" s="292">
        <v>15.21184825897217</v>
      </c>
      <c r="X72" s="293">
        <f>1</f>
        <v>1</v>
      </c>
      <c r="Y72" s="292">
        <f t="shared" ref="Y72:Y84" si="4">IF(W72&lt;&gt;"",W72*X72,"")</f>
        <v>15.21184825897217</v>
      </c>
      <c r="Z72" s="292" t="str">
        <f t="shared" ref="Z72:Z84" si="5">IF(AND(W72&lt;&gt;"",U72="yes"),W72*X72,"")</f>
        <v/>
      </c>
      <c r="AA72" s="294"/>
    </row>
    <row r="73" spans="1:27" s="30" customFormat="1" x14ac:dyDescent="0.2">
      <c r="C73" s="31"/>
      <c r="D73" s="31"/>
      <c r="E73" s="32"/>
      <c r="H73" s="36"/>
      <c r="I73" s="72"/>
      <c r="J73" s="72"/>
      <c r="K73" s="72"/>
      <c r="L73" s="72"/>
      <c r="M73" s="72"/>
      <c r="N73" s="72"/>
      <c r="O73" s="72"/>
      <c r="P73" s="72"/>
      <c r="W73" s="126"/>
      <c r="X73" s="113">
        <f>1</f>
        <v>1</v>
      </c>
      <c r="Y73" s="114" t="str">
        <f t="shared" si="4"/>
        <v/>
      </c>
      <c r="Z73" s="114" t="str">
        <f t="shared" si="5"/>
        <v/>
      </c>
      <c r="AA73" s="29"/>
    </row>
    <row r="74" spans="1:27" ht="16" customHeight="1" thickBot="1" x14ac:dyDescent="0.25">
      <c r="A74" s="55" t="s">
        <v>89</v>
      </c>
      <c r="B74" s="55"/>
      <c r="C74" s="56"/>
      <c r="D74" s="56"/>
      <c r="E74" s="63"/>
      <c r="F74" s="55"/>
      <c r="G74" s="55"/>
      <c r="H74" s="64"/>
      <c r="I74" s="84"/>
      <c r="J74" s="84"/>
      <c r="K74" s="84"/>
      <c r="L74" s="84"/>
      <c r="M74" s="84"/>
      <c r="N74" s="84"/>
      <c r="O74" s="84"/>
      <c r="P74" s="84"/>
      <c r="W74" s="126"/>
      <c r="X74" s="113">
        <f>1</f>
        <v>1</v>
      </c>
      <c r="Y74" s="114" t="str">
        <f t="shared" si="4"/>
        <v/>
      </c>
      <c r="Z74" s="114" t="str">
        <f t="shared" si="5"/>
        <v/>
      </c>
    </row>
    <row r="75" spans="1:27" s="26" customFormat="1" ht="17" customHeight="1" thickTop="1" x14ac:dyDescent="0.2">
      <c r="A75" s="35" t="s">
        <v>60</v>
      </c>
      <c r="B75" s="35" t="s">
        <v>234</v>
      </c>
      <c r="C75" s="57" t="s">
        <v>235</v>
      </c>
      <c r="D75" s="57" t="s">
        <v>235</v>
      </c>
      <c r="E75" s="121"/>
      <c r="F75" s="35"/>
      <c r="G75" s="35"/>
      <c r="H75" s="122"/>
      <c r="I75" s="85" t="s">
        <v>55</v>
      </c>
      <c r="J75" s="85"/>
      <c r="K75" s="85"/>
      <c r="L75" s="85"/>
      <c r="M75" s="272" t="s">
        <v>170</v>
      </c>
      <c r="N75" s="85"/>
      <c r="O75" s="85"/>
      <c r="P75" s="85"/>
      <c r="U75" s="20" t="s">
        <v>37</v>
      </c>
      <c r="W75" s="126"/>
      <c r="X75" s="113">
        <f>1</f>
        <v>1</v>
      </c>
      <c r="Y75" s="114" t="str">
        <f t="shared" si="4"/>
        <v/>
      </c>
      <c r="Z75" s="114" t="str">
        <f t="shared" si="5"/>
        <v/>
      </c>
      <c r="AA75" s="27"/>
    </row>
    <row r="76" spans="1:27" x14ac:dyDescent="0.2">
      <c r="E76" s="41"/>
      <c r="H76" s="42"/>
      <c r="W76" s="126"/>
      <c r="X76" s="113">
        <f>1</f>
        <v>1</v>
      </c>
      <c r="Y76" s="114" t="str">
        <f t="shared" si="4"/>
        <v/>
      </c>
      <c r="Z76" s="114" t="str">
        <f t="shared" si="5"/>
        <v/>
      </c>
    </row>
    <row r="77" spans="1:27" ht="16" customHeight="1" x14ac:dyDescent="0.2">
      <c r="A77" s="33" t="s">
        <v>236</v>
      </c>
      <c r="B77" s="33" t="s">
        <v>237</v>
      </c>
      <c r="C77" s="34" t="s">
        <v>238</v>
      </c>
      <c r="D77" s="34" t="s">
        <v>239</v>
      </c>
      <c r="E77" s="52"/>
      <c r="F77" s="29" t="s">
        <v>240</v>
      </c>
      <c r="G77" s="20" t="s">
        <v>241</v>
      </c>
      <c r="H77" s="54"/>
      <c r="I77" s="73" t="s">
        <v>36</v>
      </c>
      <c r="J77" s="73" t="s">
        <v>242</v>
      </c>
      <c r="K77" s="73"/>
      <c r="L77" s="73"/>
      <c r="M77" s="73"/>
      <c r="N77" s="73"/>
      <c r="O77" s="73"/>
      <c r="P77" s="73"/>
      <c r="U77" s="20" t="s">
        <v>37</v>
      </c>
      <c r="W77" s="126">
        <v>36.928733825683587</v>
      </c>
      <c r="X77" s="113">
        <f>1</f>
        <v>1</v>
      </c>
      <c r="Y77" s="114">
        <f t="shared" si="4"/>
        <v>36.928733825683587</v>
      </c>
      <c r="Z77" s="114">
        <f t="shared" si="5"/>
        <v>36.928733825683587</v>
      </c>
    </row>
    <row r="78" spans="1:27" x14ac:dyDescent="0.2">
      <c r="A78" s="33" t="s">
        <v>26</v>
      </c>
      <c r="B78" s="33" t="s">
        <v>243</v>
      </c>
      <c r="C78" s="34"/>
      <c r="D78" s="34"/>
      <c r="E78" s="52"/>
      <c r="F78" s="29"/>
      <c r="G78" s="29"/>
      <c r="H78" s="54"/>
      <c r="I78" s="73"/>
      <c r="J78" s="73"/>
      <c r="K78" s="73"/>
      <c r="L78" s="73"/>
      <c r="M78" s="73"/>
      <c r="N78" s="73"/>
      <c r="O78" s="73"/>
      <c r="P78" s="73" t="s">
        <v>244</v>
      </c>
      <c r="U78" s="20" t="s">
        <v>37</v>
      </c>
      <c r="W78" s="126"/>
      <c r="X78" s="113">
        <f>1</f>
        <v>1</v>
      </c>
      <c r="Y78" s="114" t="str">
        <f t="shared" si="4"/>
        <v/>
      </c>
      <c r="Z78" s="114" t="str">
        <f t="shared" si="5"/>
        <v/>
      </c>
    </row>
    <row r="79" spans="1:27" ht="32" customHeight="1" x14ac:dyDescent="0.2">
      <c r="A79" s="33" t="s">
        <v>171</v>
      </c>
      <c r="B79" s="33" t="s">
        <v>245</v>
      </c>
      <c r="C79" s="34" t="s">
        <v>246</v>
      </c>
      <c r="D79" s="34" t="s">
        <v>247</v>
      </c>
      <c r="E79" s="52"/>
      <c r="F79" s="29"/>
      <c r="G79" s="29"/>
      <c r="H79" s="54"/>
      <c r="I79" s="73" t="s">
        <v>36</v>
      </c>
      <c r="J79" s="73"/>
      <c r="K79" s="73"/>
      <c r="L79" s="73"/>
      <c r="M79" s="73" t="s">
        <v>248</v>
      </c>
      <c r="N79" s="73"/>
      <c r="O79" s="73"/>
      <c r="P79" s="73"/>
      <c r="U79" s="20" t="s">
        <v>37</v>
      </c>
      <c r="W79" s="126">
        <v>0</v>
      </c>
      <c r="X79" s="113">
        <f>1</f>
        <v>1</v>
      </c>
      <c r="Y79" s="114">
        <f t="shared" si="4"/>
        <v>0</v>
      </c>
      <c r="Z79" s="114">
        <f t="shared" si="5"/>
        <v>0</v>
      </c>
    </row>
    <row r="80" spans="1:27" ht="32" customHeight="1" x14ac:dyDescent="0.2">
      <c r="A80" s="33" t="s">
        <v>171</v>
      </c>
      <c r="B80" s="33" t="s">
        <v>249</v>
      </c>
      <c r="C80" s="34" t="s">
        <v>250</v>
      </c>
      <c r="D80" s="34" t="s">
        <v>251</v>
      </c>
      <c r="E80" s="52"/>
      <c r="F80" s="29"/>
      <c r="G80" s="29"/>
      <c r="H80" s="54"/>
      <c r="I80" s="73" t="s">
        <v>36</v>
      </c>
      <c r="J80" s="73"/>
      <c r="K80" s="73"/>
      <c r="L80" s="73"/>
      <c r="M80" s="73" t="s">
        <v>252</v>
      </c>
      <c r="N80" s="73"/>
      <c r="O80" s="73"/>
      <c r="P80" s="73"/>
      <c r="U80" s="20" t="s">
        <v>37</v>
      </c>
      <c r="W80" s="126">
        <v>0</v>
      </c>
      <c r="X80" s="113">
        <f>1</f>
        <v>1</v>
      </c>
      <c r="Y80" s="114">
        <f t="shared" si="4"/>
        <v>0</v>
      </c>
      <c r="Z80" s="114">
        <f t="shared" si="5"/>
        <v>0</v>
      </c>
    </row>
    <row r="81" spans="1:27" ht="32" customHeight="1" x14ac:dyDescent="0.2">
      <c r="A81" s="33" t="s">
        <v>171</v>
      </c>
      <c r="B81" s="33" t="s">
        <v>253</v>
      </c>
      <c r="C81" s="34" t="s">
        <v>254</v>
      </c>
      <c r="D81" s="34" t="s">
        <v>255</v>
      </c>
      <c r="E81" s="52"/>
      <c r="F81" s="29"/>
      <c r="G81" s="29"/>
      <c r="H81" s="54"/>
      <c r="I81" s="73" t="s">
        <v>36</v>
      </c>
      <c r="J81" s="73"/>
      <c r="K81" s="73"/>
      <c r="L81" s="73"/>
      <c r="M81" s="73" t="s">
        <v>256</v>
      </c>
      <c r="N81" s="73"/>
      <c r="O81" s="73"/>
      <c r="P81" s="73"/>
      <c r="U81" s="20" t="s">
        <v>37</v>
      </c>
      <c r="W81" s="126">
        <v>0</v>
      </c>
      <c r="X81" s="113">
        <f>1</f>
        <v>1</v>
      </c>
      <c r="Y81" s="114">
        <f t="shared" si="4"/>
        <v>0</v>
      </c>
      <c r="Z81" s="114">
        <f t="shared" si="5"/>
        <v>0</v>
      </c>
    </row>
    <row r="82" spans="1:27" x14ac:dyDescent="0.2">
      <c r="E82" s="41"/>
      <c r="H82" s="42"/>
      <c r="W82" s="126"/>
      <c r="X82" s="113">
        <f>1</f>
        <v>1</v>
      </c>
      <c r="Y82" s="114" t="str">
        <f t="shared" si="4"/>
        <v/>
      </c>
      <c r="Z82" s="114" t="str">
        <f t="shared" si="5"/>
        <v/>
      </c>
    </row>
    <row r="83" spans="1:27" s="30" customFormat="1" ht="32" customHeight="1" x14ac:dyDescent="0.2">
      <c r="A83" s="30" t="s">
        <v>257</v>
      </c>
      <c r="B83" s="30" t="s">
        <v>258</v>
      </c>
      <c r="C83" s="31" t="s">
        <v>259</v>
      </c>
      <c r="D83" s="31" t="s">
        <v>260</v>
      </c>
      <c r="E83" s="32"/>
      <c r="F83" s="30" t="s">
        <v>261</v>
      </c>
      <c r="G83" s="30" t="s">
        <v>262</v>
      </c>
      <c r="H83" s="36"/>
      <c r="I83" s="72" t="s">
        <v>36</v>
      </c>
      <c r="J83" s="72"/>
      <c r="K83" s="72" t="s">
        <v>263</v>
      </c>
      <c r="L83" s="72"/>
      <c r="M83" s="72" t="s">
        <v>264</v>
      </c>
      <c r="N83" s="72"/>
      <c r="O83" s="72"/>
      <c r="P83" s="72"/>
      <c r="U83" s="30" t="s">
        <v>51</v>
      </c>
      <c r="W83" s="126">
        <v>40.047317504882812</v>
      </c>
      <c r="X83" s="113">
        <f>1</f>
        <v>1</v>
      </c>
      <c r="Y83" s="114">
        <f t="shared" si="4"/>
        <v>40.047317504882812</v>
      </c>
      <c r="Z83" s="114" t="str">
        <f t="shared" si="5"/>
        <v/>
      </c>
      <c r="AA83" s="29"/>
    </row>
    <row r="84" spans="1:27" s="30" customFormat="1" ht="16" customHeight="1" x14ac:dyDescent="0.2">
      <c r="A84" s="30" t="s">
        <v>265</v>
      </c>
      <c r="B84" s="30" t="s">
        <v>266</v>
      </c>
      <c r="C84" s="30" t="s">
        <v>267</v>
      </c>
      <c r="D84" s="31" t="s">
        <v>268</v>
      </c>
      <c r="E84" s="36"/>
      <c r="F84" s="30" t="s">
        <v>269</v>
      </c>
      <c r="G84" s="30" t="s">
        <v>270</v>
      </c>
      <c r="H84" s="36"/>
      <c r="I84" s="72" t="s">
        <v>55</v>
      </c>
      <c r="J84" s="72"/>
      <c r="K84" s="72"/>
      <c r="L84" s="72"/>
      <c r="M84" s="72" t="s">
        <v>271</v>
      </c>
      <c r="N84" s="72"/>
      <c r="O84" s="72"/>
      <c r="P84" s="72"/>
      <c r="U84" s="30" t="s">
        <v>51</v>
      </c>
      <c r="W84" s="126">
        <v>3.6870110034942631</v>
      </c>
      <c r="X84" s="113">
        <f>1</f>
        <v>1</v>
      </c>
      <c r="Y84" s="114">
        <f t="shared" si="4"/>
        <v>3.6870110034942631</v>
      </c>
      <c r="Z84" s="114" t="str">
        <f t="shared" si="5"/>
        <v/>
      </c>
      <c r="AA84" s="29"/>
    </row>
    <row r="85" spans="1:27" x14ac:dyDescent="0.2">
      <c r="D85" s="31"/>
      <c r="E85" s="36"/>
      <c r="G85" s="30"/>
      <c r="H85" s="36"/>
    </row>
    <row r="86" spans="1:27" s="29" customFormat="1" ht="16" customHeight="1" x14ac:dyDescent="0.2">
      <c r="A86" s="33" t="s">
        <v>272</v>
      </c>
      <c r="B86" s="33" t="s">
        <v>273</v>
      </c>
      <c r="C86" s="33" t="s">
        <v>274</v>
      </c>
      <c r="D86" s="34" t="s">
        <v>275</v>
      </c>
      <c r="E86" s="54"/>
      <c r="F86" s="33"/>
      <c r="G86" s="33"/>
      <c r="H86" s="54"/>
      <c r="I86" s="73" t="s">
        <v>36</v>
      </c>
      <c r="J86" s="73"/>
      <c r="K86" s="73"/>
      <c r="L86" s="73"/>
      <c r="M86" s="73" t="s">
        <v>264</v>
      </c>
      <c r="N86" s="73"/>
      <c r="O86" s="73"/>
      <c r="P86" s="73"/>
      <c r="U86" s="29" t="s">
        <v>37</v>
      </c>
      <c r="W86" s="126"/>
      <c r="X86" s="113"/>
      <c r="Y86" s="114"/>
      <c r="Z86" s="114"/>
    </row>
    <row r="87" spans="1:27" s="29" customFormat="1" ht="16" customHeight="1" x14ac:dyDescent="0.2">
      <c r="A87" s="33" t="s">
        <v>276</v>
      </c>
      <c r="B87" s="33" t="s">
        <v>277</v>
      </c>
      <c r="C87" s="33" t="s">
        <v>278</v>
      </c>
      <c r="D87" s="34" t="s">
        <v>279</v>
      </c>
      <c r="E87" s="54"/>
      <c r="F87" s="33"/>
      <c r="G87" s="33"/>
      <c r="H87" s="54"/>
      <c r="I87" s="73" t="s">
        <v>36</v>
      </c>
      <c r="J87" s="73"/>
      <c r="K87" s="73"/>
      <c r="L87" s="73"/>
      <c r="M87" s="73" t="s">
        <v>264</v>
      </c>
      <c r="N87" s="73"/>
      <c r="O87" s="73"/>
      <c r="P87" s="73"/>
      <c r="U87" s="29" t="s">
        <v>37</v>
      </c>
      <c r="W87" s="126"/>
      <c r="X87" s="113"/>
      <c r="Y87" s="114"/>
      <c r="Z87" s="114"/>
    </row>
    <row r="88" spans="1:27" x14ac:dyDescent="0.2">
      <c r="E88" s="41"/>
      <c r="H88" s="42"/>
      <c r="W88" s="126"/>
      <c r="X88" s="113">
        <f>1</f>
        <v>1</v>
      </c>
      <c r="Y88" s="114" t="str">
        <f t="shared" ref="Y88:Y108" si="6">IF(W88&lt;&gt;"",W88*X88,"")</f>
        <v/>
      </c>
      <c r="Z88" s="114" t="str">
        <f t="shared" ref="Z88:Z108" si="7">IF(AND(W88&lt;&gt;"",U88="yes"),W88*X88,"")</f>
        <v/>
      </c>
    </row>
    <row r="89" spans="1:27" ht="32" customHeight="1" x14ac:dyDescent="0.2">
      <c r="A89" s="33" t="s">
        <v>280</v>
      </c>
      <c r="B89" s="33" t="s">
        <v>281</v>
      </c>
      <c r="C89" s="34" t="s">
        <v>282</v>
      </c>
      <c r="D89" s="34" t="s">
        <v>283</v>
      </c>
      <c r="E89" s="52"/>
      <c r="F89" s="33"/>
      <c r="G89" s="33"/>
      <c r="H89" s="54"/>
      <c r="I89" s="73" t="s">
        <v>36</v>
      </c>
      <c r="J89" s="73"/>
      <c r="K89" s="73"/>
      <c r="L89" s="73"/>
      <c r="M89" s="73" t="s">
        <v>264</v>
      </c>
      <c r="N89" s="73"/>
      <c r="O89" s="73"/>
      <c r="P89" s="73"/>
      <c r="U89" s="20" t="s">
        <v>37</v>
      </c>
      <c r="W89" s="126">
        <v>27.242166519165039</v>
      </c>
      <c r="X89" s="113">
        <f>1</f>
        <v>1</v>
      </c>
      <c r="Y89" s="114">
        <f t="shared" si="6"/>
        <v>27.242166519165039</v>
      </c>
      <c r="Z89" s="114">
        <f t="shared" si="7"/>
        <v>27.242166519165039</v>
      </c>
    </row>
    <row r="90" spans="1:27" x14ac:dyDescent="0.2">
      <c r="D90" s="22"/>
      <c r="E90" s="41"/>
      <c r="H90" s="42"/>
      <c r="W90" s="126"/>
      <c r="X90" s="113">
        <f>1</f>
        <v>1</v>
      </c>
      <c r="Y90" s="114" t="str">
        <f t="shared" si="6"/>
        <v/>
      </c>
      <c r="Z90" s="114" t="str">
        <f t="shared" si="7"/>
        <v/>
      </c>
    </row>
    <row r="91" spans="1:27" ht="32" customHeight="1" x14ac:dyDescent="0.2">
      <c r="A91" s="33" t="s">
        <v>284</v>
      </c>
      <c r="B91" s="33" t="s">
        <v>285</v>
      </c>
      <c r="C91" s="34" t="s">
        <v>286</v>
      </c>
      <c r="D91" s="34" t="s">
        <v>287</v>
      </c>
      <c r="E91" s="52"/>
      <c r="F91" s="29" t="s">
        <v>288</v>
      </c>
      <c r="G91" s="29" t="s">
        <v>289</v>
      </c>
      <c r="H91" s="54"/>
      <c r="I91" s="73" t="s">
        <v>36</v>
      </c>
      <c r="J91" s="73" t="s">
        <v>242</v>
      </c>
      <c r="K91" s="73"/>
      <c r="L91" s="73"/>
      <c r="M91" s="73" t="s">
        <v>264</v>
      </c>
      <c r="N91" s="73" t="s">
        <v>290</v>
      </c>
      <c r="O91" s="73"/>
      <c r="P91" s="73"/>
      <c r="U91" s="20" t="s">
        <v>37</v>
      </c>
      <c r="W91" s="126">
        <v>25.308004379272461</v>
      </c>
      <c r="X91" s="113">
        <f>1</f>
        <v>1</v>
      </c>
      <c r="Y91" s="114">
        <f t="shared" si="6"/>
        <v>25.308004379272461</v>
      </c>
      <c r="Z91" s="114">
        <f t="shared" si="7"/>
        <v>25.308004379272461</v>
      </c>
    </row>
    <row r="92" spans="1:27" x14ac:dyDescent="0.2">
      <c r="A92" s="33" t="s">
        <v>26</v>
      </c>
      <c r="B92" s="33" t="s">
        <v>291</v>
      </c>
      <c r="C92" s="34"/>
      <c r="D92" s="34"/>
      <c r="E92" s="52"/>
      <c r="F92" s="29"/>
      <c r="G92" s="29"/>
      <c r="H92" s="54"/>
      <c r="I92" s="73"/>
      <c r="J92" s="73"/>
      <c r="K92" s="73"/>
      <c r="L92" s="73"/>
      <c r="M92" s="73"/>
      <c r="N92" s="73"/>
      <c r="O92" s="73"/>
      <c r="P92" s="73" t="s">
        <v>292</v>
      </c>
      <c r="U92" s="20" t="s">
        <v>37</v>
      </c>
      <c r="W92" s="126"/>
      <c r="X92" s="113">
        <f>1</f>
        <v>1</v>
      </c>
      <c r="Y92" s="114" t="str">
        <f t="shared" si="6"/>
        <v/>
      </c>
      <c r="Z92" s="114" t="str">
        <f t="shared" si="7"/>
        <v/>
      </c>
    </row>
    <row r="93" spans="1:27" ht="32" customHeight="1" x14ac:dyDescent="0.2">
      <c r="A93" s="33" t="s">
        <v>171</v>
      </c>
      <c r="B93" s="33" t="s">
        <v>293</v>
      </c>
      <c r="C93" s="34" t="s">
        <v>246</v>
      </c>
      <c r="D93" s="265" t="s">
        <v>294</v>
      </c>
      <c r="E93" s="52"/>
      <c r="F93" s="29"/>
      <c r="G93" s="29"/>
      <c r="H93" s="54"/>
      <c r="I93" s="73" t="s">
        <v>36</v>
      </c>
      <c r="J93" s="73"/>
      <c r="K93" s="73"/>
      <c r="L93" s="73"/>
      <c r="M93" s="73" t="s">
        <v>295</v>
      </c>
      <c r="N93" s="73"/>
      <c r="O93" s="73"/>
      <c r="P93" s="73"/>
      <c r="U93" s="20" t="s">
        <v>37</v>
      </c>
      <c r="W93" s="126">
        <v>0</v>
      </c>
      <c r="X93" s="113">
        <f>1</f>
        <v>1</v>
      </c>
      <c r="Y93" s="114">
        <f t="shared" si="6"/>
        <v>0</v>
      </c>
      <c r="Z93" s="114">
        <f t="shared" si="7"/>
        <v>0</v>
      </c>
    </row>
    <row r="94" spans="1:27" ht="32" customHeight="1" x14ac:dyDescent="0.2">
      <c r="A94" s="33" t="s">
        <v>171</v>
      </c>
      <c r="B94" s="33" t="s">
        <v>296</v>
      </c>
      <c r="C94" s="34" t="s">
        <v>297</v>
      </c>
      <c r="D94" s="34" t="s">
        <v>251</v>
      </c>
      <c r="E94" s="52"/>
      <c r="F94" s="29"/>
      <c r="G94" s="29"/>
      <c r="H94" s="54"/>
      <c r="I94" s="73" t="s">
        <v>36</v>
      </c>
      <c r="J94" s="73"/>
      <c r="K94" s="73"/>
      <c r="L94" s="73"/>
      <c r="M94" s="73" t="s">
        <v>298</v>
      </c>
      <c r="N94" s="73"/>
      <c r="O94" s="73"/>
      <c r="P94" s="73"/>
      <c r="U94" s="20" t="s">
        <v>37</v>
      </c>
      <c r="W94" s="126">
        <v>0</v>
      </c>
      <c r="X94" s="113">
        <f>1</f>
        <v>1</v>
      </c>
      <c r="Y94" s="114">
        <f t="shared" si="6"/>
        <v>0</v>
      </c>
      <c r="Z94" s="114">
        <f t="shared" si="7"/>
        <v>0</v>
      </c>
    </row>
    <row r="95" spans="1:27" ht="32" customHeight="1" x14ac:dyDescent="0.2">
      <c r="A95" s="33" t="s">
        <v>171</v>
      </c>
      <c r="B95" s="33" t="s">
        <v>299</v>
      </c>
      <c r="C95" s="34" t="s">
        <v>254</v>
      </c>
      <c r="D95" s="34" t="s">
        <v>255</v>
      </c>
      <c r="E95" s="52"/>
      <c r="F95" s="29"/>
      <c r="G95" s="29"/>
      <c r="H95" s="54"/>
      <c r="I95" s="73" t="s">
        <v>36</v>
      </c>
      <c r="J95" s="73"/>
      <c r="K95" s="73"/>
      <c r="L95" s="73"/>
      <c r="M95" s="73" t="s">
        <v>300</v>
      </c>
      <c r="N95" s="73"/>
      <c r="O95" s="73"/>
      <c r="P95" s="73"/>
      <c r="U95" s="20" t="s">
        <v>37</v>
      </c>
      <c r="W95" s="126">
        <v>0</v>
      </c>
      <c r="X95" s="113">
        <f>1</f>
        <v>1</v>
      </c>
      <c r="Y95" s="114">
        <f t="shared" si="6"/>
        <v>0</v>
      </c>
      <c r="Z95" s="114">
        <f t="shared" si="7"/>
        <v>0</v>
      </c>
    </row>
    <row r="96" spans="1:27" x14ac:dyDescent="0.2">
      <c r="E96" s="41"/>
      <c r="H96" s="42"/>
      <c r="W96" s="126"/>
      <c r="X96" s="113">
        <f>1</f>
        <v>1</v>
      </c>
      <c r="Y96" s="114" t="str">
        <f t="shared" si="6"/>
        <v/>
      </c>
      <c r="Z96" s="114" t="str">
        <f t="shared" si="7"/>
        <v/>
      </c>
    </row>
    <row r="97" spans="1:27" s="30" customFormat="1" x14ac:dyDescent="0.2">
      <c r="C97" s="31"/>
      <c r="D97" s="31"/>
      <c r="E97" s="32"/>
      <c r="H97" s="36"/>
      <c r="I97" s="72"/>
      <c r="J97" s="72"/>
      <c r="K97" s="72"/>
      <c r="L97" s="72"/>
      <c r="M97" s="72"/>
      <c r="N97" s="72"/>
      <c r="O97" s="72"/>
      <c r="P97" s="72"/>
      <c r="W97" s="126"/>
      <c r="X97" s="113">
        <f>1</f>
        <v>1</v>
      </c>
      <c r="Y97" s="114" t="str">
        <f t="shared" si="6"/>
        <v/>
      </c>
      <c r="Z97" s="114" t="str">
        <f t="shared" si="7"/>
        <v/>
      </c>
      <c r="AA97" s="29"/>
    </row>
    <row r="98" spans="1:27" ht="32" customHeight="1" x14ac:dyDescent="0.2">
      <c r="A98" s="33" t="s">
        <v>280</v>
      </c>
      <c r="B98" s="33" t="s">
        <v>301</v>
      </c>
      <c r="C98" s="34" t="s">
        <v>302</v>
      </c>
      <c r="D98" s="34" t="s">
        <v>303</v>
      </c>
      <c r="E98" s="52"/>
      <c r="F98" s="33"/>
      <c r="G98" s="33"/>
      <c r="H98" s="54"/>
      <c r="I98" s="73" t="s">
        <v>36</v>
      </c>
      <c r="J98" s="73"/>
      <c r="K98" s="73"/>
      <c r="L98" s="73"/>
      <c r="M98" s="73" t="s">
        <v>304</v>
      </c>
      <c r="N98" s="73"/>
      <c r="O98" s="73"/>
      <c r="P98" s="73"/>
      <c r="U98" s="20" t="s">
        <v>37</v>
      </c>
      <c r="W98" s="126">
        <v>21.193256378173832</v>
      </c>
      <c r="X98" s="113">
        <f>1</f>
        <v>1</v>
      </c>
      <c r="Y98" s="114">
        <f t="shared" si="6"/>
        <v>21.193256378173832</v>
      </c>
      <c r="Z98" s="114">
        <f t="shared" si="7"/>
        <v>21.193256378173832</v>
      </c>
    </row>
    <row r="99" spans="1:27" x14ac:dyDescent="0.2">
      <c r="D99" s="22"/>
      <c r="E99" s="41"/>
      <c r="H99" s="42"/>
      <c r="M99" s="83"/>
      <c r="W99" s="126"/>
      <c r="X99" s="113">
        <f>1</f>
        <v>1</v>
      </c>
      <c r="Y99" s="114" t="str">
        <f t="shared" si="6"/>
        <v/>
      </c>
      <c r="Z99" s="114" t="str">
        <f t="shared" si="7"/>
        <v/>
      </c>
    </row>
    <row r="100" spans="1:27" ht="16" customHeight="1" x14ac:dyDescent="0.2">
      <c r="A100" s="33" t="s">
        <v>305</v>
      </c>
      <c r="B100" s="33" t="s">
        <v>306</v>
      </c>
      <c r="C100" s="33" t="s">
        <v>307</v>
      </c>
      <c r="D100" s="34" t="s">
        <v>308</v>
      </c>
      <c r="E100" s="54"/>
      <c r="F100" s="29" t="s">
        <v>288</v>
      </c>
      <c r="G100" s="29" t="s">
        <v>309</v>
      </c>
      <c r="H100" s="54"/>
      <c r="I100" s="73" t="s">
        <v>36</v>
      </c>
      <c r="J100" s="73" t="s">
        <v>242</v>
      </c>
      <c r="K100" s="73"/>
      <c r="L100" s="73"/>
      <c r="M100" s="73" t="s">
        <v>304</v>
      </c>
      <c r="N100" s="73" t="s">
        <v>310</v>
      </c>
      <c r="O100" s="73"/>
      <c r="P100" s="73"/>
      <c r="U100" s="20" t="s">
        <v>37</v>
      </c>
      <c r="W100" s="126">
        <v>20.229927062988281</v>
      </c>
      <c r="X100" s="113">
        <f>1</f>
        <v>1</v>
      </c>
      <c r="Y100" s="114">
        <f t="shared" si="6"/>
        <v>20.229927062988281</v>
      </c>
      <c r="Z100" s="114">
        <f t="shared" si="7"/>
        <v>20.229927062988281</v>
      </c>
    </row>
    <row r="101" spans="1:27" x14ac:dyDescent="0.2">
      <c r="A101" s="33" t="s">
        <v>26</v>
      </c>
      <c r="B101" s="33" t="s">
        <v>311</v>
      </c>
      <c r="C101" s="34"/>
      <c r="D101" s="34"/>
      <c r="E101" s="52"/>
      <c r="F101" s="29"/>
      <c r="G101" s="29"/>
      <c r="H101" s="54"/>
      <c r="I101" s="73"/>
      <c r="J101" s="73"/>
      <c r="K101" s="73"/>
      <c r="L101" s="73"/>
      <c r="M101" s="73"/>
      <c r="N101" s="73"/>
      <c r="O101" s="73"/>
      <c r="P101" s="73" t="s">
        <v>312</v>
      </c>
      <c r="U101" s="20" t="s">
        <v>37</v>
      </c>
      <c r="W101" s="126"/>
      <c r="X101" s="113">
        <f>1</f>
        <v>1</v>
      </c>
      <c r="Y101" s="114" t="str">
        <f t="shared" si="6"/>
        <v/>
      </c>
      <c r="Z101" s="114" t="str">
        <f t="shared" si="7"/>
        <v/>
      </c>
    </row>
    <row r="102" spans="1:27" ht="32" customHeight="1" x14ac:dyDescent="0.2">
      <c r="A102" s="33" t="s">
        <v>171</v>
      </c>
      <c r="B102" s="33" t="s">
        <v>313</v>
      </c>
      <c r="C102" s="34" t="s">
        <v>246</v>
      </c>
      <c r="D102" s="265" t="s">
        <v>294</v>
      </c>
      <c r="E102" s="52"/>
      <c r="F102" s="29"/>
      <c r="G102" s="29"/>
      <c r="H102" s="54"/>
      <c r="I102" s="73" t="s">
        <v>36</v>
      </c>
      <c r="J102" s="73"/>
      <c r="K102" s="73"/>
      <c r="L102" s="73"/>
      <c r="M102" s="73" t="s">
        <v>314</v>
      </c>
      <c r="N102" s="73"/>
      <c r="O102" s="73"/>
      <c r="P102" s="73"/>
      <c r="U102" s="20" t="s">
        <v>37</v>
      </c>
      <c r="W102" s="126">
        <v>0</v>
      </c>
      <c r="X102" s="113">
        <f>1</f>
        <v>1</v>
      </c>
      <c r="Y102" s="114">
        <f t="shared" si="6"/>
        <v>0</v>
      </c>
      <c r="Z102" s="114">
        <f t="shared" si="7"/>
        <v>0</v>
      </c>
    </row>
    <row r="103" spans="1:27" ht="32" customHeight="1" x14ac:dyDescent="0.2">
      <c r="A103" s="33" t="s">
        <v>171</v>
      </c>
      <c r="B103" s="33" t="s">
        <v>315</v>
      </c>
      <c r="C103" s="34" t="s">
        <v>250</v>
      </c>
      <c r="D103" s="34" t="s">
        <v>251</v>
      </c>
      <c r="E103" s="52"/>
      <c r="F103" s="29"/>
      <c r="G103" s="29"/>
      <c r="H103" s="54"/>
      <c r="I103" s="73" t="s">
        <v>36</v>
      </c>
      <c r="J103" s="73"/>
      <c r="K103" s="73"/>
      <c r="L103" s="73"/>
      <c r="M103" s="73" t="s">
        <v>316</v>
      </c>
      <c r="N103" s="73"/>
      <c r="O103" s="73"/>
      <c r="P103" s="73"/>
      <c r="U103" s="20" t="s">
        <v>37</v>
      </c>
      <c r="W103" s="126">
        <v>0</v>
      </c>
      <c r="X103" s="113">
        <f>1</f>
        <v>1</v>
      </c>
      <c r="Y103" s="114">
        <f t="shared" si="6"/>
        <v>0</v>
      </c>
      <c r="Z103" s="114">
        <f t="shared" si="7"/>
        <v>0</v>
      </c>
    </row>
    <row r="104" spans="1:27" ht="32" customHeight="1" x14ac:dyDescent="0.2">
      <c r="A104" s="33" t="s">
        <v>171</v>
      </c>
      <c r="B104" s="33" t="s">
        <v>317</v>
      </c>
      <c r="C104" s="34" t="s">
        <v>254</v>
      </c>
      <c r="D104" s="34" t="s">
        <v>255</v>
      </c>
      <c r="E104" s="52"/>
      <c r="F104" s="29"/>
      <c r="G104" s="29"/>
      <c r="H104" s="54"/>
      <c r="I104" s="73" t="s">
        <v>36</v>
      </c>
      <c r="J104" s="73"/>
      <c r="K104" s="73"/>
      <c r="L104" s="73"/>
      <c r="M104" s="73" t="s">
        <v>318</v>
      </c>
      <c r="N104" s="73"/>
      <c r="O104" s="73"/>
      <c r="P104" s="73"/>
      <c r="U104" s="20" t="s">
        <v>37</v>
      </c>
      <c r="W104" s="126">
        <v>0</v>
      </c>
      <c r="X104" s="113">
        <f>1</f>
        <v>1</v>
      </c>
      <c r="Y104" s="114">
        <f t="shared" si="6"/>
        <v>0</v>
      </c>
      <c r="Z104" s="114">
        <f t="shared" si="7"/>
        <v>0</v>
      </c>
    </row>
    <row r="105" spans="1:27" x14ac:dyDescent="0.2">
      <c r="E105" s="41"/>
      <c r="H105" s="42"/>
      <c r="W105" s="126"/>
      <c r="X105" s="113">
        <f>1</f>
        <v>1</v>
      </c>
      <c r="Y105" s="114" t="str">
        <f t="shared" si="6"/>
        <v/>
      </c>
      <c r="Z105" s="114" t="str">
        <f t="shared" si="7"/>
        <v/>
      </c>
    </row>
    <row r="106" spans="1:27" s="30" customFormat="1" x14ac:dyDescent="0.2">
      <c r="C106" s="31"/>
      <c r="D106" s="31"/>
      <c r="E106" s="32"/>
      <c r="H106" s="58"/>
      <c r="I106" s="72"/>
      <c r="J106" s="72"/>
      <c r="K106" s="72"/>
      <c r="L106" s="72"/>
      <c r="M106" s="86"/>
      <c r="N106" s="72"/>
      <c r="O106" s="72"/>
      <c r="P106" s="72"/>
      <c r="W106" s="126"/>
      <c r="X106" s="113">
        <f>1</f>
        <v>1</v>
      </c>
      <c r="Y106" s="114" t="str">
        <f t="shared" si="6"/>
        <v/>
      </c>
      <c r="Z106" s="114" t="str">
        <f t="shared" si="7"/>
        <v/>
      </c>
      <c r="AA106" s="29"/>
    </row>
    <row r="107" spans="1:27" ht="32" customHeight="1" x14ac:dyDescent="0.2">
      <c r="A107" s="33" t="s">
        <v>280</v>
      </c>
      <c r="B107" s="33" t="s">
        <v>319</v>
      </c>
      <c r="C107" s="34" t="s">
        <v>320</v>
      </c>
      <c r="D107" s="34" t="s">
        <v>321</v>
      </c>
      <c r="E107" s="52"/>
      <c r="F107" s="33"/>
      <c r="G107" s="33"/>
      <c r="H107" s="54"/>
      <c r="I107" s="73" t="s">
        <v>36</v>
      </c>
      <c r="J107" s="73"/>
      <c r="K107" s="73"/>
      <c r="L107" s="73"/>
      <c r="M107" s="73" t="s">
        <v>322</v>
      </c>
      <c r="N107" s="73"/>
      <c r="O107" s="73"/>
      <c r="P107" s="73"/>
      <c r="U107" s="20" t="s">
        <v>37</v>
      </c>
      <c r="W107" s="126">
        <v>16.348396301269531</v>
      </c>
      <c r="X107" s="113">
        <f>1</f>
        <v>1</v>
      </c>
      <c r="Y107" s="114">
        <f t="shared" si="6"/>
        <v>16.348396301269531</v>
      </c>
      <c r="Z107" s="114">
        <f t="shared" si="7"/>
        <v>16.348396301269531</v>
      </c>
    </row>
    <row r="108" spans="1:27" s="30" customFormat="1" x14ac:dyDescent="0.2">
      <c r="C108" s="31"/>
      <c r="D108" s="22"/>
      <c r="E108" s="32"/>
      <c r="H108" s="36"/>
      <c r="I108" s="72"/>
      <c r="J108" s="72"/>
      <c r="K108" s="72"/>
      <c r="L108" s="72"/>
      <c r="M108" s="72"/>
      <c r="N108" s="72"/>
      <c r="O108" s="72"/>
      <c r="P108" s="72"/>
      <c r="W108" s="126"/>
      <c r="X108" s="113">
        <f>1</f>
        <v>1</v>
      </c>
      <c r="Y108" s="114" t="str">
        <f t="shared" si="6"/>
        <v/>
      </c>
      <c r="Z108" s="114" t="str">
        <f t="shared" si="7"/>
        <v/>
      </c>
      <c r="AA108" s="29"/>
    </row>
    <row r="109" spans="1:27" s="143" customFormat="1" ht="64" customHeight="1" x14ac:dyDescent="0.2">
      <c r="A109" s="295" t="s">
        <v>171</v>
      </c>
      <c r="B109" s="295" t="s">
        <v>323</v>
      </c>
      <c r="C109" s="295"/>
      <c r="D109" s="295" t="s">
        <v>324</v>
      </c>
      <c r="E109" s="295"/>
      <c r="F109" s="295"/>
      <c r="G109" s="295"/>
      <c r="H109" s="295"/>
      <c r="I109" s="295" t="s">
        <v>36</v>
      </c>
      <c r="J109" s="295"/>
      <c r="K109" s="295"/>
      <c r="L109" s="295"/>
      <c r="M109" s="295"/>
      <c r="N109" s="242"/>
      <c r="O109" s="242"/>
      <c r="P109" s="242"/>
      <c r="W109" s="292"/>
      <c r="X109" s="293"/>
      <c r="Y109" s="292"/>
      <c r="Z109" s="292"/>
      <c r="AA109" s="294"/>
    </row>
    <row r="110" spans="1:27" s="143" customFormat="1" ht="176" customHeight="1" x14ac:dyDescent="0.2">
      <c r="A110" s="295" t="s">
        <v>325</v>
      </c>
      <c r="B110" s="295" t="s">
        <v>326</v>
      </c>
      <c r="C110" s="295"/>
      <c r="D110" s="295" t="s">
        <v>327</v>
      </c>
      <c r="E110" s="295"/>
      <c r="F110" s="295"/>
      <c r="G110" s="295"/>
      <c r="H110" s="295"/>
      <c r="I110" s="295" t="s">
        <v>36</v>
      </c>
      <c r="J110" s="295"/>
      <c r="K110" s="295"/>
      <c r="L110" s="295"/>
      <c r="M110" s="295" t="s">
        <v>328</v>
      </c>
      <c r="N110" s="242"/>
      <c r="O110" s="242"/>
      <c r="P110" s="242"/>
      <c r="W110" s="292"/>
      <c r="X110" s="293"/>
      <c r="Y110" s="292"/>
      <c r="Z110" s="292"/>
      <c r="AA110" s="294"/>
    </row>
    <row r="111" spans="1:27" s="143" customFormat="1" ht="176" customHeight="1" x14ac:dyDescent="0.2">
      <c r="A111" s="295" t="s">
        <v>329</v>
      </c>
      <c r="B111" s="295" t="s">
        <v>330</v>
      </c>
      <c r="C111" s="295"/>
      <c r="D111" s="295" t="s">
        <v>331</v>
      </c>
      <c r="E111" s="295"/>
      <c r="F111" s="295"/>
      <c r="G111" s="295"/>
      <c r="H111" s="295"/>
      <c r="I111" s="295" t="s">
        <v>36</v>
      </c>
      <c r="J111" s="295"/>
      <c r="K111" s="295"/>
      <c r="L111" s="295"/>
      <c r="M111" s="295" t="s">
        <v>332</v>
      </c>
      <c r="N111" s="242"/>
      <c r="O111" s="242"/>
      <c r="P111" s="242"/>
      <c r="W111" s="292"/>
      <c r="X111" s="293"/>
      <c r="Y111" s="292"/>
      <c r="Z111" s="292"/>
      <c r="AA111" s="294"/>
    </row>
    <row r="112" spans="1:27" s="143" customFormat="1" ht="176" customHeight="1" x14ac:dyDescent="0.2">
      <c r="A112" s="295" t="s">
        <v>104</v>
      </c>
      <c r="B112" s="295" t="s">
        <v>333</v>
      </c>
      <c r="C112" s="295"/>
      <c r="D112" s="295" t="s">
        <v>334</v>
      </c>
      <c r="E112" s="295"/>
      <c r="F112" s="295"/>
      <c r="G112" s="295"/>
      <c r="H112" s="295"/>
      <c r="I112" s="295" t="s">
        <v>36</v>
      </c>
      <c r="J112" s="295"/>
      <c r="K112" s="295"/>
      <c r="L112" s="295"/>
      <c r="M112" s="295" t="s">
        <v>332</v>
      </c>
      <c r="N112" s="242"/>
      <c r="O112" s="242"/>
      <c r="P112" s="242"/>
      <c r="W112" s="292"/>
      <c r="X112" s="293"/>
      <c r="Y112" s="292"/>
      <c r="Z112" s="292"/>
      <c r="AA112" s="294"/>
    </row>
    <row r="113" spans="1:27" s="143" customFormat="1" ht="176" customHeight="1" x14ac:dyDescent="0.2">
      <c r="A113" s="295" t="s">
        <v>257</v>
      </c>
      <c r="B113" s="295" t="s">
        <v>335</v>
      </c>
      <c r="C113" s="295"/>
      <c r="D113" s="295" t="s">
        <v>336</v>
      </c>
      <c r="E113" s="295"/>
      <c r="F113" s="295"/>
      <c r="G113" s="295"/>
      <c r="H113" s="295"/>
      <c r="I113" s="295" t="s">
        <v>36</v>
      </c>
      <c r="J113" s="295"/>
      <c r="K113" s="295"/>
      <c r="L113" s="295"/>
      <c r="M113" s="295" t="s">
        <v>332</v>
      </c>
      <c r="N113" s="242"/>
      <c r="O113" s="242"/>
      <c r="P113" s="242"/>
      <c r="W113" s="292"/>
      <c r="X113" s="293"/>
      <c r="Y113" s="292"/>
      <c r="Z113" s="292"/>
      <c r="AA113" s="294"/>
    </row>
    <row r="114" spans="1:27" s="143" customFormat="1" ht="176" customHeight="1" x14ac:dyDescent="0.2">
      <c r="A114" s="295" t="s">
        <v>337</v>
      </c>
      <c r="B114" s="295" t="s">
        <v>338</v>
      </c>
      <c r="C114" s="295"/>
      <c r="D114" s="295" t="s">
        <v>339</v>
      </c>
      <c r="E114" s="295"/>
      <c r="F114" s="295"/>
      <c r="G114" s="295"/>
      <c r="H114" s="295"/>
      <c r="I114" s="295" t="s">
        <v>36</v>
      </c>
      <c r="J114" s="295"/>
      <c r="K114" s="295"/>
      <c r="L114" s="295"/>
      <c r="M114" s="295" t="s">
        <v>332</v>
      </c>
      <c r="N114" s="242"/>
      <c r="O114" s="242"/>
      <c r="P114" s="242"/>
      <c r="W114" s="292"/>
      <c r="X114" s="293"/>
      <c r="Y114" s="292"/>
      <c r="Z114" s="292"/>
      <c r="AA114" s="294"/>
    </row>
    <row r="115" spans="1:27" ht="48" customHeight="1" x14ac:dyDescent="0.2">
      <c r="A115" s="33" t="s">
        <v>340</v>
      </c>
      <c r="B115" s="33" t="s">
        <v>341</v>
      </c>
      <c r="C115" s="34" t="s">
        <v>342</v>
      </c>
      <c r="D115" s="34" t="s">
        <v>343</v>
      </c>
      <c r="E115" s="52"/>
      <c r="F115" s="33" t="s">
        <v>344</v>
      </c>
      <c r="G115" s="33" t="s">
        <v>345</v>
      </c>
      <c r="H115" s="54"/>
      <c r="I115" s="73" t="s">
        <v>36</v>
      </c>
      <c r="J115" s="73"/>
      <c r="K115" s="73" t="s">
        <v>346</v>
      </c>
      <c r="L115" s="73"/>
      <c r="M115" s="73"/>
      <c r="N115" s="73"/>
      <c r="O115" s="73"/>
      <c r="P115" s="73"/>
      <c r="U115" s="20" t="s">
        <v>37</v>
      </c>
      <c r="W115" s="126">
        <v>46.247528076171882</v>
      </c>
      <c r="X115" s="113">
        <f>1</f>
        <v>1</v>
      </c>
      <c r="Y115" s="114">
        <f>IF(W115&lt;&gt;"",W115*X115,"")</f>
        <v>46.247528076171882</v>
      </c>
      <c r="Z115" s="114">
        <f>IF(AND(W115&lt;&gt;"",U115="yes"),W115*X115,"")</f>
        <v>46.247528076171882</v>
      </c>
    </row>
    <row r="116" spans="1:27" s="143" customFormat="1" ht="144" customHeight="1" x14ac:dyDescent="0.2">
      <c r="A116" s="295" t="s">
        <v>347</v>
      </c>
      <c r="B116" s="295" t="s">
        <v>348</v>
      </c>
      <c r="C116" s="295"/>
      <c r="D116" s="295" t="s">
        <v>349</v>
      </c>
      <c r="E116" s="295"/>
      <c r="F116" s="295"/>
      <c r="G116" s="295"/>
      <c r="H116" s="295"/>
      <c r="I116" s="295" t="b">
        <v>1</v>
      </c>
      <c r="J116" s="295"/>
      <c r="K116" s="295"/>
      <c r="L116" s="295"/>
      <c r="M116" s="295" t="s">
        <v>350</v>
      </c>
      <c r="O116" s="242"/>
      <c r="P116" s="242"/>
      <c r="W116" s="292"/>
      <c r="X116" s="293"/>
      <c r="Y116" s="292"/>
      <c r="Z116" s="292"/>
      <c r="AA116" s="294"/>
    </row>
    <row r="117" spans="1:27" x14ac:dyDescent="0.2">
      <c r="E117" s="41"/>
      <c r="H117" s="42"/>
      <c r="W117" s="126"/>
      <c r="X117" s="113">
        <f>1</f>
        <v>1</v>
      </c>
      <c r="Y117" s="114" t="str">
        <f>IF(W117&lt;&gt;"",W117*X117,"")</f>
        <v/>
      </c>
      <c r="Z117" s="114" t="str">
        <f>IF(AND(W117&lt;&gt;"",U117="yes"),W117*X117,"")</f>
        <v/>
      </c>
    </row>
    <row r="118" spans="1:27" s="30" customFormat="1" x14ac:dyDescent="0.2">
      <c r="C118" s="31"/>
      <c r="D118" s="31"/>
      <c r="E118" s="32"/>
      <c r="H118" s="36"/>
      <c r="I118" s="72"/>
      <c r="J118" s="72"/>
      <c r="K118" s="78"/>
      <c r="L118" s="72"/>
      <c r="M118" s="72"/>
      <c r="N118" s="72"/>
      <c r="O118" s="72"/>
      <c r="P118" s="72"/>
      <c r="W118" s="126"/>
      <c r="X118" s="113">
        <f>1</f>
        <v>1</v>
      </c>
      <c r="Y118" s="114" t="str">
        <f>IF(W118&lt;&gt;"",W118*X118,"")</f>
        <v/>
      </c>
      <c r="Z118" s="114" t="str">
        <f>IF(AND(W118&lt;&gt;"",U118="yes"),W118*X118,"")</f>
        <v/>
      </c>
      <c r="AA118" s="29"/>
    </row>
    <row r="119" spans="1:27" ht="16" customHeight="1" thickBot="1" x14ac:dyDescent="0.25">
      <c r="A119" s="50" t="s">
        <v>89</v>
      </c>
      <c r="B119" s="50"/>
      <c r="C119" s="51"/>
      <c r="D119" s="51"/>
      <c r="E119" s="45"/>
      <c r="F119" s="50"/>
      <c r="G119" s="50"/>
      <c r="H119" s="46"/>
      <c r="I119" s="82"/>
      <c r="J119" s="82"/>
      <c r="K119" s="82"/>
      <c r="L119" s="82"/>
      <c r="M119" s="82"/>
      <c r="N119" s="82"/>
      <c r="O119" s="82"/>
      <c r="P119" s="82"/>
      <c r="W119" s="126"/>
      <c r="X119" s="29"/>
      <c r="Y119" s="114" t="str">
        <f>IF(W119&lt;&gt;"",W119*X119,"")</f>
        <v/>
      </c>
      <c r="Z119" s="114" t="str">
        <f>IF(AND(W119&lt;&gt;"",U119="yes"),W119*X119,"")</f>
        <v/>
      </c>
    </row>
    <row r="120" spans="1:27" s="143" customFormat="1" ht="17" customHeight="1" thickTop="1" x14ac:dyDescent="0.2">
      <c r="A120" s="143" t="s">
        <v>60</v>
      </c>
      <c r="B120" s="143" t="s">
        <v>351</v>
      </c>
      <c r="D120" s="143" t="s">
        <v>352</v>
      </c>
      <c r="E120" s="291"/>
      <c r="H120" s="291"/>
      <c r="I120" s="143" t="b">
        <v>1</v>
      </c>
      <c r="M120" s="77" t="s">
        <v>93</v>
      </c>
      <c r="W120" s="292"/>
      <c r="X120" s="293">
        <f>1</f>
        <v>1</v>
      </c>
      <c r="Y120" s="292" t="str">
        <f>IF(W120&lt;&gt;"",W120*X120,"")</f>
        <v/>
      </c>
      <c r="Z120" s="292" t="str">
        <f>IF(AND(W120&lt;&gt;"",U120="yes"),W120*X120,"")</f>
        <v/>
      </c>
      <c r="AA120" s="294"/>
    </row>
    <row r="121" spans="1:27" s="143" customFormat="1" x14ac:dyDescent="0.2">
      <c r="A121" s="288" t="s">
        <v>171</v>
      </c>
      <c r="B121" s="288" t="s">
        <v>353</v>
      </c>
      <c r="C121" s="288"/>
      <c r="D121" s="288" t="s">
        <v>354</v>
      </c>
      <c r="E121" s="288"/>
      <c r="F121" s="288"/>
      <c r="G121" s="288"/>
      <c r="H121" s="288"/>
      <c r="I121" s="288" t="s">
        <v>36</v>
      </c>
      <c r="J121" s="288"/>
      <c r="K121" s="288"/>
      <c r="L121" s="288"/>
      <c r="M121" s="288"/>
      <c r="N121" s="297"/>
      <c r="O121" s="297"/>
      <c r="P121" s="297"/>
      <c r="W121" s="292"/>
      <c r="X121" s="293"/>
      <c r="Y121" s="292"/>
      <c r="Z121" s="292"/>
      <c r="AA121" s="294"/>
    </row>
    <row r="122" spans="1:27" s="143" customFormat="1" x14ac:dyDescent="0.2">
      <c r="A122" s="288" t="s">
        <v>257</v>
      </c>
      <c r="B122" s="288" t="s">
        <v>355</v>
      </c>
      <c r="C122" s="288"/>
      <c r="D122" s="288" t="s">
        <v>356</v>
      </c>
      <c r="E122" s="288"/>
      <c r="F122" s="288"/>
      <c r="G122" s="288"/>
      <c r="H122" s="288"/>
      <c r="I122" s="288" t="s">
        <v>36</v>
      </c>
      <c r="J122" s="288"/>
      <c r="K122" s="288"/>
      <c r="L122" s="288"/>
      <c r="M122" s="288" t="s">
        <v>357</v>
      </c>
      <c r="N122" s="297"/>
      <c r="O122" s="297"/>
      <c r="P122" s="297"/>
      <c r="W122" s="292"/>
      <c r="X122" s="293"/>
      <c r="Y122" s="292"/>
      <c r="Z122" s="292"/>
      <c r="AA122" s="294"/>
    </row>
    <row r="123" spans="1:27" s="143" customFormat="1" x14ac:dyDescent="0.2">
      <c r="A123" s="288" t="s">
        <v>358</v>
      </c>
      <c r="B123" s="288" t="s">
        <v>359</v>
      </c>
      <c r="C123" s="288"/>
      <c r="D123" s="288" t="s">
        <v>360</v>
      </c>
      <c r="E123" s="288"/>
      <c r="F123" s="288"/>
      <c r="G123" s="288"/>
      <c r="H123" s="288"/>
      <c r="I123" s="288" t="s">
        <v>36</v>
      </c>
      <c r="J123" s="288"/>
      <c r="K123" s="288"/>
      <c r="L123" s="288"/>
      <c r="M123" s="288" t="s">
        <v>357</v>
      </c>
      <c r="N123" s="297"/>
      <c r="O123" s="297"/>
      <c r="P123" s="297"/>
      <c r="W123" s="292"/>
      <c r="X123" s="293"/>
      <c r="Y123" s="292"/>
      <c r="Z123" s="292"/>
      <c r="AA123" s="294"/>
    </row>
    <row r="124" spans="1:27" s="143" customFormat="1" x14ac:dyDescent="0.2">
      <c r="A124" s="288" t="s">
        <v>104</v>
      </c>
      <c r="B124" s="288" t="s">
        <v>361</v>
      </c>
      <c r="C124" s="288"/>
      <c r="D124" s="288" t="s">
        <v>362</v>
      </c>
      <c r="E124" s="288"/>
      <c r="F124" s="288"/>
      <c r="G124" s="288"/>
      <c r="H124" s="288"/>
      <c r="I124" s="288" t="s">
        <v>36</v>
      </c>
      <c r="J124" s="288"/>
      <c r="K124" s="288" t="s">
        <v>363</v>
      </c>
      <c r="L124" s="288"/>
      <c r="M124" s="288" t="s">
        <v>357</v>
      </c>
      <c r="N124" s="297"/>
      <c r="O124" s="297"/>
      <c r="P124" s="297"/>
      <c r="W124" s="292"/>
      <c r="X124" s="293"/>
      <c r="Y124" s="292"/>
      <c r="Z124" s="292"/>
      <c r="AA124" s="294"/>
    </row>
    <row r="125" spans="1:27" s="143" customFormat="1" x14ac:dyDescent="0.2">
      <c r="A125" s="288" t="s">
        <v>171</v>
      </c>
      <c r="B125" s="288" t="s">
        <v>364</v>
      </c>
      <c r="C125" s="288"/>
      <c r="D125" s="288" t="s">
        <v>365</v>
      </c>
      <c r="E125" s="288"/>
      <c r="F125" s="288"/>
      <c r="G125" s="288"/>
      <c r="H125" s="288"/>
      <c r="I125" s="288" t="s">
        <v>36</v>
      </c>
      <c r="J125" s="288"/>
      <c r="K125" s="288"/>
      <c r="L125" s="288"/>
      <c r="M125" s="288"/>
      <c r="N125" s="297"/>
      <c r="O125" s="297"/>
      <c r="P125" s="297"/>
      <c r="W125" s="292"/>
      <c r="X125" s="293"/>
      <c r="Y125" s="292"/>
      <c r="Z125" s="292"/>
      <c r="AA125" s="294"/>
    </row>
    <row r="126" spans="1:27" s="143" customFormat="1" x14ac:dyDescent="0.2">
      <c r="A126" s="288" t="s">
        <v>257</v>
      </c>
      <c r="B126" s="288" t="s">
        <v>366</v>
      </c>
      <c r="C126" s="288"/>
      <c r="D126" s="288" t="s">
        <v>367</v>
      </c>
      <c r="E126" s="288"/>
      <c r="F126" s="288"/>
      <c r="G126" s="288"/>
      <c r="H126" s="288"/>
      <c r="I126" s="288" t="s">
        <v>36</v>
      </c>
      <c r="J126" s="288"/>
      <c r="K126" s="288"/>
      <c r="L126" s="288"/>
      <c r="M126" s="288" t="s">
        <v>368</v>
      </c>
      <c r="N126" s="297"/>
      <c r="O126" s="297"/>
      <c r="P126" s="297"/>
      <c r="W126" s="292"/>
      <c r="X126" s="293"/>
      <c r="Y126" s="292"/>
      <c r="Z126" s="292"/>
      <c r="AA126" s="294"/>
    </row>
    <row r="127" spans="1:27" s="143" customFormat="1" x14ac:dyDescent="0.2">
      <c r="A127" s="288" t="s">
        <v>358</v>
      </c>
      <c r="B127" s="288" t="s">
        <v>369</v>
      </c>
      <c r="C127" s="288"/>
      <c r="D127" s="288" t="s">
        <v>370</v>
      </c>
      <c r="E127" s="288"/>
      <c r="F127" s="288"/>
      <c r="G127" s="288"/>
      <c r="H127" s="288"/>
      <c r="I127" s="288" t="s">
        <v>36</v>
      </c>
      <c r="J127" s="288"/>
      <c r="K127" s="288"/>
      <c r="L127" s="288"/>
      <c r="M127" s="288" t="s">
        <v>368</v>
      </c>
      <c r="N127" s="297"/>
      <c r="O127" s="297"/>
      <c r="P127" s="297"/>
      <c r="W127" s="292"/>
      <c r="X127" s="293"/>
      <c r="Y127" s="292"/>
      <c r="Z127" s="292"/>
      <c r="AA127" s="294"/>
    </row>
    <row r="128" spans="1:27" s="143" customFormat="1" x14ac:dyDescent="0.2">
      <c r="A128" s="288" t="s">
        <v>104</v>
      </c>
      <c r="B128" s="288" t="s">
        <v>371</v>
      </c>
      <c r="C128" s="288"/>
      <c r="D128" s="288" t="s">
        <v>372</v>
      </c>
      <c r="E128" s="288"/>
      <c r="F128" s="288"/>
      <c r="G128" s="288"/>
      <c r="H128" s="288"/>
      <c r="I128" s="288" t="s">
        <v>36</v>
      </c>
      <c r="J128" s="288"/>
      <c r="K128" s="288" t="s">
        <v>363</v>
      </c>
      <c r="L128" s="288"/>
      <c r="M128" s="288" t="s">
        <v>368</v>
      </c>
      <c r="N128" s="297"/>
      <c r="O128" s="297"/>
      <c r="P128" s="297"/>
      <c r="W128" s="292"/>
      <c r="X128" s="293"/>
      <c r="Y128" s="292"/>
      <c r="Z128" s="292"/>
      <c r="AA128" s="294"/>
    </row>
    <row r="129" spans="1:27" s="143" customFormat="1" x14ac:dyDescent="0.2">
      <c r="A129" s="288" t="s">
        <v>257</v>
      </c>
      <c r="B129" s="288" t="s">
        <v>373</v>
      </c>
      <c r="C129" s="288"/>
      <c r="D129" s="288" t="s">
        <v>374</v>
      </c>
      <c r="E129" s="288"/>
      <c r="F129" s="288"/>
      <c r="G129" s="288"/>
      <c r="H129" s="288"/>
      <c r="I129" s="288" t="s">
        <v>36</v>
      </c>
      <c r="J129" s="288"/>
      <c r="K129" s="288" t="s">
        <v>375</v>
      </c>
      <c r="L129" s="288"/>
      <c r="M129" s="288"/>
      <c r="N129" s="297"/>
      <c r="O129" s="297"/>
      <c r="P129" s="297"/>
      <c r="W129" s="292"/>
      <c r="X129" s="293"/>
      <c r="Y129" s="292"/>
      <c r="Z129" s="292"/>
      <c r="AA129" s="294"/>
    </row>
    <row r="130" spans="1:27" s="143" customFormat="1" x14ac:dyDescent="0.2">
      <c r="A130" s="288" t="s">
        <v>257</v>
      </c>
      <c r="B130" s="288" t="s">
        <v>376</v>
      </c>
      <c r="C130" s="288"/>
      <c r="D130" s="288" t="s">
        <v>377</v>
      </c>
      <c r="E130" s="288"/>
      <c r="F130" s="288"/>
      <c r="G130" s="288"/>
      <c r="H130" s="288"/>
      <c r="I130" s="288" t="s">
        <v>36</v>
      </c>
      <c r="J130" s="288"/>
      <c r="K130" s="288" t="s">
        <v>375</v>
      </c>
      <c r="L130" s="288"/>
      <c r="M130" s="288"/>
      <c r="N130" s="297"/>
      <c r="O130" s="297"/>
      <c r="P130" s="297"/>
      <c r="W130" s="292"/>
      <c r="X130" s="293"/>
      <c r="Y130" s="292"/>
      <c r="Z130" s="292"/>
      <c r="AA130" s="294"/>
    </row>
    <row r="131" spans="1:27" s="143" customFormat="1" ht="17" customHeight="1" thickBot="1" x14ac:dyDescent="0.25">
      <c r="A131" s="298" t="s">
        <v>89</v>
      </c>
      <c r="B131" s="298" t="s">
        <v>89</v>
      </c>
      <c r="C131" s="298"/>
      <c r="D131" s="298"/>
      <c r="E131" s="299"/>
      <c r="F131" s="298"/>
      <c r="G131" s="298"/>
      <c r="H131" s="299"/>
      <c r="I131" s="298"/>
      <c r="J131" s="298"/>
      <c r="K131" s="298"/>
      <c r="L131" s="298"/>
      <c r="M131" s="298"/>
      <c r="N131" s="298"/>
      <c r="O131" s="298"/>
      <c r="P131" s="298"/>
      <c r="W131" s="292"/>
      <c r="X131" s="294"/>
      <c r="Y131" s="292" t="str">
        <f>IF(W131&lt;&gt;"",W131*X131,"")</f>
        <v/>
      </c>
      <c r="Z131" s="292" t="str">
        <f>IF(AND(W131&lt;&gt;"",U131="yes"),W131*X131,"")</f>
        <v/>
      </c>
      <c r="AA131" s="294"/>
    </row>
    <row r="132" spans="1:27" s="26" customFormat="1" ht="17" customHeight="1" thickTop="1" x14ac:dyDescent="0.2">
      <c r="A132" s="23" t="s">
        <v>60</v>
      </c>
      <c r="B132" s="23" t="s">
        <v>378</v>
      </c>
      <c r="C132" s="47" t="s">
        <v>379</v>
      </c>
      <c r="D132" s="47" t="s">
        <v>380</v>
      </c>
      <c r="E132" s="24"/>
      <c r="F132" s="23"/>
      <c r="G132" s="23"/>
      <c r="H132" s="25"/>
      <c r="I132" s="76" t="s">
        <v>55</v>
      </c>
      <c r="J132" s="76"/>
      <c r="K132" s="76"/>
      <c r="L132" s="76"/>
      <c r="M132" s="77" t="s">
        <v>381</v>
      </c>
      <c r="N132" s="76"/>
      <c r="O132" s="76"/>
      <c r="P132" s="76"/>
      <c r="U132" s="20" t="s">
        <v>37</v>
      </c>
      <c r="W132" s="126"/>
      <c r="X132" s="27"/>
      <c r="Y132" s="114" t="str">
        <f>IF(W132&lt;&gt;"",W132*X132,"")</f>
        <v/>
      </c>
      <c r="Z132" s="114" t="str">
        <f>IF(AND(W132&lt;&gt;"",U132="yes"),W132*X132,"")</f>
        <v/>
      </c>
      <c r="AA132" s="27"/>
    </row>
    <row r="133" spans="1:27" s="21" customFormat="1" ht="64" customHeight="1" x14ac:dyDescent="0.2">
      <c r="A133" s="19" t="s">
        <v>63</v>
      </c>
      <c r="B133" s="19" t="s">
        <v>382</v>
      </c>
      <c r="C133" s="19" t="s">
        <v>383</v>
      </c>
      <c r="D133" s="19" t="s">
        <v>384</v>
      </c>
      <c r="E133" s="41"/>
      <c r="F133" s="19"/>
      <c r="G133" s="19"/>
      <c r="H133" s="41"/>
      <c r="I133" s="18"/>
      <c r="J133" s="18"/>
      <c r="K133" s="18"/>
      <c r="L133" s="18"/>
      <c r="M133" s="18"/>
      <c r="N133" s="18"/>
      <c r="O133" s="18"/>
      <c r="P133" s="18"/>
      <c r="U133" s="21" t="s">
        <v>37</v>
      </c>
      <c r="W133" s="129">
        <v>7.5</v>
      </c>
      <c r="X133" s="116">
        <f>'Additional information'!$D$18</f>
        <v>60</v>
      </c>
      <c r="Y133" s="115">
        <f>IF(W133&lt;&gt;"",W133*X133,"")</f>
        <v>450</v>
      </c>
      <c r="Z133" s="115">
        <f>IF(AND(W133&lt;&gt;"",U133="yes"),W133*X133,"")</f>
        <v>450</v>
      </c>
      <c r="AA133" s="22"/>
    </row>
    <row r="134" spans="1:27" x14ac:dyDescent="0.2">
      <c r="E134" s="41"/>
      <c r="H134" s="42"/>
      <c r="W134" s="126"/>
      <c r="X134" s="113">
        <f>'Additional information'!$D$18</f>
        <v>60</v>
      </c>
      <c r="Y134" s="114" t="str">
        <f>IF(W134&lt;&gt;"",W134*X134,"")</f>
        <v/>
      </c>
      <c r="Z134" s="114" t="str">
        <f>IF(AND(W134&lt;&gt;"",U134="yes"),W134*X134,"")</f>
        <v/>
      </c>
    </row>
    <row r="135" spans="1:27" s="143" customFormat="1" ht="16" customHeight="1" x14ac:dyDescent="0.2">
      <c r="A135" s="295" t="s">
        <v>385</v>
      </c>
      <c r="B135" s="295" t="s">
        <v>386</v>
      </c>
      <c r="C135" s="295"/>
      <c r="D135" s="295" t="s">
        <v>387</v>
      </c>
      <c r="E135" s="295"/>
      <c r="F135" s="295"/>
      <c r="G135" s="295"/>
      <c r="H135" s="295"/>
      <c r="I135" s="295" t="b">
        <v>1</v>
      </c>
      <c r="J135" s="295"/>
      <c r="K135" s="295"/>
      <c r="L135" s="295"/>
      <c r="M135" s="295"/>
      <c r="N135" s="297"/>
      <c r="O135" s="297"/>
      <c r="P135" s="297"/>
      <c r="W135" s="292"/>
      <c r="X135" s="293"/>
      <c r="Y135" s="292"/>
      <c r="Z135" s="292"/>
      <c r="AA135" s="294"/>
    </row>
    <row r="136" spans="1:27" s="143" customFormat="1" ht="32" customHeight="1" x14ac:dyDescent="0.2">
      <c r="A136" s="295" t="s">
        <v>388</v>
      </c>
      <c r="B136" s="295" t="s">
        <v>389</v>
      </c>
      <c r="C136" s="295"/>
      <c r="D136" s="295" t="s">
        <v>390</v>
      </c>
      <c r="E136" s="295"/>
      <c r="F136" s="295"/>
      <c r="G136" s="295"/>
      <c r="H136" s="295"/>
      <c r="I136" s="295" t="b">
        <v>1</v>
      </c>
      <c r="J136" s="295"/>
      <c r="K136" s="295"/>
      <c r="L136" s="295"/>
      <c r="M136" s="295"/>
      <c r="N136" s="297"/>
      <c r="O136" s="297"/>
      <c r="P136" s="297"/>
      <c r="W136" s="292"/>
      <c r="X136" s="293"/>
      <c r="Y136" s="292"/>
      <c r="Z136" s="292"/>
      <c r="AA136" s="294"/>
    </row>
    <row r="137" spans="1:27" s="29" customFormat="1" ht="16" customHeight="1" x14ac:dyDescent="0.2">
      <c r="A137" s="33" t="s">
        <v>257</v>
      </c>
      <c r="B137" s="33" t="s">
        <v>391</v>
      </c>
      <c r="C137" s="34" t="s">
        <v>392</v>
      </c>
      <c r="D137" s="19" t="s">
        <v>393</v>
      </c>
      <c r="E137" s="52"/>
      <c r="F137" s="33" t="s">
        <v>394</v>
      </c>
      <c r="G137" s="33" t="s">
        <v>395</v>
      </c>
      <c r="H137" s="54"/>
      <c r="I137" s="73" t="s">
        <v>36</v>
      </c>
      <c r="J137" s="73"/>
      <c r="K137" s="73" t="s">
        <v>396</v>
      </c>
      <c r="L137" s="73"/>
      <c r="M137" s="73"/>
      <c r="N137" s="73"/>
      <c r="O137" s="73"/>
      <c r="P137" s="73"/>
      <c r="U137" s="29" t="s">
        <v>37</v>
      </c>
      <c r="W137" s="126">
        <v>17</v>
      </c>
      <c r="X137" s="113">
        <f>'Additional information'!$D$18</f>
        <v>60</v>
      </c>
      <c r="Y137" s="114">
        <f>IF(W137&lt;&gt;"",W137*X137,"")</f>
        <v>1020</v>
      </c>
      <c r="Z137" s="114">
        <f>IF(AND(W137&lt;&gt;"",U137="yes"),W137*X137,"")</f>
        <v>1020</v>
      </c>
    </row>
    <row r="138" spans="1:27" s="29" customFormat="1" ht="16" customHeight="1" x14ac:dyDescent="0.2">
      <c r="A138" s="33" t="s">
        <v>397</v>
      </c>
      <c r="B138" s="33" t="s">
        <v>398</v>
      </c>
      <c r="C138" s="34" t="s">
        <v>399</v>
      </c>
      <c r="D138" s="19" t="s">
        <v>400</v>
      </c>
      <c r="E138" s="52"/>
      <c r="F138" s="33" t="s">
        <v>401</v>
      </c>
      <c r="G138" s="144" t="s">
        <v>402</v>
      </c>
      <c r="H138" s="54"/>
      <c r="I138" s="73" t="s">
        <v>36</v>
      </c>
      <c r="J138" s="73"/>
      <c r="K138" s="73"/>
      <c r="L138" s="73"/>
      <c r="M138" s="73" t="s">
        <v>403</v>
      </c>
      <c r="N138" s="73"/>
      <c r="O138" s="73"/>
      <c r="P138" s="73"/>
      <c r="U138" s="29" t="s">
        <v>37</v>
      </c>
      <c r="W138" s="126">
        <v>0</v>
      </c>
      <c r="X138" s="113">
        <f>'Additional information'!$D$18</f>
        <v>60</v>
      </c>
      <c r="Y138" s="114">
        <f>IF(W138&lt;&gt;"",W138*X138,"")</f>
        <v>0</v>
      </c>
      <c r="Z138" s="114">
        <f>IF(AND(W138&lt;&gt;"",U138="yes"),W138*X138,"")</f>
        <v>0</v>
      </c>
    </row>
    <row r="139" spans="1:27" s="26" customFormat="1" x14ac:dyDescent="0.2">
      <c r="C139" s="48"/>
      <c r="D139" s="21"/>
      <c r="E139" s="24"/>
      <c r="H139" s="25"/>
      <c r="I139" s="77"/>
      <c r="J139" s="77"/>
      <c r="K139" s="77"/>
      <c r="L139" s="77"/>
      <c r="M139" s="77"/>
      <c r="N139" s="77"/>
      <c r="O139" s="77"/>
      <c r="P139" s="77"/>
      <c r="U139" s="20"/>
      <c r="W139" s="126"/>
      <c r="X139" s="113">
        <f>'Additional information'!$D$18</f>
        <v>60</v>
      </c>
      <c r="Y139" s="114" t="str">
        <f>IF(W139&lt;&gt;"",W139*X139,"")</f>
        <v/>
      </c>
      <c r="Z139" s="114" t="str">
        <f>IF(AND(W139&lt;&gt;"",U139="yes"),W139*X139,"")</f>
        <v/>
      </c>
      <c r="AA139" s="27"/>
    </row>
    <row r="140" spans="1:27" s="294" customFormat="1" x14ac:dyDescent="0.2">
      <c r="A140" s="288" t="s">
        <v>171</v>
      </c>
      <c r="B140" s="288" t="s">
        <v>404</v>
      </c>
      <c r="C140" s="288"/>
      <c r="D140" s="288" t="s">
        <v>405</v>
      </c>
      <c r="E140" s="288"/>
      <c r="F140" s="288"/>
      <c r="G140" s="288"/>
      <c r="H140" s="288"/>
      <c r="I140" s="288" t="s">
        <v>36</v>
      </c>
      <c r="J140" s="288"/>
      <c r="K140" s="288"/>
      <c r="L140" s="288"/>
      <c r="M140" s="288" t="s">
        <v>406</v>
      </c>
      <c r="N140" s="242"/>
      <c r="O140" s="242"/>
      <c r="P140" s="242"/>
      <c r="W140" s="292"/>
      <c r="X140" s="293"/>
      <c r="Y140" s="292"/>
      <c r="Z140" s="292"/>
    </row>
    <row r="141" spans="1:27" ht="32" customHeight="1" x14ac:dyDescent="0.2">
      <c r="A141" s="28" t="s">
        <v>407</v>
      </c>
      <c r="B141" s="28" t="s">
        <v>408</v>
      </c>
      <c r="C141" s="19" t="s">
        <v>409</v>
      </c>
      <c r="D141" s="19" t="s">
        <v>410</v>
      </c>
      <c r="E141" s="41"/>
      <c r="F141" s="28" t="s">
        <v>411</v>
      </c>
      <c r="G141" s="28" t="s">
        <v>412</v>
      </c>
      <c r="H141" s="42"/>
      <c r="I141" s="71" t="s">
        <v>36</v>
      </c>
      <c r="J141" s="71" t="s">
        <v>144</v>
      </c>
      <c r="K141" s="71"/>
      <c r="L141" s="71"/>
      <c r="M141" s="71"/>
      <c r="N141" s="71"/>
      <c r="O141" s="71"/>
      <c r="P141" s="71"/>
      <c r="U141" s="20" t="s">
        <v>37</v>
      </c>
      <c r="W141" s="126">
        <v>27.057552337646481</v>
      </c>
      <c r="X141" s="113">
        <f>'Additional information'!$D$18</f>
        <v>60</v>
      </c>
      <c r="Y141" s="114">
        <f>IF(W141&lt;&gt;"",W141*X141,"")</f>
        <v>1623.4531402587888</v>
      </c>
      <c r="Z141" s="114">
        <f>IF(AND(W141&lt;&gt;"",U141="yes"),W141*X141,"")</f>
        <v>1623.4531402587888</v>
      </c>
    </row>
    <row r="142" spans="1:27" x14ac:dyDescent="0.2">
      <c r="A142" s="28" t="s">
        <v>26</v>
      </c>
      <c r="B142" s="28" t="s">
        <v>413</v>
      </c>
      <c r="C142" s="19"/>
      <c r="D142" s="19"/>
      <c r="E142" s="41"/>
      <c r="H142" s="42"/>
      <c r="I142" s="71"/>
      <c r="J142" s="71"/>
      <c r="K142" s="71"/>
      <c r="L142" s="71"/>
      <c r="M142" s="71"/>
      <c r="N142" s="71"/>
      <c r="O142" s="71"/>
      <c r="P142" s="71" t="s">
        <v>414</v>
      </c>
      <c r="U142" s="20" t="s">
        <v>37</v>
      </c>
      <c r="W142" s="126"/>
      <c r="X142" s="113">
        <f>'Additional information'!$D$18</f>
        <v>60</v>
      </c>
      <c r="Y142" s="114" t="str">
        <f>IF(W142&lt;&gt;"",W142*X142,"")</f>
        <v/>
      </c>
      <c r="Z142" s="114" t="str">
        <f>IF(AND(W142&lt;&gt;"",U142="yes"),W142*X142,"")</f>
        <v/>
      </c>
    </row>
    <row r="143" spans="1:27" ht="16" customHeight="1" x14ac:dyDescent="0.2">
      <c r="A143" s="28" t="s">
        <v>415</v>
      </c>
      <c r="B143" s="28" t="s">
        <v>416</v>
      </c>
      <c r="C143" s="19" t="s">
        <v>417</v>
      </c>
      <c r="D143" s="19" t="s">
        <v>418</v>
      </c>
      <c r="E143" s="41"/>
      <c r="H143" s="42"/>
      <c r="I143" s="71" t="s">
        <v>36</v>
      </c>
      <c r="J143" s="71"/>
      <c r="K143" s="71"/>
      <c r="L143" s="71"/>
      <c r="M143" s="71" t="s">
        <v>419</v>
      </c>
      <c r="N143" s="71"/>
      <c r="O143" s="71"/>
      <c r="P143" s="71"/>
      <c r="U143" s="20" t="s">
        <v>37</v>
      </c>
      <c r="W143" s="126">
        <v>0</v>
      </c>
      <c r="X143" s="113">
        <f>'Additional information'!$D$18</f>
        <v>60</v>
      </c>
      <c r="Y143" s="114">
        <f>IF(W143&lt;&gt;"",W143*X143,"")</f>
        <v>0</v>
      </c>
      <c r="Z143" s="114">
        <f>IF(AND(W143&lt;&gt;"",U143="yes"),W143*X143,"")</f>
        <v>0</v>
      </c>
    </row>
    <row r="144" spans="1:27" s="29" customFormat="1" x14ac:dyDescent="0.2">
      <c r="C144" s="22"/>
      <c r="D144" s="21"/>
      <c r="E144" s="52"/>
      <c r="H144" s="54"/>
      <c r="I144" s="83"/>
      <c r="J144" s="83"/>
      <c r="K144" s="83"/>
      <c r="L144" s="83"/>
      <c r="M144" s="83"/>
      <c r="N144" s="83"/>
      <c r="O144" s="83"/>
      <c r="P144" s="83"/>
      <c r="W144" s="126"/>
      <c r="X144" s="113">
        <f>'Additional information'!$D$18</f>
        <v>60</v>
      </c>
      <c r="Y144" s="114" t="str">
        <f>IF(W144&lt;&gt;"",W144*X144,"")</f>
        <v/>
      </c>
      <c r="Z144" s="114" t="str">
        <f>IF(AND(W144&lt;&gt;"",U144="yes"),W144*X144,"")</f>
        <v/>
      </c>
    </row>
    <row r="145" spans="1:27" ht="30" customHeight="1" x14ac:dyDescent="0.2">
      <c r="A145" s="288" t="s">
        <v>420</v>
      </c>
      <c r="B145" s="288" t="s">
        <v>421</v>
      </c>
      <c r="C145" s="288" t="s">
        <v>422</v>
      </c>
      <c r="D145" s="288" t="s">
        <v>423</v>
      </c>
      <c r="E145" s="288"/>
      <c r="F145" s="288" t="s">
        <v>424</v>
      </c>
      <c r="G145" s="288" t="s">
        <v>425</v>
      </c>
      <c r="H145" s="288"/>
      <c r="I145" s="288" t="b">
        <v>1</v>
      </c>
      <c r="J145" s="288"/>
      <c r="K145" s="288"/>
      <c r="L145" s="288"/>
      <c r="M145" s="288"/>
      <c r="P145" s="20"/>
      <c r="V145" s="126"/>
      <c r="W145" s="113">
        <f>'[1]Additional information'!$D$18</f>
        <v>0.91</v>
      </c>
      <c r="X145" s="114" t="str">
        <f>IF(V145&lt;&gt;"",V145*W145,"")</f>
        <v/>
      </c>
      <c r="Y145" s="114" t="str">
        <f>IF(AND(V145&lt;&gt;"",T145="yes"),V145*W145,"")</f>
        <v/>
      </c>
      <c r="AA145" s="20"/>
    </row>
    <row r="146" spans="1:27" s="143" customFormat="1" ht="176" customHeight="1" x14ac:dyDescent="0.2">
      <c r="A146" s="295" t="s">
        <v>104</v>
      </c>
      <c r="B146" s="295" t="s">
        <v>426</v>
      </c>
      <c r="C146" s="295"/>
      <c r="D146" s="295" t="s">
        <v>427</v>
      </c>
      <c r="E146" s="295"/>
      <c r="F146" s="295"/>
      <c r="G146" s="295"/>
      <c r="H146" s="295"/>
      <c r="I146" s="295" t="s">
        <v>36</v>
      </c>
      <c r="J146" s="295"/>
      <c r="K146" s="295"/>
      <c r="L146" s="295"/>
      <c r="M146" s="295" t="s">
        <v>428</v>
      </c>
      <c r="N146" s="297"/>
      <c r="O146" s="297"/>
      <c r="P146" s="297"/>
      <c r="W146" s="292"/>
      <c r="X146" s="293"/>
      <c r="Y146" s="292"/>
      <c r="Z146" s="292"/>
      <c r="AA146" s="294"/>
    </row>
    <row r="147" spans="1:27" s="143" customFormat="1" ht="176" customHeight="1" x14ac:dyDescent="0.2">
      <c r="A147" s="295" t="s">
        <v>429</v>
      </c>
      <c r="B147" s="295" t="s">
        <v>430</v>
      </c>
      <c r="C147" s="295"/>
      <c r="D147" s="295" t="s">
        <v>431</v>
      </c>
      <c r="E147" s="295"/>
      <c r="F147" s="295"/>
      <c r="G147" s="295"/>
      <c r="H147" s="295"/>
      <c r="I147" s="295" t="s">
        <v>36</v>
      </c>
      <c r="J147" s="295"/>
      <c r="K147" s="295"/>
      <c r="L147" s="295"/>
      <c r="M147" s="295" t="s">
        <v>428</v>
      </c>
      <c r="N147" s="297"/>
      <c r="O147" s="297"/>
      <c r="P147" s="297"/>
      <c r="W147" s="292"/>
      <c r="X147" s="293"/>
      <c r="Y147" s="292"/>
      <c r="Z147" s="292"/>
      <c r="AA147" s="294"/>
    </row>
    <row r="148" spans="1:27" s="143" customFormat="1" ht="176" customHeight="1" x14ac:dyDescent="0.2">
      <c r="A148" s="295" t="s">
        <v>432</v>
      </c>
      <c r="B148" s="295" t="s">
        <v>433</v>
      </c>
      <c r="C148" s="295"/>
      <c r="D148" s="295" t="s">
        <v>434</v>
      </c>
      <c r="E148" s="295"/>
      <c r="F148" s="295"/>
      <c r="G148" s="295"/>
      <c r="H148" s="295"/>
      <c r="I148" s="295" t="s">
        <v>36</v>
      </c>
      <c r="J148" s="295"/>
      <c r="K148" s="295"/>
      <c r="L148" s="295"/>
      <c r="M148" s="295" t="s">
        <v>428</v>
      </c>
      <c r="N148" s="297"/>
      <c r="O148" s="297"/>
      <c r="P148" s="297"/>
      <c r="W148" s="292"/>
      <c r="X148" s="293"/>
      <c r="Y148" s="292"/>
      <c r="Z148" s="292"/>
      <c r="AA148" s="294"/>
    </row>
    <row r="149" spans="1:27" s="143" customFormat="1" ht="176" customHeight="1" x14ac:dyDescent="0.2">
      <c r="A149" s="295" t="s">
        <v>171</v>
      </c>
      <c r="B149" s="295" t="s">
        <v>435</v>
      </c>
      <c r="C149" s="295"/>
      <c r="D149" s="295" t="s">
        <v>436</v>
      </c>
      <c r="E149" s="295"/>
      <c r="F149" s="295"/>
      <c r="G149" s="295"/>
      <c r="H149" s="295"/>
      <c r="I149" s="295" t="s">
        <v>36</v>
      </c>
      <c r="J149" s="295"/>
      <c r="K149" s="295"/>
      <c r="L149" s="295"/>
      <c r="M149" s="295" t="s">
        <v>428</v>
      </c>
      <c r="N149" s="297"/>
      <c r="O149" s="297"/>
      <c r="P149" s="297"/>
      <c r="W149" s="292"/>
      <c r="X149" s="293"/>
      <c r="Y149" s="292"/>
      <c r="Z149" s="292"/>
      <c r="AA149" s="294"/>
    </row>
    <row r="150" spans="1:27" s="143" customFormat="1" ht="64" customHeight="1" x14ac:dyDescent="0.2">
      <c r="A150" s="295" t="s">
        <v>437</v>
      </c>
      <c r="B150" s="295" t="s">
        <v>438</v>
      </c>
      <c r="C150" s="295"/>
      <c r="D150" s="295" t="s">
        <v>439</v>
      </c>
      <c r="E150" s="295"/>
      <c r="F150" s="295"/>
      <c r="G150" s="295"/>
      <c r="H150" s="295"/>
      <c r="I150" s="295" t="s">
        <v>36</v>
      </c>
      <c r="J150" s="295"/>
      <c r="K150" s="295"/>
      <c r="L150" s="295"/>
      <c r="M150" s="295" t="s">
        <v>428</v>
      </c>
      <c r="N150" s="297"/>
      <c r="O150" s="297"/>
      <c r="P150" s="297"/>
      <c r="W150" s="292"/>
      <c r="X150" s="293"/>
      <c r="Y150" s="292"/>
      <c r="Z150" s="292"/>
      <c r="AA150" s="294"/>
    </row>
    <row r="151" spans="1:27" s="143" customFormat="1" ht="176" customHeight="1" x14ac:dyDescent="0.2">
      <c r="A151" s="295" t="s">
        <v>429</v>
      </c>
      <c r="B151" s="295" t="s">
        <v>440</v>
      </c>
      <c r="C151" s="295"/>
      <c r="D151" s="295" t="s">
        <v>441</v>
      </c>
      <c r="E151" s="295"/>
      <c r="F151" s="295"/>
      <c r="G151" s="295"/>
      <c r="H151" s="295"/>
      <c r="I151" s="295" t="s">
        <v>36</v>
      </c>
      <c r="J151" s="295"/>
      <c r="K151" s="295"/>
      <c r="L151" s="295"/>
      <c r="M151" s="295" t="s">
        <v>428</v>
      </c>
      <c r="N151" s="297"/>
      <c r="O151" s="297"/>
      <c r="P151" s="297"/>
      <c r="W151" s="292"/>
      <c r="X151" s="293"/>
      <c r="Y151" s="292"/>
      <c r="Z151" s="292"/>
      <c r="AA151" s="294"/>
    </row>
    <row r="152" spans="1:27" s="143" customFormat="1" ht="176" customHeight="1" x14ac:dyDescent="0.2">
      <c r="A152" s="295" t="s">
        <v>442</v>
      </c>
      <c r="B152" s="295" t="s">
        <v>443</v>
      </c>
      <c r="C152" s="295"/>
      <c r="D152" s="295" t="s">
        <v>444</v>
      </c>
      <c r="E152" s="295"/>
      <c r="F152" s="295"/>
      <c r="G152" s="295"/>
      <c r="H152" s="295"/>
      <c r="I152" s="295" t="s">
        <v>36</v>
      </c>
      <c r="J152" s="295"/>
      <c r="K152" s="295"/>
      <c r="L152" s="295"/>
      <c r="M152" s="295" t="s">
        <v>428</v>
      </c>
      <c r="N152" s="297"/>
      <c r="O152" s="297"/>
      <c r="P152" s="297"/>
      <c r="W152" s="292"/>
      <c r="X152" s="293"/>
      <c r="Y152" s="292"/>
      <c r="Z152" s="292"/>
      <c r="AA152" s="294"/>
    </row>
    <row r="153" spans="1:27" s="143" customFormat="1" ht="176" customHeight="1" x14ac:dyDescent="0.2">
      <c r="A153" s="295" t="s">
        <v>445</v>
      </c>
      <c r="B153" s="295" t="s">
        <v>446</v>
      </c>
      <c r="C153" s="295"/>
      <c r="D153" s="295" t="s">
        <v>447</v>
      </c>
      <c r="E153" s="295"/>
      <c r="F153" s="295"/>
      <c r="G153" s="295"/>
      <c r="H153" s="295"/>
      <c r="I153" s="295" t="s">
        <v>36</v>
      </c>
      <c r="J153" s="295"/>
      <c r="K153" s="295"/>
      <c r="L153" s="295"/>
      <c r="M153" s="295" t="s">
        <v>428</v>
      </c>
      <c r="N153" s="297"/>
      <c r="O153" s="297"/>
      <c r="P153" s="297"/>
      <c r="W153" s="292"/>
      <c r="X153" s="293"/>
      <c r="Y153" s="292"/>
      <c r="Z153" s="292"/>
      <c r="AA153" s="294"/>
    </row>
    <row r="154" spans="1:27" s="143" customFormat="1" x14ac:dyDescent="0.2">
      <c r="A154" s="297"/>
      <c r="B154" s="297"/>
      <c r="C154" s="297"/>
      <c r="D154" s="297"/>
      <c r="E154" s="291"/>
      <c r="H154" s="291"/>
      <c r="I154" s="297"/>
      <c r="J154" s="297"/>
      <c r="K154" s="297"/>
      <c r="L154" s="297"/>
      <c r="M154" s="297"/>
      <c r="N154" s="297"/>
      <c r="O154" s="297"/>
      <c r="P154" s="297"/>
      <c r="W154" s="292"/>
      <c r="X154" s="293"/>
      <c r="Y154" s="292"/>
      <c r="Z154" s="292"/>
      <c r="AA154" s="294"/>
    </row>
    <row r="155" spans="1:27" s="143" customFormat="1" x14ac:dyDescent="0.2">
      <c r="A155" s="288" t="s">
        <v>104</v>
      </c>
      <c r="B155" s="288" t="s">
        <v>448</v>
      </c>
      <c r="C155" s="288"/>
      <c r="D155" s="288" t="s">
        <v>449</v>
      </c>
      <c r="E155" s="288"/>
      <c r="F155" s="288"/>
      <c r="G155" s="288"/>
      <c r="H155" s="288"/>
      <c r="I155" s="288" t="b">
        <v>1</v>
      </c>
      <c r="J155" s="288"/>
      <c r="K155" s="288" t="s">
        <v>450</v>
      </c>
      <c r="L155" s="288"/>
      <c r="M155" s="288"/>
      <c r="N155" s="297"/>
      <c r="O155" s="297"/>
      <c r="P155" s="297"/>
      <c r="W155" s="292"/>
      <c r="X155" s="293"/>
      <c r="Y155" s="292"/>
      <c r="Z155" s="292"/>
      <c r="AA155" s="294"/>
    </row>
    <row r="156" spans="1:27" s="143" customFormat="1" x14ac:dyDescent="0.2">
      <c r="A156" s="288" t="s">
        <v>104</v>
      </c>
      <c r="B156" s="288" t="s">
        <v>451</v>
      </c>
      <c r="C156" s="288"/>
      <c r="D156" s="288" t="s">
        <v>452</v>
      </c>
      <c r="E156" s="288"/>
      <c r="F156" s="288"/>
      <c r="G156" s="288"/>
      <c r="H156" s="288"/>
      <c r="I156" s="288" t="b">
        <v>1</v>
      </c>
      <c r="J156" s="288"/>
      <c r="K156" s="288" t="s">
        <v>450</v>
      </c>
      <c r="L156" s="288"/>
      <c r="M156" s="288"/>
      <c r="N156" s="297"/>
      <c r="O156" s="297"/>
      <c r="P156" s="297"/>
      <c r="W156" s="292"/>
      <c r="X156" s="293"/>
      <c r="Y156" s="292"/>
      <c r="Z156" s="292"/>
      <c r="AA156" s="294"/>
    </row>
    <row r="157" spans="1:27" s="143" customFormat="1" x14ac:dyDescent="0.2">
      <c r="A157" s="288" t="s">
        <v>104</v>
      </c>
      <c r="B157" s="288" t="s">
        <v>453</v>
      </c>
      <c r="C157" s="288"/>
      <c r="D157" s="288" t="s">
        <v>454</v>
      </c>
      <c r="E157" s="288"/>
      <c r="F157" s="288"/>
      <c r="G157" s="288"/>
      <c r="H157" s="288"/>
      <c r="I157" s="288" t="b">
        <v>1</v>
      </c>
      <c r="J157" s="288"/>
      <c r="K157" s="288" t="s">
        <v>450</v>
      </c>
      <c r="L157" s="288"/>
      <c r="M157" s="288"/>
      <c r="N157" s="297"/>
      <c r="O157" s="297"/>
      <c r="P157" s="297"/>
      <c r="W157" s="292"/>
      <c r="X157" s="293"/>
      <c r="Y157" s="292"/>
      <c r="Z157" s="292"/>
      <c r="AA157" s="294"/>
    </row>
    <row r="158" spans="1:27" ht="31.75" customHeight="1" x14ac:dyDescent="0.2">
      <c r="A158" s="28" t="s">
        <v>455</v>
      </c>
      <c r="B158" s="28" t="s">
        <v>456</v>
      </c>
      <c r="C158" s="28" t="s">
        <v>457</v>
      </c>
      <c r="D158" s="34" t="s">
        <v>458</v>
      </c>
      <c r="E158" s="42"/>
      <c r="H158" s="42"/>
      <c r="I158" s="71" t="s">
        <v>36</v>
      </c>
      <c r="J158" s="71"/>
      <c r="K158" s="71"/>
      <c r="L158" s="71"/>
      <c r="M158" s="71" t="s">
        <v>459</v>
      </c>
      <c r="N158" s="71"/>
      <c r="O158" s="71"/>
      <c r="P158" s="71"/>
      <c r="U158" s="20" t="s">
        <v>37</v>
      </c>
      <c r="W158" s="126">
        <v>15.95429515838623</v>
      </c>
      <c r="X158" s="113">
        <f>'Additional information'!$D$18</f>
        <v>60</v>
      </c>
      <c r="Y158" s="114">
        <f>IF(W158&lt;&gt;"",W158*X158,"")</f>
        <v>957.25770950317383</v>
      </c>
      <c r="Z158" s="114">
        <f>IF(AND(W158&lt;&gt;"",U158="yes"),W158*X158,"")</f>
        <v>957.25770950317383</v>
      </c>
    </row>
    <row r="159" spans="1:27" ht="15.75" customHeight="1" x14ac:dyDescent="0.2">
      <c r="A159" s="28" t="s">
        <v>42</v>
      </c>
      <c r="B159" s="28" t="s">
        <v>460</v>
      </c>
      <c r="C159" s="34" t="s">
        <v>461</v>
      </c>
      <c r="D159" s="34" t="s">
        <v>462</v>
      </c>
      <c r="E159" s="52"/>
      <c r="F159" s="29" t="s">
        <v>463</v>
      </c>
      <c r="G159" s="29"/>
      <c r="H159" s="42"/>
      <c r="I159" s="71" t="s">
        <v>36</v>
      </c>
      <c r="J159" s="71"/>
      <c r="K159" s="71"/>
      <c r="L159" s="71"/>
      <c r="M159" s="71" t="s">
        <v>464</v>
      </c>
      <c r="N159" s="71"/>
      <c r="O159" s="71"/>
      <c r="P159" s="71"/>
      <c r="U159" s="20" t="s">
        <v>37</v>
      </c>
      <c r="W159" s="126"/>
      <c r="X159" s="113">
        <f>'Additional information'!$D$18</f>
        <v>60</v>
      </c>
      <c r="Y159" s="114" t="str">
        <f>IF(W159&lt;&gt;"",W159*X159,"")</f>
        <v/>
      </c>
      <c r="Z159" s="114" t="str">
        <f>IF(AND(W159&lt;&gt;"",U159="yes"),W159*X159,"")</f>
        <v/>
      </c>
    </row>
    <row r="160" spans="1:27" s="30" customFormat="1" ht="15.75" customHeight="1" x14ac:dyDescent="0.2">
      <c r="C160" s="31"/>
      <c r="D160" s="31"/>
      <c r="E160" s="32"/>
      <c r="H160" s="36"/>
      <c r="I160" s="72"/>
      <c r="J160" s="72"/>
      <c r="K160" s="72"/>
      <c r="L160" s="72"/>
      <c r="M160" s="72"/>
      <c r="N160" s="72"/>
      <c r="O160" s="72"/>
      <c r="P160" s="72"/>
      <c r="W160" s="126"/>
      <c r="X160" s="113">
        <f>'Additional information'!$D$18</f>
        <v>60</v>
      </c>
      <c r="Y160" s="114" t="str">
        <f>IF(W160&lt;&gt;"",W160*X160,"")</f>
        <v/>
      </c>
      <c r="Z160" s="114" t="str">
        <f>IF(AND(W160&lt;&gt;"",U160="yes"),W160*X160,"")</f>
        <v/>
      </c>
      <c r="AA160" s="29"/>
    </row>
    <row r="161" spans="1:27" s="30" customFormat="1" ht="15.75" customHeight="1" x14ac:dyDescent="0.2">
      <c r="A161" s="30" t="s">
        <v>465</v>
      </c>
      <c r="B161" s="30" t="s">
        <v>466</v>
      </c>
      <c r="C161" s="31" t="s">
        <v>467</v>
      </c>
      <c r="D161" s="31" t="s">
        <v>468</v>
      </c>
      <c r="E161" s="32"/>
      <c r="H161" s="36"/>
      <c r="I161" s="72"/>
      <c r="J161" s="72"/>
      <c r="K161" s="72"/>
      <c r="L161" s="72"/>
      <c r="M161" s="72" t="s">
        <v>469</v>
      </c>
      <c r="N161" s="72"/>
      <c r="O161" s="72"/>
      <c r="P161" s="72"/>
      <c r="U161" s="30" t="s">
        <v>51</v>
      </c>
      <c r="W161" s="126"/>
      <c r="X161" s="113"/>
      <c r="Y161" s="114"/>
      <c r="Z161" s="114"/>
      <c r="AA161" s="29"/>
    </row>
    <row r="162" spans="1:27" s="30" customFormat="1" ht="16" customHeight="1" x14ac:dyDescent="0.2">
      <c r="A162" s="30" t="s">
        <v>470</v>
      </c>
      <c r="B162" s="30" t="s">
        <v>471</v>
      </c>
      <c r="C162" s="31" t="s">
        <v>472</v>
      </c>
      <c r="D162" s="31" t="s">
        <v>473</v>
      </c>
      <c r="E162" s="32"/>
      <c r="F162" s="30" t="s">
        <v>474</v>
      </c>
      <c r="G162" s="30" t="s">
        <v>475</v>
      </c>
      <c r="H162" s="36"/>
      <c r="I162" s="72" t="s">
        <v>36</v>
      </c>
      <c r="J162" s="72"/>
      <c r="K162" s="72" t="s">
        <v>476</v>
      </c>
      <c r="L162" s="72"/>
      <c r="M162" s="72" t="s">
        <v>459</v>
      </c>
      <c r="N162" s="72"/>
      <c r="O162" s="72"/>
      <c r="P162" s="72"/>
      <c r="U162" s="30" t="s">
        <v>51</v>
      </c>
      <c r="W162" s="126">
        <v>17.928909301757809</v>
      </c>
      <c r="X162" s="113">
        <f>'Additional information'!$D$18</f>
        <v>60</v>
      </c>
      <c r="Y162" s="114">
        <f>IF(W162&lt;&gt;"",W162*X162,"")</f>
        <v>1075.7345581054685</v>
      </c>
      <c r="Z162" s="114" t="str">
        <f>IF(AND(W162&lt;&gt;"",U162="yes"),W162*X162,"")</f>
        <v/>
      </c>
      <c r="AA162" s="29"/>
    </row>
    <row r="163" spans="1:27" s="30" customFormat="1" x14ac:dyDescent="0.2">
      <c r="C163" s="31"/>
      <c r="D163" s="258"/>
      <c r="E163" s="32"/>
      <c r="G163" s="20"/>
      <c r="H163" s="36"/>
      <c r="I163" s="72"/>
      <c r="J163" s="72"/>
      <c r="K163" s="72"/>
      <c r="L163" s="72"/>
      <c r="M163" s="72"/>
      <c r="N163" s="72"/>
      <c r="O163" s="72"/>
      <c r="P163" s="72"/>
      <c r="W163" s="126"/>
      <c r="X163" s="113">
        <f>'Additional information'!$D$18</f>
        <v>60</v>
      </c>
      <c r="Y163" s="114" t="str">
        <f>IF(W163&lt;&gt;"",W163*X163,"")</f>
        <v/>
      </c>
      <c r="Z163" s="114" t="str">
        <f>IF(AND(W163&lt;&gt;"",U163="yes"),W163*X163,"")</f>
        <v/>
      </c>
      <c r="AA163" s="29"/>
    </row>
    <row r="164" spans="1:27" ht="32" customHeight="1" x14ac:dyDescent="0.2">
      <c r="A164" s="28" t="s">
        <v>280</v>
      </c>
      <c r="B164" s="28" t="s">
        <v>477</v>
      </c>
      <c r="C164" s="19" t="s">
        <v>478</v>
      </c>
      <c r="D164" s="19" t="s">
        <v>479</v>
      </c>
      <c r="E164" s="41"/>
      <c r="F164" s="28"/>
      <c r="G164" s="28"/>
      <c r="H164" s="42"/>
      <c r="I164" s="71" t="s">
        <v>36</v>
      </c>
      <c r="J164" s="71"/>
      <c r="K164" s="71"/>
      <c r="L164" s="71"/>
      <c r="M164" s="73" t="s">
        <v>459</v>
      </c>
      <c r="N164" s="71"/>
      <c r="O164" s="71"/>
      <c r="P164" s="71"/>
      <c r="U164" s="20" t="s">
        <v>37</v>
      </c>
      <c r="W164" s="126">
        <v>25.436874389648441</v>
      </c>
      <c r="X164" s="113">
        <f>'Additional information'!$D$18</f>
        <v>60</v>
      </c>
      <c r="Y164" s="114">
        <f>IF(W164&lt;&gt;"",W164*X164,"")</f>
        <v>1526.2124633789065</v>
      </c>
      <c r="Z164" s="114">
        <f>IF(AND(W164&lt;&gt;"",U164="yes"),W164*X164,"")</f>
        <v>1526.2124633789065</v>
      </c>
    </row>
    <row r="165" spans="1:27" x14ac:dyDescent="0.2">
      <c r="E165" s="41"/>
      <c r="H165" s="42"/>
      <c r="M165" s="83"/>
      <c r="W165" s="126"/>
      <c r="X165" s="113">
        <f>'Additional information'!$D$18</f>
        <v>60</v>
      </c>
      <c r="Y165" s="114" t="str">
        <f>IF(W165&lt;&gt;"",W165*X165,"")</f>
        <v/>
      </c>
      <c r="Z165" s="114" t="str">
        <f>IF(AND(W165&lt;&gt;"",U165="yes"),W165*X165,"")</f>
        <v/>
      </c>
    </row>
    <row r="166" spans="1:27" s="143" customFormat="1" x14ac:dyDescent="0.2">
      <c r="A166" s="288" t="s">
        <v>480</v>
      </c>
      <c r="B166" s="288" t="s">
        <v>481</v>
      </c>
      <c r="C166" s="288"/>
      <c r="D166" s="288" t="s">
        <v>482</v>
      </c>
      <c r="E166" s="288"/>
      <c r="F166" s="288"/>
      <c r="G166" s="288"/>
      <c r="H166" s="288"/>
      <c r="I166" s="288" t="s">
        <v>36</v>
      </c>
      <c r="J166" s="288"/>
      <c r="K166" s="288"/>
      <c r="L166" s="288"/>
      <c r="M166" s="288" t="s">
        <v>483</v>
      </c>
      <c r="W166" s="294"/>
      <c r="X166" s="293"/>
      <c r="Y166" s="294"/>
      <c r="Z166" s="294"/>
      <c r="AA166" s="294"/>
    </row>
    <row r="167" spans="1:27" ht="32" customHeight="1" x14ac:dyDescent="0.2">
      <c r="A167" s="28" t="s">
        <v>280</v>
      </c>
      <c r="B167" s="28" t="s">
        <v>484</v>
      </c>
      <c r="C167" s="19" t="s">
        <v>485</v>
      </c>
      <c r="D167" s="19" t="s">
        <v>486</v>
      </c>
      <c r="E167" s="41"/>
      <c r="G167" s="30"/>
      <c r="H167" s="42"/>
      <c r="I167" s="71" t="s">
        <v>36</v>
      </c>
      <c r="J167" s="71"/>
      <c r="K167" s="71"/>
      <c r="L167" s="71"/>
      <c r="M167" s="73" t="s">
        <v>459</v>
      </c>
      <c r="N167" s="71"/>
      <c r="O167" s="71"/>
      <c r="P167" s="71"/>
      <c r="U167" s="20" t="s">
        <v>37</v>
      </c>
      <c r="W167" s="126">
        <v>19.364946365356449</v>
      </c>
      <c r="X167" s="113">
        <f>'Additional information'!$D$18</f>
        <v>60</v>
      </c>
      <c r="Y167" s="114">
        <f>IF(W167&lt;&gt;"",W167*X167,"")</f>
        <v>1161.8967819213869</v>
      </c>
      <c r="Z167" s="114">
        <f>IF(AND(W167&lt;&gt;"",U167="yes"),W167*X167,"")</f>
        <v>1161.8967819213869</v>
      </c>
    </row>
    <row r="168" spans="1:27" s="30" customFormat="1" x14ac:dyDescent="0.2">
      <c r="C168" s="31"/>
      <c r="D168" s="21"/>
      <c r="E168" s="32"/>
      <c r="G168" s="20"/>
      <c r="H168" s="36"/>
      <c r="I168" s="72"/>
      <c r="J168" s="72"/>
      <c r="K168" s="72"/>
      <c r="L168" s="72"/>
      <c r="M168" s="72"/>
      <c r="N168" s="72"/>
      <c r="O168" s="72"/>
      <c r="P168" s="72"/>
      <c r="W168" s="126"/>
      <c r="X168" s="113">
        <f>'Additional information'!$D$18</f>
        <v>60</v>
      </c>
      <c r="Y168" s="114" t="str">
        <f>IF(W168&lt;&gt;"",W168*X168,"")</f>
        <v/>
      </c>
      <c r="Z168" s="114" t="str">
        <f>IF(AND(W168&lt;&gt;"",U168="yes"),W168*X168,"")</f>
        <v/>
      </c>
      <c r="AA168" s="29"/>
    </row>
    <row r="169" spans="1:27" ht="32" customHeight="1" x14ac:dyDescent="0.2">
      <c r="A169" s="28" t="s">
        <v>171</v>
      </c>
      <c r="B169" s="28" t="s">
        <v>487</v>
      </c>
      <c r="C169" s="19" t="s">
        <v>488</v>
      </c>
      <c r="D169" s="19" t="s">
        <v>489</v>
      </c>
      <c r="E169" s="41"/>
      <c r="H169" s="42"/>
      <c r="I169" s="71" t="s">
        <v>36</v>
      </c>
      <c r="J169" s="71"/>
      <c r="K169" s="71"/>
      <c r="L169" s="71"/>
      <c r="M169" s="73" t="s">
        <v>490</v>
      </c>
      <c r="N169" s="71"/>
      <c r="O169" s="71"/>
      <c r="P169" s="71"/>
      <c r="U169" s="20" t="s">
        <v>37</v>
      </c>
      <c r="W169" s="126">
        <v>13.458864212036129</v>
      </c>
      <c r="X169" s="113">
        <f>'Additional information'!$D$18</f>
        <v>60</v>
      </c>
      <c r="Y169" s="114">
        <f>IF(W169&lt;&gt;"",W169*X169,"")</f>
        <v>807.53185272216774</v>
      </c>
      <c r="Z169" s="114">
        <f>IF(AND(W169&lt;&gt;"",U169="yes"),W169*X169,"")</f>
        <v>807.53185272216774</v>
      </c>
    </row>
    <row r="170" spans="1:27" ht="32" customHeight="1" x14ac:dyDescent="0.2">
      <c r="A170" s="28" t="s">
        <v>491</v>
      </c>
      <c r="B170" s="28" t="s">
        <v>492</v>
      </c>
      <c r="C170" s="19" t="s">
        <v>493</v>
      </c>
      <c r="D170" s="19" t="s">
        <v>494</v>
      </c>
      <c r="E170" s="41"/>
      <c r="F170" s="20" t="s">
        <v>495</v>
      </c>
      <c r="G170" s="20" t="s">
        <v>496</v>
      </c>
      <c r="H170" s="42"/>
      <c r="I170" s="71" t="s">
        <v>36</v>
      </c>
      <c r="J170" s="71"/>
      <c r="K170" s="73" t="s">
        <v>476</v>
      </c>
      <c r="L170" s="71"/>
      <c r="M170" s="73" t="s">
        <v>497</v>
      </c>
      <c r="N170" s="71"/>
      <c r="O170" s="71"/>
      <c r="P170" s="71"/>
      <c r="U170" s="20" t="s">
        <v>37</v>
      </c>
      <c r="W170" s="126">
        <v>37.523288726806641</v>
      </c>
      <c r="X170" s="113">
        <f>'Additional information'!$D$18</f>
        <v>60</v>
      </c>
      <c r="Y170" s="114">
        <f>IF(W170&lt;&gt;"",W170*X170,"")</f>
        <v>2251.3973236083984</v>
      </c>
      <c r="Z170" s="114">
        <f>IF(AND(W170&lt;&gt;"",U170="yes"),W170*X170,"")</f>
        <v>2251.3973236083984</v>
      </c>
    </row>
    <row r="171" spans="1:27" x14ac:dyDescent="0.2">
      <c r="E171" s="41"/>
      <c r="G171" s="30"/>
      <c r="H171" s="42"/>
      <c r="M171" s="83"/>
      <c r="W171" s="126"/>
      <c r="X171" s="113">
        <f>'Additional information'!$D$18</f>
        <v>60</v>
      </c>
      <c r="Y171" s="114" t="str">
        <f>IF(W171&lt;&gt;"",W171*X171,"")</f>
        <v/>
      </c>
      <c r="Z171" s="114" t="str">
        <f>IF(AND(W171&lt;&gt;"",U171="yes"),W171*X171,"")</f>
        <v/>
      </c>
    </row>
    <row r="172" spans="1:27" s="143" customFormat="1" ht="32" customHeight="1" x14ac:dyDescent="0.2">
      <c r="A172" s="295" t="s">
        <v>498</v>
      </c>
      <c r="B172" s="295" t="s">
        <v>499</v>
      </c>
      <c r="C172" s="295"/>
      <c r="D172" s="295" t="s">
        <v>500</v>
      </c>
      <c r="E172" s="295"/>
      <c r="F172" s="295"/>
      <c r="G172" s="295"/>
      <c r="H172" s="295"/>
      <c r="I172" s="295" t="b">
        <v>1</v>
      </c>
      <c r="J172" s="295"/>
      <c r="K172" s="295"/>
      <c r="L172" s="295"/>
      <c r="M172" s="295" t="s">
        <v>501</v>
      </c>
      <c r="N172" s="297"/>
      <c r="O172" s="297"/>
      <c r="P172" s="297"/>
      <c r="W172" s="292"/>
      <c r="X172" s="293"/>
      <c r="Y172" s="292"/>
      <c r="Z172" s="292"/>
      <c r="AA172" s="294"/>
    </row>
    <row r="173" spans="1:27" s="143" customFormat="1" ht="32" customHeight="1" x14ac:dyDescent="0.2">
      <c r="A173" s="295" t="s">
        <v>502</v>
      </c>
      <c r="B173" s="295" t="s">
        <v>503</v>
      </c>
      <c r="C173" s="295"/>
      <c r="D173" s="295" t="s">
        <v>504</v>
      </c>
      <c r="E173" s="295"/>
      <c r="F173" s="295"/>
      <c r="G173" s="295"/>
      <c r="H173" s="295"/>
      <c r="I173" s="295" t="b">
        <v>1</v>
      </c>
      <c r="J173" s="295"/>
      <c r="K173" s="295"/>
      <c r="L173" s="295"/>
      <c r="M173" s="295" t="s">
        <v>501</v>
      </c>
      <c r="N173" s="297"/>
      <c r="O173" s="297"/>
      <c r="P173" s="297"/>
      <c r="W173" s="292"/>
      <c r="X173" s="293"/>
      <c r="Y173" s="292"/>
      <c r="Z173" s="292"/>
      <c r="AA173" s="294"/>
    </row>
    <row r="174" spans="1:27" s="143" customFormat="1" ht="176" customHeight="1" x14ac:dyDescent="0.2">
      <c r="A174" s="295" t="s">
        <v>171</v>
      </c>
      <c r="B174" s="295" t="s">
        <v>505</v>
      </c>
      <c r="C174" s="295"/>
      <c r="D174" s="295" t="s">
        <v>506</v>
      </c>
      <c r="E174" s="295"/>
      <c r="F174" s="295"/>
      <c r="G174" s="295"/>
      <c r="H174" s="295"/>
      <c r="I174" s="295" t="b">
        <v>1</v>
      </c>
      <c r="J174" s="295"/>
      <c r="K174" s="295"/>
      <c r="L174" s="295"/>
      <c r="M174" s="295" t="s">
        <v>507</v>
      </c>
      <c r="W174" s="292"/>
      <c r="X174" s="293" t="e">
        <f>'[2]Additional information'!$D$18</f>
        <v>#REF!</v>
      </c>
      <c r="Y174" s="292" t="str">
        <f>IF(W174&lt;&gt;"",W174*X174,"")</f>
        <v/>
      </c>
      <c r="Z174" s="292" t="str">
        <f>IF(AND(W174&lt;&gt;"",U174="yes"),W174*X174,"")</f>
        <v/>
      </c>
      <c r="AA174" s="294"/>
    </row>
    <row r="175" spans="1:27" s="143" customFormat="1" ht="64" customHeight="1" x14ac:dyDescent="0.2">
      <c r="A175" s="295" t="s">
        <v>508</v>
      </c>
      <c r="B175" s="295" t="s">
        <v>509</v>
      </c>
      <c r="C175" s="295"/>
      <c r="D175" s="295" t="s">
        <v>510</v>
      </c>
      <c r="E175" s="295"/>
      <c r="F175" s="295"/>
      <c r="G175" s="295"/>
      <c r="H175" s="295"/>
      <c r="I175" s="295" t="b">
        <v>1</v>
      </c>
      <c r="J175" s="295"/>
      <c r="K175" s="295"/>
      <c r="L175" s="295"/>
      <c r="M175" s="295" t="s">
        <v>511</v>
      </c>
      <c r="W175" s="292"/>
      <c r="X175" s="293"/>
      <c r="Y175" s="292"/>
      <c r="Z175" s="292"/>
      <c r="AA175" s="294"/>
    </row>
    <row r="176" spans="1:27" s="143" customFormat="1" ht="64" customHeight="1" x14ac:dyDescent="0.2">
      <c r="A176" s="295" t="s">
        <v>512</v>
      </c>
      <c r="B176" s="295" t="s">
        <v>513</v>
      </c>
      <c r="C176" s="295"/>
      <c r="D176" s="295" t="s">
        <v>514</v>
      </c>
      <c r="E176" s="295"/>
      <c r="F176" s="295"/>
      <c r="G176" s="295"/>
      <c r="H176" s="295"/>
      <c r="I176" s="295" t="b">
        <v>1</v>
      </c>
      <c r="J176" s="295"/>
      <c r="K176" s="295"/>
      <c r="L176" s="295"/>
      <c r="M176" s="295" t="s">
        <v>511</v>
      </c>
      <c r="W176" s="292"/>
      <c r="X176" s="293"/>
      <c r="Y176" s="292"/>
      <c r="Z176" s="292"/>
      <c r="AA176" s="294"/>
    </row>
    <row r="177" spans="1:27" s="143" customFormat="1" x14ac:dyDescent="0.2">
      <c r="W177" s="294"/>
      <c r="X177" s="293"/>
      <c r="Y177" s="294"/>
      <c r="Z177" s="294"/>
      <c r="AA177" s="294"/>
    </row>
    <row r="178" spans="1:27" s="301" customFormat="1" ht="30" customHeight="1" x14ac:dyDescent="0.2">
      <c r="A178" s="288" t="s">
        <v>280</v>
      </c>
      <c r="B178" s="288" t="s">
        <v>515</v>
      </c>
      <c r="C178" s="288" t="s">
        <v>516</v>
      </c>
      <c r="D178" s="288" t="s">
        <v>517</v>
      </c>
      <c r="E178" s="288"/>
      <c r="F178" s="288" t="s">
        <v>424</v>
      </c>
      <c r="G178" s="288" t="s">
        <v>425</v>
      </c>
      <c r="H178" s="288"/>
      <c r="I178" s="288" t="s">
        <v>36</v>
      </c>
      <c r="J178" s="288"/>
      <c r="K178" s="288"/>
      <c r="L178" s="288"/>
      <c r="M178" s="288"/>
      <c r="N178" s="288"/>
      <c r="O178" s="288"/>
      <c r="P178" s="300"/>
      <c r="W178" s="140"/>
      <c r="X178" s="141"/>
      <c r="Y178" s="142"/>
      <c r="Z178" s="142"/>
      <c r="AA178" s="273"/>
    </row>
    <row r="179" spans="1:27" s="301" customFormat="1" ht="28.25" customHeight="1" x14ac:dyDescent="0.2">
      <c r="A179" s="288" t="s">
        <v>171</v>
      </c>
      <c r="B179" s="288" t="s">
        <v>518</v>
      </c>
      <c r="C179" s="288" t="s">
        <v>519</v>
      </c>
      <c r="D179" s="288" t="s">
        <v>520</v>
      </c>
      <c r="E179" s="288"/>
      <c r="F179" s="288" t="s">
        <v>424</v>
      </c>
      <c r="G179" s="288" t="s">
        <v>425</v>
      </c>
      <c r="H179" s="288"/>
      <c r="I179" s="288" t="s">
        <v>36</v>
      </c>
      <c r="J179" s="288"/>
      <c r="K179" s="288"/>
      <c r="L179" s="288"/>
      <c r="M179" s="288"/>
      <c r="N179" s="288"/>
      <c r="O179" s="288"/>
      <c r="P179" s="300"/>
      <c r="W179" s="140"/>
      <c r="X179" s="141"/>
      <c r="Y179" s="142"/>
      <c r="Z179" s="142"/>
      <c r="AA179" s="273"/>
    </row>
    <row r="180" spans="1:27" s="301" customFormat="1" ht="28.25" customHeight="1" x14ac:dyDescent="0.2">
      <c r="A180" s="288" t="s">
        <v>521</v>
      </c>
      <c r="B180" s="288" t="s">
        <v>522</v>
      </c>
      <c r="C180" s="288" t="s">
        <v>523</v>
      </c>
      <c r="D180" s="288" t="s">
        <v>524</v>
      </c>
      <c r="E180" s="288"/>
      <c r="F180" s="288" t="s">
        <v>424</v>
      </c>
      <c r="G180" s="288" t="s">
        <v>425</v>
      </c>
      <c r="H180" s="288"/>
      <c r="I180" s="288" t="b">
        <v>1</v>
      </c>
      <c r="J180" s="288"/>
      <c r="K180" s="288"/>
      <c r="L180" s="288"/>
      <c r="M180" s="288"/>
      <c r="N180" s="288"/>
      <c r="O180" s="288"/>
      <c r="P180" s="300"/>
      <c r="W180" s="140"/>
      <c r="X180" s="141"/>
      <c r="Y180" s="142"/>
      <c r="Z180" s="142"/>
      <c r="AA180" s="273"/>
    </row>
    <row r="181" spans="1:27" x14ac:dyDescent="0.2">
      <c r="E181" s="41"/>
      <c r="H181" s="42"/>
      <c r="M181" s="83"/>
      <c r="W181" s="126"/>
      <c r="X181" s="113">
        <f>'Additional information'!$D$18</f>
        <v>60</v>
      </c>
      <c r="Y181" s="114" t="str">
        <f>IF(W181&lt;&gt;"",W181*X181,"")</f>
        <v/>
      </c>
      <c r="Z181" s="114" t="str">
        <f>IF(AND(W181&lt;&gt;"",U181="yes"),W181*X181,"")</f>
        <v/>
      </c>
    </row>
    <row r="182" spans="1:27" s="289" customFormat="1" ht="128" customHeight="1" x14ac:dyDescent="0.2">
      <c r="A182" s="289" t="s">
        <v>525</v>
      </c>
      <c r="B182" s="289" t="s">
        <v>526</v>
      </c>
      <c r="C182" s="289" t="s">
        <v>527</v>
      </c>
      <c r="D182" s="289" t="s">
        <v>528</v>
      </c>
      <c r="E182" s="296"/>
      <c r="F182" s="289" t="s">
        <v>529</v>
      </c>
      <c r="G182" s="289" t="s">
        <v>530</v>
      </c>
      <c r="H182" s="296"/>
      <c r="I182" s="289" t="s">
        <v>36</v>
      </c>
      <c r="J182" s="289" t="s">
        <v>144</v>
      </c>
      <c r="K182" s="289" t="s">
        <v>531</v>
      </c>
      <c r="M182" s="289" t="s">
        <v>532</v>
      </c>
      <c r="N182" s="289" t="s">
        <v>533</v>
      </c>
      <c r="O182" s="143"/>
      <c r="P182" s="143"/>
      <c r="Q182" s="143"/>
      <c r="U182" s="289" t="s">
        <v>51</v>
      </c>
      <c r="W182" s="292">
        <v>17</v>
      </c>
      <c r="X182" s="293" t="e">
        <f>'[2]Additional information'!$D$18</f>
        <v>#REF!</v>
      </c>
      <c r="Y182" s="292" t="e">
        <f>IF(W182&lt;&gt;"",W182*X182,"")</f>
        <v>#REF!</v>
      </c>
      <c r="Z182" s="292" t="str">
        <f>IF(AND(W182&lt;&gt;"",U182="yes"),W182*X182,"")</f>
        <v/>
      </c>
      <c r="AA182" s="294"/>
    </row>
    <row r="183" spans="1:27" s="143" customFormat="1" x14ac:dyDescent="0.2">
      <c r="A183" s="288" t="s">
        <v>171</v>
      </c>
      <c r="B183" s="288" t="s">
        <v>534</v>
      </c>
      <c r="C183" s="288"/>
      <c r="D183" s="288" t="s">
        <v>535</v>
      </c>
      <c r="E183" s="288"/>
      <c r="F183" s="288"/>
      <c r="G183" s="288"/>
      <c r="H183" s="288"/>
      <c r="I183" s="288" t="s">
        <v>36</v>
      </c>
      <c r="J183" s="288"/>
      <c r="K183" s="288"/>
      <c r="L183" s="288"/>
      <c r="M183" s="288" t="s">
        <v>536</v>
      </c>
      <c r="N183" s="242"/>
      <c r="O183" s="242"/>
      <c r="P183" s="242"/>
      <c r="W183" s="292"/>
      <c r="X183" s="293"/>
      <c r="Y183" s="292"/>
      <c r="Z183" s="292"/>
      <c r="AA183" s="294"/>
    </row>
    <row r="184" spans="1:27" s="143" customFormat="1" ht="144" customHeight="1" x14ac:dyDescent="0.2">
      <c r="A184" s="295" t="s">
        <v>171</v>
      </c>
      <c r="B184" s="295" t="s">
        <v>537</v>
      </c>
      <c r="C184" s="295" t="s">
        <v>538</v>
      </c>
      <c r="D184" s="295" t="s">
        <v>539</v>
      </c>
      <c r="E184" s="295"/>
      <c r="F184" s="295"/>
      <c r="G184" s="295"/>
      <c r="H184" s="295"/>
      <c r="I184" s="295" t="s">
        <v>36</v>
      </c>
      <c r="J184" s="295"/>
      <c r="K184" s="295"/>
      <c r="L184" s="295"/>
      <c r="M184" s="295" t="s">
        <v>248</v>
      </c>
      <c r="N184" s="242"/>
      <c r="O184" s="242"/>
      <c r="P184" s="242"/>
      <c r="W184" s="292"/>
      <c r="X184" s="293"/>
      <c r="Y184" s="292"/>
      <c r="Z184" s="292"/>
      <c r="AA184" s="294"/>
    </row>
    <row r="185" spans="1:27" s="143" customFormat="1" ht="80" customHeight="1" x14ac:dyDescent="0.2">
      <c r="A185" s="295" t="s">
        <v>540</v>
      </c>
      <c r="B185" s="295" t="s">
        <v>541</v>
      </c>
      <c r="C185" s="295"/>
      <c r="D185" s="295" t="s">
        <v>542</v>
      </c>
      <c r="E185" s="295"/>
      <c r="F185" s="295"/>
      <c r="G185" s="295"/>
      <c r="H185" s="295"/>
      <c r="I185" s="295" t="s">
        <v>36</v>
      </c>
      <c r="J185" s="295"/>
      <c r="K185" s="295" t="s">
        <v>543</v>
      </c>
      <c r="L185" s="295"/>
      <c r="M185" s="295" t="s">
        <v>544</v>
      </c>
      <c r="N185" s="242"/>
      <c r="O185" s="242"/>
      <c r="P185" s="242"/>
      <c r="W185" s="292"/>
      <c r="X185" s="293"/>
      <c r="Y185" s="292"/>
      <c r="Z185" s="292"/>
      <c r="AA185" s="294"/>
    </row>
    <row r="186" spans="1:27" s="143" customFormat="1" ht="32" customHeight="1" x14ac:dyDescent="0.2">
      <c r="A186" s="295" t="s">
        <v>545</v>
      </c>
      <c r="B186" s="295" t="s">
        <v>546</v>
      </c>
      <c r="C186" s="295"/>
      <c r="D186" s="295" t="s">
        <v>547</v>
      </c>
      <c r="E186" s="295"/>
      <c r="F186" s="295"/>
      <c r="G186" s="295"/>
      <c r="H186" s="295"/>
      <c r="I186" s="295" t="s">
        <v>36</v>
      </c>
      <c r="J186" s="295"/>
      <c r="K186" s="295"/>
      <c r="L186" s="295"/>
      <c r="M186" s="295" t="s">
        <v>544</v>
      </c>
      <c r="N186" s="242"/>
      <c r="O186" s="242"/>
      <c r="P186" s="242"/>
      <c r="W186" s="292"/>
      <c r="X186" s="293"/>
      <c r="Y186" s="292"/>
      <c r="Z186" s="292"/>
      <c r="AA186" s="294"/>
    </row>
    <row r="187" spans="1:27" s="143" customFormat="1" ht="32" customHeight="1" x14ac:dyDescent="0.2">
      <c r="A187" s="295" t="s">
        <v>104</v>
      </c>
      <c r="B187" s="295" t="s">
        <v>548</v>
      </c>
      <c r="C187" s="295"/>
      <c r="D187" s="295" t="s">
        <v>549</v>
      </c>
      <c r="E187" s="295"/>
      <c r="F187" s="295"/>
      <c r="G187" s="295"/>
      <c r="H187" s="295"/>
      <c r="I187" s="295" t="s">
        <v>36</v>
      </c>
      <c r="J187" s="295"/>
      <c r="K187" s="295" t="s">
        <v>550</v>
      </c>
      <c r="L187" s="295"/>
      <c r="M187" s="295" t="s">
        <v>544</v>
      </c>
      <c r="N187" s="242"/>
      <c r="O187" s="242"/>
      <c r="P187" s="242"/>
      <c r="W187" s="292"/>
      <c r="X187" s="293"/>
      <c r="Y187" s="292"/>
      <c r="Z187" s="292"/>
      <c r="AA187" s="294"/>
    </row>
    <row r="188" spans="1:27" s="143" customFormat="1" ht="32" customHeight="1" x14ac:dyDescent="0.2">
      <c r="A188" s="295" t="s">
        <v>104</v>
      </c>
      <c r="B188" s="295" t="s">
        <v>551</v>
      </c>
      <c r="C188" s="295"/>
      <c r="D188" s="295" t="s">
        <v>552</v>
      </c>
      <c r="E188" s="295"/>
      <c r="F188" s="295"/>
      <c r="G188" s="295"/>
      <c r="H188" s="295"/>
      <c r="I188" s="295" t="s">
        <v>36</v>
      </c>
      <c r="J188" s="295"/>
      <c r="K188" s="295" t="s">
        <v>550</v>
      </c>
      <c r="L188" s="295"/>
      <c r="M188" s="295" t="s">
        <v>544</v>
      </c>
      <c r="N188" s="242"/>
      <c r="O188" s="242"/>
      <c r="P188" s="242"/>
      <c r="W188" s="292"/>
      <c r="X188" s="293"/>
      <c r="Y188" s="292"/>
      <c r="Z188" s="292"/>
      <c r="AA188" s="294"/>
    </row>
    <row r="189" spans="1:27" s="143" customFormat="1" ht="32" customHeight="1" x14ac:dyDescent="0.2">
      <c r="A189" s="295" t="s">
        <v>104</v>
      </c>
      <c r="B189" s="295" t="s">
        <v>553</v>
      </c>
      <c r="C189" s="295"/>
      <c r="D189" s="295" t="s">
        <v>554</v>
      </c>
      <c r="E189" s="295"/>
      <c r="F189" s="295"/>
      <c r="G189" s="295"/>
      <c r="H189" s="295"/>
      <c r="I189" s="295" t="s">
        <v>36</v>
      </c>
      <c r="J189" s="295"/>
      <c r="K189" s="295" t="s">
        <v>550</v>
      </c>
      <c r="L189" s="295"/>
      <c r="M189" s="295" t="s">
        <v>544</v>
      </c>
      <c r="N189" s="242"/>
      <c r="O189" s="242"/>
      <c r="P189" s="242"/>
      <c r="W189" s="292"/>
      <c r="X189" s="293"/>
      <c r="Y189" s="292"/>
      <c r="Z189" s="292"/>
      <c r="AA189" s="294"/>
    </row>
    <row r="190" spans="1:27" ht="16" customHeight="1" thickBot="1" x14ac:dyDescent="0.25">
      <c r="A190" s="55" t="s">
        <v>89</v>
      </c>
      <c r="B190" s="55"/>
      <c r="C190" s="56"/>
      <c r="D190" s="56"/>
      <c r="E190" s="63"/>
      <c r="F190" s="55"/>
      <c r="G190" s="55"/>
      <c r="H190" s="64"/>
      <c r="I190" s="84"/>
      <c r="J190" s="84"/>
      <c r="K190" s="84"/>
      <c r="L190" s="84"/>
      <c r="M190" s="84"/>
      <c r="N190" s="84"/>
      <c r="O190" s="84"/>
      <c r="P190" s="84"/>
      <c r="W190" s="126"/>
      <c r="Y190" s="114" t="str">
        <f>IF(W190&lt;&gt;"",W190*X190,"")</f>
        <v/>
      </c>
      <c r="Z190" s="114" t="str">
        <f>IF(AND(W190&lt;&gt;"",U190="yes"),W190*X190,"")</f>
        <v/>
      </c>
    </row>
    <row r="191" spans="1:27" s="26" customFormat="1" ht="17" customHeight="1" thickTop="1" x14ac:dyDescent="0.2">
      <c r="A191" s="23" t="s">
        <v>60</v>
      </c>
      <c r="B191" s="23" t="s">
        <v>555</v>
      </c>
      <c r="C191" s="47" t="s">
        <v>556</v>
      </c>
      <c r="D191" s="47" t="s">
        <v>557</v>
      </c>
      <c r="E191" s="24"/>
      <c r="F191" s="23"/>
      <c r="G191" s="23"/>
      <c r="H191" s="25"/>
      <c r="I191" s="76" t="s">
        <v>55</v>
      </c>
      <c r="J191" s="76"/>
      <c r="K191" s="76"/>
      <c r="L191" s="76"/>
      <c r="M191" s="77" t="s">
        <v>558</v>
      </c>
      <c r="N191" s="76"/>
      <c r="O191" s="76"/>
      <c r="P191" s="76"/>
      <c r="U191" s="20" t="s">
        <v>37</v>
      </c>
      <c r="W191" s="126"/>
      <c r="X191" s="113"/>
      <c r="Y191" s="114" t="str">
        <f>IF(W191&lt;&gt;"",W191*X191,"")</f>
        <v/>
      </c>
      <c r="Z191" s="114" t="str">
        <f>IF(AND(W191&lt;&gt;"",U191="yes"),W191*X191,"")</f>
        <v/>
      </c>
      <c r="AA191" s="27"/>
    </row>
    <row r="192" spans="1:27" ht="16" customHeight="1" x14ac:dyDescent="0.2">
      <c r="A192" s="28" t="s">
        <v>171</v>
      </c>
      <c r="B192" s="28" t="s">
        <v>559</v>
      </c>
      <c r="C192" s="34" t="s">
        <v>560</v>
      </c>
      <c r="D192" s="242" t="s">
        <v>561</v>
      </c>
      <c r="E192" s="41"/>
      <c r="H192" s="42"/>
      <c r="I192" s="73" t="s">
        <v>36</v>
      </c>
      <c r="K192" s="73"/>
      <c r="L192" s="73"/>
      <c r="M192" s="73" t="s">
        <v>562</v>
      </c>
      <c r="N192" s="33"/>
      <c r="O192" s="73"/>
      <c r="P192" s="73"/>
      <c r="U192" s="20" t="s">
        <v>37</v>
      </c>
      <c r="W192" s="126">
        <v>13.55</v>
      </c>
      <c r="X192" s="113">
        <f>'Additional information'!$D$18</f>
        <v>60</v>
      </c>
      <c r="Y192" s="114">
        <f>IF(W192&lt;&gt;"",W192*X192,"")</f>
        <v>813</v>
      </c>
      <c r="Z192" s="114"/>
    </row>
    <row r="193" spans="1:27" ht="16" customHeight="1" x14ac:dyDescent="0.2">
      <c r="A193" s="28" t="s">
        <v>563</v>
      </c>
      <c r="B193" s="28" t="s">
        <v>564</v>
      </c>
      <c r="C193" s="19" t="s">
        <v>565</v>
      </c>
      <c r="D193" s="242" t="s">
        <v>566</v>
      </c>
      <c r="E193" s="41"/>
      <c r="H193" s="42"/>
      <c r="I193" s="73" t="s">
        <v>36</v>
      </c>
      <c r="J193" s="71" t="s">
        <v>144</v>
      </c>
      <c r="K193" s="73"/>
      <c r="L193" s="73"/>
      <c r="M193" s="73" t="s">
        <v>567</v>
      </c>
      <c r="N193" s="73" t="s">
        <v>533</v>
      </c>
      <c r="O193" s="73"/>
      <c r="P193" s="73"/>
      <c r="U193" s="20" t="s">
        <v>37</v>
      </c>
      <c r="W193" s="126">
        <v>13.55</v>
      </c>
      <c r="X193" s="113">
        <f>'Additional information'!$D$18</f>
        <v>60</v>
      </c>
      <c r="Y193" s="114">
        <f>IF(W193&lt;&gt;"",W193*X193,"")</f>
        <v>813</v>
      </c>
      <c r="Z193" s="114"/>
    </row>
    <row r="194" spans="1:27" x14ac:dyDescent="0.2">
      <c r="A194" s="28" t="s">
        <v>26</v>
      </c>
      <c r="B194" s="28" t="s">
        <v>568</v>
      </c>
      <c r="C194" s="19"/>
      <c r="D194" s="19"/>
      <c r="E194" s="41"/>
      <c r="H194" s="42"/>
      <c r="I194" s="73"/>
      <c r="J194" s="73"/>
      <c r="K194" s="73"/>
      <c r="L194" s="73"/>
      <c r="M194" s="73"/>
      <c r="N194" s="73"/>
      <c r="O194" s="73"/>
      <c r="P194" s="73" t="s">
        <v>569</v>
      </c>
      <c r="U194" s="20" t="s">
        <v>37</v>
      </c>
      <c r="W194" s="126"/>
      <c r="X194" s="113">
        <f>'Additional information'!$D$18</f>
        <v>60</v>
      </c>
      <c r="Y194" s="114"/>
      <c r="Z194" s="114"/>
    </row>
    <row r="195" spans="1:27" x14ac:dyDescent="0.2">
      <c r="A195" s="28" t="s">
        <v>26</v>
      </c>
      <c r="B195" s="28" t="s">
        <v>570</v>
      </c>
      <c r="C195" s="19"/>
      <c r="D195" s="19"/>
      <c r="E195" s="41"/>
      <c r="H195" s="42"/>
      <c r="I195" s="73"/>
      <c r="J195" s="73"/>
      <c r="K195" s="73"/>
      <c r="L195" s="73"/>
      <c r="M195" s="73"/>
      <c r="N195" s="73"/>
      <c r="O195" s="73"/>
      <c r="P195" s="73" t="s">
        <v>571</v>
      </c>
      <c r="U195" s="20" t="s">
        <v>37</v>
      </c>
      <c r="W195" s="126"/>
      <c r="X195" s="113">
        <f>'Additional information'!$D$18</f>
        <v>60</v>
      </c>
      <c r="Y195" s="114"/>
      <c r="Z195" s="114"/>
    </row>
    <row r="196" spans="1:27" x14ac:dyDescent="0.2">
      <c r="E196" s="41"/>
      <c r="H196" s="42"/>
      <c r="W196" s="126"/>
      <c r="X196" s="113">
        <f>'Additional information'!$D$18</f>
        <v>60</v>
      </c>
      <c r="Y196" s="114"/>
      <c r="Z196" s="114"/>
    </row>
    <row r="197" spans="1:27" ht="32" customHeight="1" x14ac:dyDescent="0.2">
      <c r="A197" s="28" t="s">
        <v>171</v>
      </c>
      <c r="B197" s="28" t="s">
        <v>572</v>
      </c>
      <c r="C197" s="19" t="s">
        <v>573</v>
      </c>
      <c r="D197" s="19" t="s">
        <v>574</v>
      </c>
      <c r="E197" s="41"/>
      <c r="F197" s="53"/>
      <c r="G197" s="53"/>
      <c r="H197" s="59"/>
      <c r="I197" s="71" t="s">
        <v>36</v>
      </c>
      <c r="J197" s="71"/>
      <c r="K197" s="71"/>
      <c r="L197" s="71"/>
      <c r="M197" s="71" t="s">
        <v>575</v>
      </c>
      <c r="N197" s="71"/>
      <c r="O197" s="71"/>
      <c r="P197" s="71"/>
      <c r="U197" s="20" t="s">
        <v>37</v>
      </c>
      <c r="W197" s="126">
        <v>12.68148708343506</v>
      </c>
      <c r="X197" s="113">
        <f>'Additional information'!$D$18</f>
        <v>60</v>
      </c>
      <c r="Y197" s="114">
        <f t="shared" ref="Y197:Y219" si="8">IF(W197&lt;&gt;"",W197*X197,"")</f>
        <v>760.88922500610363</v>
      </c>
      <c r="Z197" s="114">
        <f t="shared" ref="Z197:Z219" si="9">IF(AND(W197&lt;&gt;"",U197="yes"),W197*X197,"")</f>
        <v>760.88922500610363</v>
      </c>
    </row>
    <row r="198" spans="1:27" ht="32" customHeight="1" x14ac:dyDescent="0.2">
      <c r="A198" s="28" t="s">
        <v>576</v>
      </c>
      <c r="B198" s="28" t="s">
        <v>577</v>
      </c>
      <c r="C198" s="34" t="s">
        <v>578</v>
      </c>
      <c r="D198" s="19" t="s">
        <v>579</v>
      </c>
      <c r="E198" s="52"/>
      <c r="F198" s="20" t="s">
        <v>495</v>
      </c>
      <c r="G198" s="20" t="s">
        <v>580</v>
      </c>
      <c r="H198" s="42"/>
      <c r="I198" s="71" t="s">
        <v>36</v>
      </c>
      <c r="J198" s="71"/>
      <c r="K198" s="73" t="s">
        <v>581</v>
      </c>
      <c r="L198" s="71"/>
      <c r="M198" s="73" t="s">
        <v>582</v>
      </c>
      <c r="N198" s="71"/>
      <c r="O198" s="71"/>
      <c r="P198" s="71"/>
      <c r="U198" s="20" t="s">
        <v>37</v>
      </c>
      <c r="W198" s="126">
        <v>22.61360931396484</v>
      </c>
      <c r="X198" s="113">
        <f>'Additional information'!$D$18</f>
        <v>60</v>
      </c>
      <c r="Y198" s="114">
        <f t="shared" si="8"/>
        <v>1356.8165588378904</v>
      </c>
      <c r="Z198" s="114">
        <f t="shared" si="9"/>
        <v>1356.8165588378904</v>
      </c>
    </row>
    <row r="199" spans="1:27" x14ac:dyDescent="0.2">
      <c r="E199" s="41"/>
      <c r="H199" s="42"/>
      <c r="M199" s="83"/>
      <c r="W199" s="126"/>
      <c r="X199" s="113">
        <f>'Additional information'!$D$18</f>
        <v>60</v>
      </c>
      <c r="Y199" s="114" t="str">
        <f t="shared" si="8"/>
        <v/>
      </c>
      <c r="Z199" s="114" t="str">
        <f t="shared" si="9"/>
        <v/>
      </c>
    </row>
    <row r="200" spans="1:27" ht="32" customHeight="1" x14ac:dyDescent="0.2">
      <c r="A200" s="28" t="s">
        <v>280</v>
      </c>
      <c r="B200" s="28" t="s">
        <v>583</v>
      </c>
      <c r="C200" s="34" t="s">
        <v>584</v>
      </c>
      <c r="D200" s="19" t="s">
        <v>585</v>
      </c>
      <c r="E200" s="52"/>
      <c r="F200" s="60" t="s">
        <v>586</v>
      </c>
      <c r="G200" s="60" t="s">
        <v>587</v>
      </c>
      <c r="H200" s="59"/>
      <c r="I200" s="71" t="s">
        <v>36</v>
      </c>
      <c r="J200" s="71"/>
      <c r="K200" s="71"/>
      <c r="L200" s="71"/>
      <c r="M200" s="73" t="s">
        <v>575</v>
      </c>
      <c r="N200" s="71"/>
      <c r="O200" s="71"/>
      <c r="P200" s="71"/>
      <c r="U200" s="20" t="s">
        <v>37</v>
      </c>
      <c r="W200" s="126">
        <v>21.701908111572269</v>
      </c>
      <c r="X200" s="113">
        <f>'Additional information'!$D$18</f>
        <v>60</v>
      </c>
      <c r="Y200" s="114">
        <f t="shared" si="8"/>
        <v>1302.1144866943362</v>
      </c>
      <c r="Z200" s="114">
        <f t="shared" si="9"/>
        <v>1302.1144866943362</v>
      </c>
    </row>
    <row r="201" spans="1:27" x14ac:dyDescent="0.2">
      <c r="C201" s="22"/>
      <c r="D201" s="22"/>
      <c r="E201" s="52"/>
      <c r="F201" s="53"/>
      <c r="G201" s="53"/>
      <c r="H201" s="59"/>
      <c r="M201" s="83"/>
      <c r="W201" s="126"/>
      <c r="X201" s="113">
        <f>'Additional information'!$D$18</f>
        <v>60</v>
      </c>
      <c r="Y201" s="114" t="str">
        <f t="shared" si="8"/>
        <v/>
      </c>
      <c r="Z201" s="114" t="str">
        <f t="shared" si="9"/>
        <v/>
      </c>
    </row>
    <row r="202" spans="1:27" ht="16" customHeight="1" thickBot="1" x14ac:dyDescent="0.25">
      <c r="A202" s="55" t="s">
        <v>89</v>
      </c>
      <c r="B202" s="55"/>
      <c r="C202" s="56"/>
      <c r="D202" s="56"/>
      <c r="E202" s="63"/>
      <c r="F202" s="55"/>
      <c r="G202" s="55"/>
      <c r="H202" s="64"/>
      <c r="I202" s="84"/>
      <c r="J202" s="84"/>
      <c r="K202" s="84"/>
      <c r="L202" s="84"/>
      <c r="M202" s="84"/>
      <c r="N202" s="84"/>
      <c r="O202" s="84"/>
      <c r="P202" s="84"/>
      <c r="W202" s="126"/>
      <c r="Y202" s="114" t="str">
        <f t="shared" si="8"/>
        <v/>
      </c>
      <c r="Z202" s="114" t="str">
        <f t="shared" si="9"/>
        <v/>
      </c>
    </row>
    <row r="203" spans="1:27" s="26" customFormat="1" ht="17" customHeight="1" thickTop="1" x14ac:dyDescent="0.2">
      <c r="A203" s="23" t="s">
        <v>60</v>
      </c>
      <c r="B203" s="23" t="s">
        <v>588</v>
      </c>
      <c r="C203" s="47" t="s">
        <v>589</v>
      </c>
      <c r="D203" s="47" t="s">
        <v>590</v>
      </c>
      <c r="E203" s="24"/>
      <c r="F203" s="23"/>
      <c r="G203" s="23"/>
      <c r="H203" s="25"/>
      <c r="I203" s="76" t="s">
        <v>55</v>
      </c>
      <c r="J203" s="76"/>
      <c r="K203" s="76"/>
      <c r="L203" s="76"/>
      <c r="M203" s="77" t="s">
        <v>591</v>
      </c>
      <c r="N203" s="76"/>
      <c r="O203" s="76"/>
      <c r="P203" s="76"/>
      <c r="U203" s="20" t="s">
        <v>37</v>
      </c>
      <c r="W203" s="126"/>
      <c r="X203" s="27"/>
      <c r="Y203" s="114" t="str">
        <f t="shared" si="8"/>
        <v/>
      </c>
      <c r="Z203" s="114" t="str">
        <f t="shared" si="9"/>
        <v/>
      </c>
      <c r="AA203" s="27"/>
    </row>
    <row r="204" spans="1:27" ht="48" customHeight="1" x14ac:dyDescent="0.2">
      <c r="A204" s="28" t="s">
        <v>63</v>
      </c>
      <c r="B204" s="28" t="s">
        <v>592</v>
      </c>
      <c r="C204" s="19" t="s">
        <v>593</v>
      </c>
      <c r="D204" s="19" t="s">
        <v>594</v>
      </c>
      <c r="E204" s="41"/>
      <c r="F204" s="28"/>
      <c r="G204" s="28"/>
      <c r="H204" s="42"/>
      <c r="I204" s="71"/>
      <c r="J204" s="71"/>
      <c r="K204" s="71"/>
      <c r="L204" s="71"/>
      <c r="M204" s="71"/>
      <c r="N204" s="71"/>
      <c r="O204" s="71"/>
      <c r="P204" s="71"/>
      <c r="U204" s="20" t="s">
        <v>37</v>
      </c>
      <c r="W204" s="126">
        <v>7.5</v>
      </c>
      <c r="X204" s="61">
        <f>'Additional information'!$D$19</f>
        <v>0.2</v>
      </c>
      <c r="Y204" s="114">
        <f t="shared" si="8"/>
        <v>1.5</v>
      </c>
      <c r="Z204" s="114">
        <f t="shared" si="9"/>
        <v>1.5</v>
      </c>
    </row>
    <row r="205" spans="1:27" s="26" customFormat="1" x14ac:dyDescent="0.2">
      <c r="C205" s="48"/>
      <c r="D205" s="21"/>
      <c r="E205" s="24"/>
      <c r="H205" s="25"/>
      <c r="I205" s="77"/>
      <c r="J205" s="77"/>
      <c r="K205" s="77"/>
      <c r="L205" s="77"/>
      <c r="M205" s="77"/>
      <c r="N205" s="77"/>
      <c r="O205" s="77"/>
      <c r="P205" s="77"/>
      <c r="U205" s="20"/>
      <c r="W205" s="126"/>
      <c r="X205" s="61">
        <f>'Additional information'!$D$19</f>
        <v>0.2</v>
      </c>
      <c r="Y205" s="114" t="str">
        <f t="shared" si="8"/>
        <v/>
      </c>
      <c r="Z205" s="114" t="str">
        <f t="shared" si="9"/>
        <v/>
      </c>
      <c r="AA205" s="27"/>
    </row>
    <row r="206" spans="1:27" ht="32" customHeight="1" x14ac:dyDescent="0.2">
      <c r="A206" s="28" t="s">
        <v>595</v>
      </c>
      <c r="B206" s="28" t="s">
        <v>596</v>
      </c>
      <c r="C206" s="19" t="s">
        <v>597</v>
      </c>
      <c r="D206" s="19" t="s">
        <v>598</v>
      </c>
      <c r="E206" s="41"/>
      <c r="F206" s="20" t="s">
        <v>599</v>
      </c>
      <c r="G206" s="20" t="s">
        <v>600</v>
      </c>
      <c r="H206" s="42"/>
      <c r="I206" s="71" t="s">
        <v>36</v>
      </c>
      <c r="J206" s="71" t="s">
        <v>242</v>
      </c>
      <c r="K206" s="71"/>
      <c r="L206" s="71"/>
      <c r="M206" s="71"/>
      <c r="N206" s="71"/>
      <c r="O206" s="71"/>
      <c r="P206" s="71"/>
      <c r="U206" s="20" t="s">
        <v>37</v>
      </c>
      <c r="W206" s="126">
        <v>20.2944221496582</v>
      </c>
      <c r="X206" s="61">
        <f>'Additional information'!$D$19</f>
        <v>0.2</v>
      </c>
      <c r="Y206" s="114">
        <f t="shared" si="8"/>
        <v>4.0588844299316404</v>
      </c>
      <c r="Z206" s="114">
        <f t="shared" si="9"/>
        <v>4.0588844299316404</v>
      </c>
    </row>
    <row r="207" spans="1:27" x14ac:dyDescent="0.2">
      <c r="A207" s="28" t="s">
        <v>26</v>
      </c>
      <c r="B207" s="28" t="s">
        <v>601</v>
      </c>
      <c r="C207" s="19"/>
      <c r="D207" s="19"/>
      <c r="E207" s="41"/>
      <c r="H207" s="42"/>
      <c r="I207" s="71"/>
      <c r="J207" s="71"/>
      <c r="K207" s="71"/>
      <c r="L207" s="71"/>
      <c r="M207" s="71"/>
      <c r="N207" s="71"/>
      <c r="O207" s="71"/>
      <c r="P207" s="71" t="s">
        <v>602</v>
      </c>
      <c r="U207" s="20" t="s">
        <v>37</v>
      </c>
      <c r="W207" s="126"/>
      <c r="X207" s="61">
        <f>'Additional information'!$D$19</f>
        <v>0.2</v>
      </c>
      <c r="Y207" s="114" t="str">
        <f t="shared" si="8"/>
        <v/>
      </c>
      <c r="Z207" s="114" t="str">
        <f t="shared" si="9"/>
        <v/>
      </c>
    </row>
    <row r="208" spans="1:27" x14ac:dyDescent="0.2">
      <c r="E208" s="41"/>
      <c r="H208" s="42"/>
      <c r="M208" s="83"/>
      <c r="W208" s="126"/>
      <c r="X208" s="61">
        <f>'Additional information'!$D$19</f>
        <v>0.2</v>
      </c>
      <c r="Y208" s="114" t="str">
        <f t="shared" si="8"/>
        <v/>
      </c>
      <c r="Z208" s="114" t="str">
        <f t="shared" si="9"/>
        <v/>
      </c>
    </row>
    <row r="209" spans="1:27" ht="16" customHeight="1" x14ac:dyDescent="0.2">
      <c r="A209" s="28" t="s">
        <v>104</v>
      </c>
      <c r="B209" s="28" t="s">
        <v>603</v>
      </c>
      <c r="C209" s="19" t="s">
        <v>604</v>
      </c>
      <c r="D209" s="19" t="s">
        <v>605</v>
      </c>
      <c r="E209" s="41"/>
      <c r="F209" s="28" t="s">
        <v>606</v>
      </c>
      <c r="G209" s="28" t="s">
        <v>607</v>
      </c>
      <c r="H209" s="42"/>
      <c r="I209" s="71" t="s">
        <v>36</v>
      </c>
      <c r="J209" s="71"/>
      <c r="K209" s="71" t="s">
        <v>608</v>
      </c>
      <c r="L209" s="71"/>
      <c r="M209" s="71" t="s">
        <v>609</v>
      </c>
      <c r="N209" s="71"/>
      <c r="O209" s="71"/>
      <c r="P209" s="71"/>
      <c r="U209" s="20" t="s">
        <v>37</v>
      </c>
      <c r="W209" s="126">
        <v>18.539077758789059</v>
      </c>
      <c r="X209" s="61">
        <f>'Additional information'!$D$19</f>
        <v>0.2</v>
      </c>
      <c r="Y209" s="114">
        <f t="shared" si="8"/>
        <v>3.707815551757812</v>
      </c>
      <c r="Z209" s="114">
        <f t="shared" si="9"/>
        <v>3.707815551757812</v>
      </c>
    </row>
    <row r="210" spans="1:27" ht="16" customHeight="1" x14ac:dyDescent="0.2">
      <c r="A210" s="28" t="s">
        <v>104</v>
      </c>
      <c r="B210" s="28" t="s">
        <v>610</v>
      </c>
      <c r="C210" s="19" t="s">
        <v>611</v>
      </c>
      <c r="D210" s="19" t="s">
        <v>612</v>
      </c>
      <c r="E210" s="41"/>
      <c r="F210" s="28" t="s">
        <v>606</v>
      </c>
      <c r="G210" s="28" t="s">
        <v>607</v>
      </c>
      <c r="H210" s="42"/>
      <c r="I210" s="71" t="s">
        <v>36</v>
      </c>
      <c r="J210" s="71"/>
      <c r="K210" s="71" t="s">
        <v>608</v>
      </c>
      <c r="L210" s="71"/>
      <c r="M210" s="71" t="s">
        <v>609</v>
      </c>
      <c r="N210" s="71"/>
      <c r="O210" s="71"/>
      <c r="P210" s="71"/>
      <c r="U210" s="20" t="s">
        <v>37</v>
      </c>
      <c r="W210" s="126">
        <v>8.9158916473388672</v>
      </c>
      <c r="X210" s="61">
        <f>'Additional information'!$D$19</f>
        <v>0.2</v>
      </c>
      <c r="Y210" s="114">
        <f t="shared" si="8"/>
        <v>1.7831783294677734</v>
      </c>
      <c r="Z210" s="114">
        <f t="shared" si="9"/>
        <v>1.7831783294677734</v>
      </c>
    </row>
    <row r="211" spans="1:27" ht="16" customHeight="1" x14ac:dyDescent="0.2">
      <c r="A211" s="28" t="s">
        <v>26</v>
      </c>
      <c r="B211" s="28" t="s">
        <v>613</v>
      </c>
      <c r="C211" s="19" t="s">
        <v>614</v>
      </c>
      <c r="D211" s="19" t="s">
        <v>615</v>
      </c>
      <c r="E211" s="41"/>
      <c r="F211" s="28"/>
      <c r="G211" s="28"/>
      <c r="H211" s="42"/>
      <c r="I211" s="71" t="s">
        <v>36</v>
      </c>
      <c r="J211" s="71"/>
      <c r="K211" s="71"/>
      <c r="L211" s="71"/>
      <c r="M211" s="71" t="s">
        <v>616</v>
      </c>
      <c r="N211" s="71"/>
      <c r="O211" s="71"/>
      <c r="P211" s="71" t="s">
        <v>617</v>
      </c>
      <c r="U211" s="20" t="s">
        <v>37</v>
      </c>
      <c r="W211" s="126"/>
      <c r="X211" s="61">
        <f>'Additional information'!$D$19</f>
        <v>0.2</v>
      </c>
      <c r="Y211" s="114" t="str">
        <f t="shared" si="8"/>
        <v/>
      </c>
      <c r="Z211" s="114" t="str">
        <f t="shared" si="9"/>
        <v/>
      </c>
    </row>
    <row r="212" spans="1:27" x14ac:dyDescent="0.2">
      <c r="E212" s="41"/>
      <c r="H212" s="42"/>
      <c r="W212" s="126"/>
      <c r="X212" s="61">
        <f>'Additional information'!$D$19</f>
        <v>0.2</v>
      </c>
      <c r="Y212" s="114" t="str">
        <f t="shared" si="8"/>
        <v/>
      </c>
      <c r="Z212" s="114" t="str">
        <f t="shared" si="9"/>
        <v/>
      </c>
    </row>
    <row r="213" spans="1:27" ht="16" customHeight="1" x14ac:dyDescent="0.2">
      <c r="A213" s="28" t="s">
        <v>618</v>
      </c>
      <c r="B213" s="28" t="s">
        <v>619</v>
      </c>
      <c r="C213" s="19" t="s">
        <v>620</v>
      </c>
      <c r="D213" s="19" t="s">
        <v>621</v>
      </c>
      <c r="E213" s="41"/>
      <c r="F213" s="20" t="s">
        <v>474</v>
      </c>
      <c r="G213" s="20" t="s">
        <v>475</v>
      </c>
      <c r="H213" s="42"/>
      <c r="I213" s="71" t="s">
        <v>36</v>
      </c>
      <c r="J213" s="71"/>
      <c r="K213" s="71" t="s">
        <v>622</v>
      </c>
      <c r="L213" s="71"/>
      <c r="M213" s="71" t="s">
        <v>609</v>
      </c>
      <c r="N213" s="71"/>
      <c r="O213" s="71"/>
      <c r="P213" s="71"/>
      <c r="U213" s="20" t="s">
        <v>37</v>
      </c>
      <c r="W213" s="126">
        <v>25.81001091003418</v>
      </c>
      <c r="X213" s="61">
        <f>'Additional information'!$D$19</f>
        <v>0.2</v>
      </c>
      <c r="Y213" s="114">
        <f t="shared" si="8"/>
        <v>5.1620021820068365</v>
      </c>
      <c r="Z213" s="114">
        <f t="shared" si="9"/>
        <v>5.1620021820068365</v>
      </c>
    </row>
    <row r="214" spans="1:27" x14ac:dyDescent="0.2">
      <c r="E214" s="41"/>
      <c r="H214" s="42"/>
      <c r="M214" s="83"/>
      <c r="W214" s="126"/>
      <c r="X214" s="61">
        <f>'Additional information'!$D$19</f>
        <v>0.2</v>
      </c>
      <c r="Y214" s="114" t="str">
        <f t="shared" si="8"/>
        <v/>
      </c>
      <c r="Z214" s="114" t="str">
        <f t="shared" si="9"/>
        <v/>
      </c>
    </row>
    <row r="215" spans="1:27" s="30" customFormat="1" ht="16" customHeight="1" x14ac:dyDescent="0.2">
      <c r="A215" s="30" t="s">
        <v>623</v>
      </c>
      <c r="B215" s="30" t="s">
        <v>624</v>
      </c>
      <c r="C215" s="31" t="s">
        <v>625</v>
      </c>
      <c r="D215" s="31" t="s">
        <v>626</v>
      </c>
      <c r="E215" s="32"/>
      <c r="F215" s="30" t="s">
        <v>474</v>
      </c>
      <c r="G215" s="30" t="s">
        <v>475</v>
      </c>
      <c r="H215" s="36"/>
      <c r="I215" s="72" t="s">
        <v>36</v>
      </c>
      <c r="J215" s="72"/>
      <c r="K215" s="72" t="s">
        <v>581</v>
      </c>
      <c r="L215" s="72"/>
      <c r="M215" s="72" t="s">
        <v>609</v>
      </c>
      <c r="N215" s="72"/>
      <c r="O215" s="72"/>
      <c r="P215" s="72"/>
      <c r="U215" s="30" t="s">
        <v>51</v>
      </c>
      <c r="W215" s="126">
        <v>19.55319786071777</v>
      </c>
      <c r="X215" s="61">
        <f>'Additional information'!$D$19</f>
        <v>0.2</v>
      </c>
      <c r="Y215" s="114">
        <f t="shared" si="8"/>
        <v>3.9106395721435541</v>
      </c>
      <c r="Z215" s="114" t="str">
        <f t="shared" si="9"/>
        <v/>
      </c>
      <c r="AA215" s="29"/>
    </row>
    <row r="216" spans="1:27" s="30" customFormat="1" x14ac:dyDescent="0.2">
      <c r="C216" s="31"/>
      <c r="D216" s="259"/>
      <c r="E216" s="32"/>
      <c r="H216" s="36"/>
      <c r="I216" s="72"/>
      <c r="J216" s="72"/>
      <c r="K216" s="72"/>
      <c r="L216" s="72"/>
      <c r="M216" s="72"/>
      <c r="N216" s="72"/>
      <c r="O216" s="72"/>
      <c r="P216" s="72"/>
      <c r="W216" s="126"/>
      <c r="X216" s="61">
        <f>'Additional information'!$D$19</f>
        <v>0.2</v>
      </c>
      <c r="Y216" s="114" t="str">
        <f t="shared" si="8"/>
        <v/>
      </c>
      <c r="Z216" s="114" t="str">
        <f t="shared" si="9"/>
        <v/>
      </c>
      <c r="AA216" s="29"/>
    </row>
    <row r="217" spans="1:27" ht="32" customHeight="1" x14ac:dyDescent="0.2">
      <c r="A217" s="28" t="s">
        <v>171</v>
      </c>
      <c r="B217" s="28" t="s">
        <v>627</v>
      </c>
      <c r="C217" s="19" t="s">
        <v>628</v>
      </c>
      <c r="D217" s="19" t="s">
        <v>629</v>
      </c>
      <c r="E217" s="41"/>
      <c r="H217" s="42"/>
      <c r="I217" s="71" t="s">
        <v>36</v>
      </c>
      <c r="J217" s="71"/>
      <c r="K217" s="71"/>
      <c r="L217" s="71"/>
      <c r="M217" s="73" t="s">
        <v>609</v>
      </c>
      <c r="N217" s="71"/>
      <c r="O217" s="71"/>
      <c r="P217" s="71"/>
      <c r="U217" s="20" t="s">
        <v>37</v>
      </c>
      <c r="W217" s="126">
        <v>13.613316535949711</v>
      </c>
      <c r="X217" s="61">
        <f>'Additional information'!$D$19</f>
        <v>0.2</v>
      </c>
      <c r="Y217" s="114">
        <f t="shared" si="8"/>
        <v>2.7226633071899422</v>
      </c>
      <c r="Z217" s="114">
        <f t="shared" si="9"/>
        <v>2.7226633071899422</v>
      </c>
    </row>
    <row r="218" spans="1:27" ht="32" customHeight="1" x14ac:dyDescent="0.2">
      <c r="A218" s="28" t="s">
        <v>630</v>
      </c>
      <c r="B218" s="28" t="s">
        <v>631</v>
      </c>
      <c r="C218" s="19" t="s">
        <v>632</v>
      </c>
      <c r="D218" s="19" t="s">
        <v>633</v>
      </c>
      <c r="E218" s="41"/>
      <c r="F218" s="20" t="s">
        <v>495</v>
      </c>
      <c r="G218" s="20" t="s">
        <v>580</v>
      </c>
      <c r="H218" s="42"/>
      <c r="I218" s="71" t="s">
        <v>36</v>
      </c>
      <c r="J218" s="71"/>
      <c r="K218" s="73" t="s">
        <v>581</v>
      </c>
      <c r="L218" s="71"/>
      <c r="M218" s="73" t="s">
        <v>634</v>
      </c>
      <c r="N218" s="71"/>
      <c r="O218" s="71"/>
      <c r="P218" s="71"/>
      <c r="U218" s="20" t="s">
        <v>37</v>
      </c>
      <c r="W218" s="126">
        <v>27.754648208618161</v>
      </c>
      <c r="X218" s="61">
        <f>'Additional information'!$D$19</f>
        <v>0.2</v>
      </c>
      <c r="Y218" s="114">
        <f t="shared" si="8"/>
        <v>5.5509296417236325</v>
      </c>
      <c r="Z218" s="114">
        <f t="shared" si="9"/>
        <v>5.5509296417236325</v>
      </c>
    </row>
    <row r="219" spans="1:27" x14ac:dyDescent="0.2">
      <c r="E219" s="41"/>
      <c r="H219" s="42"/>
      <c r="M219" s="83"/>
      <c r="W219" s="126"/>
      <c r="X219" s="61">
        <f>'Additional information'!$D$19</f>
        <v>0.2</v>
      </c>
      <c r="Y219" s="114" t="str">
        <f t="shared" si="8"/>
        <v/>
      </c>
      <c r="Z219" s="114" t="str">
        <f t="shared" si="9"/>
        <v/>
      </c>
    </row>
    <row r="220" spans="1:27" s="143" customFormat="1" ht="80" customHeight="1" x14ac:dyDescent="0.2">
      <c r="A220" s="295" t="s">
        <v>635</v>
      </c>
      <c r="B220" s="295" t="s">
        <v>636</v>
      </c>
      <c r="C220" s="295"/>
      <c r="D220" s="295" t="s">
        <v>500</v>
      </c>
      <c r="E220" s="295"/>
      <c r="F220" s="295"/>
      <c r="G220" s="295"/>
      <c r="H220" s="295"/>
      <c r="I220" s="295" t="s">
        <v>36</v>
      </c>
      <c r="J220" s="295"/>
      <c r="K220" s="295"/>
      <c r="L220" s="295"/>
      <c r="M220" s="295" t="s">
        <v>637</v>
      </c>
      <c r="N220" s="297"/>
      <c r="O220" s="297"/>
      <c r="P220" s="297"/>
      <c r="W220" s="292"/>
      <c r="X220" s="302"/>
      <c r="Y220" s="292"/>
      <c r="Z220" s="292"/>
      <c r="AA220" s="294"/>
    </row>
    <row r="221" spans="1:27" s="30" customFormat="1" ht="16" customHeight="1" x14ac:dyDescent="0.2">
      <c r="A221" s="30" t="s">
        <v>638</v>
      </c>
      <c r="B221" s="30" t="s">
        <v>639</v>
      </c>
      <c r="C221" s="31" t="s">
        <v>640</v>
      </c>
      <c r="D221" s="31" t="s">
        <v>641</v>
      </c>
      <c r="E221" s="32"/>
      <c r="F221" s="30" t="s">
        <v>642</v>
      </c>
      <c r="G221" s="30" t="s">
        <v>643</v>
      </c>
      <c r="H221" s="36"/>
      <c r="I221" s="72" t="s">
        <v>36</v>
      </c>
      <c r="J221" s="72" t="s">
        <v>242</v>
      </c>
      <c r="K221" s="72" t="s">
        <v>644</v>
      </c>
      <c r="L221" s="72"/>
      <c r="M221" s="72" t="s">
        <v>609</v>
      </c>
      <c r="N221" s="72" t="s">
        <v>645</v>
      </c>
      <c r="O221" s="78"/>
      <c r="P221" s="78"/>
      <c r="Q221" s="20"/>
      <c r="U221" s="30" t="s">
        <v>51</v>
      </c>
      <c r="W221" s="126">
        <v>17</v>
      </c>
      <c r="X221" s="61">
        <f>'Additional information'!$D$19</f>
        <v>0.2</v>
      </c>
      <c r="Y221" s="114">
        <f>IF(W221&lt;&gt;"",W221*X221,"")</f>
        <v>3.4000000000000004</v>
      </c>
      <c r="Z221" s="114" t="str">
        <f>IF(AND(W221&lt;&gt;"",U221="yes"),W221*X221,"")</f>
        <v/>
      </c>
      <c r="AA221" s="29"/>
    </row>
    <row r="222" spans="1:27" x14ac:dyDescent="0.2">
      <c r="E222" s="41"/>
      <c r="H222" s="42"/>
      <c r="M222" s="83"/>
      <c r="W222" s="126"/>
      <c r="X222" s="61">
        <f>'Additional information'!$D$19</f>
        <v>0.2</v>
      </c>
      <c r="Y222" s="114" t="str">
        <f>IF(W222&lt;&gt;"",W222*X222,"")</f>
        <v/>
      </c>
      <c r="Z222" s="114" t="str">
        <f>IF(AND(W222&lt;&gt;"",U222="yes"),W222*X222,"")</f>
        <v/>
      </c>
    </row>
    <row r="223" spans="1:27" s="143" customFormat="1" ht="144" customHeight="1" x14ac:dyDescent="0.2">
      <c r="A223" s="295" t="s">
        <v>171</v>
      </c>
      <c r="B223" s="295" t="s">
        <v>646</v>
      </c>
      <c r="C223" s="295" t="s">
        <v>538</v>
      </c>
      <c r="D223" s="295" t="s">
        <v>647</v>
      </c>
      <c r="E223" s="295"/>
      <c r="F223" s="295"/>
      <c r="G223" s="295"/>
      <c r="H223" s="295"/>
      <c r="I223" s="295" t="s">
        <v>36</v>
      </c>
      <c r="J223" s="295"/>
      <c r="K223" s="295"/>
      <c r="L223" s="295"/>
      <c r="M223" s="295" t="s">
        <v>248</v>
      </c>
      <c r="N223" s="242"/>
      <c r="O223" s="242"/>
      <c r="P223" s="242"/>
      <c r="W223" s="292"/>
      <c r="X223" s="293"/>
      <c r="Y223" s="292"/>
      <c r="Z223" s="292"/>
      <c r="AA223" s="294"/>
    </row>
    <row r="224" spans="1:27" s="143" customFormat="1" ht="32" customHeight="1" x14ac:dyDescent="0.2">
      <c r="A224" s="295" t="s">
        <v>508</v>
      </c>
      <c r="B224" s="295" t="s">
        <v>648</v>
      </c>
      <c r="C224" s="295"/>
      <c r="D224" s="295" t="s">
        <v>649</v>
      </c>
      <c r="E224" s="295"/>
      <c r="F224" s="295"/>
      <c r="G224" s="295"/>
      <c r="H224" s="295"/>
      <c r="I224" s="295" t="s">
        <v>36</v>
      </c>
      <c r="J224" s="295"/>
      <c r="K224" s="295"/>
      <c r="L224" s="295"/>
      <c r="M224" s="295" t="s">
        <v>544</v>
      </c>
      <c r="N224" s="242"/>
      <c r="O224" s="242"/>
      <c r="P224" s="242"/>
      <c r="W224" s="292"/>
      <c r="X224" s="293"/>
      <c r="Y224" s="292"/>
      <c r="Z224" s="292"/>
      <c r="AA224" s="294"/>
    </row>
    <row r="225" spans="1:27" s="143" customFormat="1" ht="32" customHeight="1" x14ac:dyDescent="0.2">
      <c r="A225" s="295" t="s">
        <v>104</v>
      </c>
      <c r="B225" s="295" t="s">
        <v>650</v>
      </c>
      <c r="C225" s="295"/>
      <c r="D225" s="295" t="s">
        <v>651</v>
      </c>
      <c r="E225" s="295"/>
      <c r="F225" s="295"/>
      <c r="G225" s="295"/>
      <c r="H225" s="295"/>
      <c r="I225" s="295" t="s">
        <v>36</v>
      </c>
      <c r="J225" s="295"/>
      <c r="K225" s="295" t="s">
        <v>550</v>
      </c>
      <c r="L225" s="295"/>
      <c r="M225" s="295" t="s">
        <v>544</v>
      </c>
      <c r="N225" s="242"/>
      <c r="O225" s="242"/>
      <c r="P225" s="242"/>
      <c r="W225" s="292"/>
      <c r="X225" s="293"/>
      <c r="Y225" s="292"/>
      <c r="Z225" s="292"/>
      <c r="AA225" s="294"/>
    </row>
    <row r="226" spans="1:27" s="143" customFormat="1" ht="32" customHeight="1" x14ac:dyDescent="0.2">
      <c r="A226" s="295" t="s">
        <v>104</v>
      </c>
      <c r="B226" s="295" t="s">
        <v>652</v>
      </c>
      <c r="C226" s="295"/>
      <c r="D226" s="295" t="s">
        <v>653</v>
      </c>
      <c r="E226" s="295"/>
      <c r="F226" s="295"/>
      <c r="G226" s="295"/>
      <c r="H226" s="295"/>
      <c r="I226" s="295" t="s">
        <v>36</v>
      </c>
      <c r="J226" s="295"/>
      <c r="K226" s="295" t="s">
        <v>550</v>
      </c>
      <c r="L226" s="295"/>
      <c r="M226" s="295" t="s">
        <v>544</v>
      </c>
      <c r="N226" s="242"/>
      <c r="O226" s="242"/>
      <c r="P226" s="242"/>
      <c r="W226" s="292"/>
      <c r="X226" s="293"/>
      <c r="Y226" s="292"/>
      <c r="Z226" s="292"/>
      <c r="AA226" s="294"/>
    </row>
    <row r="227" spans="1:27" s="143" customFormat="1" ht="32" customHeight="1" x14ac:dyDescent="0.2">
      <c r="A227" s="295" t="s">
        <v>104</v>
      </c>
      <c r="B227" s="295" t="s">
        <v>654</v>
      </c>
      <c r="C227" s="295"/>
      <c r="D227" s="295" t="s">
        <v>655</v>
      </c>
      <c r="E227" s="295"/>
      <c r="F227" s="295"/>
      <c r="G227" s="295"/>
      <c r="H227" s="295"/>
      <c r="I227" s="295" t="s">
        <v>36</v>
      </c>
      <c r="J227" s="295"/>
      <c r="K227" s="295" t="s">
        <v>550</v>
      </c>
      <c r="L227" s="295"/>
      <c r="M227" s="295" t="s">
        <v>544</v>
      </c>
      <c r="N227" s="242"/>
      <c r="O227" s="242"/>
      <c r="P227" s="242"/>
      <c r="W227" s="292"/>
      <c r="X227" s="293"/>
      <c r="Y227" s="292"/>
      <c r="Z227" s="292"/>
      <c r="AA227" s="294"/>
    </row>
    <row r="228" spans="1:27" ht="16" customHeight="1" thickBot="1" x14ac:dyDescent="0.25">
      <c r="A228" s="55" t="s">
        <v>89</v>
      </c>
      <c r="B228" s="55"/>
      <c r="C228" s="56"/>
      <c r="D228" s="56"/>
      <c r="E228" s="63"/>
      <c r="F228" s="55"/>
      <c r="G228" s="55"/>
      <c r="H228" s="64"/>
      <c r="I228" s="84"/>
      <c r="J228" s="84"/>
      <c r="K228" s="84"/>
      <c r="L228" s="84"/>
      <c r="M228" s="84"/>
      <c r="N228" s="84"/>
      <c r="O228" s="84"/>
      <c r="P228" s="84"/>
      <c r="W228" s="126"/>
      <c r="Y228" s="114" t="str">
        <f t="shared" ref="Y228:Y259" si="10">IF(W228&lt;&gt;"",W228*X228,"")</f>
        <v/>
      </c>
      <c r="Z228" s="114" t="str">
        <f t="shared" ref="Z228:Z259" si="11">IF(AND(W228&lt;&gt;"",U228="yes"),W228*X228,"")</f>
        <v/>
      </c>
    </row>
    <row r="229" spans="1:27" s="26" customFormat="1" ht="17" customHeight="1" thickTop="1" x14ac:dyDescent="0.2">
      <c r="A229" s="23" t="s">
        <v>60</v>
      </c>
      <c r="B229" s="23" t="s">
        <v>656</v>
      </c>
      <c r="C229" s="47" t="s">
        <v>657</v>
      </c>
      <c r="D229" s="47" t="s">
        <v>658</v>
      </c>
      <c r="E229" s="24"/>
      <c r="F229" s="23"/>
      <c r="G229" s="23"/>
      <c r="H229" s="25"/>
      <c r="I229" s="76" t="s">
        <v>55</v>
      </c>
      <c r="J229" s="76"/>
      <c r="K229" s="76"/>
      <c r="L229" s="76"/>
      <c r="M229" s="77" t="s">
        <v>659</v>
      </c>
      <c r="N229" s="76"/>
      <c r="O229" s="76"/>
      <c r="P229" s="76"/>
      <c r="U229" s="20" t="s">
        <v>37</v>
      </c>
      <c r="W229" s="126"/>
      <c r="X229" s="113"/>
      <c r="Y229" s="114" t="str">
        <f t="shared" si="10"/>
        <v/>
      </c>
      <c r="Z229" s="114" t="str">
        <f t="shared" si="11"/>
        <v/>
      </c>
      <c r="AA229" s="27"/>
    </row>
    <row r="230" spans="1:27" s="26" customFormat="1" x14ac:dyDescent="0.2">
      <c r="C230" s="48"/>
      <c r="D230" s="48"/>
      <c r="E230" s="24"/>
      <c r="H230" s="25"/>
      <c r="I230" s="77"/>
      <c r="J230" s="77"/>
      <c r="K230" s="77"/>
      <c r="L230" s="77"/>
      <c r="M230" s="77"/>
      <c r="N230" s="77"/>
      <c r="O230" s="77"/>
      <c r="P230" s="77"/>
      <c r="U230" s="20"/>
      <c r="W230" s="126"/>
      <c r="X230" s="61">
        <f>'Additional information'!$D$19</f>
        <v>0.2</v>
      </c>
      <c r="Y230" s="114" t="str">
        <f t="shared" si="10"/>
        <v/>
      </c>
      <c r="Z230" s="114" t="str">
        <f t="shared" si="11"/>
        <v/>
      </c>
      <c r="AA230" s="27"/>
    </row>
    <row r="231" spans="1:27" s="26" customFormat="1" ht="32" customHeight="1" x14ac:dyDescent="0.2">
      <c r="A231" s="28" t="s">
        <v>660</v>
      </c>
      <c r="B231" s="28" t="s">
        <v>661</v>
      </c>
      <c r="C231" s="19" t="s">
        <v>662</v>
      </c>
      <c r="D231" s="19" t="s">
        <v>663</v>
      </c>
      <c r="E231" s="41"/>
      <c r="F231" s="60"/>
      <c r="G231" s="60"/>
      <c r="H231" s="42"/>
      <c r="I231" s="71" t="s">
        <v>36</v>
      </c>
      <c r="J231" s="71" t="s">
        <v>242</v>
      </c>
      <c r="K231" s="76"/>
      <c r="L231" s="76"/>
      <c r="M231" s="76"/>
      <c r="N231" s="76"/>
      <c r="O231" s="76"/>
      <c r="P231" s="76"/>
      <c r="U231" s="20" t="s">
        <v>37</v>
      </c>
      <c r="W231" s="126">
        <v>13.99939060211182</v>
      </c>
      <c r="X231" s="61">
        <f>'Additional information'!$D$19</f>
        <v>0.2</v>
      </c>
      <c r="Y231" s="114">
        <f t="shared" si="10"/>
        <v>2.7998781204223642</v>
      </c>
      <c r="Z231" s="114">
        <f t="shared" si="11"/>
        <v>2.7998781204223642</v>
      </c>
      <c r="AA231" s="27"/>
    </row>
    <row r="232" spans="1:27" x14ac:dyDescent="0.2">
      <c r="A232" s="28" t="s">
        <v>26</v>
      </c>
      <c r="B232" s="28" t="s">
        <v>664</v>
      </c>
      <c r="C232" s="19"/>
      <c r="D232" s="19"/>
      <c r="E232" s="41"/>
      <c r="F232" s="28"/>
      <c r="G232" s="28"/>
      <c r="H232" s="42"/>
      <c r="I232" s="71"/>
      <c r="J232" s="71"/>
      <c r="K232" s="71"/>
      <c r="L232" s="71"/>
      <c r="M232" s="71"/>
      <c r="N232" s="71"/>
      <c r="O232" s="71"/>
      <c r="P232" s="71" t="s">
        <v>665</v>
      </c>
      <c r="U232" s="20" t="s">
        <v>37</v>
      </c>
      <c r="W232" s="126"/>
      <c r="X232" s="61">
        <f>'Additional information'!$D$19</f>
        <v>0.2</v>
      </c>
      <c r="Y232" s="114" t="str">
        <f t="shared" si="10"/>
        <v/>
      </c>
      <c r="Z232" s="114" t="str">
        <f t="shared" si="11"/>
        <v/>
      </c>
    </row>
    <row r="233" spans="1:27" x14ac:dyDescent="0.2">
      <c r="E233" s="41"/>
      <c r="H233" s="42"/>
      <c r="W233" s="126"/>
      <c r="X233" s="61">
        <f>'Additional information'!$D$19</f>
        <v>0.2</v>
      </c>
      <c r="Y233" s="114" t="str">
        <f t="shared" si="10"/>
        <v/>
      </c>
      <c r="Z233" s="114" t="str">
        <f t="shared" si="11"/>
        <v/>
      </c>
    </row>
    <row r="234" spans="1:27" ht="32" customHeight="1" x14ac:dyDescent="0.2">
      <c r="A234" s="28" t="s">
        <v>171</v>
      </c>
      <c r="B234" s="28" t="s">
        <v>666</v>
      </c>
      <c r="C234" s="19" t="s">
        <v>667</v>
      </c>
      <c r="D234" s="19" t="s">
        <v>668</v>
      </c>
      <c r="E234" s="41"/>
      <c r="H234" s="42"/>
      <c r="I234" s="71" t="s">
        <v>36</v>
      </c>
      <c r="J234" s="71"/>
      <c r="K234" s="71"/>
      <c r="L234" s="71"/>
      <c r="M234" s="71" t="s">
        <v>669</v>
      </c>
      <c r="N234" s="71"/>
      <c r="O234" s="71"/>
      <c r="P234" s="71"/>
      <c r="U234" s="20" t="s">
        <v>37</v>
      </c>
      <c r="W234" s="126">
        <v>10.25279426574707</v>
      </c>
      <c r="X234" s="61">
        <f>'Additional information'!$D$19</f>
        <v>0.2</v>
      </c>
      <c r="Y234" s="114">
        <f t="shared" si="10"/>
        <v>2.0505588531494143</v>
      </c>
      <c r="Z234" s="114">
        <f t="shared" si="11"/>
        <v>2.0505588531494143</v>
      </c>
    </row>
    <row r="235" spans="1:27" ht="32" customHeight="1" x14ac:dyDescent="0.2">
      <c r="A235" s="28" t="s">
        <v>670</v>
      </c>
      <c r="B235" s="28" t="s">
        <v>671</v>
      </c>
      <c r="C235" s="19" t="s">
        <v>672</v>
      </c>
      <c r="D235" s="19" t="s">
        <v>673</v>
      </c>
      <c r="E235" s="41"/>
      <c r="F235" s="20" t="s">
        <v>495</v>
      </c>
      <c r="G235" s="20" t="s">
        <v>580</v>
      </c>
      <c r="H235" s="42"/>
      <c r="I235" s="71" t="s">
        <v>36</v>
      </c>
      <c r="J235" s="71"/>
      <c r="K235" s="73" t="s">
        <v>581</v>
      </c>
      <c r="L235" s="73"/>
      <c r="M235" s="73" t="s">
        <v>674</v>
      </c>
      <c r="N235" s="71"/>
      <c r="O235" s="71"/>
      <c r="P235" s="71"/>
      <c r="U235" s="20" t="s">
        <v>37</v>
      </c>
      <c r="W235" s="126">
        <v>24.194343566894531</v>
      </c>
      <c r="X235" s="61">
        <f>'Additional information'!$D$19</f>
        <v>0.2</v>
      </c>
      <c r="Y235" s="114">
        <f t="shared" si="10"/>
        <v>4.8388687133789068</v>
      </c>
      <c r="Z235" s="114">
        <f t="shared" si="11"/>
        <v>4.8388687133789068</v>
      </c>
    </row>
    <row r="236" spans="1:27" x14ac:dyDescent="0.2">
      <c r="E236" s="41"/>
      <c r="H236" s="42"/>
      <c r="M236" s="83"/>
      <c r="W236" s="126"/>
      <c r="X236" s="61">
        <f>'Additional information'!$D$19</f>
        <v>0.2</v>
      </c>
      <c r="Y236" s="114" t="str">
        <f t="shared" si="10"/>
        <v/>
      </c>
      <c r="Z236" s="114" t="str">
        <f t="shared" si="11"/>
        <v/>
      </c>
    </row>
    <row r="237" spans="1:27" ht="32" customHeight="1" x14ac:dyDescent="0.2">
      <c r="A237" s="28" t="s">
        <v>280</v>
      </c>
      <c r="B237" s="28" t="s">
        <v>675</v>
      </c>
      <c r="C237" s="34" t="s">
        <v>676</v>
      </c>
      <c r="D237" s="19" t="s">
        <v>677</v>
      </c>
      <c r="E237" s="41"/>
      <c r="F237" s="28" t="s">
        <v>586</v>
      </c>
      <c r="G237" s="60" t="s">
        <v>678</v>
      </c>
      <c r="H237" s="42"/>
      <c r="I237" s="71" t="s">
        <v>36</v>
      </c>
      <c r="J237" s="71"/>
      <c r="K237" s="71"/>
      <c r="L237" s="71"/>
      <c r="M237" s="73" t="s">
        <v>669</v>
      </c>
      <c r="N237" s="71"/>
      <c r="O237" s="71"/>
      <c r="P237" s="71"/>
      <c r="U237" s="20" t="s">
        <v>37</v>
      </c>
      <c r="W237" s="126">
        <v>19.321737289428711</v>
      </c>
      <c r="X237" s="61">
        <f>'Additional information'!$D$19</f>
        <v>0.2</v>
      </c>
      <c r="Y237" s="114">
        <f t="shared" si="10"/>
        <v>3.8643474578857422</v>
      </c>
      <c r="Z237" s="114">
        <f t="shared" si="11"/>
        <v>3.8643474578857422</v>
      </c>
    </row>
    <row r="238" spans="1:27" x14ac:dyDescent="0.2">
      <c r="C238" s="22"/>
      <c r="D238" s="22"/>
      <c r="E238" s="41"/>
      <c r="H238" s="42"/>
      <c r="M238" s="83"/>
      <c r="W238" s="126"/>
      <c r="X238" s="61">
        <f>'Additional information'!$D$19</f>
        <v>0.2</v>
      </c>
      <c r="Y238" s="114" t="str">
        <f t="shared" si="10"/>
        <v/>
      </c>
      <c r="Z238" s="114" t="str">
        <f t="shared" si="11"/>
        <v/>
      </c>
    </row>
    <row r="239" spans="1:27" ht="16" customHeight="1" thickBot="1" x14ac:dyDescent="0.25">
      <c r="A239" s="55" t="s">
        <v>89</v>
      </c>
      <c r="B239" s="55"/>
      <c r="C239" s="56"/>
      <c r="D239" s="56"/>
      <c r="E239" s="63"/>
      <c r="F239" s="55"/>
      <c r="G239" s="55"/>
      <c r="H239" s="64"/>
      <c r="I239" s="84"/>
      <c r="J239" s="84"/>
      <c r="K239" s="84"/>
      <c r="L239" s="84"/>
      <c r="M239" s="84"/>
      <c r="N239" s="84"/>
      <c r="O239" s="84"/>
      <c r="P239" s="84"/>
      <c r="W239" s="126"/>
      <c r="Y239" s="114" t="str">
        <f t="shared" si="10"/>
        <v/>
      </c>
      <c r="Z239" s="114" t="str">
        <f t="shared" si="11"/>
        <v/>
      </c>
    </row>
    <row r="240" spans="1:27" s="26" customFormat="1" ht="17" customHeight="1" thickTop="1" x14ac:dyDescent="0.2">
      <c r="A240" s="23" t="s">
        <v>60</v>
      </c>
      <c r="B240" s="23" t="s">
        <v>679</v>
      </c>
      <c r="C240" s="47" t="s">
        <v>680</v>
      </c>
      <c r="D240" s="47" t="s">
        <v>681</v>
      </c>
      <c r="E240" s="24"/>
      <c r="F240" s="23"/>
      <c r="G240" s="23"/>
      <c r="H240" s="25"/>
      <c r="I240" s="76" t="s">
        <v>55</v>
      </c>
      <c r="J240" s="76"/>
      <c r="K240" s="76"/>
      <c r="L240" s="76"/>
      <c r="M240" s="77" t="s">
        <v>682</v>
      </c>
      <c r="N240" s="76"/>
      <c r="O240" s="76"/>
      <c r="P240" s="76"/>
      <c r="U240" s="20" t="s">
        <v>37</v>
      </c>
      <c r="W240" s="126"/>
      <c r="X240" s="27"/>
      <c r="Y240" s="114" t="str">
        <f t="shared" si="10"/>
        <v/>
      </c>
      <c r="Z240" s="114" t="str">
        <f t="shared" si="11"/>
        <v/>
      </c>
      <c r="AA240" s="27"/>
    </row>
    <row r="241" spans="1:27" s="29" customFormat="1" ht="48" customHeight="1" x14ac:dyDescent="0.2">
      <c r="A241" s="33" t="s">
        <v>63</v>
      </c>
      <c r="B241" s="33" t="s">
        <v>683</v>
      </c>
      <c r="C241" s="34" t="s">
        <v>684</v>
      </c>
      <c r="D241" s="34" t="s">
        <v>685</v>
      </c>
      <c r="E241" s="52"/>
      <c r="H241" s="54"/>
      <c r="I241" s="73"/>
      <c r="J241" s="73"/>
      <c r="K241" s="73"/>
      <c r="L241" s="73"/>
      <c r="M241" s="73"/>
      <c r="N241" s="73"/>
      <c r="O241" s="73"/>
      <c r="P241" s="73"/>
      <c r="U241" s="29" t="s">
        <v>37</v>
      </c>
      <c r="W241" s="126">
        <v>7.5</v>
      </c>
      <c r="X241" s="61">
        <f>'Additional information'!$D$20</f>
        <v>0.05</v>
      </c>
      <c r="Y241" s="114">
        <f t="shared" si="10"/>
        <v>0.375</v>
      </c>
      <c r="Z241" s="114">
        <f t="shared" si="11"/>
        <v>0.375</v>
      </c>
    </row>
    <row r="242" spans="1:27" s="26" customFormat="1" x14ac:dyDescent="0.2">
      <c r="C242" s="48"/>
      <c r="D242" s="22"/>
      <c r="E242" s="24"/>
      <c r="H242" s="25"/>
      <c r="I242" s="77"/>
      <c r="J242" s="77"/>
      <c r="K242" s="77"/>
      <c r="L242" s="77"/>
      <c r="M242" s="77"/>
      <c r="N242" s="77"/>
      <c r="O242" s="77"/>
      <c r="P242" s="77"/>
      <c r="U242" s="20"/>
      <c r="W242" s="126"/>
      <c r="X242" s="61">
        <f>'Additional information'!$D$20</f>
        <v>0.05</v>
      </c>
      <c r="Y242" s="114" t="str">
        <f t="shared" si="10"/>
        <v/>
      </c>
      <c r="Z242" s="114" t="str">
        <f t="shared" si="11"/>
        <v/>
      </c>
      <c r="AA242" s="27"/>
    </row>
    <row r="243" spans="1:27" ht="16" customHeight="1" x14ac:dyDescent="0.2">
      <c r="A243" s="28" t="s">
        <v>686</v>
      </c>
      <c r="B243" s="28" t="s">
        <v>687</v>
      </c>
      <c r="C243" s="19" t="s">
        <v>688</v>
      </c>
      <c r="D243" s="34" t="s">
        <v>689</v>
      </c>
      <c r="E243" s="41"/>
      <c r="F243" s="20" t="s">
        <v>690</v>
      </c>
      <c r="G243" s="20" t="s">
        <v>475</v>
      </c>
      <c r="H243" s="42"/>
      <c r="I243" s="71" t="s">
        <v>36</v>
      </c>
      <c r="J243" s="71"/>
      <c r="K243" s="71" t="s">
        <v>581</v>
      </c>
      <c r="L243" s="71"/>
      <c r="M243" s="71"/>
      <c r="N243" s="71"/>
      <c r="O243" s="71"/>
      <c r="P243" s="71"/>
      <c r="U243" s="20" t="s">
        <v>37</v>
      </c>
      <c r="W243" s="126">
        <v>19.090116500854489</v>
      </c>
      <c r="X243" s="61">
        <f>'Additional information'!$D$20</f>
        <v>0.05</v>
      </c>
      <c r="Y243" s="114">
        <f t="shared" si="10"/>
        <v>0.95450582504272452</v>
      </c>
      <c r="Z243" s="114">
        <f t="shared" si="11"/>
        <v>0.95450582504272452</v>
      </c>
    </row>
    <row r="244" spans="1:27" x14ac:dyDescent="0.2">
      <c r="D244" s="22"/>
      <c r="E244" s="41"/>
      <c r="H244" s="42"/>
      <c r="W244" s="126"/>
      <c r="X244" s="61">
        <f>'Additional information'!$D$20</f>
        <v>0.05</v>
      </c>
      <c r="Y244" s="114" t="str">
        <f t="shared" si="10"/>
        <v/>
      </c>
      <c r="Z244" s="114" t="str">
        <f t="shared" si="11"/>
        <v/>
      </c>
    </row>
    <row r="245" spans="1:27" ht="48" customHeight="1" x14ac:dyDescent="0.2">
      <c r="A245" s="28" t="s">
        <v>280</v>
      </c>
      <c r="B245" s="28" t="s">
        <v>691</v>
      </c>
      <c r="C245" s="19" t="s">
        <v>692</v>
      </c>
      <c r="D245" s="34" t="s">
        <v>693</v>
      </c>
      <c r="E245" s="41"/>
      <c r="H245" s="42"/>
      <c r="I245" s="71" t="s">
        <v>36</v>
      </c>
      <c r="J245" s="71"/>
      <c r="K245" s="71"/>
      <c r="M245" s="71" t="s">
        <v>694</v>
      </c>
      <c r="N245" s="71"/>
      <c r="O245" s="71"/>
      <c r="P245" s="71"/>
      <c r="U245" s="20" t="s">
        <v>37</v>
      </c>
      <c r="W245" s="126">
        <v>17.656976699829102</v>
      </c>
      <c r="X245" s="61">
        <f>'Additional information'!$D$20</f>
        <v>0.05</v>
      </c>
      <c r="Y245" s="114">
        <f t="shared" si="10"/>
        <v>0.88284883499145517</v>
      </c>
      <c r="Z245" s="114">
        <f t="shared" si="11"/>
        <v>0.88284883499145517</v>
      </c>
    </row>
    <row r="246" spans="1:27" x14ac:dyDescent="0.2">
      <c r="D246" s="22"/>
      <c r="E246" s="41"/>
      <c r="H246" s="42"/>
      <c r="W246" s="126"/>
      <c r="X246" s="61">
        <f>'Additional information'!$D$20</f>
        <v>0.05</v>
      </c>
      <c r="Y246" s="114" t="str">
        <f t="shared" si="10"/>
        <v/>
      </c>
      <c r="Z246" s="114" t="str">
        <f t="shared" si="11"/>
        <v/>
      </c>
    </row>
    <row r="247" spans="1:27" ht="32" customHeight="1" x14ac:dyDescent="0.2">
      <c r="A247" s="28" t="s">
        <v>171</v>
      </c>
      <c r="B247" s="28" t="s">
        <v>695</v>
      </c>
      <c r="C247" s="19" t="s">
        <v>696</v>
      </c>
      <c r="D247" s="34" t="s">
        <v>697</v>
      </c>
      <c r="E247" s="41"/>
      <c r="H247" s="42"/>
      <c r="I247" s="71" t="s">
        <v>36</v>
      </c>
      <c r="J247" s="71"/>
      <c r="K247" s="71"/>
      <c r="L247" s="71"/>
      <c r="M247" s="71" t="s">
        <v>694</v>
      </c>
      <c r="N247" s="71"/>
      <c r="O247" s="71"/>
      <c r="P247" s="71"/>
      <c r="U247" s="20" t="s">
        <v>37</v>
      </c>
      <c r="W247" s="127">
        <v>8.7647056579589844</v>
      </c>
      <c r="X247" s="61">
        <f>'Additional information'!$D$20</f>
        <v>0.05</v>
      </c>
      <c r="Y247" s="114">
        <f t="shared" si="10"/>
        <v>0.43823528289794922</v>
      </c>
      <c r="Z247" s="114">
        <f t="shared" si="11"/>
        <v>0.43823528289794922</v>
      </c>
    </row>
    <row r="248" spans="1:27" ht="32" customHeight="1" x14ac:dyDescent="0.2">
      <c r="A248" s="28" t="s">
        <v>698</v>
      </c>
      <c r="B248" s="28" t="s">
        <v>699</v>
      </c>
      <c r="C248" s="19" t="s">
        <v>700</v>
      </c>
      <c r="D248" s="34" t="s">
        <v>701</v>
      </c>
      <c r="E248" s="41"/>
      <c r="F248" s="20" t="s">
        <v>495</v>
      </c>
      <c r="G248" s="20" t="s">
        <v>702</v>
      </c>
      <c r="H248" s="42"/>
      <c r="I248" s="71"/>
      <c r="J248" s="71"/>
      <c r="K248" s="73" t="s">
        <v>581</v>
      </c>
      <c r="L248" s="71"/>
      <c r="M248" s="73" t="s">
        <v>703</v>
      </c>
      <c r="N248" s="71"/>
      <c r="O248" s="71"/>
      <c r="P248" s="71"/>
      <c r="U248" s="20" t="s">
        <v>37</v>
      </c>
      <c r="W248" s="127">
        <v>27.9538459777832</v>
      </c>
      <c r="X248" s="61">
        <f>'Additional information'!$D$20</f>
        <v>0.05</v>
      </c>
      <c r="Y248" s="114">
        <f t="shared" si="10"/>
        <v>1.39769229888916</v>
      </c>
      <c r="Z248" s="114">
        <f t="shared" si="11"/>
        <v>1.39769229888916</v>
      </c>
    </row>
    <row r="249" spans="1:27" ht="16" customHeight="1" x14ac:dyDescent="0.2">
      <c r="A249" s="28" t="s">
        <v>42</v>
      </c>
      <c r="B249" s="28" t="s">
        <v>704</v>
      </c>
      <c r="C249" s="34" t="s">
        <v>461</v>
      </c>
      <c r="E249" s="52"/>
      <c r="F249" s="29" t="s">
        <v>463</v>
      </c>
      <c r="G249" s="30" t="s">
        <v>705</v>
      </c>
      <c r="H249" s="42"/>
      <c r="I249" s="71" t="s">
        <v>36</v>
      </c>
      <c r="J249" s="71"/>
      <c r="K249" s="71"/>
      <c r="L249" s="71"/>
      <c r="M249" s="71" t="s">
        <v>706</v>
      </c>
      <c r="N249" s="71"/>
      <c r="O249" s="71"/>
      <c r="P249" s="71"/>
      <c r="U249" s="20" t="s">
        <v>37</v>
      </c>
      <c r="W249" s="126"/>
      <c r="X249" s="61">
        <f>'Additional information'!$D$20</f>
        <v>0.05</v>
      </c>
      <c r="Y249" s="114" t="str">
        <f t="shared" si="10"/>
        <v/>
      </c>
      <c r="Z249" s="114" t="str">
        <f t="shared" si="11"/>
        <v/>
      </c>
    </row>
    <row r="250" spans="1:27" x14ac:dyDescent="0.2">
      <c r="E250" s="41"/>
      <c r="H250" s="42"/>
      <c r="W250" s="126"/>
      <c r="X250" s="61">
        <f>'Additional information'!$D$20</f>
        <v>0.05</v>
      </c>
      <c r="Y250" s="114" t="str">
        <f t="shared" si="10"/>
        <v/>
      </c>
      <c r="Z250" s="114" t="str">
        <f t="shared" si="11"/>
        <v/>
      </c>
    </row>
    <row r="251" spans="1:27" s="30" customFormat="1" x14ac:dyDescent="0.2">
      <c r="C251" s="31"/>
      <c r="D251" s="31"/>
      <c r="E251" s="32"/>
      <c r="H251" s="36"/>
      <c r="I251" s="72"/>
      <c r="J251" s="72"/>
      <c r="K251" s="72"/>
      <c r="L251" s="72"/>
      <c r="M251" s="72"/>
      <c r="N251" s="72"/>
      <c r="O251" s="72"/>
      <c r="P251" s="72"/>
      <c r="W251" s="126"/>
      <c r="X251" s="61">
        <f>'Additional information'!$D$20</f>
        <v>0.05</v>
      </c>
      <c r="Y251" s="114" t="str">
        <f t="shared" si="10"/>
        <v/>
      </c>
      <c r="Z251" s="114" t="str">
        <f t="shared" si="11"/>
        <v/>
      </c>
      <c r="AA251" s="29"/>
    </row>
    <row r="252" spans="1:27" ht="16" customHeight="1" thickBot="1" x14ac:dyDescent="0.25">
      <c r="A252" s="50" t="s">
        <v>89</v>
      </c>
      <c r="B252" s="50"/>
      <c r="C252" s="51"/>
      <c r="D252" s="51"/>
      <c r="E252" s="45"/>
      <c r="F252" s="50"/>
      <c r="G252" s="50"/>
      <c r="H252" s="46"/>
      <c r="I252" s="82"/>
      <c r="J252" s="82"/>
      <c r="K252" s="82"/>
      <c r="L252" s="82"/>
      <c r="M252" s="82"/>
      <c r="N252" s="82"/>
      <c r="O252" s="82"/>
      <c r="P252" s="82"/>
      <c r="W252" s="126"/>
      <c r="Y252" s="114" t="str">
        <f t="shared" si="10"/>
        <v/>
      </c>
      <c r="Z252" s="114" t="str">
        <f t="shared" si="11"/>
        <v/>
      </c>
    </row>
    <row r="253" spans="1:27" s="26" customFormat="1" ht="17" customHeight="1" thickTop="1" x14ac:dyDescent="0.2">
      <c r="A253" s="23" t="s">
        <v>60</v>
      </c>
      <c r="B253" s="23" t="s">
        <v>707</v>
      </c>
      <c r="C253" s="47" t="s">
        <v>708</v>
      </c>
      <c r="D253" s="47" t="s">
        <v>709</v>
      </c>
      <c r="E253" s="24"/>
      <c r="F253" s="23"/>
      <c r="G253" s="23"/>
      <c r="H253" s="25"/>
      <c r="I253" s="76" t="s">
        <v>55</v>
      </c>
      <c r="J253" s="76"/>
      <c r="K253" s="76"/>
      <c r="L253" s="76"/>
      <c r="M253" s="77" t="s">
        <v>710</v>
      </c>
      <c r="N253" s="76"/>
      <c r="O253" s="76"/>
      <c r="P253" s="76"/>
      <c r="U253" s="20" t="s">
        <v>37</v>
      </c>
      <c r="W253" s="126"/>
      <c r="X253" s="27"/>
      <c r="Y253" s="114" t="str">
        <f t="shared" si="10"/>
        <v/>
      </c>
      <c r="Z253" s="114" t="str">
        <f t="shared" si="11"/>
        <v/>
      </c>
      <c r="AA253" s="27"/>
    </row>
    <row r="254" spans="1:27" s="26" customFormat="1" x14ac:dyDescent="0.2">
      <c r="C254" s="48"/>
      <c r="D254" s="48"/>
      <c r="E254" s="24"/>
      <c r="H254" s="25"/>
      <c r="I254" s="77"/>
      <c r="J254" s="77"/>
      <c r="K254" s="77"/>
      <c r="L254" s="77"/>
      <c r="M254" s="77"/>
      <c r="N254" s="77"/>
      <c r="O254" s="77"/>
      <c r="P254" s="77"/>
      <c r="U254" s="20"/>
      <c r="W254" s="126"/>
      <c r="X254" s="61">
        <f>'Additional information'!$D$20</f>
        <v>0.05</v>
      </c>
      <c r="Y254" s="114" t="str">
        <f t="shared" si="10"/>
        <v/>
      </c>
      <c r="Z254" s="114" t="str">
        <f t="shared" si="11"/>
        <v/>
      </c>
      <c r="AA254" s="27"/>
    </row>
    <row r="255" spans="1:27" s="26" customFormat="1" ht="32" customHeight="1" x14ac:dyDescent="0.2">
      <c r="A255" s="28" t="s">
        <v>711</v>
      </c>
      <c r="B255" s="28" t="s">
        <v>712</v>
      </c>
      <c r="C255" s="19" t="s">
        <v>713</v>
      </c>
      <c r="D255" s="19" t="s">
        <v>714</v>
      </c>
      <c r="E255" s="41"/>
      <c r="F255" s="28"/>
      <c r="G255" s="28"/>
      <c r="H255" s="42"/>
      <c r="I255" s="71" t="s">
        <v>36</v>
      </c>
      <c r="J255" s="76"/>
      <c r="K255" s="76"/>
      <c r="L255" s="76"/>
      <c r="M255" s="76"/>
      <c r="N255" s="76"/>
      <c r="O255" s="76"/>
      <c r="P255" s="76"/>
      <c r="U255" s="20" t="s">
        <v>37</v>
      </c>
      <c r="W255" s="126">
        <v>14.38495540618896</v>
      </c>
      <c r="X255" s="61">
        <f>'Additional information'!$D$20</f>
        <v>0.05</v>
      </c>
      <c r="Y255" s="114">
        <f t="shared" si="10"/>
        <v>0.71924777030944798</v>
      </c>
      <c r="Z255" s="114">
        <f t="shared" si="11"/>
        <v>0.71924777030944798</v>
      </c>
      <c r="AA255" s="27"/>
    </row>
    <row r="256" spans="1:27" x14ac:dyDescent="0.2">
      <c r="A256" s="28" t="s">
        <v>26</v>
      </c>
      <c r="B256" s="28" t="s">
        <v>715</v>
      </c>
      <c r="C256" s="19"/>
      <c r="D256" s="19"/>
      <c r="E256" s="41"/>
      <c r="F256" s="28"/>
      <c r="G256" s="28"/>
      <c r="H256" s="42"/>
      <c r="I256" s="71"/>
      <c r="J256" s="71"/>
      <c r="K256" s="71"/>
      <c r="L256" s="71"/>
      <c r="M256" s="71"/>
      <c r="N256" s="71"/>
      <c r="O256" s="71"/>
      <c r="P256" s="71" t="s">
        <v>716</v>
      </c>
      <c r="U256" s="20" t="s">
        <v>37</v>
      </c>
      <c r="W256" s="126"/>
      <c r="X256" s="61">
        <f>'Additional information'!$D$20</f>
        <v>0.05</v>
      </c>
      <c r="Y256" s="114" t="str">
        <f t="shared" si="10"/>
        <v/>
      </c>
      <c r="Z256" s="114" t="str">
        <f t="shared" si="11"/>
        <v/>
      </c>
    </row>
    <row r="257" spans="1:27" ht="16" customHeight="1" x14ac:dyDescent="0.2">
      <c r="A257" s="28" t="s">
        <v>42</v>
      </c>
      <c r="B257" s="28" t="s">
        <v>717</v>
      </c>
      <c r="C257" s="34" t="s">
        <v>461</v>
      </c>
      <c r="D257" s="19" t="s">
        <v>462</v>
      </c>
      <c r="E257" s="52"/>
      <c r="F257" s="29" t="s">
        <v>463</v>
      </c>
      <c r="G257" s="30" t="s">
        <v>705</v>
      </c>
      <c r="H257" s="42"/>
      <c r="I257" s="71" t="s">
        <v>36</v>
      </c>
      <c r="J257" s="71"/>
      <c r="K257" s="71"/>
      <c r="L257" s="71"/>
      <c r="M257" s="73" t="s">
        <v>718</v>
      </c>
      <c r="N257" s="71"/>
      <c r="O257" s="71"/>
      <c r="P257" s="71"/>
      <c r="U257" s="20" t="s">
        <v>37</v>
      </c>
      <c r="W257" s="126"/>
      <c r="X257" s="61">
        <f>'Additional information'!$D$20</f>
        <v>0.05</v>
      </c>
      <c r="Y257" s="114" t="str">
        <f t="shared" si="10"/>
        <v/>
      </c>
      <c r="Z257" s="114" t="str">
        <f t="shared" si="11"/>
        <v/>
      </c>
    </row>
    <row r="258" spans="1:27" x14ac:dyDescent="0.2">
      <c r="E258" s="41"/>
      <c r="H258" s="42"/>
      <c r="M258" s="83"/>
      <c r="W258" s="126"/>
      <c r="X258" s="61">
        <f>'Additional information'!$D$20</f>
        <v>0.05</v>
      </c>
      <c r="Y258" s="114" t="str">
        <f t="shared" si="10"/>
        <v/>
      </c>
      <c r="Z258" s="114" t="str">
        <f t="shared" si="11"/>
        <v/>
      </c>
    </row>
    <row r="259" spans="1:27" ht="32" customHeight="1" x14ac:dyDescent="0.2">
      <c r="A259" s="28" t="s">
        <v>171</v>
      </c>
      <c r="B259" s="28" t="s">
        <v>719</v>
      </c>
      <c r="C259" s="19" t="s">
        <v>720</v>
      </c>
      <c r="D259" s="19" t="s">
        <v>721</v>
      </c>
      <c r="E259" s="41"/>
      <c r="F259" s="28"/>
      <c r="G259" s="28"/>
      <c r="H259" s="42"/>
      <c r="I259" s="71" t="s">
        <v>36</v>
      </c>
      <c r="J259" s="71"/>
      <c r="K259" s="71"/>
      <c r="L259" s="71"/>
      <c r="M259" s="71" t="s">
        <v>722</v>
      </c>
      <c r="N259" s="71"/>
      <c r="O259" s="71"/>
      <c r="P259" s="71"/>
      <c r="U259" s="20" t="s">
        <v>37</v>
      </c>
      <c r="W259" s="126">
        <v>9.4380531311035156</v>
      </c>
      <c r="X259" s="61">
        <f>'Additional information'!$D$20</f>
        <v>0.05</v>
      </c>
      <c r="Y259" s="114">
        <f t="shared" si="10"/>
        <v>0.47190265655517583</v>
      </c>
      <c r="Z259" s="114">
        <f t="shared" si="11"/>
        <v>0.47190265655517583</v>
      </c>
    </row>
    <row r="260" spans="1:27" ht="32" customHeight="1" x14ac:dyDescent="0.2">
      <c r="A260" s="28" t="s">
        <v>723</v>
      </c>
      <c r="B260" s="28" t="s">
        <v>724</v>
      </c>
      <c r="C260" s="19" t="s">
        <v>725</v>
      </c>
      <c r="D260" s="19" t="s">
        <v>726</v>
      </c>
      <c r="E260" s="41"/>
      <c r="F260" s="28" t="s">
        <v>474</v>
      </c>
      <c r="G260" s="28" t="s">
        <v>727</v>
      </c>
      <c r="H260" s="42"/>
      <c r="I260" s="71" t="s">
        <v>36</v>
      </c>
      <c r="J260" s="71"/>
      <c r="K260" s="73" t="s">
        <v>581</v>
      </c>
      <c r="L260" s="71"/>
      <c r="M260" s="73" t="s">
        <v>728</v>
      </c>
      <c r="N260" s="71"/>
      <c r="O260" s="71"/>
      <c r="P260" s="71"/>
      <c r="U260" s="20" t="s">
        <v>37</v>
      </c>
      <c r="W260" s="126">
        <v>27.76699066162109</v>
      </c>
      <c r="X260" s="61">
        <f>'Additional information'!$D$20</f>
        <v>0.05</v>
      </c>
      <c r="Y260" s="114">
        <f t="shared" ref="Y260:Y287" si="12">IF(W260&lt;&gt;"",W260*X260,"")</f>
        <v>1.3883495330810547</v>
      </c>
      <c r="Z260" s="114">
        <f t="shared" ref="Z260:Z287" si="13">IF(AND(W260&lt;&gt;"",U260="yes"),W260*X260,"")</f>
        <v>1.3883495330810547</v>
      </c>
    </row>
    <row r="261" spans="1:27" ht="16" customHeight="1" x14ac:dyDescent="0.2">
      <c r="A261" s="28" t="s">
        <v>42</v>
      </c>
      <c r="B261" s="28" t="s">
        <v>729</v>
      </c>
      <c r="C261" s="34" t="s">
        <v>461</v>
      </c>
      <c r="D261" s="19" t="s">
        <v>462</v>
      </c>
      <c r="E261" s="52"/>
      <c r="F261" s="29" t="s">
        <v>463</v>
      </c>
      <c r="G261" s="30" t="s">
        <v>705</v>
      </c>
      <c r="H261" s="42"/>
      <c r="I261" s="71" t="s">
        <v>36</v>
      </c>
      <c r="J261" s="71"/>
      <c r="K261" s="71"/>
      <c r="L261" s="71"/>
      <c r="M261" s="73" t="s">
        <v>730</v>
      </c>
      <c r="N261" s="71"/>
      <c r="O261" s="71"/>
      <c r="P261" s="71"/>
      <c r="U261" s="20" t="s">
        <v>37</v>
      </c>
      <c r="W261" s="126"/>
      <c r="X261" s="61">
        <f>'Additional information'!$D$20</f>
        <v>0.05</v>
      </c>
      <c r="Y261" s="114" t="str">
        <f t="shared" si="12"/>
        <v/>
      </c>
      <c r="Z261" s="114" t="str">
        <f t="shared" si="13"/>
        <v/>
      </c>
    </row>
    <row r="262" spans="1:27" x14ac:dyDescent="0.2">
      <c r="E262" s="41"/>
      <c r="H262" s="42"/>
      <c r="M262" s="83"/>
      <c r="W262" s="126"/>
      <c r="X262" s="61">
        <f>'Additional information'!$D$20</f>
        <v>0.05</v>
      </c>
      <c r="Y262" s="114" t="str">
        <f t="shared" si="12"/>
        <v/>
      </c>
      <c r="Z262" s="114" t="str">
        <f t="shared" si="13"/>
        <v/>
      </c>
    </row>
    <row r="263" spans="1:27" ht="48" customHeight="1" x14ac:dyDescent="0.2">
      <c r="A263" s="28" t="s">
        <v>280</v>
      </c>
      <c r="B263" s="28" t="s">
        <v>731</v>
      </c>
      <c r="C263" s="34" t="s">
        <v>732</v>
      </c>
      <c r="D263" s="19" t="s">
        <v>733</v>
      </c>
      <c r="E263" s="41"/>
      <c r="F263" s="28" t="s">
        <v>586</v>
      </c>
      <c r="G263" s="28" t="s">
        <v>678</v>
      </c>
      <c r="H263" s="42"/>
      <c r="I263" s="71" t="s">
        <v>36</v>
      </c>
      <c r="J263" s="71"/>
      <c r="K263" s="71"/>
      <c r="L263" s="71"/>
      <c r="M263" s="73" t="s">
        <v>722</v>
      </c>
      <c r="N263" s="71"/>
      <c r="O263" s="71"/>
      <c r="P263" s="71"/>
      <c r="U263" s="20" t="s">
        <v>37</v>
      </c>
      <c r="W263" s="126">
        <v>13.705752372741699</v>
      </c>
      <c r="X263" s="61">
        <f>'Additional information'!$D$20</f>
        <v>0.05</v>
      </c>
      <c r="Y263" s="114">
        <f t="shared" si="12"/>
        <v>0.68528761863708498</v>
      </c>
      <c r="Z263" s="114">
        <f t="shared" si="13"/>
        <v>0.68528761863708498</v>
      </c>
    </row>
    <row r="264" spans="1:27" x14ac:dyDescent="0.2">
      <c r="C264" s="22"/>
      <c r="D264" s="22"/>
      <c r="E264" s="41"/>
      <c r="H264" s="42"/>
      <c r="M264" s="83"/>
      <c r="W264" s="126"/>
      <c r="X264" s="61">
        <f>'Additional information'!$D$20</f>
        <v>0.05</v>
      </c>
      <c r="Y264" s="114" t="str">
        <f t="shared" si="12"/>
        <v/>
      </c>
      <c r="Z264" s="114" t="str">
        <f t="shared" si="13"/>
        <v/>
      </c>
    </row>
    <row r="265" spans="1:27" ht="16" customHeight="1" thickBot="1" x14ac:dyDescent="0.25">
      <c r="A265" s="55" t="s">
        <v>89</v>
      </c>
      <c r="B265" s="55"/>
      <c r="C265" s="56"/>
      <c r="D265" s="56"/>
      <c r="E265" s="63"/>
      <c r="F265" s="55"/>
      <c r="G265" s="55"/>
      <c r="H265" s="64"/>
      <c r="I265" s="84"/>
      <c r="J265" s="84"/>
      <c r="K265" s="84"/>
      <c r="L265" s="84"/>
      <c r="M265" s="84"/>
      <c r="N265" s="84"/>
      <c r="O265" s="84"/>
      <c r="P265" s="84"/>
      <c r="W265" s="126"/>
      <c r="Y265" s="114" t="str">
        <f t="shared" si="12"/>
        <v/>
      </c>
      <c r="Z265" s="114" t="str">
        <f t="shared" si="13"/>
        <v/>
      </c>
    </row>
    <row r="266" spans="1:27" s="26" customFormat="1" ht="17" customHeight="1" thickTop="1" x14ac:dyDescent="0.2">
      <c r="A266" s="23" t="s">
        <v>60</v>
      </c>
      <c r="B266" s="23" t="s">
        <v>734</v>
      </c>
      <c r="C266" s="47" t="s">
        <v>735</v>
      </c>
      <c r="D266" s="47" t="s">
        <v>736</v>
      </c>
      <c r="E266" s="24"/>
      <c r="F266" s="23"/>
      <c r="G266" s="23"/>
      <c r="H266" s="25"/>
      <c r="I266" s="76" t="s">
        <v>55</v>
      </c>
      <c r="J266" s="76"/>
      <c r="K266" s="76"/>
      <c r="L266" s="76"/>
      <c r="M266" s="77" t="s">
        <v>170</v>
      </c>
      <c r="N266" s="76"/>
      <c r="O266" s="76"/>
      <c r="P266" s="76"/>
      <c r="U266" s="20" t="s">
        <v>37</v>
      </c>
      <c r="W266" s="126"/>
      <c r="X266" s="27"/>
      <c r="Y266" s="114" t="str">
        <f t="shared" si="12"/>
        <v/>
      </c>
      <c r="Z266" s="114" t="str">
        <f t="shared" si="13"/>
        <v/>
      </c>
      <c r="AA266" s="27"/>
    </row>
    <row r="267" spans="1:27" x14ac:dyDescent="0.2">
      <c r="C267" s="22"/>
      <c r="D267" s="22"/>
      <c r="E267" s="41"/>
      <c r="H267" s="42"/>
      <c r="M267" s="83"/>
      <c r="W267" s="126"/>
      <c r="X267" s="61">
        <v>1</v>
      </c>
      <c r="Y267" s="114" t="str">
        <f t="shared" si="12"/>
        <v/>
      </c>
      <c r="Z267" s="114" t="str">
        <f t="shared" si="13"/>
        <v/>
      </c>
    </row>
    <row r="268" spans="1:27" s="26" customFormat="1" ht="48" customHeight="1" x14ac:dyDescent="0.2">
      <c r="A268" s="28" t="s">
        <v>63</v>
      </c>
      <c r="B268" s="28" t="s">
        <v>737</v>
      </c>
      <c r="C268" s="19" t="s">
        <v>738</v>
      </c>
      <c r="D268" s="19" t="s">
        <v>739</v>
      </c>
      <c r="E268" s="24"/>
      <c r="H268" s="25"/>
      <c r="I268" s="76"/>
      <c r="J268" s="76"/>
      <c r="K268" s="76"/>
      <c r="L268" s="76"/>
      <c r="M268" s="76"/>
      <c r="N268" s="76"/>
      <c r="O268" s="76"/>
      <c r="P268" s="76"/>
      <c r="U268" s="20" t="s">
        <v>51</v>
      </c>
      <c r="W268" s="126"/>
      <c r="X268" s="62">
        <v>1</v>
      </c>
      <c r="Y268" s="114" t="str">
        <f t="shared" si="12"/>
        <v/>
      </c>
      <c r="Z268" s="114" t="str">
        <f t="shared" si="13"/>
        <v/>
      </c>
      <c r="AA268" s="27"/>
    </row>
    <row r="269" spans="1:27" x14ac:dyDescent="0.2">
      <c r="C269" s="22"/>
      <c r="D269" s="22"/>
      <c r="E269" s="41"/>
      <c r="H269" s="42"/>
      <c r="M269" s="83"/>
      <c r="W269" s="126"/>
      <c r="X269" s="61">
        <v>1</v>
      </c>
      <c r="Y269" s="114" t="str">
        <f t="shared" si="12"/>
        <v/>
      </c>
      <c r="Z269" s="114" t="str">
        <f t="shared" si="13"/>
        <v/>
      </c>
    </row>
    <row r="270" spans="1:27" s="26" customFormat="1" ht="16" customHeight="1" x14ac:dyDescent="0.2">
      <c r="A270" s="28" t="s">
        <v>60</v>
      </c>
      <c r="B270" s="28" t="s">
        <v>740</v>
      </c>
      <c r="C270" s="47" t="s">
        <v>741</v>
      </c>
      <c r="D270" s="47" t="s">
        <v>741</v>
      </c>
      <c r="E270" s="24"/>
      <c r="F270" s="23"/>
      <c r="G270" s="23"/>
      <c r="H270" s="25"/>
      <c r="I270" s="76"/>
      <c r="J270" s="76"/>
      <c r="K270" s="76"/>
      <c r="L270" s="76"/>
      <c r="M270" s="76"/>
      <c r="N270" s="76"/>
      <c r="O270" s="76"/>
      <c r="P270" s="76"/>
      <c r="U270" s="20"/>
      <c r="W270" s="126"/>
      <c r="X270" s="62">
        <v>1</v>
      </c>
      <c r="Y270" s="114" t="str">
        <f t="shared" si="12"/>
        <v/>
      </c>
      <c r="Z270" s="114" t="str">
        <f t="shared" si="13"/>
        <v/>
      </c>
      <c r="AA270" s="27"/>
    </row>
    <row r="271" spans="1:27" ht="32" customHeight="1" x14ac:dyDescent="0.2">
      <c r="A271" s="28" t="s">
        <v>63</v>
      </c>
      <c r="B271" s="28" t="s">
        <v>742</v>
      </c>
      <c r="C271" s="19" t="s">
        <v>743</v>
      </c>
      <c r="D271" s="19" t="s">
        <v>744</v>
      </c>
      <c r="E271" s="41"/>
      <c r="F271" s="28"/>
      <c r="G271" s="28"/>
      <c r="H271" s="42"/>
      <c r="I271" s="71" t="s">
        <v>55</v>
      </c>
      <c r="J271" s="71"/>
      <c r="K271" s="71"/>
      <c r="L271" s="71"/>
      <c r="M271" s="71"/>
      <c r="N271" s="71"/>
      <c r="O271" s="71"/>
      <c r="P271" s="71"/>
      <c r="U271" s="20" t="s">
        <v>37</v>
      </c>
      <c r="W271" s="126">
        <v>12.77690315246582</v>
      </c>
      <c r="X271" s="62">
        <v>1</v>
      </c>
      <c r="Y271" s="114">
        <f t="shared" si="12"/>
        <v>12.77690315246582</v>
      </c>
      <c r="Z271" s="114">
        <f t="shared" si="13"/>
        <v>12.77690315246582</v>
      </c>
    </row>
    <row r="272" spans="1:27" ht="48" customHeight="1" x14ac:dyDescent="0.2">
      <c r="A272" s="28" t="s">
        <v>171</v>
      </c>
      <c r="B272" s="28" t="s">
        <v>745</v>
      </c>
      <c r="C272" s="19" t="s">
        <v>746</v>
      </c>
      <c r="D272" s="19" t="s">
        <v>747</v>
      </c>
      <c r="E272" s="41"/>
      <c r="F272" s="28"/>
      <c r="G272" s="28"/>
      <c r="H272" s="42"/>
      <c r="I272" s="71" t="s">
        <v>36</v>
      </c>
      <c r="J272" s="71"/>
      <c r="K272" s="71"/>
      <c r="L272" s="71"/>
      <c r="M272" s="71"/>
      <c r="N272" s="71"/>
      <c r="O272" s="71"/>
      <c r="P272" s="71"/>
      <c r="U272" s="20" t="s">
        <v>37</v>
      </c>
      <c r="W272" s="126">
        <v>21.398605346679691</v>
      </c>
      <c r="X272" s="62">
        <v>1</v>
      </c>
      <c r="Y272" s="114">
        <f t="shared" si="12"/>
        <v>21.398605346679691</v>
      </c>
      <c r="Z272" s="114">
        <f t="shared" si="13"/>
        <v>21.398605346679691</v>
      </c>
    </row>
    <row r="273" spans="1:26" ht="48" customHeight="1" x14ac:dyDescent="0.2">
      <c r="A273" s="28" t="s">
        <v>171</v>
      </c>
      <c r="B273" s="28" t="s">
        <v>748</v>
      </c>
      <c r="C273" s="19" t="s">
        <v>749</v>
      </c>
      <c r="D273" s="19" t="s">
        <v>750</v>
      </c>
      <c r="E273" s="41"/>
      <c r="F273" s="28"/>
      <c r="G273" s="28"/>
      <c r="H273" s="42"/>
      <c r="I273" s="71" t="s">
        <v>36</v>
      </c>
      <c r="J273" s="71"/>
      <c r="K273" s="71"/>
      <c r="L273" s="71"/>
      <c r="M273" s="71"/>
      <c r="N273" s="71"/>
      <c r="O273" s="71"/>
      <c r="P273" s="71"/>
      <c r="U273" s="20" t="s">
        <v>37</v>
      </c>
      <c r="W273" s="126">
        <v>14.980740547180179</v>
      </c>
      <c r="X273" s="62">
        <v>1</v>
      </c>
      <c r="Y273" s="114">
        <f t="shared" si="12"/>
        <v>14.980740547180179</v>
      </c>
      <c r="Z273" s="114">
        <f t="shared" si="13"/>
        <v>14.980740547180179</v>
      </c>
    </row>
    <row r="274" spans="1:26" ht="48" customHeight="1" x14ac:dyDescent="0.2">
      <c r="A274" s="28" t="s">
        <v>171</v>
      </c>
      <c r="B274" s="28" t="s">
        <v>751</v>
      </c>
      <c r="C274" s="19" t="s">
        <v>752</v>
      </c>
      <c r="D274" s="19" t="s">
        <v>753</v>
      </c>
      <c r="E274" s="41"/>
      <c r="F274" s="28"/>
      <c r="G274" s="28"/>
      <c r="H274" s="42"/>
      <c r="I274" s="71" t="s">
        <v>36</v>
      </c>
      <c r="J274" s="71"/>
      <c r="K274" s="71"/>
      <c r="L274" s="71"/>
      <c r="M274" s="71"/>
      <c r="N274" s="71"/>
      <c r="O274" s="71"/>
      <c r="P274" s="71"/>
      <c r="U274" s="20" t="s">
        <v>37</v>
      </c>
      <c r="W274" s="126">
        <v>13.72302150726318</v>
      </c>
      <c r="X274" s="62">
        <v>1</v>
      </c>
      <c r="Y274" s="114">
        <f t="shared" si="12"/>
        <v>13.72302150726318</v>
      </c>
      <c r="Z274" s="114">
        <f t="shared" si="13"/>
        <v>13.72302150726318</v>
      </c>
    </row>
    <row r="275" spans="1:26" ht="48" customHeight="1" x14ac:dyDescent="0.2">
      <c r="A275" s="28" t="s">
        <v>171</v>
      </c>
      <c r="B275" s="28" t="s">
        <v>754</v>
      </c>
      <c r="C275" s="19" t="s">
        <v>755</v>
      </c>
      <c r="D275" s="19" t="s">
        <v>756</v>
      </c>
      <c r="E275" s="41"/>
      <c r="F275" s="28"/>
      <c r="G275" s="28"/>
      <c r="H275" s="42"/>
      <c r="I275" s="71" t="s">
        <v>36</v>
      </c>
      <c r="J275" s="71"/>
      <c r="K275" s="71"/>
      <c r="L275" s="71"/>
      <c r="M275" s="71"/>
      <c r="N275" s="71"/>
      <c r="O275" s="71"/>
      <c r="P275" s="71"/>
      <c r="U275" s="20" t="s">
        <v>37</v>
      </c>
      <c r="W275" s="126">
        <v>13.06220054626465</v>
      </c>
      <c r="X275" s="62">
        <v>1</v>
      </c>
      <c r="Y275" s="114">
        <f t="shared" si="12"/>
        <v>13.06220054626465</v>
      </c>
      <c r="Z275" s="114">
        <f t="shared" si="13"/>
        <v>13.06220054626465</v>
      </c>
    </row>
    <row r="276" spans="1:26" ht="48" customHeight="1" x14ac:dyDescent="0.2">
      <c r="A276" s="28" t="s">
        <v>171</v>
      </c>
      <c r="B276" s="28" t="s">
        <v>757</v>
      </c>
      <c r="C276" s="19" t="s">
        <v>758</v>
      </c>
      <c r="D276" s="19" t="s">
        <v>759</v>
      </c>
      <c r="E276" s="41"/>
      <c r="F276" s="28"/>
      <c r="G276" s="28"/>
      <c r="H276" s="42"/>
      <c r="I276" s="71" t="s">
        <v>36</v>
      </c>
      <c r="J276" s="71"/>
      <c r="K276" s="71"/>
      <c r="L276" s="71"/>
      <c r="M276" s="71"/>
      <c r="N276" s="71"/>
      <c r="O276" s="71"/>
      <c r="P276" s="71"/>
      <c r="U276" s="20" t="s">
        <v>37</v>
      </c>
      <c r="W276" s="126">
        <v>13.09532356262207</v>
      </c>
      <c r="X276" s="62">
        <v>1</v>
      </c>
      <c r="Y276" s="114">
        <f t="shared" si="12"/>
        <v>13.09532356262207</v>
      </c>
      <c r="Z276" s="114">
        <f t="shared" si="13"/>
        <v>13.09532356262207</v>
      </c>
    </row>
    <row r="277" spans="1:26" ht="48" customHeight="1" x14ac:dyDescent="0.2">
      <c r="A277" s="28" t="s">
        <v>171</v>
      </c>
      <c r="B277" s="28" t="s">
        <v>760</v>
      </c>
      <c r="C277" s="19" t="s">
        <v>761</v>
      </c>
      <c r="D277" s="19" t="s">
        <v>762</v>
      </c>
      <c r="E277" s="41"/>
      <c r="F277" s="28"/>
      <c r="G277" s="28"/>
      <c r="H277" s="42"/>
      <c r="I277" s="71" t="s">
        <v>36</v>
      </c>
      <c r="J277" s="71"/>
      <c r="K277" s="71"/>
      <c r="L277" s="71"/>
      <c r="M277" s="71"/>
      <c r="N277" s="71"/>
      <c r="O277" s="71"/>
      <c r="P277" s="71"/>
      <c r="U277" s="20" t="s">
        <v>37</v>
      </c>
      <c r="W277" s="126">
        <v>16.10101918465228</v>
      </c>
      <c r="X277" s="62">
        <v>1</v>
      </c>
      <c r="Y277" s="114">
        <f t="shared" si="12"/>
        <v>16.10101918465228</v>
      </c>
      <c r="Z277" s="114">
        <f t="shared" si="13"/>
        <v>16.10101918465228</v>
      </c>
    </row>
    <row r="278" spans="1:26" s="29" customFormat="1" ht="16" customHeight="1" x14ac:dyDescent="0.2">
      <c r="A278" s="33" t="s">
        <v>763</v>
      </c>
      <c r="B278" s="33" t="s">
        <v>764</v>
      </c>
      <c r="C278" s="34" t="s">
        <v>765</v>
      </c>
      <c r="D278" s="19" t="s">
        <v>766</v>
      </c>
      <c r="E278" s="52"/>
      <c r="F278" s="33"/>
      <c r="G278" s="33"/>
      <c r="H278" s="54"/>
      <c r="I278" s="73" t="s">
        <v>36</v>
      </c>
      <c r="J278" s="73"/>
      <c r="K278" s="73"/>
      <c r="L278" s="73"/>
      <c r="M278" s="73" t="s">
        <v>767</v>
      </c>
      <c r="N278" s="73"/>
      <c r="O278" s="73"/>
      <c r="P278" s="73"/>
      <c r="U278" s="29" t="s">
        <v>37</v>
      </c>
      <c r="W278" s="126">
        <v>11.76504325866699</v>
      </c>
      <c r="X278" s="62">
        <v>1</v>
      </c>
      <c r="Y278" s="114">
        <f t="shared" si="12"/>
        <v>11.76504325866699</v>
      </c>
      <c r="Z278" s="114">
        <f t="shared" si="13"/>
        <v>11.76504325866699</v>
      </c>
    </row>
    <row r="279" spans="1:26" s="29" customFormat="1" ht="48" customHeight="1" x14ac:dyDescent="0.2">
      <c r="A279" s="33" t="s">
        <v>171</v>
      </c>
      <c r="B279" s="33" t="s">
        <v>768</v>
      </c>
      <c r="C279" s="34" t="s">
        <v>769</v>
      </c>
      <c r="D279" s="19" t="s">
        <v>770</v>
      </c>
      <c r="E279" s="52"/>
      <c r="F279" s="33"/>
      <c r="G279" s="33"/>
      <c r="H279" s="54"/>
      <c r="I279" s="73" t="s">
        <v>36</v>
      </c>
      <c r="J279" s="73"/>
      <c r="K279" s="73"/>
      <c r="L279" s="73"/>
      <c r="M279" s="73"/>
      <c r="N279" s="73"/>
      <c r="O279" s="73"/>
      <c r="P279" s="73"/>
      <c r="U279" s="29" t="s">
        <v>37</v>
      </c>
      <c r="W279" s="126">
        <v>12.432478904724119</v>
      </c>
      <c r="X279" s="62">
        <v>1</v>
      </c>
      <c r="Y279" s="114">
        <f t="shared" si="12"/>
        <v>12.432478904724119</v>
      </c>
      <c r="Z279" s="114">
        <f t="shared" si="13"/>
        <v>12.432478904724119</v>
      </c>
    </row>
    <row r="280" spans="1:26" s="29" customFormat="1" ht="16" customHeight="1" x14ac:dyDescent="0.2">
      <c r="A280" s="33" t="s">
        <v>763</v>
      </c>
      <c r="B280" s="33" t="s">
        <v>771</v>
      </c>
      <c r="C280" s="34" t="s">
        <v>765</v>
      </c>
      <c r="D280" s="19" t="s">
        <v>766</v>
      </c>
      <c r="E280" s="52"/>
      <c r="F280" s="33"/>
      <c r="G280" s="33"/>
      <c r="H280" s="54"/>
      <c r="I280" s="73" t="s">
        <v>36</v>
      </c>
      <c r="J280" s="73"/>
      <c r="K280" s="73"/>
      <c r="L280" s="73"/>
      <c r="M280" s="73" t="s">
        <v>772</v>
      </c>
      <c r="N280" s="73"/>
      <c r="O280" s="73"/>
      <c r="P280" s="73"/>
      <c r="U280" s="29" t="s">
        <v>37</v>
      </c>
      <c r="W280" s="126">
        <v>8.9801836013793945</v>
      </c>
      <c r="X280" s="62">
        <v>1</v>
      </c>
      <c r="Y280" s="114">
        <f t="shared" si="12"/>
        <v>8.9801836013793945</v>
      </c>
      <c r="Z280" s="114">
        <f t="shared" si="13"/>
        <v>8.9801836013793945</v>
      </c>
    </row>
    <row r="281" spans="1:26" s="29" customFormat="1" ht="48" customHeight="1" x14ac:dyDescent="0.2">
      <c r="A281" s="33" t="s">
        <v>171</v>
      </c>
      <c r="B281" s="33" t="s">
        <v>773</v>
      </c>
      <c r="C281" s="34" t="s">
        <v>774</v>
      </c>
      <c r="D281" s="19" t="s">
        <v>775</v>
      </c>
      <c r="E281" s="52"/>
      <c r="F281" s="33"/>
      <c r="G281" s="33"/>
      <c r="H281" s="54"/>
      <c r="I281" s="73" t="s">
        <v>36</v>
      </c>
      <c r="J281" s="73"/>
      <c r="K281" s="73"/>
      <c r="L281" s="73"/>
      <c r="M281" s="73"/>
      <c r="N281" s="73"/>
      <c r="O281" s="73"/>
      <c r="P281" s="73"/>
      <c r="U281" s="29" t="s">
        <v>37</v>
      </c>
      <c r="W281" s="126">
        <v>11.089328765869141</v>
      </c>
      <c r="X281" s="62">
        <v>1</v>
      </c>
      <c r="Y281" s="114">
        <f t="shared" si="12"/>
        <v>11.089328765869141</v>
      </c>
      <c r="Z281" s="114">
        <f t="shared" si="13"/>
        <v>11.089328765869141</v>
      </c>
    </row>
    <row r="282" spans="1:26" s="29" customFormat="1" ht="16" customHeight="1" x14ac:dyDescent="0.2">
      <c r="A282" s="33" t="s">
        <v>763</v>
      </c>
      <c r="B282" s="33" t="s">
        <v>776</v>
      </c>
      <c r="C282" s="34" t="s">
        <v>765</v>
      </c>
      <c r="D282" s="19" t="s">
        <v>766</v>
      </c>
      <c r="E282" s="52"/>
      <c r="F282" s="33"/>
      <c r="G282" s="33"/>
      <c r="H282" s="54"/>
      <c r="I282" s="73" t="s">
        <v>36</v>
      </c>
      <c r="J282" s="73"/>
      <c r="K282" s="73"/>
      <c r="L282" s="73"/>
      <c r="M282" s="73" t="s">
        <v>777</v>
      </c>
      <c r="N282" s="73"/>
      <c r="O282" s="73"/>
      <c r="P282" s="73"/>
      <c r="U282" s="29" t="s">
        <v>37</v>
      </c>
      <c r="W282" s="126">
        <v>8.0683355331420898</v>
      </c>
      <c r="X282" s="62">
        <v>1</v>
      </c>
      <c r="Y282" s="114">
        <f t="shared" si="12"/>
        <v>8.0683355331420898</v>
      </c>
      <c r="Z282" s="114">
        <f t="shared" si="13"/>
        <v>8.0683355331420898</v>
      </c>
    </row>
    <row r="283" spans="1:26" x14ac:dyDescent="0.2">
      <c r="A283" s="33" t="s">
        <v>89</v>
      </c>
      <c r="B283" s="33"/>
      <c r="C283" s="19"/>
      <c r="D283" s="19"/>
      <c r="E283" s="41"/>
      <c r="F283" s="28"/>
      <c r="G283" s="28"/>
      <c r="H283" s="42"/>
      <c r="I283" s="71"/>
      <c r="J283" s="71"/>
      <c r="K283" s="71"/>
      <c r="L283" s="71"/>
      <c r="M283" s="71"/>
      <c r="N283" s="71"/>
      <c r="O283" s="71"/>
      <c r="P283" s="71"/>
      <c r="W283" s="126"/>
      <c r="X283" s="62">
        <v>1</v>
      </c>
      <c r="Y283" s="114" t="str">
        <f t="shared" si="12"/>
        <v/>
      </c>
      <c r="Z283" s="114" t="str">
        <f t="shared" si="13"/>
        <v/>
      </c>
    </row>
    <row r="284" spans="1:26" x14ac:dyDescent="0.2">
      <c r="A284" s="29"/>
      <c r="B284" s="29"/>
      <c r="E284" s="41"/>
      <c r="H284" s="42"/>
      <c r="W284" s="126"/>
      <c r="X284" s="62">
        <v>1</v>
      </c>
      <c r="Y284" s="114" t="str">
        <f t="shared" si="12"/>
        <v/>
      </c>
      <c r="Z284" s="114" t="str">
        <f t="shared" si="13"/>
        <v/>
      </c>
    </row>
    <row r="285" spans="1:26" x14ac:dyDescent="0.2">
      <c r="A285" s="29"/>
      <c r="B285" s="29"/>
      <c r="E285" s="41"/>
      <c r="H285" s="42"/>
      <c r="W285" s="126"/>
      <c r="X285" s="62">
        <v>1</v>
      </c>
      <c r="Y285" s="114" t="str">
        <f t="shared" si="12"/>
        <v/>
      </c>
      <c r="Z285" s="114" t="str">
        <f t="shared" si="13"/>
        <v/>
      </c>
    </row>
    <row r="286" spans="1:26" s="289" customFormat="1" ht="16" customHeight="1" x14ac:dyDescent="0.2">
      <c r="A286" s="289" t="s">
        <v>60</v>
      </c>
      <c r="B286" s="289" t="s">
        <v>778</v>
      </c>
      <c r="C286" s="303" t="s">
        <v>779</v>
      </c>
      <c r="D286" s="303" t="s">
        <v>779</v>
      </c>
      <c r="E286" s="296"/>
      <c r="H286" s="296"/>
      <c r="J286" s="289" t="s">
        <v>780</v>
      </c>
      <c r="W286" s="304"/>
      <c r="X286" s="305">
        <v>1</v>
      </c>
      <c r="Y286" s="304" t="str">
        <f t="shared" si="12"/>
        <v/>
      </c>
      <c r="Z286" s="304" t="str">
        <f t="shared" si="13"/>
        <v/>
      </c>
    </row>
    <row r="287" spans="1:26" s="289" customFormat="1" ht="64" customHeight="1" x14ac:dyDescent="0.2">
      <c r="A287" s="289" t="s">
        <v>63</v>
      </c>
      <c r="B287" s="289" t="s">
        <v>781</v>
      </c>
      <c r="C287" s="289" t="s">
        <v>782</v>
      </c>
      <c r="D287" s="289" t="s">
        <v>783</v>
      </c>
      <c r="E287" s="296"/>
      <c r="H287" s="296"/>
      <c r="U287" s="289" t="s">
        <v>51</v>
      </c>
      <c r="W287" s="304">
        <v>5.7112536430358887</v>
      </c>
      <c r="X287" s="305">
        <v>1</v>
      </c>
      <c r="Y287" s="304">
        <f t="shared" si="12"/>
        <v>5.7112536430358887</v>
      </c>
      <c r="Z287" s="304" t="str">
        <f t="shared" si="13"/>
        <v/>
      </c>
    </row>
    <row r="288" spans="1:26" ht="64.25" customHeight="1" x14ac:dyDescent="0.2">
      <c r="A288" s="306" t="s">
        <v>63</v>
      </c>
      <c r="B288" s="306" t="s">
        <v>781</v>
      </c>
      <c r="C288" s="307" t="s">
        <v>782</v>
      </c>
      <c r="D288" s="307" t="s">
        <v>783</v>
      </c>
      <c r="E288" s="306"/>
      <c r="F288" s="306"/>
      <c r="G288" s="308"/>
      <c r="H288" s="308"/>
      <c r="I288" s="308"/>
      <c r="J288" s="308"/>
      <c r="K288" s="308"/>
      <c r="L288" s="308"/>
      <c r="M288" s="308"/>
      <c r="N288" s="308"/>
      <c r="O288" s="306"/>
      <c r="P288" s="306"/>
      <c r="Q288" s="306"/>
      <c r="R288" s="306"/>
      <c r="S288" s="306" t="s">
        <v>51</v>
      </c>
      <c r="T288" s="306"/>
      <c r="U288" s="309">
        <v>5.7112536430358896</v>
      </c>
      <c r="V288" s="310">
        <v>1</v>
      </c>
      <c r="W288" s="311">
        <f>IF(U288&lt;&gt;"",U288*V288,"")</f>
        <v>5.7112536430358896</v>
      </c>
      <c r="X288" s="311" t="str">
        <f>IF(AND(U288&lt;&gt;"",S288="yes"),U288*V288,"")</f>
        <v/>
      </c>
      <c r="Y288" s="306"/>
    </row>
    <row r="289" spans="1:27" ht="13.25" customHeight="1" x14ac:dyDescent="0.2">
      <c r="E289" s="20"/>
      <c r="G289" s="78"/>
      <c r="H289" s="78"/>
      <c r="O289" s="20"/>
      <c r="P289" s="20"/>
      <c r="U289" s="312"/>
      <c r="V289" s="313"/>
      <c r="W289" s="314"/>
      <c r="X289" s="314"/>
      <c r="Y289" s="314"/>
    </row>
    <row r="290" spans="1:27" ht="16.25" customHeight="1" x14ac:dyDescent="0.2">
      <c r="A290" s="306" t="s">
        <v>784</v>
      </c>
      <c r="B290" s="306" t="s">
        <v>785</v>
      </c>
      <c r="C290" s="307" t="s">
        <v>786</v>
      </c>
      <c r="D290" s="307" t="s">
        <v>787</v>
      </c>
      <c r="E290" s="315"/>
      <c r="F290" s="315"/>
      <c r="G290" s="143"/>
      <c r="H290" s="143"/>
      <c r="I290" s="308" t="s">
        <v>36</v>
      </c>
      <c r="J290" s="308" t="s">
        <v>242</v>
      </c>
      <c r="K290" s="316"/>
      <c r="L290" s="316"/>
      <c r="M290" s="316"/>
      <c r="N290" s="316"/>
      <c r="O290" s="315"/>
      <c r="P290" s="315"/>
      <c r="Q290" s="315"/>
      <c r="R290" s="315"/>
      <c r="S290" s="306" t="s">
        <v>51</v>
      </c>
      <c r="T290" s="315"/>
      <c r="U290" s="317">
        <v>11.7878017425537</v>
      </c>
      <c r="V290" s="318">
        <v>1</v>
      </c>
      <c r="W290" s="319">
        <f>IF(U290&lt;&gt;"",U290*V290,"")</f>
        <v>11.7878017425537</v>
      </c>
      <c r="X290" s="319" t="str">
        <f>IF(AND(U290&lt;&gt;"",S290="yes"),U290*V290,"")</f>
        <v/>
      </c>
      <c r="Y290" s="314"/>
    </row>
    <row r="291" spans="1:27" ht="16.25" customHeight="1" x14ac:dyDescent="0.2">
      <c r="A291" s="306" t="s">
        <v>784</v>
      </c>
      <c r="B291" s="306" t="s">
        <v>788</v>
      </c>
      <c r="C291" s="307" t="s">
        <v>789</v>
      </c>
      <c r="D291" s="320" t="s">
        <v>790</v>
      </c>
      <c r="E291" s="315"/>
      <c r="F291" s="315"/>
      <c r="G291" s="143"/>
      <c r="H291" s="143"/>
      <c r="I291" s="308" t="s">
        <v>36</v>
      </c>
      <c r="J291" s="308" t="s">
        <v>242</v>
      </c>
      <c r="K291" s="316"/>
      <c r="L291" s="316"/>
      <c r="M291" s="316"/>
      <c r="N291" s="316"/>
      <c r="O291" s="315"/>
      <c r="P291" s="315"/>
      <c r="Q291" s="315"/>
      <c r="R291" s="315"/>
      <c r="S291" s="306" t="s">
        <v>51</v>
      </c>
      <c r="T291" s="315"/>
      <c r="U291" s="317">
        <v>14.625933647155801</v>
      </c>
      <c r="V291" s="318">
        <v>1</v>
      </c>
      <c r="W291" s="319">
        <f>IF(U291&lt;&gt;"",U291*V291,"")</f>
        <v>14.625933647155801</v>
      </c>
      <c r="X291" s="319" t="str">
        <f>IF(AND(U291&lt;&gt;"",S291="yes"),U291*V291,"")</f>
        <v/>
      </c>
      <c r="Y291" s="314"/>
    </row>
    <row r="292" spans="1:27" ht="16.25" customHeight="1" x14ac:dyDescent="0.2">
      <c r="A292" s="306" t="s">
        <v>784</v>
      </c>
      <c r="B292" s="306" t="s">
        <v>791</v>
      </c>
      <c r="C292" s="307" t="s">
        <v>792</v>
      </c>
      <c r="D292" s="307" t="s">
        <v>793</v>
      </c>
      <c r="E292" s="315"/>
      <c r="F292" s="315"/>
      <c r="G292" s="143"/>
      <c r="H292" s="143"/>
      <c r="I292" s="308" t="s">
        <v>36</v>
      </c>
      <c r="J292" s="308" t="s">
        <v>242</v>
      </c>
      <c r="K292" s="316"/>
      <c r="L292" s="316"/>
      <c r="M292" s="316"/>
      <c r="N292" s="316"/>
      <c r="O292" s="315"/>
      <c r="P292" s="315"/>
      <c r="Q292" s="315"/>
      <c r="R292" s="315"/>
      <c r="S292" s="306" t="s">
        <v>51</v>
      </c>
      <c r="T292" s="315"/>
      <c r="U292" s="317">
        <v>9.2894678115844709</v>
      </c>
      <c r="V292" s="318">
        <v>1</v>
      </c>
      <c r="W292" s="319">
        <f>IF(U292&lt;&gt;"",U292*V292,"")</f>
        <v>9.2894678115844709</v>
      </c>
      <c r="X292" s="319" t="str">
        <f>IF(AND(U292&lt;&gt;"",S292="yes"),U292*V292,"")</f>
        <v/>
      </c>
      <c r="Y292" s="314"/>
    </row>
    <row r="293" spans="1:27" ht="16.25" customHeight="1" x14ac:dyDescent="0.2">
      <c r="A293" s="306" t="s">
        <v>784</v>
      </c>
      <c r="B293" s="306" t="s">
        <v>794</v>
      </c>
      <c r="C293" s="307" t="s">
        <v>795</v>
      </c>
      <c r="D293" s="307" t="s">
        <v>796</v>
      </c>
      <c r="E293" s="315"/>
      <c r="F293" s="315"/>
      <c r="G293" s="143"/>
      <c r="H293" s="143"/>
      <c r="I293" s="308" t="s">
        <v>36</v>
      </c>
      <c r="J293" s="308" t="s">
        <v>242</v>
      </c>
      <c r="K293" s="316"/>
      <c r="L293" s="316"/>
      <c r="M293" s="316"/>
      <c r="N293" s="316"/>
      <c r="O293" s="315"/>
      <c r="P293" s="315"/>
      <c r="Q293" s="315"/>
      <c r="R293" s="315"/>
      <c r="S293" s="306" t="s">
        <v>51</v>
      </c>
      <c r="T293" s="315"/>
      <c r="U293" s="317">
        <v>12.4080867767334</v>
      </c>
      <c r="V293" s="318">
        <v>1</v>
      </c>
      <c r="W293" s="319">
        <f>IF(U293&lt;&gt;"",U293*V293,"")</f>
        <v>12.4080867767334</v>
      </c>
      <c r="X293" s="319" t="str">
        <f>IF(AND(U293&lt;&gt;"",S293="yes"),U293*V293,"")</f>
        <v/>
      </c>
      <c r="Y293" s="314"/>
    </row>
    <row r="294" spans="1:27" ht="13.25" customHeight="1" x14ac:dyDescent="0.2">
      <c r="E294" s="20"/>
      <c r="G294" s="143"/>
      <c r="H294" s="143"/>
      <c r="O294" s="20"/>
      <c r="P294" s="20"/>
      <c r="U294" s="312"/>
      <c r="V294" s="313"/>
      <c r="W294" s="314"/>
      <c r="X294" s="314"/>
      <c r="Y294" s="314"/>
    </row>
    <row r="295" spans="1:27" ht="32" customHeight="1" x14ac:dyDescent="0.2">
      <c r="A295" s="306" t="s">
        <v>784</v>
      </c>
      <c r="B295" s="306" t="s">
        <v>797</v>
      </c>
      <c r="C295" s="307" t="s">
        <v>798</v>
      </c>
      <c r="D295" s="320" t="s">
        <v>799</v>
      </c>
      <c r="E295" s="315"/>
      <c r="F295" s="315"/>
      <c r="G295" s="143"/>
      <c r="H295" s="143"/>
      <c r="I295" s="308" t="s">
        <v>36</v>
      </c>
      <c r="J295" s="308" t="s">
        <v>242</v>
      </c>
      <c r="K295" s="316"/>
      <c r="L295" s="316"/>
      <c r="M295" s="316"/>
      <c r="N295" s="316"/>
      <c r="O295" s="315"/>
      <c r="P295" s="315"/>
      <c r="Q295" s="315"/>
      <c r="R295" s="315"/>
      <c r="S295" s="306" t="s">
        <v>51</v>
      </c>
      <c r="T295" s="315"/>
      <c r="U295" s="317">
        <v>14.4109589041096</v>
      </c>
      <c r="V295" s="318">
        <v>1</v>
      </c>
      <c r="W295" s="319">
        <f>IF(U295&lt;&gt;"",U295*V295,"")</f>
        <v>14.4109589041096</v>
      </c>
      <c r="X295" s="319" t="str">
        <f>IF(AND(U295&lt;&gt;"",S295="yes"),U295*V295,"")</f>
        <v/>
      </c>
      <c r="Y295" s="314"/>
    </row>
    <row r="296" spans="1:27" ht="16.25" customHeight="1" x14ac:dyDescent="0.2">
      <c r="A296" s="306" t="s">
        <v>784</v>
      </c>
      <c r="B296" s="306" t="s">
        <v>800</v>
      </c>
      <c r="C296" s="307" t="s">
        <v>801</v>
      </c>
      <c r="D296" s="307" t="s">
        <v>802</v>
      </c>
      <c r="E296" s="315"/>
      <c r="F296" s="315"/>
      <c r="G296" s="143"/>
      <c r="H296" s="143"/>
      <c r="I296" s="308" t="s">
        <v>36</v>
      </c>
      <c r="J296" s="308" t="s">
        <v>242</v>
      </c>
      <c r="K296" s="316"/>
      <c r="L296" s="316"/>
      <c r="M296" s="316"/>
      <c r="N296" s="316"/>
      <c r="O296" s="315"/>
      <c r="P296" s="315"/>
      <c r="Q296" s="315"/>
      <c r="R296" s="315"/>
      <c r="S296" s="306" t="s">
        <v>51</v>
      </c>
      <c r="T296" s="315"/>
      <c r="U296" s="317">
        <v>19.8515300750732</v>
      </c>
      <c r="V296" s="318">
        <v>1</v>
      </c>
      <c r="W296" s="319">
        <f>IF(U296&lt;&gt;"",U296*V296,"")</f>
        <v>19.8515300750732</v>
      </c>
      <c r="X296" s="319" t="str">
        <f>IF(AND(U296&lt;&gt;"",S296="yes"),U296*V296,"")</f>
        <v/>
      </c>
      <c r="Y296" s="314"/>
    </row>
    <row r="297" spans="1:27" ht="32" customHeight="1" x14ac:dyDescent="0.2">
      <c r="A297" s="306" t="s">
        <v>784</v>
      </c>
      <c r="B297" s="306" t="s">
        <v>803</v>
      </c>
      <c r="C297" s="307" t="s">
        <v>804</v>
      </c>
      <c r="D297" s="307" t="s">
        <v>805</v>
      </c>
      <c r="E297" s="315"/>
      <c r="F297" s="315"/>
      <c r="G297" s="143"/>
      <c r="H297" s="143"/>
      <c r="I297" s="308" t="s">
        <v>36</v>
      </c>
      <c r="J297" s="308" t="s">
        <v>242</v>
      </c>
      <c r="K297" s="316"/>
      <c r="L297" s="316"/>
      <c r="M297" s="316"/>
      <c r="N297" s="316"/>
      <c r="O297" s="315"/>
      <c r="P297" s="315"/>
      <c r="Q297" s="315"/>
      <c r="R297" s="315"/>
      <c r="S297" s="306" t="s">
        <v>51</v>
      </c>
      <c r="T297" s="315"/>
      <c r="U297" s="317">
        <v>12.9961814880371</v>
      </c>
      <c r="V297" s="318">
        <v>1</v>
      </c>
      <c r="W297" s="319">
        <f>IF(U297&lt;&gt;"",U297*V297,"")</f>
        <v>12.9961814880371</v>
      </c>
      <c r="X297" s="319" t="str">
        <f>IF(AND(U297&lt;&gt;"",S297="yes"),U297*V297,"")</f>
        <v/>
      </c>
      <c r="Y297" s="314"/>
    </row>
    <row r="298" spans="1:27" x14ac:dyDescent="0.2">
      <c r="A298" s="306"/>
      <c r="B298" s="306"/>
      <c r="C298" s="307"/>
      <c r="D298" s="320"/>
      <c r="E298" s="315"/>
      <c r="F298" s="315"/>
      <c r="G298" s="143"/>
      <c r="H298" s="143"/>
      <c r="I298" s="308"/>
      <c r="J298" s="308"/>
      <c r="K298" s="316"/>
      <c r="L298" s="316"/>
      <c r="M298" s="316"/>
      <c r="N298" s="316"/>
      <c r="O298" s="315"/>
      <c r="P298" s="315"/>
      <c r="Q298" s="315"/>
      <c r="R298" s="315"/>
      <c r="S298" s="306"/>
      <c r="T298" s="315"/>
      <c r="U298" s="317"/>
      <c r="V298" s="318"/>
      <c r="W298" s="319"/>
      <c r="X298" s="319"/>
      <c r="Y298" s="314"/>
    </row>
    <row r="299" spans="1:27" ht="16.25" customHeight="1" x14ac:dyDescent="0.2">
      <c r="A299" s="306" t="s">
        <v>784</v>
      </c>
      <c r="B299" s="306" t="s">
        <v>806</v>
      </c>
      <c r="C299" s="307" t="s">
        <v>807</v>
      </c>
      <c r="D299" s="307" t="s">
        <v>808</v>
      </c>
      <c r="E299" s="315"/>
      <c r="F299" s="315"/>
      <c r="G299" s="143"/>
      <c r="H299" s="143"/>
      <c r="I299" s="308" t="s">
        <v>36</v>
      </c>
      <c r="J299" s="308" t="s">
        <v>242</v>
      </c>
      <c r="K299" s="316"/>
      <c r="L299" s="316"/>
      <c r="M299" s="316"/>
      <c r="N299" s="316"/>
      <c r="O299" s="315"/>
      <c r="P299" s="315"/>
      <c r="Q299" s="315"/>
      <c r="R299" s="315"/>
      <c r="S299" s="306" t="s">
        <v>51</v>
      </c>
      <c r="T299" s="315"/>
      <c r="U299" s="317">
        <v>10.6681127548218</v>
      </c>
      <c r="V299" s="318">
        <v>1</v>
      </c>
      <c r="W299" s="319">
        <f>IF(U299&lt;&gt;"",U299*V299,"")</f>
        <v>10.6681127548218</v>
      </c>
      <c r="X299" s="319" t="str">
        <f>IF(AND(U299&lt;&gt;"",S299="yes"),U299*V299,"")</f>
        <v/>
      </c>
      <c r="Y299" s="314"/>
    </row>
    <row r="300" spans="1:27" ht="16.25" customHeight="1" x14ac:dyDescent="0.2">
      <c r="A300" s="306" t="s">
        <v>784</v>
      </c>
      <c r="B300" s="306" t="s">
        <v>809</v>
      </c>
      <c r="C300" s="307" t="s">
        <v>810</v>
      </c>
      <c r="D300" s="307" t="s">
        <v>811</v>
      </c>
      <c r="E300" s="315"/>
      <c r="F300" s="315"/>
      <c r="G300" s="143"/>
      <c r="H300" s="143"/>
      <c r="I300" s="308" t="s">
        <v>36</v>
      </c>
      <c r="J300" s="308" t="s">
        <v>242</v>
      </c>
      <c r="K300" s="316"/>
      <c r="L300" s="316"/>
      <c r="M300" s="316"/>
      <c r="N300" s="316"/>
      <c r="O300" s="315"/>
      <c r="P300" s="315"/>
      <c r="Q300" s="315"/>
      <c r="R300" s="315"/>
      <c r="S300" s="306" t="s">
        <v>51</v>
      </c>
      <c r="T300" s="315"/>
      <c r="U300" s="317">
        <v>10.114131927490201</v>
      </c>
      <c r="V300" s="318">
        <v>1</v>
      </c>
      <c r="W300" s="319">
        <f>IF(U300&lt;&gt;"",U300*V300,"")</f>
        <v>10.114131927490201</v>
      </c>
      <c r="X300" s="319" t="str">
        <f>IF(AND(U300&lt;&gt;"",S300="yes"),U300*V300,"")</f>
        <v/>
      </c>
      <c r="Y300" s="314"/>
    </row>
    <row r="301" spans="1:27" ht="16.25" customHeight="1" x14ac:dyDescent="0.2">
      <c r="A301" s="306" t="s">
        <v>784</v>
      </c>
      <c r="B301" s="306" t="s">
        <v>812</v>
      </c>
      <c r="C301" s="307" t="s">
        <v>813</v>
      </c>
      <c r="D301" s="307" t="s">
        <v>814</v>
      </c>
      <c r="E301" s="315"/>
      <c r="F301" s="315"/>
      <c r="G301" s="143"/>
      <c r="H301" s="143"/>
      <c r="I301" s="308" t="s">
        <v>36</v>
      </c>
      <c r="J301" s="308" t="s">
        <v>242</v>
      </c>
      <c r="K301" s="316"/>
      <c r="L301" s="316"/>
      <c r="M301" s="316"/>
      <c r="N301" s="316"/>
      <c r="O301" s="315"/>
      <c r="P301" s="315"/>
      <c r="Q301" s="315"/>
      <c r="R301" s="315"/>
      <c r="S301" s="306" t="s">
        <v>51</v>
      </c>
      <c r="T301" s="315"/>
      <c r="U301" s="317">
        <v>10.8677053451538</v>
      </c>
      <c r="V301" s="318">
        <v>1</v>
      </c>
      <c r="W301" s="319">
        <f>IF(U301&lt;&gt;"",U301*V301,"")</f>
        <v>10.8677053451538</v>
      </c>
      <c r="X301" s="319" t="str">
        <f>IF(AND(U301&lt;&gt;"",S301="yes"),U301*V301,"")</f>
        <v/>
      </c>
      <c r="Y301" s="314"/>
    </row>
    <row r="302" spans="1:27" s="143" customFormat="1" ht="16" customHeight="1" x14ac:dyDescent="0.2">
      <c r="A302" s="289" t="s">
        <v>89</v>
      </c>
      <c r="B302" s="289"/>
      <c r="C302" s="289"/>
      <c r="D302" s="289"/>
      <c r="E302" s="291"/>
      <c r="H302" s="291"/>
      <c r="I302" s="289"/>
      <c r="W302" s="292"/>
      <c r="X302" s="321">
        <v>1</v>
      </c>
      <c r="Y302" s="292" t="str">
        <f t="shared" ref="Y302:Y341" si="14">IF(W302&lt;&gt;"",W302*X302,"")</f>
        <v/>
      </c>
      <c r="Z302" s="292" t="str">
        <f t="shared" ref="Z302:Z341" si="15">IF(AND(W302&lt;&gt;"",U302="yes"),W302*X302,"")</f>
        <v/>
      </c>
      <c r="AA302" s="294"/>
    </row>
    <row r="303" spans="1:27" ht="16" customHeight="1" x14ac:dyDescent="0.2">
      <c r="A303" s="33" t="s">
        <v>60</v>
      </c>
      <c r="B303" s="33" t="s">
        <v>815</v>
      </c>
      <c r="C303" s="47" t="s">
        <v>816</v>
      </c>
      <c r="D303" s="47" t="s">
        <v>816</v>
      </c>
      <c r="E303" s="41"/>
      <c r="F303" s="28"/>
      <c r="G303" s="28"/>
      <c r="H303" s="42"/>
      <c r="I303" s="71"/>
      <c r="J303" s="71"/>
      <c r="K303" s="71"/>
      <c r="L303" s="71"/>
      <c r="M303" s="71"/>
      <c r="N303" s="71"/>
      <c r="O303" s="71"/>
      <c r="P303" s="71"/>
      <c r="W303" s="126"/>
      <c r="X303" s="62">
        <v>1</v>
      </c>
      <c r="Y303" s="114" t="str">
        <f t="shared" si="14"/>
        <v/>
      </c>
      <c r="Z303" s="114" t="str">
        <f t="shared" si="15"/>
        <v/>
      </c>
    </row>
    <row r="304" spans="1:27" ht="32" customHeight="1" x14ac:dyDescent="0.2">
      <c r="A304" s="28" t="s">
        <v>63</v>
      </c>
      <c r="B304" s="28" t="s">
        <v>817</v>
      </c>
      <c r="C304" s="19" t="s">
        <v>818</v>
      </c>
      <c r="D304" s="19" t="s">
        <v>819</v>
      </c>
      <c r="E304" s="41"/>
      <c r="F304" s="28"/>
      <c r="G304" s="28"/>
      <c r="H304" s="42"/>
      <c r="I304" s="71" t="s">
        <v>55</v>
      </c>
      <c r="J304" s="71"/>
      <c r="K304" s="71"/>
      <c r="L304" s="71"/>
      <c r="M304" s="71"/>
      <c r="N304" s="71"/>
      <c r="O304" s="71"/>
      <c r="P304" s="71"/>
      <c r="U304" s="20" t="s">
        <v>37</v>
      </c>
      <c r="W304" s="126"/>
      <c r="X304" s="62">
        <v>1</v>
      </c>
      <c r="Y304" s="114" t="str">
        <f t="shared" si="14"/>
        <v/>
      </c>
      <c r="Z304" s="114" t="str">
        <f t="shared" si="15"/>
        <v/>
      </c>
    </row>
    <row r="305" spans="1:27" ht="48" customHeight="1" x14ac:dyDescent="0.2">
      <c r="A305" s="28" t="s">
        <v>820</v>
      </c>
      <c r="B305" s="28" t="s">
        <v>821</v>
      </c>
      <c r="C305" s="19" t="s">
        <v>822</v>
      </c>
      <c r="D305" s="19" t="s">
        <v>823</v>
      </c>
      <c r="E305" s="41"/>
      <c r="F305" s="28" t="s">
        <v>824</v>
      </c>
      <c r="G305" s="28" t="s">
        <v>825</v>
      </c>
      <c r="H305" s="42"/>
      <c r="I305" s="71" t="s">
        <v>36</v>
      </c>
      <c r="J305" s="71"/>
      <c r="K305" s="71"/>
      <c r="L305" s="71"/>
      <c r="M305" s="71"/>
      <c r="N305" s="71"/>
      <c r="O305" s="71"/>
      <c r="P305" s="71"/>
      <c r="U305" s="20" t="s">
        <v>37</v>
      </c>
      <c r="W305" s="126">
        <v>72.295135498046875</v>
      </c>
      <c r="X305" s="62">
        <v>1</v>
      </c>
      <c r="Y305" s="114">
        <f t="shared" si="14"/>
        <v>72.295135498046875</v>
      </c>
      <c r="Z305" s="114">
        <f t="shared" si="15"/>
        <v>72.295135498046875</v>
      </c>
    </row>
    <row r="306" spans="1:27" ht="64" customHeight="1" x14ac:dyDescent="0.2">
      <c r="A306" s="28" t="s">
        <v>63</v>
      </c>
      <c r="B306" s="28" t="s">
        <v>826</v>
      </c>
      <c r="C306" s="19" t="s">
        <v>827</v>
      </c>
      <c r="D306" s="21" t="s">
        <v>828</v>
      </c>
      <c r="E306" s="41"/>
      <c r="F306" s="28"/>
      <c r="G306" s="28"/>
      <c r="H306" s="42"/>
      <c r="I306" s="71" t="s">
        <v>55</v>
      </c>
      <c r="J306" s="71"/>
      <c r="K306" s="71"/>
      <c r="L306" s="71"/>
      <c r="M306" s="71"/>
      <c r="N306" s="71"/>
      <c r="O306" s="71"/>
      <c r="P306" s="71"/>
      <c r="U306" s="20" t="s">
        <v>37</v>
      </c>
      <c r="W306" s="126">
        <v>3.7052218914031978</v>
      </c>
      <c r="X306" s="62">
        <v>1</v>
      </c>
      <c r="Y306" s="114">
        <f t="shared" si="14"/>
        <v>3.7052218914031978</v>
      </c>
      <c r="Z306" s="114">
        <f t="shared" si="15"/>
        <v>3.7052218914031978</v>
      </c>
    </row>
    <row r="307" spans="1:27" ht="16" customHeight="1" x14ac:dyDescent="0.2">
      <c r="A307" s="28" t="s">
        <v>89</v>
      </c>
      <c r="B307" s="28"/>
      <c r="C307" s="19"/>
      <c r="D307" s="19"/>
      <c r="E307" s="41"/>
      <c r="F307" s="28"/>
      <c r="G307" s="28"/>
      <c r="H307" s="42"/>
      <c r="I307" s="71"/>
      <c r="J307" s="71"/>
      <c r="K307" s="71"/>
      <c r="L307" s="71"/>
      <c r="M307" s="71"/>
      <c r="N307" s="71"/>
      <c r="O307" s="71"/>
      <c r="P307" s="71"/>
      <c r="W307" s="126"/>
      <c r="X307" s="62">
        <v>1</v>
      </c>
      <c r="Y307" s="114" t="str">
        <f t="shared" si="14"/>
        <v/>
      </c>
      <c r="Z307" s="114" t="str">
        <f t="shared" si="15"/>
        <v/>
      </c>
    </row>
    <row r="308" spans="1:27" x14ac:dyDescent="0.2">
      <c r="A308" s="29"/>
      <c r="B308" s="29"/>
      <c r="E308" s="41"/>
      <c r="H308" s="42"/>
      <c r="W308" s="126"/>
      <c r="X308" s="62">
        <v>1</v>
      </c>
      <c r="Y308" s="114" t="str">
        <f t="shared" si="14"/>
        <v/>
      </c>
      <c r="Z308" s="114" t="str">
        <f t="shared" si="15"/>
        <v/>
      </c>
    </row>
    <row r="309" spans="1:27" s="30" customFormat="1" ht="16" customHeight="1" x14ac:dyDescent="0.2">
      <c r="A309" s="30" t="s">
        <v>60</v>
      </c>
      <c r="B309" s="30" t="s">
        <v>829</v>
      </c>
      <c r="C309" s="112" t="s">
        <v>830</v>
      </c>
      <c r="D309" s="112" t="s">
        <v>830</v>
      </c>
      <c r="E309" s="32"/>
      <c r="H309" s="36"/>
      <c r="I309" s="72"/>
      <c r="J309" s="72"/>
      <c r="K309" s="72"/>
      <c r="L309" s="72"/>
      <c r="M309" s="72"/>
      <c r="N309" s="72"/>
      <c r="O309" s="72"/>
      <c r="P309" s="72"/>
      <c r="U309" s="30" t="s">
        <v>51</v>
      </c>
      <c r="W309" s="126"/>
      <c r="X309" s="62">
        <v>1</v>
      </c>
      <c r="Y309" s="114" t="str">
        <f t="shared" si="14"/>
        <v/>
      </c>
      <c r="Z309" s="114" t="str">
        <f t="shared" si="15"/>
        <v/>
      </c>
    </row>
    <row r="310" spans="1:27" s="31" customFormat="1" ht="48" customHeight="1" x14ac:dyDescent="0.2">
      <c r="A310" s="31" t="s">
        <v>63</v>
      </c>
      <c r="B310" s="31" t="s">
        <v>831</v>
      </c>
      <c r="C310" s="31" t="s">
        <v>832</v>
      </c>
      <c r="D310" s="31" t="s">
        <v>833</v>
      </c>
      <c r="E310" s="32"/>
      <c r="H310" s="32"/>
      <c r="I310" s="72" t="s">
        <v>55</v>
      </c>
      <c r="J310" s="87"/>
      <c r="K310" s="87"/>
      <c r="L310" s="72"/>
      <c r="M310" s="87"/>
      <c r="N310" s="87"/>
      <c r="O310" s="87"/>
      <c r="P310" s="87"/>
      <c r="U310" s="31" t="s">
        <v>51</v>
      </c>
      <c r="W310" s="126">
        <v>0</v>
      </c>
      <c r="X310" s="62">
        <v>1</v>
      </c>
      <c r="Y310" s="114">
        <f t="shared" si="14"/>
        <v>0</v>
      </c>
      <c r="Z310" s="114" t="str">
        <f t="shared" si="15"/>
        <v/>
      </c>
    </row>
    <row r="311" spans="1:27" s="31" customFormat="1" ht="48" customHeight="1" x14ac:dyDescent="0.2">
      <c r="A311" s="31" t="s">
        <v>104</v>
      </c>
      <c r="B311" s="31" t="s">
        <v>834</v>
      </c>
      <c r="C311" s="31" t="s">
        <v>835</v>
      </c>
      <c r="D311" s="31" t="s">
        <v>836</v>
      </c>
      <c r="E311" s="32"/>
      <c r="F311" s="30" t="s">
        <v>837</v>
      </c>
      <c r="G311" s="30" t="s">
        <v>838</v>
      </c>
      <c r="H311" s="32"/>
      <c r="I311" s="72" t="s">
        <v>36</v>
      </c>
      <c r="J311" s="87"/>
      <c r="K311" s="87" t="s">
        <v>839</v>
      </c>
      <c r="L311" s="72" t="s">
        <v>840</v>
      </c>
      <c r="M311" s="87"/>
      <c r="N311" s="87"/>
      <c r="O311" s="87"/>
      <c r="P311" s="87"/>
      <c r="U311" s="31" t="s">
        <v>51</v>
      </c>
      <c r="W311" s="126">
        <v>17</v>
      </c>
      <c r="X311" s="62">
        <v>1</v>
      </c>
      <c r="Y311" s="114">
        <f t="shared" si="14"/>
        <v>17</v>
      </c>
      <c r="Z311" s="114" t="str">
        <f t="shared" si="15"/>
        <v/>
      </c>
    </row>
    <row r="312" spans="1:27" s="31" customFormat="1" ht="48" customHeight="1" x14ac:dyDescent="0.2">
      <c r="A312" s="31" t="s">
        <v>104</v>
      </c>
      <c r="B312" s="31" t="s">
        <v>841</v>
      </c>
      <c r="C312" s="31" t="s">
        <v>842</v>
      </c>
      <c r="D312" s="31" t="s">
        <v>843</v>
      </c>
      <c r="E312" s="32"/>
      <c r="F312" s="30" t="s">
        <v>837</v>
      </c>
      <c r="G312" s="30" t="s">
        <v>838</v>
      </c>
      <c r="H312" s="32"/>
      <c r="I312" s="72" t="s">
        <v>36</v>
      </c>
      <c r="J312" s="87"/>
      <c r="K312" s="87" t="s">
        <v>839</v>
      </c>
      <c r="L312" s="72" t="s">
        <v>840</v>
      </c>
      <c r="M312" s="87"/>
      <c r="N312" s="87"/>
      <c r="O312" s="87"/>
      <c r="P312" s="87"/>
      <c r="U312" s="31" t="s">
        <v>51</v>
      </c>
      <c r="W312" s="126">
        <v>17</v>
      </c>
      <c r="X312" s="62">
        <v>1</v>
      </c>
      <c r="Y312" s="114">
        <f t="shared" si="14"/>
        <v>17</v>
      </c>
      <c r="Z312" s="114" t="str">
        <f t="shared" si="15"/>
        <v/>
      </c>
    </row>
    <row r="313" spans="1:27" s="31" customFormat="1" ht="32" customHeight="1" x14ac:dyDescent="0.2">
      <c r="A313" s="31" t="s">
        <v>104</v>
      </c>
      <c r="B313" s="31" t="s">
        <v>844</v>
      </c>
      <c r="C313" s="31" t="s">
        <v>3114</v>
      </c>
      <c r="D313" s="31" t="s">
        <v>845</v>
      </c>
      <c r="E313" s="32"/>
      <c r="F313" s="30" t="s">
        <v>837</v>
      </c>
      <c r="G313" s="30" t="s">
        <v>838</v>
      </c>
      <c r="H313" s="32"/>
      <c r="I313" s="72" t="s">
        <v>36</v>
      </c>
      <c r="J313" s="87"/>
      <c r="K313" s="87" t="s">
        <v>839</v>
      </c>
      <c r="L313" s="72" t="s">
        <v>840</v>
      </c>
      <c r="M313" s="87"/>
      <c r="N313" s="87"/>
      <c r="O313" s="87"/>
      <c r="P313" s="87"/>
      <c r="U313" s="31" t="s">
        <v>51</v>
      </c>
      <c r="W313" s="126">
        <v>17</v>
      </c>
      <c r="X313" s="62">
        <v>1</v>
      </c>
      <c r="Y313" s="114">
        <f t="shared" si="14"/>
        <v>17</v>
      </c>
      <c r="Z313" s="114" t="str">
        <f t="shared" si="15"/>
        <v/>
      </c>
    </row>
    <row r="314" spans="1:27" s="31" customFormat="1" ht="32" customHeight="1" x14ac:dyDescent="0.2">
      <c r="A314" s="31" t="s">
        <v>104</v>
      </c>
      <c r="B314" s="31" t="s">
        <v>846</v>
      </c>
      <c r="C314" s="31" t="s">
        <v>3115</v>
      </c>
      <c r="D314" s="31" t="s">
        <v>847</v>
      </c>
      <c r="E314" s="32"/>
      <c r="F314" s="30" t="s">
        <v>837</v>
      </c>
      <c r="G314" s="30" t="s">
        <v>838</v>
      </c>
      <c r="H314" s="32"/>
      <c r="I314" s="72" t="s">
        <v>36</v>
      </c>
      <c r="J314" s="87"/>
      <c r="K314" s="87" t="s">
        <v>839</v>
      </c>
      <c r="L314" s="72" t="s">
        <v>840</v>
      </c>
      <c r="M314" s="87"/>
      <c r="N314" s="87"/>
      <c r="O314" s="87"/>
      <c r="P314" s="87"/>
      <c r="U314" s="31" t="s">
        <v>51</v>
      </c>
      <c r="W314" s="126">
        <v>17</v>
      </c>
      <c r="X314" s="62">
        <v>1</v>
      </c>
      <c r="Y314" s="114">
        <f t="shared" si="14"/>
        <v>17</v>
      </c>
      <c r="Z314" s="114" t="str">
        <f t="shared" si="15"/>
        <v/>
      </c>
    </row>
    <row r="315" spans="1:27" s="31" customFormat="1" ht="48" customHeight="1" x14ac:dyDescent="0.2">
      <c r="A315" s="31" t="s">
        <v>104</v>
      </c>
      <c r="B315" s="31" t="s">
        <v>848</v>
      </c>
      <c r="C315" s="31" t="s">
        <v>849</v>
      </c>
      <c r="D315" s="31" t="s">
        <v>850</v>
      </c>
      <c r="E315" s="32"/>
      <c r="F315" s="30" t="s">
        <v>837</v>
      </c>
      <c r="G315" s="30" t="s">
        <v>838</v>
      </c>
      <c r="H315" s="32"/>
      <c r="I315" s="72" t="s">
        <v>36</v>
      </c>
      <c r="J315" s="87"/>
      <c r="K315" s="87" t="s">
        <v>839</v>
      </c>
      <c r="L315" s="72" t="s">
        <v>840</v>
      </c>
      <c r="M315" s="87"/>
      <c r="N315" s="87"/>
      <c r="O315" s="87"/>
      <c r="P315" s="87"/>
      <c r="U315" s="31" t="s">
        <v>51</v>
      </c>
      <c r="W315" s="126">
        <v>17</v>
      </c>
      <c r="X315" s="62">
        <v>1</v>
      </c>
      <c r="Y315" s="114">
        <f t="shared" si="14"/>
        <v>17</v>
      </c>
      <c r="Z315" s="114" t="str">
        <f t="shared" si="15"/>
        <v/>
      </c>
    </row>
    <row r="316" spans="1:27" s="31" customFormat="1" ht="48" customHeight="1" x14ac:dyDescent="0.2">
      <c r="A316" s="31" t="s">
        <v>104</v>
      </c>
      <c r="B316" s="31" t="s">
        <v>851</v>
      </c>
      <c r="C316" s="31" t="s">
        <v>852</v>
      </c>
      <c r="D316" s="31" t="s">
        <v>853</v>
      </c>
      <c r="E316" s="32"/>
      <c r="F316" s="30" t="s">
        <v>837</v>
      </c>
      <c r="G316" s="30" t="s">
        <v>838</v>
      </c>
      <c r="H316" s="32"/>
      <c r="I316" s="72" t="s">
        <v>36</v>
      </c>
      <c r="J316" s="87"/>
      <c r="K316" s="87" t="s">
        <v>839</v>
      </c>
      <c r="L316" s="72" t="s">
        <v>840</v>
      </c>
      <c r="M316" s="87"/>
      <c r="N316" s="87"/>
      <c r="O316" s="87"/>
      <c r="P316" s="87"/>
      <c r="U316" s="31" t="s">
        <v>51</v>
      </c>
      <c r="W316" s="126">
        <v>17</v>
      </c>
      <c r="X316" s="62">
        <v>1</v>
      </c>
      <c r="Y316" s="114">
        <f t="shared" si="14"/>
        <v>17</v>
      </c>
      <c r="Z316" s="114" t="str">
        <f t="shared" si="15"/>
        <v/>
      </c>
    </row>
    <row r="317" spans="1:27" s="31" customFormat="1" ht="48" customHeight="1" x14ac:dyDescent="0.2">
      <c r="A317" s="31" t="s">
        <v>104</v>
      </c>
      <c r="B317" s="31" t="s">
        <v>854</v>
      </c>
      <c r="C317" s="31" t="s">
        <v>855</v>
      </c>
      <c r="D317" s="31" t="s">
        <v>856</v>
      </c>
      <c r="E317" s="32"/>
      <c r="F317" s="30" t="s">
        <v>837</v>
      </c>
      <c r="G317" s="30" t="s">
        <v>838</v>
      </c>
      <c r="H317" s="32"/>
      <c r="I317" s="72" t="s">
        <v>36</v>
      </c>
      <c r="J317" s="87"/>
      <c r="K317" s="87" t="s">
        <v>839</v>
      </c>
      <c r="L317" s="72" t="s">
        <v>840</v>
      </c>
      <c r="M317" s="87"/>
      <c r="N317" s="87"/>
      <c r="O317" s="87"/>
      <c r="P317" s="87"/>
      <c r="U317" s="31" t="s">
        <v>51</v>
      </c>
      <c r="W317" s="126">
        <v>17</v>
      </c>
      <c r="X317" s="62">
        <v>1</v>
      </c>
      <c r="Y317" s="114">
        <f t="shared" si="14"/>
        <v>17</v>
      </c>
      <c r="Z317" s="114" t="str">
        <f t="shared" si="15"/>
        <v/>
      </c>
    </row>
    <row r="318" spans="1:27" s="31" customFormat="1" ht="48" customHeight="1" x14ac:dyDescent="0.2">
      <c r="A318" s="31" t="s">
        <v>104</v>
      </c>
      <c r="B318" s="31" t="s">
        <v>857</v>
      </c>
      <c r="C318" s="31" t="s">
        <v>858</v>
      </c>
      <c r="D318" s="31" t="s">
        <v>859</v>
      </c>
      <c r="E318" s="32"/>
      <c r="F318" s="30" t="s">
        <v>837</v>
      </c>
      <c r="G318" s="30" t="s">
        <v>838</v>
      </c>
      <c r="H318" s="32"/>
      <c r="I318" s="72" t="s">
        <v>36</v>
      </c>
      <c r="J318" s="87"/>
      <c r="K318" s="87" t="s">
        <v>839</v>
      </c>
      <c r="L318" s="72" t="s">
        <v>840</v>
      </c>
      <c r="M318" s="87"/>
      <c r="N318" s="87"/>
      <c r="O318" s="87"/>
      <c r="P318" s="87"/>
      <c r="U318" s="31" t="s">
        <v>51</v>
      </c>
      <c r="W318" s="126">
        <v>17</v>
      </c>
      <c r="X318" s="62">
        <v>1</v>
      </c>
      <c r="Y318" s="114">
        <f t="shared" si="14"/>
        <v>17</v>
      </c>
      <c r="Z318" s="114" t="str">
        <f t="shared" si="15"/>
        <v/>
      </c>
    </row>
    <row r="319" spans="1:27" s="31" customFormat="1" ht="48" customHeight="1" x14ac:dyDescent="0.2">
      <c r="A319" s="31" t="s">
        <v>104</v>
      </c>
      <c r="B319" s="31" t="s">
        <v>860</v>
      </c>
      <c r="C319" s="31" t="s">
        <v>861</v>
      </c>
      <c r="D319" s="31" t="s">
        <v>862</v>
      </c>
      <c r="E319" s="32"/>
      <c r="F319" s="30" t="s">
        <v>837</v>
      </c>
      <c r="G319" s="30" t="s">
        <v>838</v>
      </c>
      <c r="H319" s="32"/>
      <c r="I319" s="72" t="s">
        <v>36</v>
      </c>
      <c r="J319" s="87"/>
      <c r="K319" s="87" t="s">
        <v>839</v>
      </c>
      <c r="L319" s="72" t="s">
        <v>840</v>
      </c>
      <c r="M319" s="87"/>
      <c r="N319" s="87"/>
      <c r="O319" s="87"/>
      <c r="P319" s="87"/>
      <c r="U319" s="31" t="s">
        <v>51</v>
      </c>
      <c r="W319" s="126">
        <v>17</v>
      </c>
      <c r="X319" s="62">
        <v>1</v>
      </c>
      <c r="Y319" s="114">
        <f t="shared" si="14"/>
        <v>17</v>
      </c>
      <c r="Z319" s="114" t="str">
        <f t="shared" si="15"/>
        <v/>
      </c>
    </row>
    <row r="320" spans="1:27" s="30" customFormat="1" x14ac:dyDescent="0.2">
      <c r="A320" s="30" t="s">
        <v>89</v>
      </c>
      <c r="C320" s="31"/>
      <c r="D320" s="31"/>
      <c r="E320" s="32"/>
      <c r="H320" s="36"/>
      <c r="I320" s="72"/>
      <c r="J320" s="72"/>
      <c r="K320" s="72"/>
      <c r="L320" s="72"/>
      <c r="M320" s="72"/>
      <c r="N320" s="72"/>
      <c r="O320" s="72"/>
      <c r="P320" s="72"/>
      <c r="W320" s="126">
        <v>17</v>
      </c>
      <c r="X320" s="62">
        <v>1</v>
      </c>
      <c r="Y320" s="114">
        <f t="shared" si="14"/>
        <v>17</v>
      </c>
      <c r="Z320" s="114" t="str">
        <f t="shared" si="15"/>
        <v/>
      </c>
      <c r="AA320" s="29"/>
    </row>
    <row r="321" spans="1:27" s="30" customFormat="1" x14ac:dyDescent="0.2">
      <c r="C321" s="31"/>
      <c r="D321" s="31"/>
      <c r="E321" s="32"/>
      <c r="H321" s="36"/>
      <c r="I321" s="72"/>
      <c r="J321" s="72"/>
      <c r="K321" s="72"/>
      <c r="L321" s="72"/>
      <c r="M321" s="72"/>
      <c r="N321" s="72"/>
      <c r="O321" s="72"/>
      <c r="P321" s="72"/>
      <c r="W321" s="126">
        <v>17</v>
      </c>
      <c r="X321" s="62">
        <v>1</v>
      </c>
      <c r="Y321" s="114">
        <f t="shared" si="14"/>
        <v>17</v>
      </c>
      <c r="Z321" s="114" t="str">
        <f t="shared" si="15"/>
        <v/>
      </c>
      <c r="AA321" s="29"/>
    </row>
    <row r="322" spans="1:27" s="30" customFormat="1" ht="16" customHeight="1" x14ac:dyDescent="0.2">
      <c r="A322" s="30" t="s">
        <v>60</v>
      </c>
      <c r="B322" s="30" t="s">
        <v>863</v>
      </c>
      <c r="C322" s="112" t="s">
        <v>864</v>
      </c>
      <c r="D322" s="112" t="s">
        <v>864</v>
      </c>
      <c r="E322" s="32"/>
      <c r="H322" s="36"/>
      <c r="I322" s="72"/>
      <c r="J322" s="72"/>
      <c r="K322" s="72"/>
      <c r="L322" s="72"/>
      <c r="M322" s="72"/>
      <c r="N322" s="72"/>
      <c r="O322" s="72"/>
      <c r="P322" s="72"/>
      <c r="U322" s="30" t="s">
        <v>51</v>
      </c>
      <c r="W322" s="126"/>
      <c r="X322" s="62">
        <v>1</v>
      </c>
      <c r="Y322" s="114" t="str">
        <f t="shared" si="14"/>
        <v/>
      </c>
      <c r="Z322" s="114" t="str">
        <f t="shared" si="15"/>
        <v/>
      </c>
    </row>
    <row r="323" spans="1:27" s="30" customFormat="1" ht="48" customHeight="1" x14ac:dyDescent="0.2">
      <c r="A323" s="30" t="s">
        <v>63</v>
      </c>
      <c r="B323" s="30" t="s">
        <v>865</v>
      </c>
      <c r="C323" s="31" t="s">
        <v>866</v>
      </c>
      <c r="D323" s="31" t="s">
        <v>867</v>
      </c>
      <c r="E323" s="32"/>
      <c r="H323" s="36"/>
      <c r="I323" s="72" t="s">
        <v>55</v>
      </c>
      <c r="J323" s="72"/>
      <c r="K323" s="72"/>
      <c r="L323" s="72"/>
      <c r="M323" s="72"/>
      <c r="N323" s="72"/>
      <c r="O323" s="72"/>
      <c r="P323" s="72"/>
      <c r="U323" s="30" t="s">
        <v>51</v>
      </c>
      <c r="W323" s="126">
        <v>17</v>
      </c>
      <c r="X323" s="62">
        <v>1</v>
      </c>
      <c r="Y323" s="114">
        <f t="shared" si="14"/>
        <v>17</v>
      </c>
      <c r="Z323" s="114" t="str">
        <f t="shared" si="15"/>
        <v/>
      </c>
    </row>
    <row r="324" spans="1:27" s="30" customFormat="1" ht="48" customHeight="1" x14ac:dyDescent="0.2">
      <c r="A324" s="30" t="s">
        <v>104</v>
      </c>
      <c r="B324" s="30" t="s">
        <v>868</v>
      </c>
      <c r="C324" s="31" t="s">
        <v>869</v>
      </c>
      <c r="D324" s="31" t="s">
        <v>870</v>
      </c>
      <c r="E324" s="32"/>
      <c r="F324" s="30" t="s">
        <v>871</v>
      </c>
      <c r="G324" s="30" t="s">
        <v>872</v>
      </c>
      <c r="H324" s="36"/>
      <c r="I324" s="72" t="s">
        <v>36</v>
      </c>
      <c r="J324" s="72"/>
      <c r="K324" s="72" t="s">
        <v>839</v>
      </c>
      <c r="L324" s="72" t="s">
        <v>840</v>
      </c>
      <c r="M324" s="72"/>
      <c r="N324" s="72"/>
      <c r="O324" s="72"/>
      <c r="P324" s="72"/>
      <c r="U324" s="30" t="s">
        <v>51</v>
      </c>
      <c r="W324" s="126">
        <v>17</v>
      </c>
      <c r="X324" s="62">
        <v>1</v>
      </c>
      <c r="Y324" s="114">
        <f t="shared" si="14"/>
        <v>17</v>
      </c>
      <c r="Z324" s="114" t="str">
        <f t="shared" si="15"/>
        <v/>
      </c>
    </row>
    <row r="325" spans="1:27" s="30" customFormat="1" ht="48" customHeight="1" x14ac:dyDescent="0.2">
      <c r="A325" s="30" t="s">
        <v>104</v>
      </c>
      <c r="B325" s="30" t="s">
        <v>873</v>
      </c>
      <c r="C325" s="31" t="s">
        <v>874</v>
      </c>
      <c r="D325" s="31" t="s">
        <v>875</v>
      </c>
      <c r="E325" s="32"/>
      <c r="F325" s="30" t="s">
        <v>871</v>
      </c>
      <c r="G325" s="30" t="s">
        <v>872</v>
      </c>
      <c r="H325" s="36"/>
      <c r="I325" s="72" t="s">
        <v>36</v>
      </c>
      <c r="J325" s="72"/>
      <c r="K325" s="72" t="s">
        <v>839</v>
      </c>
      <c r="L325" s="72" t="s">
        <v>840</v>
      </c>
      <c r="M325" s="72"/>
      <c r="N325" s="72"/>
      <c r="O325" s="72"/>
      <c r="P325" s="72"/>
      <c r="U325" s="30" t="s">
        <v>51</v>
      </c>
      <c r="W325" s="126">
        <v>17</v>
      </c>
      <c r="X325" s="62">
        <v>1</v>
      </c>
      <c r="Y325" s="114">
        <f t="shared" si="14"/>
        <v>17</v>
      </c>
      <c r="Z325" s="114" t="str">
        <f t="shared" si="15"/>
        <v/>
      </c>
    </row>
    <row r="326" spans="1:27" s="30" customFormat="1" ht="48" customHeight="1" x14ac:dyDescent="0.2">
      <c r="A326" s="30" t="s">
        <v>104</v>
      </c>
      <c r="B326" s="30" t="s">
        <v>876</v>
      </c>
      <c r="C326" s="31" t="s">
        <v>877</v>
      </c>
      <c r="D326" s="31" t="s">
        <v>878</v>
      </c>
      <c r="E326" s="32"/>
      <c r="F326" s="30" t="s">
        <v>871</v>
      </c>
      <c r="G326" s="30" t="s">
        <v>872</v>
      </c>
      <c r="H326" s="36"/>
      <c r="I326" s="72" t="s">
        <v>36</v>
      </c>
      <c r="J326" s="72"/>
      <c r="K326" s="72" t="s">
        <v>839</v>
      </c>
      <c r="L326" s="72" t="s">
        <v>840</v>
      </c>
      <c r="M326" s="72"/>
      <c r="N326" s="72"/>
      <c r="O326" s="72"/>
      <c r="P326" s="72"/>
      <c r="U326" s="30" t="s">
        <v>51</v>
      </c>
      <c r="W326" s="126">
        <v>17</v>
      </c>
      <c r="X326" s="62">
        <v>1</v>
      </c>
      <c r="Y326" s="114">
        <f t="shared" si="14"/>
        <v>17</v>
      </c>
      <c r="Z326" s="114" t="str">
        <f t="shared" si="15"/>
        <v/>
      </c>
    </row>
    <row r="327" spans="1:27" s="30" customFormat="1" ht="48" customHeight="1" x14ac:dyDescent="0.2">
      <c r="A327" s="30" t="s">
        <v>104</v>
      </c>
      <c r="B327" s="30" t="s">
        <v>879</v>
      </c>
      <c r="C327" s="31" t="s">
        <v>880</v>
      </c>
      <c r="D327" s="31" t="s">
        <v>881</v>
      </c>
      <c r="E327" s="32"/>
      <c r="F327" s="30" t="s">
        <v>871</v>
      </c>
      <c r="G327" s="30" t="s">
        <v>872</v>
      </c>
      <c r="H327" s="36"/>
      <c r="I327" s="72" t="s">
        <v>36</v>
      </c>
      <c r="J327" s="72"/>
      <c r="K327" s="72" t="s">
        <v>839</v>
      </c>
      <c r="L327" s="72" t="s">
        <v>840</v>
      </c>
      <c r="M327" s="72"/>
      <c r="N327" s="72"/>
      <c r="O327" s="72"/>
      <c r="P327" s="72"/>
      <c r="U327" s="30" t="s">
        <v>51</v>
      </c>
      <c r="W327" s="126">
        <v>17</v>
      </c>
      <c r="X327" s="62">
        <v>1</v>
      </c>
      <c r="Y327" s="114">
        <f t="shared" si="14"/>
        <v>17</v>
      </c>
      <c r="Z327" s="114" t="str">
        <f t="shared" si="15"/>
        <v/>
      </c>
    </row>
    <row r="328" spans="1:27" s="30" customFormat="1" ht="48" customHeight="1" x14ac:dyDescent="0.2">
      <c r="A328" s="30" t="s">
        <v>104</v>
      </c>
      <c r="B328" s="30" t="s">
        <v>882</v>
      </c>
      <c r="C328" s="31" t="s">
        <v>883</v>
      </c>
      <c r="D328" s="31" t="s">
        <v>884</v>
      </c>
      <c r="E328" s="32"/>
      <c r="F328" s="30" t="s">
        <v>871</v>
      </c>
      <c r="G328" s="30" t="s">
        <v>872</v>
      </c>
      <c r="H328" s="36"/>
      <c r="I328" s="72" t="s">
        <v>36</v>
      </c>
      <c r="J328" s="72"/>
      <c r="K328" s="72" t="s">
        <v>839</v>
      </c>
      <c r="L328" s="72" t="s">
        <v>840</v>
      </c>
      <c r="M328" s="72"/>
      <c r="N328" s="72"/>
      <c r="O328" s="72"/>
      <c r="P328" s="72"/>
      <c r="U328" s="30" t="s">
        <v>51</v>
      </c>
      <c r="W328" s="126">
        <v>17</v>
      </c>
      <c r="X328" s="62">
        <v>1</v>
      </c>
      <c r="Y328" s="114">
        <f t="shared" si="14"/>
        <v>17</v>
      </c>
      <c r="Z328" s="114" t="str">
        <f t="shared" si="15"/>
        <v/>
      </c>
    </row>
    <row r="329" spans="1:27" s="30" customFormat="1" x14ac:dyDescent="0.2">
      <c r="A329" s="30" t="s">
        <v>89</v>
      </c>
      <c r="C329" s="31"/>
      <c r="D329" s="31"/>
      <c r="E329" s="32"/>
      <c r="H329" s="36"/>
      <c r="I329" s="72"/>
      <c r="J329" s="72"/>
      <c r="K329" s="72"/>
      <c r="L329" s="72"/>
      <c r="M329" s="72"/>
      <c r="N329" s="72"/>
      <c r="O329" s="72"/>
      <c r="P329" s="72"/>
      <c r="W329" s="126"/>
      <c r="X329" s="62">
        <v>1</v>
      </c>
      <c r="Y329" s="114" t="str">
        <f t="shared" si="14"/>
        <v/>
      </c>
      <c r="Z329" s="114" t="str">
        <f t="shared" si="15"/>
        <v/>
      </c>
    </row>
    <row r="330" spans="1:27" s="30" customFormat="1" x14ac:dyDescent="0.2">
      <c r="C330" s="31"/>
      <c r="D330" s="31"/>
      <c r="E330" s="32"/>
      <c r="H330" s="36"/>
      <c r="I330" s="72"/>
      <c r="J330" s="72"/>
      <c r="K330" s="72"/>
      <c r="L330" s="72"/>
      <c r="M330" s="72"/>
      <c r="N330" s="72"/>
      <c r="O330" s="72"/>
      <c r="P330" s="72"/>
      <c r="W330" s="126"/>
      <c r="X330" s="62">
        <v>1</v>
      </c>
      <c r="Y330" s="114" t="str">
        <f t="shared" si="14"/>
        <v/>
      </c>
      <c r="Z330" s="114" t="str">
        <f t="shared" si="15"/>
        <v/>
      </c>
    </row>
    <row r="331" spans="1:27" ht="16" customHeight="1" thickBot="1" x14ac:dyDescent="0.25">
      <c r="A331" s="55" t="s">
        <v>89</v>
      </c>
      <c r="B331" s="55"/>
      <c r="C331" s="56"/>
      <c r="D331" s="56"/>
      <c r="E331" s="63"/>
      <c r="F331" s="55"/>
      <c r="G331" s="55"/>
      <c r="H331" s="64"/>
      <c r="I331" s="84"/>
      <c r="J331" s="84"/>
      <c r="K331" s="84"/>
      <c r="L331" s="84"/>
      <c r="M331" s="84"/>
      <c r="N331" s="84"/>
      <c r="O331" s="84"/>
      <c r="P331" s="84"/>
      <c r="W331" s="126"/>
      <c r="Y331" s="114" t="str">
        <f t="shared" si="14"/>
        <v/>
      </c>
      <c r="Z331" s="114" t="str">
        <f t="shared" si="15"/>
        <v/>
      </c>
    </row>
    <row r="332" spans="1:27" s="26" customFormat="1" ht="15" customHeight="1" thickTop="1" x14ac:dyDescent="0.2">
      <c r="A332" s="23" t="s">
        <v>60</v>
      </c>
      <c r="B332" s="23" t="s">
        <v>885</v>
      </c>
      <c r="C332" s="47" t="s">
        <v>886</v>
      </c>
      <c r="D332" s="47" t="s">
        <v>886</v>
      </c>
      <c r="E332" s="24"/>
      <c r="F332" s="23"/>
      <c r="G332" s="23"/>
      <c r="H332" s="25"/>
      <c r="I332" s="76" t="s">
        <v>55</v>
      </c>
      <c r="J332" s="76"/>
      <c r="K332" s="76"/>
      <c r="L332" s="76"/>
      <c r="M332" s="77" t="s">
        <v>887</v>
      </c>
      <c r="N332" s="76"/>
      <c r="O332" s="76"/>
      <c r="P332" s="76"/>
      <c r="U332" s="20" t="s">
        <v>37</v>
      </c>
      <c r="W332" s="126"/>
      <c r="X332" s="27"/>
      <c r="Y332" s="114" t="str">
        <f t="shared" si="14"/>
        <v/>
      </c>
      <c r="Z332" s="114" t="str">
        <f t="shared" si="15"/>
        <v/>
      </c>
      <c r="AA332" s="27"/>
    </row>
    <row r="333" spans="1:27" s="26" customFormat="1" ht="15" customHeight="1" x14ac:dyDescent="0.2">
      <c r="C333" s="48"/>
      <c r="D333" s="48"/>
      <c r="E333" s="24"/>
      <c r="H333" s="25"/>
      <c r="I333" s="77"/>
      <c r="J333" s="77"/>
      <c r="K333" s="77"/>
      <c r="L333" s="77"/>
      <c r="M333" s="77"/>
      <c r="N333" s="77"/>
      <c r="O333" s="77"/>
      <c r="P333" s="77"/>
      <c r="U333" s="20"/>
      <c r="W333" s="126"/>
      <c r="X333" s="62">
        <v>1</v>
      </c>
      <c r="Y333" s="114" t="str">
        <f t="shared" si="14"/>
        <v/>
      </c>
      <c r="Z333" s="114" t="str">
        <f t="shared" si="15"/>
        <v/>
      </c>
      <c r="AA333" s="27"/>
    </row>
    <row r="334" spans="1:27" ht="48" customHeight="1" x14ac:dyDescent="0.2">
      <c r="A334" s="28" t="s">
        <v>171</v>
      </c>
      <c r="B334" s="28" t="s">
        <v>888</v>
      </c>
      <c r="C334" s="19" t="s">
        <v>889</v>
      </c>
      <c r="D334" s="19" t="s">
        <v>890</v>
      </c>
      <c r="E334" s="41"/>
      <c r="F334" s="28"/>
      <c r="G334" s="28"/>
      <c r="H334" s="42"/>
      <c r="I334" s="71" t="s">
        <v>36</v>
      </c>
      <c r="J334" s="71"/>
      <c r="K334" s="71"/>
      <c r="L334" s="71"/>
      <c r="M334" s="71"/>
      <c r="N334" s="71"/>
      <c r="O334" s="71"/>
      <c r="P334" s="71"/>
      <c r="U334" s="20" t="s">
        <v>37</v>
      </c>
      <c r="W334" s="126">
        <v>19.828245162963871</v>
      </c>
      <c r="X334" s="62">
        <v>1</v>
      </c>
      <c r="Y334" s="114">
        <f t="shared" si="14"/>
        <v>19.828245162963871</v>
      </c>
      <c r="Z334" s="114">
        <f t="shared" si="15"/>
        <v>19.828245162963871</v>
      </c>
    </row>
    <row r="335" spans="1:27" ht="48" customHeight="1" x14ac:dyDescent="0.2">
      <c r="A335" s="28" t="s">
        <v>891</v>
      </c>
      <c r="B335" s="28" t="s">
        <v>892</v>
      </c>
      <c r="C335" s="19" t="s">
        <v>893</v>
      </c>
      <c r="D335" s="19" t="s">
        <v>894</v>
      </c>
      <c r="E335" s="41"/>
      <c r="F335" s="28" t="s">
        <v>895</v>
      </c>
      <c r="G335" s="33" t="s">
        <v>896</v>
      </c>
      <c r="H335" s="42"/>
      <c r="I335" s="71" t="s">
        <v>36</v>
      </c>
      <c r="J335" s="71"/>
      <c r="K335" s="73" t="s">
        <v>581</v>
      </c>
      <c r="L335" s="71"/>
      <c r="M335" s="71" t="s">
        <v>897</v>
      </c>
      <c r="N335" s="71"/>
      <c r="O335" s="71"/>
      <c r="P335" s="71"/>
      <c r="U335" s="20" t="s">
        <v>37</v>
      </c>
      <c r="W335" s="126">
        <v>49.529693603515618</v>
      </c>
      <c r="X335" s="62">
        <v>1</v>
      </c>
      <c r="Y335" s="114">
        <f t="shared" si="14"/>
        <v>49.529693603515618</v>
      </c>
      <c r="Z335" s="114">
        <f t="shared" si="15"/>
        <v>49.529693603515618</v>
      </c>
    </row>
    <row r="336" spans="1:27" ht="16" customHeight="1" x14ac:dyDescent="0.2">
      <c r="A336" s="28" t="s">
        <v>42</v>
      </c>
      <c r="B336" s="28" t="s">
        <v>898</v>
      </c>
      <c r="C336" s="34" t="s">
        <v>461</v>
      </c>
      <c r="D336" s="19" t="s">
        <v>462</v>
      </c>
      <c r="E336" s="52"/>
      <c r="F336" s="29" t="s">
        <v>463</v>
      </c>
      <c r="G336" s="29" t="s">
        <v>705</v>
      </c>
      <c r="H336" s="42"/>
      <c r="I336" s="71" t="s">
        <v>36</v>
      </c>
      <c r="J336" s="71"/>
      <c r="K336" s="71"/>
      <c r="L336" s="71"/>
      <c r="M336" s="71" t="s">
        <v>899</v>
      </c>
      <c r="N336" s="71"/>
      <c r="O336" s="71"/>
      <c r="P336" s="71"/>
      <c r="U336" s="20" t="s">
        <v>37</v>
      </c>
      <c r="W336" s="126"/>
      <c r="X336" s="62">
        <v>1</v>
      </c>
      <c r="Y336" s="114" t="str">
        <f t="shared" si="14"/>
        <v/>
      </c>
      <c r="Z336" s="114" t="str">
        <f t="shared" si="15"/>
        <v/>
      </c>
    </row>
    <row r="337" spans="1:27" x14ac:dyDescent="0.2">
      <c r="E337" s="41"/>
      <c r="G337" s="29"/>
      <c r="H337" s="42"/>
      <c r="W337" s="126"/>
      <c r="X337" s="62">
        <v>1</v>
      </c>
      <c r="Y337" s="114" t="str">
        <f t="shared" si="14"/>
        <v/>
      </c>
      <c r="Z337" s="114" t="str">
        <f t="shared" si="15"/>
        <v/>
      </c>
    </row>
    <row r="338" spans="1:27" s="29" customFormat="1" ht="32" customHeight="1" x14ac:dyDescent="0.2">
      <c r="A338" s="33" t="s">
        <v>900</v>
      </c>
      <c r="B338" s="33" t="s">
        <v>901</v>
      </c>
      <c r="C338" s="34" t="s">
        <v>902</v>
      </c>
      <c r="D338" s="19" t="s">
        <v>903</v>
      </c>
      <c r="E338" s="52"/>
      <c r="F338" s="33" t="s">
        <v>904</v>
      </c>
      <c r="G338" s="33" t="s">
        <v>905</v>
      </c>
      <c r="H338" s="54"/>
      <c r="I338" s="73" t="s">
        <v>36</v>
      </c>
      <c r="J338" s="73"/>
      <c r="K338" s="73" t="s">
        <v>906</v>
      </c>
      <c r="L338" s="73"/>
      <c r="M338" s="73"/>
      <c r="N338" s="73"/>
      <c r="O338" s="73"/>
      <c r="P338" s="73"/>
      <c r="U338" s="29" t="s">
        <v>37</v>
      </c>
      <c r="W338" s="126">
        <v>22.029750823974609</v>
      </c>
      <c r="X338" s="62">
        <v>1</v>
      </c>
      <c r="Y338" s="114">
        <f t="shared" si="14"/>
        <v>22.029750823974609</v>
      </c>
      <c r="Z338" s="114">
        <f t="shared" si="15"/>
        <v>22.029750823974609</v>
      </c>
    </row>
    <row r="339" spans="1:27" s="29" customFormat="1" ht="16" customHeight="1" x14ac:dyDescent="0.2">
      <c r="A339" s="33" t="s">
        <v>42</v>
      </c>
      <c r="B339" s="33" t="s">
        <v>907</v>
      </c>
      <c r="C339" s="34" t="s">
        <v>461</v>
      </c>
      <c r="D339" s="19" t="s">
        <v>462</v>
      </c>
      <c r="E339" s="52"/>
      <c r="F339" s="33" t="s">
        <v>463</v>
      </c>
      <c r="G339" s="29" t="s">
        <v>705</v>
      </c>
      <c r="H339" s="54"/>
      <c r="I339" s="73" t="s">
        <v>36</v>
      </c>
      <c r="J339" s="73"/>
      <c r="K339" s="73"/>
      <c r="L339" s="73"/>
      <c r="M339" s="73" t="s">
        <v>908</v>
      </c>
      <c r="N339" s="73"/>
      <c r="O339" s="73"/>
      <c r="P339" s="73"/>
      <c r="U339" s="29" t="s">
        <v>37</v>
      </c>
      <c r="W339" s="126"/>
      <c r="X339" s="62">
        <v>1</v>
      </c>
      <c r="Y339" s="114" t="str">
        <f t="shared" si="14"/>
        <v/>
      </c>
      <c r="Z339" s="114" t="str">
        <f t="shared" si="15"/>
        <v/>
      </c>
    </row>
    <row r="340" spans="1:27" s="29" customFormat="1" ht="16" customHeight="1" x14ac:dyDescent="0.2">
      <c r="A340" s="33" t="s">
        <v>909</v>
      </c>
      <c r="B340" s="33" t="s">
        <v>910</v>
      </c>
      <c r="C340" s="34" t="s">
        <v>911</v>
      </c>
      <c r="D340" s="19" t="s">
        <v>912</v>
      </c>
      <c r="E340" s="52"/>
      <c r="F340" s="33" t="s">
        <v>913</v>
      </c>
      <c r="G340" s="33" t="s">
        <v>914</v>
      </c>
      <c r="H340" s="54"/>
      <c r="I340" s="73" t="s">
        <v>36</v>
      </c>
      <c r="J340" s="73"/>
      <c r="K340" s="73"/>
      <c r="L340" s="73"/>
      <c r="M340" s="73" t="s">
        <v>915</v>
      </c>
      <c r="N340" s="73"/>
      <c r="O340" s="73"/>
      <c r="P340" s="73"/>
      <c r="U340" s="29" t="s">
        <v>37</v>
      </c>
      <c r="W340" s="126">
        <v>17</v>
      </c>
      <c r="X340" s="62">
        <v>1</v>
      </c>
      <c r="Y340" s="114">
        <f t="shared" si="14"/>
        <v>17</v>
      </c>
      <c r="Z340" s="114">
        <f t="shared" si="15"/>
        <v>17</v>
      </c>
    </row>
    <row r="341" spans="1:27" s="30" customFormat="1" x14ac:dyDescent="0.2">
      <c r="C341" s="31"/>
      <c r="D341" s="31"/>
      <c r="E341" s="32"/>
      <c r="H341" s="36"/>
      <c r="I341" s="72"/>
      <c r="J341" s="72"/>
      <c r="K341" s="72"/>
      <c r="L341" s="72"/>
      <c r="M341" s="72"/>
      <c r="N341" s="72"/>
      <c r="O341" s="72"/>
      <c r="P341" s="72"/>
      <c r="R341" s="20"/>
      <c r="W341" s="126"/>
      <c r="X341" s="62">
        <v>1</v>
      </c>
      <c r="Y341" s="114" t="str">
        <f t="shared" si="14"/>
        <v/>
      </c>
      <c r="Z341" s="114" t="str">
        <f t="shared" si="15"/>
        <v/>
      </c>
      <c r="AA341" s="29"/>
    </row>
    <row r="342" spans="1:27" s="30" customFormat="1" ht="16" customHeight="1" x14ac:dyDescent="0.2">
      <c r="A342" s="30" t="s">
        <v>916</v>
      </c>
      <c r="B342" s="30" t="s">
        <v>917</v>
      </c>
      <c r="C342" s="31" t="s">
        <v>918</v>
      </c>
      <c r="D342" s="31" t="s">
        <v>919</v>
      </c>
      <c r="E342" s="32"/>
      <c r="F342" s="30" t="s">
        <v>920</v>
      </c>
      <c r="G342" s="30" t="s">
        <v>475</v>
      </c>
      <c r="H342" s="36"/>
      <c r="I342" s="72" t="s">
        <v>36</v>
      </c>
      <c r="J342" s="72"/>
      <c r="K342" s="83" t="s">
        <v>581</v>
      </c>
      <c r="L342" s="72"/>
      <c r="M342" s="83" t="s">
        <v>915</v>
      </c>
      <c r="N342" s="72"/>
      <c r="O342" s="72"/>
      <c r="P342" s="72"/>
      <c r="R342" s="20"/>
      <c r="U342" s="30" t="s">
        <v>51</v>
      </c>
      <c r="W342" s="126"/>
      <c r="X342" s="62"/>
      <c r="Y342" s="114"/>
      <c r="Z342" s="114"/>
      <c r="AA342" s="29"/>
    </row>
    <row r="343" spans="1:27" s="30" customFormat="1" x14ac:dyDescent="0.2">
      <c r="C343" s="31"/>
      <c r="D343" s="31"/>
      <c r="E343" s="32"/>
      <c r="H343" s="36"/>
      <c r="I343" s="72"/>
      <c r="J343" s="72"/>
      <c r="K343" s="72"/>
      <c r="L343" s="72"/>
      <c r="M343" s="72"/>
      <c r="N343" s="72"/>
      <c r="O343" s="72"/>
      <c r="P343" s="72"/>
      <c r="R343" s="20"/>
      <c r="W343" s="126"/>
      <c r="X343" s="62"/>
      <c r="Y343" s="114"/>
      <c r="Z343" s="114"/>
      <c r="AA343" s="29"/>
    </row>
    <row r="344" spans="1:27" ht="16" customHeight="1" thickBot="1" x14ac:dyDescent="0.25">
      <c r="A344" s="55" t="s">
        <v>89</v>
      </c>
      <c r="B344" s="55"/>
      <c r="C344" s="56"/>
      <c r="D344" s="56"/>
      <c r="E344" s="63"/>
      <c r="F344" s="55"/>
      <c r="G344" s="55"/>
      <c r="H344" s="64"/>
      <c r="I344" s="84"/>
      <c r="J344" s="84"/>
      <c r="K344" s="84"/>
      <c r="L344" s="84"/>
      <c r="M344" s="84"/>
      <c r="N344" s="84"/>
      <c r="O344" s="84"/>
      <c r="P344" s="84"/>
      <c r="W344" s="126"/>
      <c r="Y344" s="114" t="str">
        <f t="shared" ref="Y344:Y356" si="16">IF(W344&lt;&gt;"",W344*X344,"")</f>
        <v/>
      </c>
      <c r="Z344" s="114" t="str">
        <f t="shared" ref="Z344:Z356" si="17">IF(AND(W344&lt;&gt;"",U344="yes"),W344*X344,"")</f>
        <v/>
      </c>
    </row>
    <row r="345" spans="1:27" s="26" customFormat="1" ht="17" customHeight="1" thickTop="1" x14ac:dyDescent="0.2">
      <c r="A345" s="23" t="s">
        <v>60</v>
      </c>
      <c r="B345" s="23" t="s">
        <v>921</v>
      </c>
      <c r="C345" s="47" t="s">
        <v>922</v>
      </c>
      <c r="D345" s="47" t="s">
        <v>922</v>
      </c>
      <c r="E345" s="24"/>
      <c r="F345" s="23"/>
      <c r="G345" s="23"/>
      <c r="H345" s="25"/>
      <c r="I345" s="76" t="s">
        <v>55</v>
      </c>
      <c r="J345" s="76"/>
      <c r="K345" s="76"/>
      <c r="L345" s="76"/>
      <c r="M345" s="77" t="s">
        <v>170</v>
      </c>
      <c r="N345" s="76"/>
      <c r="O345" s="76"/>
      <c r="P345" s="76"/>
      <c r="U345" s="20" t="s">
        <v>37</v>
      </c>
      <c r="W345" s="126"/>
      <c r="X345" s="113"/>
      <c r="Y345" s="114" t="str">
        <f t="shared" si="16"/>
        <v/>
      </c>
      <c r="Z345" s="114" t="str">
        <f t="shared" si="17"/>
        <v/>
      </c>
      <c r="AA345" s="27"/>
    </row>
    <row r="346" spans="1:27" s="26" customFormat="1" x14ac:dyDescent="0.2">
      <c r="C346" s="48"/>
      <c r="D346" s="48"/>
      <c r="E346" s="24"/>
      <c r="H346" s="25"/>
      <c r="I346" s="77"/>
      <c r="J346" s="77"/>
      <c r="K346" s="77"/>
      <c r="L346" s="77"/>
      <c r="M346" s="77"/>
      <c r="N346" s="77"/>
      <c r="O346" s="77"/>
      <c r="P346" s="77"/>
      <c r="U346" s="20"/>
      <c r="W346" s="126"/>
      <c r="X346" s="62">
        <v>1</v>
      </c>
      <c r="Y346" s="114" t="str">
        <f t="shared" si="16"/>
        <v/>
      </c>
      <c r="Z346" s="114" t="str">
        <f t="shared" si="17"/>
        <v/>
      </c>
      <c r="AA346" s="27"/>
    </row>
    <row r="347" spans="1:27" ht="32" customHeight="1" x14ac:dyDescent="0.2">
      <c r="A347" s="28" t="s">
        <v>69</v>
      </c>
      <c r="B347" s="28" t="s">
        <v>923</v>
      </c>
      <c r="C347" s="19" t="s">
        <v>924</v>
      </c>
      <c r="D347" s="34" t="s">
        <v>925</v>
      </c>
      <c r="E347" s="41"/>
      <c r="F347" s="28"/>
      <c r="G347" s="28"/>
      <c r="H347" s="42"/>
      <c r="I347" s="71" t="s">
        <v>36</v>
      </c>
      <c r="J347" s="71"/>
      <c r="K347" s="71"/>
      <c r="L347" s="71"/>
      <c r="M347" s="71"/>
      <c r="N347" s="71"/>
      <c r="O347" s="71"/>
      <c r="P347" s="71"/>
      <c r="U347" s="20" t="s">
        <v>37</v>
      </c>
      <c r="W347" s="126">
        <v>36.783046722412109</v>
      </c>
      <c r="X347" s="62">
        <v>1</v>
      </c>
      <c r="Y347" s="114">
        <f t="shared" si="16"/>
        <v>36.783046722412109</v>
      </c>
      <c r="Z347" s="114">
        <f t="shared" si="17"/>
        <v>36.783046722412109</v>
      </c>
    </row>
    <row r="348" spans="1:27" x14ac:dyDescent="0.2">
      <c r="D348" s="22"/>
      <c r="E348" s="41"/>
      <c r="H348" s="42"/>
      <c r="W348" s="126"/>
      <c r="X348" s="62">
        <v>1</v>
      </c>
      <c r="Y348" s="114" t="str">
        <f t="shared" si="16"/>
        <v/>
      </c>
      <c r="Z348" s="114" t="str">
        <f t="shared" si="17"/>
        <v/>
      </c>
    </row>
    <row r="349" spans="1:27" s="30" customFormat="1" ht="16" customHeight="1" x14ac:dyDescent="0.2">
      <c r="A349" s="107" t="s">
        <v>926</v>
      </c>
      <c r="B349" s="107" t="s">
        <v>927</v>
      </c>
      <c r="C349" s="123" t="s">
        <v>928</v>
      </c>
      <c r="D349" s="123" t="s">
        <v>929</v>
      </c>
      <c r="E349" s="110"/>
      <c r="F349" s="107" t="s">
        <v>930</v>
      </c>
      <c r="G349" s="107" t="s">
        <v>931</v>
      </c>
      <c r="H349" s="111"/>
      <c r="I349" s="106" t="s">
        <v>36</v>
      </c>
      <c r="J349" s="106"/>
      <c r="K349" s="88"/>
      <c r="L349" s="106"/>
      <c r="M349" s="106" t="s">
        <v>932</v>
      </c>
      <c r="N349" s="81"/>
      <c r="O349" s="81"/>
      <c r="P349" s="81"/>
      <c r="U349" s="109" t="s">
        <v>121</v>
      </c>
      <c r="W349" s="126">
        <v>10</v>
      </c>
      <c r="X349" s="62">
        <v>1</v>
      </c>
      <c r="Y349" s="114">
        <f t="shared" si="16"/>
        <v>10</v>
      </c>
      <c r="Z349" s="114" t="str">
        <f t="shared" si="17"/>
        <v/>
      </c>
      <c r="AA349" s="29"/>
    </row>
    <row r="350" spans="1:27" s="30" customFormat="1" ht="16" customHeight="1" x14ac:dyDescent="0.2">
      <c r="A350" s="107" t="s">
        <v>933</v>
      </c>
      <c r="B350" s="107" t="s">
        <v>934</v>
      </c>
      <c r="C350" s="123" t="s">
        <v>935</v>
      </c>
      <c r="D350" s="123" t="s">
        <v>936</v>
      </c>
      <c r="E350" s="110"/>
      <c r="F350" s="107" t="s">
        <v>930</v>
      </c>
      <c r="G350" s="107" t="s">
        <v>931</v>
      </c>
      <c r="H350" s="111"/>
      <c r="I350" s="106" t="s">
        <v>36</v>
      </c>
      <c r="J350" s="106"/>
      <c r="K350" s="88"/>
      <c r="L350" s="106"/>
      <c r="M350" s="106" t="s">
        <v>932</v>
      </c>
      <c r="N350" s="81"/>
      <c r="O350" s="81"/>
      <c r="P350" s="81"/>
      <c r="U350" s="109" t="s">
        <v>121</v>
      </c>
      <c r="W350" s="126">
        <v>10</v>
      </c>
      <c r="X350" s="62">
        <v>1</v>
      </c>
      <c r="Y350" s="114">
        <f t="shared" si="16"/>
        <v>10</v>
      </c>
      <c r="Z350" s="114" t="str">
        <f t="shared" si="17"/>
        <v/>
      </c>
      <c r="AA350" s="29"/>
    </row>
    <row r="351" spans="1:27" s="30" customFormat="1" x14ac:dyDescent="0.2">
      <c r="C351" s="31"/>
      <c r="D351" s="22"/>
      <c r="E351" s="32"/>
      <c r="H351" s="36"/>
      <c r="I351" s="72"/>
      <c r="J351" s="72"/>
      <c r="K351" s="72"/>
      <c r="L351" s="72"/>
      <c r="M351" s="72"/>
      <c r="N351" s="72"/>
      <c r="O351" s="72"/>
      <c r="P351" s="72"/>
      <c r="W351" s="126"/>
      <c r="X351" s="62">
        <v>1</v>
      </c>
      <c r="Y351" s="114" t="str">
        <f t="shared" si="16"/>
        <v/>
      </c>
      <c r="Z351" s="114" t="str">
        <f t="shared" si="17"/>
        <v/>
      </c>
      <c r="AA351" s="29"/>
    </row>
    <row r="352" spans="1:27" ht="16" customHeight="1" x14ac:dyDescent="0.2">
      <c r="A352" s="28" t="s">
        <v>937</v>
      </c>
      <c r="B352" s="28" t="s">
        <v>938</v>
      </c>
      <c r="C352" s="19" t="s">
        <v>939</v>
      </c>
      <c r="D352" s="34" t="s">
        <v>940</v>
      </c>
      <c r="E352" s="41"/>
      <c r="F352" s="28"/>
      <c r="G352" s="28"/>
      <c r="H352" s="42"/>
      <c r="I352" s="71" t="s">
        <v>36</v>
      </c>
      <c r="J352" s="71"/>
      <c r="K352" s="71"/>
      <c r="L352" s="71"/>
      <c r="M352" s="71"/>
      <c r="N352" s="71"/>
      <c r="O352" s="71"/>
      <c r="P352" s="71"/>
      <c r="U352" s="20" t="s">
        <v>37</v>
      </c>
      <c r="W352" s="126">
        <v>3</v>
      </c>
      <c r="X352" s="62">
        <v>1</v>
      </c>
      <c r="Y352" s="114">
        <f t="shared" si="16"/>
        <v>3</v>
      </c>
      <c r="Z352" s="114">
        <f t="shared" si="17"/>
        <v>3</v>
      </c>
    </row>
    <row r="353" spans="1:26" x14ac:dyDescent="0.2">
      <c r="D353" s="22"/>
      <c r="E353" s="41"/>
      <c r="H353" s="42"/>
      <c r="W353" s="126"/>
      <c r="X353" s="62">
        <v>1</v>
      </c>
      <c r="Y353" s="114" t="str">
        <f t="shared" si="16"/>
        <v/>
      </c>
      <c r="Z353" s="114" t="str">
        <f t="shared" si="17"/>
        <v/>
      </c>
    </row>
    <row r="354" spans="1:26" ht="16" customHeight="1" x14ac:dyDescent="0.2">
      <c r="A354" s="28" t="s">
        <v>63</v>
      </c>
      <c r="B354" s="28" t="s">
        <v>941</v>
      </c>
      <c r="C354" s="19" t="s">
        <v>942</v>
      </c>
      <c r="D354" s="34" t="s">
        <v>943</v>
      </c>
      <c r="E354" s="41"/>
      <c r="F354" s="28"/>
      <c r="G354" s="28"/>
      <c r="H354" s="42"/>
      <c r="I354" s="71" t="s">
        <v>55</v>
      </c>
      <c r="J354" s="71"/>
      <c r="K354" s="71"/>
      <c r="L354" s="71"/>
      <c r="M354" s="71"/>
      <c r="N354" s="71"/>
      <c r="O354" s="71"/>
      <c r="P354" s="71"/>
      <c r="U354" s="20" t="s">
        <v>51</v>
      </c>
      <c r="W354" s="126">
        <v>0</v>
      </c>
      <c r="X354" s="62">
        <v>1</v>
      </c>
      <c r="Y354" s="114">
        <f t="shared" si="16"/>
        <v>0</v>
      </c>
      <c r="Z354" s="114" t="str">
        <f t="shared" si="17"/>
        <v/>
      </c>
    </row>
    <row r="355" spans="1:26" x14ac:dyDescent="0.2">
      <c r="E355" s="41"/>
      <c r="H355" s="42"/>
      <c r="W355" s="126"/>
      <c r="X355" s="62">
        <v>1</v>
      </c>
      <c r="Y355" s="114" t="str">
        <f t="shared" si="16"/>
        <v/>
      </c>
      <c r="Z355" s="114" t="str">
        <f t="shared" si="17"/>
        <v/>
      </c>
    </row>
    <row r="356" spans="1:26" ht="16" customHeight="1" thickBot="1" x14ac:dyDescent="0.25">
      <c r="A356" s="55" t="s">
        <v>89</v>
      </c>
      <c r="B356" s="55"/>
      <c r="C356" s="56"/>
      <c r="D356" s="56"/>
      <c r="E356" s="63"/>
      <c r="F356" s="55"/>
      <c r="G356" s="55"/>
      <c r="H356" s="64"/>
      <c r="I356" s="84"/>
      <c r="J356" s="84"/>
      <c r="K356" s="84"/>
      <c r="L356" s="84"/>
      <c r="M356" s="84"/>
      <c r="N356" s="84"/>
      <c r="O356" s="84"/>
      <c r="P356" s="84"/>
      <c r="W356" s="126"/>
      <c r="Y356" s="114" t="str">
        <f t="shared" si="16"/>
        <v/>
      </c>
      <c r="Z356" s="114" t="str">
        <f t="shared" si="17"/>
        <v/>
      </c>
    </row>
    <row r="357" spans="1:26" s="30" customFormat="1" ht="16" customHeight="1" thickTop="1" x14ac:dyDescent="0.2">
      <c r="C357" s="31"/>
      <c r="D357" s="31"/>
      <c r="E357" s="31"/>
      <c r="I357" s="72"/>
      <c r="J357" s="72"/>
      <c r="K357" s="72"/>
      <c r="L357" s="72"/>
      <c r="M357" s="72"/>
      <c r="N357" s="72"/>
      <c r="O357" s="72"/>
      <c r="P357" s="72"/>
      <c r="W357" s="126"/>
      <c r="X357" s="118"/>
      <c r="Y357" s="117"/>
    </row>
    <row r="358" spans="1:26" ht="16" customHeight="1" x14ac:dyDescent="0.2">
      <c r="A358" s="28" t="s">
        <v>944</v>
      </c>
      <c r="B358" s="28" t="s">
        <v>945</v>
      </c>
      <c r="C358" s="19" t="s">
        <v>946</v>
      </c>
      <c r="D358" s="19" t="s">
        <v>947</v>
      </c>
      <c r="F358" s="28"/>
      <c r="G358" s="28"/>
      <c r="I358" s="71" t="s">
        <v>36</v>
      </c>
      <c r="J358" s="71"/>
      <c r="K358" s="71"/>
      <c r="L358" s="71"/>
      <c r="M358" s="78" t="s">
        <v>93</v>
      </c>
      <c r="N358" s="71"/>
      <c r="O358" s="71"/>
      <c r="P358" s="71"/>
      <c r="U358" s="20" t="s">
        <v>51</v>
      </c>
      <c r="W358" s="126"/>
      <c r="Y358" s="114"/>
    </row>
    <row r="359" spans="1:26" s="30" customFormat="1" ht="16" customHeight="1" x14ac:dyDescent="0.2">
      <c r="A359" s="30" t="s">
        <v>42</v>
      </c>
      <c r="B359" s="30" t="s">
        <v>948</v>
      </c>
      <c r="C359" s="31" t="s">
        <v>949</v>
      </c>
      <c r="D359" s="31" t="s">
        <v>950</v>
      </c>
      <c r="E359" s="32"/>
      <c r="F359" s="30" t="s">
        <v>951</v>
      </c>
      <c r="G359" s="30" t="s">
        <v>952</v>
      </c>
      <c r="H359" s="36"/>
      <c r="I359" s="72" t="s">
        <v>55</v>
      </c>
      <c r="J359" s="72"/>
      <c r="K359" s="72"/>
      <c r="L359" s="72"/>
      <c r="M359" s="72"/>
      <c r="N359" s="72"/>
      <c r="O359" s="72"/>
      <c r="P359" s="72"/>
      <c r="U359" s="30" t="s">
        <v>51</v>
      </c>
      <c r="W359" s="126"/>
      <c r="X359" s="62"/>
      <c r="Y359" s="114"/>
      <c r="Z359" s="114" t="str">
        <f>IF(AND(W359&lt;&gt;"",U359="yes"),W359*X359,"")</f>
        <v/>
      </c>
    </row>
    <row r="360" spans="1:26" x14ac:dyDescent="0.2">
      <c r="A360" s="28" t="s">
        <v>26</v>
      </c>
      <c r="B360" s="28" t="s">
        <v>953</v>
      </c>
      <c r="C360" s="19"/>
      <c r="D360" s="19"/>
      <c r="F360" s="28"/>
      <c r="G360" s="28"/>
      <c r="I360" s="71" t="s">
        <v>55</v>
      </c>
      <c r="J360" s="71"/>
      <c r="K360" s="71"/>
      <c r="L360" s="71"/>
      <c r="M360" s="71"/>
      <c r="N360" s="71"/>
      <c r="O360" s="71"/>
      <c r="P360" s="71" t="s">
        <v>954</v>
      </c>
      <c r="U360" s="20" t="s">
        <v>51</v>
      </c>
      <c r="W360" s="126"/>
    </row>
    <row r="361" spans="1:26" x14ac:dyDescent="0.2">
      <c r="W361" s="126"/>
    </row>
    <row r="365" spans="1:26" ht="16" customHeight="1" thickBot="1" x14ac:dyDescent="0.25"/>
    <row r="366" spans="1:26" ht="17" customHeight="1" thickBot="1" x14ac:dyDescent="0.25">
      <c r="S366" s="134" t="s">
        <v>955</v>
      </c>
      <c r="T366" s="135"/>
      <c r="U366" s="135"/>
      <c r="V366" s="135"/>
      <c r="W366" s="128"/>
      <c r="X366" s="119"/>
      <c r="Y366" s="120" t="e">
        <f>(SUM(Y4:Y354)/60)</f>
        <v>#REF!</v>
      </c>
      <c r="Z366" s="120">
        <f>(SUM(Z4:Z57)+AVERAGE(Z58:Z60)+SUM(Z61:Z354))/60</f>
        <v>232.76171937559815</v>
      </c>
    </row>
  </sheetData>
  <sheetProtection algorithmName="SHA-512" hashValue="cIZIwp0qn8ymoeQNfpXvHL5J0Q2iLMqPmkQ6+fOs16tJAkvtJVKsD1Sr/SLYBQmJEIldnSx1gPkf3ikNPP0ylA==" saltValue="KM7bbN+iRibAQT2s4Abejg=="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76"/>
  <sheetViews>
    <sheetView zoomScale="110" zoomScaleNormal="110" workbookViewId="0">
      <pane ySplit="1" topLeftCell="A890" activePane="bottomLeft" state="frozen"/>
      <selection pane="bottomLeft" activeCell="D906" sqref="D906"/>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8" width="8.83203125" style="3" customWidth="1"/>
    <col min="9" max="16384" width="8.83203125" style="3"/>
  </cols>
  <sheetData>
    <row r="1" spans="1:6" x14ac:dyDescent="0.2">
      <c r="A1" s="2" t="s">
        <v>956</v>
      </c>
      <c r="B1" s="2" t="s">
        <v>1</v>
      </c>
      <c r="C1" s="2" t="s">
        <v>2</v>
      </c>
      <c r="D1" s="2" t="s">
        <v>3</v>
      </c>
      <c r="E1" s="1" t="s">
        <v>4</v>
      </c>
      <c r="F1" s="6" t="s">
        <v>957</v>
      </c>
    </row>
    <row r="2" spans="1:6" s="12" customFormat="1" x14ac:dyDescent="0.2">
      <c r="A2" s="12" t="s">
        <v>958</v>
      </c>
      <c r="B2" s="136">
        <v>1</v>
      </c>
      <c r="C2" s="136" t="s">
        <v>959</v>
      </c>
      <c r="D2" s="243" t="s">
        <v>960</v>
      </c>
      <c r="E2" s="137"/>
      <c r="F2" s="138"/>
    </row>
    <row r="3" spans="1:6" s="12" customFormat="1" x14ac:dyDescent="0.2">
      <c r="A3" s="12" t="s">
        <v>958</v>
      </c>
      <c r="B3" s="136">
        <v>2</v>
      </c>
      <c r="C3" s="136" t="s">
        <v>961</v>
      </c>
      <c r="D3" s="243" t="s">
        <v>962</v>
      </c>
      <c r="E3" s="137"/>
      <c r="F3" s="138"/>
    </row>
    <row r="4" spans="1:6" s="12" customFormat="1" x14ac:dyDescent="0.2">
      <c r="A4" s="12" t="s">
        <v>958</v>
      </c>
      <c r="B4" s="136">
        <v>3</v>
      </c>
      <c r="C4" s="136" t="s">
        <v>963</v>
      </c>
      <c r="D4" s="243" t="s">
        <v>964</v>
      </c>
      <c r="E4" s="137"/>
      <c r="F4" s="138"/>
    </row>
    <row r="5" spans="1:6" s="12" customFormat="1" x14ac:dyDescent="0.2">
      <c r="A5" s="12" t="s">
        <v>958</v>
      </c>
      <c r="B5" s="136">
        <v>4</v>
      </c>
      <c r="C5" s="136" t="s">
        <v>965</v>
      </c>
      <c r="D5" s="243" t="s">
        <v>966</v>
      </c>
      <c r="E5" s="137"/>
      <c r="F5" s="138"/>
    </row>
    <row r="6" spans="1:6" x14ac:dyDescent="0.2">
      <c r="A6" s="2"/>
      <c r="B6" s="2"/>
      <c r="C6" s="2"/>
      <c r="D6" s="2"/>
      <c r="E6" s="1"/>
      <c r="F6" s="2"/>
    </row>
    <row r="7" spans="1:6" x14ac:dyDescent="0.2">
      <c r="A7" t="s">
        <v>33</v>
      </c>
      <c r="B7" s="3">
        <v>1</v>
      </c>
      <c r="C7" s="5" t="s">
        <v>967</v>
      </c>
      <c r="D7" s="244" t="s">
        <v>968</v>
      </c>
      <c r="E7" s="4"/>
      <c r="F7" s="139"/>
    </row>
    <row r="8" spans="1:6" x14ac:dyDescent="0.2">
      <c r="A8" t="s">
        <v>33</v>
      </c>
      <c r="B8" s="3">
        <v>2</v>
      </c>
      <c r="C8" s="5" t="s">
        <v>969</v>
      </c>
      <c r="D8" s="244" t="s">
        <v>970</v>
      </c>
      <c r="E8" s="4"/>
      <c r="F8" s="139"/>
    </row>
    <row r="9" spans="1:6" x14ac:dyDescent="0.2">
      <c r="A9" t="s">
        <v>33</v>
      </c>
      <c r="B9" s="3">
        <v>3</v>
      </c>
      <c r="C9" s="5" t="s">
        <v>971</v>
      </c>
      <c r="D9" s="244" t="s">
        <v>972</v>
      </c>
      <c r="E9" s="4"/>
      <c r="F9" s="139"/>
    </row>
    <row r="10" spans="1:6" x14ac:dyDescent="0.2">
      <c r="E10" s="4"/>
    </row>
    <row r="11" spans="1:6" x14ac:dyDescent="0.2">
      <c r="A11" t="s">
        <v>973</v>
      </c>
      <c r="B11">
        <v>1</v>
      </c>
      <c r="C11" t="s">
        <v>974</v>
      </c>
      <c r="D11" t="s">
        <v>975</v>
      </c>
      <c r="E11" s="4"/>
    </row>
    <row r="12" spans="1:6" x14ac:dyDescent="0.2">
      <c r="A12" t="s">
        <v>973</v>
      </c>
      <c r="B12">
        <v>2</v>
      </c>
      <c r="C12" t="s">
        <v>976</v>
      </c>
      <c r="D12" t="s">
        <v>977</v>
      </c>
      <c r="E12" s="4"/>
    </row>
    <row r="13" spans="1:6" x14ac:dyDescent="0.2">
      <c r="A13" t="s">
        <v>973</v>
      </c>
      <c r="B13" s="260">
        <v>3</v>
      </c>
      <c r="C13" t="s">
        <v>978</v>
      </c>
      <c r="D13" t="s">
        <v>979</v>
      </c>
      <c r="E13" s="4"/>
    </row>
    <row r="14" spans="1:6" x14ac:dyDescent="0.2">
      <c r="A14" t="s">
        <v>973</v>
      </c>
      <c r="B14" s="260">
        <v>4</v>
      </c>
      <c r="C14" t="s">
        <v>980</v>
      </c>
      <c r="D14" t="s">
        <v>981</v>
      </c>
      <c r="E14" s="4"/>
    </row>
    <row r="15" spans="1:6" x14ac:dyDescent="0.2">
      <c r="E15" s="4"/>
    </row>
    <row r="16" spans="1:6" x14ac:dyDescent="0.2">
      <c r="A16" t="s">
        <v>982</v>
      </c>
      <c r="B16" t="s">
        <v>982</v>
      </c>
      <c r="C16" t="s">
        <v>982</v>
      </c>
      <c r="D16" t="s">
        <v>983</v>
      </c>
      <c r="E16" s="4"/>
    </row>
    <row r="17" spans="1:7" x14ac:dyDescent="0.2">
      <c r="E17" s="4"/>
    </row>
    <row r="18" spans="1:7" x14ac:dyDescent="0.2">
      <c r="A18" t="s">
        <v>984</v>
      </c>
      <c r="B18">
        <v>1</v>
      </c>
      <c r="C18" t="s">
        <v>974</v>
      </c>
      <c r="D18" t="s">
        <v>985</v>
      </c>
      <c r="E18" s="4"/>
    </row>
    <row r="19" spans="1:7" ht="16" customHeight="1" x14ac:dyDescent="0.2">
      <c r="A19" t="s">
        <v>984</v>
      </c>
      <c r="B19">
        <v>2</v>
      </c>
      <c r="C19" t="s">
        <v>976</v>
      </c>
      <c r="D19" t="s">
        <v>976</v>
      </c>
      <c r="E19" s="4"/>
      <c r="G19" s="264"/>
    </row>
    <row r="20" spans="1:7" x14ac:dyDescent="0.2">
      <c r="E20" s="4"/>
    </row>
    <row r="21" spans="1:7" s="10" customFormat="1" x14ac:dyDescent="0.2">
      <c r="A21" s="13" t="s">
        <v>986</v>
      </c>
      <c r="B21" s="13" t="s">
        <v>987</v>
      </c>
      <c r="C21" s="13" t="s">
        <v>988</v>
      </c>
      <c r="D21" s="13" t="s">
        <v>989</v>
      </c>
      <c r="E21" s="7"/>
    </row>
    <row r="22" spans="1:7" s="10" customFormat="1" x14ac:dyDescent="0.2">
      <c r="A22" s="261" t="s">
        <v>986</v>
      </c>
      <c r="B22" s="261" t="s">
        <v>990</v>
      </c>
      <c r="C22" s="261" t="s">
        <v>991</v>
      </c>
      <c r="D22" s="261" t="s">
        <v>992</v>
      </c>
      <c r="E22" s="7"/>
    </row>
    <row r="23" spans="1:7" s="10" customFormat="1" x14ac:dyDescent="0.2">
      <c r="A23" s="13" t="s">
        <v>986</v>
      </c>
      <c r="B23" s="5" t="s">
        <v>993</v>
      </c>
      <c r="C23" s="5" t="s">
        <v>993</v>
      </c>
      <c r="D23" s="5"/>
      <c r="E23" s="7"/>
    </row>
    <row r="24" spans="1:7" x14ac:dyDescent="0.2">
      <c r="E24" s="4"/>
    </row>
    <row r="25" spans="1:7" x14ac:dyDescent="0.2">
      <c r="A25" t="s">
        <v>994</v>
      </c>
      <c r="B25">
        <v>1</v>
      </c>
      <c r="C25" t="s">
        <v>995</v>
      </c>
      <c r="D25" t="s">
        <v>996</v>
      </c>
      <c r="E25" s="4"/>
    </row>
    <row r="26" spans="1:7" x14ac:dyDescent="0.2">
      <c r="A26" t="s">
        <v>994</v>
      </c>
      <c r="B26">
        <v>2</v>
      </c>
      <c r="C26" t="s">
        <v>997</v>
      </c>
      <c r="D26" t="s">
        <v>998</v>
      </c>
      <c r="E26" s="4"/>
    </row>
    <row r="27" spans="1:7" x14ac:dyDescent="0.2">
      <c r="A27" t="s">
        <v>994</v>
      </c>
      <c r="B27" s="260">
        <v>3</v>
      </c>
      <c r="C27" s="261" t="s">
        <v>978</v>
      </c>
      <c r="D27" t="s">
        <v>979</v>
      </c>
      <c r="E27" s="4"/>
    </row>
    <row r="28" spans="1:7" x14ac:dyDescent="0.2">
      <c r="A28" t="s">
        <v>994</v>
      </c>
      <c r="B28" s="260">
        <v>4</v>
      </c>
      <c r="C28" s="261" t="s">
        <v>980</v>
      </c>
      <c r="D28" t="s">
        <v>981</v>
      </c>
      <c r="E28" s="4"/>
    </row>
    <row r="29" spans="1:7" x14ac:dyDescent="0.2">
      <c r="C29" s="13"/>
      <c r="D29" s="13"/>
      <c r="E29" s="4"/>
    </row>
    <row r="30" spans="1:7" x14ac:dyDescent="0.2">
      <c r="A30" t="s">
        <v>999</v>
      </c>
      <c r="B30">
        <v>1</v>
      </c>
      <c r="C30" s="261" t="s">
        <v>1000</v>
      </c>
      <c r="D30" s="261" t="s">
        <v>1001</v>
      </c>
      <c r="E30" s="4"/>
    </row>
    <row r="31" spans="1:7" x14ac:dyDescent="0.2">
      <c r="A31" t="s">
        <v>999</v>
      </c>
      <c r="B31">
        <v>2</v>
      </c>
      <c r="C31" s="3" t="s">
        <v>1002</v>
      </c>
      <c r="D31" s="261" t="s">
        <v>1003</v>
      </c>
      <c r="E31" s="4"/>
    </row>
    <row r="32" spans="1:7" x14ac:dyDescent="0.2">
      <c r="A32" t="s">
        <v>999</v>
      </c>
      <c r="B32">
        <v>3</v>
      </c>
      <c r="C32" s="261" t="s">
        <v>1004</v>
      </c>
      <c r="D32" s="261" t="s">
        <v>1005</v>
      </c>
      <c r="E32" s="4"/>
    </row>
    <row r="33" spans="1:5" x14ac:dyDescent="0.2">
      <c r="A33" t="s">
        <v>999</v>
      </c>
      <c r="B33">
        <v>4</v>
      </c>
      <c r="C33" s="261" t="s">
        <v>977</v>
      </c>
      <c r="D33" s="261" t="s">
        <v>977</v>
      </c>
      <c r="E33" s="4"/>
    </row>
    <row r="34" spans="1:5" x14ac:dyDescent="0.2">
      <c r="C34" s="13"/>
      <c r="D34" s="13"/>
      <c r="E34" s="4"/>
    </row>
    <row r="35" spans="1:5" x14ac:dyDescent="0.2">
      <c r="A35" t="s">
        <v>1006</v>
      </c>
      <c r="B35">
        <v>1</v>
      </c>
      <c r="C35" t="s">
        <v>1007</v>
      </c>
      <c r="D35" t="s">
        <v>1008</v>
      </c>
      <c r="E35" s="4"/>
    </row>
    <row r="36" spans="1:5" x14ac:dyDescent="0.2">
      <c r="A36" t="s">
        <v>1006</v>
      </c>
      <c r="B36">
        <v>2</v>
      </c>
      <c r="C36" t="s">
        <v>1009</v>
      </c>
      <c r="D36" t="s">
        <v>1010</v>
      </c>
      <c r="E36" s="4"/>
    </row>
    <row r="37" spans="1:5" x14ac:dyDescent="0.2">
      <c r="A37" t="s">
        <v>1006</v>
      </c>
      <c r="B37">
        <v>3</v>
      </c>
      <c r="C37" t="s">
        <v>1011</v>
      </c>
      <c r="D37" t="s">
        <v>1012</v>
      </c>
      <c r="E37" s="4"/>
    </row>
    <row r="38" spans="1:5" x14ac:dyDescent="0.2">
      <c r="A38" t="s">
        <v>1006</v>
      </c>
      <c r="B38">
        <v>4</v>
      </c>
      <c r="C38" t="s">
        <v>976</v>
      </c>
      <c r="D38" t="s">
        <v>976</v>
      </c>
      <c r="E38" s="4"/>
    </row>
    <row r="39" spans="1:5" x14ac:dyDescent="0.2">
      <c r="A39" t="s">
        <v>1006</v>
      </c>
      <c r="B39" s="260">
        <v>5</v>
      </c>
      <c r="C39" s="261" t="s">
        <v>978</v>
      </c>
      <c r="D39" t="s">
        <v>979</v>
      </c>
      <c r="E39" s="4"/>
    </row>
    <row r="40" spans="1:5" x14ac:dyDescent="0.2">
      <c r="A40" t="s">
        <v>1006</v>
      </c>
      <c r="B40" s="260">
        <v>6</v>
      </c>
      <c r="C40" t="s">
        <v>980</v>
      </c>
      <c r="D40" t="s">
        <v>981</v>
      </c>
      <c r="E40" s="4"/>
    </row>
    <row r="41" spans="1:5" x14ac:dyDescent="0.2">
      <c r="E41" s="4"/>
    </row>
    <row r="42" spans="1:5" x14ac:dyDescent="0.2">
      <c r="A42" t="s">
        <v>1013</v>
      </c>
      <c r="B42">
        <v>1</v>
      </c>
      <c r="C42" s="261" t="s">
        <v>1014</v>
      </c>
      <c r="D42" s="261" t="s">
        <v>1015</v>
      </c>
      <c r="E42" s="4"/>
    </row>
    <row r="43" spans="1:5" x14ac:dyDescent="0.2">
      <c r="A43" t="s">
        <v>1013</v>
      </c>
      <c r="B43">
        <v>2</v>
      </c>
      <c r="C43" s="261" t="s">
        <v>1016</v>
      </c>
      <c r="D43" s="261" t="s">
        <v>1017</v>
      </c>
      <c r="E43" s="4"/>
    </row>
    <row r="44" spans="1:5" x14ac:dyDescent="0.2">
      <c r="A44" t="s">
        <v>1013</v>
      </c>
      <c r="B44">
        <v>3</v>
      </c>
      <c r="C44" s="261" t="s">
        <v>1018</v>
      </c>
      <c r="D44" s="261" t="s">
        <v>1019</v>
      </c>
      <c r="E44" s="4"/>
    </row>
    <row r="45" spans="1:5" x14ac:dyDescent="0.2">
      <c r="A45" t="s">
        <v>1013</v>
      </c>
      <c r="B45">
        <v>4</v>
      </c>
      <c r="C45" s="261" t="s">
        <v>1020</v>
      </c>
      <c r="D45" s="261" t="s">
        <v>1021</v>
      </c>
      <c r="E45" s="4"/>
    </row>
    <row r="46" spans="1:5" x14ac:dyDescent="0.2">
      <c r="A46" t="s">
        <v>1013</v>
      </c>
      <c r="B46">
        <v>5</v>
      </c>
      <c r="C46" s="261" t="s">
        <v>1022</v>
      </c>
      <c r="D46" s="261" t="s">
        <v>1023</v>
      </c>
      <c r="E46" s="4"/>
    </row>
    <row r="47" spans="1:5" x14ac:dyDescent="0.2">
      <c r="A47" t="s">
        <v>1013</v>
      </c>
      <c r="B47" s="260">
        <v>6</v>
      </c>
      <c r="C47" t="s">
        <v>978</v>
      </c>
      <c r="D47" t="s">
        <v>979</v>
      </c>
      <c r="E47" s="4"/>
    </row>
    <row r="48" spans="1:5" x14ac:dyDescent="0.2">
      <c r="A48" t="s">
        <v>1013</v>
      </c>
      <c r="B48" s="260">
        <v>7</v>
      </c>
      <c r="C48" t="s">
        <v>980</v>
      </c>
      <c r="D48" t="s">
        <v>981</v>
      </c>
      <c r="E48" s="4"/>
    </row>
    <row r="49" spans="1:5" x14ac:dyDescent="0.2">
      <c r="B49" s="9"/>
      <c r="E49" s="4"/>
    </row>
    <row r="50" spans="1:5" x14ac:dyDescent="0.2">
      <c r="A50" t="s">
        <v>1024</v>
      </c>
      <c r="B50" s="260">
        <v>1</v>
      </c>
      <c r="C50" t="s">
        <v>1025</v>
      </c>
      <c r="D50" t="s">
        <v>1026</v>
      </c>
      <c r="E50" s="4"/>
    </row>
    <row r="51" spans="1:5" x14ac:dyDescent="0.2">
      <c r="A51" t="s">
        <v>1024</v>
      </c>
      <c r="B51" s="260">
        <v>2</v>
      </c>
      <c r="C51" t="s">
        <v>1027</v>
      </c>
      <c r="D51" t="s">
        <v>1028</v>
      </c>
      <c r="E51" s="4"/>
    </row>
    <row r="52" spans="1:5" x14ac:dyDescent="0.2">
      <c r="A52" t="s">
        <v>1024</v>
      </c>
      <c r="B52" s="260">
        <v>3</v>
      </c>
      <c r="C52" t="s">
        <v>1029</v>
      </c>
      <c r="D52" t="s">
        <v>1030</v>
      </c>
      <c r="E52" s="4"/>
    </row>
    <row r="53" spans="1:5" x14ac:dyDescent="0.2">
      <c r="A53" t="s">
        <v>1024</v>
      </c>
      <c r="B53" s="260">
        <v>4</v>
      </c>
      <c r="C53" t="s">
        <v>1031</v>
      </c>
      <c r="D53" t="s">
        <v>1032</v>
      </c>
      <c r="E53" s="4"/>
    </row>
    <row r="54" spans="1:5" x14ac:dyDescent="0.2">
      <c r="A54" t="s">
        <v>1024</v>
      </c>
      <c r="B54" s="260">
        <v>5</v>
      </c>
      <c r="C54" t="s">
        <v>1033</v>
      </c>
      <c r="D54" t="s">
        <v>1034</v>
      </c>
      <c r="E54" s="4"/>
    </row>
    <row r="55" spans="1:5" x14ac:dyDescent="0.2">
      <c r="A55" t="s">
        <v>1024</v>
      </c>
      <c r="B55" s="260">
        <v>6</v>
      </c>
      <c r="C55" t="s">
        <v>1035</v>
      </c>
      <c r="D55" t="s">
        <v>1036</v>
      </c>
      <c r="E55" s="4"/>
    </row>
    <row r="56" spans="1:5" x14ac:dyDescent="0.2">
      <c r="A56" t="s">
        <v>1024</v>
      </c>
      <c r="B56" s="260">
        <v>7</v>
      </c>
      <c r="C56" t="s">
        <v>1037</v>
      </c>
      <c r="D56" t="s">
        <v>1038</v>
      </c>
      <c r="E56" s="4"/>
    </row>
    <row r="57" spans="1:5" x14ac:dyDescent="0.2">
      <c r="A57" t="s">
        <v>1024</v>
      </c>
      <c r="B57" s="260">
        <v>8</v>
      </c>
      <c r="C57" t="s">
        <v>1039</v>
      </c>
      <c r="D57" t="s">
        <v>1040</v>
      </c>
      <c r="E57" s="4"/>
    </row>
    <row r="58" spans="1:5" x14ac:dyDescent="0.2">
      <c r="A58" t="s">
        <v>1024</v>
      </c>
      <c r="B58" s="260">
        <v>9</v>
      </c>
      <c r="C58" t="s">
        <v>1041</v>
      </c>
      <c r="D58" t="s">
        <v>1042</v>
      </c>
      <c r="E58" s="4"/>
    </row>
    <row r="59" spans="1:5" x14ac:dyDescent="0.2">
      <c r="A59" t="s">
        <v>1024</v>
      </c>
      <c r="B59" s="260">
        <v>10</v>
      </c>
      <c r="C59" t="s">
        <v>1043</v>
      </c>
      <c r="D59" t="s">
        <v>1044</v>
      </c>
      <c r="E59" s="4"/>
    </row>
    <row r="60" spans="1:5" x14ac:dyDescent="0.2">
      <c r="A60" t="s">
        <v>1024</v>
      </c>
      <c r="B60" s="260">
        <v>11</v>
      </c>
      <c r="C60" t="s">
        <v>978</v>
      </c>
      <c r="D60" t="s">
        <v>979</v>
      </c>
      <c r="E60" s="4"/>
    </row>
    <row r="61" spans="1:5" x14ac:dyDescent="0.2">
      <c r="A61" t="s">
        <v>1024</v>
      </c>
      <c r="B61" s="260">
        <v>12</v>
      </c>
      <c r="C61" t="s">
        <v>980</v>
      </c>
      <c r="D61" t="s">
        <v>981</v>
      </c>
      <c r="E61" s="4"/>
    </row>
    <row r="62" spans="1:5" x14ac:dyDescent="0.2">
      <c r="B62" s="9"/>
      <c r="E62" s="4"/>
    </row>
    <row r="63" spans="1:5" x14ac:dyDescent="0.2">
      <c r="A63" t="s">
        <v>1045</v>
      </c>
      <c r="B63" s="260">
        <v>1</v>
      </c>
      <c r="C63" t="s">
        <v>1046</v>
      </c>
      <c r="D63" t="s">
        <v>1047</v>
      </c>
      <c r="E63" s="4"/>
    </row>
    <row r="64" spans="1:5" x14ac:dyDescent="0.2">
      <c r="A64" t="s">
        <v>1045</v>
      </c>
      <c r="B64" s="260">
        <v>2</v>
      </c>
      <c r="C64" t="s">
        <v>1048</v>
      </c>
      <c r="D64" t="s">
        <v>1049</v>
      </c>
      <c r="E64" s="4"/>
    </row>
    <row r="65" spans="1:5" x14ac:dyDescent="0.2">
      <c r="A65" t="s">
        <v>1045</v>
      </c>
      <c r="B65" s="260">
        <v>3</v>
      </c>
      <c r="C65" t="s">
        <v>1050</v>
      </c>
      <c r="D65" t="s">
        <v>1051</v>
      </c>
      <c r="E65" s="4"/>
    </row>
    <row r="66" spans="1:5" x14ac:dyDescent="0.2">
      <c r="A66" t="s">
        <v>1045</v>
      </c>
      <c r="B66" s="260">
        <v>4</v>
      </c>
      <c r="C66" t="s">
        <v>1052</v>
      </c>
      <c r="D66" t="s">
        <v>1053</v>
      </c>
      <c r="E66" s="4"/>
    </row>
    <row r="67" spans="1:5" x14ac:dyDescent="0.2">
      <c r="A67" t="s">
        <v>1045</v>
      </c>
      <c r="B67" s="260">
        <v>5</v>
      </c>
      <c r="C67" t="s">
        <v>1054</v>
      </c>
      <c r="D67" t="s">
        <v>1055</v>
      </c>
      <c r="E67" s="4"/>
    </row>
    <row r="68" spans="1:5" x14ac:dyDescent="0.2">
      <c r="A68" t="s">
        <v>1045</v>
      </c>
      <c r="B68" s="260">
        <v>6</v>
      </c>
      <c r="C68" t="s">
        <v>978</v>
      </c>
      <c r="D68" t="s">
        <v>979</v>
      </c>
      <c r="E68" s="4"/>
    </row>
    <row r="69" spans="1:5" x14ac:dyDescent="0.2">
      <c r="A69" t="s">
        <v>1045</v>
      </c>
      <c r="B69" s="260">
        <v>7</v>
      </c>
      <c r="C69" t="s">
        <v>980</v>
      </c>
      <c r="D69" t="s">
        <v>981</v>
      </c>
      <c r="E69" s="4"/>
    </row>
    <row r="70" spans="1:5" x14ac:dyDescent="0.2">
      <c r="B70" s="9"/>
      <c r="E70" s="4"/>
    </row>
    <row r="71" spans="1:5" x14ac:dyDescent="0.2">
      <c r="A71" t="s">
        <v>1056</v>
      </c>
      <c r="B71" s="260">
        <v>1</v>
      </c>
      <c r="C71" t="s">
        <v>1057</v>
      </c>
      <c r="D71" t="s">
        <v>1058</v>
      </c>
      <c r="E71" s="4"/>
    </row>
    <row r="72" spans="1:5" x14ac:dyDescent="0.2">
      <c r="A72" t="s">
        <v>1056</v>
      </c>
      <c r="B72" s="260">
        <v>2</v>
      </c>
      <c r="C72" t="s">
        <v>1059</v>
      </c>
      <c r="D72" t="s">
        <v>1060</v>
      </c>
      <c r="E72" s="4"/>
    </row>
    <row r="73" spans="1:5" x14ac:dyDescent="0.2">
      <c r="A73" t="s">
        <v>1056</v>
      </c>
      <c r="B73" s="260">
        <v>3</v>
      </c>
      <c r="C73" t="s">
        <v>1061</v>
      </c>
      <c r="D73" t="s">
        <v>1062</v>
      </c>
      <c r="E73" s="4"/>
    </row>
    <row r="74" spans="1:5" x14ac:dyDescent="0.2">
      <c r="A74" t="s">
        <v>1056</v>
      </c>
      <c r="B74" s="260">
        <v>4</v>
      </c>
      <c r="C74" t="s">
        <v>1063</v>
      </c>
      <c r="D74" t="s">
        <v>1064</v>
      </c>
      <c r="E74" s="4"/>
    </row>
    <row r="75" spans="1:5" x14ac:dyDescent="0.2">
      <c r="A75" t="s">
        <v>1056</v>
      </c>
      <c r="B75" s="260">
        <v>5</v>
      </c>
      <c r="C75" t="s">
        <v>1065</v>
      </c>
      <c r="D75" t="s">
        <v>1066</v>
      </c>
      <c r="E75" s="4"/>
    </row>
    <row r="76" spans="1:5" x14ac:dyDescent="0.2">
      <c r="A76" t="s">
        <v>1056</v>
      </c>
      <c r="B76" s="260">
        <v>6</v>
      </c>
      <c r="C76" t="s">
        <v>1067</v>
      </c>
      <c r="D76" t="s">
        <v>1068</v>
      </c>
      <c r="E76" s="4"/>
    </row>
    <row r="77" spans="1:5" x14ac:dyDescent="0.2">
      <c r="A77" t="s">
        <v>1056</v>
      </c>
      <c r="B77" s="260">
        <v>7</v>
      </c>
      <c r="C77" t="s">
        <v>978</v>
      </c>
      <c r="D77" t="s">
        <v>979</v>
      </c>
      <c r="E77" s="4"/>
    </row>
    <row r="78" spans="1:5" x14ac:dyDescent="0.2">
      <c r="A78" t="s">
        <v>1056</v>
      </c>
      <c r="B78" s="260">
        <v>8</v>
      </c>
      <c r="C78" t="s">
        <v>980</v>
      </c>
      <c r="D78" t="s">
        <v>981</v>
      </c>
      <c r="E78" s="4"/>
    </row>
    <row r="79" spans="1:5" x14ac:dyDescent="0.2">
      <c r="E79" s="4"/>
    </row>
    <row r="80" spans="1:5" x14ac:dyDescent="0.2">
      <c r="A80" s="262" t="s">
        <v>1069</v>
      </c>
      <c r="B80" s="262">
        <v>1</v>
      </c>
      <c r="C80" s="262" t="s">
        <v>1070</v>
      </c>
      <c r="D80" s="263" t="s">
        <v>1071</v>
      </c>
      <c r="E80" s="4"/>
    </row>
    <row r="81" spans="1:5" x14ac:dyDescent="0.2">
      <c r="A81" s="262" t="s">
        <v>1069</v>
      </c>
      <c r="B81" s="262">
        <v>2</v>
      </c>
      <c r="C81" s="262" t="s">
        <v>1072</v>
      </c>
      <c r="D81" s="263" t="s">
        <v>1073</v>
      </c>
      <c r="E81" s="4"/>
    </row>
    <row r="82" spans="1:5" x14ac:dyDescent="0.2">
      <c r="A82" s="262" t="s">
        <v>1069</v>
      </c>
      <c r="B82" s="262">
        <v>3</v>
      </c>
      <c r="C82" s="262" t="s">
        <v>1074</v>
      </c>
      <c r="D82" s="263" t="s">
        <v>1075</v>
      </c>
      <c r="E82" s="4"/>
    </row>
    <row r="83" spans="1:5" x14ac:dyDescent="0.2">
      <c r="A83" s="262" t="s">
        <v>1069</v>
      </c>
      <c r="B83" s="262">
        <v>4</v>
      </c>
      <c r="C83" s="262" t="s">
        <v>1076</v>
      </c>
      <c r="D83" s="263" t="s">
        <v>1077</v>
      </c>
      <c r="E83" s="4"/>
    </row>
    <row r="84" spans="1:5" x14ac:dyDescent="0.2">
      <c r="A84" s="262" t="s">
        <v>1069</v>
      </c>
      <c r="B84" s="262">
        <v>5</v>
      </c>
      <c r="C84" s="262" t="s">
        <v>1078</v>
      </c>
      <c r="D84" s="263" t="s">
        <v>1079</v>
      </c>
      <c r="E84" s="4"/>
    </row>
    <row r="85" spans="1:5" x14ac:dyDescent="0.2">
      <c r="A85" s="262" t="s">
        <v>1069</v>
      </c>
      <c r="B85" s="262">
        <v>6</v>
      </c>
      <c r="C85" s="262" t="s">
        <v>978</v>
      </c>
      <c r="D85" s="263" t="s">
        <v>979</v>
      </c>
      <c r="E85" s="4"/>
    </row>
    <row r="86" spans="1:5" x14ac:dyDescent="0.2">
      <c r="A86" s="262" t="s">
        <v>1069</v>
      </c>
      <c r="B86" s="262">
        <v>7</v>
      </c>
      <c r="C86" s="262" t="s">
        <v>980</v>
      </c>
      <c r="D86" s="263" t="s">
        <v>981</v>
      </c>
      <c r="E86" s="4"/>
    </row>
    <row r="87" spans="1:5" x14ac:dyDescent="0.2">
      <c r="A87" s="12"/>
      <c r="B87" s="12"/>
      <c r="C87" s="12"/>
      <c r="D87" s="245"/>
      <c r="E87" s="4"/>
    </row>
    <row r="88" spans="1:5" x14ac:dyDescent="0.2">
      <c r="A88" s="262" t="s">
        <v>1080</v>
      </c>
      <c r="B88" s="262" t="s">
        <v>1081</v>
      </c>
      <c r="C88" s="262" t="s">
        <v>1082</v>
      </c>
      <c r="D88" s="262" t="s">
        <v>1083</v>
      </c>
      <c r="E88" s="4"/>
    </row>
    <row r="89" spans="1:5" x14ac:dyDescent="0.2">
      <c r="A89" s="262" t="s">
        <v>1080</v>
      </c>
      <c r="B89" s="262" t="s">
        <v>1084</v>
      </c>
      <c r="C89" s="262" t="s">
        <v>1085</v>
      </c>
      <c r="D89" s="263" t="s">
        <v>1086</v>
      </c>
      <c r="E89" s="4"/>
    </row>
    <row r="90" spans="1:5" x14ac:dyDescent="0.2">
      <c r="A90" s="262" t="s">
        <v>1080</v>
      </c>
      <c r="B90" s="262" t="s">
        <v>1087</v>
      </c>
      <c r="C90" s="262" t="s">
        <v>1088</v>
      </c>
      <c r="D90" s="263" t="s">
        <v>1089</v>
      </c>
      <c r="E90" s="4"/>
    </row>
    <row r="91" spans="1:5" x14ac:dyDescent="0.2">
      <c r="A91" s="262" t="s">
        <v>1080</v>
      </c>
      <c r="B91" s="262" t="s">
        <v>1090</v>
      </c>
      <c r="C91" s="262" t="s">
        <v>1091</v>
      </c>
      <c r="D91" s="263" t="s">
        <v>1091</v>
      </c>
      <c r="E91" s="4"/>
    </row>
    <row r="92" spans="1:5" x14ac:dyDescent="0.2">
      <c r="A92" s="262" t="s">
        <v>1080</v>
      </c>
      <c r="B92" s="262" t="s">
        <v>1092</v>
      </c>
      <c r="C92" s="262" t="s">
        <v>1093</v>
      </c>
      <c r="D92" s="263" t="s">
        <v>1094</v>
      </c>
      <c r="E92" s="4"/>
    </row>
    <row r="93" spans="1:5" x14ac:dyDescent="0.2">
      <c r="A93" s="262" t="s">
        <v>1080</v>
      </c>
      <c r="B93" s="262" t="s">
        <v>1095</v>
      </c>
      <c r="C93" s="262" t="s">
        <v>1096</v>
      </c>
      <c r="D93" s="263" t="s">
        <v>1097</v>
      </c>
      <c r="E93" s="4"/>
    </row>
    <row r="94" spans="1:5" x14ac:dyDescent="0.2">
      <c r="A94" s="262" t="s">
        <v>1080</v>
      </c>
      <c r="B94" s="262" t="s">
        <v>1098</v>
      </c>
      <c r="C94" s="262" t="s">
        <v>1099</v>
      </c>
      <c r="D94" s="263" t="s">
        <v>1100</v>
      </c>
      <c r="E94" s="4"/>
    </row>
    <row r="95" spans="1:5" x14ac:dyDescent="0.2">
      <c r="A95" s="262" t="s">
        <v>1080</v>
      </c>
      <c r="B95" s="262" t="s">
        <v>1101</v>
      </c>
      <c r="C95" s="262" t="s">
        <v>978</v>
      </c>
      <c r="D95" s="263" t="s">
        <v>979</v>
      </c>
      <c r="E95" s="4"/>
    </row>
    <row r="96" spans="1:5" x14ac:dyDescent="0.2">
      <c r="A96" s="262" t="s">
        <v>1080</v>
      </c>
      <c r="B96" s="262" t="s">
        <v>1102</v>
      </c>
      <c r="C96" s="262" t="s">
        <v>980</v>
      </c>
      <c r="D96" s="263" t="s">
        <v>981</v>
      </c>
      <c r="E96" s="4"/>
    </row>
    <row r="97" spans="1:5" x14ac:dyDescent="0.2">
      <c r="A97" s="12"/>
      <c r="B97" s="12"/>
      <c r="C97" s="12"/>
      <c r="D97" s="245"/>
      <c r="E97" s="4"/>
    </row>
    <row r="98" spans="1:5" x14ac:dyDescent="0.2">
      <c r="A98" s="262" t="s">
        <v>1103</v>
      </c>
      <c r="B98" s="262" t="s">
        <v>1104</v>
      </c>
      <c r="C98" s="262" t="s">
        <v>1105</v>
      </c>
      <c r="D98" s="263" t="s">
        <v>1106</v>
      </c>
      <c r="E98" s="4"/>
    </row>
    <row r="99" spans="1:5" x14ac:dyDescent="0.2">
      <c r="A99" s="262" t="s">
        <v>1103</v>
      </c>
      <c r="B99" s="262" t="s">
        <v>1107</v>
      </c>
      <c r="C99" s="262" t="s">
        <v>1108</v>
      </c>
      <c r="D99" s="263" t="s">
        <v>1109</v>
      </c>
      <c r="E99" s="4"/>
    </row>
    <row r="100" spans="1:5" x14ac:dyDescent="0.2">
      <c r="A100" s="262" t="s">
        <v>1103</v>
      </c>
      <c r="B100" s="262" t="s">
        <v>1110</v>
      </c>
      <c r="C100" s="262" t="s">
        <v>1111</v>
      </c>
      <c r="D100" s="263" t="s">
        <v>1112</v>
      </c>
      <c r="E100" s="4"/>
    </row>
    <row r="101" spans="1:5" x14ac:dyDescent="0.2">
      <c r="A101" s="262" t="s">
        <v>1103</v>
      </c>
      <c r="B101" s="262" t="s">
        <v>1113</v>
      </c>
      <c r="C101" s="262" t="s">
        <v>1114</v>
      </c>
      <c r="D101" s="263" t="s">
        <v>1115</v>
      </c>
      <c r="E101" s="4"/>
    </row>
    <row r="102" spans="1:5" x14ac:dyDescent="0.2">
      <c r="A102" s="262" t="s">
        <v>1103</v>
      </c>
      <c r="B102" s="262" t="s">
        <v>1116</v>
      </c>
      <c r="C102" s="262" t="s">
        <v>1117</v>
      </c>
      <c r="D102" s="263" t="s">
        <v>1118</v>
      </c>
      <c r="E102" s="4"/>
    </row>
    <row r="103" spans="1:5" x14ac:dyDescent="0.2">
      <c r="A103" s="262" t="s">
        <v>1103</v>
      </c>
      <c r="B103" s="262" t="s">
        <v>1119</v>
      </c>
      <c r="C103" s="262" t="s">
        <v>1120</v>
      </c>
      <c r="D103" s="263" t="s">
        <v>1121</v>
      </c>
      <c r="E103" s="4"/>
    </row>
    <row r="104" spans="1:5" x14ac:dyDescent="0.2">
      <c r="A104" s="262" t="s">
        <v>1103</v>
      </c>
      <c r="B104" s="262" t="s">
        <v>1122</v>
      </c>
      <c r="C104" s="262" t="s">
        <v>1123</v>
      </c>
      <c r="D104" s="263" t="s">
        <v>1124</v>
      </c>
      <c r="E104" s="4"/>
    </row>
    <row r="105" spans="1:5" x14ac:dyDescent="0.2">
      <c r="A105" s="262" t="s">
        <v>1103</v>
      </c>
      <c r="B105" s="262" t="s">
        <v>1095</v>
      </c>
      <c r="C105" s="262" t="s">
        <v>1125</v>
      </c>
      <c r="D105" s="263" t="s">
        <v>1126</v>
      </c>
      <c r="E105" s="4"/>
    </row>
    <row r="106" spans="1:5" x14ac:dyDescent="0.2">
      <c r="A106" s="262" t="s">
        <v>1103</v>
      </c>
      <c r="B106" s="262" t="s">
        <v>1098</v>
      </c>
      <c r="C106" s="262" t="s">
        <v>1127</v>
      </c>
      <c r="D106" s="263" t="s">
        <v>1128</v>
      </c>
      <c r="E106" s="4"/>
    </row>
    <row r="107" spans="1:5" x14ac:dyDescent="0.2">
      <c r="A107" s="262" t="s">
        <v>1103</v>
      </c>
      <c r="B107" s="262" t="s">
        <v>1101</v>
      </c>
      <c r="C107" s="262" t="s">
        <v>978</v>
      </c>
      <c r="D107" s="263" t="s">
        <v>979</v>
      </c>
      <c r="E107" s="4"/>
    </row>
    <row r="108" spans="1:5" x14ac:dyDescent="0.2">
      <c r="A108" s="262" t="s">
        <v>1103</v>
      </c>
      <c r="B108" s="262" t="s">
        <v>1102</v>
      </c>
      <c r="C108" s="262" t="s">
        <v>980</v>
      </c>
      <c r="D108" s="263" t="s">
        <v>981</v>
      </c>
      <c r="E108" s="4"/>
    </row>
    <row r="109" spans="1:5" x14ac:dyDescent="0.2">
      <c r="A109" s="12"/>
      <c r="B109" s="12"/>
      <c r="C109" s="12"/>
      <c r="E109" s="4"/>
    </row>
    <row r="110" spans="1:5" x14ac:dyDescent="0.2">
      <c r="A110" s="262" t="s">
        <v>1129</v>
      </c>
      <c r="B110" s="262">
        <v>1</v>
      </c>
      <c r="C110" s="262" t="s">
        <v>1130</v>
      </c>
      <c r="D110" s="263" t="s">
        <v>1131</v>
      </c>
      <c r="E110" s="4"/>
    </row>
    <row r="111" spans="1:5" x14ac:dyDescent="0.2">
      <c r="A111" s="262" t="s">
        <v>1129</v>
      </c>
      <c r="B111" s="262">
        <v>2</v>
      </c>
      <c r="C111" s="262" t="s">
        <v>1132</v>
      </c>
      <c r="D111" s="263" t="s">
        <v>1133</v>
      </c>
      <c r="E111" s="4"/>
    </row>
    <row r="112" spans="1:5" x14ac:dyDescent="0.2">
      <c r="A112" s="262" t="s">
        <v>1129</v>
      </c>
      <c r="B112" s="262">
        <v>3</v>
      </c>
      <c r="C112" s="262" t="s">
        <v>1134</v>
      </c>
      <c r="D112" s="263" t="s">
        <v>1135</v>
      </c>
      <c r="E112" s="4"/>
    </row>
    <row r="113" spans="1:5" x14ac:dyDescent="0.2">
      <c r="A113" s="262" t="s">
        <v>1129</v>
      </c>
      <c r="B113" s="262">
        <v>4</v>
      </c>
      <c r="C113" s="262" t="s">
        <v>1136</v>
      </c>
      <c r="D113" s="263" t="s">
        <v>1137</v>
      </c>
      <c r="E113" s="4"/>
    </row>
    <row r="114" spans="1:5" x14ac:dyDescent="0.2">
      <c r="A114" s="262" t="s">
        <v>1129</v>
      </c>
      <c r="B114" s="262">
        <v>5</v>
      </c>
      <c r="C114" s="262" t="s">
        <v>1138</v>
      </c>
      <c r="D114" s="263" t="s">
        <v>1139</v>
      </c>
      <c r="E114" s="4"/>
    </row>
    <row r="115" spans="1:5" x14ac:dyDescent="0.2">
      <c r="A115" s="262" t="s">
        <v>1129</v>
      </c>
      <c r="B115" s="262">
        <v>6</v>
      </c>
      <c r="C115" s="262" t="s">
        <v>1140</v>
      </c>
      <c r="D115" s="263" t="s">
        <v>979</v>
      </c>
      <c r="E115" s="4"/>
    </row>
    <row r="116" spans="1:5" x14ac:dyDescent="0.2">
      <c r="A116" s="262" t="s">
        <v>1129</v>
      </c>
      <c r="B116" s="262">
        <v>7</v>
      </c>
      <c r="C116" s="262" t="s">
        <v>1141</v>
      </c>
      <c r="D116" s="263" t="s">
        <v>981</v>
      </c>
      <c r="E116" s="4"/>
    </row>
    <row r="117" spans="1:5" x14ac:dyDescent="0.2">
      <c r="A117" s="12"/>
      <c r="B117" s="12"/>
      <c r="C117" s="12"/>
      <c r="D117" s="245"/>
      <c r="E117" s="4"/>
    </row>
    <row r="118" spans="1:5" x14ac:dyDescent="0.2">
      <c r="A118" s="262" t="s">
        <v>1142</v>
      </c>
      <c r="B118" s="262">
        <v>1</v>
      </c>
      <c r="C118" s="262" t="s">
        <v>1143</v>
      </c>
      <c r="D118" s="263" t="s">
        <v>1144</v>
      </c>
      <c r="E118" s="4"/>
    </row>
    <row r="119" spans="1:5" x14ac:dyDescent="0.2">
      <c r="A119" s="262" t="s">
        <v>1142</v>
      </c>
      <c r="B119" s="262">
        <v>2</v>
      </c>
      <c r="C119" s="262" t="s">
        <v>1145</v>
      </c>
      <c r="D119" s="263" t="s">
        <v>1146</v>
      </c>
      <c r="E119" s="4"/>
    </row>
    <row r="120" spans="1:5" x14ac:dyDescent="0.2">
      <c r="A120" s="262" t="s">
        <v>1142</v>
      </c>
      <c r="B120" s="262">
        <v>3</v>
      </c>
      <c r="C120" s="262" t="s">
        <v>1147</v>
      </c>
      <c r="D120" s="263" t="s">
        <v>1148</v>
      </c>
      <c r="E120" s="4"/>
    </row>
    <row r="121" spans="1:5" x14ac:dyDescent="0.2">
      <c r="A121" s="262" t="s">
        <v>1142</v>
      </c>
      <c r="B121" s="262">
        <v>4</v>
      </c>
      <c r="C121" s="262" t="s">
        <v>1149</v>
      </c>
      <c r="D121" s="263" t="s">
        <v>1150</v>
      </c>
      <c r="E121" s="4"/>
    </row>
    <row r="122" spans="1:5" x14ac:dyDescent="0.2">
      <c r="A122" s="262" t="s">
        <v>1142</v>
      </c>
      <c r="B122" s="262">
        <v>5</v>
      </c>
      <c r="C122" s="262" t="s">
        <v>978</v>
      </c>
      <c r="D122" s="263" t="s">
        <v>979</v>
      </c>
      <c r="E122" s="4"/>
    </row>
    <row r="123" spans="1:5" x14ac:dyDescent="0.2">
      <c r="A123" s="262" t="s">
        <v>1142</v>
      </c>
      <c r="B123" s="262">
        <v>6</v>
      </c>
      <c r="C123" s="262" t="s">
        <v>980</v>
      </c>
      <c r="D123" s="263" t="s">
        <v>981</v>
      </c>
      <c r="E123" s="4"/>
    </row>
    <row r="124" spans="1:5" x14ac:dyDescent="0.2">
      <c r="A124" s="12"/>
      <c r="B124" s="12"/>
      <c r="C124" s="12"/>
      <c r="D124" s="12"/>
      <c r="E124" s="4"/>
    </row>
    <row r="125" spans="1:5" x14ac:dyDescent="0.2">
      <c r="A125" t="s">
        <v>1151</v>
      </c>
      <c r="B125">
        <v>1</v>
      </c>
      <c r="C125" t="s">
        <v>1152</v>
      </c>
      <c r="D125" t="s">
        <v>1153</v>
      </c>
      <c r="E125" s="4"/>
    </row>
    <row r="126" spans="1:5" x14ac:dyDescent="0.2">
      <c r="A126" t="s">
        <v>1151</v>
      </c>
      <c r="B126">
        <v>2</v>
      </c>
      <c r="C126" t="s">
        <v>1154</v>
      </c>
      <c r="D126" t="s">
        <v>1155</v>
      </c>
      <c r="E126" s="4"/>
    </row>
    <row r="127" spans="1:5" x14ac:dyDescent="0.2">
      <c r="A127" t="s">
        <v>1151</v>
      </c>
      <c r="B127">
        <v>3</v>
      </c>
      <c r="C127" t="s">
        <v>1156</v>
      </c>
      <c r="D127" t="s">
        <v>1157</v>
      </c>
      <c r="E127" s="4"/>
    </row>
    <row r="128" spans="1:5" x14ac:dyDescent="0.2">
      <c r="A128" t="s">
        <v>1151</v>
      </c>
      <c r="B128">
        <v>4</v>
      </c>
      <c r="C128" t="s">
        <v>1158</v>
      </c>
      <c r="D128" t="s">
        <v>1159</v>
      </c>
      <c r="E128" s="4"/>
    </row>
    <row r="129" spans="1:5" x14ac:dyDescent="0.2">
      <c r="A129" t="s">
        <v>1151</v>
      </c>
      <c r="B129">
        <v>5</v>
      </c>
      <c r="C129" t="s">
        <v>1160</v>
      </c>
      <c r="D129" t="s">
        <v>1161</v>
      </c>
      <c r="E129" s="4"/>
    </row>
    <row r="130" spans="1:5" x14ac:dyDescent="0.2">
      <c r="A130" t="s">
        <v>1151</v>
      </c>
      <c r="B130">
        <v>6</v>
      </c>
      <c r="C130" t="s">
        <v>1162</v>
      </c>
      <c r="D130" t="s">
        <v>1163</v>
      </c>
      <c r="E130" s="4"/>
    </row>
    <row r="131" spans="1:5" x14ac:dyDescent="0.2">
      <c r="A131" t="s">
        <v>1151</v>
      </c>
      <c r="B131">
        <v>7</v>
      </c>
      <c r="C131" t="s">
        <v>1164</v>
      </c>
      <c r="D131" t="s">
        <v>1165</v>
      </c>
      <c r="E131" s="4"/>
    </row>
    <row r="132" spans="1:5" x14ac:dyDescent="0.2">
      <c r="A132" t="s">
        <v>1151</v>
      </c>
      <c r="B132">
        <v>8</v>
      </c>
      <c r="C132" t="s">
        <v>1166</v>
      </c>
      <c r="D132" t="s">
        <v>1167</v>
      </c>
      <c r="E132" s="4"/>
    </row>
    <row r="133" spans="1:5" x14ac:dyDescent="0.2">
      <c r="A133" t="s">
        <v>1151</v>
      </c>
      <c r="B133">
        <v>9</v>
      </c>
      <c r="C133" t="s">
        <v>1168</v>
      </c>
      <c r="D133" t="s">
        <v>1169</v>
      </c>
      <c r="E133" s="4"/>
    </row>
    <row r="134" spans="1:5" x14ac:dyDescent="0.2">
      <c r="A134" t="s">
        <v>1151</v>
      </c>
      <c r="B134">
        <v>10</v>
      </c>
      <c r="C134" t="s">
        <v>1170</v>
      </c>
      <c r="D134" t="s">
        <v>1171</v>
      </c>
      <c r="E134" s="4"/>
    </row>
    <row r="135" spans="1:5" x14ac:dyDescent="0.2">
      <c r="A135" t="s">
        <v>1151</v>
      </c>
      <c r="B135">
        <v>11</v>
      </c>
      <c r="C135" t="s">
        <v>1172</v>
      </c>
      <c r="D135" t="s">
        <v>1173</v>
      </c>
      <c r="E135" s="4"/>
    </row>
    <row r="136" spans="1:5" x14ac:dyDescent="0.2">
      <c r="A136" t="s">
        <v>1151</v>
      </c>
      <c r="B136">
        <v>12</v>
      </c>
      <c r="C136" t="s">
        <v>1174</v>
      </c>
      <c r="D136" t="s">
        <v>1175</v>
      </c>
      <c r="E136" s="4"/>
    </row>
    <row r="137" spans="1:5" x14ac:dyDescent="0.2">
      <c r="A137" t="s">
        <v>1151</v>
      </c>
      <c r="B137">
        <v>13</v>
      </c>
      <c r="C137" t="s">
        <v>1176</v>
      </c>
      <c r="D137" t="s">
        <v>1177</v>
      </c>
      <c r="E137" s="4"/>
    </row>
    <row r="138" spans="1:5" x14ac:dyDescent="0.2">
      <c r="A138" t="s">
        <v>1151</v>
      </c>
      <c r="B138">
        <v>14</v>
      </c>
      <c r="C138" t="s">
        <v>1178</v>
      </c>
      <c r="D138" t="s">
        <v>1179</v>
      </c>
      <c r="E138" s="4"/>
    </row>
    <row r="139" spans="1:5" x14ac:dyDescent="0.2">
      <c r="A139" t="s">
        <v>1151</v>
      </c>
      <c r="B139">
        <v>15</v>
      </c>
      <c r="C139" t="s">
        <v>1180</v>
      </c>
      <c r="D139" t="s">
        <v>1181</v>
      </c>
      <c r="E139" s="4"/>
    </row>
    <row r="140" spans="1:5" x14ac:dyDescent="0.2">
      <c r="A140" t="s">
        <v>1151</v>
      </c>
      <c r="B140">
        <v>16</v>
      </c>
      <c r="C140" t="s">
        <v>1182</v>
      </c>
      <c r="D140" t="s">
        <v>1183</v>
      </c>
      <c r="E140" s="4"/>
    </row>
    <row r="141" spans="1:5" x14ac:dyDescent="0.2">
      <c r="A141" t="s">
        <v>1151</v>
      </c>
      <c r="B141">
        <v>17</v>
      </c>
      <c r="C141" t="s">
        <v>1184</v>
      </c>
      <c r="D141" t="s">
        <v>1185</v>
      </c>
      <c r="E141" s="4"/>
    </row>
    <row r="142" spans="1:5" x14ac:dyDescent="0.2">
      <c r="A142" t="s">
        <v>1151</v>
      </c>
      <c r="B142">
        <v>18</v>
      </c>
      <c r="C142" t="s">
        <v>1186</v>
      </c>
      <c r="D142" t="s">
        <v>1187</v>
      </c>
      <c r="E142" s="4"/>
    </row>
    <row r="143" spans="1:5" x14ac:dyDescent="0.2">
      <c r="A143" t="s">
        <v>1151</v>
      </c>
      <c r="B143">
        <v>19</v>
      </c>
      <c r="C143" t="s">
        <v>1188</v>
      </c>
      <c r="D143" t="s">
        <v>1189</v>
      </c>
      <c r="E143" s="4"/>
    </row>
    <row r="144" spans="1:5" x14ac:dyDescent="0.2">
      <c r="A144" t="s">
        <v>1151</v>
      </c>
      <c r="B144">
        <v>20</v>
      </c>
      <c r="C144" t="s">
        <v>980</v>
      </c>
      <c r="D144" t="s">
        <v>981</v>
      </c>
      <c r="E144" s="4"/>
    </row>
    <row r="145" spans="1:5" x14ac:dyDescent="0.2">
      <c r="E145" s="4"/>
    </row>
    <row r="146" spans="1:5" x14ac:dyDescent="0.2">
      <c r="A146" t="s">
        <v>1190</v>
      </c>
      <c r="B146">
        <v>1</v>
      </c>
      <c r="C146" t="s">
        <v>995</v>
      </c>
      <c r="D146" t="s">
        <v>996</v>
      </c>
      <c r="E146" s="4"/>
    </row>
    <row r="147" spans="1:5" x14ac:dyDescent="0.2">
      <c r="A147" t="s">
        <v>1190</v>
      </c>
      <c r="B147">
        <v>2</v>
      </c>
      <c r="C147" t="s">
        <v>997</v>
      </c>
      <c r="D147" t="s">
        <v>998</v>
      </c>
      <c r="E147" s="4"/>
    </row>
    <row r="148" spans="1:5" x14ac:dyDescent="0.2">
      <c r="A148" t="s">
        <v>1190</v>
      </c>
      <c r="B148">
        <v>3</v>
      </c>
      <c r="C148" t="s">
        <v>1191</v>
      </c>
      <c r="D148" t="s">
        <v>1192</v>
      </c>
      <c r="E148" s="4"/>
    </row>
    <row r="149" spans="1:5" x14ac:dyDescent="0.2">
      <c r="A149" t="s">
        <v>1190</v>
      </c>
      <c r="B149">
        <v>4</v>
      </c>
      <c r="C149" t="s">
        <v>978</v>
      </c>
      <c r="D149" t="s">
        <v>979</v>
      </c>
      <c r="E149" s="4"/>
    </row>
    <row r="150" spans="1:5" x14ac:dyDescent="0.2">
      <c r="A150" t="s">
        <v>1190</v>
      </c>
      <c r="B150">
        <v>5</v>
      </c>
      <c r="C150" t="s">
        <v>980</v>
      </c>
      <c r="D150" t="s">
        <v>981</v>
      </c>
      <c r="E150" s="4"/>
    </row>
    <row r="151" spans="1:5" x14ac:dyDescent="0.2">
      <c r="E151" s="4"/>
    </row>
    <row r="152" spans="1:5" x14ac:dyDescent="0.2">
      <c r="A152" t="s">
        <v>1193</v>
      </c>
      <c r="B152">
        <v>1</v>
      </c>
      <c r="C152" t="s">
        <v>1194</v>
      </c>
      <c r="D152" t="s">
        <v>1195</v>
      </c>
      <c r="E152" s="4"/>
    </row>
    <row r="153" spans="1:5" x14ac:dyDescent="0.2">
      <c r="A153" t="s">
        <v>1193</v>
      </c>
      <c r="B153">
        <v>2</v>
      </c>
      <c r="C153" t="s">
        <v>1196</v>
      </c>
      <c r="D153" t="s">
        <v>1197</v>
      </c>
      <c r="E153" s="4"/>
    </row>
    <row r="154" spans="1:5" x14ac:dyDescent="0.2">
      <c r="A154" t="s">
        <v>1193</v>
      </c>
      <c r="B154">
        <v>3</v>
      </c>
      <c r="C154" t="s">
        <v>1198</v>
      </c>
      <c r="D154" t="s">
        <v>1199</v>
      </c>
      <c r="E154" s="4"/>
    </row>
    <row r="155" spans="1:5" x14ac:dyDescent="0.2">
      <c r="A155" t="s">
        <v>1193</v>
      </c>
      <c r="B155">
        <v>4</v>
      </c>
      <c r="C155" t="s">
        <v>978</v>
      </c>
      <c r="D155" t="s">
        <v>979</v>
      </c>
      <c r="E155" s="4"/>
    </row>
    <row r="156" spans="1:5" x14ac:dyDescent="0.2">
      <c r="A156" t="s">
        <v>1193</v>
      </c>
      <c r="B156">
        <v>5</v>
      </c>
      <c r="C156" t="s">
        <v>980</v>
      </c>
      <c r="D156" t="s">
        <v>981</v>
      </c>
      <c r="E156" s="4"/>
    </row>
    <row r="157" spans="1:5" x14ac:dyDescent="0.2">
      <c r="E157" s="4"/>
    </row>
    <row r="158" spans="1:5" x14ac:dyDescent="0.2">
      <c r="A158" t="s">
        <v>1200</v>
      </c>
      <c r="B158">
        <v>1</v>
      </c>
      <c r="C158" t="s">
        <v>1201</v>
      </c>
      <c r="D158" t="s">
        <v>1202</v>
      </c>
      <c r="E158" s="4"/>
    </row>
    <row r="159" spans="1:5" x14ac:dyDescent="0.2">
      <c r="A159" t="s">
        <v>1200</v>
      </c>
      <c r="B159">
        <v>2</v>
      </c>
      <c r="C159" t="s">
        <v>1203</v>
      </c>
      <c r="D159" t="s">
        <v>1204</v>
      </c>
      <c r="E159" s="4"/>
    </row>
    <row r="160" spans="1:5" x14ac:dyDescent="0.2">
      <c r="A160" t="s">
        <v>1200</v>
      </c>
      <c r="B160">
        <v>3</v>
      </c>
      <c r="C160" t="s">
        <v>1205</v>
      </c>
      <c r="D160" t="s">
        <v>1206</v>
      </c>
      <c r="E160" s="4"/>
    </row>
    <row r="161" spans="1:5" x14ac:dyDescent="0.2">
      <c r="A161" t="s">
        <v>1200</v>
      </c>
      <c r="B161">
        <v>4</v>
      </c>
      <c r="C161" t="s">
        <v>1207</v>
      </c>
      <c r="D161" t="s">
        <v>1208</v>
      </c>
      <c r="E161" s="4"/>
    </row>
    <row r="162" spans="1:5" x14ac:dyDescent="0.2">
      <c r="A162" t="s">
        <v>1200</v>
      </c>
      <c r="B162">
        <v>5</v>
      </c>
      <c r="C162" t="s">
        <v>1209</v>
      </c>
      <c r="D162" t="s">
        <v>1210</v>
      </c>
      <c r="E162" s="4"/>
    </row>
    <row r="163" spans="1:5" x14ac:dyDescent="0.2">
      <c r="A163" t="s">
        <v>1200</v>
      </c>
      <c r="B163" s="260">
        <v>6</v>
      </c>
      <c r="C163" t="s">
        <v>978</v>
      </c>
      <c r="D163" t="s">
        <v>979</v>
      </c>
      <c r="E163" s="4"/>
    </row>
    <row r="164" spans="1:5" x14ac:dyDescent="0.2">
      <c r="A164" t="s">
        <v>1200</v>
      </c>
      <c r="B164" s="260">
        <v>7</v>
      </c>
      <c r="C164" t="s">
        <v>980</v>
      </c>
      <c r="D164" t="s">
        <v>981</v>
      </c>
      <c r="E164" s="4"/>
    </row>
    <row r="165" spans="1:5" x14ac:dyDescent="0.2">
      <c r="E165" s="4"/>
    </row>
    <row r="166" spans="1:5" s="13" customFormat="1" x14ac:dyDescent="0.2">
      <c r="A166" s="261" t="s">
        <v>1211</v>
      </c>
      <c r="B166">
        <v>1</v>
      </c>
      <c r="C166" t="s">
        <v>1152</v>
      </c>
      <c r="D166" t="s">
        <v>1153</v>
      </c>
      <c r="E166" s="5"/>
    </row>
    <row r="167" spans="1:5" s="13" customFormat="1" x14ac:dyDescent="0.2">
      <c r="A167" s="261" t="s">
        <v>1211</v>
      </c>
      <c r="B167">
        <v>2</v>
      </c>
      <c r="C167" t="s">
        <v>1154</v>
      </c>
      <c r="D167" t="s">
        <v>1155</v>
      </c>
      <c r="E167" s="5"/>
    </row>
    <row r="168" spans="1:5" s="13" customFormat="1" x14ac:dyDescent="0.2">
      <c r="A168" s="261" t="s">
        <v>1211</v>
      </c>
      <c r="B168">
        <v>3</v>
      </c>
      <c r="C168" t="s">
        <v>1156</v>
      </c>
      <c r="D168" t="s">
        <v>1157</v>
      </c>
      <c r="E168" s="5"/>
    </row>
    <row r="169" spans="1:5" s="13" customFormat="1" x14ac:dyDescent="0.2">
      <c r="A169" s="261" t="s">
        <v>1211</v>
      </c>
      <c r="B169">
        <v>4</v>
      </c>
      <c r="C169" t="s">
        <v>1158</v>
      </c>
      <c r="D169" t="s">
        <v>1159</v>
      </c>
      <c r="E169" s="5"/>
    </row>
    <row r="170" spans="1:5" s="13" customFormat="1" x14ac:dyDescent="0.2">
      <c r="A170" s="261" t="s">
        <v>1211</v>
      </c>
      <c r="B170">
        <v>5</v>
      </c>
      <c r="C170" t="s">
        <v>1160</v>
      </c>
      <c r="D170" t="s">
        <v>1161</v>
      </c>
      <c r="E170" s="5"/>
    </row>
    <row r="171" spans="1:5" s="13" customFormat="1" x14ac:dyDescent="0.2">
      <c r="A171" s="261" t="s">
        <v>1211</v>
      </c>
      <c r="B171">
        <v>6</v>
      </c>
      <c r="C171" t="s">
        <v>1162</v>
      </c>
      <c r="D171" t="s">
        <v>1163</v>
      </c>
      <c r="E171" s="5"/>
    </row>
    <row r="172" spans="1:5" s="13" customFormat="1" x14ac:dyDescent="0.2">
      <c r="A172" s="261" t="s">
        <v>1211</v>
      </c>
      <c r="B172">
        <v>7</v>
      </c>
      <c r="C172" t="s">
        <v>1164</v>
      </c>
      <c r="D172" t="s">
        <v>1165</v>
      </c>
      <c r="E172" s="5"/>
    </row>
    <row r="173" spans="1:5" s="13" customFormat="1" x14ac:dyDescent="0.2">
      <c r="A173" s="261" t="s">
        <v>1211</v>
      </c>
      <c r="B173">
        <v>8</v>
      </c>
      <c r="C173" t="s">
        <v>1166</v>
      </c>
      <c r="D173" t="s">
        <v>1167</v>
      </c>
      <c r="E173" s="5"/>
    </row>
    <row r="174" spans="1:5" s="13" customFormat="1" x14ac:dyDescent="0.2">
      <c r="A174" s="261" t="s">
        <v>1211</v>
      </c>
      <c r="B174">
        <v>9</v>
      </c>
      <c r="C174" t="s">
        <v>1168</v>
      </c>
      <c r="D174" t="s">
        <v>1169</v>
      </c>
      <c r="E174" s="5"/>
    </row>
    <row r="175" spans="1:5" s="13" customFormat="1" x14ac:dyDescent="0.2">
      <c r="A175" s="261" t="s">
        <v>1211</v>
      </c>
      <c r="B175">
        <v>10</v>
      </c>
      <c r="C175" t="s">
        <v>1170</v>
      </c>
      <c r="D175" t="s">
        <v>1171</v>
      </c>
      <c r="E175" s="5"/>
    </row>
    <row r="176" spans="1:5" s="13" customFormat="1" x14ac:dyDescent="0.2">
      <c r="A176" s="261" t="s">
        <v>1211</v>
      </c>
      <c r="B176">
        <v>11</v>
      </c>
      <c r="C176" t="s">
        <v>1172</v>
      </c>
      <c r="D176" t="s">
        <v>1173</v>
      </c>
      <c r="E176" s="5"/>
    </row>
    <row r="177" spans="1:5" s="13" customFormat="1" x14ac:dyDescent="0.2">
      <c r="A177" s="261" t="s">
        <v>1211</v>
      </c>
      <c r="B177">
        <v>12</v>
      </c>
      <c r="C177" t="s">
        <v>1174</v>
      </c>
      <c r="D177" t="s">
        <v>1175</v>
      </c>
      <c r="E177" s="5"/>
    </row>
    <row r="178" spans="1:5" s="13" customFormat="1" x14ac:dyDescent="0.2">
      <c r="A178" s="261" t="s">
        <v>1211</v>
      </c>
      <c r="B178">
        <v>13</v>
      </c>
      <c r="C178" t="s">
        <v>1176</v>
      </c>
      <c r="D178" t="s">
        <v>1177</v>
      </c>
      <c r="E178" s="5"/>
    </row>
    <row r="179" spans="1:5" s="13" customFormat="1" x14ac:dyDescent="0.2">
      <c r="A179" s="261" t="s">
        <v>1211</v>
      </c>
      <c r="B179">
        <v>14</v>
      </c>
      <c r="C179" t="s">
        <v>1178</v>
      </c>
      <c r="D179" t="s">
        <v>1179</v>
      </c>
      <c r="E179" s="5"/>
    </row>
    <row r="180" spans="1:5" s="13" customFormat="1" x14ac:dyDescent="0.2">
      <c r="A180" s="261" t="s">
        <v>1211</v>
      </c>
      <c r="B180" s="261">
        <v>15</v>
      </c>
      <c r="C180" s="261" t="s">
        <v>1180</v>
      </c>
      <c r="D180" t="s">
        <v>1181</v>
      </c>
      <c r="E180" s="5"/>
    </row>
    <row r="181" spans="1:5" s="13" customFormat="1" x14ac:dyDescent="0.2">
      <c r="A181" s="261" t="s">
        <v>1211</v>
      </c>
      <c r="B181" s="261">
        <v>16</v>
      </c>
      <c r="C181" s="261" t="s">
        <v>1182</v>
      </c>
      <c r="D181" t="s">
        <v>1183</v>
      </c>
      <c r="E181" s="5"/>
    </row>
    <row r="182" spans="1:5" s="13" customFormat="1" x14ac:dyDescent="0.2">
      <c r="A182" s="261" t="s">
        <v>1211</v>
      </c>
      <c r="B182" s="261">
        <v>17</v>
      </c>
      <c r="C182" s="261" t="s">
        <v>1184</v>
      </c>
      <c r="D182" t="s">
        <v>1185</v>
      </c>
      <c r="E182" s="5"/>
    </row>
    <row r="183" spans="1:5" s="13" customFormat="1" x14ac:dyDescent="0.2">
      <c r="A183" s="261" t="s">
        <v>1211</v>
      </c>
      <c r="B183" s="261">
        <v>18</v>
      </c>
      <c r="C183" s="261" t="s">
        <v>1212</v>
      </c>
      <c r="D183" t="s">
        <v>1187</v>
      </c>
      <c r="E183" s="5"/>
    </row>
    <row r="184" spans="1:5" s="13" customFormat="1" x14ac:dyDescent="0.2">
      <c r="A184" s="261" t="s">
        <v>1211</v>
      </c>
      <c r="B184" s="261">
        <v>19</v>
      </c>
      <c r="C184" s="261" t="s">
        <v>1213</v>
      </c>
      <c r="D184" t="s">
        <v>1214</v>
      </c>
      <c r="E184" s="5"/>
    </row>
    <row r="185" spans="1:5" s="13" customFormat="1" x14ac:dyDescent="0.2">
      <c r="A185" s="261" t="s">
        <v>1211</v>
      </c>
      <c r="B185" s="260">
        <v>20</v>
      </c>
      <c r="C185" s="261" t="s">
        <v>978</v>
      </c>
      <c r="D185" s="261" t="s">
        <v>979</v>
      </c>
      <c r="E185" s="5"/>
    </row>
    <row r="186" spans="1:5" s="13" customFormat="1" x14ac:dyDescent="0.2">
      <c r="A186" s="261" t="s">
        <v>1211</v>
      </c>
      <c r="B186" s="260">
        <v>21</v>
      </c>
      <c r="C186" s="261" t="s">
        <v>980</v>
      </c>
      <c r="D186" t="s">
        <v>981</v>
      </c>
      <c r="E186" s="5"/>
    </row>
    <row r="187" spans="1:5" s="13" customFormat="1" x14ac:dyDescent="0.2">
      <c r="D187" s="3"/>
      <c r="E187" s="5"/>
    </row>
    <row r="188" spans="1:5" s="13" customFormat="1" x14ac:dyDescent="0.2">
      <c r="A188" s="261" t="s">
        <v>1215</v>
      </c>
      <c r="B188">
        <v>1</v>
      </c>
      <c r="C188" t="s">
        <v>1152</v>
      </c>
      <c r="D188" t="s">
        <v>1153</v>
      </c>
      <c r="E188" s="5"/>
    </row>
    <row r="189" spans="1:5" s="13" customFormat="1" x14ac:dyDescent="0.2">
      <c r="A189" s="261" t="s">
        <v>1215</v>
      </c>
      <c r="B189">
        <v>2</v>
      </c>
      <c r="C189" t="s">
        <v>1154</v>
      </c>
      <c r="D189" t="s">
        <v>1155</v>
      </c>
      <c r="E189" s="5"/>
    </row>
    <row r="190" spans="1:5" s="13" customFormat="1" x14ac:dyDescent="0.2">
      <c r="A190" s="261" t="s">
        <v>1215</v>
      </c>
      <c r="B190">
        <v>3</v>
      </c>
      <c r="C190" t="s">
        <v>1156</v>
      </c>
      <c r="D190" t="s">
        <v>1157</v>
      </c>
      <c r="E190" s="5"/>
    </row>
    <row r="191" spans="1:5" s="13" customFormat="1" x14ac:dyDescent="0.2">
      <c r="A191" s="261" t="s">
        <v>1215</v>
      </c>
      <c r="B191">
        <v>4</v>
      </c>
      <c r="C191" t="s">
        <v>1158</v>
      </c>
      <c r="D191" t="s">
        <v>1159</v>
      </c>
      <c r="E191" s="5"/>
    </row>
    <row r="192" spans="1:5" s="13" customFormat="1" x14ac:dyDescent="0.2">
      <c r="A192" s="261" t="s">
        <v>1215</v>
      </c>
      <c r="B192">
        <v>5</v>
      </c>
      <c r="C192" t="s">
        <v>1160</v>
      </c>
      <c r="D192" t="s">
        <v>1161</v>
      </c>
      <c r="E192" s="5"/>
    </row>
    <row r="193" spans="1:5" s="13" customFormat="1" x14ac:dyDescent="0.2">
      <c r="A193" s="261" t="s">
        <v>1215</v>
      </c>
      <c r="B193">
        <v>6</v>
      </c>
      <c r="C193" t="s">
        <v>1162</v>
      </c>
      <c r="D193" t="s">
        <v>1163</v>
      </c>
      <c r="E193" s="5"/>
    </row>
    <row r="194" spans="1:5" s="13" customFormat="1" x14ac:dyDescent="0.2">
      <c r="A194" s="261" t="s">
        <v>1215</v>
      </c>
      <c r="B194">
        <v>7</v>
      </c>
      <c r="C194" t="s">
        <v>1164</v>
      </c>
      <c r="D194" t="s">
        <v>1165</v>
      </c>
      <c r="E194" s="5"/>
    </row>
    <row r="195" spans="1:5" s="13" customFormat="1" x14ac:dyDescent="0.2">
      <c r="A195" s="261" t="s">
        <v>1215</v>
      </c>
      <c r="B195">
        <v>8</v>
      </c>
      <c r="C195" t="s">
        <v>1166</v>
      </c>
      <c r="D195" t="s">
        <v>1167</v>
      </c>
      <c r="E195" s="5"/>
    </row>
    <row r="196" spans="1:5" s="13" customFormat="1" x14ac:dyDescent="0.2">
      <c r="A196" s="261" t="s">
        <v>1215</v>
      </c>
      <c r="B196">
        <v>9</v>
      </c>
      <c r="C196" t="s">
        <v>1168</v>
      </c>
      <c r="D196" t="s">
        <v>1169</v>
      </c>
      <c r="E196" s="5"/>
    </row>
    <row r="197" spans="1:5" s="13" customFormat="1" x14ac:dyDescent="0.2">
      <c r="A197" s="261" t="s">
        <v>1215</v>
      </c>
      <c r="B197">
        <v>10</v>
      </c>
      <c r="C197" t="s">
        <v>1170</v>
      </c>
      <c r="D197" t="s">
        <v>1171</v>
      </c>
      <c r="E197" s="5"/>
    </row>
    <row r="198" spans="1:5" s="13" customFormat="1" x14ac:dyDescent="0.2">
      <c r="A198" s="261" t="s">
        <v>1215</v>
      </c>
      <c r="B198">
        <v>11</v>
      </c>
      <c r="C198" t="s">
        <v>1172</v>
      </c>
      <c r="D198" t="s">
        <v>1173</v>
      </c>
      <c r="E198" s="5"/>
    </row>
    <row r="199" spans="1:5" s="13" customFormat="1" x14ac:dyDescent="0.2">
      <c r="A199" s="261" t="s">
        <v>1215</v>
      </c>
      <c r="B199">
        <v>12</v>
      </c>
      <c r="C199" t="s">
        <v>1174</v>
      </c>
      <c r="D199" t="s">
        <v>1175</v>
      </c>
      <c r="E199" s="5"/>
    </row>
    <row r="200" spans="1:5" s="13" customFormat="1" x14ac:dyDescent="0.2">
      <c r="A200" s="261" t="s">
        <v>1215</v>
      </c>
      <c r="B200">
        <v>13</v>
      </c>
      <c r="C200" t="s">
        <v>1176</v>
      </c>
      <c r="D200" t="s">
        <v>1177</v>
      </c>
      <c r="E200" s="5"/>
    </row>
    <row r="201" spans="1:5" s="13" customFormat="1" x14ac:dyDescent="0.2">
      <c r="A201" s="261" t="s">
        <v>1215</v>
      </c>
      <c r="B201">
        <v>14</v>
      </c>
      <c r="C201" t="s">
        <v>1178</v>
      </c>
      <c r="D201" t="s">
        <v>1179</v>
      </c>
      <c r="E201" s="5"/>
    </row>
    <row r="202" spans="1:5" s="13" customFormat="1" x14ac:dyDescent="0.2">
      <c r="A202" s="261" t="s">
        <v>1215</v>
      </c>
      <c r="B202" s="261">
        <v>15</v>
      </c>
      <c r="C202" s="261" t="s">
        <v>1180</v>
      </c>
      <c r="D202" t="s">
        <v>1181</v>
      </c>
      <c r="E202" s="5"/>
    </row>
    <row r="203" spans="1:5" s="13" customFormat="1" x14ac:dyDescent="0.2">
      <c r="A203" s="261" t="s">
        <v>1215</v>
      </c>
      <c r="B203" s="261">
        <v>16</v>
      </c>
      <c r="C203" s="261" t="s">
        <v>1182</v>
      </c>
      <c r="D203" t="s">
        <v>1183</v>
      </c>
      <c r="E203" s="5"/>
    </row>
    <row r="204" spans="1:5" s="13" customFormat="1" x14ac:dyDescent="0.2">
      <c r="A204" s="261" t="s">
        <v>1215</v>
      </c>
      <c r="B204" s="261">
        <v>17</v>
      </c>
      <c r="C204" s="261" t="s">
        <v>1184</v>
      </c>
      <c r="D204" t="s">
        <v>1185</v>
      </c>
      <c r="E204" s="5"/>
    </row>
    <row r="205" spans="1:5" s="13" customFormat="1" x14ac:dyDescent="0.2">
      <c r="A205" s="261" t="s">
        <v>1215</v>
      </c>
      <c r="B205" s="261">
        <v>18</v>
      </c>
      <c r="C205" s="261" t="s">
        <v>1216</v>
      </c>
      <c r="D205" t="s">
        <v>1187</v>
      </c>
      <c r="E205" s="5"/>
    </row>
    <row r="206" spans="1:5" s="13" customFormat="1" x14ac:dyDescent="0.2">
      <c r="A206" s="261" t="s">
        <v>1215</v>
      </c>
      <c r="B206" s="261">
        <v>19</v>
      </c>
      <c r="C206" s="261" t="s">
        <v>1217</v>
      </c>
      <c r="D206" t="s">
        <v>1218</v>
      </c>
      <c r="E206" s="5"/>
    </row>
    <row r="207" spans="1:5" s="13" customFormat="1" x14ac:dyDescent="0.2">
      <c r="A207" s="261" t="s">
        <v>1215</v>
      </c>
      <c r="B207" s="260">
        <v>20</v>
      </c>
      <c r="C207" s="261" t="s">
        <v>978</v>
      </c>
      <c r="D207" s="261" t="s">
        <v>979</v>
      </c>
      <c r="E207" s="5"/>
    </row>
    <row r="208" spans="1:5" s="13" customFormat="1" x14ac:dyDescent="0.2">
      <c r="A208" s="261" t="s">
        <v>1215</v>
      </c>
      <c r="B208" s="260">
        <v>21</v>
      </c>
      <c r="C208" s="261" t="s">
        <v>980</v>
      </c>
      <c r="D208" t="s">
        <v>981</v>
      </c>
      <c r="E208" s="5"/>
    </row>
    <row r="209" spans="1:5" s="11" customFormat="1" x14ac:dyDescent="0.2">
      <c r="D209" s="3"/>
      <c r="E209" s="8"/>
    </row>
    <row r="210" spans="1:5" x14ac:dyDescent="0.2">
      <c r="A210" t="s">
        <v>341</v>
      </c>
      <c r="B210" t="s">
        <v>1219</v>
      </c>
      <c r="C210" t="s">
        <v>1220</v>
      </c>
      <c r="D210" t="s">
        <v>1221</v>
      </c>
      <c r="E210" s="4"/>
    </row>
    <row r="211" spans="1:5" x14ac:dyDescent="0.2">
      <c r="A211" t="s">
        <v>341</v>
      </c>
      <c r="B211" t="s">
        <v>1222</v>
      </c>
      <c r="C211" t="s">
        <v>1223</v>
      </c>
      <c r="D211" t="s">
        <v>1224</v>
      </c>
      <c r="E211" s="4"/>
    </row>
    <row r="212" spans="1:5" x14ac:dyDescent="0.2">
      <c r="A212" t="s">
        <v>341</v>
      </c>
      <c r="B212" t="s">
        <v>1225</v>
      </c>
      <c r="C212" t="s">
        <v>1226</v>
      </c>
      <c r="D212" t="s">
        <v>1227</v>
      </c>
      <c r="E212" s="4"/>
    </row>
    <row r="213" spans="1:5" x14ac:dyDescent="0.2">
      <c r="A213" t="s">
        <v>341</v>
      </c>
      <c r="B213" t="s">
        <v>1228</v>
      </c>
      <c r="C213" t="s">
        <v>1229</v>
      </c>
      <c r="D213" t="s">
        <v>1230</v>
      </c>
      <c r="E213" s="4"/>
    </row>
    <row r="214" spans="1:5" x14ac:dyDescent="0.2">
      <c r="A214" t="s">
        <v>341</v>
      </c>
      <c r="B214" t="s">
        <v>1231</v>
      </c>
      <c r="C214" t="s">
        <v>1232</v>
      </c>
      <c r="D214" t="s">
        <v>1233</v>
      </c>
      <c r="E214" s="4"/>
    </row>
    <row r="215" spans="1:5" x14ac:dyDescent="0.2">
      <c r="A215" t="s">
        <v>341</v>
      </c>
      <c r="B215" t="s">
        <v>1234</v>
      </c>
      <c r="C215" t="s">
        <v>1235</v>
      </c>
      <c r="D215" t="s">
        <v>1236</v>
      </c>
      <c r="E215" s="4"/>
    </row>
    <row r="216" spans="1:5" x14ac:dyDescent="0.2">
      <c r="A216" t="s">
        <v>341</v>
      </c>
      <c r="B216" t="s">
        <v>1237</v>
      </c>
      <c r="C216" t="s">
        <v>1238</v>
      </c>
      <c r="D216" t="s">
        <v>1239</v>
      </c>
      <c r="E216" s="4"/>
    </row>
    <row r="217" spans="1:5" x14ac:dyDescent="0.2">
      <c r="A217" t="s">
        <v>341</v>
      </c>
      <c r="B217" t="s">
        <v>1240</v>
      </c>
      <c r="C217" t="s">
        <v>1241</v>
      </c>
      <c r="D217" t="s">
        <v>1242</v>
      </c>
      <c r="E217" s="4"/>
    </row>
    <row r="218" spans="1:5" x14ac:dyDescent="0.2">
      <c r="A218" t="s">
        <v>341</v>
      </c>
      <c r="B218" t="s">
        <v>1243</v>
      </c>
      <c r="C218" t="s">
        <v>1244</v>
      </c>
      <c r="D218" t="s">
        <v>1245</v>
      </c>
      <c r="E218" s="4"/>
    </row>
    <row r="219" spans="1:5" x14ac:dyDescent="0.2">
      <c r="A219" t="s">
        <v>341</v>
      </c>
      <c r="B219" t="s">
        <v>1246</v>
      </c>
      <c r="C219" t="s">
        <v>1247</v>
      </c>
      <c r="D219" t="s">
        <v>1248</v>
      </c>
      <c r="E219" s="4"/>
    </row>
    <row r="220" spans="1:5" x14ac:dyDescent="0.2">
      <c r="A220" t="s">
        <v>341</v>
      </c>
      <c r="B220" t="s">
        <v>1249</v>
      </c>
      <c r="C220" t="s">
        <v>1250</v>
      </c>
      <c r="D220" t="s">
        <v>1251</v>
      </c>
      <c r="E220" s="4"/>
    </row>
    <row r="221" spans="1:5" x14ac:dyDescent="0.2">
      <c r="A221" t="s">
        <v>341</v>
      </c>
      <c r="B221" t="s">
        <v>1252</v>
      </c>
      <c r="C221" t="s">
        <v>1253</v>
      </c>
      <c r="D221" t="s">
        <v>1254</v>
      </c>
      <c r="E221" s="4"/>
    </row>
    <row r="222" spans="1:5" x14ac:dyDescent="0.2">
      <c r="A222" t="s">
        <v>341</v>
      </c>
      <c r="B222" t="s">
        <v>1255</v>
      </c>
      <c r="C222" t="s">
        <v>1256</v>
      </c>
      <c r="D222" t="s">
        <v>1257</v>
      </c>
      <c r="E222" s="4"/>
    </row>
    <row r="223" spans="1:5" x14ac:dyDescent="0.2">
      <c r="A223" t="s">
        <v>341</v>
      </c>
      <c r="B223" t="s">
        <v>1258</v>
      </c>
      <c r="C223" t="s">
        <v>1259</v>
      </c>
      <c r="D223" t="s">
        <v>1260</v>
      </c>
      <c r="E223" s="4"/>
    </row>
    <row r="224" spans="1:5" x14ac:dyDescent="0.2">
      <c r="A224" t="s">
        <v>341</v>
      </c>
      <c r="B224" t="s">
        <v>1261</v>
      </c>
      <c r="C224" t="s">
        <v>1262</v>
      </c>
      <c r="D224" t="s">
        <v>1263</v>
      </c>
      <c r="E224" s="4"/>
    </row>
    <row r="225" spans="1:5" x14ac:dyDescent="0.2">
      <c r="A225" t="s">
        <v>341</v>
      </c>
      <c r="B225" t="s">
        <v>1264</v>
      </c>
      <c r="C225" t="s">
        <v>1265</v>
      </c>
      <c r="D225" t="s">
        <v>1266</v>
      </c>
      <c r="E225" s="4"/>
    </row>
    <row r="226" spans="1:5" x14ac:dyDescent="0.2">
      <c r="A226" t="s">
        <v>341</v>
      </c>
      <c r="B226" t="s">
        <v>1267</v>
      </c>
      <c r="C226" t="s">
        <v>1268</v>
      </c>
      <c r="D226" t="s">
        <v>1269</v>
      </c>
      <c r="E226" s="4"/>
    </row>
    <row r="227" spans="1:5" x14ac:dyDescent="0.2">
      <c r="A227" t="s">
        <v>341</v>
      </c>
      <c r="B227" t="s">
        <v>1270</v>
      </c>
      <c r="C227" t="s">
        <v>1271</v>
      </c>
      <c r="D227" t="s">
        <v>1272</v>
      </c>
      <c r="E227" s="4"/>
    </row>
    <row r="228" spans="1:5" x14ac:dyDescent="0.2">
      <c r="A228" t="s">
        <v>341</v>
      </c>
      <c r="B228" t="s">
        <v>1273</v>
      </c>
      <c r="C228" t="s">
        <v>1274</v>
      </c>
      <c r="D228" t="s">
        <v>1275</v>
      </c>
      <c r="E228" s="4"/>
    </row>
    <row r="229" spans="1:5" x14ac:dyDescent="0.2">
      <c r="A229" t="s">
        <v>341</v>
      </c>
      <c r="B229" t="s">
        <v>1276</v>
      </c>
      <c r="C229" t="s">
        <v>1277</v>
      </c>
      <c r="D229" t="s">
        <v>1278</v>
      </c>
      <c r="E229" s="4"/>
    </row>
    <row r="230" spans="1:5" x14ac:dyDescent="0.2">
      <c r="A230" t="s">
        <v>341</v>
      </c>
      <c r="B230" t="s">
        <v>1279</v>
      </c>
      <c r="C230" t="s">
        <v>1280</v>
      </c>
      <c r="D230" t="s">
        <v>1281</v>
      </c>
      <c r="E230" s="4"/>
    </row>
    <row r="231" spans="1:5" x14ac:dyDescent="0.2">
      <c r="A231" t="s">
        <v>341</v>
      </c>
      <c r="B231" t="s">
        <v>1282</v>
      </c>
      <c r="C231" t="s">
        <v>1283</v>
      </c>
      <c r="D231" t="s">
        <v>1284</v>
      </c>
      <c r="E231" s="4"/>
    </row>
    <row r="232" spans="1:5" x14ac:dyDescent="0.2">
      <c r="A232" t="s">
        <v>341</v>
      </c>
      <c r="B232" t="s">
        <v>1285</v>
      </c>
      <c r="C232" t="s">
        <v>1286</v>
      </c>
      <c r="D232" t="s">
        <v>1287</v>
      </c>
      <c r="E232" s="4"/>
    </row>
    <row r="233" spans="1:5" x14ac:dyDescent="0.2">
      <c r="A233" t="s">
        <v>341</v>
      </c>
      <c r="B233" t="s">
        <v>1288</v>
      </c>
      <c r="C233" t="s">
        <v>1289</v>
      </c>
      <c r="D233" t="s">
        <v>1290</v>
      </c>
      <c r="E233" s="4"/>
    </row>
    <row r="234" spans="1:5" x14ac:dyDescent="0.2">
      <c r="A234" t="s">
        <v>341</v>
      </c>
      <c r="B234" t="s">
        <v>1291</v>
      </c>
      <c r="C234" t="s">
        <v>1292</v>
      </c>
      <c r="D234" t="s">
        <v>1293</v>
      </c>
      <c r="E234" s="4"/>
    </row>
    <row r="235" spans="1:5" x14ac:dyDescent="0.2">
      <c r="A235" t="s">
        <v>341</v>
      </c>
      <c r="B235" t="s">
        <v>1101</v>
      </c>
      <c r="C235" t="s">
        <v>978</v>
      </c>
      <c r="D235" t="s">
        <v>979</v>
      </c>
      <c r="E235" s="4"/>
    </row>
    <row r="236" spans="1:5" x14ac:dyDescent="0.2">
      <c r="A236" t="s">
        <v>341</v>
      </c>
      <c r="B236" t="s">
        <v>1102</v>
      </c>
      <c r="C236" t="s">
        <v>980</v>
      </c>
      <c r="D236" t="s">
        <v>981</v>
      </c>
      <c r="E236" s="4"/>
    </row>
    <row r="237" spans="1:5" x14ac:dyDescent="0.2">
      <c r="E237" s="4"/>
    </row>
    <row r="238" spans="1:5" x14ac:dyDescent="0.2">
      <c r="A238" t="s">
        <v>1294</v>
      </c>
      <c r="B238" t="s">
        <v>1295</v>
      </c>
      <c r="C238" t="s">
        <v>1296</v>
      </c>
      <c r="D238" t="s">
        <v>1297</v>
      </c>
      <c r="E238" s="4"/>
    </row>
    <row r="239" spans="1:5" x14ac:dyDescent="0.2">
      <c r="A239" t="s">
        <v>1294</v>
      </c>
      <c r="B239" t="s">
        <v>1298</v>
      </c>
      <c r="C239" t="s">
        <v>1299</v>
      </c>
      <c r="D239" t="s">
        <v>1300</v>
      </c>
      <c r="E239" s="4"/>
    </row>
    <row r="240" spans="1:5" x14ac:dyDescent="0.2">
      <c r="A240" t="s">
        <v>1294</v>
      </c>
      <c r="B240" t="s">
        <v>1301</v>
      </c>
      <c r="C240" t="s">
        <v>1302</v>
      </c>
      <c r="D240" t="s">
        <v>1303</v>
      </c>
      <c r="E240" s="4"/>
    </row>
    <row r="241" spans="1:5" x14ac:dyDescent="0.2">
      <c r="A241" t="s">
        <v>1294</v>
      </c>
      <c r="B241" t="s">
        <v>1304</v>
      </c>
      <c r="C241" t="s">
        <v>1305</v>
      </c>
      <c r="D241" t="s">
        <v>1306</v>
      </c>
      <c r="E241" s="4"/>
    </row>
    <row r="242" spans="1:5" x14ac:dyDescent="0.2">
      <c r="A242" t="s">
        <v>1294</v>
      </c>
      <c r="B242" t="s">
        <v>1307</v>
      </c>
      <c r="C242" t="s">
        <v>1308</v>
      </c>
      <c r="D242" t="s">
        <v>1309</v>
      </c>
      <c r="E242" s="4"/>
    </row>
    <row r="243" spans="1:5" x14ac:dyDescent="0.2">
      <c r="A243" t="s">
        <v>1294</v>
      </c>
      <c r="B243" t="s">
        <v>1310</v>
      </c>
      <c r="C243" t="s">
        <v>1311</v>
      </c>
      <c r="D243" t="s">
        <v>1312</v>
      </c>
      <c r="E243" s="4"/>
    </row>
    <row r="244" spans="1:5" x14ac:dyDescent="0.2">
      <c r="A244" t="s">
        <v>1294</v>
      </c>
      <c r="B244" t="s">
        <v>1313</v>
      </c>
      <c r="C244" t="s">
        <v>1314</v>
      </c>
      <c r="D244" t="s">
        <v>1315</v>
      </c>
      <c r="E244" s="4"/>
    </row>
    <row r="245" spans="1:5" x14ac:dyDescent="0.2">
      <c r="A245" t="s">
        <v>1294</v>
      </c>
      <c r="B245" t="s">
        <v>1316</v>
      </c>
      <c r="C245" t="s">
        <v>1317</v>
      </c>
      <c r="D245" t="s">
        <v>1318</v>
      </c>
      <c r="E245" s="4"/>
    </row>
    <row r="246" spans="1:5" x14ac:dyDescent="0.2">
      <c r="A246" t="s">
        <v>1294</v>
      </c>
      <c r="B246" t="s">
        <v>1095</v>
      </c>
      <c r="C246" t="s">
        <v>1319</v>
      </c>
      <c r="D246" t="s">
        <v>1320</v>
      </c>
      <c r="E246" s="4"/>
    </row>
    <row r="247" spans="1:5" x14ac:dyDescent="0.2">
      <c r="A247" t="s">
        <v>1294</v>
      </c>
      <c r="B247" t="s">
        <v>1098</v>
      </c>
      <c r="C247" t="s">
        <v>1321</v>
      </c>
      <c r="D247" t="s">
        <v>1322</v>
      </c>
      <c r="E247" s="4"/>
    </row>
    <row r="248" spans="1:5" x14ac:dyDescent="0.2">
      <c r="A248" t="s">
        <v>1294</v>
      </c>
      <c r="B248" t="s">
        <v>1101</v>
      </c>
      <c r="C248" t="s">
        <v>978</v>
      </c>
      <c r="D248" t="s">
        <v>979</v>
      </c>
      <c r="E248" s="4"/>
    </row>
    <row r="249" spans="1:5" x14ac:dyDescent="0.2">
      <c r="A249" t="s">
        <v>1294</v>
      </c>
      <c r="B249" t="s">
        <v>1102</v>
      </c>
      <c r="C249" t="s">
        <v>980</v>
      </c>
      <c r="D249" t="s">
        <v>981</v>
      </c>
      <c r="E249" s="4"/>
    </row>
    <row r="250" spans="1:5" x14ac:dyDescent="0.2">
      <c r="E250" s="4"/>
    </row>
    <row r="251" spans="1:5" s="12" customFormat="1" x14ac:dyDescent="0.2">
      <c r="A251" s="261" t="s">
        <v>1323</v>
      </c>
      <c r="B251" s="261">
        <v>1</v>
      </c>
      <c r="C251" s="261" t="s">
        <v>1324</v>
      </c>
      <c r="D251" s="261" t="s">
        <v>1324</v>
      </c>
      <c r="E251" s="14"/>
    </row>
    <row r="252" spans="1:5" s="12" customFormat="1" x14ac:dyDescent="0.2">
      <c r="A252" s="261" t="s">
        <v>1323</v>
      </c>
      <c r="B252" s="261">
        <v>2</v>
      </c>
      <c r="C252" s="261" t="s">
        <v>1325</v>
      </c>
      <c r="D252" s="261" t="s">
        <v>1326</v>
      </c>
      <c r="E252" s="14"/>
    </row>
    <row r="253" spans="1:5" s="12" customFormat="1" x14ac:dyDescent="0.2">
      <c r="A253" s="261" t="s">
        <v>1323</v>
      </c>
      <c r="B253" s="261">
        <v>3</v>
      </c>
      <c r="C253" s="261" t="s">
        <v>1327</v>
      </c>
      <c r="D253" s="261" t="s">
        <v>1328</v>
      </c>
      <c r="E253" s="14"/>
    </row>
    <row r="254" spans="1:5" s="12" customFormat="1" x14ac:dyDescent="0.2">
      <c r="A254" s="261" t="s">
        <v>1323</v>
      </c>
      <c r="B254" s="261">
        <v>4</v>
      </c>
      <c r="C254" s="261" t="s">
        <v>1329</v>
      </c>
      <c r="D254" s="261" t="s">
        <v>1330</v>
      </c>
      <c r="E254" s="14"/>
    </row>
    <row r="255" spans="1:5" s="12" customFormat="1" x14ac:dyDescent="0.2">
      <c r="A255" s="261" t="s">
        <v>1323</v>
      </c>
      <c r="B255" s="261">
        <v>5</v>
      </c>
      <c r="C255" s="261" t="s">
        <v>2171</v>
      </c>
      <c r="D255" s="261" t="s">
        <v>2171</v>
      </c>
      <c r="E255" s="14"/>
    </row>
    <row r="256" spans="1:5" s="12" customFormat="1" x14ac:dyDescent="0.2">
      <c r="D256" s="124"/>
      <c r="E256" s="14"/>
    </row>
    <row r="257" spans="1:5" s="13" customFormat="1" x14ac:dyDescent="0.2">
      <c r="A257" s="261" t="s">
        <v>1331</v>
      </c>
      <c r="B257" s="261">
        <v>1</v>
      </c>
      <c r="C257" s="261" t="s">
        <v>1332</v>
      </c>
      <c r="D257" s="261" t="s">
        <v>1333</v>
      </c>
      <c r="E257" s="5"/>
    </row>
    <row r="258" spans="1:5" s="13" customFormat="1" x14ac:dyDescent="0.2">
      <c r="A258" s="261" t="s">
        <v>1331</v>
      </c>
      <c r="B258" s="261">
        <v>2</v>
      </c>
      <c r="C258" s="261" t="s">
        <v>1334</v>
      </c>
      <c r="D258" s="261" t="s">
        <v>1335</v>
      </c>
      <c r="E258" s="5"/>
    </row>
    <row r="259" spans="1:5" s="12" customFormat="1" x14ac:dyDescent="0.2">
      <c r="D259" s="13"/>
      <c r="E259" s="14"/>
    </row>
    <row r="260" spans="1:5" s="12" customFormat="1" x14ac:dyDescent="0.2">
      <c r="A260" s="261" t="s">
        <v>1336</v>
      </c>
      <c r="B260" s="261">
        <v>1</v>
      </c>
      <c r="C260" s="261" t="s">
        <v>1337</v>
      </c>
      <c r="D260" s="261" t="s">
        <v>1338</v>
      </c>
      <c r="E260" s="14"/>
    </row>
    <row r="261" spans="1:5" s="12" customFormat="1" x14ac:dyDescent="0.2">
      <c r="A261" s="261" t="s">
        <v>1336</v>
      </c>
      <c r="B261" s="261">
        <v>2</v>
      </c>
      <c r="C261" s="261" t="s">
        <v>1339</v>
      </c>
      <c r="D261" s="261" t="s">
        <v>1340</v>
      </c>
      <c r="E261" s="14"/>
    </row>
    <row r="262" spans="1:5" s="12" customFormat="1" x14ac:dyDescent="0.2">
      <c r="A262" s="261" t="s">
        <v>1336</v>
      </c>
      <c r="B262" s="261">
        <v>3</v>
      </c>
      <c r="C262" s="261" t="s">
        <v>1341</v>
      </c>
      <c r="D262" s="261" t="s">
        <v>1342</v>
      </c>
      <c r="E262" s="14"/>
    </row>
    <row r="263" spans="1:5" s="12" customFormat="1" x14ac:dyDescent="0.2">
      <c r="A263" s="261" t="s">
        <v>1336</v>
      </c>
      <c r="B263" s="261">
        <v>4</v>
      </c>
      <c r="C263" s="261" t="s">
        <v>1343</v>
      </c>
      <c r="D263" s="261" t="s">
        <v>1344</v>
      </c>
      <c r="E263" s="14"/>
    </row>
    <row r="264" spans="1:5" s="12" customFormat="1" x14ac:dyDescent="0.2">
      <c r="A264" s="261" t="s">
        <v>1336</v>
      </c>
      <c r="B264" s="261">
        <v>5</v>
      </c>
      <c r="C264" s="261" t="s">
        <v>1345</v>
      </c>
      <c r="D264" s="261" t="s">
        <v>1346</v>
      </c>
      <c r="E264" s="14"/>
    </row>
    <row r="265" spans="1:5" s="12" customFormat="1" x14ac:dyDescent="0.2">
      <c r="A265" s="261" t="s">
        <v>1336</v>
      </c>
      <c r="B265" s="261">
        <v>6</v>
      </c>
      <c r="C265" s="261" t="s">
        <v>1319</v>
      </c>
      <c r="D265" s="261" t="s">
        <v>1320</v>
      </c>
      <c r="E265" s="14"/>
    </row>
    <row r="266" spans="1:5" s="12" customFormat="1" x14ac:dyDescent="0.2">
      <c r="A266" s="261" t="s">
        <v>1336</v>
      </c>
      <c r="B266" s="261">
        <v>7</v>
      </c>
      <c r="C266" s="261" t="s">
        <v>978</v>
      </c>
      <c r="D266" s="261" t="s">
        <v>979</v>
      </c>
      <c r="E266" s="14"/>
    </row>
    <row r="267" spans="1:5" s="12" customFormat="1" x14ac:dyDescent="0.2">
      <c r="A267" s="261" t="s">
        <v>1336</v>
      </c>
      <c r="B267" s="261">
        <v>8</v>
      </c>
      <c r="C267" s="261" t="s">
        <v>980</v>
      </c>
      <c r="D267" s="261" t="s">
        <v>981</v>
      </c>
      <c r="E267" s="14"/>
    </row>
    <row r="268" spans="1:5" x14ac:dyDescent="0.2">
      <c r="D268" s="13"/>
      <c r="E268" s="4"/>
    </row>
    <row r="269" spans="1:5" s="12" customFormat="1" x14ac:dyDescent="0.2">
      <c r="A269" s="262" t="s">
        <v>1347</v>
      </c>
      <c r="B269" s="262">
        <v>1</v>
      </c>
      <c r="C269" s="262" t="s">
        <v>1348</v>
      </c>
      <c r="D269" s="262" t="s">
        <v>1349</v>
      </c>
      <c r="E269" s="14"/>
    </row>
    <row r="270" spans="1:5" s="12" customFormat="1" x14ac:dyDescent="0.2">
      <c r="A270" s="262" t="s">
        <v>1347</v>
      </c>
      <c r="B270" s="262">
        <v>2</v>
      </c>
      <c r="C270" s="262" t="s">
        <v>1350</v>
      </c>
      <c r="D270" s="262" t="s">
        <v>1351</v>
      </c>
      <c r="E270" s="14"/>
    </row>
    <row r="271" spans="1:5" s="12" customFormat="1" x14ac:dyDescent="0.2">
      <c r="A271" s="262" t="s">
        <v>1347</v>
      </c>
      <c r="B271" s="262">
        <v>3</v>
      </c>
      <c r="C271" s="262" t="s">
        <v>1352</v>
      </c>
      <c r="D271" s="262" t="s">
        <v>1353</v>
      </c>
      <c r="E271" s="14"/>
    </row>
    <row r="272" spans="1:5" s="12" customFormat="1" x14ac:dyDescent="0.2">
      <c r="A272" s="262" t="s">
        <v>1347</v>
      </c>
      <c r="B272" s="262">
        <v>4</v>
      </c>
      <c r="C272" s="262" t="s">
        <v>1354</v>
      </c>
      <c r="D272" s="262" t="s">
        <v>1355</v>
      </c>
      <c r="E272" s="14"/>
    </row>
    <row r="273" spans="1:6" s="12" customFormat="1" x14ac:dyDescent="0.2">
      <c r="A273" s="262" t="s">
        <v>1347</v>
      </c>
      <c r="B273" s="262">
        <v>5</v>
      </c>
      <c r="C273" s="262" t="s">
        <v>1356</v>
      </c>
      <c r="D273" s="262" t="s">
        <v>1357</v>
      </c>
      <c r="E273" s="14"/>
    </row>
    <row r="274" spans="1:6" s="12" customFormat="1" x14ac:dyDescent="0.2">
      <c r="A274" s="262" t="s">
        <v>1347</v>
      </c>
      <c r="B274" s="262">
        <v>6</v>
      </c>
      <c r="C274" s="262" t="s">
        <v>978</v>
      </c>
      <c r="D274" s="262" t="s">
        <v>979</v>
      </c>
      <c r="E274" s="14"/>
    </row>
    <row r="275" spans="1:6" s="12" customFormat="1" x14ac:dyDescent="0.2">
      <c r="A275" s="262" t="s">
        <v>1347</v>
      </c>
      <c r="B275" s="262">
        <v>7</v>
      </c>
      <c r="C275" s="262" t="s">
        <v>980</v>
      </c>
      <c r="D275" s="262" t="s">
        <v>1358</v>
      </c>
      <c r="E275" s="14"/>
    </row>
    <row r="276" spans="1:6" x14ac:dyDescent="0.2">
      <c r="E276" s="4"/>
      <c r="F276" s="12"/>
    </row>
    <row r="277" spans="1:6" s="12" customFormat="1" x14ac:dyDescent="0.2">
      <c r="A277" s="262" t="s">
        <v>1359</v>
      </c>
      <c r="B277" s="262" t="s">
        <v>1360</v>
      </c>
      <c r="C277" s="262" t="s">
        <v>1361</v>
      </c>
      <c r="D277" s="262" t="s">
        <v>1362</v>
      </c>
      <c r="E277" s="14"/>
    </row>
    <row r="278" spans="1:6" s="12" customFormat="1" x14ac:dyDescent="0.2">
      <c r="A278" s="262" t="s">
        <v>1359</v>
      </c>
      <c r="B278" s="262" t="s">
        <v>1363</v>
      </c>
      <c r="C278" s="262" t="s">
        <v>1364</v>
      </c>
      <c r="D278" s="262" t="s">
        <v>1365</v>
      </c>
      <c r="E278" s="14"/>
    </row>
    <row r="279" spans="1:6" s="12" customFormat="1" x14ac:dyDescent="0.2">
      <c r="A279" s="262" t="s">
        <v>1359</v>
      </c>
      <c r="B279" s="262" t="s">
        <v>1366</v>
      </c>
      <c r="C279" s="262" t="s">
        <v>1367</v>
      </c>
      <c r="D279" s="262" t="s">
        <v>1368</v>
      </c>
      <c r="E279" s="14"/>
    </row>
    <row r="280" spans="1:6" s="12" customFormat="1" x14ac:dyDescent="0.2">
      <c r="A280" s="262" t="s">
        <v>1359</v>
      </c>
      <c r="B280" s="262" t="s">
        <v>1369</v>
      </c>
      <c r="C280" s="262" t="s">
        <v>1370</v>
      </c>
      <c r="D280" s="262" t="s">
        <v>1371</v>
      </c>
      <c r="E280" s="14"/>
    </row>
    <row r="281" spans="1:6" s="12" customFormat="1" x14ac:dyDescent="0.2">
      <c r="A281" s="262" t="s">
        <v>1359</v>
      </c>
      <c r="B281" s="262" t="s">
        <v>1372</v>
      </c>
      <c r="C281" s="262" t="s">
        <v>1373</v>
      </c>
      <c r="D281" s="262" t="s">
        <v>1374</v>
      </c>
      <c r="E281" s="14"/>
    </row>
    <row r="282" spans="1:6" s="12" customFormat="1" x14ac:dyDescent="0.2">
      <c r="A282" s="262" t="s">
        <v>1359</v>
      </c>
      <c r="B282" s="262" t="s">
        <v>1375</v>
      </c>
      <c r="C282" s="262" t="s">
        <v>1376</v>
      </c>
      <c r="D282" s="262" t="s">
        <v>1377</v>
      </c>
      <c r="E282" s="14"/>
    </row>
    <row r="283" spans="1:6" s="12" customFormat="1" x14ac:dyDescent="0.2">
      <c r="A283" s="262" t="s">
        <v>1359</v>
      </c>
      <c r="B283" s="262" t="s">
        <v>1378</v>
      </c>
      <c r="C283" s="262" t="s">
        <v>1379</v>
      </c>
      <c r="D283" s="262" t="s">
        <v>1380</v>
      </c>
      <c r="E283" s="14"/>
    </row>
    <row r="284" spans="1:6" s="12" customFormat="1" x14ac:dyDescent="0.2">
      <c r="A284" s="262" t="s">
        <v>1359</v>
      </c>
      <c r="B284" s="262" t="s">
        <v>1095</v>
      </c>
      <c r="C284" s="262" t="s">
        <v>1381</v>
      </c>
      <c r="D284" s="262" t="s">
        <v>1382</v>
      </c>
      <c r="E284" s="14"/>
    </row>
    <row r="285" spans="1:6" s="12" customFormat="1" x14ac:dyDescent="0.2">
      <c r="A285" s="262" t="s">
        <v>1359</v>
      </c>
      <c r="B285" s="262" t="s">
        <v>1101</v>
      </c>
      <c r="C285" s="262" t="s">
        <v>978</v>
      </c>
      <c r="D285" s="262" t="s">
        <v>979</v>
      </c>
      <c r="E285" s="14"/>
    </row>
    <row r="286" spans="1:6" s="12" customFormat="1" x14ac:dyDescent="0.2">
      <c r="A286" s="262" t="s">
        <v>1359</v>
      </c>
      <c r="B286" s="262" t="s">
        <v>1102</v>
      </c>
      <c r="C286" s="262" t="s">
        <v>980</v>
      </c>
      <c r="D286" s="262" t="s">
        <v>981</v>
      </c>
      <c r="E286" s="14"/>
    </row>
    <row r="287" spans="1:6" x14ac:dyDescent="0.2">
      <c r="D287" s="12"/>
      <c r="E287" s="4"/>
    </row>
    <row r="288" spans="1:6" x14ac:dyDescent="0.2">
      <c r="A288" s="262" t="s">
        <v>1383</v>
      </c>
      <c r="B288" s="262">
        <v>1</v>
      </c>
      <c r="C288" s="262" t="s">
        <v>1384</v>
      </c>
      <c r="D288" s="262" t="s">
        <v>1385</v>
      </c>
      <c r="E288" s="4"/>
    </row>
    <row r="289" spans="1:6" x14ac:dyDescent="0.2">
      <c r="A289" s="262" t="s">
        <v>1383</v>
      </c>
      <c r="B289" s="262">
        <v>2</v>
      </c>
      <c r="C289" s="262" t="s">
        <v>1386</v>
      </c>
      <c r="D289" s="262" t="s">
        <v>1387</v>
      </c>
      <c r="E289" s="4"/>
    </row>
    <row r="290" spans="1:6" x14ac:dyDescent="0.2">
      <c r="A290" s="262" t="s">
        <v>1383</v>
      </c>
      <c r="B290" s="262">
        <v>3</v>
      </c>
      <c r="C290" s="262" t="s">
        <v>1388</v>
      </c>
      <c r="D290" s="262" t="s">
        <v>1389</v>
      </c>
      <c r="E290" s="4"/>
    </row>
    <row r="291" spans="1:6" x14ac:dyDescent="0.2">
      <c r="A291" s="262" t="s">
        <v>1383</v>
      </c>
      <c r="B291" s="262">
        <v>4</v>
      </c>
      <c r="C291" s="262" t="s">
        <v>1390</v>
      </c>
      <c r="D291" s="262" t="s">
        <v>1391</v>
      </c>
      <c r="E291" s="4"/>
    </row>
    <row r="292" spans="1:6" x14ac:dyDescent="0.2">
      <c r="A292" s="262" t="s">
        <v>1383</v>
      </c>
      <c r="B292" s="262">
        <v>5</v>
      </c>
      <c r="C292" s="262" t="s">
        <v>1392</v>
      </c>
      <c r="D292" s="262" t="s">
        <v>1393</v>
      </c>
      <c r="E292" s="4"/>
    </row>
    <row r="293" spans="1:6" x14ac:dyDescent="0.2">
      <c r="A293" s="262" t="s">
        <v>1383</v>
      </c>
      <c r="B293" s="262">
        <v>6</v>
      </c>
      <c r="C293" s="262" t="s">
        <v>1394</v>
      </c>
      <c r="D293" s="262" t="s">
        <v>1395</v>
      </c>
      <c r="E293" s="4"/>
    </row>
    <row r="294" spans="1:6" x14ac:dyDescent="0.2">
      <c r="A294" s="262" t="s">
        <v>1383</v>
      </c>
      <c r="B294" s="262">
        <v>7</v>
      </c>
      <c r="C294" s="262" t="s">
        <v>1396</v>
      </c>
      <c r="D294" s="262" t="s">
        <v>1397</v>
      </c>
      <c r="E294" s="4"/>
    </row>
    <row r="295" spans="1:6" x14ac:dyDescent="0.2">
      <c r="A295" s="262" t="s">
        <v>1383</v>
      </c>
      <c r="B295" s="262">
        <v>8</v>
      </c>
      <c r="C295" s="262" t="s">
        <v>1398</v>
      </c>
      <c r="D295" s="262" t="s">
        <v>1399</v>
      </c>
      <c r="E295" s="4"/>
    </row>
    <row r="296" spans="1:6" x14ac:dyDescent="0.2">
      <c r="A296" s="262" t="s">
        <v>1383</v>
      </c>
      <c r="B296" s="262">
        <v>9</v>
      </c>
      <c r="C296" s="262" t="s">
        <v>1319</v>
      </c>
      <c r="D296" s="262" t="s">
        <v>1400</v>
      </c>
      <c r="E296" s="4"/>
    </row>
    <row r="297" spans="1:6" x14ac:dyDescent="0.2">
      <c r="D297" s="12"/>
      <c r="E297" s="4"/>
    </row>
    <row r="298" spans="1:6" x14ac:dyDescent="0.2">
      <c r="A298" s="261" t="s">
        <v>1401</v>
      </c>
      <c r="B298" s="261" t="s">
        <v>1402</v>
      </c>
      <c r="C298" s="261" t="s">
        <v>1403</v>
      </c>
      <c r="D298" t="s">
        <v>1404</v>
      </c>
      <c r="E298" s="4"/>
      <c r="F298" s="12"/>
    </row>
    <row r="299" spans="1:6" x14ac:dyDescent="0.2">
      <c r="A299" s="261" t="s">
        <v>1401</v>
      </c>
      <c r="B299" s="261" t="s">
        <v>1405</v>
      </c>
      <c r="C299" s="261" t="s">
        <v>1406</v>
      </c>
      <c r="D299" t="s">
        <v>1407</v>
      </c>
      <c r="E299" s="4"/>
      <c r="F299" s="12"/>
    </row>
    <row r="300" spans="1:6" x14ac:dyDescent="0.2">
      <c r="A300" s="261" t="s">
        <v>1401</v>
      </c>
      <c r="B300" s="261" t="s">
        <v>1408</v>
      </c>
      <c r="C300" s="261" t="s">
        <v>1409</v>
      </c>
      <c r="D300" t="s">
        <v>1410</v>
      </c>
      <c r="E300" s="4"/>
      <c r="F300" s="12"/>
    </row>
    <row r="301" spans="1:6" x14ac:dyDescent="0.2">
      <c r="A301" s="261" t="s">
        <v>1401</v>
      </c>
      <c r="B301" s="261" t="s">
        <v>1411</v>
      </c>
      <c r="C301" s="261" t="s">
        <v>1412</v>
      </c>
      <c r="D301" t="s">
        <v>1413</v>
      </c>
      <c r="E301" s="4"/>
      <c r="F301" s="12"/>
    </row>
    <row r="302" spans="1:6" x14ac:dyDescent="0.2">
      <c r="A302" s="261" t="s">
        <v>1401</v>
      </c>
      <c r="B302" s="261" t="s">
        <v>1414</v>
      </c>
      <c r="C302" s="261" t="s">
        <v>1415</v>
      </c>
      <c r="D302" t="s">
        <v>1416</v>
      </c>
      <c r="E302" s="4"/>
      <c r="F302" s="12"/>
    </row>
    <row r="303" spans="1:6" x14ac:dyDescent="0.2">
      <c r="A303" s="261" t="s">
        <v>1401</v>
      </c>
      <c r="B303" s="261" t="s">
        <v>1417</v>
      </c>
      <c r="C303" s="261" t="s">
        <v>1418</v>
      </c>
      <c r="D303" t="s">
        <v>1419</v>
      </c>
      <c r="E303" s="4"/>
      <c r="F303" s="12"/>
    </row>
    <row r="304" spans="1:6" x14ac:dyDescent="0.2">
      <c r="A304" s="261" t="s">
        <v>1401</v>
      </c>
      <c r="B304" s="261" t="s">
        <v>1420</v>
      </c>
      <c r="C304" s="261" t="s">
        <v>1421</v>
      </c>
      <c r="D304" t="s">
        <v>1422</v>
      </c>
      <c r="E304" s="4"/>
      <c r="F304" s="12"/>
    </row>
    <row r="305" spans="1:6" x14ac:dyDescent="0.2">
      <c r="A305" s="261" t="s">
        <v>1401</v>
      </c>
      <c r="B305" s="261" t="s">
        <v>1423</v>
      </c>
      <c r="C305" s="261" t="s">
        <v>1424</v>
      </c>
      <c r="D305" t="s">
        <v>1425</v>
      </c>
      <c r="E305" s="4"/>
      <c r="F305" s="12"/>
    </row>
    <row r="306" spans="1:6" x14ac:dyDescent="0.2">
      <c r="A306" s="261" t="s">
        <v>1401</v>
      </c>
      <c r="B306" s="261" t="s">
        <v>1426</v>
      </c>
      <c r="C306" s="261" t="s">
        <v>1427</v>
      </c>
      <c r="D306" t="s">
        <v>1428</v>
      </c>
      <c r="E306" s="4"/>
      <c r="F306" s="12"/>
    </row>
    <row r="307" spans="1:6" x14ac:dyDescent="0.2">
      <c r="A307" s="261" t="s">
        <v>1401</v>
      </c>
      <c r="B307" s="261" t="s">
        <v>1429</v>
      </c>
      <c r="C307" s="261" t="s">
        <v>1430</v>
      </c>
      <c r="D307" t="s">
        <v>1431</v>
      </c>
      <c r="E307" s="4"/>
      <c r="F307" s="12"/>
    </row>
    <row r="308" spans="1:6" x14ac:dyDescent="0.2">
      <c r="A308" s="261" t="s">
        <v>1401</v>
      </c>
      <c r="B308" s="261" t="s">
        <v>1432</v>
      </c>
      <c r="C308" s="261" t="s">
        <v>1433</v>
      </c>
      <c r="D308" t="s">
        <v>1434</v>
      </c>
      <c r="E308" s="4"/>
      <c r="F308" s="12"/>
    </row>
    <row r="309" spans="1:6" x14ac:dyDescent="0.2">
      <c r="A309" s="261" t="s">
        <v>1401</v>
      </c>
      <c r="B309" s="261" t="s">
        <v>1435</v>
      </c>
      <c r="C309" s="261" t="s">
        <v>1436</v>
      </c>
      <c r="D309" t="s">
        <v>1437</v>
      </c>
      <c r="E309" s="4"/>
      <c r="F309" s="12"/>
    </row>
    <row r="310" spans="1:6" x14ac:dyDescent="0.2">
      <c r="A310" s="261" t="s">
        <v>1401</v>
      </c>
      <c r="B310" s="261" t="s">
        <v>1438</v>
      </c>
      <c r="C310" s="261" t="s">
        <v>1439</v>
      </c>
      <c r="D310" t="s">
        <v>1440</v>
      </c>
      <c r="E310" s="4"/>
      <c r="F310" s="12"/>
    </row>
    <row r="311" spans="1:6" x14ac:dyDescent="0.2">
      <c r="A311" s="261" t="s">
        <v>1401</v>
      </c>
      <c r="B311" s="261" t="s">
        <v>1441</v>
      </c>
      <c r="C311" s="261" t="s">
        <v>1442</v>
      </c>
      <c r="D311" t="s">
        <v>1443</v>
      </c>
      <c r="E311" s="4"/>
      <c r="F311" s="12"/>
    </row>
    <row r="312" spans="1:6" x14ac:dyDescent="0.2">
      <c r="A312" s="261" t="s">
        <v>1401</v>
      </c>
      <c r="B312" s="261" t="s">
        <v>1444</v>
      </c>
      <c r="C312" s="261" t="s">
        <v>1445</v>
      </c>
      <c r="D312" t="s">
        <v>1446</v>
      </c>
      <c r="E312" s="4"/>
    </row>
    <row r="313" spans="1:6" x14ac:dyDescent="0.2">
      <c r="A313" s="261" t="s">
        <v>1401</v>
      </c>
      <c r="B313" s="261" t="s">
        <v>1095</v>
      </c>
      <c r="C313" s="261" t="s">
        <v>1381</v>
      </c>
      <c r="D313" t="s">
        <v>1382</v>
      </c>
      <c r="E313" s="4"/>
      <c r="F313" s="12"/>
    </row>
    <row r="314" spans="1:6" x14ac:dyDescent="0.2">
      <c r="A314" s="261" t="s">
        <v>1401</v>
      </c>
      <c r="B314" s="261" t="s">
        <v>1101</v>
      </c>
      <c r="C314" s="261" t="s">
        <v>978</v>
      </c>
      <c r="D314" t="s">
        <v>979</v>
      </c>
      <c r="E314" s="4"/>
    </row>
    <row r="315" spans="1:6" x14ac:dyDescent="0.2">
      <c r="A315" s="261" t="s">
        <v>1401</v>
      </c>
      <c r="B315" s="261" t="s">
        <v>1102</v>
      </c>
      <c r="C315" s="261" t="s">
        <v>980</v>
      </c>
      <c r="D315" t="s">
        <v>981</v>
      </c>
      <c r="E315" s="4"/>
    </row>
    <row r="316" spans="1:6" x14ac:dyDescent="0.2">
      <c r="E316" s="4"/>
    </row>
    <row r="317" spans="1:6" s="12" customFormat="1" x14ac:dyDescent="0.2">
      <c r="A317" s="262" t="s">
        <v>1447</v>
      </c>
      <c r="B317" s="262">
        <v>1</v>
      </c>
      <c r="C317" s="262" t="s">
        <v>1448</v>
      </c>
      <c r="D317" s="262" t="s">
        <v>1449</v>
      </c>
      <c r="E317" s="14"/>
    </row>
    <row r="318" spans="1:6" s="12" customFormat="1" x14ac:dyDescent="0.2">
      <c r="A318" s="262" t="s">
        <v>1447</v>
      </c>
      <c r="B318" s="262">
        <v>2</v>
      </c>
      <c r="C318" s="262" t="s">
        <v>1450</v>
      </c>
      <c r="D318" s="262" t="s">
        <v>1451</v>
      </c>
      <c r="E318" s="14"/>
    </row>
    <row r="319" spans="1:6" s="12" customFormat="1" x14ac:dyDescent="0.2">
      <c r="A319" s="262" t="s">
        <v>1447</v>
      </c>
      <c r="B319" s="262">
        <v>3</v>
      </c>
      <c r="C319" s="262" t="s">
        <v>1452</v>
      </c>
      <c r="D319" s="262" t="s">
        <v>1453</v>
      </c>
      <c r="E319" s="14"/>
    </row>
    <row r="320" spans="1:6" s="12" customFormat="1" x14ac:dyDescent="0.2">
      <c r="A320" s="262" t="s">
        <v>1447</v>
      </c>
      <c r="B320" s="262">
        <v>4</v>
      </c>
      <c r="C320" s="262" t="s">
        <v>1454</v>
      </c>
      <c r="D320" s="262" t="s">
        <v>1455</v>
      </c>
      <c r="E320" s="14"/>
    </row>
    <row r="321" spans="1:6" s="12" customFormat="1" x14ac:dyDescent="0.2">
      <c r="A321" s="262" t="s">
        <v>1447</v>
      </c>
      <c r="B321" s="262">
        <v>5</v>
      </c>
      <c r="C321" s="262" t="s">
        <v>1456</v>
      </c>
      <c r="D321" s="262" t="s">
        <v>1457</v>
      </c>
      <c r="E321" s="14"/>
    </row>
    <row r="322" spans="1:6" s="12" customFormat="1" x14ac:dyDescent="0.2">
      <c r="A322" s="262" t="s">
        <v>1447</v>
      </c>
      <c r="B322" s="262">
        <v>6</v>
      </c>
      <c r="C322" s="262" t="s">
        <v>1458</v>
      </c>
      <c r="D322" s="262" t="s">
        <v>1459</v>
      </c>
      <c r="E322" s="14"/>
    </row>
    <row r="323" spans="1:6" s="12" customFormat="1" x14ac:dyDescent="0.2">
      <c r="A323" s="262" t="s">
        <v>1447</v>
      </c>
      <c r="B323" s="262">
        <v>7</v>
      </c>
      <c r="C323" s="262" t="s">
        <v>978</v>
      </c>
      <c r="D323" s="262" t="s">
        <v>1460</v>
      </c>
      <c r="E323" s="14"/>
    </row>
    <row r="324" spans="1:6" x14ac:dyDescent="0.2">
      <c r="A324" s="262" t="s">
        <v>1447</v>
      </c>
      <c r="B324" s="262">
        <v>8</v>
      </c>
      <c r="C324" s="262" t="s">
        <v>980</v>
      </c>
      <c r="D324" s="262" t="s">
        <v>1461</v>
      </c>
      <c r="E324" s="14"/>
      <c r="F324" s="12"/>
    </row>
    <row r="325" spans="1:6" x14ac:dyDescent="0.2">
      <c r="D325" s="12"/>
      <c r="E325" s="4"/>
    </row>
    <row r="326" spans="1:6" x14ac:dyDescent="0.2">
      <c r="A326" t="s">
        <v>1462</v>
      </c>
      <c r="B326" t="s">
        <v>1463</v>
      </c>
      <c r="C326" t="s">
        <v>1464</v>
      </c>
      <c r="D326" t="s">
        <v>1465</v>
      </c>
      <c r="E326" s="4"/>
      <c r="F326" s="12"/>
    </row>
    <row r="327" spans="1:6" x14ac:dyDescent="0.2">
      <c r="A327" t="s">
        <v>1462</v>
      </c>
      <c r="B327" t="s">
        <v>1466</v>
      </c>
      <c r="C327" t="s">
        <v>1467</v>
      </c>
      <c r="D327" t="s">
        <v>1468</v>
      </c>
      <c r="E327" s="4"/>
      <c r="F327" s="12"/>
    </row>
    <row r="328" spans="1:6" x14ac:dyDescent="0.2">
      <c r="A328" t="s">
        <v>1462</v>
      </c>
      <c r="B328" t="s">
        <v>1469</v>
      </c>
      <c r="C328" t="s">
        <v>1470</v>
      </c>
      <c r="D328" t="s">
        <v>1471</v>
      </c>
      <c r="E328" s="4"/>
      <c r="F328" s="12"/>
    </row>
    <row r="329" spans="1:6" x14ac:dyDescent="0.2">
      <c r="A329" t="s">
        <v>1462</v>
      </c>
      <c r="B329" t="s">
        <v>1472</v>
      </c>
      <c r="C329" t="s">
        <v>1473</v>
      </c>
      <c r="D329" t="s">
        <v>1474</v>
      </c>
      <c r="E329" s="4"/>
      <c r="F329" s="12"/>
    </row>
    <row r="330" spans="1:6" x14ac:dyDescent="0.2">
      <c r="A330" t="s">
        <v>1462</v>
      </c>
      <c r="B330" t="s">
        <v>1475</v>
      </c>
      <c r="C330" t="s">
        <v>1476</v>
      </c>
      <c r="D330" t="s">
        <v>1477</v>
      </c>
      <c r="E330" s="4"/>
      <c r="F330" s="12"/>
    </row>
    <row r="331" spans="1:6" x14ac:dyDescent="0.2">
      <c r="A331" t="s">
        <v>1462</v>
      </c>
      <c r="B331" t="s">
        <v>1478</v>
      </c>
      <c r="C331" t="s">
        <v>1479</v>
      </c>
      <c r="D331" t="s">
        <v>1480</v>
      </c>
      <c r="E331" s="4"/>
      <c r="F331" s="12"/>
    </row>
    <row r="332" spans="1:6" x14ac:dyDescent="0.2">
      <c r="A332" t="s">
        <v>1462</v>
      </c>
      <c r="B332" t="s">
        <v>1481</v>
      </c>
      <c r="C332" t="s">
        <v>1482</v>
      </c>
      <c r="D332" t="s">
        <v>1483</v>
      </c>
      <c r="E332" s="4"/>
      <c r="F332" s="12"/>
    </row>
    <row r="333" spans="1:6" x14ac:dyDescent="0.2">
      <c r="A333" t="s">
        <v>1462</v>
      </c>
      <c r="B333" t="s">
        <v>1095</v>
      </c>
      <c r="C333" t="s">
        <v>1381</v>
      </c>
      <c r="D333" t="s">
        <v>1382</v>
      </c>
      <c r="E333" s="4"/>
      <c r="F333" s="12"/>
    </row>
    <row r="334" spans="1:6" x14ac:dyDescent="0.2">
      <c r="A334" t="s">
        <v>1462</v>
      </c>
      <c r="B334" t="s">
        <v>1101</v>
      </c>
      <c r="C334" t="s">
        <v>978</v>
      </c>
      <c r="D334" t="s">
        <v>979</v>
      </c>
      <c r="E334" s="4"/>
      <c r="F334" s="12"/>
    </row>
    <row r="335" spans="1:6" x14ac:dyDescent="0.2">
      <c r="A335" t="s">
        <v>1462</v>
      </c>
      <c r="B335" t="s">
        <v>1102</v>
      </c>
      <c r="C335" t="s">
        <v>980</v>
      </c>
      <c r="D335" t="s">
        <v>981</v>
      </c>
      <c r="E335" s="4"/>
      <c r="F335" s="12"/>
    </row>
    <row r="336" spans="1:6" x14ac:dyDescent="0.2">
      <c r="E336" s="4"/>
    </row>
    <row r="337" spans="1:6" x14ac:dyDescent="0.2">
      <c r="A337" t="s">
        <v>601</v>
      </c>
      <c r="B337">
        <v>1</v>
      </c>
      <c r="C337" t="s">
        <v>1484</v>
      </c>
      <c r="D337" t="s">
        <v>1485</v>
      </c>
      <c r="E337" s="4"/>
    </row>
    <row r="338" spans="1:6" x14ac:dyDescent="0.2">
      <c r="A338" t="s">
        <v>601</v>
      </c>
      <c r="B338">
        <v>2</v>
      </c>
      <c r="C338" t="s">
        <v>1486</v>
      </c>
      <c r="D338" t="s">
        <v>1487</v>
      </c>
      <c r="E338" s="4"/>
    </row>
    <row r="339" spans="1:6" x14ac:dyDescent="0.2">
      <c r="A339" t="s">
        <v>601</v>
      </c>
      <c r="B339">
        <v>3</v>
      </c>
      <c r="C339" t="s">
        <v>1488</v>
      </c>
      <c r="D339" t="s">
        <v>1489</v>
      </c>
      <c r="E339" s="4"/>
    </row>
    <row r="340" spans="1:6" x14ac:dyDescent="0.2">
      <c r="A340" t="s">
        <v>601</v>
      </c>
      <c r="B340">
        <v>4</v>
      </c>
      <c r="C340" t="s">
        <v>1490</v>
      </c>
      <c r="D340" t="s">
        <v>1491</v>
      </c>
      <c r="E340" s="4"/>
    </row>
    <row r="341" spans="1:6" x14ac:dyDescent="0.2">
      <c r="A341" t="s">
        <v>601</v>
      </c>
      <c r="B341">
        <v>5</v>
      </c>
      <c r="C341" t="s">
        <v>1492</v>
      </c>
      <c r="D341" t="s">
        <v>1493</v>
      </c>
      <c r="E341" s="4"/>
    </row>
    <row r="342" spans="1:6" x14ac:dyDescent="0.2">
      <c r="A342" t="s">
        <v>601</v>
      </c>
      <c r="B342">
        <v>6</v>
      </c>
      <c r="C342" t="s">
        <v>1494</v>
      </c>
      <c r="D342" t="s">
        <v>1495</v>
      </c>
      <c r="E342" s="4"/>
    </row>
    <row r="343" spans="1:6" x14ac:dyDescent="0.2">
      <c r="A343" t="s">
        <v>601</v>
      </c>
      <c r="B343">
        <v>7</v>
      </c>
      <c r="C343" t="s">
        <v>1496</v>
      </c>
      <c r="D343" t="s">
        <v>1497</v>
      </c>
      <c r="E343" s="4"/>
    </row>
    <row r="344" spans="1:6" x14ac:dyDescent="0.2">
      <c r="A344" t="s">
        <v>601</v>
      </c>
      <c r="B344">
        <v>8</v>
      </c>
      <c r="C344" t="s">
        <v>1498</v>
      </c>
      <c r="D344" t="s">
        <v>1499</v>
      </c>
      <c r="E344" s="4"/>
    </row>
    <row r="345" spans="1:6" x14ac:dyDescent="0.2">
      <c r="A345" t="s">
        <v>601</v>
      </c>
      <c r="B345">
        <v>9</v>
      </c>
      <c r="C345" t="s">
        <v>1381</v>
      </c>
      <c r="D345" t="s">
        <v>1382</v>
      </c>
      <c r="E345" s="4"/>
    </row>
    <row r="346" spans="1:6" x14ac:dyDescent="0.2">
      <c r="A346" t="s">
        <v>601</v>
      </c>
      <c r="B346" s="260">
        <v>10</v>
      </c>
      <c r="C346" t="s">
        <v>978</v>
      </c>
      <c r="D346" t="s">
        <v>979</v>
      </c>
      <c r="E346" s="4"/>
    </row>
    <row r="347" spans="1:6" x14ac:dyDescent="0.2">
      <c r="A347" t="s">
        <v>601</v>
      </c>
      <c r="B347" s="260">
        <v>11</v>
      </c>
      <c r="C347" t="s">
        <v>980</v>
      </c>
      <c r="D347" t="s">
        <v>981</v>
      </c>
      <c r="E347" s="4"/>
    </row>
    <row r="348" spans="1:6" x14ac:dyDescent="0.2">
      <c r="E348" s="4"/>
    </row>
    <row r="349" spans="1:6" x14ac:dyDescent="0.2">
      <c r="A349" t="s">
        <v>1500</v>
      </c>
      <c r="B349" t="s">
        <v>1501</v>
      </c>
      <c r="C349" t="s">
        <v>1502</v>
      </c>
      <c r="D349" t="s">
        <v>1503</v>
      </c>
      <c r="E349" s="4"/>
      <c r="F349" s="12"/>
    </row>
    <row r="350" spans="1:6" x14ac:dyDescent="0.2">
      <c r="A350" t="s">
        <v>1500</v>
      </c>
      <c r="B350" t="s">
        <v>1504</v>
      </c>
      <c r="C350" t="s">
        <v>1505</v>
      </c>
      <c r="D350" t="s">
        <v>1506</v>
      </c>
      <c r="E350" s="4"/>
      <c r="F350" s="12"/>
    </row>
    <row r="351" spans="1:6" x14ac:dyDescent="0.2">
      <c r="A351" t="s">
        <v>1500</v>
      </c>
      <c r="B351" t="s">
        <v>1507</v>
      </c>
      <c r="C351" t="s">
        <v>1508</v>
      </c>
      <c r="D351" t="s">
        <v>1509</v>
      </c>
      <c r="E351" s="4"/>
      <c r="F351" s="12"/>
    </row>
    <row r="352" spans="1:6" x14ac:dyDescent="0.2">
      <c r="A352" t="s">
        <v>1500</v>
      </c>
      <c r="B352" t="s">
        <v>1510</v>
      </c>
      <c r="C352" t="s">
        <v>1511</v>
      </c>
      <c r="D352" t="s">
        <v>1512</v>
      </c>
      <c r="E352" s="4"/>
      <c r="F352" s="12"/>
    </row>
    <row r="353" spans="1:6" x14ac:dyDescent="0.2">
      <c r="A353" t="s">
        <v>1500</v>
      </c>
      <c r="B353" t="s">
        <v>1513</v>
      </c>
      <c r="C353" t="s">
        <v>1514</v>
      </c>
      <c r="D353" t="s">
        <v>1515</v>
      </c>
      <c r="E353" s="4"/>
      <c r="F353" s="12"/>
    </row>
    <row r="354" spans="1:6" x14ac:dyDescent="0.2">
      <c r="A354" t="s">
        <v>1500</v>
      </c>
      <c r="B354" t="s">
        <v>1516</v>
      </c>
      <c r="C354" t="s">
        <v>1517</v>
      </c>
      <c r="D354" t="s">
        <v>1518</v>
      </c>
      <c r="E354" s="4"/>
      <c r="F354" s="12"/>
    </row>
    <row r="355" spans="1:6" x14ac:dyDescent="0.2">
      <c r="A355" t="s">
        <v>1500</v>
      </c>
      <c r="B355" t="s">
        <v>1519</v>
      </c>
      <c r="C355" t="s">
        <v>1520</v>
      </c>
      <c r="D355" t="s">
        <v>1521</v>
      </c>
      <c r="E355" s="4"/>
      <c r="F355" s="12"/>
    </row>
    <row r="356" spans="1:6" x14ac:dyDescent="0.2">
      <c r="A356" t="s">
        <v>1500</v>
      </c>
      <c r="B356" t="s">
        <v>1522</v>
      </c>
      <c r="C356" t="s">
        <v>1523</v>
      </c>
      <c r="D356" t="s">
        <v>1524</v>
      </c>
      <c r="E356" s="4"/>
      <c r="F356" s="12"/>
    </row>
    <row r="357" spans="1:6" x14ac:dyDescent="0.2">
      <c r="A357" t="s">
        <v>1500</v>
      </c>
      <c r="B357" t="s">
        <v>1525</v>
      </c>
      <c r="C357" t="s">
        <v>1526</v>
      </c>
      <c r="D357" t="s">
        <v>1527</v>
      </c>
      <c r="E357" s="4"/>
      <c r="F357" s="12"/>
    </row>
    <row r="358" spans="1:6" x14ac:dyDescent="0.2">
      <c r="A358" t="s">
        <v>1500</v>
      </c>
      <c r="B358" t="s">
        <v>1528</v>
      </c>
      <c r="C358" t="s">
        <v>1529</v>
      </c>
      <c r="D358" t="s">
        <v>1530</v>
      </c>
      <c r="E358" s="4"/>
      <c r="F358" s="12"/>
    </row>
    <row r="359" spans="1:6" x14ac:dyDescent="0.2">
      <c r="A359" t="s">
        <v>1500</v>
      </c>
      <c r="B359" t="s">
        <v>1531</v>
      </c>
      <c r="C359" t="s">
        <v>1532</v>
      </c>
      <c r="D359" t="s">
        <v>1533</v>
      </c>
      <c r="E359" s="4"/>
      <c r="F359" s="12"/>
    </row>
    <row r="360" spans="1:6" x14ac:dyDescent="0.2">
      <c r="A360" t="s">
        <v>1500</v>
      </c>
      <c r="B360" t="s">
        <v>1534</v>
      </c>
      <c r="C360" t="s">
        <v>1381</v>
      </c>
      <c r="D360" t="s">
        <v>1382</v>
      </c>
      <c r="E360" s="4"/>
      <c r="F360" s="12"/>
    </row>
    <row r="361" spans="1:6" x14ac:dyDescent="0.2">
      <c r="A361" t="s">
        <v>1500</v>
      </c>
      <c r="B361" t="s">
        <v>1535</v>
      </c>
      <c r="C361" t="s">
        <v>978</v>
      </c>
      <c r="D361" t="s">
        <v>979</v>
      </c>
      <c r="E361" s="4"/>
      <c r="F361" s="12"/>
    </row>
    <row r="362" spans="1:6" ht="14.25" customHeight="1" x14ac:dyDescent="0.2">
      <c r="A362" t="s">
        <v>1500</v>
      </c>
      <c r="B362" t="s">
        <v>1536</v>
      </c>
      <c r="C362" t="s">
        <v>980</v>
      </c>
      <c r="D362" t="s">
        <v>981</v>
      </c>
      <c r="E362" s="4"/>
      <c r="F362" s="12"/>
    </row>
    <row r="363" spans="1:6" ht="14.25" customHeight="1" x14ac:dyDescent="0.2">
      <c r="E363" s="4"/>
      <c r="F363" s="12"/>
    </row>
    <row r="364" spans="1:6" s="12" customFormat="1" ht="14.25" customHeight="1" x14ac:dyDescent="0.2">
      <c r="A364" s="262" t="s">
        <v>1537</v>
      </c>
      <c r="B364" s="262" t="s">
        <v>1538</v>
      </c>
      <c r="C364" s="262" t="s">
        <v>1539</v>
      </c>
      <c r="D364" s="262" t="s">
        <v>1540</v>
      </c>
      <c r="E364" s="14"/>
    </row>
    <row r="365" spans="1:6" s="12" customFormat="1" ht="14.25" customHeight="1" x14ac:dyDescent="0.2">
      <c r="A365" s="262" t="s">
        <v>1537</v>
      </c>
      <c r="B365" s="262" t="s">
        <v>1541</v>
      </c>
      <c r="C365" s="262" t="s">
        <v>1542</v>
      </c>
      <c r="D365" s="262" t="s">
        <v>1543</v>
      </c>
      <c r="E365" s="14"/>
    </row>
    <row r="366" spans="1:6" s="12" customFormat="1" ht="14.25" customHeight="1" x14ac:dyDescent="0.2">
      <c r="A366" s="262" t="s">
        <v>1537</v>
      </c>
      <c r="B366" s="262" t="s">
        <v>1544</v>
      </c>
      <c r="C366" s="262" t="s">
        <v>1545</v>
      </c>
      <c r="D366" s="262" t="s">
        <v>1546</v>
      </c>
      <c r="E366" s="14"/>
    </row>
    <row r="367" spans="1:6" s="12" customFormat="1" ht="14.25" customHeight="1" x14ac:dyDescent="0.2">
      <c r="A367" s="262" t="s">
        <v>1537</v>
      </c>
      <c r="B367" s="262" t="s">
        <v>1547</v>
      </c>
      <c r="C367" s="262" t="s">
        <v>1548</v>
      </c>
      <c r="D367" s="262" t="s">
        <v>1549</v>
      </c>
      <c r="E367" s="14"/>
    </row>
    <row r="368" spans="1:6" s="12" customFormat="1" ht="14.25" customHeight="1" x14ac:dyDescent="0.2">
      <c r="A368" s="262" t="s">
        <v>1537</v>
      </c>
      <c r="B368" s="262" t="s">
        <v>1550</v>
      </c>
      <c r="C368" s="262" t="s">
        <v>1551</v>
      </c>
      <c r="D368" s="262" t="s">
        <v>1552</v>
      </c>
      <c r="E368" s="14"/>
    </row>
    <row r="369" spans="1:6" s="12" customFormat="1" ht="14.25" customHeight="1" x14ac:dyDescent="0.2">
      <c r="A369" s="262" t="s">
        <v>1537</v>
      </c>
      <c r="B369" s="262" t="s">
        <v>1095</v>
      </c>
      <c r="C369" s="262" t="s">
        <v>1553</v>
      </c>
      <c r="D369" s="262" t="s">
        <v>1382</v>
      </c>
      <c r="E369" s="14"/>
    </row>
    <row r="370" spans="1:6" s="12" customFormat="1" ht="14.25" customHeight="1" x14ac:dyDescent="0.2">
      <c r="A370" s="262" t="s">
        <v>1537</v>
      </c>
      <c r="B370" s="262" t="s">
        <v>1101</v>
      </c>
      <c r="C370" s="262" t="s">
        <v>978</v>
      </c>
      <c r="D370" s="262" t="s">
        <v>979</v>
      </c>
      <c r="E370" s="14"/>
    </row>
    <row r="371" spans="1:6" s="12" customFormat="1" ht="14.25" customHeight="1" x14ac:dyDescent="0.2">
      <c r="A371" s="262" t="s">
        <v>1537</v>
      </c>
      <c r="B371" s="262" t="s">
        <v>1102</v>
      </c>
      <c r="C371" s="262" t="s">
        <v>980</v>
      </c>
      <c r="D371" s="262" t="s">
        <v>981</v>
      </c>
      <c r="E371" s="14"/>
    </row>
    <row r="372" spans="1:6" ht="14.25" customHeight="1" x14ac:dyDescent="0.2">
      <c r="D372" s="12"/>
      <c r="E372" s="4"/>
    </row>
    <row r="373" spans="1:6" x14ac:dyDescent="0.2">
      <c r="A373" t="s">
        <v>1554</v>
      </c>
      <c r="B373" t="s">
        <v>1555</v>
      </c>
      <c r="C373" t="s">
        <v>1556</v>
      </c>
      <c r="D373" t="s">
        <v>1557</v>
      </c>
      <c r="E373" s="4"/>
      <c r="F373" s="12"/>
    </row>
    <row r="374" spans="1:6" x14ac:dyDescent="0.2">
      <c r="A374" t="s">
        <v>1554</v>
      </c>
      <c r="B374" t="s">
        <v>1558</v>
      </c>
      <c r="C374" t="s">
        <v>1559</v>
      </c>
      <c r="D374" t="s">
        <v>1560</v>
      </c>
      <c r="E374" s="4"/>
      <c r="F374" s="12"/>
    </row>
    <row r="375" spans="1:6" x14ac:dyDescent="0.2">
      <c r="A375" t="s">
        <v>1554</v>
      </c>
      <c r="B375" t="s">
        <v>1561</v>
      </c>
      <c r="C375" t="s">
        <v>1562</v>
      </c>
      <c r="D375" t="s">
        <v>1563</v>
      </c>
      <c r="E375" s="4"/>
      <c r="F375" s="12"/>
    </row>
    <row r="376" spans="1:6" x14ac:dyDescent="0.2">
      <c r="A376" t="s">
        <v>1554</v>
      </c>
      <c r="B376" t="s">
        <v>1564</v>
      </c>
      <c r="C376" t="s">
        <v>1565</v>
      </c>
      <c r="D376" t="s">
        <v>1566</v>
      </c>
      <c r="E376" s="4"/>
      <c r="F376" s="12"/>
    </row>
    <row r="377" spans="1:6" x14ac:dyDescent="0.2">
      <c r="A377" t="s">
        <v>1554</v>
      </c>
      <c r="B377" t="s">
        <v>1567</v>
      </c>
      <c r="C377" t="s">
        <v>1568</v>
      </c>
      <c r="D377" t="s">
        <v>1569</v>
      </c>
      <c r="E377" s="4"/>
      <c r="F377" s="12"/>
    </row>
    <row r="378" spans="1:6" x14ac:dyDescent="0.2">
      <c r="A378" t="s">
        <v>1554</v>
      </c>
      <c r="B378" t="s">
        <v>1570</v>
      </c>
      <c r="C378" t="s">
        <v>1571</v>
      </c>
      <c r="D378" t="s">
        <v>1572</v>
      </c>
      <c r="E378" s="4"/>
      <c r="F378" s="12"/>
    </row>
    <row r="379" spans="1:6" x14ac:dyDescent="0.2">
      <c r="A379" t="s">
        <v>1554</v>
      </c>
      <c r="B379" t="s">
        <v>1573</v>
      </c>
      <c r="C379" t="s">
        <v>1574</v>
      </c>
      <c r="D379" t="s">
        <v>1575</v>
      </c>
      <c r="E379" s="4"/>
      <c r="F379" s="12"/>
    </row>
    <row r="380" spans="1:6" x14ac:dyDescent="0.2">
      <c r="A380" t="s">
        <v>1554</v>
      </c>
      <c r="B380" t="s">
        <v>1576</v>
      </c>
      <c r="C380" t="s">
        <v>1577</v>
      </c>
      <c r="D380" t="s">
        <v>1578</v>
      </c>
      <c r="E380" s="4"/>
      <c r="F380" s="12"/>
    </row>
    <row r="381" spans="1:6" x14ac:dyDescent="0.2">
      <c r="A381" t="s">
        <v>1554</v>
      </c>
      <c r="B381" t="s">
        <v>1444</v>
      </c>
      <c r="C381" t="s">
        <v>1445</v>
      </c>
      <c r="D381" t="s">
        <v>1579</v>
      </c>
      <c r="E381" s="4"/>
      <c r="F381" s="12"/>
    </row>
    <row r="382" spans="1:6" x14ac:dyDescent="0.2">
      <c r="A382" t="s">
        <v>1554</v>
      </c>
      <c r="B382" t="s">
        <v>1426</v>
      </c>
      <c r="C382" t="s">
        <v>1427</v>
      </c>
      <c r="D382" t="s">
        <v>1580</v>
      </c>
      <c r="E382" s="4"/>
      <c r="F382" s="12"/>
    </row>
    <row r="383" spans="1:6" x14ac:dyDescent="0.2">
      <c r="A383" t="s">
        <v>1554</v>
      </c>
      <c r="B383" t="s">
        <v>1095</v>
      </c>
      <c r="C383" t="s">
        <v>1381</v>
      </c>
      <c r="D383" t="s">
        <v>1382</v>
      </c>
      <c r="E383" s="4"/>
    </row>
    <row r="384" spans="1:6" x14ac:dyDescent="0.2">
      <c r="A384" t="s">
        <v>1554</v>
      </c>
      <c r="B384" t="s">
        <v>1101</v>
      </c>
      <c r="C384" t="s">
        <v>978</v>
      </c>
      <c r="D384" t="s">
        <v>1581</v>
      </c>
      <c r="E384" s="4"/>
    </row>
    <row r="385" spans="1:5" x14ac:dyDescent="0.2">
      <c r="A385" t="s">
        <v>1554</v>
      </c>
      <c r="B385" t="s">
        <v>1102</v>
      </c>
      <c r="C385" t="s">
        <v>980</v>
      </c>
      <c r="D385" t="s">
        <v>981</v>
      </c>
      <c r="E385" s="4"/>
    </row>
    <row r="386" spans="1:5" x14ac:dyDescent="0.2">
      <c r="E386" s="4"/>
    </row>
    <row r="387" spans="1:5" x14ac:dyDescent="0.2">
      <c r="A387" s="262" t="s">
        <v>1582</v>
      </c>
      <c r="B387" s="262">
        <v>1</v>
      </c>
      <c r="C387" s="262" t="s">
        <v>1484</v>
      </c>
      <c r="D387" t="s">
        <v>1485</v>
      </c>
      <c r="E387" s="4"/>
    </row>
    <row r="388" spans="1:5" x14ac:dyDescent="0.2">
      <c r="A388" s="262" t="s">
        <v>1582</v>
      </c>
      <c r="B388" s="262">
        <v>2</v>
      </c>
      <c r="C388" s="262" t="s">
        <v>1486</v>
      </c>
      <c r="D388" t="s">
        <v>1487</v>
      </c>
      <c r="E388" s="4"/>
    </row>
    <row r="389" spans="1:5" x14ac:dyDescent="0.2">
      <c r="A389" s="262" t="s">
        <v>1582</v>
      </c>
      <c r="B389" s="262">
        <v>3</v>
      </c>
      <c r="C389" s="262" t="s">
        <v>1488</v>
      </c>
      <c r="D389" t="s">
        <v>1489</v>
      </c>
      <c r="E389" s="4"/>
    </row>
    <row r="390" spans="1:5" x14ac:dyDescent="0.2">
      <c r="A390" s="262" t="s">
        <v>1582</v>
      </c>
      <c r="B390" s="262">
        <v>4</v>
      </c>
      <c r="C390" s="262" t="s">
        <v>1490</v>
      </c>
      <c r="D390" t="s">
        <v>1491</v>
      </c>
      <c r="E390" s="4"/>
    </row>
    <row r="391" spans="1:5" x14ac:dyDescent="0.2">
      <c r="A391" s="262" t="s">
        <v>1582</v>
      </c>
      <c r="B391" s="262">
        <v>5</v>
      </c>
      <c r="C391" s="262" t="s">
        <v>1492</v>
      </c>
      <c r="D391" t="s">
        <v>1493</v>
      </c>
      <c r="E391" s="4"/>
    </row>
    <row r="392" spans="1:5" x14ac:dyDescent="0.2">
      <c r="A392" s="262" t="s">
        <v>1582</v>
      </c>
      <c r="B392" s="262">
        <v>6</v>
      </c>
      <c r="C392" s="262" t="s">
        <v>1494</v>
      </c>
      <c r="D392" t="s">
        <v>1495</v>
      </c>
      <c r="E392" s="4"/>
    </row>
    <row r="393" spans="1:5" x14ac:dyDescent="0.2">
      <c r="A393" s="262" t="s">
        <v>1582</v>
      </c>
      <c r="B393" s="262">
        <v>7</v>
      </c>
      <c r="C393" s="262" t="s">
        <v>1496</v>
      </c>
      <c r="D393" t="s">
        <v>1497</v>
      </c>
      <c r="E393" s="4"/>
    </row>
    <row r="394" spans="1:5" x14ac:dyDescent="0.2">
      <c r="A394" s="262" t="s">
        <v>1582</v>
      </c>
      <c r="B394" s="262">
        <v>8</v>
      </c>
      <c r="C394" s="262" t="s">
        <v>1498</v>
      </c>
      <c r="D394" t="s">
        <v>1499</v>
      </c>
      <c r="E394" s="4"/>
    </row>
    <row r="395" spans="1:5" x14ac:dyDescent="0.2">
      <c r="A395" s="262" t="s">
        <v>1582</v>
      </c>
      <c r="B395" s="262">
        <v>9</v>
      </c>
      <c r="C395" s="262" t="s">
        <v>1381</v>
      </c>
      <c r="D395" t="s">
        <v>1382</v>
      </c>
      <c r="E395" s="4"/>
    </row>
    <row r="396" spans="1:5" x14ac:dyDescent="0.2">
      <c r="A396" s="262" t="s">
        <v>1582</v>
      </c>
      <c r="B396" s="262">
        <v>666</v>
      </c>
      <c r="C396" s="262" t="s">
        <v>1583</v>
      </c>
      <c r="D396" t="s">
        <v>1584</v>
      </c>
      <c r="E396" s="4"/>
    </row>
    <row r="397" spans="1:5" x14ac:dyDescent="0.2">
      <c r="A397" s="262" t="s">
        <v>1582</v>
      </c>
      <c r="B397" s="262">
        <v>10</v>
      </c>
      <c r="C397" s="262" t="s">
        <v>978</v>
      </c>
      <c r="D397" t="s">
        <v>979</v>
      </c>
      <c r="E397" s="4"/>
    </row>
    <row r="398" spans="1:5" x14ac:dyDescent="0.2">
      <c r="A398" s="262" t="s">
        <v>1582</v>
      </c>
      <c r="B398" s="262">
        <v>11</v>
      </c>
      <c r="C398" s="262" t="s">
        <v>980</v>
      </c>
      <c r="D398" t="s">
        <v>981</v>
      </c>
      <c r="E398" s="4"/>
    </row>
    <row r="399" spans="1:5" x14ac:dyDescent="0.2">
      <c r="B399" s="9"/>
      <c r="D399" s="12"/>
      <c r="E399" s="4"/>
    </row>
    <row r="400" spans="1:5" x14ac:dyDescent="0.2">
      <c r="A400" t="s">
        <v>1585</v>
      </c>
      <c r="B400">
        <v>1</v>
      </c>
      <c r="C400" t="s">
        <v>1484</v>
      </c>
      <c r="D400" t="s">
        <v>1485</v>
      </c>
      <c r="E400" s="4"/>
    </row>
    <row r="401" spans="1:6" x14ac:dyDescent="0.2">
      <c r="A401" t="s">
        <v>1585</v>
      </c>
      <c r="B401">
        <v>2</v>
      </c>
      <c r="C401" t="s">
        <v>1486</v>
      </c>
      <c r="D401" t="s">
        <v>1487</v>
      </c>
      <c r="E401" s="4"/>
    </row>
    <row r="402" spans="1:6" x14ac:dyDescent="0.2">
      <c r="A402" t="s">
        <v>1585</v>
      </c>
      <c r="B402">
        <v>3</v>
      </c>
      <c r="C402" t="s">
        <v>1488</v>
      </c>
      <c r="D402" t="s">
        <v>1489</v>
      </c>
      <c r="E402" s="4"/>
    </row>
    <row r="403" spans="1:6" x14ac:dyDescent="0.2">
      <c r="A403" t="s">
        <v>1585</v>
      </c>
      <c r="B403">
        <v>4</v>
      </c>
      <c r="C403" s="261" t="s">
        <v>1490</v>
      </c>
      <c r="D403" t="s">
        <v>1491</v>
      </c>
      <c r="E403" s="4"/>
    </row>
    <row r="404" spans="1:6" x14ac:dyDescent="0.2">
      <c r="A404" t="s">
        <v>1585</v>
      </c>
      <c r="B404">
        <v>5</v>
      </c>
      <c r="C404" t="s">
        <v>1586</v>
      </c>
      <c r="D404" s="261" t="s">
        <v>1493</v>
      </c>
      <c r="E404" s="4"/>
    </row>
    <row r="405" spans="1:6" x14ac:dyDescent="0.2">
      <c r="A405" t="s">
        <v>1585</v>
      </c>
      <c r="B405">
        <v>6</v>
      </c>
      <c r="C405" t="s">
        <v>1494</v>
      </c>
      <c r="D405" t="s">
        <v>1495</v>
      </c>
      <c r="E405" s="4"/>
    </row>
    <row r="406" spans="1:6" x14ac:dyDescent="0.2">
      <c r="A406" t="s">
        <v>1585</v>
      </c>
      <c r="B406">
        <v>7</v>
      </c>
      <c r="C406" t="s">
        <v>1587</v>
      </c>
      <c r="D406" t="s">
        <v>1497</v>
      </c>
      <c r="E406" s="4"/>
    </row>
    <row r="407" spans="1:6" x14ac:dyDescent="0.2">
      <c r="A407" t="s">
        <v>1585</v>
      </c>
      <c r="B407">
        <v>8</v>
      </c>
      <c r="C407" t="s">
        <v>1498</v>
      </c>
      <c r="D407" t="s">
        <v>1499</v>
      </c>
      <c r="E407" s="4"/>
    </row>
    <row r="408" spans="1:6" x14ac:dyDescent="0.2">
      <c r="A408" t="s">
        <v>1585</v>
      </c>
      <c r="B408">
        <v>9</v>
      </c>
      <c r="C408" t="s">
        <v>1588</v>
      </c>
      <c r="D408" t="s">
        <v>1589</v>
      </c>
      <c r="E408" s="4"/>
    </row>
    <row r="409" spans="1:6" x14ac:dyDescent="0.2">
      <c r="A409" t="s">
        <v>1585</v>
      </c>
      <c r="B409">
        <v>10</v>
      </c>
      <c r="C409" t="s">
        <v>1590</v>
      </c>
      <c r="D409" t="s">
        <v>1591</v>
      </c>
      <c r="E409" s="4"/>
    </row>
    <row r="410" spans="1:6" x14ac:dyDescent="0.2">
      <c r="A410" t="s">
        <v>1585</v>
      </c>
      <c r="B410">
        <v>11</v>
      </c>
      <c r="C410" t="s">
        <v>1592</v>
      </c>
      <c r="D410" t="s">
        <v>1593</v>
      </c>
      <c r="E410" s="4"/>
    </row>
    <row r="411" spans="1:6" x14ac:dyDescent="0.2">
      <c r="A411" t="s">
        <v>1585</v>
      </c>
      <c r="B411" s="260">
        <v>12</v>
      </c>
      <c r="C411" t="s">
        <v>978</v>
      </c>
      <c r="D411" t="s">
        <v>979</v>
      </c>
      <c r="E411" s="4"/>
    </row>
    <row r="412" spans="1:6" x14ac:dyDescent="0.2">
      <c r="A412" t="s">
        <v>1585</v>
      </c>
      <c r="B412" s="260">
        <v>13</v>
      </c>
      <c r="C412" t="s">
        <v>980</v>
      </c>
      <c r="D412" t="s">
        <v>981</v>
      </c>
      <c r="E412" s="4"/>
    </row>
    <row r="413" spans="1:6" x14ac:dyDescent="0.2">
      <c r="E413" s="4"/>
    </row>
    <row r="414" spans="1:6" ht="16" customHeight="1" x14ac:dyDescent="0.2">
      <c r="A414" t="s">
        <v>1594</v>
      </c>
      <c r="B414" t="s">
        <v>1463</v>
      </c>
      <c r="C414" t="s">
        <v>1464</v>
      </c>
      <c r="D414" t="s">
        <v>1465</v>
      </c>
      <c r="E414" s="4"/>
      <c r="F414" s="12"/>
    </row>
    <row r="415" spans="1:6" ht="16" customHeight="1" x14ac:dyDescent="0.2">
      <c r="A415" t="s">
        <v>1594</v>
      </c>
      <c r="B415" t="s">
        <v>1466</v>
      </c>
      <c r="C415" t="s">
        <v>1595</v>
      </c>
      <c r="D415" t="s">
        <v>1596</v>
      </c>
      <c r="E415" s="4"/>
      <c r="F415" s="12"/>
    </row>
    <row r="416" spans="1:6" ht="16" customHeight="1" x14ac:dyDescent="0.2">
      <c r="A416" t="s">
        <v>1594</v>
      </c>
      <c r="B416" t="s">
        <v>1469</v>
      </c>
      <c r="C416" t="s">
        <v>1597</v>
      </c>
      <c r="D416" t="s">
        <v>1471</v>
      </c>
      <c r="E416" s="4"/>
      <c r="F416" s="12"/>
    </row>
    <row r="417" spans="1:6" ht="16" customHeight="1" x14ac:dyDescent="0.2">
      <c r="A417" t="s">
        <v>1594</v>
      </c>
      <c r="B417" t="s">
        <v>1472</v>
      </c>
      <c r="C417" t="s">
        <v>1473</v>
      </c>
      <c r="D417" t="s">
        <v>1474</v>
      </c>
      <c r="E417" s="4"/>
      <c r="F417" s="12"/>
    </row>
    <row r="418" spans="1:6" ht="16" customHeight="1" x14ac:dyDescent="0.2">
      <c r="A418" t="s">
        <v>1594</v>
      </c>
      <c r="B418" t="s">
        <v>1475</v>
      </c>
      <c r="C418" t="s">
        <v>1476</v>
      </c>
      <c r="D418" t="s">
        <v>1477</v>
      </c>
      <c r="E418" s="4"/>
      <c r="F418" s="12"/>
    </row>
    <row r="419" spans="1:6" ht="16" customHeight="1" x14ac:dyDescent="0.2">
      <c r="A419" t="s">
        <v>1594</v>
      </c>
      <c r="B419" t="s">
        <v>1598</v>
      </c>
      <c r="C419" t="s">
        <v>1599</v>
      </c>
      <c r="D419" t="s">
        <v>1600</v>
      </c>
      <c r="E419" s="4"/>
      <c r="F419" s="12"/>
    </row>
    <row r="420" spans="1:6" ht="16" customHeight="1" x14ac:dyDescent="0.2">
      <c r="A420" t="s">
        <v>1594</v>
      </c>
      <c r="B420" t="s">
        <v>1478</v>
      </c>
      <c r="C420" t="s">
        <v>1601</v>
      </c>
      <c r="D420" t="s">
        <v>1602</v>
      </c>
      <c r="E420" s="4"/>
      <c r="F420" s="12"/>
    </row>
    <row r="421" spans="1:6" ht="16" customHeight="1" x14ac:dyDescent="0.2">
      <c r="A421" t="s">
        <v>1594</v>
      </c>
      <c r="B421" t="s">
        <v>1481</v>
      </c>
      <c r="C421" t="s">
        <v>1482</v>
      </c>
      <c r="D421" t="s">
        <v>1483</v>
      </c>
      <c r="E421" s="4"/>
      <c r="F421" s="12"/>
    </row>
    <row r="422" spans="1:6" ht="16" customHeight="1" x14ac:dyDescent="0.2">
      <c r="A422" t="s">
        <v>1594</v>
      </c>
      <c r="B422" t="s">
        <v>1095</v>
      </c>
      <c r="C422" t="s">
        <v>1381</v>
      </c>
      <c r="D422" t="s">
        <v>1382</v>
      </c>
      <c r="E422" s="4"/>
    </row>
    <row r="423" spans="1:6" ht="16" customHeight="1" x14ac:dyDescent="0.2">
      <c r="A423" t="s">
        <v>1594</v>
      </c>
      <c r="B423" t="s">
        <v>1101</v>
      </c>
      <c r="C423" t="s">
        <v>978</v>
      </c>
      <c r="D423" t="s">
        <v>979</v>
      </c>
      <c r="E423" s="4"/>
    </row>
    <row r="424" spans="1:6" ht="16" customHeight="1" x14ac:dyDescent="0.2">
      <c r="A424" t="s">
        <v>1594</v>
      </c>
      <c r="B424" t="s">
        <v>1102</v>
      </c>
      <c r="C424" t="s">
        <v>980</v>
      </c>
      <c r="D424" t="s">
        <v>981</v>
      </c>
      <c r="E424" s="4"/>
    </row>
    <row r="425" spans="1:6" ht="16" customHeight="1" x14ac:dyDescent="0.2">
      <c r="E425" s="4"/>
    </row>
    <row r="426" spans="1:6" x14ac:dyDescent="0.2">
      <c r="A426" t="s">
        <v>1603</v>
      </c>
      <c r="B426" t="s">
        <v>1604</v>
      </c>
      <c r="C426" t="s">
        <v>1605</v>
      </c>
      <c r="D426" t="s">
        <v>1606</v>
      </c>
      <c r="E426" s="4"/>
      <c r="F426" s="12"/>
    </row>
    <row r="427" spans="1:6" x14ac:dyDescent="0.2">
      <c r="A427" t="s">
        <v>1603</v>
      </c>
      <c r="B427" t="s">
        <v>1607</v>
      </c>
      <c r="C427" t="s">
        <v>1608</v>
      </c>
      <c r="D427" t="s">
        <v>1609</v>
      </c>
      <c r="E427" s="4"/>
      <c r="F427" s="12"/>
    </row>
    <row r="428" spans="1:6" x14ac:dyDescent="0.2">
      <c r="A428" t="s">
        <v>1603</v>
      </c>
      <c r="B428" t="s">
        <v>1610</v>
      </c>
      <c r="C428" t="s">
        <v>1611</v>
      </c>
      <c r="D428" t="s">
        <v>1612</v>
      </c>
      <c r="E428" s="4"/>
      <c r="F428" s="12"/>
    </row>
    <row r="429" spans="1:6" x14ac:dyDescent="0.2">
      <c r="A429" t="s">
        <v>1603</v>
      </c>
      <c r="B429" t="s">
        <v>1613</v>
      </c>
      <c r="C429" t="s">
        <v>1614</v>
      </c>
      <c r="D429" t="s">
        <v>1615</v>
      </c>
      <c r="E429" s="4"/>
      <c r="F429" s="12"/>
    </row>
    <row r="430" spans="1:6" x14ac:dyDescent="0.2">
      <c r="A430" t="s">
        <v>1603</v>
      </c>
      <c r="B430" t="s">
        <v>1101</v>
      </c>
      <c r="C430" t="s">
        <v>978</v>
      </c>
      <c r="D430" t="s">
        <v>979</v>
      </c>
      <c r="E430" s="4"/>
      <c r="F430" s="12"/>
    </row>
    <row r="431" spans="1:6" x14ac:dyDescent="0.2">
      <c r="A431" t="s">
        <v>1603</v>
      </c>
      <c r="B431" t="s">
        <v>1102</v>
      </c>
      <c r="C431" t="s">
        <v>980</v>
      </c>
      <c r="D431" t="s">
        <v>981</v>
      </c>
      <c r="E431" s="4"/>
      <c r="F431" s="12"/>
    </row>
    <row r="432" spans="1:6" x14ac:dyDescent="0.2">
      <c r="E432" s="4"/>
    </row>
    <row r="433" spans="1:6" x14ac:dyDescent="0.2">
      <c r="A433" t="s">
        <v>1616</v>
      </c>
      <c r="B433" t="s">
        <v>1617</v>
      </c>
      <c r="C433" t="s">
        <v>1618</v>
      </c>
      <c r="D433" t="s">
        <v>1619</v>
      </c>
      <c r="E433" s="4"/>
      <c r="F433" s="12"/>
    </row>
    <row r="434" spans="1:6" x14ac:dyDescent="0.2">
      <c r="A434" t="s">
        <v>1616</v>
      </c>
      <c r="B434" t="s">
        <v>1620</v>
      </c>
      <c r="C434" t="s">
        <v>1621</v>
      </c>
      <c r="D434" t="s">
        <v>1622</v>
      </c>
      <c r="E434" s="4"/>
      <c r="F434" s="12"/>
    </row>
    <row r="435" spans="1:6" x14ac:dyDescent="0.2">
      <c r="A435" t="s">
        <v>1616</v>
      </c>
      <c r="B435" t="s">
        <v>1623</v>
      </c>
      <c r="C435" t="s">
        <v>1624</v>
      </c>
      <c r="D435" t="s">
        <v>1625</v>
      </c>
      <c r="E435" s="4"/>
      <c r="F435" s="12"/>
    </row>
    <row r="436" spans="1:6" x14ac:dyDescent="0.2">
      <c r="A436" t="s">
        <v>1616</v>
      </c>
      <c r="B436" t="s">
        <v>1626</v>
      </c>
      <c r="C436" t="s">
        <v>1627</v>
      </c>
      <c r="D436" t="s">
        <v>1628</v>
      </c>
      <c r="E436" s="4"/>
      <c r="F436" s="12"/>
    </row>
    <row r="437" spans="1:6" x14ac:dyDescent="0.2">
      <c r="A437" t="s">
        <v>1616</v>
      </c>
      <c r="B437" t="s">
        <v>1629</v>
      </c>
      <c r="C437" t="s">
        <v>1630</v>
      </c>
      <c r="D437" t="s">
        <v>1631</v>
      </c>
      <c r="E437" s="4"/>
      <c r="F437" s="12"/>
    </row>
    <row r="438" spans="1:6" x14ac:dyDescent="0.2">
      <c r="A438" t="s">
        <v>1616</v>
      </c>
      <c r="B438" t="s">
        <v>1632</v>
      </c>
      <c r="C438" t="s">
        <v>1633</v>
      </c>
      <c r="D438" t="s">
        <v>1634</v>
      </c>
      <c r="E438" s="4"/>
      <c r="F438" s="12"/>
    </row>
    <row r="439" spans="1:6" x14ac:dyDescent="0.2">
      <c r="A439" t="s">
        <v>1616</v>
      </c>
      <c r="B439" t="s">
        <v>1635</v>
      </c>
      <c r="C439" t="s">
        <v>1636</v>
      </c>
      <c r="D439" t="s">
        <v>1637</v>
      </c>
      <c r="E439" s="4"/>
      <c r="F439" s="12"/>
    </row>
    <row r="440" spans="1:6" x14ac:dyDescent="0.2">
      <c r="A440" t="s">
        <v>1616</v>
      </c>
      <c r="B440" t="s">
        <v>1638</v>
      </c>
      <c r="C440" t="s">
        <v>1639</v>
      </c>
      <c r="D440" t="s">
        <v>1640</v>
      </c>
      <c r="E440" s="4"/>
      <c r="F440" s="12"/>
    </row>
    <row r="441" spans="1:6" x14ac:dyDescent="0.2">
      <c r="A441" t="s">
        <v>1616</v>
      </c>
      <c r="B441" t="s">
        <v>1095</v>
      </c>
      <c r="C441" t="s">
        <v>1319</v>
      </c>
      <c r="D441" t="s">
        <v>1382</v>
      </c>
      <c r="E441" s="4"/>
    </row>
    <row r="442" spans="1:6" x14ac:dyDescent="0.2">
      <c r="A442" t="s">
        <v>1616</v>
      </c>
      <c r="B442" t="s">
        <v>1101</v>
      </c>
      <c r="C442" t="s">
        <v>978</v>
      </c>
      <c r="D442" t="s">
        <v>979</v>
      </c>
      <c r="E442" s="4"/>
    </row>
    <row r="443" spans="1:6" x14ac:dyDescent="0.2">
      <c r="A443" t="s">
        <v>1616</v>
      </c>
      <c r="B443" t="s">
        <v>1102</v>
      </c>
      <c r="C443" t="s">
        <v>980</v>
      </c>
      <c r="D443" t="s">
        <v>981</v>
      </c>
      <c r="E443" s="4"/>
    </row>
    <row r="444" spans="1:6" x14ac:dyDescent="0.2">
      <c r="E444" s="4"/>
    </row>
    <row r="445" spans="1:6" s="12" customFormat="1" x14ac:dyDescent="0.2">
      <c r="A445" s="262" t="s">
        <v>1641</v>
      </c>
      <c r="B445" s="262" t="s">
        <v>1642</v>
      </c>
      <c r="C445" s="262" t="s">
        <v>1643</v>
      </c>
      <c r="D445" s="262" t="s">
        <v>1644</v>
      </c>
      <c r="E445" s="14"/>
    </row>
    <row r="446" spans="1:6" s="12" customFormat="1" x14ac:dyDescent="0.2">
      <c r="A446" s="262" t="s">
        <v>1641</v>
      </c>
      <c r="B446" s="262" t="s">
        <v>1645</v>
      </c>
      <c r="C446" s="262" t="s">
        <v>1646</v>
      </c>
      <c r="D446" s="262" t="s">
        <v>1647</v>
      </c>
      <c r="E446" s="14"/>
    </row>
    <row r="447" spans="1:6" s="12" customFormat="1" x14ac:dyDescent="0.2">
      <c r="A447" s="262" t="s">
        <v>1641</v>
      </c>
      <c r="B447" s="262" t="s">
        <v>1648</v>
      </c>
      <c r="C447" s="262" t="s">
        <v>1649</v>
      </c>
      <c r="D447" s="262" t="s">
        <v>1650</v>
      </c>
      <c r="E447" s="14"/>
    </row>
    <row r="448" spans="1:6" s="12" customFormat="1" x14ac:dyDescent="0.2">
      <c r="A448" s="262" t="s">
        <v>1641</v>
      </c>
      <c r="B448" s="262" t="s">
        <v>1651</v>
      </c>
      <c r="C448" s="262" t="s">
        <v>1652</v>
      </c>
      <c r="D448" s="262" t="s">
        <v>1653</v>
      </c>
      <c r="E448" s="14"/>
    </row>
    <row r="449" spans="1:6" s="12" customFormat="1" x14ac:dyDescent="0.2">
      <c r="A449" s="262" t="s">
        <v>1641</v>
      </c>
      <c r="B449" s="262" t="s">
        <v>1626</v>
      </c>
      <c r="C449" s="262" t="s">
        <v>1654</v>
      </c>
      <c r="D449" s="262" t="s">
        <v>1655</v>
      </c>
      <c r="E449" s="14"/>
    </row>
    <row r="450" spans="1:6" s="12" customFormat="1" x14ac:dyDescent="0.2">
      <c r="A450" s="262" t="s">
        <v>1641</v>
      </c>
      <c r="B450" s="262" t="s">
        <v>1656</v>
      </c>
      <c r="C450" s="262" t="s">
        <v>1657</v>
      </c>
      <c r="D450" s="262" t="s">
        <v>1658</v>
      </c>
      <c r="E450" s="14"/>
    </row>
    <row r="451" spans="1:6" s="12" customFormat="1" x14ac:dyDescent="0.2">
      <c r="A451" s="262" t="s">
        <v>1641</v>
      </c>
      <c r="B451" s="262" t="s">
        <v>1632</v>
      </c>
      <c r="C451" s="262" t="s">
        <v>1659</v>
      </c>
      <c r="D451" s="262" t="s">
        <v>1660</v>
      </c>
      <c r="E451" s="14"/>
    </row>
    <row r="452" spans="1:6" s="12" customFormat="1" x14ac:dyDescent="0.2">
      <c r="A452" s="262" t="s">
        <v>1641</v>
      </c>
      <c r="B452" s="262" t="s">
        <v>1095</v>
      </c>
      <c r="C452" s="262" t="s">
        <v>1319</v>
      </c>
      <c r="D452" s="262" t="s">
        <v>1320</v>
      </c>
      <c r="E452" s="14"/>
    </row>
    <row r="453" spans="1:6" s="12" customFormat="1" x14ac:dyDescent="0.2">
      <c r="A453" s="262" t="s">
        <v>1641</v>
      </c>
      <c r="B453" s="262" t="s">
        <v>1101</v>
      </c>
      <c r="C453" s="262" t="s">
        <v>978</v>
      </c>
      <c r="D453" s="262" t="s">
        <v>979</v>
      </c>
      <c r="E453" s="14"/>
    </row>
    <row r="454" spans="1:6" s="12" customFormat="1" x14ac:dyDescent="0.2">
      <c r="A454" s="262" t="s">
        <v>1641</v>
      </c>
      <c r="B454" s="262" t="s">
        <v>1102</v>
      </c>
      <c r="C454" s="262" t="s">
        <v>980</v>
      </c>
      <c r="D454" s="262" t="s">
        <v>981</v>
      </c>
      <c r="E454" s="14"/>
    </row>
    <row r="455" spans="1:6" x14ac:dyDescent="0.2">
      <c r="D455" s="12"/>
      <c r="E455" s="4"/>
    </row>
    <row r="456" spans="1:6" x14ac:dyDescent="0.2">
      <c r="A456" t="s">
        <v>1661</v>
      </c>
      <c r="B456">
        <v>1</v>
      </c>
      <c r="C456" t="s">
        <v>1662</v>
      </c>
      <c r="D456" t="s">
        <v>1663</v>
      </c>
      <c r="E456" s="4"/>
    </row>
    <row r="457" spans="1:6" x14ac:dyDescent="0.2">
      <c r="A457" t="s">
        <v>1661</v>
      </c>
      <c r="B457">
        <v>2</v>
      </c>
      <c r="C457" t="s">
        <v>1664</v>
      </c>
      <c r="D457" t="s">
        <v>1665</v>
      </c>
      <c r="E457" s="4"/>
    </row>
    <row r="458" spans="1:6" x14ac:dyDescent="0.2">
      <c r="A458" t="s">
        <v>1661</v>
      </c>
      <c r="B458">
        <v>3</v>
      </c>
      <c r="C458" t="s">
        <v>1666</v>
      </c>
      <c r="D458" t="s">
        <v>1667</v>
      </c>
      <c r="E458" s="4"/>
    </row>
    <row r="459" spans="1:6" x14ac:dyDescent="0.2">
      <c r="A459" t="s">
        <v>1661</v>
      </c>
      <c r="B459">
        <v>4</v>
      </c>
      <c r="C459" t="s">
        <v>1668</v>
      </c>
      <c r="D459" t="s">
        <v>1669</v>
      </c>
      <c r="E459" s="4"/>
    </row>
    <row r="460" spans="1:6" x14ac:dyDescent="0.2">
      <c r="A460" t="s">
        <v>1661</v>
      </c>
      <c r="B460">
        <v>5</v>
      </c>
      <c r="C460" t="s">
        <v>1319</v>
      </c>
      <c r="D460" t="s">
        <v>1320</v>
      </c>
      <c r="E460" s="4"/>
    </row>
    <row r="461" spans="1:6" x14ac:dyDescent="0.2">
      <c r="A461" t="s">
        <v>1661</v>
      </c>
      <c r="B461" s="260">
        <v>6</v>
      </c>
      <c r="C461" t="s">
        <v>978</v>
      </c>
      <c r="D461" t="s">
        <v>979</v>
      </c>
      <c r="E461" s="4"/>
    </row>
    <row r="462" spans="1:6" x14ac:dyDescent="0.2">
      <c r="A462" t="s">
        <v>1661</v>
      </c>
      <c r="B462" s="260">
        <v>7</v>
      </c>
      <c r="C462" t="s">
        <v>980</v>
      </c>
      <c r="D462" t="s">
        <v>981</v>
      </c>
      <c r="E462" s="4"/>
    </row>
    <row r="463" spans="1:6" x14ac:dyDescent="0.2">
      <c r="E463" s="4"/>
    </row>
    <row r="464" spans="1:6" x14ac:dyDescent="0.2">
      <c r="A464" t="s">
        <v>1670</v>
      </c>
      <c r="B464" t="s">
        <v>1463</v>
      </c>
      <c r="C464" t="s">
        <v>1464</v>
      </c>
      <c r="D464" t="s">
        <v>1465</v>
      </c>
      <c r="E464" s="4"/>
      <c r="F464" s="12"/>
    </row>
    <row r="465" spans="1:6" x14ac:dyDescent="0.2">
      <c r="A465" t="s">
        <v>1670</v>
      </c>
      <c r="B465" t="s">
        <v>1466</v>
      </c>
      <c r="C465" t="s">
        <v>1671</v>
      </c>
      <c r="D465" t="s">
        <v>1672</v>
      </c>
      <c r="E465" s="4"/>
      <c r="F465" s="12"/>
    </row>
    <row r="466" spans="1:6" x14ac:dyDescent="0.2">
      <c r="A466" t="s">
        <v>1670</v>
      </c>
      <c r="B466" t="s">
        <v>1469</v>
      </c>
      <c r="C466" t="s">
        <v>1673</v>
      </c>
      <c r="D466" t="s">
        <v>1471</v>
      </c>
      <c r="E466" s="4"/>
      <c r="F466" s="12"/>
    </row>
    <row r="467" spans="1:6" x14ac:dyDescent="0.2">
      <c r="A467" t="s">
        <v>1670</v>
      </c>
      <c r="B467" t="s">
        <v>1472</v>
      </c>
      <c r="C467" t="s">
        <v>1674</v>
      </c>
      <c r="D467" t="s">
        <v>1474</v>
      </c>
      <c r="E467" s="4"/>
      <c r="F467" s="12"/>
    </row>
    <row r="468" spans="1:6" x14ac:dyDescent="0.2">
      <c r="A468" t="s">
        <v>1670</v>
      </c>
      <c r="B468" t="s">
        <v>1675</v>
      </c>
      <c r="C468" t="s">
        <v>1476</v>
      </c>
      <c r="D468" t="s">
        <v>1477</v>
      </c>
      <c r="E468" s="4"/>
      <c r="F468" s="12"/>
    </row>
    <row r="469" spans="1:6" x14ac:dyDescent="0.2">
      <c r="A469" t="s">
        <v>1670</v>
      </c>
      <c r="B469" t="s">
        <v>1478</v>
      </c>
      <c r="C469" t="s">
        <v>1676</v>
      </c>
      <c r="D469" t="s">
        <v>1677</v>
      </c>
      <c r="E469" s="4"/>
      <c r="F469" s="12"/>
    </row>
    <row r="470" spans="1:6" x14ac:dyDescent="0.2">
      <c r="A470" t="s">
        <v>1670</v>
      </c>
      <c r="B470" t="s">
        <v>1481</v>
      </c>
      <c r="C470" t="s">
        <v>1678</v>
      </c>
      <c r="D470" t="s">
        <v>1483</v>
      </c>
      <c r="E470" s="4"/>
      <c r="F470" s="12"/>
    </row>
    <row r="471" spans="1:6" x14ac:dyDescent="0.2">
      <c r="A471" t="s">
        <v>1670</v>
      </c>
      <c r="B471" t="s">
        <v>1095</v>
      </c>
      <c r="C471" t="s">
        <v>1381</v>
      </c>
      <c r="D471" t="s">
        <v>1382</v>
      </c>
      <c r="E471" s="4"/>
    </row>
    <row r="472" spans="1:6" x14ac:dyDescent="0.2">
      <c r="A472" t="s">
        <v>1670</v>
      </c>
      <c r="B472" t="s">
        <v>1101</v>
      </c>
      <c r="C472" t="s">
        <v>978</v>
      </c>
      <c r="D472" t="s">
        <v>979</v>
      </c>
      <c r="E472" s="4"/>
    </row>
    <row r="473" spans="1:6" x14ac:dyDescent="0.2">
      <c r="A473" t="s">
        <v>1670</v>
      </c>
      <c r="B473" t="s">
        <v>1102</v>
      </c>
      <c r="C473" t="s">
        <v>980</v>
      </c>
      <c r="D473" t="s">
        <v>981</v>
      </c>
      <c r="E473" s="4"/>
    </row>
    <row r="474" spans="1:6" x14ac:dyDescent="0.2">
      <c r="E474" s="4"/>
    </row>
    <row r="475" spans="1:6" x14ac:dyDescent="0.2">
      <c r="A475" t="s">
        <v>1679</v>
      </c>
      <c r="B475">
        <v>1</v>
      </c>
      <c r="C475" t="s">
        <v>1680</v>
      </c>
      <c r="D475" t="s">
        <v>1681</v>
      </c>
      <c r="E475" s="4"/>
    </row>
    <row r="476" spans="1:6" x14ac:dyDescent="0.2">
      <c r="A476" t="s">
        <v>1679</v>
      </c>
      <c r="B476">
        <v>2</v>
      </c>
      <c r="C476" t="s">
        <v>1682</v>
      </c>
      <c r="D476" t="s">
        <v>1683</v>
      </c>
      <c r="E476" s="4"/>
    </row>
    <row r="477" spans="1:6" x14ac:dyDescent="0.2">
      <c r="A477" t="s">
        <v>1679</v>
      </c>
      <c r="B477">
        <v>3</v>
      </c>
      <c r="C477" t="s">
        <v>1684</v>
      </c>
      <c r="D477" t="s">
        <v>1685</v>
      </c>
      <c r="E477" s="4"/>
    </row>
    <row r="478" spans="1:6" x14ac:dyDescent="0.2">
      <c r="A478" t="s">
        <v>1679</v>
      </c>
      <c r="B478">
        <v>4</v>
      </c>
      <c r="C478" t="s">
        <v>1686</v>
      </c>
      <c r="D478" t="s">
        <v>979</v>
      </c>
      <c r="E478" s="4"/>
    </row>
    <row r="479" spans="1:6" x14ac:dyDescent="0.2">
      <c r="A479" t="s">
        <v>1679</v>
      </c>
      <c r="B479" s="260">
        <v>5</v>
      </c>
      <c r="C479" t="s">
        <v>980</v>
      </c>
      <c r="D479" t="s">
        <v>981</v>
      </c>
      <c r="E479" s="4"/>
    </row>
    <row r="480" spans="1:6" x14ac:dyDescent="0.2">
      <c r="E480" s="4"/>
    </row>
    <row r="481" spans="1:5" x14ac:dyDescent="0.2">
      <c r="A481" t="s">
        <v>1687</v>
      </c>
      <c r="B481">
        <v>1</v>
      </c>
      <c r="C481" t="s">
        <v>974</v>
      </c>
      <c r="D481" t="s">
        <v>985</v>
      </c>
      <c r="E481" s="4"/>
    </row>
    <row r="482" spans="1:5" x14ac:dyDescent="0.2">
      <c r="A482" t="s">
        <v>1687</v>
      </c>
      <c r="B482">
        <v>2</v>
      </c>
      <c r="C482" t="s">
        <v>1688</v>
      </c>
      <c r="D482" t="s">
        <v>1689</v>
      </c>
      <c r="E482" s="4"/>
    </row>
    <row r="483" spans="1:5" x14ac:dyDescent="0.2">
      <c r="A483" t="s">
        <v>1687</v>
      </c>
      <c r="B483">
        <v>3</v>
      </c>
      <c r="C483" t="s">
        <v>1690</v>
      </c>
      <c r="D483" t="s">
        <v>1691</v>
      </c>
      <c r="E483" s="4"/>
    </row>
    <row r="484" spans="1:5" x14ac:dyDescent="0.2">
      <c r="A484" t="s">
        <v>1687</v>
      </c>
      <c r="B484">
        <v>4</v>
      </c>
      <c r="C484" t="s">
        <v>1692</v>
      </c>
      <c r="D484" t="s">
        <v>1693</v>
      </c>
      <c r="E484" s="4"/>
    </row>
    <row r="485" spans="1:5" x14ac:dyDescent="0.2">
      <c r="A485" t="s">
        <v>1687</v>
      </c>
      <c r="B485" s="260">
        <v>5</v>
      </c>
      <c r="C485" t="s">
        <v>978</v>
      </c>
      <c r="D485" t="s">
        <v>979</v>
      </c>
      <c r="E485" s="4"/>
    </row>
    <row r="486" spans="1:5" x14ac:dyDescent="0.2">
      <c r="A486" t="s">
        <v>1687</v>
      </c>
      <c r="B486" s="260">
        <v>6</v>
      </c>
      <c r="C486" t="s">
        <v>980</v>
      </c>
      <c r="D486" t="s">
        <v>981</v>
      </c>
      <c r="E486" s="4"/>
    </row>
    <row r="487" spans="1:5" x14ac:dyDescent="0.2">
      <c r="E487" s="4"/>
    </row>
    <row r="488" spans="1:5" x14ac:dyDescent="0.2">
      <c r="A488" t="s">
        <v>821</v>
      </c>
      <c r="B488" t="s">
        <v>1694</v>
      </c>
      <c r="C488" t="s">
        <v>1695</v>
      </c>
      <c r="D488" t="s">
        <v>1696</v>
      </c>
      <c r="E488" s="4"/>
    </row>
    <row r="489" spans="1:5" x14ac:dyDescent="0.2">
      <c r="A489" t="s">
        <v>821</v>
      </c>
      <c r="B489" t="s">
        <v>1697</v>
      </c>
      <c r="C489" t="s">
        <v>1698</v>
      </c>
      <c r="D489" t="s">
        <v>1699</v>
      </c>
      <c r="E489" s="4"/>
    </row>
    <row r="490" spans="1:5" x14ac:dyDescent="0.2">
      <c r="A490" t="s">
        <v>821</v>
      </c>
      <c r="B490" t="s">
        <v>1700</v>
      </c>
      <c r="C490" t="s">
        <v>1701</v>
      </c>
      <c r="D490" t="s">
        <v>1702</v>
      </c>
      <c r="E490" s="4"/>
    </row>
    <row r="491" spans="1:5" x14ac:dyDescent="0.2">
      <c r="A491" t="s">
        <v>821</v>
      </c>
      <c r="B491" t="s">
        <v>1703</v>
      </c>
      <c r="C491" t="s">
        <v>1704</v>
      </c>
      <c r="D491" t="s">
        <v>1705</v>
      </c>
      <c r="E491" s="4"/>
    </row>
    <row r="492" spans="1:5" x14ac:dyDescent="0.2">
      <c r="A492" t="s">
        <v>821</v>
      </c>
      <c r="B492" t="s">
        <v>1706</v>
      </c>
      <c r="C492" t="s">
        <v>1707</v>
      </c>
      <c r="D492" t="s">
        <v>1708</v>
      </c>
      <c r="E492" s="4"/>
    </row>
    <row r="493" spans="1:5" x14ac:dyDescent="0.2">
      <c r="A493" t="s">
        <v>821</v>
      </c>
      <c r="B493" t="s">
        <v>1709</v>
      </c>
      <c r="C493" t="s">
        <v>1588</v>
      </c>
      <c r="D493" t="s">
        <v>1589</v>
      </c>
      <c r="E493" s="4"/>
    </row>
    <row r="494" spans="1:5" x14ac:dyDescent="0.2">
      <c r="A494" t="s">
        <v>821</v>
      </c>
      <c r="B494" t="s">
        <v>1710</v>
      </c>
      <c r="C494" t="s">
        <v>1711</v>
      </c>
      <c r="D494" t="s">
        <v>1712</v>
      </c>
      <c r="E494" s="4"/>
    </row>
    <row r="495" spans="1:5" x14ac:dyDescent="0.2">
      <c r="A495" t="s">
        <v>821</v>
      </c>
      <c r="B495" t="s">
        <v>1713</v>
      </c>
      <c r="C495" t="s">
        <v>1714</v>
      </c>
      <c r="D495" t="s">
        <v>1715</v>
      </c>
      <c r="E495" s="4"/>
    </row>
    <row r="496" spans="1:5" x14ac:dyDescent="0.2">
      <c r="A496" t="s">
        <v>821</v>
      </c>
      <c r="B496" t="s">
        <v>1716</v>
      </c>
      <c r="C496" t="s">
        <v>1717</v>
      </c>
      <c r="D496" t="s">
        <v>1718</v>
      </c>
      <c r="E496" s="4"/>
    </row>
    <row r="497" spans="1:6" x14ac:dyDescent="0.2">
      <c r="A497" t="s">
        <v>821</v>
      </c>
      <c r="B497" t="s">
        <v>1719</v>
      </c>
      <c r="C497" t="s">
        <v>1720</v>
      </c>
      <c r="D497" t="s">
        <v>1721</v>
      </c>
      <c r="E497" s="4"/>
    </row>
    <row r="498" spans="1:6" x14ac:dyDescent="0.2">
      <c r="A498" t="s">
        <v>821</v>
      </c>
      <c r="B498" t="s">
        <v>1722</v>
      </c>
      <c r="C498" t="s">
        <v>1723</v>
      </c>
      <c r="D498" t="s">
        <v>1724</v>
      </c>
      <c r="E498" s="4"/>
    </row>
    <row r="499" spans="1:6" x14ac:dyDescent="0.2">
      <c r="A499" t="s">
        <v>821</v>
      </c>
      <c r="B499" t="s">
        <v>1725</v>
      </c>
      <c r="C499" t="s">
        <v>1726</v>
      </c>
      <c r="D499" t="s">
        <v>1727</v>
      </c>
      <c r="E499" s="4"/>
    </row>
    <row r="500" spans="1:6" x14ac:dyDescent="0.2">
      <c r="E500" s="4"/>
    </row>
    <row r="501" spans="1:6" x14ac:dyDescent="0.2">
      <c r="A501" t="s">
        <v>1728</v>
      </c>
      <c r="B501" t="s">
        <v>1729</v>
      </c>
      <c r="C501" t="s">
        <v>1730</v>
      </c>
      <c r="D501" t="s">
        <v>1731</v>
      </c>
      <c r="E501" s="4"/>
      <c r="F501" s="12"/>
    </row>
    <row r="502" spans="1:6" x14ac:dyDescent="0.2">
      <c r="A502" t="s">
        <v>1728</v>
      </c>
      <c r="B502" t="s">
        <v>1732</v>
      </c>
      <c r="C502" t="s">
        <v>1733</v>
      </c>
      <c r="D502" t="s">
        <v>1734</v>
      </c>
      <c r="E502" s="4"/>
      <c r="F502" s="12"/>
    </row>
    <row r="503" spans="1:6" x14ac:dyDescent="0.2">
      <c r="A503" t="s">
        <v>1728</v>
      </c>
      <c r="B503" t="s">
        <v>1735</v>
      </c>
      <c r="C503" t="s">
        <v>1736</v>
      </c>
      <c r="D503" t="s">
        <v>1737</v>
      </c>
      <c r="E503" s="4"/>
      <c r="F503" s="12"/>
    </row>
    <row r="504" spans="1:6" x14ac:dyDescent="0.2">
      <c r="A504" t="s">
        <v>1728</v>
      </c>
      <c r="B504" t="s">
        <v>1738</v>
      </c>
      <c r="C504" t="s">
        <v>1739</v>
      </c>
      <c r="D504" t="s">
        <v>1740</v>
      </c>
      <c r="E504" s="4"/>
      <c r="F504" s="12"/>
    </row>
    <row r="505" spans="1:6" x14ac:dyDescent="0.2">
      <c r="A505" t="s">
        <v>1728</v>
      </c>
      <c r="B505" t="s">
        <v>1741</v>
      </c>
      <c r="C505" t="s">
        <v>1742</v>
      </c>
      <c r="D505" t="s">
        <v>1743</v>
      </c>
      <c r="E505" s="4"/>
      <c r="F505" s="12"/>
    </row>
    <row r="506" spans="1:6" x14ac:dyDescent="0.2">
      <c r="A506" t="s">
        <v>1728</v>
      </c>
      <c r="B506" t="s">
        <v>1744</v>
      </c>
      <c r="C506" t="s">
        <v>1745</v>
      </c>
      <c r="D506" t="s">
        <v>1746</v>
      </c>
      <c r="E506" s="4"/>
      <c r="F506" s="12"/>
    </row>
    <row r="507" spans="1:6" x14ac:dyDescent="0.2">
      <c r="A507" t="s">
        <v>1728</v>
      </c>
      <c r="B507" t="s">
        <v>624</v>
      </c>
      <c r="C507" t="s">
        <v>1747</v>
      </c>
      <c r="D507" t="s">
        <v>1748</v>
      </c>
      <c r="E507" s="4"/>
      <c r="F507" s="12"/>
    </row>
    <row r="508" spans="1:6" x14ac:dyDescent="0.2">
      <c r="A508" t="s">
        <v>1728</v>
      </c>
      <c r="B508" t="s">
        <v>1749</v>
      </c>
      <c r="C508" t="s">
        <v>1750</v>
      </c>
      <c r="D508" t="s">
        <v>1751</v>
      </c>
      <c r="E508" s="4"/>
      <c r="F508" s="12"/>
    </row>
    <row r="509" spans="1:6" x14ac:dyDescent="0.2">
      <c r="A509" t="s">
        <v>1728</v>
      </c>
      <c r="B509" t="s">
        <v>1752</v>
      </c>
      <c r="C509" t="s">
        <v>1753</v>
      </c>
      <c r="D509" t="s">
        <v>1754</v>
      </c>
      <c r="E509" s="4"/>
      <c r="F509" s="12"/>
    </row>
    <row r="510" spans="1:6" x14ac:dyDescent="0.2">
      <c r="A510" t="s">
        <v>1728</v>
      </c>
      <c r="B510" t="s">
        <v>1755</v>
      </c>
      <c r="C510" t="s">
        <v>1756</v>
      </c>
      <c r="D510" t="s">
        <v>1757</v>
      </c>
      <c r="E510" s="4"/>
      <c r="F510" s="12"/>
    </row>
    <row r="511" spans="1:6" x14ac:dyDescent="0.2">
      <c r="A511" t="s">
        <v>1728</v>
      </c>
      <c r="B511" t="s">
        <v>1758</v>
      </c>
      <c r="C511" t="s">
        <v>1759</v>
      </c>
      <c r="D511" t="s">
        <v>1760</v>
      </c>
      <c r="E511" s="4"/>
      <c r="F511" s="12"/>
    </row>
    <row r="512" spans="1:6" x14ac:dyDescent="0.2">
      <c r="A512" t="s">
        <v>1728</v>
      </c>
      <c r="B512" t="s">
        <v>1761</v>
      </c>
      <c r="C512" t="s">
        <v>1762</v>
      </c>
      <c r="D512" t="s">
        <v>1763</v>
      </c>
      <c r="E512" s="4"/>
      <c r="F512" s="12"/>
    </row>
    <row r="513" spans="1:6" x14ac:dyDescent="0.2">
      <c r="A513" t="s">
        <v>1728</v>
      </c>
      <c r="B513" t="s">
        <v>1764</v>
      </c>
      <c r="C513" t="s">
        <v>1765</v>
      </c>
      <c r="D513" t="s">
        <v>1766</v>
      </c>
      <c r="E513" s="4"/>
      <c r="F513" s="12"/>
    </row>
    <row r="514" spans="1:6" x14ac:dyDescent="0.2">
      <c r="A514" t="s">
        <v>1728</v>
      </c>
      <c r="B514" t="s">
        <v>1767</v>
      </c>
      <c r="C514" t="s">
        <v>1768</v>
      </c>
      <c r="D514" t="s">
        <v>1769</v>
      </c>
      <c r="E514" s="4"/>
      <c r="F514" s="12"/>
    </row>
    <row r="515" spans="1:6" x14ac:dyDescent="0.2">
      <c r="A515" t="s">
        <v>1728</v>
      </c>
      <c r="B515" t="s">
        <v>1770</v>
      </c>
      <c r="C515" t="s">
        <v>1771</v>
      </c>
      <c r="D515" t="s">
        <v>1772</v>
      </c>
      <c r="E515" s="4"/>
      <c r="F515" s="12"/>
    </row>
    <row r="516" spans="1:6" x14ac:dyDescent="0.2">
      <c r="A516" t="s">
        <v>1728</v>
      </c>
      <c r="B516" t="s">
        <v>1773</v>
      </c>
      <c r="C516" t="s">
        <v>1774</v>
      </c>
      <c r="D516" t="s">
        <v>1775</v>
      </c>
      <c r="E516" s="4"/>
      <c r="F516" s="12"/>
    </row>
    <row r="517" spans="1:6" x14ac:dyDescent="0.2">
      <c r="A517" t="s">
        <v>1728</v>
      </c>
      <c r="B517" t="s">
        <v>1095</v>
      </c>
      <c r="C517" t="s">
        <v>1319</v>
      </c>
      <c r="D517" t="s">
        <v>1320</v>
      </c>
      <c r="E517" s="4"/>
    </row>
    <row r="518" spans="1:6" x14ac:dyDescent="0.2">
      <c r="A518" t="s">
        <v>1728</v>
      </c>
      <c r="B518" t="s">
        <v>1101</v>
      </c>
      <c r="C518" t="s">
        <v>978</v>
      </c>
      <c r="D518" t="s">
        <v>979</v>
      </c>
      <c r="E518" s="4"/>
    </row>
    <row r="519" spans="1:6" x14ac:dyDescent="0.2">
      <c r="A519" t="s">
        <v>1728</v>
      </c>
      <c r="B519" t="s">
        <v>1102</v>
      </c>
      <c r="C519" t="s">
        <v>980</v>
      </c>
      <c r="D519" t="s">
        <v>981</v>
      </c>
      <c r="E519" s="4"/>
    </row>
    <row r="520" spans="1:6" x14ac:dyDescent="0.2">
      <c r="E520" s="4"/>
    </row>
    <row r="521" spans="1:6" x14ac:dyDescent="0.2">
      <c r="A521" t="s">
        <v>1776</v>
      </c>
      <c r="B521" t="s">
        <v>1729</v>
      </c>
      <c r="C521" t="s">
        <v>1730</v>
      </c>
      <c r="D521" t="s">
        <v>1731</v>
      </c>
      <c r="E521" s="4"/>
      <c r="F521" s="12"/>
    </row>
    <row r="522" spans="1:6" x14ac:dyDescent="0.2">
      <c r="A522" t="s">
        <v>1776</v>
      </c>
      <c r="B522" t="s">
        <v>1732</v>
      </c>
      <c r="C522" t="s">
        <v>1777</v>
      </c>
      <c r="D522" t="s">
        <v>1734</v>
      </c>
      <c r="E522" s="4"/>
      <c r="F522" s="12"/>
    </row>
    <row r="523" spans="1:6" x14ac:dyDescent="0.2">
      <c r="A523" t="s">
        <v>1776</v>
      </c>
      <c r="B523" t="s">
        <v>1735</v>
      </c>
      <c r="C523" t="s">
        <v>1778</v>
      </c>
      <c r="D523" t="s">
        <v>1779</v>
      </c>
      <c r="E523" s="4"/>
      <c r="F523" s="12"/>
    </row>
    <row r="524" spans="1:6" x14ac:dyDescent="0.2">
      <c r="A524" t="s">
        <v>1776</v>
      </c>
      <c r="B524" t="s">
        <v>1780</v>
      </c>
      <c r="C524" t="s">
        <v>1781</v>
      </c>
      <c r="D524" t="s">
        <v>1782</v>
      </c>
      <c r="E524" s="4"/>
      <c r="F524" s="12"/>
    </row>
    <row r="525" spans="1:6" x14ac:dyDescent="0.2">
      <c r="A525" t="s">
        <v>1776</v>
      </c>
      <c r="B525" t="s">
        <v>1783</v>
      </c>
      <c r="C525" t="s">
        <v>1784</v>
      </c>
      <c r="D525" t="s">
        <v>1785</v>
      </c>
      <c r="E525" s="4"/>
      <c r="F525" s="12"/>
    </row>
    <row r="526" spans="1:6" x14ac:dyDescent="0.2">
      <c r="A526" t="s">
        <v>1776</v>
      </c>
      <c r="B526" t="s">
        <v>1786</v>
      </c>
      <c r="C526" t="s">
        <v>1787</v>
      </c>
      <c r="D526" t="s">
        <v>1788</v>
      </c>
      <c r="E526" s="4"/>
      <c r="F526" s="12"/>
    </row>
    <row r="527" spans="1:6" x14ac:dyDescent="0.2">
      <c r="A527" t="s">
        <v>1776</v>
      </c>
      <c r="B527" t="s">
        <v>1789</v>
      </c>
      <c r="C527" t="s">
        <v>1768</v>
      </c>
      <c r="D527" t="s">
        <v>1769</v>
      </c>
      <c r="E527" s="4"/>
      <c r="F527" s="12"/>
    </row>
    <row r="528" spans="1:6" x14ac:dyDescent="0.2">
      <c r="A528" t="s">
        <v>1776</v>
      </c>
      <c r="B528" t="s">
        <v>1790</v>
      </c>
      <c r="C528" t="s">
        <v>1774</v>
      </c>
      <c r="D528" t="s">
        <v>1791</v>
      </c>
      <c r="E528" s="4"/>
      <c r="F528" s="12"/>
    </row>
    <row r="529" spans="1:6" x14ac:dyDescent="0.2">
      <c r="A529" t="s">
        <v>1776</v>
      </c>
      <c r="B529" t="s">
        <v>1095</v>
      </c>
      <c r="C529" t="s">
        <v>1319</v>
      </c>
      <c r="D529" t="s">
        <v>1320</v>
      </c>
      <c r="E529" s="4"/>
      <c r="F529" s="12"/>
    </row>
    <row r="530" spans="1:6" x14ac:dyDescent="0.2">
      <c r="A530" t="s">
        <v>1776</v>
      </c>
      <c r="B530" t="s">
        <v>1098</v>
      </c>
      <c r="C530" t="s">
        <v>1792</v>
      </c>
      <c r="D530" t="s">
        <v>1793</v>
      </c>
      <c r="E530" s="4"/>
      <c r="F530" s="12"/>
    </row>
    <row r="531" spans="1:6" x14ac:dyDescent="0.2">
      <c r="A531" t="s">
        <v>1776</v>
      </c>
      <c r="B531" t="s">
        <v>1101</v>
      </c>
      <c r="C531" t="s">
        <v>1686</v>
      </c>
      <c r="D531" t="s">
        <v>979</v>
      </c>
      <c r="E531" s="4"/>
    </row>
    <row r="532" spans="1:6" x14ac:dyDescent="0.2">
      <c r="A532" t="s">
        <v>1776</v>
      </c>
      <c r="B532" t="s">
        <v>1102</v>
      </c>
      <c r="C532" t="s">
        <v>980</v>
      </c>
      <c r="D532" t="s">
        <v>981</v>
      </c>
      <c r="E532" s="4"/>
    </row>
    <row r="533" spans="1:6" x14ac:dyDescent="0.2">
      <c r="E533" s="4"/>
    </row>
    <row r="534" spans="1:6" x14ac:dyDescent="0.2">
      <c r="A534" t="s">
        <v>1794</v>
      </c>
      <c r="B534">
        <v>1</v>
      </c>
      <c r="C534" t="s">
        <v>974</v>
      </c>
      <c r="D534" t="s">
        <v>1795</v>
      </c>
      <c r="E534" s="4"/>
      <c r="F534" s="12"/>
    </row>
    <row r="535" spans="1:6" x14ac:dyDescent="0.2">
      <c r="A535" t="s">
        <v>1794</v>
      </c>
      <c r="B535">
        <v>2</v>
      </c>
      <c r="C535" t="s">
        <v>1796</v>
      </c>
      <c r="D535" t="s">
        <v>1797</v>
      </c>
      <c r="E535" s="4"/>
      <c r="F535" s="12"/>
    </row>
    <row r="536" spans="1:6" x14ac:dyDescent="0.2">
      <c r="A536" t="s">
        <v>1794</v>
      </c>
      <c r="B536">
        <v>3</v>
      </c>
      <c r="C536" t="s">
        <v>1798</v>
      </c>
      <c r="D536" t="s">
        <v>1799</v>
      </c>
      <c r="E536" s="4"/>
      <c r="F536" s="12"/>
    </row>
    <row r="537" spans="1:6" x14ac:dyDescent="0.2">
      <c r="A537" t="s">
        <v>1794</v>
      </c>
      <c r="B537">
        <v>4</v>
      </c>
      <c r="C537" t="s">
        <v>1800</v>
      </c>
      <c r="D537" t="s">
        <v>1801</v>
      </c>
      <c r="E537" s="4"/>
      <c r="F537" s="12"/>
    </row>
    <row r="538" spans="1:6" x14ac:dyDescent="0.2">
      <c r="A538" t="s">
        <v>1794</v>
      </c>
      <c r="B538">
        <v>5</v>
      </c>
      <c r="C538" t="s">
        <v>1802</v>
      </c>
      <c r="D538" t="s">
        <v>1803</v>
      </c>
      <c r="E538" s="4"/>
      <c r="F538" s="12"/>
    </row>
    <row r="539" spans="1:6" x14ac:dyDescent="0.2">
      <c r="A539" t="s">
        <v>1794</v>
      </c>
      <c r="B539">
        <v>6</v>
      </c>
      <c r="C539" t="s">
        <v>1804</v>
      </c>
      <c r="D539" t="s">
        <v>1805</v>
      </c>
      <c r="E539" s="4"/>
      <c r="F539" s="12"/>
    </row>
    <row r="540" spans="1:6" x14ac:dyDescent="0.2">
      <c r="A540" t="s">
        <v>1794</v>
      </c>
      <c r="B540">
        <v>7</v>
      </c>
      <c r="C540" t="s">
        <v>978</v>
      </c>
      <c r="D540" t="s">
        <v>979</v>
      </c>
      <c r="E540" s="4"/>
      <c r="F540" s="12"/>
    </row>
    <row r="541" spans="1:6" x14ac:dyDescent="0.2">
      <c r="A541" t="s">
        <v>1794</v>
      </c>
      <c r="B541">
        <v>8</v>
      </c>
      <c r="C541" t="s">
        <v>980</v>
      </c>
      <c r="D541" t="s">
        <v>981</v>
      </c>
      <c r="E541" s="4"/>
      <c r="F541" s="12"/>
    </row>
    <row r="542" spans="1:6" x14ac:dyDescent="0.2">
      <c r="E542" s="4"/>
      <c r="F542" s="12"/>
    </row>
    <row r="543" spans="1:6" x14ac:dyDescent="0.2">
      <c r="A543" t="s">
        <v>1806</v>
      </c>
      <c r="B543" t="s">
        <v>1807</v>
      </c>
      <c r="C543" t="s">
        <v>1808</v>
      </c>
      <c r="D543" t="s">
        <v>1808</v>
      </c>
      <c r="E543" s="4"/>
      <c r="F543" s="12"/>
    </row>
    <row r="544" spans="1:6" x14ac:dyDescent="0.2">
      <c r="A544" t="s">
        <v>1806</v>
      </c>
      <c r="B544" t="s">
        <v>1809</v>
      </c>
      <c r="C544" t="s">
        <v>1810</v>
      </c>
      <c r="D544" t="s">
        <v>1811</v>
      </c>
      <c r="E544" s="4"/>
      <c r="F544" s="12"/>
    </row>
    <row r="545" spans="1:6" x14ac:dyDescent="0.2">
      <c r="A545" t="s">
        <v>1806</v>
      </c>
      <c r="B545" t="s">
        <v>1812</v>
      </c>
      <c r="C545" t="s">
        <v>1813</v>
      </c>
      <c r="D545" t="s">
        <v>1814</v>
      </c>
      <c r="E545" s="4"/>
      <c r="F545" s="12"/>
    </row>
    <row r="546" spans="1:6" x14ac:dyDescent="0.2">
      <c r="A546" t="s">
        <v>1806</v>
      </c>
      <c r="B546" t="s">
        <v>1375</v>
      </c>
      <c r="C546" t="s">
        <v>1815</v>
      </c>
      <c r="D546" t="s">
        <v>1816</v>
      </c>
      <c r="E546" s="4"/>
      <c r="F546" s="12"/>
    </row>
    <row r="547" spans="1:6" x14ac:dyDescent="0.2">
      <c r="A547" t="s">
        <v>1806</v>
      </c>
      <c r="B547" t="s">
        <v>1369</v>
      </c>
      <c r="C547" t="s">
        <v>1817</v>
      </c>
      <c r="D547" t="s">
        <v>1818</v>
      </c>
      <c r="E547" s="4"/>
      <c r="F547" s="12"/>
    </row>
    <row r="548" spans="1:6" x14ac:dyDescent="0.2">
      <c r="A548" t="s">
        <v>1806</v>
      </c>
      <c r="B548" t="s">
        <v>1101</v>
      </c>
      <c r="C548" t="s">
        <v>978</v>
      </c>
      <c r="D548" t="s">
        <v>979</v>
      </c>
      <c r="E548" s="4"/>
      <c r="F548" s="12"/>
    </row>
    <row r="549" spans="1:6" x14ac:dyDescent="0.2">
      <c r="A549" t="s">
        <v>1806</v>
      </c>
      <c r="B549" t="s">
        <v>1102</v>
      </c>
      <c r="C549" t="s">
        <v>980</v>
      </c>
      <c r="D549" t="s">
        <v>981</v>
      </c>
      <c r="E549" s="4"/>
    </row>
    <row r="550" spans="1:6" x14ac:dyDescent="0.2">
      <c r="E550" s="4"/>
    </row>
    <row r="551" spans="1:6" x14ac:dyDescent="0.2">
      <c r="A551" t="s">
        <v>1819</v>
      </c>
      <c r="B551" t="s">
        <v>1820</v>
      </c>
      <c r="C551" t="s">
        <v>1821</v>
      </c>
      <c r="D551" t="s">
        <v>1822</v>
      </c>
      <c r="E551" s="4"/>
    </row>
    <row r="552" spans="1:6" x14ac:dyDescent="0.2">
      <c r="A552" t="s">
        <v>1819</v>
      </c>
      <c r="B552" t="s">
        <v>1823</v>
      </c>
      <c r="C552" t="s">
        <v>1824</v>
      </c>
      <c r="D552" t="s">
        <v>1825</v>
      </c>
      <c r="E552" s="4"/>
    </row>
    <row r="553" spans="1:6" x14ac:dyDescent="0.2">
      <c r="A553" t="s">
        <v>1819</v>
      </c>
      <c r="B553" t="s">
        <v>1826</v>
      </c>
      <c r="C553" t="s">
        <v>1827</v>
      </c>
      <c r="D553" t="s">
        <v>1828</v>
      </c>
      <c r="E553" s="4"/>
    </row>
    <row r="554" spans="1:6" x14ac:dyDescent="0.2">
      <c r="A554" t="s">
        <v>1819</v>
      </c>
      <c r="B554" t="s">
        <v>1829</v>
      </c>
      <c r="C554" t="s">
        <v>1830</v>
      </c>
      <c r="D554" t="s">
        <v>1831</v>
      </c>
      <c r="E554" s="4"/>
    </row>
    <row r="555" spans="1:6" x14ac:dyDescent="0.2">
      <c r="A555" t="s">
        <v>1819</v>
      </c>
      <c r="B555" t="s">
        <v>1832</v>
      </c>
      <c r="C555" t="s">
        <v>1833</v>
      </c>
      <c r="D555" t="s">
        <v>1834</v>
      </c>
      <c r="E555" s="4"/>
    </row>
    <row r="556" spans="1:6" x14ac:dyDescent="0.2">
      <c r="A556" t="s">
        <v>1819</v>
      </c>
      <c r="B556" t="s">
        <v>1835</v>
      </c>
      <c r="C556" t="s">
        <v>1836</v>
      </c>
      <c r="D556" t="s">
        <v>1837</v>
      </c>
      <c r="E556" s="4"/>
    </row>
    <row r="557" spans="1:6" x14ac:dyDescent="0.2">
      <c r="A557" t="s">
        <v>1819</v>
      </c>
      <c r="B557" t="s">
        <v>1838</v>
      </c>
      <c r="C557" t="s">
        <v>1839</v>
      </c>
      <c r="D557" t="s">
        <v>1840</v>
      </c>
      <c r="E557" s="4"/>
    </row>
    <row r="558" spans="1:6" x14ac:dyDescent="0.2">
      <c r="E558" s="4"/>
    </row>
    <row r="559" spans="1:6" x14ac:dyDescent="0.2">
      <c r="A559" t="s">
        <v>944</v>
      </c>
      <c r="B559" t="s">
        <v>1841</v>
      </c>
      <c r="C559" t="s">
        <v>1842</v>
      </c>
      <c r="D559" t="s">
        <v>1843</v>
      </c>
      <c r="E559" s="4"/>
    </row>
    <row r="560" spans="1:6" x14ac:dyDescent="0.2">
      <c r="A560" t="s">
        <v>944</v>
      </c>
      <c r="B560" t="s">
        <v>1844</v>
      </c>
      <c r="C560" t="s">
        <v>1845</v>
      </c>
      <c r="D560" t="s">
        <v>1846</v>
      </c>
      <c r="E560" s="4"/>
    </row>
    <row r="561" spans="1:6" x14ac:dyDescent="0.2">
      <c r="A561" t="s">
        <v>944</v>
      </c>
      <c r="B561" t="s">
        <v>1847</v>
      </c>
      <c r="C561" t="s">
        <v>1848</v>
      </c>
      <c r="D561" t="s">
        <v>1849</v>
      </c>
      <c r="E561" s="4"/>
    </row>
    <row r="562" spans="1:6" x14ac:dyDescent="0.2">
      <c r="E562" s="4"/>
    </row>
    <row r="563" spans="1:6" x14ac:dyDescent="0.2">
      <c r="A563" s="3" t="s">
        <v>1850</v>
      </c>
      <c r="B563" s="4" t="s">
        <v>1851</v>
      </c>
      <c r="C563" s="4" t="s">
        <v>1852</v>
      </c>
      <c r="D563" s="4" t="s">
        <v>1853</v>
      </c>
      <c r="E563" s="4"/>
      <c r="F563" s="4"/>
    </row>
    <row r="564" spans="1:6" x14ac:dyDescent="0.2">
      <c r="A564" s="3" t="s">
        <v>1850</v>
      </c>
      <c r="B564" s="4" t="s">
        <v>1854</v>
      </c>
      <c r="C564" s="4" t="s">
        <v>1855</v>
      </c>
      <c r="D564" s="4" t="s">
        <v>1856</v>
      </c>
      <c r="E564" s="4"/>
      <c r="F564" s="4"/>
    </row>
    <row r="565" spans="1:6" x14ac:dyDescent="0.2">
      <c r="A565" s="3" t="s">
        <v>1850</v>
      </c>
      <c r="B565" s="4" t="s">
        <v>1857</v>
      </c>
      <c r="C565" s="4" t="s">
        <v>1858</v>
      </c>
      <c r="D565" s="4" t="s">
        <v>1859</v>
      </c>
      <c r="E565" s="4"/>
      <c r="F565" s="4"/>
    </row>
    <row r="566" spans="1:6" x14ac:dyDescent="0.2">
      <c r="A566" s="3" t="s">
        <v>1850</v>
      </c>
      <c r="B566" s="4" t="s">
        <v>1860</v>
      </c>
      <c r="C566" s="4" t="s">
        <v>1861</v>
      </c>
      <c r="D566" s="4" t="s">
        <v>1862</v>
      </c>
      <c r="E566" s="4"/>
      <c r="F566" s="4"/>
    </row>
    <row r="567" spans="1:6" x14ac:dyDescent="0.2">
      <c r="A567" s="3" t="s">
        <v>1850</v>
      </c>
      <c r="B567" s="4" t="s">
        <v>1863</v>
      </c>
      <c r="C567" s="4" t="s">
        <v>1864</v>
      </c>
      <c r="D567" s="4" t="s">
        <v>1865</v>
      </c>
      <c r="E567" s="4"/>
      <c r="F567" s="4"/>
    </row>
    <row r="568" spans="1:6" x14ac:dyDescent="0.2">
      <c r="D568" s="10"/>
    </row>
    <row r="569" spans="1:6" x14ac:dyDescent="0.2">
      <c r="A569" s="3" t="s">
        <v>1866</v>
      </c>
      <c r="B569" s="322">
        <v>1</v>
      </c>
      <c r="C569" s="3" t="s">
        <v>1867</v>
      </c>
      <c r="D569" s="3" t="s">
        <v>1868</v>
      </c>
    </row>
    <row r="570" spans="1:6" x14ac:dyDescent="0.2">
      <c r="A570" s="3" t="s">
        <v>1866</v>
      </c>
      <c r="B570" s="323">
        <v>2</v>
      </c>
      <c r="C570" s="3" t="s">
        <v>1869</v>
      </c>
      <c r="D570" s="3" t="s">
        <v>1870</v>
      </c>
      <c r="E570" s="7"/>
      <c r="F570" s="10"/>
    </row>
    <row r="571" spans="1:6" x14ac:dyDescent="0.2">
      <c r="A571" s="3" t="s">
        <v>1866</v>
      </c>
      <c r="B571" s="322">
        <v>3</v>
      </c>
      <c r="C571" s="3" t="s">
        <v>1871</v>
      </c>
      <c r="D571" s="3" t="s">
        <v>1192</v>
      </c>
    </row>
    <row r="572" spans="1:6" x14ac:dyDescent="0.2">
      <c r="A572" s="3" t="s">
        <v>1866</v>
      </c>
      <c r="B572" s="322">
        <v>4</v>
      </c>
      <c r="C572" s="3" t="s">
        <v>976</v>
      </c>
      <c r="D572" s="3" t="s">
        <v>976</v>
      </c>
    </row>
    <row r="573" spans="1:6" x14ac:dyDescent="0.2">
      <c r="A573" s="3" t="s">
        <v>1866</v>
      </c>
      <c r="B573" s="322">
        <v>5</v>
      </c>
      <c r="C573" s="3" t="s">
        <v>978</v>
      </c>
      <c r="D573" s="3" t="s">
        <v>1872</v>
      </c>
    </row>
    <row r="574" spans="1:6" x14ac:dyDescent="0.2">
      <c r="A574" s="3" t="s">
        <v>1866</v>
      </c>
      <c r="B574" s="322">
        <v>6</v>
      </c>
      <c r="C574" s="3" t="s">
        <v>980</v>
      </c>
      <c r="D574" s="3" t="s">
        <v>1873</v>
      </c>
    </row>
    <row r="576" spans="1:6" x14ac:dyDescent="0.2">
      <c r="A576" s="3" t="s">
        <v>386</v>
      </c>
      <c r="B576" s="322">
        <v>1</v>
      </c>
      <c r="C576" s="3" t="s">
        <v>1874</v>
      </c>
      <c r="D576" s="3" t="s">
        <v>1874</v>
      </c>
    </row>
    <row r="577" spans="1:4" x14ac:dyDescent="0.2">
      <c r="A577" s="3" t="s">
        <v>386</v>
      </c>
      <c r="B577" s="322">
        <v>2</v>
      </c>
      <c r="C577" s="3" t="s">
        <v>1875</v>
      </c>
      <c r="D577" s="3" t="s">
        <v>1875</v>
      </c>
    </row>
    <row r="578" spans="1:4" x14ac:dyDescent="0.2">
      <c r="A578" s="3" t="s">
        <v>386</v>
      </c>
      <c r="B578" s="322">
        <v>3</v>
      </c>
      <c r="C578" s="3" t="s">
        <v>1876</v>
      </c>
      <c r="D578" s="3" t="s">
        <v>1876</v>
      </c>
    </row>
    <row r="579" spans="1:4" x14ac:dyDescent="0.2">
      <c r="A579" s="3" t="s">
        <v>386</v>
      </c>
      <c r="B579" s="322">
        <v>4</v>
      </c>
      <c r="C579" s="3" t="s">
        <v>1877</v>
      </c>
      <c r="D579" s="3" t="s">
        <v>1877</v>
      </c>
    </row>
    <row r="580" spans="1:4" x14ac:dyDescent="0.2">
      <c r="B580" s="322"/>
    </row>
    <row r="581" spans="1:4" x14ac:dyDescent="0.2">
      <c r="A581" s="3" t="s">
        <v>389</v>
      </c>
      <c r="B581" s="322">
        <v>1</v>
      </c>
      <c r="C581" s="3" t="s">
        <v>1878</v>
      </c>
      <c r="D581" s="3" t="s">
        <v>1879</v>
      </c>
    </row>
    <row r="582" spans="1:4" x14ac:dyDescent="0.2">
      <c r="A582" s="3" t="s">
        <v>389</v>
      </c>
      <c r="B582" s="322">
        <v>2</v>
      </c>
      <c r="C582" s="3" t="s">
        <v>1880</v>
      </c>
      <c r="D582" s="3" t="s">
        <v>1881</v>
      </c>
    </row>
    <row r="583" spans="1:4" x14ac:dyDescent="0.2">
      <c r="A583" s="3" t="s">
        <v>389</v>
      </c>
      <c r="B583" s="322">
        <v>3</v>
      </c>
      <c r="C583" s="3" t="s">
        <v>1882</v>
      </c>
      <c r="D583" s="3" t="s">
        <v>1883</v>
      </c>
    </row>
    <row r="584" spans="1:4" x14ac:dyDescent="0.2">
      <c r="A584" s="3" t="s">
        <v>389</v>
      </c>
      <c r="B584" s="322">
        <v>4</v>
      </c>
      <c r="C584" s="3" t="s">
        <v>978</v>
      </c>
      <c r="D584" s="3" t="s">
        <v>1872</v>
      </c>
    </row>
    <row r="585" spans="1:4" x14ac:dyDescent="0.2">
      <c r="A585" s="3" t="s">
        <v>389</v>
      </c>
      <c r="B585" s="322">
        <v>5</v>
      </c>
      <c r="C585" s="3" t="s">
        <v>980</v>
      </c>
      <c r="D585" s="3" t="s">
        <v>1873</v>
      </c>
    </row>
    <row r="587" spans="1:4" x14ac:dyDescent="0.2">
      <c r="A587" s="3" t="s">
        <v>499</v>
      </c>
      <c r="B587" s="322">
        <v>1</v>
      </c>
      <c r="C587" s="3" t="s">
        <v>1867</v>
      </c>
      <c r="D587" s="3" t="s">
        <v>1868</v>
      </c>
    </row>
    <row r="588" spans="1:4" x14ac:dyDescent="0.2">
      <c r="A588" s="3" t="s">
        <v>499</v>
      </c>
      <c r="B588" s="323">
        <v>2</v>
      </c>
      <c r="C588" s="3" t="s">
        <v>1869</v>
      </c>
      <c r="D588" s="3" t="s">
        <v>1870</v>
      </c>
    </row>
    <row r="589" spans="1:4" x14ac:dyDescent="0.2">
      <c r="A589" s="3" t="s">
        <v>499</v>
      </c>
      <c r="B589" s="322">
        <v>3</v>
      </c>
      <c r="C589" s="3" t="s">
        <v>1871</v>
      </c>
      <c r="D589" s="3" t="s">
        <v>1192</v>
      </c>
    </row>
    <row r="590" spans="1:4" x14ac:dyDescent="0.2">
      <c r="A590" s="3" t="s">
        <v>499</v>
      </c>
      <c r="B590" s="322">
        <v>4</v>
      </c>
      <c r="C590" s="3" t="s">
        <v>976</v>
      </c>
      <c r="D590" s="3" t="s">
        <v>976</v>
      </c>
    </row>
    <row r="591" spans="1:4" x14ac:dyDescent="0.2">
      <c r="A591" s="3" t="s">
        <v>499</v>
      </c>
      <c r="B591" s="322">
        <v>5</v>
      </c>
      <c r="C591" s="3" t="s">
        <v>978</v>
      </c>
      <c r="D591" s="3" t="s">
        <v>1872</v>
      </c>
    </row>
    <row r="592" spans="1:4" x14ac:dyDescent="0.2">
      <c r="A592" s="3" t="s">
        <v>499</v>
      </c>
      <c r="B592" s="322">
        <v>6</v>
      </c>
      <c r="C592" s="3" t="s">
        <v>980</v>
      </c>
      <c r="D592" s="3" t="s">
        <v>1873</v>
      </c>
    </row>
    <row r="594" spans="1:4" x14ac:dyDescent="0.2">
      <c r="A594" s="3" t="s">
        <v>503</v>
      </c>
      <c r="B594" s="3">
        <v>1</v>
      </c>
      <c r="D594" s="3" t="s">
        <v>1884</v>
      </c>
    </row>
    <row r="595" spans="1:4" x14ac:dyDescent="0.2">
      <c r="A595" s="3" t="s">
        <v>503</v>
      </c>
      <c r="B595" s="3">
        <v>2</v>
      </c>
      <c r="D595" s="3" t="s">
        <v>1885</v>
      </c>
    </row>
    <row r="596" spans="1:4" x14ac:dyDescent="0.2">
      <c r="A596" s="3" t="s">
        <v>503</v>
      </c>
      <c r="B596" s="3">
        <v>3</v>
      </c>
      <c r="D596" s="3" t="s">
        <v>1886</v>
      </c>
    </row>
    <row r="597" spans="1:4" x14ac:dyDescent="0.2">
      <c r="A597" s="3" t="s">
        <v>503</v>
      </c>
      <c r="B597" s="3">
        <v>4</v>
      </c>
      <c r="D597" s="3" t="s">
        <v>1887</v>
      </c>
    </row>
    <row r="598" spans="1:4" x14ac:dyDescent="0.2">
      <c r="A598" s="3" t="s">
        <v>503</v>
      </c>
      <c r="B598" s="3">
        <v>5</v>
      </c>
      <c r="D598" s="3" t="s">
        <v>1888</v>
      </c>
    </row>
    <row r="599" spans="1:4" x14ac:dyDescent="0.2">
      <c r="A599" s="3" t="s">
        <v>503</v>
      </c>
      <c r="B599" s="3">
        <v>6</v>
      </c>
      <c r="D599" s="3" t="s">
        <v>1889</v>
      </c>
    </row>
    <row r="600" spans="1:4" x14ac:dyDescent="0.2">
      <c r="A600" s="3" t="s">
        <v>503</v>
      </c>
      <c r="B600" s="3">
        <v>7</v>
      </c>
      <c r="D600" s="3" t="s">
        <v>1890</v>
      </c>
    </row>
    <row r="601" spans="1:4" x14ac:dyDescent="0.2">
      <c r="A601" s="3" t="s">
        <v>503</v>
      </c>
      <c r="B601" s="3">
        <v>8</v>
      </c>
      <c r="D601" s="3" t="s">
        <v>1872</v>
      </c>
    </row>
    <row r="602" spans="1:4" x14ac:dyDescent="0.2">
      <c r="A602" s="3" t="s">
        <v>503</v>
      </c>
      <c r="B602" s="3">
        <v>9</v>
      </c>
      <c r="D602" s="3" t="s">
        <v>1873</v>
      </c>
    </row>
    <row r="604" spans="1:4" x14ac:dyDescent="0.2">
      <c r="A604" s="3" t="s">
        <v>1891</v>
      </c>
      <c r="B604" s="3">
        <v>1</v>
      </c>
      <c r="D604" s="3" t="s">
        <v>1892</v>
      </c>
    </row>
    <row r="605" spans="1:4" x14ac:dyDescent="0.2">
      <c r="A605" s="3" t="s">
        <v>1891</v>
      </c>
      <c r="B605" s="3">
        <v>2</v>
      </c>
      <c r="D605" s="3" t="s">
        <v>1893</v>
      </c>
    </row>
    <row r="606" spans="1:4" x14ac:dyDescent="0.2">
      <c r="A606" s="3" t="s">
        <v>1891</v>
      </c>
      <c r="B606" s="3">
        <v>3</v>
      </c>
      <c r="D606" s="3" t="s">
        <v>1894</v>
      </c>
    </row>
    <row r="607" spans="1:4" x14ac:dyDescent="0.2">
      <c r="A607" s="3" t="s">
        <v>1891</v>
      </c>
      <c r="B607" s="3">
        <v>4</v>
      </c>
      <c r="D607" s="3" t="s">
        <v>1895</v>
      </c>
    </row>
    <row r="608" spans="1:4" x14ac:dyDescent="0.2">
      <c r="A608" s="3" t="s">
        <v>1891</v>
      </c>
      <c r="B608" s="3">
        <v>5</v>
      </c>
      <c r="D608" s="3" t="s">
        <v>1896</v>
      </c>
    </row>
    <row r="609" spans="1:4" x14ac:dyDescent="0.2">
      <c r="A609" s="3" t="s">
        <v>1891</v>
      </c>
      <c r="B609" s="3">
        <v>6</v>
      </c>
      <c r="D609" s="3" t="s">
        <v>1897</v>
      </c>
    </row>
    <row r="610" spans="1:4" x14ac:dyDescent="0.2">
      <c r="A610" s="3" t="s">
        <v>1891</v>
      </c>
      <c r="B610" s="3">
        <v>7</v>
      </c>
      <c r="D610" s="3" t="s">
        <v>1898</v>
      </c>
    </row>
    <row r="611" spans="1:4" x14ac:dyDescent="0.2">
      <c r="A611" s="3" t="s">
        <v>1891</v>
      </c>
      <c r="B611" s="3">
        <v>8</v>
      </c>
      <c r="D611" s="3" t="s">
        <v>1899</v>
      </c>
    </row>
    <row r="612" spans="1:4" x14ac:dyDescent="0.2">
      <c r="A612" s="3" t="s">
        <v>1891</v>
      </c>
      <c r="B612" s="3">
        <v>9</v>
      </c>
      <c r="D612" s="3" t="s">
        <v>1900</v>
      </c>
    </row>
    <row r="613" spans="1:4" x14ac:dyDescent="0.2">
      <c r="A613" s="3" t="s">
        <v>1891</v>
      </c>
      <c r="B613" s="3">
        <v>10</v>
      </c>
      <c r="D613" s="3" t="s">
        <v>1901</v>
      </c>
    </row>
    <row r="614" spans="1:4" x14ac:dyDescent="0.2">
      <c r="A614" s="3" t="s">
        <v>1891</v>
      </c>
      <c r="B614" s="3">
        <v>11</v>
      </c>
      <c r="D614" s="3" t="s">
        <v>1902</v>
      </c>
    </row>
    <row r="615" spans="1:4" x14ac:dyDescent="0.2">
      <c r="A615" s="3" t="s">
        <v>1891</v>
      </c>
      <c r="B615" s="3">
        <v>12</v>
      </c>
      <c r="D615" s="3" t="s">
        <v>1903</v>
      </c>
    </row>
    <row r="616" spans="1:4" x14ac:dyDescent="0.2">
      <c r="A616" s="3" t="s">
        <v>1891</v>
      </c>
      <c r="B616" s="3">
        <v>13</v>
      </c>
      <c r="D616" s="3" t="s">
        <v>1872</v>
      </c>
    </row>
    <row r="617" spans="1:4" x14ac:dyDescent="0.2">
      <c r="A617" s="3" t="s">
        <v>1891</v>
      </c>
      <c r="B617" s="3">
        <v>14</v>
      </c>
      <c r="D617" s="3" t="s">
        <v>1873</v>
      </c>
    </row>
    <row r="619" spans="1:4" x14ac:dyDescent="0.2">
      <c r="A619" s="3" t="s">
        <v>1904</v>
      </c>
      <c r="B619" s="3">
        <v>1</v>
      </c>
      <c r="D619" s="3" t="s">
        <v>1905</v>
      </c>
    </row>
    <row r="620" spans="1:4" x14ac:dyDescent="0.2">
      <c r="A620" s="3" t="s">
        <v>1904</v>
      </c>
      <c r="B620" s="3">
        <v>2</v>
      </c>
      <c r="D620" s="3" t="s">
        <v>1906</v>
      </c>
    </row>
    <row r="621" spans="1:4" x14ac:dyDescent="0.2">
      <c r="A621" s="3" t="s">
        <v>1904</v>
      </c>
      <c r="B621" s="3">
        <v>3</v>
      </c>
      <c r="D621" s="3" t="s">
        <v>1907</v>
      </c>
    </row>
    <row r="622" spans="1:4" x14ac:dyDescent="0.2">
      <c r="A622" s="3" t="s">
        <v>1904</v>
      </c>
      <c r="B622" s="3">
        <v>4</v>
      </c>
      <c r="D622" s="3" t="s">
        <v>1872</v>
      </c>
    </row>
    <row r="623" spans="1:4" x14ac:dyDescent="0.2">
      <c r="A623" s="3" t="s">
        <v>1904</v>
      </c>
      <c r="B623" s="3">
        <v>5</v>
      </c>
      <c r="D623" s="3" t="s">
        <v>1873</v>
      </c>
    </row>
    <row r="625" spans="1:4" x14ac:dyDescent="0.2">
      <c r="A625" s="3" t="s">
        <v>433</v>
      </c>
      <c r="B625" s="3">
        <v>1</v>
      </c>
      <c r="D625" s="3" t="s">
        <v>1905</v>
      </c>
    </row>
    <row r="626" spans="1:4" x14ac:dyDescent="0.2">
      <c r="A626" s="3" t="s">
        <v>433</v>
      </c>
      <c r="B626" s="3">
        <v>2</v>
      </c>
      <c r="D626" s="3" t="s">
        <v>1906</v>
      </c>
    </row>
    <row r="627" spans="1:4" x14ac:dyDescent="0.2">
      <c r="A627" s="3" t="s">
        <v>433</v>
      </c>
      <c r="B627" s="3">
        <v>3</v>
      </c>
      <c r="D627" s="3" t="s">
        <v>1907</v>
      </c>
    </row>
    <row r="628" spans="1:4" x14ac:dyDescent="0.2">
      <c r="A628" s="3" t="s">
        <v>433</v>
      </c>
      <c r="B628" s="3">
        <v>4</v>
      </c>
      <c r="D628" s="3" t="s">
        <v>1872</v>
      </c>
    </row>
    <row r="629" spans="1:4" x14ac:dyDescent="0.2">
      <c r="A629" s="3" t="s">
        <v>433</v>
      </c>
      <c r="B629" s="3">
        <v>5</v>
      </c>
      <c r="D629" s="3" t="s">
        <v>1873</v>
      </c>
    </row>
    <row r="631" spans="1:4" x14ac:dyDescent="0.2">
      <c r="A631" s="3" t="s">
        <v>438</v>
      </c>
      <c r="B631" s="3">
        <v>1</v>
      </c>
      <c r="D631" s="3" t="s">
        <v>1908</v>
      </c>
    </row>
    <row r="632" spans="1:4" x14ac:dyDescent="0.2">
      <c r="A632" s="3" t="s">
        <v>438</v>
      </c>
      <c r="B632" s="3">
        <v>2</v>
      </c>
      <c r="D632" s="3" t="s">
        <v>1909</v>
      </c>
    </row>
    <row r="633" spans="1:4" x14ac:dyDescent="0.2">
      <c r="A633" s="3" t="s">
        <v>438</v>
      </c>
      <c r="B633" s="3">
        <v>3</v>
      </c>
      <c r="D633" s="3" t="s">
        <v>1910</v>
      </c>
    </row>
    <row r="634" spans="1:4" x14ac:dyDescent="0.2">
      <c r="A634" s="3" t="s">
        <v>438</v>
      </c>
      <c r="B634" s="3">
        <v>4</v>
      </c>
      <c r="D634" s="3" t="s">
        <v>1911</v>
      </c>
    </row>
    <row r="635" spans="1:4" x14ac:dyDescent="0.2">
      <c r="A635" s="3" t="s">
        <v>438</v>
      </c>
      <c r="B635" s="3">
        <v>5</v>
      </c>
      <c r="D635" s="3" t="s">
        <v>1912</v>
      </c>
    </row>
    <row r="636" spans="1:4" x14ac:dyDescent="0.2">
      <c r="A636" s="3" t="s">
        <v>438</v>
      </c>
      <c r="B636" s="3">
        <v>6</v>
      </c>
      <c r="D636" s="3" t="s">
        <v>1913</v>
      </c>
    </row>
    <row r="637" spans="1:4" x14ac:dyDescent="0.2">
      <c r="A637" s="3" t="s">
        <v>438</v>
      </c>
      <c r="B637" s="3">
        <v>7</v>
      </c>
      <c r="D637" s="3" t="s">
        <v>1382</v>
      </c>
    </row>
    <row r="638" spans="1:4" x14ac:dyDescent="0.2">
      <c r="A638" s="3" t="s">
        <v>438</v>
      </c>
      <c r="B638" s="3">
        <v>8</v>
      </c>
      <c r="D638" s="3" t="s">
        <v>1872</v>
      </c>
    </row>
    <row r="639" spans="1:4" x14ac:dyDescent="0.2">
      <c r="A639" s="3" t="s">
        <v>438</v>
      </c>
      <c r="B639" s="3">
        <v>9</v>
      </c>
      <c r="D639" s="3" t="s">
        <v>1873</v>
      </c>
    </row>
    <row r="641" spans="1:4" x14ac:dyDescent="0.2">
      <c r="A641" s="3" t="s">
        <v>443</v>
      </c>
      <c r="B641" s="3">
        <v>1</v>
      </c>
      <c r="D641" s="3" t="s">
        <v>1905</v>
      </c>
    </row>
    <row r="642" spans="1:4" x14ac:dyDescent="0.2">
      <c r="A642" s="3" t="s">
        <v>443</v>
      </c>
      <c r="B642" s="3">
        <v>2</v>
      </c>
      <c r="D642" s="3" t="s">
        <v>1906</v>
      </c>
    </row>
    <row r="643" spans="1:4" x14ac:dyDescent="0.2">
      <c r="A643" s="3" t="s">
        <v>443</v>
      </c>
      <c r="B643" s="3">
        <v>3</v>
      </c>
      <c r="D643" s="3" t="s">
        <v>1907</v>
      </c>
    </row>
    <row r="644" spans="1:4" x14ac:dyDescent="0.2">
      <c r="A644" s="3" t="s">
        <v>443</v>
      </c>
      <c r="B644" s="3">
        <v>4</v>
      </c>
      <c r="D644" s="3" t="s">
        <v>1872</v>
      </c>
    </row>
    <row r="645" spans="1:4" x14ac:dyDescent="0.2">
      <c r="A645" s="3" t="s">
        <v>443</v>
      </c>
      <c r="B645" s="3">
        <v>5</v>
      </c>
      <c r="D645" s="3" t="s">
        <v>1873</v>
      </c>
    </row>
    <row r="647" spans="1:4" x14ac:dyDescent="0.2">
      <c r="A647" s="3" t="s">
        <v>446</v>
      </c>
      <c r="B647" s="3">
        <v>1</v>
      </c>
      <c r="D647" s="3" t="s">
        <v>1874</v>
      </c>
    </row>
    <row r="648" spans="1:4" x14ac:dyDescent="0.2">
      <c r="A648" s="3" t="s">
        <v>446</v>
      </c>
      <c r="B648" s="3">
        <v>2</v>
      </c>
      <c r="D648" s="3" t="s">
        <v>1875</v>
      </c>
    </row>
    <row r="649" spans="1:4" x14ac:dyDescent="0.2">
      <c r="A649" s="3" t="s">
        <v>446</v>
      </c>
      <c r="B649" s="3">
        <v>3</v>
      </c>
      <c r="D649" s="3" t="s">
        <v>1876</v>
      </c>
    </row>
    <row r="650" spans="1:4" x14ac:dyDescent="0.2">
      <c r="A650" s="3" t="s">
        <v>446</v>
      </c>
      <c r="B650" s="3">
        <v>4</v>
      </c>
      <c r="D650" s="3" t="s">
        <v>1872</v>
      </c>
    </row>
    <row r="651" spans="1:4" x14ac:dyDescent="0.2">
      <c r="A651" s="3" t="s">
        <v>446</v>
      </c>
      <c r="B651" s="3">
        <v>5</v>
      </c>
      <c r="D651" s="3" t="s">
        <v>1873</v>
      </c>
    </row>
    <row r="653" spans="1:4" ht="16" customHeight="1" x14ac:dyDescent="0.2">
      <c r="A653" s="324" t="s">
        <v>636</v>
      </c>
      <c r="B653" s="325">
        <v>1</v>
      </c>
      <c r="C653" s="3" t="s">
        <v>1867</v>
      </c>
      <c r="D653" s="3" t="s">
        <v>1868</v>
      </c>
    </row>
    <row r="654" spans="1:4" ht="16" customHeight="1" x14ac:dyDescent="0.2">
      <c r="A654" s="324" t="s">
        <v>636</v>
      </c>
      <c r="B654" s="326">
        <v>2</v>
      </c>
      <c r="C654" s="3" t="s">
        <v>1914</v>
      </c>
      <c r="D654" s="3" t="s">
        <v>1870</v>
      </c>
    </row>
    <row r="655" spans="1:4" ht="16" customHeight="1" x14ac:dyDescent="0.2">
      <c r="A655" s="324" t="s">
        <v>636</v>
      </c>
      <c r="B655" s="325">
        <v>3</v>
      </c>
      <c r="C655" s="3" t="s">
        <v>1871</v>
      </c>
      <c r="D655" s="3" t="s">
        <v>1192</v>
      </c>
    </row>
    <row r="656" spans="1:4" ht="16" customHeight="1" x14ac:dyDescent="0.2">
      <c r="A656" s="324" t="s">
        <v>636</v>
      </c>
      <c r="B656" s="325">
        <v>4</v>
      </c>
      <c r="C656" s="3" t="s">
        <v>976</v>
      </c>
      <c r="D656" s="3" t="s">
        <v>976</v>
      </c>
    </row>
    <row r="657" spans="1:4" ht="16" customHeight="1" x14ac:dyDescent="0.2">
      <c r="A657" s="324" t="s">
        <v>636</v>
      </c>
      <c r="B657" s="325">
        <v>5</v>
      </c>
      <c r="C657" s="3" t="s">
        <v>978</v>
      </c>
      <c r="D657" s="3" t="s">
        <v>1872</v>
      </c>
    </row>
    <row r="658" spans="1:4" ht="16" customHeight="1" x14ac:dyDescent="0.2">
      <c r="A658" s="324" t="s">
        <v>636</v>
      </c>
      <c r="B658" s="325">
        <v>6</v>
      </c>
      <c r="C658" s="3" t="s">
        <v>980</v>
      </c>
      <c r="D658" s="3" t="s">
        <v>1873</v>
      </c>
    </row>
    <row r="660" spans="1:4" x14ac:dyDescent="0.2">
      <c r="A660" s="3" t="s">
        <v>1915</v>
      </c>
      <c r="B660" s="3">
        <v>1</v>
      </c>
      <c r="D660" s="3" t="s">
        <v>1916</v>
      </c>
    </row>
    <row r="661" spans="1:4" x14ac:dyDescent="0.2">
      <c r="A661" s="3" t="s">
        <v>1915</v>
      </c>
      <c r="B661" s="3">
        <v>2</v>
      </c>
      <c r="D661" s="3" t="s">
        <v>1917</v>
      </c>
    </row>
    <row r="662" spans="1:4" x14ac:dyDescent="0.2">
      <c r="A662" s="3" t="s">
        <v>1915</v>
      </c>
      <c r="B662" s="3">
        <v>3</v>
      </c>
      <c r="D662" s="3" t="s">
        <v>1872</v>
      </c>
    </row>
    <row r="663" spans="1:4" x14ac:dyDescent="0.2">
      <c r="A663" s="3" t="s">
        <v>1915</v>
      </c>
      <c r="B663" s="3">
        <v>4</v>
      </c>
      <c r="D663" s="3" t="s">
        <v>1873</v>
      </c>
    </row>
    <row r="665" spans="1:4" x14ac:dyDescent="0.2">
      <c r="A665" s="3" t="s">
        <v>208</v>
      </c>
      <c r="B665" s="3">
        <v>1</v>
      </c>
      <c r="D665" s="3" t="s">
        <v>1918</v>
      </c>
    </row>
    <row r="666" spans="1:4" x14ac:dyDescent="0.2">
      <c r="A666" s="3" t="s">
        <v>208</v>
      </c>
      <c r="B666" s="3">
        <v>2</v>
      </c>
      <c r="D666" s="3" t="s">
        <v>1919</v>
      </c>
    </row>
    <row r="667" spans="1:4" x14ac:dyDescent="0.2">
      <c r="A667" s="3" t="s">
        <v>208</v>
      </c>
      <c r="B667" s="3">
        <v>3</v>
      </c>
      <c r="D667" s="3" t="s">
        <v>1920</v>
      </c>
    </row>
    <row r="668" spans="1:4" x14ac:dyDescent="0.2">
      <c r="A668" s="3" t="s">
        <v>208</v>
      </c>
      <c r="B668" s="3">
        <v>4</v>
      </c>
      <c r="D668" s="3" t="s">
        <v>1921</v>
      </c>
    </row>
    <row r="669" spans="1:4" x14ac:dyDescent="0.2">
      <c r="A669" s="3" t="s">
        <v>208</v>
      </c>
      <c r="B669" s="3">
        <v>5</v>
      </c>
      <c r="D669" s="3" t="s">
        <v>1872</v>
      </c>
    </row>
    <row r="670" spans="1:4" x14ac:dyDescent="0.2">
      <c r="A670" s="3" t="s">
        <v>208</v>
      </c>
      <c r="B670" s="3">
        <v>6</v>
      </c>
      <c r="D670" s="3" t="s">
        <v>1873</v>
      </c>
    </row>
    <row r="672" spans="1:4" x14ac:dyDescent="0.2">
      <c r="A672" s="3" t="s">
        <v>214</v>
      </c>
      <c r="B672" s="3">
        <v>1</v>
      </c>
      <c r="D672" s="3" t="s">
        <v>1922</v>
      </c>
    </row>
    <row r="673" spans="1:4" x14ac:dyDescent="0.2">
      <c r="A673" s="3" t="s">
        <v>214</v>
      </c>
      <c r="B673" s="3">
        <v>2</v>
      </c>
      <c r="D673" s="3" t="s">
        <v>1923</v>
      </c>
    </row>
    <row r="674" spans="1:4" x14ac:dyDescent="0.2">
      <c r="A674" s="3" t="s">
        <v>214</v>
      </c>
      <c r="B674" s="3">
        <v>3</v>
      </c>
      <c r="D674" s="3" t="s">
        <v>1924</v>
      </c>
    </row>
    <row r="675" spans="1:4" x14ac:dyDescent="0.2">
      <c r="A675" s="3" t="s">
        <v>214</v>
      </c>
      <c r="B675" s="3">
        <v>4</v>
      </c>
      <c r="D675" s="3" t="s">
        <v>1872</v>
      </c>
    </row>
    <row r="676" spans="1:4" x14ac:dyDescent="0.2">
      <c r="A676" s="3" t="s">
        <v>214</v>
      </c>
      <c r="B676" s="3">
        <v>5</v>
      </c>
      <c r="D676" s="3" t="s">
        <v>1873</v>
      </c>
    </row>
    <row r="678" spans="1:4" x14ac:dyDescent="0.2">
      <c r="A678" s="3" t="s">
        <v>217</v>
      </c>
      <c r="B678" s="3">
        <v>1</v>
      </c>
      <c r="D678" s="3" t="s">
        <v>1925</v>
      </c>
    </row>
    <row r="679" spans="1:4" x14ac:dyDescent="0.2">
      <c r="A679" s="3" t="s">
        <v>217</v>
      </c>
      <c r="B679" s="3">
        <v>2</v>
      </c>
      <c r="D679" s="3" t="s">
        <v>1926</v>
      </c>
    </row>
    <row r="680" spans="1:4" x14ac:dyDescent="0.2">
      <c r="A680" s="3" t="s">
        <v>217</v>
      </c>
      <c r="B680" s="3">
        <v>3</v>
      </c>
      <c r="D680" s="3" t="s">
        <v>1927</v>
      </c>
    </row>
    <row r="681" spans="1:4" x14ac:dyDescent="0.2">
      <c r="A681" s="3" t="s">
        <v>217</v>
      </c>
      <c r="B681" s="3">
        <v>4</v>
      </c>
      <c r="D681" s="3" t="s">
        <v>1928</v>
      </c>
    </row>
    <row r="682" spans="1:4" x14ac:dyDescent="0.2">
      <c r="A682" s="3" t="s">
        <v>217</v>
      </c>
      <c r="B682" s="3">
        <v>5</v>
      </c>
      <c r="D682" s="3" t="s">
        <v>1921</v>
      </c>
    </row>
    <row r="683" spans="1:4" x14ac:dyDescent="0.2">
      <c r="A683" s="3" t="s">
        <v>217</v>
      </c>
      <c r="B683" s="3">
        <v>6</v>
      </c>
      <c r="D683" s="3" t="s">
        <v>1872</v>
      </c>
    </row>
    <row r="684" spans="1:4" x14ac:dyDescent="0.2">
      <c r="A684" s="3" t="s">
        <v>217</v>
      </c>
      <c r="B684" s="3">
        <v>7</v>
      </c>
      <c r="D684" s="3" t="s">
        <v>1873</v>
      </c>
    </row>
    <row r="686" spans="1:4" x14ac:dyDescent="0.2">
      <c r="A686" s="3" t="s">
        <v>219</v>
      </c>
      <c r="B686" s="3">
        <v>1</v>
      </c>
      <c r="D686" s="3" t="s">
        <v>1929</v>
      </c>
    </row>
    <row r="687" spans="1:4" x14ac:dyDescent="0.2">
      <c r="A687" s="3" t="s">
        <v>219</v>
      </c>
      <c r="B687" s="3">
        <v>2</v>
      </c>
      <c r="D687" s="3" t="s">
        <v>1930</v>
      </c>
    </row>
    <row r="688" spans="1:4" x14ac:dyDescent="0.2">
      <c r="A688" s="3" t="s">
        <v>219</v>
      </c>
      <c r="B688" s="3">
        <v>3</v>
      </c>
      <c r="D688" s="3" t="s">
        <v>976</v>
      </c>
    </row>
    <row r="689" spans="1:4" x14ac:dyDescent="0.2">
      <c r="A689" s="3" t="s">
        <v>219</v>
      </c>
      <c r="B689" s="3">
        <v>4</v>
      </c>
      <c r="D689" s="3" t="s">
        <v>1872</v>
      </c>
    </row>
    <row r="690" spans="1:4" x14ac:dyDescent="0.2">
      <c r="A690" s="3" t="s">
        <v>219</v>
      </c>
      <c r="B690" s="3">
        <v>5</v>
      </c>
      <c r="D690" s="3" t="s">
        <v>1873</v>
      </c>
    </row>
    <row r="692" spans="1:4" x14ac:dyDescent="0.2">
      <c r="A692" s="3" t="s">
        <v>222</v>
      </c>
      <c r="B692" s="3">
        <v>1</v>
      </c>
      <c r="D692" s="3" t="s">
        <v>1931</v>
      </c>
    </row>
    <row r="693" spans="1:4" x14ac:dyDescent="0.2">
      <c r="A693" s="3" t="s">
        <v>222</v>
      </c>
      <c r="B693" s="3">
        <v>2</v>
      </c>
      <c r="D693" s="3" t="s">
        <v>1932</v>
      </c>
    </row>
    <row r="694" spans="1:4" x14ac:dyDescent="0.2">
      <c r="A694" s="3" t="s">
        <v>222</v>
      </c>
      <c r="B694" s="3">
        <v>3</v>
      </c>
      <c r="D694" s="3" t="s">
        <v>1933</v>
      </c>
    </row>
    <row r="695" spans="1:4" x14ac:dyDescent="0.2">
      <c r="A695" s="3" t="s">
        <v>222</v>
      </c>
      <c r="B695" s="3">
        <v>4</v>
      </c>
      <c r="D695" s="3" t="s">
        <v>1934</v>
      </c>
    </row>
    <row r="696" spans="1:4" x14ac:dyDescent="0.2">
      <c r="A696" s="3" t="s">
        <v>222</v>
      </c>
      <c r="B696" s="3">
        <v>5</v>
      </c>
      <c r="D696" s="3" t="s">
        <v>1872</v>
      </c>
    </row>
    <row r="697" spans="1:4" x14ac:dyDescent="0.2">
      <c r="A697" s="3" t="s">
        <v>222</v>
      </c>
      <c r="B697" s="3">
        <v>6</v>
      </c>
      <c r="D697" s="3" t="s">
        <v>1873</v>
      </c>
    </row>
    <row r="699" spans="1:4" x14ac:dyDescent="0.2">
      <c r="A699" s="3" t="s">
        <v>226</v>
      </c>
      <c r="B699" s="3">
        <v>1</v>
      </c>
      <c r="D699" s="3" t="s">
        <v>1935</v>
      </c>
    </row>
    <row r="700" spans="1:4" x14ac:dyDescent="0.2">
      <c r="A700" s="3" t="s">
        <v>226</v>
      </c>
      <c r="B700" s="3">
        <v>2</v>
      </c>
      <c r="D700" s="3" t="s">
        <v>1936</v>
      </c>
    </row>
    <row r="701" spans="1:4" x14ac:dyDescent="0.2">
      <c r="A701" s="3" t="s">
        <v>226</v>
      </c>
      <c r="B701" s="3">
        <v>3</v>
      </c>
      <c r="D701" s="3" t="s">
        <v>1937</v>
      </c>
    </row>
    <row r="702" spans="1:4" x14ac:dyDescent="0.2">
      <c r="A702" s="3" t="s">
        <v>226</v>
      </c>
      <c r="B702" s="3">
        <v>4</v>
      </c>
      <c r="D702" s="3" t="s">
        <v>1938</v>
      </c>
    </row>
    <row r="703" spans="1:4" x14ac:dyDescent="0.2">
      <c r="A703" s="3" t="s">
        <v>226</v>
      </c>
      <c r="B703" s="3">
        <v>5</v>
      </c>
      <c r="D703" s="3" t="s">
        <v>1939</v>
      </c>
    </row>
    <row r="704" spans="1:4" x14ac:dyDescent="0.2">
      <c r="A704" s="3" t="s">
        <v>226</v>
      </c>
      <c r="B704" s="3">
        <v>6</v>
      </c>
      <c r="D704" s="3" t="s">
        <v>1940</v>
      </c>
    </row>
    <row r="705" spans="1:4" x14ac:dyDescent="0.2">
      <c r="A705" s="3" t="s">
        <v>226</v>
      </c>
      <c r="B705" s="3">
        <v>7</v>
      </c>
      <c r="D705" s="3" t="s">
        <v>1941</v>
      </c>
    </row>
    <row r="706" spans="1:4" x14ac:dyDescent="0.2">
      <c r="A706" s="3" t="s">
        <v>226</v>
      </c>
      <c r="B706" s="3">
        <v>8</v>
      </c>
      <c r="D706" s="3" t="s">
        <v>1382</v>
      </c>
    </row>
    <row r="707" spans="1:4" x14ac:dyDescent="0.2">
      <c r="A707" s="3" t="s">
        <v>226</v>
      </c>
      <c r="B707" s="3">
        <v>9</v>
      </c>
      <c r="D707" s="3" t="s">
        <v>1872</v>
      </c>
    </row>
    <row r="708" spans="1:4" x14ac:dyDescent="0.2">
      <c r="A708" s="3" t="s">
        <v>226</v>
      </c>
      <c r="B708" s="3">
        <v>10</v>
      </c>
      <c r="D708" s="3" t="s">
        <v>1873</v>
      </c>
    </row>
    <row r="710" spans="1:4" x14ac:dyDescent="0.2">
      <c r="A710" s="3" t="s">
        <v>326</v>
      </c>
      <c r="B710" s="3">
        <v>1</v>
      </c>
      <c r="D710" s="3" t="s">
        <v>1942</v>
      </c>
    </row>
    <row r="711" spans="1:4" x14ac:dyDescent="0.2">
      <c r="A711" s="3" t="s">
        <v>326</v>
      </c>
      <c r="B711" s="3">
        <v>2</v>
      </c>
      <c r="D711" s="3" t="s">
        <v>1943</v>
      </c>
    </row>
    <row r="712" spans="1:4" x14ac:dyDescent="0.2">
      <c r="A712" s="3" t="s">
        <v>326</v>
      </c>
      <c r="B712" s="3">
        <v>3</v>
      </c>
      <c r="D712" s="3" t="s">
        <v>1944</v>
      </c>
    </row>
    <row r="713" spans="1:4" x14ac:dyDescent="0.2">
      <c r="A713" s="3" t="s">
        <v>326</v>
      </c>
      <c r="B713" s="3">
        <v>4</v>
      </c>
      <c r="D713" s="3" t="s">
        <v>1945</v>
      </c>
    </row>
    <row r="714" spans="1:4" x14ac:dyDescent="0.2">
      <c r="A714" s="3" t="s">
        <v>326</v>
      </c>
      <c r="B714" s="3">
        <v>5</v>
      </c>
      <c r="D714" s="3" t="s">
        <v>1872</v>
      </c>
    </row>
    <row r="715" spans="1:4" x14ac:dyDescent="0.2">
      <c r="A715" s="3" t="s">
        <v>326</v>
      </c>
      <c r="B715" s="3">
        <v>6</v>
      </c>
      <c r="D715" s="3" t="s">
        <v>1873</v>
      </c>
    </row>
    <row r="717" spans="1:4" ht="16" customHeight="1" x14ac:dyDescent="0.2">
      <c r="A717" s="327" t="s">
        <v>330</v>
      </c>
      <c r="B717" s="3">
        <v>1</v>
      </c>
      <c r="D717" s="3" t="s">
        <v>1946</v>
      </c>
    </row>
    <row r="718" spans="1:4" x14ac:dyDescent="0.2">
      <c r="A718" s="3" t="s">
        <v>330</v>
      </c>
      <c r="B718" s="3">
        <v>2</v>
      </c>
      <c r="D718" s="3" t="s">
        <v>1947</v>
      </c>
    </row>
    <row r="719" spans="1:4" x14ac:dyDescent="0.2">
      <c r="A719" s="3" t="s">
        <v>330</v>
      </c>
      <c r="B719" s="3">
        <v>3</v>
      </c>
      <c r="D719" s="3" t="s">
        <v>1948</v>
      </c>
    </row>
    <row r="720" spans="1:4" x14ac:dyDescent="0.2">
      <c r="A720" s="3" t="s">
        <v>330</v>
      </c>
      <c r="B720" s="3">
        <v>4</v>
      </c>
      <c r="D720" s="3" t="s">
        <v>1949</v>
      </c>
    </row>
    <row r="721" spans="1:4" x14ac:dyDescent="0.2">
      <c r="A721" s="3" t="s">
        <v>330</v>
      </c>
      <c r="B721" s="3">
        <v>5</v>
      </c>
      <c r="D721" s="3" t="s">
        <v>1950</v>
      </c>
    </row>
    <row r="722" spans="1:4" x14ac:dyDescent="0.2">
      <c r="B722" s="3">
        <v>6</v>
      </c>
      <c r="D722" s="3" t="s">
        <v>1951</v>
      </c>
    </row>
    <row r="723" spans="1:4" x14ac:dyDescent="0.2">
      <c r="A723" s="3" t="s">
        <v>330</v>
      </c>
      <c r="B723" s="3">
        <v>7</v>
      </c>
      <c r="D723" s="3" t="s">
        <v>1921</v>
      </c>
    </row>
    <row r="724" spans="1:4" x14ac:dyDescent="0.2">
      <c r="A724" s="3" t="s">
        <v>330</v>
      </c>
      <c r="B724" s="3">
        <v>8</v>
      </c>
      <c r="D724" s="3" t="s">
        <v>1872</v>
      </c>
    </row>
    <row r="725" spans="1:4" x14ac:dyDescent="0.2">
      <c r="A725" s="3" t="s">
        <v>330</v>
      </c>
      <c r="B725" s="3">
        <v>9</v>
      </c>
      <c r="D725" s="3" t="s">
        <v>1873</v>
      </c>
    </row>
    <row r="727" spans="1:4" x14ac:dyDescent="0.2">
      <c r="A727" s="3" t="s">
        <v>338</v>
      </c>
      <c r="B727" s="3">
        <v>1</v>
      </c>
      <c r="D727" s="3" t="s">
        <v>1952</v>
      </c>
    </row>
    <row r="728" spans="1:4" x14ac:dyDescent="0.2">
      <c r="A728" s="3" t="s">
        <v>338</v>
      </c>
      <c r="B728" s="3">
        <v>2</v>
      </c>
      <c r="D728" s="3" t="s">
        <v>1953</v>
      </c>
    </row>
    <row r="729" spans="1:4" x14ac:dyDescent="0.2">
      <c r="A729" s="3" t="s">
        <v>338</v>
      </c>
      <c r="B729" s="3">
        <v>3</v>
      </c>
      <c r="D729" s="3" t="s">
        <v>1954</v>
      </c>
    </row>
    <row r="730" spans="1:4" x14ac:dyDescent="0.2">
      <c r="A730" s="3" t="s">
        <v>338</v>
      </c>
      <c r="B730" s="3">
        <v>4</v>
      </c>
      <c r="D730" s="3" t="s">
        <v>1955</v>
      </c>
    </row>
    <row r="731" spans="1:4" x14ac:dyDescent="0.2">
      <c r="A731" s="3" t="s">
        <v>338</v>
      </c>
      <c r="B731" s="3">
        <v>5</v>
      </c>
      <c r="D731" s="3" t="s">
        <v>1872</v>
      </c>
    </row>
    <row r="732" spans="1:4" x14ac:dyDescent="0.2">
      <c r="A732" s="3" t="s">
        <v>338</v>
      </c>
      <c r="B732" s="3">
        <v>6</v>
      </c>
      <c r="D732" s="3" t="s">
        <v>1873</v>
      </c>
    </row>
    <row r="734" spans="1:4" x14ac:dyDescent="0.2">
      <c r="A734" s="3" t="s">
        <v>541</v>
      </c>
      <c r="B734" s="3">
        <v>1</v>
      </c>
      <c r="D734" s="3" t="s">
        <v>1956</v>
      </c>
    </row>
    <row r="735" spans="1:4" x14ac:dyDescent="0.2">
      <c r="A735" s="3" t="s">
        <v>541</v>
      </c>
      <c r="B735" s="3">
        <v>2</v>
      </c>
      <c r="D735" s="3" t="s">
        <v>1946</v>
      </c>
    </row>
    <row r="736" spans="1:4" x14ac:dyDescent="0.2">
      <c r="A736" s="3" t="s">
        <v>541</v>
      </c>
      <c r="B736" s="3">
        <v>3</v>
      </c>
      <c r="D736" s="3" t="s">
        <v>1947</v>
      </c>
    </row>
    <row r="737" spans="1:4" x14ac:dyDescent="0.2">
      <c r="A737" s="3" t="s">
        <v>541</v>
      </c>
      <c r="B737" s="3">
        <v>4</v>
      </c>
      <c r="D737" s="3" t="s">
        <v>1957</v>
      </c>
    </row>
    <row r="738" spans="1:4" x14ac:dyDescent="0.2">
      <c r="A738" s="3" t="s">
        <v>541</v>
      </c>
      <c r="B738" s="3">
        <v>5</v>
      </c>
      <c r="D738" s="3" t="s">
        <v>1958</v>
      </c>
    </row>
    <row r="739" spans="1:4" x14ac:dyDescent="0.2">
      <c r="A739" s="3" t="s">
        <v>541</v>
      </c>
      <c r="B739" s="3">
        <v>6</v>
      </c>
      <c r="D739" s="3" t="s">
        <v>1872</v>
      </c>
    </row>
    <row r="740" spans="1:4" x14ac:dyDescent="0.2">
      <c r="A740" s="3" t="s">
        <v>541</v>
      </c>
      <c r="B740" s="3">
        <v>7</v>
      </c>
      <c r="D740" s="3" t="s">
        <v>1873</v>
      </c>
    </row>
    <row r="742" spans="1:4" x14ac:dyDescent="0.2">
      <c r="A742" s="3" t="s">
        <v>546</v>
      </c>
      <c r="B742" s="3">
        <v>1</v>
      </c>
      <c r="D742" s="3" t="s">
        <v>1959</v>
      </c>
    </row>
    <row r="743" spans="1:4" x14ac:dyDescent="0.2">
      <c r="A743" s="3" t="s">
        <v>546</v>
      </c>
      <c r="B743" s="3">
        <v>2</v>
      </c>
      <c r="D743" s="3" t="s">
        <v>1960</v>
      </c>
    </row>
    <row r="744" spans="1:4" x14ac:dyDescent="0.2">
      <c r="A744" s="3" t="s">
        <v>546</v>
      </c>
      <c r="B744" s="3">
        <v>3</v>
      </c>
      <c r="D744" s="3" t="s">
        <v>1961</v>
      </c>
    </row>
    <row r="745" spans="1:4" x14ac:dyDescent="0.2">
      <c r="A745" s="3" t="s">
        <v>546</v>
      </c>
      <c r="B745" s="3">
        <v>4</v>
      </c>
      <c r="D745" s="3" t="s">
        <v>1962</v>
      </c>
    </row>
    <row r="746" spans="1:4" x14ac:dyDescent="0.2">
      <c r="A746" s="3" t="s">
        <v>546</v>
      </c>
      <c r="B746" s="3">
        <v>5</v>
      </c>
      <c r="D746" s="3" t="s">
        <v>1872</v>
      </c>
    </row>
    <row r="747" spans="1:4" x14ac:dyDescent="0.2">
      <c r="A747" s="3" t="s">
        <v>546</v>
      </c>
      <c r="B747" s="3">
        <v>6</v>
      </c>
      <c r="D747" s="3" t="s">
        <v>1873</v>
      </c>
    </row>
    <row r="749" spans="1:4" x14ac:dyDescent="0.2">
      <c r="A749" s="3" t="s">
        <v>1963</v>
      </c>
      <c r="B749" s="3">
        <v>1</v>
      </c>
      <c r="D749" s="3" t="s">
        <v>1964</v>
      </c>
    </row>
    <row r="750" spans="1:4" x14ac:dyDescent="0.2">
      <c r="A750" s="3" t="s">
        <v>1963</v>
      </c>
      <c r="B750" s="3">
        <v>2</v>
      </c>
      <c r="D750" s="3" t="s">
        <v>1965</v>
      </c>
    </row>
    <row r="751" spans="1:4" x14ac:dyDescent="0.2">
      <c r="A751" s="3" t="s">
        <v>1963</v>
      </c>
      <c r="B751" s="3">
        <v>3</v>
      </c>
      <c r="D751" s="3" t="s">
        <v>1966</v>
      </c>
    </row>
    <row r="752" spans="1:4" x14ac:dyDescent="0.2">
      <c r="A752" s="3" t="s">
        <v>1963</v>
      </c>
      <c r="B752" s="3">
        <v>4</v>
      </c>
      <c r="D752" s="3" t="s">
        <v>1382</v>
      </c>
    </row>
    <row r="753" spans="1:4" x14ac:dyDescent="0.2">
      <c r="A753" s="3" t="s">
        <v>1963</v>
      </c>
      <c r="B753" s="3">
        <v>5</v>
      </c>
      <c r="D753" s="3" t="s">
        <v>1872</v>
      </c>
    </row>
    <row r="754" spans="1:4" x14ac:dyDescent="0.2">
      <c r="A754" s="3" t="s">
        <v>1963</v>
      </c>
      <c r="B754" s="3">
        <v>6</v>
      </c>
      <c r="D754" s="3" t="s">
        <v>1873</v>
      </c>
    </row>
    <row r="756" spans="1:4" x14ac:dyDescent="0.2">
      <c r="A756" s="3" t="s">
        <v>1967</v>
      </c>
      <c r="B756" s="3">
        <v>1</v>
      </c>
      <c r="D756" s="3" t="s">
        <v>1968</v>
      </c>
    </row>
    <row r="757" spans="1:4" x14ac:dyDescent="0.2">
      <c r="A757" s="3" t="s">
        <v>1967</v>
      </c>
      <c r="B757" s="3">
        <v>2</v>
      </c>
      <c r="D757" s="3" t="s">
        <v>1969</v>
      </c>
    </row>
    <row r="758" spans="1:4" x14ac:dyDescent="0.2">
      <c r="A758" s="3" t="s">
        <v>1967</v>
      </c>
      <c r="B758" s="3">
        <v>3</v>
      </c>
      <c r="D758" s="3" t="s">
        <v>1970</v>
      </c>
    </row>
    <row r="759" spans="1:4" x14ac:dyDescent="0.2">
      <c r="A759" s="3" t="s">
        <v>1967</v>
      </c>
      <c r="B759" s="3">
        <v>4</v>
      </c>
      <c r="D759" s="3" t="s">
        <v>1382</v>
      </c>
    </row>
    <row r="760" spans="1:4" x14ac:dyDescent="0.2">
      <c r="A760" s="3" t="s">
        <v>1967</v>
      </c>
      <c r="B760" s="3">
        <v>5</v>
      </c>
      <c r="D760" s="3" t="s">
        <v>1872</v>
      </c>
    </row>
    <row r="761" spans="1:4" x14ac:dyDescent="0.2">
      <c r="A761" s="3" t="s">
        <v>1967</v>
      </c>
      <c r="B761" s="3">
        <v>6</v>
      </c>
      <c r="D761" s="3" t="s">
        <v>1873</v>
      </c>
    </row>
    <row r="763" spans="1:4" x14ac:dyDescent="0.2">
      <c r="A763" s="3" t="s">
        <v>481</v>
      </c>
      <c r="B763" s="3">
        <v>1</v>
      </c>
      <c r="D763" s="3" t="s">
        <v>1971</v>
      </c>
    </row>
    <row r="764" spans="1:4" x14ac:dyDescent="0.2">
      <c r="A764" s="3" t="s">
        <v>481</v>
      </c>
      <c r="B764" s="3">
        <v>2</v>
      </c>
      <c r="D764" s="3" t="s">
        <v>1972</v>
      </c>
    </row>
    <row r="765" spans="1:4" x14ac:dyDescent="0.2">
      <c r="A765" s="3" t="s">
        <v>481</v>
      </c>
      <c r="B765" s="3">
        <v>3</v>
      </c>
      <c r="D765" s="3" t="s">
        <v>1973</v>
      </c>
    </row>
    <row r="766" spans="1:4" x14ac:dyDescent="0.2">
      <c r="A766" s="3" t="s">
        <v>481</v>
      </c>
      <c r="B766" s="3">
        <v>4</v>
      </c>
      <c r="D766" s="3" t="s">
        <v>1382</v>
      </c>
    </row>
    <row r="767" spans="1:4" x14ac:dyDescent="0.2">
      <c r="A767" s="3" t="s">
        <v>481</v>
      </c>
      <c r="B767" s="3">
        <v>5</v>
      </c>
      <c r="D767" s="3" t="s">
        <v>1872</v>
      </c>
    </row>
    <row r="768" spans="1:4" x14ac:dyDescent="0.2">
      <c r="A768" s="3" t="s">
        <v>481</v>
      </c>
      <c r="B768" s="3">
        <v>6</v>
      </c>
      <c r="D768" s="3" t="s">
        <v>1873</v>
      </c>
    </row>
    <row r="770" spans="1:4" x14ac:dyDescent="0.2">
      <c r="A770" s="3" t="s">
        <v>1974</v>
      </c>
      <c r="B770" s="3">
        <v>1</v>
      </c>
      <c r="D770" s="3" t="s">
        <v>1975</v>
      </c>
    </row>
    <row r="771" spans="1:4" x14ac:dyDescent="0.2">
      <c r="A771" s="3" t="s">
        <v>1974</v>
      </c>
      <c r="B771" s="3">
        <v>2</v>
      </c>
      <c r="D771" s="3" t="s">
        <v>1976</v>
      </c>
    </row>
    <row r="772" spans="1:4" x14ac:dyDescent="0.2">
      <c r="A772" s="3" t="s">
        <v>1974</v>
      </c>
      <c r="B772" s="3">
        <v>3</v>
      </c>
      <c r="D772" s="3" t="s">
        <v>1977</v>
      </c>
    </row>
    <row r="773" spans="1:4" x14ac:dyDescent="0.2">
      <c r="A773" s="3" t="s">
        <v>1974</v>
      </c>
      <c r="B773" s="3">
        <v>4</v>
      </c>
      <c r="D773" s="3" t="s">
        <v>1978</v>
      </c>
    </row>
    <row r="774" spans="1:4" x14ac:dyDescent="0.2">
      <c r="A774" s="3" t="s">
        <v>1974</v>
      </c>
      <c r="B774" s="3">
        <v>5</v>
      </c>
      <c r="D774" s="3" t="s">
        <v>1979</v>
      </c>
    </row>
    <row r="775" spans="1:4" x14ac:dyDescent="0.2">
      <c r="A775" s="3" t="s">
        <v>1974</v>
      </c>
      <c r="B775" s="3">
        <v>6</v>
      </c>
      <c r="D775" s="3" t="s">
        <v>1980</v>
      </c>
    </row>
    <row r="776" spans="1:4" x14ac:dyDescent="0.2">
      <c r="A776" s="3" t="s">
        <v>1974</v>
      </c>
      <c r="B776" s="3">
        <v>7</v>
      </c>
      <c r="D776" s="3" t="s">
        <v>1981</v>
      </c>
    </row>
    <row r="777" spans="1:4" x14ac:dyDescent="0.2">
      <c r="A777" s="3" t="s">
        <v>1974</v>
      </c>
      <c r="B777" s="3">
        <v>8</v>
      </c>
      <c r="D777" s="3" t="s">
        <v>1982</v>
      </c>
    </row>
    <row r="778" spans="1:4" x14ac:dyDescent="0.2">
      <c r="A778" s="3" t="s">
        <v>1974</v>
      </c>
      <c r="B778" s="3">
        <v>9</v>
      </c>
      <c r="D778" s="3" t="s">
        <v>1872</v>
      </c>
    </row>
    <row r="779" spans="1:4" x14ac:dyDescent="0.2">
      <c r="A779" s="3" t="s">
        <v>1974</v>
      </c>
      <c r="B779" s="3">
        <v>10</v>
      </c>
      <c r="D779" s="3" t="s">
        <v>1873</v>
      </c>
    </row>
    <row r="781" spans="1:4" x14ac:dyDescent="0.2">
      <c r="A781" s="3" t="s">
        <v>1983</v>
      </c>
      <c r="B781" s="3">
        <v>1</v>
      </c>
      <c r="D781" s="3" t="s">
        <v>1984</v>
      </c>
    </row>
    <row r="782" spans="1:4" x14ac:dyDescent="0.2">
      <c r="A782" s="3" t="s">
        <v>1983</v>
      </c>
      <c r="B782" s="3">
        <v>2</v>
      </c>
      <c r="D782" s="3" t="s">
        <v>1985</v>
      </c>
    </row>
    <row r="783" spans="1:4" x14ac:dyDescent="0.2">
      <c r="A783" s="3" t="s">
        <v>1983</v>
      </c>
      <c r="B783" s="3">
        <v>3</v>
      </c>
      <c r="D783" s="3" t="s">
        <v>1382</v>
      </c>
    </row>
    <row r="784" spans="1:4" x14ac:dyDescent="0.2">
      <c r="A784" s="3" t="s">
        <v>1983</v>
      </c>
      <c r="B784" s="3">
        <v>4</v>
      </c>
      <c r="D784" s="3" t="s">
        <v>1872</v>
      </c>
    </row>
    <row r="785" spans="1:4" x14ac:dyDescent="0.2">
      <c r="A785" s="3" t="s">
        <v>1983</v>
      </c>
      <c r="B785" s="3">
        <v>5</v>
      </c>
      <c r="D785" s="3" t="s">
        <v>1873</v>
      </c>
    </row>
    <row r="787" spans="1:4" x14ac:dyDescent="0.2">
      <c r="A787" s="3" t="s">
        <v>1986</v>
      </c>
      <c r="B787" s="3">
        <v>1</v>
      </c>
      <c r="D787" s="3" t="s">
        <v>1987</v>
      </c>
    </row>
    <row r="788" spans="1:4" x14ac:dyDescent="0.2">
      <c r="A788" s="3" t="s">
        <v>1986</v>
      </c>
      <c r="B788" s="3">
        <v>2</v>
      </c>
      <c r="D788" s="3" t="s">
        <v>1988</v>
      </c>
    </row>
    <row r="789" spans="1:4" x14ac:dyDescent="0.2">
      <c r="A789" s="3" t="s">
        <v>1986</v>
      </c>
      <c r="B789" s="3">
        <v>3</v>
      </c>
      <c r="D789" s="3" t="s">
        <v>1946</v>
      </c>
    </row>
    <row r="790" spans="1:4" x14ac:dyDescent="0.2">
      <c r="A790" s="3" t="s">
        <v>1986</v>
      </c>
      <c r="B790" s="3">
        <v>4</v>
      </c>
      <c r="D790" s="3" t="s">
        <v>1950</v>
      </c>
    </row>
    <row r="791" spans="1:4" x14ac:dyDescent="0.2">
      <c r="A791" s="3" t="s">
        <v>1986</v>
      </c>
      <c r="B791" s="3">
        <v>5</v>
      </c>
      <c r="D791" s="3" t="s">
        <v>1921</v>
      </c>
    </row>
    <row r="792" spans="1:4" x14ac:dyDescent="0.2">
      <c r="A792" s="3" t="s">
        <v>1986</v>
      </c>
      <c r="B792" s="3">
        <v>6</v>
      </c>
      <c r="D792" s="3" t="s">
        <v>1872</v>
      </c>
    </row>
    <row r="793" spans="1:4" x14ac:dyDescent="0.2">
      <c r="A793" s="3" t="s">
        <v>1986</v>
      </c>
      <c r="B793" s="3">
        <v>7</v>
      </c>
      <c r="D793" s="3" t="s">
        <v>1873</v>
      </c>
    </row>
    <row r="795" spans="1:4" x14ac:dyDescent="0.2">
      <c r="A795" s="328" t="s">
        <v>1989</v>
      </c>
      <c r="B795" s="328">
        <v>1</v>
      </c>
      <c r="C795" s="328"/>
      <c r="D795" s="328" t="s">
        <v>1362</v>
      </c>
    </row>
    <row r="796" spans="1:4" x14ac:dyDescent="0.2">
      <c r="A796" s="328" t="s">
        <v>1989</v>
      </c>
      <c r="B796" s="3">
        <v>2</v>
      </c>
      <c r="C796" s="328"/>
      <c r="D796" s="328" t="s">
        <v>1990</v>
      </c>
    </row>
    <row r="797" spans="1:4" x14ac:dyDescent="0.2">
      <c r="A797" s="328" t="s">
        <v>1989</v>
      </c>
      <c r="B797" s="328">
        <v>3</v>
      </c>
      <c r="C797" s="328"/>
      <c r="D797" s="328" t="s">
        <v>1382</v>
      </c>
    </row>
    <row r="798" spans="1:4" x14ac:dyDescent="0.2">
      <c r="A798" s="328" t="s">
        <v>1989</v>
      </c>
      <c r="B798" s="328">
        <v>4</v>
      </c>
      <c r="C798" s="328"/>
      <c r="D798" s="328" t="s">
        <v>1872</v>
      </c>
    </row>
    <row r="799" spans="1:4" x14ac:dyDescent="0.2">
      <c r="A799" s="328" t="s">
        <v>1989</v>
      </c>
      <c r="B799" s="328">
        <v>5</v>
      </c>
      <c r="C799" s="328"/>
      <c r="D799" s="328" t="s">
        <v>1873</v>
      </c>
    </row>
    <row r="800" spans="1:4" x14ac:dyDescent="0.2">
      <c r="B800" s="328"/>
    </row>
    <row r="801" spans="1:4" ht="16" customHeight="1" x14ac:dyDescent="0.2">
      <c r="A801" s="12" t="s">
        <v>421</v>
      </c>
      <c r="B801" s="327">
        <v>1</v>
      </c>
      <c r="C801" s="327" t="s">
        <v>1991</v>
      </c>
      <c r="D801" s="327" t="s">
        <v>1992</v>
      </c>
    </row>
    <row r="802" spans="1:4" ht="16" customHeight="1" x14ac:dyDescent="0.2">
      <c r="A802" s="12" t="s">
        <v>421</v>
      </c>
      <c r="B802" s="327">
        <v>2</v>
      </c>
      <c r="C802" s="327" t="s">
        <v>1993</v>
      </c>
      <c r="D802" s="327" t="s">
        <v>1994</v>
      </c>
    </row>
    <row r="803" spans="1:4" ht="16" customHeight="1" x14ac:dyDescent="0.2">
      <c r="A803" s="12" t="s">
        <v>421</v>
      </c>
      <c r="B803" s="327">
        <v>3</v>
      </c>
      <c r="C803" s="327" t="s">
        <v>1871</v>
      </c>
      <c r="D803" s="327" t="s">
        <v>1192</v>
      </c>
    </row>
    <row r="804" spans="1:4" x14ac:dyDescent="0.2">
      <c r="A804" s="12" t="s">
        <v>421</v>
      </c>
      <c r="B804" s="328">
        <v>4</v>
      </c>
      <c r="C804" s="328"/>
      <c r="D804" s="328" t="s">
        <v>1872</v>
      </c>
    </row>
    <row r="805" spans="1:4" x14ac:dyDescent="0.2">
      <c r="A805" s="12" t="s">
        <v>421</v>
      </c>
      <c r="B805" s="328">
        <v>5</v>
      </c>
      <c r="C805" s="328"/>
      <c r="D805" s="328" t="s">
        <v>1873</v>
      </c>
    </row>
    <row r="807" spans="1:4" x14ac:dyDescent="0.2">
      <c r="A807" s="3" t="s">
        <v>1995</v>
      </c>
      <c r="B807" s="3">
        <v>1</v>
      </c>
      <c r="C807" s="3" t="s">
        <v>1996</v>
      </c>
      <c r="D807" s="3" t="s">
        <v>1997</v>
      </c>
    </row>
    <row r="808" spans="1:4" x14ac:dyDescent="0.2">
      <c r="A808" s="3" t="s">
        <v>1995</v>
      </c>
      <c r="B808" s="3">
        <v>2</v>
      </c>
      <c r="C808" s="3" t="s">
        <v>1998</v>
      </c>
      <c r="D808" s="3" t="s">
        <v>1999</v>
      </c>
    </row>
    <row r="809" spans="1:4" x14ac:dyDescent="0.2">
      <c r="A809" s="3" t="s">
        <v>1995</v>
      </c>
      <c r="B809" s="3">
        <v>3</v>
      </c>
      <c r="C809" s="3" t="s">
        <v>2000</v>
      </c>
      <c r="D809" s="3" t="s">
        <v>2001</v>
      </c>
    </row>
    <row r="810" spans="1:4" x14ac:dyDescent="0.2">
      <c r="A810" s="3" t="s">
        <v>1995</v>
      </c>
      <c r="B810" s="3">
        <v>4</v>
      </c>
      <c r="C810" s="3" t="s">
        <v>2002</v>
      </c>
      <c r="D810" s="3" t="s">
        <v>2003</v>
      </c>
    </row>
    <row r="811" spans="1:4" x14ac:dyDescent="0.2">
      <c r="A811" s="3" t="s">
        <v>1995</v>
      </c>
      <c r="B811" s="3">
        <v>5</v>
      </c>
      <c r="C811" s="3" t="s">
        <v>2004</v>
      </c>
      <c r="D811" s="3" t="s">
        <v>2005</v>
      </c>
    </row>
    <row r="812" spans="1:4" x14ac:dyDescent="0.2">
      <c r="A812" s="3" t="s">
        <v>1995</v>
      </c>
      <c r="B812" s="9">
        <v>6</v>
      </c>
      <c r="C812" s="3" t="s">
        <v>2006</v>
      </c>
      <c r="D812" s="3" t="s">
        <v>2007</v>
      </c>
    </row>
    <row r="813" spans="1:4" x14ac:dyDescent="0.2">
      <c r="A813" s="3" t="s">
        <v>1995</v>
      </c>
      <c r="B813" s="9">
        <v>7</v>
      </c>
      <c r="C813" s="3" t="s">
        <v>2008</v>
      </c>
      <c r="D813" s="3" t="s">
        <v>2009</v>
      </c>
    </row>
    <row r="814" spans="1:4" x14ac:dyDescent="0.2">
      <c r="A814" s="3" t="s">
        <v>1995</v>
      </c>
      <c r="B814" s="9">
        <v>8</v>
      </c>
      <c r="C814" s="3" t="s">
        <v>1448</v>
      </c>
      <c r="D814" s="3" t="s">
        <v>2010</v>
      </c>
    </row>
    <row r="815" spans="1:4" x14ac:dyDescent="0.2">
      <c r="A815" s="3" t="s">
        <v>1995</v>
      </c>
      <c r="B815" s="9">
        <v>9</v>
      </c>
      <c r="C815" s="3" t="s">
        <v>978</v>
      </c>
      <c r="D815" s="3" t="s">
        <v>979</v>
      </c>
    </row>
    <row r="816" spans="1:4" x14ac:dyDescent="0.2">
      <c r="A816" s="3" t="s">
        <v>1995</v>
      </c>
      <c r="B816" s="9">
        <v>10</v>
      </c>
      <c r="C816" s="3" t="s">
        <v>980</v>
      </c>
      <c r="D816" s="3" t="s">
        <v>981</v>
      </c>
    </row>
    <row r="817" spans="1:6" x14ac:dyDescent="0.2">
      <c r="A817" s="10"/>
      <c r="B817" s="10"/>
      <c r="C817" s="10"/>
      <c r="E817" s="7"/>
      <c r="F817" s="10"/>
    </row>
    <row r="819" spans="1:6" x14ac:dyDescent="0.2">
      <c r="A819" t="s">
        <v>2011</v>
      </c>
      <c r="B819" t="s">
        <v>2012</v>
      </c>
      <c r="C819" t="s">
        <v>2013</v>
      </c>
      <c r="D819" t="s">
        <v>2014</v>
      </c>
    </row>
    <row r="820" spans="1:6" x14ac:dyDescent="0.2">
      <c r="A820" t="s">
        <v>2011</v>
      </c>
      <c r="B820" t="s">
        <v>2015</v>
      </c>
      <c r="C820" t="s">
        <v>2016</v>
      </c>
      <c r="D820" t="s">
        <v>2017</v>
      </c>
    </row>
    <row r="821" spans="1:6" x14ac:dyDescent="0.2">
      <c r="A821" t="s">
        <v>2011</v>
      </c>
      <c r="B821" t="s">
        <v>2018</v>
      </c>
      <c r="C821" t="s">
        <v>2019</v>
      </c>
      <c r="D821" t="s">
        <v>2020</v>
      </c>
    </row>
    <row r="822" spans="1:6" x14ac:dyDescent="0.2">
      <c r="A822" t="s">
        <v>2011</v>
      </c>
      <c r="B822" t="s">
        <v>2021</v>
      </c>
      <c r="C822" t="s">
        <v>2022</v>
      </c>
      <c r="D822" t="s">
        <v>2023</v>
      </c>
    </row>
    <row r="823" spans="1:6" x14ac:dyDescent="0.2">
      <c r="A823" t="s">
        <v>2011</v>
      </c>
      <c r="B823" t="s">
        <v>2024</v>
      </c>
      <c r="C823" t="s">
        <v>2025</v>
      </c>
      <c r="D823" t="s">
        <v>2026</v>
      </c>
    </row>
    <row r="824" spans="1:6" x14ac:dyDescent="0.2">
      <c r="A824" t="s">
        <v>2011</v>
      </c>
      <c r="B824" t="s">
        <v>2027</v>
      </c>
      <c r="C824" t="s">
        <v>2028</v>
      </c>
      <c r="D824" t="s">
        <v>2029</v>
      </c>
    </row>
    <row r="825" spans="1:6" x14ac:dyDescent="0.2">
      <c r="A825" t="s">
        <v>2011</v>
      </c>
      <c r="B825" t="s">
        <v>2030</v>
      </c>
      <c r="C825" t="s">
        <v>2031</v>
      </c>
      <c r="D825" t="s">
        <v>2032</v>
      </c>
    </row>
    <row r="826" spans="1:6" x14ac:dyDescent="0.2">
      <c r="A826" t="s">
        <v>2011</v>
      </c>
      <c r="B826" t="s">
        <v>2033</v>
      </c>
      <c r="C826" t="s">
        <v>2034</v>
      </c>
      <c r="D826" t="s">
        <v>2035</v>
      </c>
    </row>
    <row r="827" spans="1:6" x14ac:dyDescent="0.2">
      <c r="A827" t="s">
        <v>2011</v>
      </c>
      <c r="B827" t="s">
        <v>2036</v>
      </c>
      <c r="C827" t="s">
        <v>2037</v>
      </c>
      <c r="D827" t="s">
        <v>2038</v>
      </c>
    </row>
    <row r="828" spans="1:6" x14ac:dyDescent="0.2">
      <c r="A828" t="s">
        <v>2011</v>
      </c>
      <c r="B828" t="s">
        <v>2039</v>
      </c>
      <c r="C828" t="s">
        <v>2040</v>
      </c>
      <c r="D828" t="s">
        <v>1946</v>
      </c>
    </row>
    <row r="829" spans="1:6" x14ac:dyDescent="0.2">
      <c r="A829" t="s">
        <v>2011</v>
      </c>
      <c r="B829" t="s">
        <v>2041</v>
      </c>
      <c r="C829" t="s">
        <v>2042</v>
      </c>
      <c r="D829" t="s">
        <v>2043</v>
      </c>
    </row>
    <row r="830" spans="1:6" x14ac:dyDescent="0.2">
      <c r="A830" t="s">
        <v>2011</v>
      </c>
      <c r="B830" t="s">
        <v>2044</v>
      </c>
      <c r="C830" t="s">
        <v>2045</v>
      </c>
      <c r="D830" t="s">
        <v>2046</v>
      </c>
    </row>
    <row r="831" spans="1:6" x14ac:dyDescent="0.2">
      <c r="A831" t="s">
        <v>2011</v>
      </c>
      <c r="B831" t="s">
        <v>2047</v>
      </c>
      <c r="C831" t="s">
        <v>2048</v>
      </c>
      <c r="D831" t="s">
        <v>2049</v>
      </c>
    </row>
    <row r="832" spans="1:6" x14ac:dyDescent="0.2">
      <c r="A832" t="s">
        <v>2011</v>
      </c>
      <c r="B832" t="s">
        <v>2050</v>
      </c>
      <c r="C832" t="s">
        <v>2051</v>
      </c>
      <c r="D832" t="s">
        <v>2052</v>
      </c>
    </row>
    <row r="833" spans="1:4" x14ac:dyDescent="0.2">
      <c r="A833" t="s">
        <v>2011</v>
      </c>
      <c r="B833" t="s">
        <v>2053</v>
      </c>
      <c r="C833" t="s">
        <v>2054</v>
      </c>
      <c r="D833" t="s">
        <v>2055</v>
      </c>
    </row>
    <row r="834" spans="1:4" x14ac:dyDescent="0.2">
      <c r="A834" t="s">
        <v>2011</v>
      </c>
      <c r="B834" t="s">
        <v>2056</v>
      </c>
      <c r="C834" t="s">
        <v>2057</v>
      </c>
      <c r="D834" t="s">
        <v>2058</v>
      </c>
    </row>
    <row r="835" spans="1:4" x14ac:dyDescent="0.2">
      <c r="A835" t="s">
        <v>2011</v>
      </c>
      <c r="B835" t="s">
        <v>2059</v>
      </c>
      <c r="C835" t="s">
        <v>2060</v>
      </c>
      <c r="D835" t="s">
        <v>2061</v>
      </c>
    </row>
    <row r="836" spans="1:4" x14ac:dyDescent="0.2">
      <c r="A836" t="s">
        <v>2011</v>
      </c>
      <c r="B836" t="s">
        <v>2062</v>
      </c>
      <c r="C836" t="s">
        <v>2063</v>
      </c>
      <c r="D836" t="s">
        <v>2064</v>
      </c>
    </row>
    <row r="837" spans="1:4" x14ac:dyDescent="0.2">
      <c r="A837" t="s">
        <v>2011</v>
      </c>
      <c r="B837" t="s">
        <v>2065</v>
      </c>
      <c r="C837" t="s">
        <v>2066</v>
      </c>
      <c r="D837" t="s">
        <v>2067</v>
      </c>
    </row>
    <row r="838" spans="1:4" x14ac:dyDescent="0.2">
      <c r="A838" t="s">
        <v>2011</v>
      </c>
      <c r="B838" t="s">
        <v>2068</v>
      </c>
      <c r="C838" t="s">
        <v>2069</v>
      </c>
      <c r="D838" t="s">
        <v>2069</v>
      </c>
    </row>
    <row r="839" spans="1:4" x14ac:dyDescent="0.2">
      <c r="A839" t="s">
        <v>2011</v>
      </c>
      <c r="B839" t="s">
        <v>2070</v>
      </c>
      <c r="C839" t="s">
        <v>2071</v>
      </c>
      <c r="D839" t="s">
        <v>2072</v>
      </c>
    </row>
    <row r="840" spans="1:4" x14ac:dyDescent="0.2">
      <c r="A840" t="s">
        <v>2011</v>
      </c>
      <c r="B840" t="s">
        <v>2073</v>
      </c>
      <c r="C840" t="s">
        <v>2074</v>
      </c>
      <c r="D840" t="s">
        <v>2075</v>
      </c>
    </row>
    <row r="841" spans="1:4" x14ac:dyDescent="0.2">
      <c r="A841" t="s">
        <v>2011</v>
      </c>
      <c r="B841" t="s">
        <v>2076</v>
      </c>
      <c r="C841" t="s">
        <v>2077</v>
      </c>
      <c r="D841" t="s">
        <v>2078</v>
      </c>
    </row>
    <row r="842" spans="1:4" x14ac:dyDescent="0.2">
      <c r="A842" t="s">
        <v>2011</v>
      </c>
      <c r="B842" t="s">
        <v>2079</v>
      </c>
      <c r="C842" t="s">
        <v>2080</v>
      </c>
      <c r="D842" t="s">
        <v>2081</v>
      </c>
    </row>
    <row r="843" spans="1:4" x14ac:dyDescent="0.2">
      <c r="A843" t="s">
        <v>2011</v>
      </c>
      <c r="B843" t="s">
        <v>2082</v>
      </c>
      <c r="C843" t="s">
        <v>2083</v>
      </c>
      <c r="D843" t="s">
        <v>2084</v>
      </c>
    </row>
    <row r="844" spans="1:4" x14ac:dyDescent="0.2">
      <c r="A844" t="s">
        <v>2011</v>
      </c>
      <c r="B844" t="s">
        <v>2085</v>
      </c>
      <c r="C844" t="s">
        <v>2086</v>
      </c>
      <c r="D844" t="s">
        <v>2087</v>
      </c>
    </row>
    <row r="845" spans="1:4" x14ac:dyDescent="0.2">
      <c r="A845" t="s">
        <v>2011</v>
      </c>
      <c r="B845" t="s">
        <v>2088</v>
      </c>
      <c r="C845" t="s">
        <v>2089</v>
      </c>
      <c r="D845" t="s">
        <v>2087</v>
      </c>
    </row>
    <row r="846" spans="1:4" x14ac:dyDescent="0.2">
      <c r="A846" t="s">
        <v>2011</v>
      </c>
      <c r="B846" t="s">
        <v>2090</v>
      </c>
      <c r="C846" t="s">
        <v>2091</v>
      </c>
      <c r="D846" t="s">
        <v>2092</v>
      </c>
    </row>
    <row r="847" spans="1:4" x14ac:dyDescent="0.2">
      <c r="A847" t="s">
        <v>2011</v>
      </c>
      <c r="B847" t="s">
        <v>2093</v>
      </c>
      <c r="C847" t="s">
        <v>2094</v>
      </c>
      <c r="D847" t="s">
        <v>2095</v>
      </c>
    </row>
    <row r="848" spans="1:4" x14ac:dyDescent="0.2">
      <c r="A848" t="s">
        <v>2011</v>
      </c>
      <c r="B848" t="s">
        <v>2096</v>
      </c>
      <c r="C848" t="s">
        <v>2097</v>
      </c>
      <c r="D848" t="s">
        <v>2098</v>
      </c>
    </row>
    <row r="849" spans="1:4" x14ac:dyDescent="0.2">
      <c r="A849" t="s">
        <v>2011</v>
      </c>
      <c r="B849" t="s">
        <v>2099</v>
      </c>
      <c r="C849" t="s">
        <v>2100</v>
      </c>
      <c r="D849" t="s">
        <v>2101</v>
      </c>
    </row>
    <row r="850" spans="1:4" x14ac:dyDescent="0.2">
      <c r="A850" t="s">
        <v>2011</v>
      </c>
      <c r="B850" t="s">
        <v>2102</v>
      </c>
      <c r="C850" t="s">
        <v>2103</v>
      </c>
      <c r="D850" t="s">
        <v>2104</v>
      </c>
    </row>
    <row r="851" spans="1:4" x14ac:dyDescent="0.2">
      <c r="A851" t="s">
        <v>2011</v>
      </c>
      <c r="B851" t="s">
        <v>2105</v>
      </c>
      <c r="C851" t="s">
        <v>2106</v>
      </c>
      <c r="D851" t="s">
        <v>2106</v>
      </c>
    </row>
    <row r="852" spans="1:4" x14ac:dyDescent="0.2">
      <c r="A852" t="s">
        <v>2011</v>
      </c>
      <c r="B852" t="s">
        <v>2107</v>
      </c>
      <c r="C852" t="s">
        <v>2108</v>
      </c>
      <c r="D852" t="s">
        <v>2109</v>
      </c>
    </row>
    <row r="853" spans="1:4" x14ac:dyDescent="0.2">
      <c r="A853" t="s">
        <v>2011</v>
      </c>
      <c r="B853" t="s">
        <v>2110</v>
      </c>
      <c r="C853" t="s">
        <v>2111</v>
      </c>
      <c r="D853" t="s">
        <v>2112</v>
      </c>
    </row>
    <row r="854" spans="1:4" x14ac:dyDescent="0.2">
      <c r="A854" t="s">
        <v>2011</v>
      </c>
      <c r="B854" t="s">
        <v>2113</v>
      </c>
      <c r="C854" t="s">
        <v>2114</v>
      </c>
      <c r="D854" t="s">
        <v>2115</v>
      </c>
    </row>
    <row r="855" spans="1:4" x14ac:dyDescent="0.2">
      <c r="A855" t="s">
        <v>2011</v>
      </c>
      <c r="B855" t="s">
        <v>2116</v>
      </c>
      <c r="C855" t="s">
        <v>2117</v>
      </c>
      <c r="D855" t="s">
        <v>2118</v>
      </c>
    </row>
    <row r="856" spans="1:4" x14ac:dyDescent="0.2">
      <c r="A856" t="s">
        <v>2011</v>
      </c>
      <c r="B856" t="s">
        <v>2119</v>
      </c>
      <c r="C856" t="s">
        <v>2120</v>
      </c>
      <c r="D856" t="s">
        <v>2121</v>
      </c>
    </row>
    <row r="857" spans="1:4" x14ac:dyDescent="0.2">
      <c r="A857" t="s">
        <v>2011</v>
      </c>
      <c r="B857" t="s">
        <v>2122</v>
      </c>
      <c r="C857" t="s">
        <v>2123</v>
      </c>
      <c r="D857" t="s">
        <v>2124</v>
      </c>
    </row>
    <row r="858" spans="1:4" x14ac:dyDescent="0.2">
      <c r="A858" t="s">
        <v>2011</v>
      </c>
      <c r="B858" t="s">
        <v>2125</v>
      </c>
      <c r="C858" t="s">
        <v>2126</v>
      </c>
      <c r="D858" t="s">
        <v>2127</v>
      </c>
    </row>
    <row r="859" spans="1:4" x14ac:dyDescent="0.2">
      <c r="A859" t="s">
        <v>2011</v>
      </c>
      <c r="B859" t="s">
        <v>2128</v>
      </c>
      <c r="C859" t="s">
        <v>2129</v>
      </c>
      <c r="D859" t="s">
        <v>2130</v>
      </c>
    </row>
    <row r="860" spans="1:4" x14ac:dyDescent="0.2">
      <c r="A860" t="s">
        <v>2011</v>
      </c>
      <c r="B860" t="s">
        <v>2131</v>
      </c>
      <c r="C860" t="s">
        <v>2132</v>
      </c>
      <c r="D860" t="s">
        <v>2132</v>
      </c>
    </row>
    <row r="861" spans="1:4" x14ac:dyDescent="0.2">
      <c r="A861" t="s">
        <v>2011</v>
      </c>
      <c r="B861" t="s">
        <v>2133</v>
      </c>
      <c r="C861" t="s">
        <v>2134</v>
      </c>
      <c r="D861" t="s">
        <v>2135</v>
      </c>
    </row>
    <row r="862" spans="1:4" x14ac:dyDescent="0.2">
      <c r="A862" t="s">
        <v>2011</v>
      </c>
      <c r="B862" t="s">
        <v>2136</v>
      </c>
      <c r="C862" t="s">
        <v>2137</v>
      </c>
      <c r="D862" t="s">
        <v>2138</v>
      </c>
    </row>
    <row r="863" spans="1:4" x14ac:dyDescent="0.2">
      <c r="A863" t="s">
        <v>2011</v>
      </c>
      <c r="B863" t="s">
        <v>2139</v>
      </c>
      <c r="C863" t="s">
        <v>2140</v>
      </c>
      <c r="D863" t="s">
        <v>2141</v>
      </c>
    </row>
    <row r="864" spans="1:4" x14ac:dyDescent="0.2">
      <c r="A864" t="s">
        <v>2011</v>
      </c>
      <c r="B864" t="s">
        <v>2142</v>
      </c>
      <c r="C864" t="s">
        <v>2143</v>
      </c>
      <c r="D864" t="s">
        <v>2144</v>
      </c>
    </row>
    <row r="865" spans="1:4" x14ac:dyDescent="0.2">
      <c r="A865" t="s">
        <v>2011</v>
      </c>
      <c r="B865" t="s">
        <v>2145</v>
      </c>
      <c r="C865" t="s">
        <v>2146</v>
      </c>
      <c r="D865" t="s">
        <v>2147</v>
      </c>
    </row>
    <row r="866" spans="1:4" x14ac:dyDescent="0.2">
      <c r="A866" t="s">
        <v>2011</v>
      </c>
      <c r="B866" t="s">
        <v>2148</v>
      </c>
      <c r="C866" t="s">
        <v>2149</v>
      </c>
      <c r="D866" t="s">
        <v>2150</v>
      </c>
    </row>
    <row r="867" spans="1:4" x14ac:dyDescent="0.2">
      <c r="A867" t="s">
        <v>2011</v>
      </c>
      <c r="B867" t="s">
        <v>2151</v>
      </c>
      <c r="C867" t="s">
        <v>2152</v>
      </c>
      <c r="D867" t="s">
        <v>2153</v>
      </c>
    </row>
    <row r="868" spans="1:4" x14ac:dyDescent="0.2">
      <c r="A868" t="s">
        <v>2011</v>
      </c>
      <c r="B868" t="s">
        <v>2154</v>
      </c>
      <c r="C868" t="s">
        <v>2155</v>
      </c>
      <c r="D868" t="s">
        <v>2156</v>
      </c>
    </row>
    <row r="869" spans="1:4" x14ac:dyDescent="0.2">
      <c r="A869" t="s">
        <v>2011</v>
      </c>
      <c r="B869" t="s">
        <v>2157</v>
      </c>
      <c r="C869" t="s">
        <v>2158</v>
      </c>
      <c r="D869" t="s">
        <v>2159</v>
      </c>
    </row>
    <row r="870" spans="1:4" x14ac:dyDescent="0.2">
      <c r="A870" t="s">
        <v>2011</v>
      </c>
      <c r="B870" t="s">
        <v>2160</v>
      </c>
      <c r="C870" t="s">
        <v>2161</v>
      </c>
      <c r="D870" t="s">
        <v>2162</v>
      </c>
    </row>
    <row r="871" spans="1:4" x14ac:dyDescent="0.2">
      <c r="A871" t="s">
        <v>2011</v>
      </c>
      <c r="B871" t="s">
        <v>2163</v>
      </c>
      <c r="C871" t="s">
        <v>2164</v>
      </c>
      <c r="D871" t="s">
        <v>2165</v>
      </c>
    </row>
    <row r="872" spans="1:4" x14ac:dyDescent="0.2">
      <c r="A872" t="s">
        <v>2011</v>
      </c>
      <c r="B872" t="s">
        <v>2166</v>
      </c>
      <c r="C872" t="s">
        <v>2167</v>
      </c>
      <c r="D872" t="s">
        <v>2168</v>
      </c>
    </row>
    <row r="873" spans="1:4" x14ac:dyDescent="0.2">
      <c r="A873" t="s">
        <v>2011</v>
      </c>
      <c r="B873" t="s">
        <v>2169</v>
      </c>
      <c r="C873" t="s">
        <v>2170</v>
      </c>
      <c r="D873" t="s">
        <v>2171</v>
      </c>
    </row>
    <row r="874" spans="1:4" x14ac:dyDescent="0.2">
      <c r="A874" t="s">
        <v>2011</v>
      </c>
      <c r="B874" t="s">
        <v>2172</v>
      </c>
      <c r="C874" t="s">
        <v>2173</v>
      </c>
      <c r="D874" t="s">
        <v>2174</v>
      </c>
    </row>
    <row r="875" spans="1:4" x14ac:dyDescent="0.2">
      <c r="A875" t="s">
        <v>2011</v>
      </c>
      <c r="B875" t="s">
        <v>2175</v>
      </c>
      <c r="C875" t="s">
        <v>2176</v>
      </c>
      <c r="D875" t="s">
        <v>2177</v>
      </c>
    </row>
    <row r="876" spans="1:4" x14ac:dyDescent="0.2">
      <c r="A876" t="s">
        <v>2011</v>
      </c>
      <c r="B876" t="s">
        <v>2178</v>
      </c>
      <c r="C876" t="s">
        <v>2179</v>
      </c>
      <c r="D876" t="s">
        <v>2180</v>
      </c>
    </row>
    <row r="877" spans="1:4" x14ac:dyDescent="0.2">
      <c r="A877" t="s">
        <v>2011</v>
      </c>
      <c r="B877" t="s">
        <v>2181</v>
      </c>
      <c r="C877" t="s">
        <v>2182</v>
      </c>
      <c r="D877" t="s">
        <v>2183</v>
      </c>
    </row>
    <row r="878" spans="1:4" x14ac:dyDescent="0.2">
      <c r="A878" t="s">
        <v>2011</v>
      </c>
      <c r="B878" t="s">
        <v>2184</v>
      </c>
      <c r="C878" t="s">
        <v>2185</v>
      </c>
      <c r="D878" t="s">
        <v>2186</v>
      </c>
    </row>
    <row r="879" spans="1:4" x14ac:dyDescent="0.2">
      <c r="A879" t="s">
        <v>2011</v>
      </c>
      <c r="B879" t="s">
        <v>2187</v>
      </c>
      <c r="C879" t="s">
        <v>2188</v>
      </c>
      <c r="D879" t="s">
        <v>2189</v>
      </c>
    </row>
    <row r="880" spans="1:4" x14ac:dyDescent="0.2">
      <c r="A880" t="s">
        <v>2011</v>
      </c>
      <c r="B880" t="s">
        <v>2190</v>
      </c>
      <c r="C880" t="s">
        <v>2191</v>
      </c>
      <c r="D880" t="s">
        <v>2191</v>
      </c>
    </row>
    <row r="881" spans="1:4" x14ac:dyDescent="0.2">
      <c r="A881" t="s">
        <v>2011</v>
      </c>
      <c r="B881" t="s">
        <v>2192</v>
      </c>
      <c r="C881" t="s">
        <v>2193</v>
      </c>
      <c r="D881" t="s">
        <v>2193</v>
      </c>
    </row>
    <row r="882" spans="1:4" x14ac:dyDescent="0.2">
      <c r="A882" t="s">
        <v>2011</v>
      </c>
      <c r="B882" t="s">
        <v>2194</v>
      </c>
      <c r="C882" t="s">
        <v>2195</v>
      </c>
      <c r="D882" t="s">
        <v>2196</v>
      </c>
    </row>
    <row r="883" spans="1:4" x14ac:dyDescent="0.2">
      <c r="A883" t="s">
        <v>2011</v>
      </c>
      <c r="B883" t="s">
        <v>2197</v>
      </c>
      <c r="C883" t="s">
        <v>2198</v>
      </c>
      <c r="D883" t="s">
        <v>2199</v>
      </c>
    </row>
    <row r="884" spans="1:4" x14ac:dyDescent="0.2">
      <c r="A884" t="s">
        <v>2011</v>
      </c>
      <c r="B884" t="s">
        <v>2200</v>
      </c>
      <c r="C884" t="s">
        <v>2201</v>
      </c>
      <c r="D884" t="s">
        <v>2202</v>
      </c>
    </row>
    <row r="885" spans="1:4" x14ac:dyDescent="0.2">
      <c r="A885" t="s">
        <v>2011</v>
      </c>
      <c r="B885" t="s">
        <v>2203</v>
      </c>
      <c r="C885" t="s">
        <v>2204</v>
      </c>
      <c r="D885" t="s">
        <v>2205</v>
      </c>
    </row>
    <row r="886" spans="1:4" x14ac:dyDescent="0.2">
      <c r="A886" t="s">
        <v>2011</v>
      </c>
      <c r="B886" t="s">
        <v>2206</v>
      </c>
      <c r="C886" t="s">
        <v>2207</v>
      </c>
      <c r="D886" t="s">
        <v>2208</v>
      </c>
    </row>
    <row r="887" spans="1:4" x14ac:dyDescent="0.2">
      <c r="A887" t="s">
        <v>2011</v>
      </c>
      <c r="B887" t="s">
        <v>2209</v>
      </c>
      <c r="C887" t="s">
        <v>2210</v>
      </c>
      <c r="D887" t="s">
        <v>2211</v>
      </c>
    </row>
    <row r="888" spans="1:4" x14ac:dyDescent="0.2">
      <c r="A888" t="s">
        <v>2011</v>
      </c>
      <c r="B888" t="s">
        <v>2212</v>
      </c>
      <c r="C888" t="s">
        <v>2213</v>
      </c>
      <c r="D888" t="s">
        <v>2214</v>
      </c>
    </row>
    <row r="889" spans="1:4" x14ac:dyDescent="0.2">
      <c r="A889" t="s">
        <v>2011</v>
      </c>
      <c r="B889" t="s">
        <v>2215</v>
      </c>
      <c r="C889" t="s">
        <v>2216</v>
      </c>
      <c r="D889" t="s">
        <v>2217</v>
      </c>
    </row>
    <row r="890" spans="1:4" x14ac:dyDescent="0.2">
      <c r="A890" t="s">
        <v>2011</v>
      </c>
      <c r="B890" t="s">
        <v>2218</v>
      </c>
      <c r="C890" t="s">
        <v>2219</v>
      </c>
      <c r="D890" t="s">
        <v>2220</v>
      </c>
    </row>
    <row r="891" spans="1:4" x14ac:dyDescent="0.2">
      <c r="A891" t="s">
        <v>2011</v>
      </c>
      <c r="B891" t="s">
        <v>2221</v>
      </c>
      <c r="C891" t="s">
        <v>2222</v>
      </c>
      <c r="D891" t="s">
        <v>2223</v>
      </c>
    </row>
    <row r="892" spans="1:4" x14ac:dyDescent="0.2">
      <c r="A892" t="s">
        <v>2011</v>
      </c>
      <c r="B892" t="s">
        <v>2224</v>
      </c>
      <c r="C892" t="s">
        <v>2225</v>
      </c>
      <c r="D892" t="s">
        <v>2226</v>
      </c>
    </row>
    <row r="893" spans="1:4" x14ac:dyDescent="0.2">
      <c r="A893" t="s">
        <v>2011</v>
      </c>
      <c r="B893" t="s">
        <v>2227</v>
      </c>
      <c r="C893" t="s">
        <v>2228</v>
      </c>
      <c r="D893" t="s">
        <v>2229</v>
      </c>
    </row>
    <row r="894" spans="1:4" x14ac:dyDescent="0.2">
      <c r="A894" t="s">
        <v>2011</v>
      </c>
      <c r="B894" t="s">
        <v>2230</v>
      </c>
      <c r="C894" t="s">
        <v>2231</v>
      </c>
      <c r="D894" t="s">
        <v>2232</v>
      </c>
    </row>
    <row r="895" spans="1:4" x14ac:dyDescent="0.2">
      <c r="A895" t="s">
        <v>2011</v>
      </c>
      <c r="B895" t="s">
        <v>2233</v>
      </c>
      <c r="C895" t="s">
        <v>2234</v>
      </c>
      <c r="D895" t="s">
        <v>2235</v>
      </c>
    </row>
    <row r="896" spans="1:4" x14ac:dyDescent="0.2">
      <c r="A896" t="s">
        <v>2011</v>
      </c>
      <c r="B896" t="s">
        <v>2236</v>
      </c>
      <c r="C896" t="s">
        <v>2237</v>
      </c>
      <c r="D896" t="s">
        <v>2238</v>
      </c>
    </row>
    <row r="897" spans="1:4" x14ac:dyDescent="0.2">
      <c r="A897" t="s">
        <v>2011</v>
      </c>
      <c r="B897" t="s">
        <v>2239</v>
      </c>
      <c r="C897" t="s">
        <v>2240</v>
      </c>
      <c r="D897" t="s">
        <v>2241</v>
      </c>
    </row>
    <row r="898" spans="1:4" x14ac:dyDescent="0.2">
      <c r="A898" t="s">
        <v>2011</v>
      </c>
      <c r="B898" t="s">
        <v>2242</v>
      </c>
      <c r="C898" t="s">
        <v>2243</v>
      </c>
      <c r="D898" t="s">
        <v>2244</v>
      </c>
    </row>
    <row r="899" spans="1:4" x14ac:dyDescent="0.2">
      <c r="A899" t="s">
        <v>2011</v>
      </c>
      <c r="B899" t="s">
        <v>2245</v>
      </c>
      <c r="C899" t="s">
        <v>2246</v>
      </c>
      <c r="D899" t="s">
        <v>2247</v>
      </c>
    </row>
    <row r="900" spans="1:4" x14ac:dyDescent="0.2">
      <c r="A900" t="s">
        <v>2011</v>
      </c>
      <c r="B900" t="s">
        <v>2248</v>
      </c>
      <c r="C900" t="s">
        <v>2249</v>
      </c>
      <c r="D900" t="s">
        <v>2250</v>
      </c>
    </row>
    <row r="901" spans="1:4" x14ac:dyDescent="0.2">
      <c r="A901" t="s">
        <v>2011</v>
      </c>
      <c r="B901" t="s">
        <v>2251</v>
      </c>
      <c r="C901" t="s">
        <v>2252</v>
      </c>
      <c r="D901" t="s">
        <v>2253</v>
      </c>
    </row>
    <row r="902" spans="1:4" x14ac:dyDescent="0.2">
      <c r="A902" t="s">
        <v>2011</v>
      </c>
      <c r="B902" t="s">
        <v>2254</v>
      </c>
      <c r="C902" t="s">
        <v>2255</v>
      </c>
      <c r="D902" t="s">
        <v>2256</v>
      </c>
    </row>
    <row r="903" spans="1:4" x14ac:dyDescent="0.2">
      <c r="A903" t="s">
        <v>2011</v>
      </c>
      <c r="B903" t="s">
        <v>2257</v>
      </c>
      <c r="C903" t="s">
        <v>2258</v>
      </c>
      <c r="D903" t="s">
        <v>2259</v>
      </c>
    </row>
    <row r="904" spans="1:4" x14ac:dyDescent="0.2">
      <c r="A904" t="s">
        <v>2011</v>
      </c>
      <c r="B904" t="s">
        <v>2260</v>
      </c>
      <c r="C904" t="s">
        <v>2261</v>
      </c>
      <c r="D904" t="s">
        <v>2262</v>
      </c>
    </row>
    <row r="905" spans="1:4" x14ac:dyDescent="0.2">
      <c r="A905" t="s">
        <v>2011</v>
      </c>
      <c r="B905" t="s">
        <v>2263</v>
      </c>
      <c r="C905" t="s">
        <v>2264</v>
      </c>
      <c r="D905" t="s">
        <v>2265</v>
      </c>
    </row>
    <row r="906" spans="1:4" x14ac:dyDescent="0.2">
      <c r="A906" t="s">
        <v>2011</v>
      </c>
      <c r="B906" t="s">
        <v>2266</v>
      </c>
      <c r="C906" t="s">
        <v>2267</v>
      </c>
      <c r="D906" t="s">
        <v>2268</v>
      </c>
    </row>
    <row r="907" spans="1:4" x14ac:dyDescent="0.2">
      <c r="A907" t="s">
        <v>2011</v>
      </c>
      <c r="B907" t="s">
        <v>2269</v>
      </c>
      <c r="C907" t="s">
        <v>2270</v>
      </c>
      <c r="D907" t="s">
        <v>2270</v>
      </c>
    </row>
    <row r="908" spans="1:4" x14ac:dyDescent="0.2">
      <c r="A908" t="s">
        <v>2011</v>
      </c>
      <c r="B908" t="s">
        <v>2271</v>
      </c>
      <c r="C908" t="s">
        <v>2272</v>
      </c>
      <c r="D908" t="s">
        <v>2273</v>
      </c>
    </row>
    <row r="909" spans="1:4" x14ac:dyDescent="0.2">
      <c r="A909" t="s">
        <v>2011</v>
      </c>
      <c r="B909" t="s">
        <v>2274</v>
      </c>
      <c r="C909" t="s">
        <v>2275</v>
      </c>
      <c r="D909" t="s">
        <v>2276</v>
      </c>
    </row>
    <row r="910" spans="1:4" x14ac:dyDescent="0.2">
      <c r="A910" t="s">
        <v>2011</v>
      </c>
      <c r="B910" t="s">
        <v>2277</v>
      </c>
      <c r="C910" t="s">
        <v>2278</v>
      </c>
      <c r="D910" t="s">
        <v>2279</v>
      </c>
    </row>
    <row r="911" spans="1:4" x14ac:dyDescent="0.2">
      <c r="A911" t="s">
        <v>2011</v>
      </c>
      <c r="B911" t="s">
        <v>2280</v>
      </c>
      <c r="C911" t="s">
        <v>2281</v>
      </c>
      <c r="D911" t="s">
        <v>2282</v>
      </c>
    </row>
    <row r="913" spans="1:4" x14ac:dyDescent="0.2">
      <c r="A913" t="s">
        <v>2283</v>
      </c>
      <c r="B913" t="s">
        <v>2012</v>
      </c>
      <c r="C913" t="s">
        <v>2013</v>
      </c>
      <c r="D913" t="s">
        <v>2014</v>
      </c>
    </row>
    <row r="914" spans="1:4" x14ac:dyDescent="0.2">
      <c r="A914" t="s">
        <v>2283</v>
      </c>
      <c r="B914" t="s">
        <v>2015</v>
      </c>
      <c r="C914" t="s">
        <v>2016</v>
      </c>
      <c r="D914" t="s">
        <v>2017</v>
      </c>
    </row>
    <row r="915" spans="1:4" x14ac:dyDescent="0.2">
      <c r="A915" t="s">
        <v>2283</v>
      </c>
      <c r="B915" t="s">
        <v>2018</v>
      </c>
      <c r="C915" t="s">
        <v>2019</v>
      </c>
      <c r="D915" t="s">
        <v>2020</v>
      </c>
    </row>
    <row r="916" spans="1:4" x14ac:dyDescent="0.2">
      <c r="A916" t="s">
        <v>2283</v>
      </c>
      <c r="B916" t="s">
        <v>2021</v>
      </c>
      <c r="C916" t="s">
        <v>2022</v>
      </c>
      <c r="D916" t="s">
        <v>2023</v>
      </c>
    </row>
    <row r="917" spans="1:4" x14ac:dyDescent="0.2">
      <c r="A917" t="s">
        <v>2283</v>
      </c>
      <c r="B917" t="s">
        <v>2024</v>
      </c>
      <c r="C917" t="s">
        <v>2025</v>
      </c>
      <c r="D917" t="s">
        <v>2026</v>
      </c>
    </row>
    <row r="918" spans="1:4" x14ac:dyDescent="0.2">
      <c r="A918" t="s">
        <v>2283</v>
      </c>
      <c r="B918" t="s">
        <v>2027</v>
      </c>
      <c r="C918" t="s">
        <v>2028</v>
      </c>
      <c r="D918" t="s">
        <v>2029</v>
      </c>
    </row>
    <row r="919" spans="1:4" x14ac:dyDescent="0.2">
      <c r="A919" t="s">
        <v>2283</v>
      </c>
      <c r="B919" t="s">
        <v>2030</v>
      </c>
      <c r="C919" t="s">
        <v>2031</v>
      </c>
      <c r="D919" t="s">
        <v>2032</v>
      </c>
    </row>
    <row r="920" spans="1:4" x14ac:dyDescent="0.2">
      <c r="A920" t="s">
        <v>2283</v>
      </c>
      <c r="B920" t="s">
        <v>2033</v>
      </c>
      <c r="C920" t="s">
        <v>2034</v>
      </c>
      <c r="D920" t="s">
        <v>2035</v>
      </c>
    </row>
    <row r="921" spans="1:4" x14ac:dyDescent="0.2">
      <c r="A921" t="s">
        <v>2283</v>
      </c>
      <c r="B921" t="s">
        <v>2036</v>
      </c>
      <c r="C921" t="s">
        <v>2037</v>
      </c>
      <c r="D921" t="s">
        <v>2038</v>
      </c>
    </row>
    <row r="922" spans="1:4" x14ac:dyDescent="0.2">
      <c r="A922" t="s">
        <v>2283</v>
      </c>
      <c r="B922" t="s">
        <v>2039</v>
      </c>
      <c r="C922" t="s">
        <v>2040</v>
      </c>
      <c r="D922" t="s">
        <v>1946</v>
      </c>
    </row>
    <row r="923" spans="1:4" x14ac:dyDescent="0.2">
      <c r="A923" t="s">
        <v>2283</v>
      </c>
      <c r="B923" t="s">
        <v>2041</v>
      </c>
      <c r="C923" t="s">
        <v>2042</v>
      </c>
      <c r="D923" t="s">
        <v>2043</v>
      </c>
    </row>
    <row r="924" spans="1:4" x14ac:dyDescent="0.2">
      <c r="A924" t="s">
        <v>2283</v>
      </c>
      <c r="B924" t="s">
        <v>2044</v>
      </c>
      <c r="C924" t="s">
        <v>2045</v>
      </c>
      <c r="D924" t="s">
        <v>2046</v>
      </c>
    </row>
    <row r="925" spans="1:4" x14ac:dyDescent="0.2">
      <c r="A925" t="s">
        <v>2283</v>
      </c>
      <c r="B925" t="s">
        <v>2047</v>
      </c>
      <c r="C925" t="s">
        <v>2048</v>
      </c>
      <c r="D925" t="s">
        <v>2049</v>
      </c>
    </row>
    <row r="926" spans="1:4" x14ac:dyDescent="0.2">
      <c r="A926" t="s">
        <v>2283</v>
      </c>
      <c r="B926" t="s">
        <v>2050</v>
      </c>
      <c r="C926" t="s">
        <v>2051</v>
      </c>
      <c r="D926" t="s">
        <v>2052</v>
      </c>
    </row>
    <row r="927" spans="1:4" x14ac:dyDescent="0.2">
      <c r="A927" t="s">
        <v>2283</v>
      </c>
      <c r="B927" t="s">
        <v>2053</v>
      </c>
      <c r="C927" t="s">
        <v>2054</v>
      </c>
      <c r="D927" t="s">
        <v>2055</v>
      </c>
    </row>
    <row r="928" spans="1:4" x14ac:dyDescent="0.2">
      <c r="A928" t="s">
        <v>2283</v>
      </c>
      <c r="B928" t="s">
        <v>2056</v>
      </c>
      <c r="C928" t="s">
        <v>2057</v>
      </c>
      <c r="D928" t="s">
        <v>2058</v>
      </c>
    </row>
    <row r="929" spans="1:4" x14ac:dyDescent="0.2">
      <c r="A929" t="s">
        <v>2283</v>
      </c>
      <c r="B929" t="s">
        <v>2059</v>
      </c>
      <c r="C929" t="s">
        <v>2060</v>
      </c>
      <c r="D929" t="s">
        <v>2061</v>
      </c>
    </row>
    <row r="930" spans="1:4" x14ac:dyDescent="0.2">
      <c r="A930" t="s">
        <v>2283</v>
      </c>
      <c r="B930" t="s">
        <v>2062</v>
      </c>
      <c r="C930" t="s">
        <v>2063</v>
      </c>
      <c r="D930" t="s">
        <v>2064</v>
      </c>
    </row>
    <row r="931" spans="1:4" x14ac:dyDescent="0.2">
      <c r="A931" t="s">
        <v>2283</v>
      </c>
      <c r="B931" t="s">
        <v>2065</v>
      </c>
      <c r="C931" t="s">
        <v>2066</v>
      </c>
      <c r="D931" t="s">
        <v>2067</v>
      </c>
    </row>
    <row r="932" spans="1:4" x14ac:dyDescent="0.2">
      <c r="A932" t="s">
        <v>2283</v>
      </c>
      <c r="B932" t="s">
        <v>2068</v>
      </c>
      <c r="C932" t="s">
        <v>2069</v>
      </c>
      <c r="D932" t="s">
        <v>2069</v>
      </c>
    </row>
    <row r="933" spans="1:4" x14ac:dyDescent="0.2">
      <c r="A933" t="s">
        <v>2283</v>
      </c>
      <c r="B933" t="s">
        <v>2070</v>
      </c>
      <c r="C933" t="s">
        <v>2071</v>
      </c>
      <c r="D933" t="s">
        <v>2072</v>
      </c>
    </row>
    <row r="934" spans="1:4" x14ac:dyDescent="0.2">
      <c r="A934" t="s">
        <v>2283</v>
      </c>
      <c r="B934" t="s">
        <v>2073</v>
      </c>
      <c r="C934" t="s">
        <v>2074</v>
      </c>
      <c r="D934" t="s">
        <v>2075</v>
      </c>
    </row>
    <row r="935" spans="1:4" x14ac:dyDescent="0.2">
      <c r="A935" t="s">
        <v>2283</v>
      </c>
      <c r="B935" t="s">
        <v>2076</v>
      </c>
      <c r="C935" t="s">
        <v>2077</v>
      </c>
      <c r="D935" t="s">
        <v>2078</v>
      </c>
    </row>
    <row r="936" spans="1:4" x14ac:dyDescent="0.2">
      <c r="A936" t="s">
        <v>2283</v>
      </c>
      <c r="B936" t="s">
        <v>2079</v>
      </c>
      <c r="C936" t="s">
        <v>2080</v>
      </c>
      <c r="D936" t="s">
        <v>2081</v>
      </c>
    </row>
    <row r="937" spans="1:4" x14ac:dyDescent="0.2">
      <c r="A937" t="s">
        <v>2283</v>
      </c>
      <c r="B937" t="s">
        <v>2082</v>
      </c>
      <c r="C937" t="s">
        <v>2083</v>
      </c>
      <c r="D937" t="s">
        <v>2084</v>
      </c>
    </row>
    <row r="938" spans="1:4" x14ac:dyDescent="0.2">
      <c r="A938" t="s">
        <v>2283</v>
      </c>
      <c r="B938" t="s">
        <v>2085</v>
      </c>
      <c r="C938" t="s">
        <v>2086</v>
      </c>
      <c r="D938" t="s">
        <v>2087</v>
      </c>
    </row>
    <row r="939" spans="1:4" x14ac:dyDescent="0.2">
      <c r="A939" t="s">
        <v>2283</v>
      </c>
      <c r="B939" t="s">
        <v>2088</v>
      </c>
      <c r="C939" t="s">
        <v>2089</v>
      </c>
      <c r="D939" t="s">
        <v>2087</v>
      </c>
    </row>
    <row r="940" spans="1:4" x14ac:dyDescent="0.2">
      <c r="A940" t="s">
        <v>2283</v>
      </c>
      <c r="B940" t="s">
        <v>2090</v>
      </c>
      <c r="C940" t="s">
        <v>2091</v>
      </c>
      <c r="D940" t="s">
        <v>2092</v>
      </c>
    </row>
    <row r="941" spans="1:4" x14ac:dyDescent="0.2">
      <c r="A941" t="s">
        <v>2283</v>
      </c>
      <c r="B941" t="s">
        <v>2093</v>
      </c>
      <c r="C941" t="s">
        <v>2094</v>
      </c>
      <c r="D941" t="s">
        <v>2095</v>
      </c>
    </row>
    <row r="942" spans="1:4" x14ac:dyDescent="0.2">
      <c r="A942" t="s">
        <v>2283</v>
      </c>
      <c r="B942" t="s">
        <v>2096</v>
      </c>
      <c r="C942" t="s">
        <v>2097</v>
      </c>
      <c r="D942" t="s">
        <v>2098</v>
      </c>
    </row>
    <row r="943" spans="1:4" x14ac:dyDescent="0.2">
      <c r="A943" t="s">
        <v>2283</v>
      </c>
      <c r="B943" t="s">
        <v>2099</v>
      </c>
      <c r="C943" t="s">
        <v>2100</v>
      </c>
      <c r="D943" t="s">
        <v>2101</v>
      </c>
    </row>
    <row r="944" spans="1:4" x14ac:dyDescent="0.2">
      <c r="A944" t="s">
        <v>2283</v>
      </c>
      <c r="B944" t="s">
        <v>2102</v>
      </c>
      <c r="C944" t="s">
        <v>2103</v>
      </c>
      <c r="D944" t="s">
        <v>2104</v>
      </c>
    </row>
    <row r="945" spans="1:4" x14ac:dyDescent="0.2">
      <c r="A945" t="s">
        <v>2283</v>
      </c>
      <c r="B945" t="s">
        <v>2105</v>
      </c>
      <c r="C945" t="s">
        <v>2106</v>
      </c>
      <c r="D945" t="s">
        <v>2106</v>
      </c>
    </row>
    <row r="946" spans="1:4" x14ac:dyDescent="0.2">
      <c r="A946" t="s">
        <v>2283</v>
      </c>
      <c r="B946" t="s">
        <v>2107</v>
      </c>
      <c r="C946" t="s">
        <v>2108</v>
      </c>
      <c r="D946" t="s">
        <v>2109</v>
      </c>
    </row>
    <row r="947" spans="1:4" x14ac:dyDescent="0.2">
      <c r="A947" t="s">
        <v>2283</v>
      </c>
      <c r="B947" t="s">
        <v>2110</v>
      </c>
      <c r="C947" t="s">
        <v>2111</v>
      </c>
      <c r="D947" t="s">
        <v>2112</v>
      </c>
    </row>
    <row r="948" spans="1:4" x14ac:dyDescent="0.2">
      <c r="A948" t="s">
        <v>2283</v>
      </c>
      <c r="B948" t="s">
        <v>2113</v>
      </c>
      <c r="C948" t="s">
        <v>2114</v>
      </c>
      <c r="D948" t="s">
        <v>2115</v>
      </c>
    </row>
    <row r="949" spans="1:4" x14ac:dyDescent="0.2">
      <c r="A949" t="s">
        <v>2283</v>
      </c>
      <c r="B949" t="s">
        <v>2116</v>
      </c>
      <c r="C949" t="s">
        <v>2117</v>
      </c>
      <c r="D949" t="s">
        <v>2118</v>
      </c>
    </row>
    <row r="950" spans="1:4" x14ac:dyDescent="0.2">
      <c r="A950" t="s">
        <v>2283</v>
      </c>
      <c r="B950" t="s">
        <v>2119</v>
      </c>
      <c r="C950" t="s">
        <v>2120</v>
      </c>
      <c r="D950" t="s">
        <v>2121</v>
      </c>
    </row>
    <row r="951" spans="1:4" x14ac:dyDescent="0.2">
      <c r="A951" t="s">
        <v>2283</v>
      </c>
      <c r="B951" t="s">
        <v>2122</v>
      </c>
      <c r="C951" t="s">
        <v>2123</v>
      </c>
      <c r="D951" t="s">
        <v>2124</v>
      </c>
    </row>
    <row r="952" spans="1:4" x14ac:dyDescent="0.2">
      <c r="A952" t="s">
        <v>2283</v>
      </c>
      <c r="B952" t="s">
        <v>2125</v>
      </c>
      <c r="C952" t="s">
        <v>2126</v>
      </c>
      <c r="D952" t="s">
        <v>2127</v>
      </c>
    </row>
    <row r="953" spans="1:4" x14ac:dyDescent="0.2">
      <c r="A953" t="s">
        <v>2283</v>
      </c>
      <c r="B953" t="s">
        <v>2128</v>
      </c>
      <c r="C953" t="s">
        <v>2129</v>
      </c>
      <c r="D953" t="s">
        <v>2130</v>
      </c>
    </row>
    <row r="954" spans="1:4" x14ac:dyDescent="0.2">
      <c r="A954" t="s">
        <v>2283</v>
      </c>
      <c r="B954" t="s">
        <v>2131</v>
      </c>
      <c r="C954" t="s">
        <v>2132</v>
      </c>
      <c r="D954" t="s">
        <v>2132</v>
      </c>
    </row>
    <row r="955" spans="1:4" x14ac:dyDescent="0.2">
      <c r="A955" t="s">
        <v>2283</v>
      </c>
      <c r="B955" t="s">
        <v>2133</v>
      </c>
      <c r="C955" t="s">
        <v>2134</v>
      </c>
      <c r="D955" t="s">
        <v>2135</v>
      </c>
    </row>
    <row r="956" spans="1:4" x14ac:dyDescent="0.2">
      <c r="A956" t="s">
        <v>2283</v>
      </c>
      <c r="B956" t="s">
        <v>2136</v>
      </c>
      <c r="C956" t="s">
        <v>2137</v>
      </c>
      <c r="D956" t="s">
        <v>2138</v>
      </c>
    </row>
    <row r="957" spans="1:4" x14ac:dyDescent="0.2">
      <c r="A957" t="s">
        <v>2283</v>
      </c>
      <c r="B957" t="s">
        <v>2139</v>
      </c>
      <c r="C957" t="s">
        <v>2140</v>
      </c>
      <c r="D957" t="s">
        <v>2141</v>
      </c>
    </row>
    <row r="958" spans="1:4" x14ac:dyDescent="0.2">
      <c r="A958" t="s">
        <v>2283</v>
      </c>
      <c r="B958" t="s">
        <v>2142</v>
      </c>
      <c r="C958" t="s">
        <v>2143</v>
      </c>
      <c r="D958" t="s">
        <v>2144</v>
      </c>
    </row>
    <row r="959" spans="1:4" x14ac:dyDescent="0.2">
      <c r="A959" t="s">
        <v>2283</v>
      </c>
      <c r="B959" t="s">
        <v>2145</v>
      </c>
      <c r="C959" t="s">
        <v>2146</v>
      </c>
      <c r="D959" t="s">
        <v>2147</v>
      </c>
    </row>
    <row r="960" spans="1:4" x14ac:dyDescent="0.2">
      <c r="A960" t="s">
        <v>2283</v>
      </c>
      <c r="B960" t="s">
        <v>2148</v>
      </c>
      <c r="C960" t="s">
        <v>2149</v>
      </c>
      <c r="D960" t="s">
        <v>2150</v>
      </c>
    </row>
    <row r="961" spans="1:4" x14ac:dyDescent="0.2">
      <c r="A961" t="s">
        <v>2283</v>
      </c>
      <c r="B961" t="s">
        <v>2151</v>
      </c>
      <c r="C961" t="s">
        <v>2152</v>
      </c>
      <c r="D961" t="s">
        <v>2153</v>
      </c>
    </row>
    <row r="962" spans="1:4" x14ac:dyDescent="0.2">
      <c r="A962" t="s">
        <v>2283</v>
      </c>
      <c r="B962" t="s">
        <v>2154</v>
      </c>
      <c r="C962" t="s">
        <v>2155</v>
      </c>
      <c r="D962" t="s">
        <v>2156</v>
      </c>
    </row>
    <row r="963" spans="1:4" x14ac:dyDescent="0.2">
      <c r="A963" t="s">
        <v>2283</v>
      </c>
      <c r="B963" t="s">
        <v>2157</v>
      </c>
      <c r="C963" t="s">
        <v>2158</v>
      </c>
      <c r="D963" t="s">
        <v>2159</v>
      </c>
    </row>
    <row r="964" spans="1:4" x14ac:dyDescent="0.2">
      <c r="A964" t="s">
        <v>2283</v>
      </c>
      <c r="B964" t="s">
        <v>2160</v>
      </c>
      <c r="C964" t="s">
        <v>2161</v>
      </c>
      <c r="D964" t="s">
        <v>2162</v>
      </c>
    </row>
    <row r="965" spans="1:4" x14ac:dyDescent="0.2">
      <c r="A965" t="s">
        <v>2283</v>
      </c>
      <c r="B965" t="s">
        <v>2163</v>
      </c>
      <c r="C965" t="s">
        <v>2164</v>
      </c>
      <c r="D965" t="s">
        <v>2165</v>
      </c>
    </row>
    <row r="966" spans="1:4" x14ac:dyDescent="0.2">
      <c r="A966" t="s">
        <v>2283</v>
      </c>
      <c r="B966" t="s">
        <v>2166</v>
      </c>
      <c r="C966" t="s">
        <v>2167</v>
      </c>
      <c r="D966" t="s">
        <v>2168</v>
      </c>
    </row>
    <row r="967" spans="1:4" x14ac:dyDescent="0.2">
      <c r="A967" t="s">
        <v>2283</v>
      </c>
      <c r="B967" t="s">
        <v>2169</v>
      </c>
      <c r="C967" t="s">
        <v>2170</v>
      </c>
      <c r="D967" t="s">
        <v>2171</v>
      </c>
    </row>
    <row r="968" spans="1:4" x14ac:dyDescent="0.2">
      <c r="A968" t="s">
        <v>2283</v>
      </c>
      <c r="B968" t="s">
        <v>2172</v>
      </c>
      <c r="C968" t="s">
        <v>2173</v>
      </c>
      <c r="D968" t="s">
        <v>2174</v>
      </c>
    </row>
    <row r="969" spans="1:4" x14ac:dyDescent="0.2">
      <c r="A969" t="s">
        <v>2283</v>
      </c>
      <c r="B969" t="s">
        <v>2175</v>
      </c>
      <c r="C969" t="s">
        <v>2176</v>
      </c>
      <c r="D969" t="s">
        <v>2177</v>
      </c>
    </row>
    <row r="970" spans="1:4" x14ac:dyDescent="0.2">
      <c r="A970" t="s">
        <v>2283</v>
      </c>
      <c r="B970" t="s">
        <v>2178</v>
      </c>
      <c r="C970" t="s">
        <v>2179</v>
      </c>
      <c r="D970" t="s">
        <v>2180</v>
      </c>
    </row>
    <row r="971" spans="1:4" x14ac:dyDescent="0.2">
      <c r="A971" t="s">
        <v>2283</v>
      </c>
      <c r="B971" t="s">
        <v>2181</v>
      </c>
      <c r="C971" t="s">
        <v>2182</v>
      </c>
      <c r="D971" t="s">
        <v>2183</v>
      </c>
    </row>
    <row r="972" spans="1:4" x14ac:dyDescent="0.2">
      <c r="A972" t="s">
        <v>2283</v>
      </c>
      <c r="B972" t="s">
        <v>2184</v>
      </c>
      <c r="C972" t="s">
        <v>2185</v>
      </c>
      <c r="D972" t="s">
        <v>2186</v>
      </c>
    </row>
    <row r="973" spans="1:4" x14ac:dyDescent="0.2">
      <c r="A973" t="s">
        <v>2283</v>
      </c>
      <c r="B973" t="s">
        <v>2187</v>
      </c>
      <c r="C973" t="s">
        <v>2188</v>
      </c>
      <c r="D973" t="s">
        <v>2189</v>
      </c>
    </row>
    <row r="974" spans="1:4" x14ac:dyDescent="0.2">
      <c r="A974" t="s">
        <v>2283</v>
      </c>
      <c r="B974" t="s">
        <v>2190</v>
      </c>
      <c r="C974" t="s">
        <v>2191</v>
      </c>
      <c r="D974" t="s">
        <v>2191</v>
      </c>
    </row>
    <row r="975" spans="1:4" x14ac:dyDescent="0.2">
      <c r="A975" t="s">
        <v>2283</v>
      </c>
      <c r="B975" t="s">
        <v>2192</v>
      </c>
      <c r="C975" t="s">
        <v>2193</v>
      </c>
      <c r="D975" t="s">
        <v>2193</v>
      </c>
    </row>
    <row r="976" spans="1:4" x14ac:dyDescent="0.2">
      <c r="A976" t="s">
        <v>2283</v>
      </c>
      <c r="B976" t="s">
        <v>2194</v>
      </c>
      <c r="C976" t="s">
        <v>2195</v>
      </c>
      <c r="D976" t="s">
        <v>2196</v>
      </c>
    </row>
    <row r="977" spans="1:4" x14ac:dyDescent="0.2">
      <c r="A977" t="s">
        <v>2283</v>
      </c>
      <c r="B977" t="s">
        <v>2197</v>
      </c>
      <c r="C977" t="s">
        <v>2198</v>
      </c>
      <c r="D977" t="s">
        <v>2199</v>
      </c>
    </row>
    <row r="978" spans="1:4" x14ac:dyDescent="0.2">
      <c r="A978" t="s">
        <v>2283</v>
      </c>
      <c r="B978" t="s">
        <v>2200</v>
      </c>
      <c r="C978" t="s">
        <v>2201</v>
      </c>
      <c r="D978" t="s">
        <v>2202</v>
      </c>
    </row>
    <row r="979" spans="1:4" x14ac:dyDescent="0.2">
      <c r="A979" t="s">
        <v>2283</v>
      </c>
      <c r="B979" t="s">
        <v>2203</v>
      </c>
      <c r="C979" t="s">
        <v>2204</v>
      </c>
      <c r="D979" t="s">
        <v>2205</v>
      </c>
    </row>
    <row r="980" spans="1:4" x14ac:dyDescent="0.2">
      <c r="A980" t="s">
        <v>2283</v>
      </c>
      <c r="B980" t="s">
        <v>2206</v>
      </c>
      <c r="C980" t="s">
        <v>2207</v>
      </c>
      <c r="D980" t="s">
        <v>2208</v>
      </c>
    </row>
    <row r="981" spans="1:4" x14ac:dyDescent="0.2">
      <c r="A981" t="s">
        <v>2283</v>
      </c>
      <c r="B981" t="s">
        <v>2209</v>
      </c>
      <c r="C981" t="s">
        <v>2210</v>
      </c>
      <c r="D981" t="s">
        <v>2211</v>
      </c>
    </row>
    <row r="982" spans="1:4" x14ac:dyDescent="0.2">
      <c r="A982" t="s">
        <v>2283</v>
      </c>
      <c r="B982" t="s">
        <v>2212</v>
      </c>
      <c r="C982" t="s">
        <v>2213</v>
      </c>
      <c r="D982" t="s">
        <v>2214</v>
      </c>
    </row>
    <row r="983" spans="1:4" x14ac:dyDescent="0.2">
      <c r="A983" t="s">
        <v>2283</v>
      </c>
      <c r="B983" t="s">
        <v>2215</v>
      </c>
      <c r="C983" t="s">
        <v>2216</v>
      </c>
      <c r="D983" t="s">
        <v>2217</v>
      </c>
    </row>
    <row r="984" spans="1:4" x14ac:dyDescent="0.2">
      <c r="A984" t="s">
        <v>2283</v>
      </c>
      <c r="B984" t="s">
        <v>2218</v>
      </c>
      <c r="C984" t="s">
        <v>2219</v>
      </c>
      <c r="D984" t="s">
        <v>2220</v>
      </c>
    </row>
    <row r="985" spans="1:4" x14ac:dyDescent="0.2">
      <c r="A985" t="s">
        <v>2283</v>
      </c>
      <c r="B985" t="s">
        <v>2221</v>
      </c>
      <c r="C985" t="s">
        <v>2222</v>
      </c>
      <c r="D985" t="s">
        <v>2223</v>
      </c>
    </row>
    <row r="986" spans="1:4" x14ac:dyDescent="0.2">
      <c r="A986" t="s">
        <v>2283</v>
      </c>
      <c r="B986" t="s">
        <v>2224</v>
      </c>
      <c r="C986" t="s">
        <v>2225</v>
      </c>
      <c r="D986" t="s">
        <v>2226</v>
      </c>
    </row>
    <row r="987" spans="1:4" x14ac:dyDescent="0.2">
      <c r="A987" t="s">
        <v>2283</v>
      </c>
      <c r="B987" t="s">
        <v>2227</v>
      </c>
      <c r="C987" t="s">
        <v>2228</v>
      </c>
      <c r="D987" t="s">
        <v>2229</v>
      </c>
    </row>
    <row r="988" spans="1:4" x14ac:dyDescent="0.2">
      <c r="A988" t="s">
        <v>2283</v>
      </c>
      <c r="B988" t="s">
        <v>2230</v>
      </c>
      <c r="C988" t="s">
        <v>2231</v>
      </c>
      <c r="D988" t="s">
        <v>2232</v>
      </c>
    </row>
    <row r="989" spans="1:4" x14ac:dyDescent="0.2">
      <c r="A989" t="s">
        <v>2283</v>
      </c>
      <c r="B989" t="s">
        <v>2233</v>
      </c>
      <c r="C989" t="s">
        <v>2234</v>
      </c>
      <c r="D989" t="s">
        <v>2235</v>
      </c>
    </row>
    <row r="990" spans="1:4" x14ac:dyDescent="0.2">
      <c r="A990" t="s">
        <v>2283</v>
      </c>
      <c r="B990" t="s">
        <v>2236</v>
      </c>
      <c r="C990" t="s">
        <v>2237</v>
      </c>
      <c r="D990" t="s">
        <v>2238</v>
      </c>
    </row>
    <row r="991" spans="1:4" x14ac:dyDescent="0.2">
      <c r="A991" t="s">
        <v>2283</v>
      </c>
      <c r="B991" t="s">
        <v>2239</v>
      </c>
      <c r="C991" t="s">
        <v>2240</v>
      </c>
      <c r="D991" t="s">
        <v>2241</v>
      </c>
    </row>
    <row r="992" spans="1:4" x14ac:dyDescent="0.2">
      <c r="A992" t="s">
        <v>2283</v>
      </c>
      <c r="B992" t="s">
        <v>2242</v>
      </c>
      <c r="C992" t="s">
        <v>2243</v>
      </c>
      <c r="D992" t="s">
        <v>2244</v>
      </c>
    </row>
    <row r="993" spans="1:4" x14ac:dyDescent="0.2">
      <c r="A993" t="s">
        <v>2283</v>
      </c>
      <c r="B993" t="s">
        <v>2245</v>
      </c>
      <c r="C993" t="s">
        <v>2246</v>
      </c>
      <c r="D993" t="s">
        <v>2247</v>
      </c>
    </row>
    <row r="994" spans="1:4" x14ac:dyDescent="0.2">
      <c r="A994" t="s">
        <v>2283</v>
      </c>
      <c r="B994" t="s">
        <v>2248</v>
      </c>
      <c r="C994" t="s">
        <v>2249</v>
      </c>
      <c r="D994" t="s">
        <v>2250</v>
      </c>
    </row>
    <row r="995" spans="1:4" x14ac:dyDescent="0.2">
      <c r="A995" t="s">
        <v>2283</v>
      </c>
      <c r="B995" t="s">
        <v>2251</v>
      </c>
      <c r="C995" t="s">
        <v>2252</v>
      </c>
      <c r="D995" t="s">
        <v>2253</v>
      </c>
    </row>
    <row r="996" spans="1:4" x14ac:dyDescent="0.2">
      <c r="A996" t="s">
        <v>2283</v>
      </c>
      <c r="B996" t="s">
        <v>2254</v>
      </c>
      <c r="C996" t="s">
        <v>2255</v>
      </c>
      <c r="D996" t="s">
        <v>2256</v>
      </c>
    </row>
    <row r="997" spans="1:4" x14ac:dyDescent="0.2">
      <c r="A997" t="s">
        <v>2283</v>
      </c>
      <c r="B997" t="s">
        <v>2257</v>
      </c>
      <c r="C997" t="s">
        <v>2258</v>
      </c>
      <c r="D997" t="s">
        <v>2259</v>
      </c>
    </row>
    <row r="998" spans="1:4" x14ac:dyDescent="0.2">
      <c r="A998" t="s">
        <v>2283</v>
      </c>
      <c r="B998" t="s">
        <v>2260</v>
      </c>
      <c r="C998" t="s">
        <v>2261</v>
      </c>
      <c r="D998" t="s">
        <v>2262</v>
      </c>
    </row>
    <row r="999" spans="1:4" x14ac:dyDescent="0.2">
      <c r="A999" t="s">
        <v>2283</v>
      </c>
      <c r="B999" t="s">
        <v>2263</v>
      </c>
      <c r="C999" t="s">
        <v>2264</v>
      </c>
      <c r="D999" t="s">
        <v>2265</v>
      </c>
    </row>
    <row r="1000" spans="1:4" x14ac:dyDescent="0.2">
      <c r="A1000" t="s">
        <v>2283</v>
      </c>
      <c r="B1000" t="s">
        <v>2266</v>
      </c>
      <c r="C1000" t="s">
        <v>2267</v>
      </c>
      <c r="D1000" t="s">
        <v>2268</v>
      </c>
    </row>
    <row r="1001" spans="1:4" x14ac:dyDescent="0.2">
      <c r="A1001" t="s">
        <v>2283</v>
      </c>
      <c r="B1001" t="s">
        <v>2269</v>
      </c>
      <c r="C1001" t="s">
        <v>2270</v>
      </c>
      <c r="D1001" t="s">
        <v>2270</v>
      </c>
    </row>
    <row r="1002" spans="1:4" x14ac:dyDescent="0.2">
      <c r="A1002" t="s">
        <v>2283</v>
      </c>
      <c r="B1002" t="s">
        <v>2271</v>
      </c>
      <c r="C1002" t="s">
        <v>2272</v>
      </c>
      <c r="D1002" t="s">
        <v>2273</v>
      </c>
    </row>
    <row r="1003" spans="1:4" x14ac:dyDescent="0.2">
      <c r="A1003" t="s">
        <v>2283</v>
      </c>
      <c r="B1003" t="s">
        <v>2284</v>
      </c>
      <c r="C1003" t="s">
        <v>2285</v>
      </c>
      <c r="D1003" t="s">
        <v>2286</v>
      </c>
    </row>
    <row r="1004" spans="1:4" x14ac:dyDescent="0.2">
      <c r="A1004" t="s">
        <v>2283</v>
      </c>
      <c r="B1004" t="s">
        <v>2277</v>
      </c>
      <c r="C1004" t="s">
        <v>2278</v>
      </c>
      <c r="D1004" t="s">
        <v>2279</v>
      </c>
    </row>
    <row r="1005" spans="1:4" x14ac:dyDescent="0.2">
      <c r="A1005" t="s">
        <v>2283</v>
      </c>
      <c r="B1005" t="s">
        <v>2280</v>
      </c>
      <c r="C1005" t="s">
        <v>2281</v>
      </c>
      <c r="D1005" t="s">
        <v>2282</v>
      </c>
    </row>
    <row r="1007" spans="1:4" x14ac:dyDescent="0.2">
      <c r="A1007" t="s">
        <v>2287</v>
      </c>
      <c r="B1007" t="s">
        <v>2012</v>
      </c>
      <c r="C1007" t="s">
        <v>2013</v>
      </c>
      <c r="D1007" t="s">
        <v>2014</v>
      </c>
    </row>
    <row r="1008" spans="1:4" x14ac:dyDescent="0.2">
      <c r="A1008" t="s">
        <v>2287</v>
      </c>
      <c r="B1008" t="s">
        <v>2015</v>
      </c>
      <c r="C1008" t="s">
        <v>2016</v>
      </c>
      <c r="D1008" t="s">
        <v>2017</v>
      </c>
    </row>
    <row r="1009" spans="1:4" x14ac:dyDescent="0.2">
      <c r="A1009" t="s">
        <v>2287</v>
      </c>
      <c r="B1009" t="s">
        <v>2018</v>
      </c>
      <c r="C1009" t="s">
        <v>2019</v>
      </c>
      <c r="D1009" t="s">
        <v>2020</v>
      </c>
    </row>
    <row r="1010" spans="1:4" x14ac:dyDescent="0.2">
      <c r="A1010" t="s">
        <v>2287</v>
      </c>
      <c r="B1010" t="s">
        <v>2021</v>
      </c>
      <c r="C1010" t="s">
        <v>2022</v>
      </c>
      <c r="D1010" t="s">
        <v>2023</v>
      </c>
    </row>
    <row r="1011" spans="1:4" x14ac:dyDescent="0.2">
      <c r="A1011" t="s">
        <v>2287</v>
      </c>
      <c r="B1011" t="s">
        <v>2024</v>
      </c>
      <c r="C1011" t="s">
        <v>2025</v>
      </c>
      <c r="D1011" t="s">
        <v>2026</v>
      </c>
    </row>
    <row r="1012" spans="1:4" x14ac:dyDescent="0.2">
      <c r="A1012" t="s">
        <v>2287</v>
      </c>
      <c r="B1012" t="s">
        <v>2027</v>
      </c>
      <c r="C1012" t="s">
        <v>2028</v>
      </c>
      <c r="D1012" t="s">
        <v>2029</v>
      </c>
    </row>
    <row r="1013" spans="1:4" x14ac:dyDescent="0.2">
      <c r="A1013" t="s">
        <v>2287</v>
      </c>
      <c r="B1013" t="s">
        <v>2030</v>
      </c>
      <c r="C1013" t="s">
        <v>2031</v>
      </c>
      <c r="D1013" t="s">
        <v>2032</v>
      </c>
    </row>
    <row r="1014" spans="1:4" x14ac:dyDescent="0.2">
      <c r="A1014" t="s">
        <v>2287</v>
      </c>
      <c r="B1014" t="s">
        <v>2033</v>
      </c>
      <c r="C1014" t="s">
        <v>2034</v>
      </c>
      <c r="D1014" t="s">
        <v>2035</v>
      </c>
    </row>
    <row r="1015" spans="1:4" x14ac:dyDescent="0.2">
      <c r="A1015" t="s">
        <v>2287</v>
      </c>
      <c r="B1015" t="s">
        <v>2036</v>
      </c>
      <c r="C1015" t="s">
        <v>2037</v>
      </c>
      <c r="D1015" t="s">
        <v>2038</v>
      </c>
    </row>
    <row r="1016" spans="1:4" x14ac:dyDescent="0.2">
      <c r="A1016" t="s">
        <v>2287</v>
      </c>
      <c r="B1016" t="s">
        <v>2039</v>
      </c>
      <c r="C1016" t="s">
        <v>2040</v>
      </c>
      <c r="D1016" t="s">
        <v>1946</v>
      </c>
    </row>
    <row r="1017" spans="1:4" x14ac:dyDescent="0.2">
      <c r="A1017" t="s">
        <v>2287</v>
      </c>
      <c r="B1017" t="s">
        <v>2041</v>
      </c>
      <c r="C1017" t="s">
        <v>2042</v>
      </c>
      <c r="D1017" t="s">
        <v>2043</v>
      </c>
    </row>
    <row r="1018" spans="1:4" x14ac:dyDescent="0.2">
      <c r="A1018" t="s">
        <v>2287</v>
      </c>
      <c r="B1018" t="s">
        <v>2044</v>
      </c>
      <c r="C1018" t="s">
        <v>2045</v>
      </c>
      <c r="D1018" t="s">
        <v>2046</v>
      </c>
    </row>
    <row r="1019" spans="1:4" x14ac:dyDescent="0.2">
      <c r="A1019" t="s">
        <v>2287</v>
      </c>
      <c r="B1019" t="s">
        <v>2047</v>
      </c>
      <c r="C1019" t="s">
        <v>2048</v>
      </c>
      <c r="D1019" t="s">
        <v>2049</v>
      </c>
    </row>
    <row r="1020" spans="1:4" x14ac:dyDescent="0.2">
      <c r="A1020" t="s">
        <v>2287</v>
      </c>
      <c r="B1020" t="s">
        <v>2050</v>
      </c>
      <c r="C1020" t="s">
        <v>2051</v>
      </c>
      <c r="D1020" t="s">
        <v>2052</v>
      </c>
    </row>
    <row r="1021" spans="1:4" x14ac:dyDescent="0.2">
      <c r="A1021" t="s">
        <v>2287</v>
      </c>
      <c r="B1021" t="s">
        <v>2053</v>
      </c>
      <c r="C1021" t="s">
        <v>2054</v>
      </c>
      <c r="D1021" t="s">
        <v>2055</v>
      </c>
    </row>
    <row r="1022" spans="1:4" x14ac:dyDescent="0.2">
      <c r="A1022" t="s">
        <v>2287</v>
      </c>
      <c r="B1022" t="s">
        <v>2056</v>
      </c>
      <c r="C1022" t="s">
        <v>2057</v>
      </c>
      <c r="D1022" t="s">
        <v>2058</v>
      </c>
    </row>
    <row r="1023" spans="1:4" x14ac:dyDescent="0.2">
      <c r="A1023" t="s">
        <v>2287</v>
      </c>
      <c r="B1023" t="s">
        <v>2059</v>
      </c>
      <c r="C1023" t="s">
        <v>2060</v>
      </c>
      <c r="D1023" t="s">
        <v>2061</v>
      </c>
    </row>
    <row r="1024" spans="1:4" x14ac:dyDescent="0.2">
      <c r="A1024" t="s">
        <v>2287</v>
      </c>
      <c r="B1024" t="s">
        <v>2062</v>
      </c>
      <c r="C1024" t="s">
        <v>2063</v>
      </c>
      <c r="D1024" t="s">
        <v>2064</v>
      </c>
    </row>
    <row r="1025" spans="1:4" x14ac:dyDescent="0.2">
      <c r="A1025" t="s">
        <v>2287</v>
      </c>
      <c r="B1025" t="s">
        <v>2065</v>
      </c>
      <c r="C1025" t="s">
        <v>2066</v>
      </c>
      <c r="D1025" t="s">
        <v>2067</v>
      </c>
    </row>
    <row r="1026" spans="1:4" x14ac:dyDescent="0.2">
      <c r="A1026" t="s">
        <v>2287</v>
      </c>
      <c r="B1026" t="s">
        <v>2068</v>
      </c>
      <c r="C1026" t="s">
        <v>2069</v>
      </c>
      <c r="D1026" t="s">
        <v>2069</v>
      </c>
    </row>
    <row r="1027" spans="1:4" x14ac:dyDescent="0.2">
      <c r="A1027" t="s">
        <v>2287</v>
      </c>
      <c r="B1027" t="s">
        <v>2070</v>
      </c>
      <c r="C1027" t="s">
        <v>2071</v>
      </c>
      <c r="D1027" t="s">
        <v>2072</v>
      </c>
    </row>
    <row r="1028" spans="1:4" x14ac:dyDescent="0.2">
      <c r="A1028" t="s">
        <v>2287</v>
      </c>
      <c r="B1028" t="s">
        <v>2073</v>
      </c>
      <c r="C1028" t="s">
        <v>2074</v>
      </c>
      <c r="D1028" t="s">
        <v>2075</v>
      </c>
    </row>
    <row r="1029" spans="1:4" x14ac:dyDescent="0.2">
      <c r="A1029" t="s">
        <v>2287</v>
      </c>
      <c r="B1029" t="s">
        <v>2076</v>
      </c>
      <c r="C1029" t="s">
        <v>2077</v>
      </c>
      <c r="D1029" t="s">
        <v>2078</v>
      </c>
    </row>
    <row r="1030" spans="1:4" x14ac:dyDescent="0.2">
      <c r="A1030" t="s">
        <v>2287</v>
      </c>
      <c r="B1030" t="s">
        <v>2079</v>
      </c>
      <c r="C1030" t="s">
        <v>2080</v>
      </c>
      <c r="D1030" t="s">
        <v>2081</v>
      </c>
    </row>
    <row r="1031" spans="1:4" x14ac:dyDescent="0.2">
      <c r="A1031" t="s">
        <v>2287</v>
      </c>
      <c r="B1031" t="s">
        <v>2082</v>
      </c>
      <c r="C1031" t="s">
        <v>2083</v>
      </c>
      <c r="D1031" t="s">
        <v>2084</v>
      </c>
    </row>
    <row r="1032" spans="1:4" x14ac:dyDescent="0.2">
      <c r="A1032" t="s">
        <v>2287</v>
      </c>
      <c r="B1032" t="s">
        <v>2085</v>
      </c>
      <c r="C1032" t="s">
        <v>2086</v>
      </c>
      <c r="D1032" t="s">
        <v>2087</v>
      </c>
    </row>
    <row r="1033" spans="1:4" x14ac:dyDescent="0.2">
      <c r="A1033" t="s">
        <v>2287</v>
      </c>
      <c r="B1033" t="s">
        <v>2088</v>
      </c>
      <c r="C1033" t="s">
        <v>2089</v>
      </c>
      <c r="D1033" t="s">
        <v>2087</v>
      </c>
    </row>
    <row r="1034" spans="1:4" x14ac:dyDescent="0.2">
      <c r="A1034" t="s">
        <v>2287</v>
      </c>
      <c r="B1034" t="s">
        <v>2090</v>
      </c>
      <c r="C1034" t="s">
        <v>2091</v>
      </c>
      <c r="D1034" t="s">
        <v>2092</v>
      </c>
    </row>
    <row r="1035" spans="1:4" x14ac:dyDescent="0.2">
      <c r="A1035" t="s">
        <v>2287</v>
      </c>
      <c r="B1035" t="s">
        <v>2093</v>
      </c>
      <c r="C1035" t="s">
        <v>2094</v>
      </c>
      <c r="D1035" t="s">
        <v>2095</v>
      </c>
    </row>
    <row r="1036" spans="1:4" x14ac:dyDescent="0.2">
      <c r="A1036" t="s">
        <v>2287</v>
      </c>
      <c r="B1036" t="s">
        <v>2096</v>
      </c>
      <c r="C1036" t="s">
        <v>2097</v>
      </c>
      <c r="D1036" t="s">
        <v>2098</v>
      </c>
    </row>
    <row r="1037" spans="1:4" x14ac:dyDescent="0.2">
      <c r="A1037" t="s">
        <v>2287</v>
      </c>
      <c r="B1037" t="s">
        <v>2099</v>
      </c>
      <c r="C1037" t="s">
        <v>2100</v>
      </c>
      <c r="D1037" t="s">
        <v>2101</v>
      </c>
    </row>
    <row r="1038" spans="1:4" x14ac:dyDescent="0.2">
      <c r="A1038" t="s">
        <v>2287</v>
      </c>
      <c r="B1038" t="s">
        <v>2102</v>
      </c>
      <c r="C1038" t="s">
        <v>2103</v>
      </c>
      <c r="D1038" t="s">
        <v>2104</v>
      </c>
    </row>
    <row r="1039" spans="1:4" x14ac:dyDescent="0.2">
      <c r="A1039" t="s">
        <v>2287</v>
      </c>
      <c r="B1039" t="s">
        <v>2105</v>
      </c>
      <c r="C1039" t="s">
        <v>2106</v>
      </c>
      <c r="D1039" t="s">
        <v>2106</v>
      </c>
    </row>
    <row r="1040" spans="1:4" x14ac:dyDescent="0.2">
      <c r="A1040" t="s">
        <v>2287</v>
      </c>
      <c r="B1040" t="s">
        <v>2107</v>
      </c>
      <c r="C1040" t="s">
        <v>2108</v>
      </c>
      <c r="D1040" t="s">
        <v>2109</v>
      </c>
    </row>
    <row r="1041" spans="1:4" x14ac:dyDescent="0.2">
      <c r="A1041" t="s">
        <v>2287</v>
      </c>
      <c r="B1041" t="s">
        <v>2110</v>
      </c>
      <c r="C1041" t="s">
        <v>2111</v>
      </c>
      <c r="D1041" t="s">
        <v>2112</v>
      </c>
    </row>
    <row r="1042" spans="1:4" x14ac:dyDescent="0.2">
      <c r="A1042" t="s">
        <v>2287</v>
      </c>
      <c r="B1042" t="s">
        <v>2113</v>
      </c>
      <c r="C1042" t="s">
        <v>2114</v>
      </c>
      <c r="D1042" t="s">
        <v>2115</v>
      </c>
    </row>
    <row r="1043" spans="1:4" x14ac:dyDescent="0.2">
      <c r="A1043" t="s">
        <v>2287</v>
      </c>
      <c r="B1043" t="s">
        <v>2116</v>
      </c>
      <c r="C1043" t="s">
        <v>2117</v>
      </c>
      <c r="D1043" t="s">
        <v>2118</v>
      </c>
    </row>
    <row r="1044" spans="1:4" x14ac:dyDescent="0.2">
      <c r="A1044" t="s">
        <v>2287</v>
      </c>
      <c r="B1044" t="s">
        <v>2119</v>
      </c>
      <c r="C1044" t="s">
        <v>2120</v>
      </c>
      <c r="D1044" t="s">
        <v>2121</v>
      </c>
    </row>
    <row r="1045" spans="1:4" x14ac:dyDescent="0.2">
      <c r="A1045" t="s">
        <v>2287</v>
      </c>
      <c r="B1045" t="s">
        <v>2122</v>
      </c>
      <c r="C1045" t="s">
        <v>2123</v>
      </c>
      <c r="D1045" t="s">
        <v>2124</v>
      </c>
    </row>
    <row r="1046" spans="1:4" x14ac:dyDescent="0.2">
      <c r="A1046" t="s">
        <v>2287</v>
      </c>
      <c r="B1046" t="s">
        <v>2125</v>
      </c>
      <c r="C1046" t="s">
        <v>2126</v>
      </c>
      <c r="D1046" t="s">
        <v>2127</v>
      </c>
    </row>
    <row r="1047" spans="1:4" x14ac:dyDescent="0.2">
      <c r="A1047" t="s">
        <v>2287</v>
      </c>
      <c r="B1047" t="s">
        <v>2128</v>
      </c>
      <c r="C1047" t="s">
        <v>2129</v>
      </c>
      <c r="D1047" t="s">
        <v>2130</v>
      </c>
    </row>
    <row r="1048" spans="1:4" x14ac:dyDescent="0.2">
      <c r="A1048" t="s">
        <v>2287</v>
      </c>
      <c r="B1048" t="s">
        <v>2131</v>
      </c>
      <c r="C1048" t="s">
        <v>2132</v>
      </c>
      <c r="D1048" t="s">
        <v>2132</v>
      </c>
    </row>
    <row r="1049" spans="1:4" x14ac:dyDescent="0.2">
      <c r="A1049" t="s">
        <v>2287</v>
      </c>
      <c r="B1049" t="s">
        <v>2133</v>
      </c>
      <c r="C1049" t="s">
        <v>2134</v>
      </c>
      <c r="D1049" t="s">
        <v>2135</v>
      </c>
    </row>
    <row r="1050" spans="1:4" x14ac:dyDescent="0.2">
      <c r="A1050" t="s">
        <v>2287</v>
      </c>
      <c r="B1050" t="s">
        <v>2136</v>
      </c>
      <c r="C1050" t="s">
        <v>2137</v>
      </c>
      <c r="D1050" t="s">
        <v>2138</v>
      </c>
    </row>
    <row r="1051" spans="1:4" x14ac:dyDescent="0.2">
      <c r="A1051" t="s">
        <v>2287</v>
      </c>
      <c r="B1051" t="s">
        <v>2139</v>
      </c>
      <c r="C1051" t="s">
        <v>2140</v>
      </c>
      <c r="D1051" t="s">
        <v>2141</v>
      </c>
    </row>
    <row r="1052" spans="1:4" x14ac:dyDescent="0.2">
      <c r="A1052" t="s">
        <v>2287</v>
      </c>
      <c r="B1052" t="s">
        <v>2142</v>
      </c>
      <c r="C1052" t="s">
        <v>2143</v>
      </c>
      <c r="D1052" t="s">
        <v>2144</v>
      </c>
    </row>
    <row r="1053" spans="1:4" x14ac:dyDescent="0.2">
      <c r="A1053" t="s">
        <v>2287</v>
      </c>
      <c r="B1053" t="s">
        <v>2145</v>
      </c>
      <c r="C1053" t="s">
        <v>2146</v>
      </c>
      <c r="D1053" t="s">
        <v>2147</v>
      </c>
    </row>
    <row r="1054" spans="1:4" x14ac:dyDescent="0.2">
      <c r="A1054" t="s">
        <v>2287</v>
      </c>
      <c r="B1054" t="s">
        <v>2148</v>
      </c>
      <c r="C1054" t="s">
        <v>2149</v>
      </c>
      <c r="D1054" t="s">
        <v>2150</v>
      </c>
    </row>
    <row r="1055" spans="1:4" x14ac:dyDescent="0.2">
      <c r="A1055" t="s">
        <v>2287</v>
      </c>
      <c r="B1055" t="s">
        <v>2151</v>
      </c>
      <c r="C1055" t="s">
        <v>2152</v>
      </c>
      <c r="D1055" t="s">
        <v>2153</v>
      </c>
    </row>
    <row r="1056" spans="1:4" x14ac:dyDescent="0.2">
      <c r="A1056" t="s">
        <v>2287</v>
      </c>
      <c r="B1056" t="s">
        <v>2154</v>
      </c>
      <c r="C1056" t="s">
        <v>2155</v>
      </c>
      <c r="D1056" t="s">
        <v>2156</v>
      </c>
    </row>
    <row r="1057" spans="1:4" x14ac:dyDescent="0.2">
      <c r="A1057" t="s">
        <v>2287</v>
      </c>
      <c r="B1057" t="s">
        <v>2157</v>
      </c>
      <c r="C1057" t="s">
        <v>2158</v>
      </c>
      <c r="D1057" t="s">
        <v>2159</v>
      </c>
    </row>
    <row r="1058" spans="1:4" x14ac:dyDescent="0.2">
      <c r="A1058" t="s">
        <v>2287</v>
      </c>
      <c r="B1058" t="s">
        <v>2160</v>
      </c>
      <c r="C1058" t="s">
        <v>2161</v>
      </c>
      <c r="D1058" t="s">
        <v>2162</v>
      </c>
    </row>
    <row r="1059" spans="1:4" x14ac:dyDescent="0.2">
      <c r="A1059" t="s">
        <v>2287</v>
      </c>
      <c r="B1059" t="s">
        <v>2163</v>
      </c>
      <c r="C1059" t="s">
        <v>2164</v>
      </c>
      <c r="D1059" t="s">
        <v>2165</v>
      </c>
    </row>
    <row r="1060" spans="1:4" x14ac:dyDescent="0.2">
      <c r="A1060" t="s">
        <v>2287</v>
      </c>
      <c r="B1060" t="s">
        <v>2166</v>
      </c>
      <c r="C1060" t="s">
        <v>2167</v>
      </c>
      <c r="D1060" t="s">
        <v>2168</v>
      </c>
    </row>
    <row r="1061" spans="1:4" x14ac:dyDescent="0.2">
      <c r="A1061" t="s">
        <v>2287</v>
      </c>
      <c r="B1061" t="s">
        <v>2169</v>
      </c>
      <c r="C1061" t="s">
        <v>2170</v>
      </c>
      <c r="D1061" t="s">
        <v>2171</v>
      </c>
    </row>
    <row r="1062" spans="1:4" x14ac:dyDescent="0.2">
      <c r="A1062" t="s">
        <v>2287</v>
      </c>
      <c r="B1062" t="s">
        <v>2172</v>
      </c>
      <c r="C1062" t="s">
        <v>2173</v>
      </c>
      <c r="D1062" t="s">
        <v>2174</v>
      </c>
    </row>
    <row r="1063" spans="1:4" x14ac:dyDescent="0.2">
      <c r="A1063" t="s">
        <v>2287</v>
      </c>
      <c r="B1063" t="s">
        <v>2175</v>
      </c>
      <c r="C1063" t="s">
        <v>2176</v>
      </c>
      <c r="D1063" t="s">
        <v>2177</v>
      </c>
    </row>
    <row r="1064" spans="1:4" x14ac:dyDescent="0.2">
      <c r="A1064" t="s">
        <v>2287</v>
      </c>
      <c r="B1064" t="s">
        <v>2178</v>
      </c>
      <c r="C1064" t="s">
        <v>2179</v>
      </c>
      <c r="D1064" t="s">
        <v>2180</v>
      </c>
    </row>
    <row r="1065" spans="1:4" x14ac:dyDescent="0.2">
      <c r="A1065" t="s">
        <v>2287</v>
      </c>
      <c r="B1065" t="s">
        <v>2181</v>
      </c>
      <c r="C1065" t="s">
        <v>2182</v>
      </c>
      <c r="D1065" t="s">
        <v>2183</v>
      </c>
    </row>
    <row r="1066" spans="1:4" x14ac:dyDescent="0.2">
      <c r="A1066" t="s">
        <v>2287</v>
      </c>
      <c r="B1066" t="s">
        <v>2184</v>
      </c>
      <c r="C1066" t="s">
        <v>2185</v>
      </c>
      <c r="D1066" t="s">
        <v>2186</v>
      </c>
    </row>
    <row r="1067" spans="1:4" x14ac:dyDescent="0.2">
      <c r="A1067" t="s">
        <v>2287</v>
      </c>
      <c r="B1067" t="s">
        <v>2187</v>
      </c>
      <c r="C1067" t="s">
        <v>2188</v>
      </c>
      <c r="D1067" t="s">
        <v>2189</v>
      </c>
    </row>
    <row r="1068" spans="1:4" x14ac:dyDescent="0.2">
      <c r="A1068" t="s">
        <v>2287</v>
      </c>
      <c r="B1068" t="s">
        <v>2190</v>
      </c>
      <c r="C1068" t="s">
        <v>2191</v>
      </c>
      <c r="D1068" t="s">
        <v>2191</v>
      </c>
    </row>
    <row r="1069" spans="1:4" x14ac:dyDescent="0.2">
      <c r="A1069" t="s">
        <v>2287</v>
      </c>
      <c r="B1069" t="s">
        <v>2192</v>
      </c>
      <c r="C1069" t="s">
        <v>2193</v>
      </c>
      <c r="D1069" t="s">
        <v>2193</v>
      </c>
    </row>
    <row r="1070" spans="1:4" x14ac:dyDescent="0.2">
      <c r="A1070" t="s">
        <v>2287</v>
      </c>
      <c r="B1070" t="s">
        <v>2194</v>
      </c>
      <c r="C1070" t="s">
        <v>2195</v>
      </c>
      <c r="D1070" t="s">
        <v>2196</v>
      </c>
    </row>
    <row r="1071" spans="1:4" x14ac:dyDescent="0.2">
      <c r="A1071" t="s">
        <v>2287</v>
      </c>
      <c r="B1071" t="s">
        <v>2197</v>
      </c>
      <c r="C1071" t="s">
        <v>2198</v>
      </c>
      <c r="D1071" t="s">
        <v>2199</v>
      </c>
    </row>
    <row r="1072" spans="1:4" x14ac:dyDescent="0.2">
      <c r="A1072" t="s">
        <v>2287</v>
      </c>
      <c r="B1072" t="s">
        <v>2200</v>
      </c>
      <c r="C1072" t="s">
        <v>2201</v>
      </c>
      <c r="D1072" t="s">
        <v>2202</v>
      </c>
    </row>
    <row r="1073" spans="1:4" x14ac:dyDescent="0.2">
      <c r="A1073" t="s">
        <v>2287</v>
      </c>
      <c r="B1073" t="s">
        <v>2203</v>
      </c>
      <c r="C1073" t="s">
        <v>2204</v>
      </c>
      <c r="D1073" t="s">
        <v>2205</v>
      </c>
    </row>
    <row r="1074" spans="1:4" x14ac:dyDescent="0.2">
      <c r="A1074" t="s">
        <v>2287</v>
      </c>
      <c r="B1074" t="s">
        <v>2206</v>
      </c>
      <c r="C1074" t="s">
        <v>2207</v>
      </c>
      <c r="D1074" t="s">
        <v>2208</v>
      </c>
    </row>
    <row r="1075" spans="1:4" x14ac:dyDescent="0.2">
      <c r="A1075" t="s">
        <v>2287</v>
      </c>
      <c r="B1075" t="s">
        <v>2209</v>
      </c>
      <c r="C1075" t="s">
        <v>2210</v>
      </c>
      <c r="D1075" t="s">
        <v>2211</v>
      </c>
    </row>
    <row r="1076" spans="1:4" x14ac:dyDescent="0.2">
      <c r="A1076" t="s">
        <v>2287</v>
      </c>
      <c r="B1076" t="s">
        <v>2212</v>
      </c>
      <c r="C1076" t="s">
        <v>2213</v>
      </c>
      <c r="D1076" t="s">
        <v>2214</v>
      </c>
    </row>
    <row r="1077" spans="1:4" x14ac:dyDescent="0.2">
      <c r="A1077" t="s">
        <v>2287</v>
      </c>
      <c r="B1077" t="s">
        <v>2215</v>
      </c>
      <c r="C1077" t="s">
        <v>2216</v>
      </c>
      <c r="D1077" t="s">
        <v>2217</v>
      </c>
    </row>
    <row r="1078" spans="1:4" x14ac:dyDescent="0.2">
      <c r="A1078" t="s">
        <v>2287</v>
      </c>
      <c r="B1078" t="s">
        <v>2218</v>
      </c>
      <c r="C1078" t="s">
        <v>2219</v>
      </c>
      <c r="D1078" t="s">
        <v>2220</v>
      </c>
    </row>
    <row r="1079" spans="1:4" x14ac:dyDescent="0.2">
      <c r="A1079" t="s">
        <v>2287</v>
      </c>
      <c r="B1079" t="s">
        <v>2221</v>
      </c>
      <c r="C1079" t="s">
        <v>2222</v>
      </c>
      <c r="D1079" t="s">
        <v>2223</v>
      </c>
    </row>
    <row r="1080" spans="1:4" x14ac:dyDescent="0.2">
      <c r="A1080" t="s">
        <v>2287</v>
      </c>
      <c r="B1080" t="s">
        <v>2224</v>
      </c>
      <c r="C1080" t="s">
        <v>2225</v>
      </c>
      <c r="D1080" t="s">
        <v>2226</v>
      </c>
    </row>
    <row r="1081" spans="1:4" x14ac:dyDescent="0.2">
      <c r="A1081" t="s">
        <v>2287</v>
      </c>
      <c r="B1081" t="s">
        <v>2227</v>
      </c>
      <c r="C1081" t="s">
        <v>2228</v>
      </c>
      <c r="D1081" t="s">
        <v>2229</v>
      </c>
    </row>
    <row r="1082" spans="1:4" x14ac:dyDescent="0.2">
      <c r="A1082" t="s">
        <v>2287</v>
      </c>
      <c r="B1082" t="s">
        <v>2230</v>
      </c>
      <c r="C1082" t="s">
        <v>2231</v>
      </c>
      <c r="D1082" t="s">
        <v>2232</v>
      </c>
    </row>
    <row r="1083" spans="1:4" x14ac:dyDescent="0.2">
      <c r="A1083" t="s">
        <v>2287</v>
      </c>
      <c r="B1083" t="s">
        <v>2233</v>
      </c>
      <c r="C1083" t="s">
        <v>2234</v>
      </c>
      <c r="D1083" t="s">
        <v>2235</v>
      </c>
    </row>
    <row r="1084" spans="1:4" x14ac:dyDescent="0.2">
      <c r="A1084" t="s">
        <v>2287</v>
      </c>
      <c r="B1084" t="s">
        <v>2236</v>
      </c>
      <c r="C1084" t="s">
        <v>2237</v>
      </c>
      <c r="D1084" t="s">
        <v>2238</v>
      </c>
    </row>
    <row r="1085" spans="1:4" x14ac:dyDescent="0.2">
      <c r="A1085" t="s">
        <v>2287</v>
      </c>
      <c r="B1085" t="s">
        <v>2239</v>
      </c>
      <c r="C1085" t="s">
        <v>2240</v>
      </c>
      <c r="D1085" t="s">
        <v>2241</v>
      </c>
    </row>
    <row r="1086" spans="1:4" x14ac:dyDescent="0.2">
      <c r="A1086" t="s">
        <v>2287</v>
      </c>
      <c r="B1086" t="s">
        <v>2242</v>
      </c>
      <c r="C1086" t="s">
        <v>2243</v>
      </c>
      <c r="D1086" t="s">
        <v>2244</v>
      </c>
    </row>
    <row r="1087" spans="1:4" x14ac:dyDescent="0.2">
      <c r="A1087" t="s">
        <v>2287</v>
      </c>
      <c r="B1087" t="s">
        <v>2245</v>
      </c>
      <c r="C1087" t="s">
        <v>2246</v>
      </c>
      <c r="D1087" t="s">
        <v>2247</v>
      </c>
    </row>
    <row r="1088" spans="1:4" x14ac:dyDescent="0.2">
      <c r="A1088" t="s">
        <v>2287</v>
      </c>
      <c r="B1088" t="s">
        <v>2248</v>
      </c>
      <c r="C1088" t="s">
        <v>2249</v>
      </c>
      <c r="D1088" t="s">
        <v>2250</v>
      </c>
    </row>
    <row r="1089" spans="1:4" x14ac:dyDescent="0.2">
      <c r="A1089" t="s">
        <v>2287</v>
      </c>
      <c r="B1089" t="s">
        <v>2251</v>
      </c>
      <c r="C1089" t="s">
        <v>2252</v>
      </c>
      <c r="D1089" t="s">
        <v>2253</v>
      </c>
    </row>
    <row r="1090" spans="1:4" x14ac:dyDescent="0.2">
      <c r="A1090" t="s">
        <v>2287</v>
      </c>
      <c r="B1090" t="s">
        <v>2254</v>
      </c>
      <c r="C1090" t="s">
        <v>2255</v>
      </c>
      <c r="D1090" t="s">
        <v>2256</v>
      </c>
    </row>
    <row r="1091" spans="1:4" x14ac:dyDescent="0.2">
      <c r="A1091" t="s">
        <v>2287</v>
      </c>
      <c r="B1091" t="s">
        <v>2257</v>
      </c>
      <c r="C1091" t="s">
        <v>2258</v>
      </c>
      <c r="D1091" t="s">
        <v>2259</v>
      </c>
    </row>
    <row r="1092" spans="1:4" x14ac:dyDescent="0.2">
      <c r="A1092" t="s">
        <v>2287</v>
      </c>
      <c r="B1092" t="s">
        <v>2260</v>
      </c>
      <c r="C1092" t="s">
        <v>2261</v>
      </c>
      <c r="D1092" t="s">
        <v>2262</v>
      </c>
    </row>
    <row r="1093" spans="1:4" x14ac:dyDescent="0.2">
      <c r="A1093" t="s">
        <v>2287</v>
      </c>
      <c r="B1093" t="s">
        <v>2263</v>
      </c>
      <c r="C1093" t="s">
        <v>2264</v>
      </c>
      <c r="D1093" t="s">
        <v>2265</v>
      </c>
    </row>
    <row r="1094" spans="1:4" x14ac:dyDescent="0.2">
      <c r="A1094" t="s">
        <v>2287</v>
      </c>
      <c r="B1094" t="s">
        <v>2266</v>
      </c>
      <c r="C1094" t="s">
        <v>2267</v>
      </c>
      <c r="D1094" t="s">
        <v>2268</v>
      </c>
    </row>
    <row r="1095" spans="1:4" x14ac:dyDescent="0.2">
      <c r="A1095" t="s">
        <v>2287</v>
      </c>
      <c r="B1095" t="s">
        <v>2269</v>
      </c>
      <c r="C1095" t="s">
        <v>2270</v>
      </c>
      <c r="D1095" t="s">
        <v>2270</v>
      </c>
    </row>
    <row r="1096" spans="1:4" x14ac:dyDescent="0.2">
      <c r="A1096" t="s">
        <v>2287</v>
      </c>
      <c r="B1096" t="s">
        <v>2271</v>
      </c>
      <c r="C1096" t="s">
        <v>2272</v>
      </c>
      <c r="D1096" t="s">
        <v>2273</v>
      </c>
    </row>
    <row r="1097" spans="1:4" x14ac:dyDescent="0.2">
      <c r="A1097" t="s">
        <v>2287</v>
      </c>
      <c r="B1097" t="s">
        <v>2277</v>
      </c>
      <c r="C1097" t="s">
        <v>2278</v>
      </c>
      <c r="D1097" t="s">
        <v>2279</v>
      </c>
    </row>
    <row r="1098" spans="1:4" x14ac:dyDescent="0.2">
      <c r="A1098" t="s">
        <v>2287</v>
      </c>
      <c r="B1098" t="s">
        <v>2280</v>
      </c>
      <c r="C1098" t="s">
        <v>2281</v>
      </c>
      <c r="D1098" t="s">
        <v>2282</v>
      </c>
    </row>
    <row r="1100" spans="1:4" x14ac:dyDescent="0.2">
      <c r="A1100" t="s">
        <v>2288</v>
      </c>
      <c r="B1100" t="s">
        <v>2289</v>
      </c>
      <c r="C1100" t="s">
        <v>2290</v>
      </c>
      <c r="D1100" t="s">
        <v>2290</v>
      </c>
    </row>
    <row r="1101" spans="1:4" x14ac:dyDescent="0.2">
      <c r="A1101" t="s">
        <v>2288</v>
      </c>
      <c r="B1101" t="s">
        <v>2291</v>
      </c>
      <c r="C1101" t="s">
        <v>2292</v>
      </c>
      <c r="D1101" t="s">
        <v>2292</v>
      </c>
    </row>
    <row r="1102" spans="1:4" x14ac:dyDescent="0.2">
      <c r="A1102" t="s">
        <v>2288</v>
      </c>
      <c r="B1102" t="s">
        <v>2293</v>
      </c>
      <c r="C1102" t="s">
        <v>2294</v>
      </c>
      <c r="D1102" t="s">
        <v>2294</v>
      </c>
    </row>
    <row r="1103" spans="1:4" x14ac:dyDescent="0.2">
      <c r="A1103" t="s">
        <v>2288</v>
      </c>
      <c r="B1103" t="s">
        <v>2295</v>
      </c>
      <c r="C1103" t="s">
        <v>2296</v>
      </c>
      <c r="D1103" t="s">
        <v>2296</v>
      </c>
    </row>
    <row r="1104" spans="1:4" x14ac:dyDescent="0.2">
      <c r="A1104" t="s">
        <v>2288</v>
      </c>
      <c r="B1104" t="s">
        <v>2297</v>
      </c>
      <c r="C1104" t="s">
        <v>2298</v>
      </c>
      <c r="D1104" t="s">
        <v>2298</v>
      </c>
    </row>
    <row r="1105" spans="1:4" x14ac:dyDescent="0.2">
      <c r="A1105" t="s">
        <v>2288</v>
      </c>
      <c r="B1105" t="s">
        <v>2299</v>
      </c>
      <c r="C1105" t="s">
        <v>2300</v>
      </c>
      <c r="D1105" t="s">
        <v>2300</v>
      </c>
    </row>
    <row r="1106" spans="1:4" x14ac:dyDescent="0.2">
      <c r="A1106" t="s">
        <v>2288</v>
      </c>
      <c r="B1106" t="s">
        <v>2301</v>
      </c>
      <c r="C1106" t="s">
        <v>2302</v>
      </c>
      <c r="D1106" t="s">
        <v>2302</v>
      </c>
    </row>
    <row r="1107" spans="1:4" x14ac:dyDescent="0.2">
      <c r="A1107" t="s">
        <v>2288</v>
      </c>
      <c r="B1107" t="s">
        <v>2303</v>
      </c>
      <c r="C1107" t="s">
        <v>2304</v>
      </c>
      <c r="D1107" t="s">
        <v>2304</v>
      </c>
    </row>
    <row r="1108" spans="1:4" x14ac:dyDescent="0.2">
      <c r="A1108" t="s">
        <v>2288</v>
      </c>
      <c r="B1108" t="s">
        <v>2305</v>
      </c>
      <c r="C1108" t="s">
        <v>2306</v>
      </c>
      <c r="D1108" t="s">
        <v>2306</v>
      </c>
    </row>
    <row r="1109" spans="1:4" x14ac:dyDescent="0.2">
      <c r="A1109" t="s">
        <v>2288</v>
      </c>
      <c r="B1109" t="s">
        <v>2307</v>
      </c>
      <c r="C1109" t="s">
        <v>2308</v>
      </c>
      <c r="D1109" t="s">
        <v>2308</v>
      </c>
    </row>
    <row r="1110" spans="1:4" x14ac:dyDescent="0.2">
      <c r="A1110" t="s">
        <v>2288</v>
      </c>
      <c r="B1110" t="s">
        <v>2309</v>
      </c>
      <c r="C1110" t="s">
        <v>2310</v>
      </c>
      <c r="D1110" t="s">
        <v>2310</v>
      </c>
    </row>
    <row r="1111" spans="1:4" x14ac:dyDescent="0.2">
      <c r="A1111" t="s">
        <v>2288</v>
      </c>
      <c r="B1111" t="s">
        <v>2311</v>
      </c>
      <c r="C1111" t="s">
        <v>2312</v>
      </c>
      <c r="D1111" t="s">
        <v>2312</v>
      </c>
    </row>
    <row r="1112" spans="1:4" x14ac:dyDescent="0.2">
      <c r="A1112" t="s">
        <v>2288</v>
      </c>
      <c r="B1112" t="s">
        <v>2313</v>
      </c>
      <c r="C1112" t="s">
        <v>2314</v>
      </c>
      <c r="D1112" t="s">
        <v>2314</v>
      </c>
    </row>
    <row r="1113" spans="1:4" x14ac:dyDescent="0.2">
      <c r="A1113" t="s">
        <v>2288</v>
      </c>
      <c r="B1113" t="s">
        <v>2315</v>
      </c>
      <c r="C1113" t="s">
        <v>2316</v>
      </c>
      <c r="D1113" t="s">
        <v>2316</v>
      </c>
    </row>
    <row r="1114" spans="1:4" x14ac:dyDescent="0.2">
      <c r="A1114" t="s">
        <v>2288</v>
      </c>
      <c r="B1114" t="s">
        <v>2317</v>
      </c>
      <c r="C1114" t="s">
        <v>2318</v>
      </c>
      <c r="D1114" t="s">
        <v>2318</v>
      </c>
    </row>
    <row r="1115" spans="1:4" x14ac:dyDescent="0.2">
      <c r="A1115" t="s">
        <v>2288</v>
      </c>
      <c r="B1115" t="s">
        <v>2319</v>
      </c>
      <c r="C1115" t="s">
        <v>2320</v>
      </c>
      <c r="D1115" t="s">
        <v>2320</v>
      </c>
    </row>
    <row r="1116" spans="1:4" x14ac:dyDescent="0.2">
      <c r="A1116" t="s">
        <v>2288</v>
      </c>
      <c r="B1116" t="s">
        <v>2321</v>
      </c>
      <c r="C1116" t="s">
        <v>2322</v>
      </c>
      <c r="D1116" t="s">
        <v>2322</v>
      </c>
    </row>
    <row r="1117" spans="1:4" x14ac:dyDescent="0.2">
      <c r="A1117" t="s">
        <v>2288</v>
      </c>
      <c r="B1117" t="s">
        <v>2323</v>
      </c>
      <c r="C1117" t="s">
        <v>2324</v>
      </c>
      <c r="D1117" t="s">
        <v>2324</v>
      </c>
    </row>
    <row r="1118" spans="1:4" x14ac:dyDescent="0.2">
      <c r="A1118" t="s">
        <v>2288</v>
      </c>
      <c r="B1118" t="s">
        <v>2325</v>
      </c>
      <c r="C1118" t="s">
        <v>2326</v>
      </c>
      <c r="D1118" t="s">
        <v>2326</v>
      </c>
    </row>
    <row r="1119" spans="1:4" x14ac:dyDescent="0.2">
      <c r="A1119" t="s">
        <v>2288</v>
      </c>
      <c r="B1119" t="s">
        <v>2327</v>
      </c>
      <c r="C1119" t="s">
        <v>2328</v>
      </c>
      <c r="D1119" t="s">
        <v>2328</v>
      </c>
    </row>
    <row r="1120" spans="1:4" x14ac:dyDescent="0.2">
      <c r="A1120" t="s">
        <v>2288</v>
      </c>
      <c r="B1120" t="s">
        <v>2329</v>
      </c>
      <c r="C1120" t="s">
        <v>2330</v>
      </c>
      <c r="D1120" t="s">
        <v>2330</v>
      </c>
    </row>
    <row r="1121" spans="1:6" x14ac:dyDescent="0.2">
      <c r="A1121" t="s">
        <v>2288</v>
      </c>
      <c r="B1121" t="s">
        <v>2331</v>
      </c>
      <c r="C1121" t="s">
        <v>2332</v>
      </c>
      <c r="D1121" t="s">
        <v>2332</v>
      </c>
    </row>
    <row r="1123" spans="1:6" x14ac:dyDescent="0.2">
      <c r="A1123" t="s">
        <v>2333</v>
      </c>
      <c r="B1123" t="s">
        <v>2334</v>
      </c>
      <c r="C1123" t="s">
        <v>2335</v>
      </c>
      <c r="D1123" t="s">
        <v>2335</v>
      </c>
      <c r="F1123" t="s">
        <v>2289</v>
      </c>
    </row>
    <row r="1124" spans="1:6" x14ac:dyDescent="0.2">
      <c r="A1124" t="s">
        <v>2333</v>
      </c>
      <c r="B1124" t="s">
        <v>2336</v>
      </c>
      <c r="C1124" t="s">
        <v>2337</v>
      </c>
      <c r="D1124" t="s">
        <v>2337</v>
      </c>
      <c r="F1124" t="s">
        <v>2289</v>
      </c>
    </row>
    <row r="1125" spans="1:6" x14ac:dyDescent="0.2">
      <c r="A1125" t="s">
        <v>2333</v>
      </c>
      <c r="B1125" t="s">
        <v>2338</v>
      </c>
      <c r="C1125" t="s">
        <v>2339</v>
      </c>
      <c r="D1125" t="s">
        <v>2339</v>
      </c>
      <c r="F1125" t="s">
        <v>2289</v>
      </c>
    </row>
    <row r="1126" spans="1:6" x14ac:dyDescent="0.2">
      <c r="A1126" t="s">
        <v>2333</v>
      </c>
      <c r="B1126" t="s">
        <v>2340</v>
      </c>
      <c r="C1126" t="s">
        <v>2341</v>
      </c>
      <c r="D1126" t="s">
        <v>2341</v>
      </c>
      <c r="F1126" t="s">
        <v>2289</v>
      </c>
    </row>
    <row r="1127" spans="1:6" x14ac:dyDescent="0.2">
      <c r="A1127" t="s">
        <v>2333</v>
      </c>
      <c r="B1127" t="s">
        <v>2342</v>
      </c>
      <c r="C1127" t="s">
        <v>2343</v>
      </c>
      <c r="D1127" t="s">
        <v>2343</v>
      </c>
      <c r="F1127" t="s">
        <v>2289</v>
      </c>
    </row>
    <row r="1128" spans="1:6" x14ac:dyDescent="0.2">
      <c r="A1128" t="s">
        <v>2333</v>
      </c>
      <c r="B1128" t="s">
        <v>2344</v>
      </c>
      <c r="C1128" t="s">
        <v>2345</v>
      </c>
      <c r="D1128" t="s">
        <v>2345</v>
      </c>
      <c r="F1128" t="s">
        <v>2289</v>
      </c>
    </row>
    <row r="1129" spans="1:6" x14ac:dyDescent="0.2">
      <c r="A1129" t="s">
        <v>2333</v>
      </c>
      <c r="B1129" t="s">
        <v>2346</v>
      </c>
      <c r="C1129" t="s">
        <v>2347</v>
      </c>
      <c r="D1129" t="s">
        <v>2347</v>
      </c>
      <c r="F1129" t="s">
        <v>2289</v>
      </c>
    </row>
    <row r="1130" spans="1:6" x14ac:dyDescent="0.2">
      <c r="A1130" t="s">
        <v>2333</v>
      </c>
      <c r="B1130" t="s">
        <v>2348</v>
      </c>
      <c r="C1130" t="s">
        <v>2349</v>
      </c>
      <c r="D1130" t="s">
        <v>2349</v>
      </c>
      <c r="F1130" t="s">
        <v>2289</v>
      </c>
    </row>
    <row r="1131" spans="1:6" x14ac:dyDescent="0.2">
      <c r="A1131" t="s">
        <v>2333</v>
      </c>
      <c r="B1131" t="s">
        <v>2350</v>
      </c>
      <c r="C1131" t="s">
        <v>2351</v>
      </c>
      <c r="D1131" t="s">
        <v>2351</v>
      </c>
      <c r="F1131" t="s">
        <v>2289</v>
      </c>
    </row>
    <row r="1132" spans="1:6" x14ac:dyDescent="0.2">
      <c r="A1132" t="s">
        <v>2333</v>
      </c>
      <c r="B1132" t="s">
        <v>2352</v>
      </c>
      <c r="C1132" t="s">
        <v>2353</v>
      </c>
      <c r="D1132" t="s">
        <v>2353</v>
      </c>
      <c r="F1132" t="s">
        <v>2289</v>
      </c>
    </row>
    <row r="1133" spans="1:6" x14ac:dyDescent="0.2">
      <c r="A1133" t="s">
        <v>2333</v>
      </c>
      <c r="B1133" t="s">
        <v>2354</v>
      </c>
      <c r="C1133" t="s">
        <v>2355</v>
      </c>
      <c r="D1133" t="s">
        <v>2355</v>
      </c>
      <c r="F1133" t="s">
        <v>2289</v>
      </c>
    </row>
    <row r="1134" spans="1:6" x14ac:dyDescent="0.2">
      <c r="A1134" t="s">
        <v>2333</v>
      </c>
      <c r="B1134" t="s">
        <v>2356</v>
      </c>
      <c r="C1134" t="s">
        <v>2357</v>
      </c>
      <c r="D1134" t="s">
        <v>2357</v>
      </c>
      <c r="F1134" t="s">
        <v>2289</v>
      </c>
    </row>
    <row r="1135" spans="1:6" x14ac:dyDescent="0.2">
      <c r="A1135" t="s">
        <v>2333</v>
      </c>
      <c r="B1135" t="s">
        <v>2358</v>
      </c>
      <c r="C1135" t="s">
        <v>2359</v>
      </c>
      <c r="D1135" t="s">
        <v>2359</v>
      </c>
      <c r="F1135" t="s">
        <v>2289</v>
      </c>
    </row>
    <row r="1136" spans="1:6" x14ac:dyDescent="0.2">
      <c r="A1136" t="s">
        <v>2333</v>
      </c>
      <c r="B1136" t="s">
        <v>2360</v>
      </c>
      <c r="C1136" t="s">
        <v>2361</v>
      </c>
      <c r="D1136" t="s">
        <v>2361</v>
      </c>
      <c r="F1136" t="s">
        <v>2289</v>
      </c>
    </row>
    <row r="1137" spans="1:6" x14ac:dyDescent="0.2">
      <c r="A1137" t="s">
        <v>2333</v>
      </c>
      <c r="B1137" t="s">
        <v>2362</v>
      </c>
      <c r="C1137" t="s">
        <v>2363</v>
      </c>
      <c r="D1137" t="s">
        <v>2363</v>
      </c>
      <c r="F1137" t="s">
        <v>2289</v>
      </c>
    </row>
    <row r="1138" spans="1:6" x14ac:dyDescent="0.2">
      <c r="A1138" t="s">
        <v>2333</v>
      </c>
      <c r="B1138" t="s">
        <v>2364</v>
      </c>
      <c r="C1138" t="s">
        <v>2365</v>
      </c>
      <c r="D1138" t="s">
        <v>2365</v>
      </c>
      <c r="F1138" t="s">
        <v>2289</v>
      </c>
    </row>
    <row r="1139" spans="1:6" x14ac:dyDescent="0.2">
      <c r="A1139" t="s">
        <v>2333</v>
      </c>
      <c r="B1139" t="s">
        <v>2366</v>
      </c>
      <c r="C1139" t="s">
        <v>2367</v>
      </c>
      <c r="D1139" t="s">
        <v>2367</v>
      </c>
      <c r="F1139" t="s">
        <v>2289</v>
      </c>
    </row>
    <row r="1140" spans="1:6" x14ac:dyDescent="0.2">
      <c r="A1140" t="s">
        <v>2333</v>
      </c>
      <c r="B1140" t="s">
        <v>2368</v>
      </c>
      <c r="C1140" t="s">
        <v>2369</v>
      </c>
      <c r="D1140" t="s">
        <v>2369</v>
      </c>
      <c r="F1140" t="s">
        <v>2289</v>
      </c>
    </row>
    <row r="1141" spans="1:6" x14ac:dyDescent="0.2">
      <c r="A1141" t="s">
        <v>2333</v>
      </c>
      <c r="B1141" t="s">
        <v>2370</v>
      </c>
      <c r="C1141" t="s">
        <v>2371</v>
      </c>
      <c r="D1141" t="s">
        <v>2371</v>
      </c>
      <c r="F1141" t="s">
        <v>2291</v>
      </c>
    </row>
    <row r="1142" spans="1:6" x14ac:dyDescent="0.2">
      <c r="A1142" t="s">
        <v>2333</v>
      </c>
      <c r="B1142" t="s">
        <v>2372</v>
      </c>
      <c r="C1142" t="s">
        <v>2373</v>
      </c>
      <c r="D1142" t="s">
        <v>2373</v>
      </c>
      <c r="F1142" t="s">
        <v>2291</v>
      </c>
    </row>
    <row r="1143" spans="1:6" x14ac:dyDescent="0.2">
      <c r="A1143" t="s">
        <v>2333</v>
      </c>
      <c r="B1143" t="s">
        <v>2374</v>
      </c>
      <c r="C1143" t="s">
        <v>2375</v>
      </c>
      <c r="D1143" t="s">
        <v>2375</v>
      </c>
      <c r="F1143" t="s">
        <v>2291</v>
      </c>
    </row>
    <row r="1144" spans="1:6" x14ac:dyDescent="0.2">
      <c r="A1144" t="s">
        <v>2333</v>
      </c>
      <c r="B1144" t="s">
        <v>2376</v>
      </c>
      <c r="C1144" t="s">
        <v>2377</v>
      </c>
      <c r="D1144" t="s">
        <v>2377</v>
      </c>
      <c r="F1144" t="s">
        <v>2291</v>
      </c>
    </row>
    <row r="1145" spans="1:6" x14ac:dyDescent="0.2">
      <c r="A1145" t="s">
        <v>2333</v>
      </c>
      <c r="B1145" t="s">
        <v>2378</v>
      </c>
      <c r="C1145" t="s">
        <v>2379</v>
      </c>
      <c r="D1145" t="s">
        <v>2379</v>
      </c>
      <c r="F1145" t="s">
        <v>2291</v>
      </c>
    </row>
    <row r="1146" spans="1:6" x14ac:dyDescent="0.2">
      <c r="A1146" t="s">
        <v>2333</v>
      </c>
      <c r="B1146" t="s">
        <v>2380</v>
      </c>
      <c r="C1146" t="s">
        <v>2381</v>
      </c>
      <c r="D1146" t="s">
        <v>2381</v>
      </c>
      <c r="F1146" t="s">
        <v>2291</v>
      </c>
    </row>
    <row r="1147" spans="1:6" x14ac:dyDescent="0.2">
      <c r="A1147" t="s">
        <v>2333</v>
      </c>
      <c r="B1147" t="s">
        <v>2382</v>
      </c>
      <c r="C1147" t="s">
        <v>2383</v>
      </c>
      <c r="D1147" t="s">
        <v>2383</v>
      </c>
      <c r="F1147" t="s">
        <v>2291</v>
      </c>
    </row>
    <row r="1148" spans="1:6" x14ac:dyDescent="0.2">
      <c r="A1148" t="s">
        <v>2333</v>
      </c>
      <c r="B1148" t="s">
        <v>2384</v>
      </c>
      <c r="C1148" t="s">
        <v>2385</v>
      </c>
      <c r="D1148" t="s">
        <v>2385</v>
      </c>
      <c r="F1148" t="s">
        <v>2291</v>
      </c>
    </row>
    <row r="1149" spans="1:6" x14ac:dyDescent="0.2">
      <c r="A1149" t="s">
        <v>2333</v>
      </c>
      <c r="B1149" t="s">
        <v>2386</v>
      </c>
      <c r="C1149" t="s">
        <v>2387</v>
      </c>
      <c r="D1149" t="s">
        <v>2387</v>
      </c>
      <c r="F1149" t="s">
        <v>2293</v>
      </c>
    </row>
    <row r="1150" spans="1:6" x14ac:dyDescent="0.2">
      <c r="A1150" t="s">
        <v>2333</v>
      </c>
      <c r="B1150" t="s">
        <v>2388</v>
      </c>
      <c r="C1150" t="s">
        <v>2389</v>
      </c>
      <c r="D1150" t="s">
        <v>2389</v>
      </c>
      <c r="F1150" t="s">
        <v>2293</v>
      </c>
    </row>
    <row r="1151" spans="1:6" x14ac:dyDescent="0.2">
      <c r="A1151" t="s">
        <v>2333</v>
      </c>
      <c r="B1151" t="s">
        <v>2390</v>
      </c>
      <c r="C1151" t="s">
        <v>2391</v>
      </c>
      <c r="D1151" t="s">
        <v>2391</v>
      </c>
      <c r="F1151" t="s">
        <v>2293</v>
      </c>
    </row>
    <row r="1152" spans="1:6" x14ac:dyDescent="0.2">
      <c r="A1152" t="s">
        <v>2333</v>
      </c>
      <c r="B1152" t="s">
        <v>2392</v>
      </c>
      <c r="C1152" t="s">
        <v>2393</v>
      </c>
      <c r="D1152" t="s">
        <v>2393</v>
      </c>
      <c r="F1152" t="s">
        <v>2293</v>
      </c>
    </row>
    <row r="1153" spans="1:6" x14ac:dyDescent="0.2">
      <c r="A1153" t="s">
        <v>2333</v>
      </c>
      <c r="B1153" t="s">
        <v>2394</v>
      </c>
      <c r="C1153" t="s">
        <v>2395</v>
      </c>
      <c r="D1153" t="s">
        <v>2395</v>
      </c>
      <c r="F1153" t="s">
        <v>2293</v>
      </c>
    </row>
    <row r="1154" spans="1:6" x14ac:dyDescent="0.2">
      <c r="A1154" t="s">
        <v>2333</v>
      </c>
      <c r="B1154" t="s">
        <v>2396</v>
      </c>
      <c r="C1154" t="s">
        <v>2397</v>
      </c>
      <c r="D1154" t="s">
        <v>2397</v>
      </c>
      <c r="F1154" t="s">
        <v>2293</v>
      </c>
    </row>
    <row r="1155" spans="1:6" x14ac:dyDescent="0.2">
      <c r="A1155" t="s">
        <v>2333</v>
      </c>
      <c r="B1155" t="s">
        <v>2398</v>
      </c>
      <c r="C1155" t="s">
        <v>2399</v>
      </c>
      <c r="D1155" t="s">
        <v>2399</v>
      </c>
      <c r="F1155" t="s">
        <v>2293</v>
      </c>
    </row>
    <row r="1156" spans="1:6" x14ac:dyDescent="0.2">
      <c r="A1156" t="s">
        <v>2333</v>
      </c>
      <c r="B1156" t="s">
        <v>2400</v>
      </c>
      <c r="C1156" t="s">
        <v>2401</v>
      </c>
      <c r="D1156" t="s">
        <v>2401</v>
      </c>
      <c r="F1156" t="s">
        <v>2293</v>
      </c>
    </row>
    <row r="1157" spans="1:6" x14ac:dyDescent="0.2">
      <c r="A1157" t="s">
        <v>2333</v>
      </c>
      <c r="B1157" t="s">
        <v>2402</v>
      </c>
      <c r="C1157" t="s">
        <v>2403</v>
      </c>
      <c r="D1157" t="s">
        <v>2403</v>
      </c>
      <c r="F1157" t="s">
        <v>2293</v>
      </c>
    </row>
    <row r="1158" spans="1:6" x14ac:dyDescent="0.2">
      <c r="A1158" t="s">
        <v>2333</v>
      </c>
      <c r="B1158" t="s">
        <v>2404</v>
      </c>
      <c r="C1158" t="s">
        <v>2405</v>
      </c>
      <c r="D1158" t="s">
        <v>2405</v>
      </c>
      <c r="F1158" t="s">
        <v>2293</v>
      </c>
    </row>
    <row r="1159" spans="1:6" x14ac:dyDescent="0.2">
      <c r="A1159" t="s">
        <v>2333</v>
      </c>
      <c r="B1159" t="s">
        <v>2406</v>
      </c>
      <c r="C1159" t="s">
        <v>2407</v>
      </c>
      <c r="D1159" t="s">
        <v>2407</v>
      </c>
      <c r="F1159" t="s">
        <v>2293</v>
      </c>
    </row>
    <row r="1160" spans="1:6" x14ac:dyDescent="0.2">
      <c r="A1160" t="s">
        <v>2333</v>
      </c>
      <c r="B1160" t="s">
        <v>2408</v>
      </c>
      <c r="C1160" t="s">
        <v>2409</v>
      </c>
      <c r="D1160" t="s">
        <v>2409</v>
      </c>
      <c r="F1160" t="s">
        <v>2293</v>
      </c>
    </row>
    <row r="1161" spans="1:6" x14ac:dyDescent="0.2">
      <c r="A1161" t="s">
        <v>2333</v>
      </c>
      <c r="B1161" t="s">
        <v>2410</v>
      </c>
      <c r="C1161" t="s">
        <v>2411</v>
      </c>
      <c r="D1161" t="s">
        <v>2411</v>
      </c>
      <c r="F1161" t="s">
        <v>2293</v>
      </c>
    </row>
    <row r="1162" spans="1:6" x14ac:dyDescent="0.2">
      <c r="A1162" t="s">
        <v>2333</v>
      </c>
      <c r="B1162" t="s">
        <v>2412</v>
      </c>
      <c r="C1162" t="s">
        <v>2413</v>
      </c>
      <c r="D1162" t="s">
        <v>2413</v>
      </c>
      <c r="F1162" t="s">
        <v>2293</v>
      </c>
    </row>
    <row r="1163" spans="1:6" x14ac:dyDescent="0.2">
      <c r="A1163" t="s">
        <v>2333</v>
      </c>
      <c r="B1163" t="s">
        <v>2414</v>
      </c>
      <c r="C1163" t="s">
        <v>2415</v>
      </c>
      <c r="D1163" t="s">
        <v>2415</v>
      </c>
      <c r="F1163" t="s">
        <v>2293</v>
      </c>
    </row>
    <row r="1164" spans="1:6" x14ac:dyDescent="0.2">
      <c r="A1164" t="s">
        <v>2333</v>
      </c>
      <c r="B1164" t="s">
        <v>2416</v>
      </c>
      <c r="C1164" t="s">
        <v>2417</v>
      </c>
      <c r="D1164" t="s">
        <v>2417</v>
      </c>
      <c r="F1164" t="s">
        <v>2293</v>
      </c>
    </row>
    <row r="1165" spans="1:6" x14ac:dyDescent="0.2">
      <c r="A1165" t="s">
        <v>2333</v>
      </c>
      <c r="B1165" t="s">
        <v>2418</v>
      </c>
      <c r="C1165" t="s">
        <v>2296</v>
      </c>
      <c r="D1165" t="s">
        <v>2296</v>
      </c>
      <c r="F1165" t="s">
        <v>2295</v>
      </c>
    </row>
    <row r="1166" spans="1:6" x14ac:dyDescent="0.2">
      <c r="A1166" t="s">
        <v>2333</v>
      </c>
      <c r="B1166" t="s">
        <v>2419</v>
      </c>
      <c r="C1166" t="s">
        <v>2420</v>
      </c>
      <c r="D1166" t="s">
        <v>2420</v>
      </c>
      <c r="F1166" t="s">
        <v>2295</v>
      </c>
    </row>
    <row r="1167" spans="1:6" x14ac:dyDescent="0.2">
      <c r="A1167" t="s">
        <v>2333</v>
      </c>
      <c r="B1167" t="s">
        <v>2421</v>
      </c>
      <c r="C1167" t="s">
        <v>2422</v>
      </c>
      <c r="D1167" t="s">
        <v>2422</v>
      </c>
      <c r="F1167" t="s">
        <v>2295</v>
      </c>
    </row>
    <row r="1168" spans="1:6" x14ac:dyDescent="0.2">
      <c r="A1168" t="s">
        <v>2333</v>
      </c>
      <c r="B1168" t="s">
        <v>2423</v>
      </c>
      <c r="C1168" t="s">
        <v>2424</v>
      </c>
      <c r="D1168" t="s">
        <v>2424</v>
      </c>
      <c r="F1168" t="s">
        <v>2295</v>
      </c>
    </row>
    <row r="1169" spans="1:6" x14ac:dyDescent="0.2">
      <c r="A1169" t="s">
        <v>2333</v>
      </c>
      <c r="B1169" t="s">
        <v>2425</v>
      </c>
      <c r="C1169" t="s">
        <v>2426</v>
      </c>
      <c r="D1169" t="s">
        <v>2426</v>
      </c>
      <c r="F1169" t="s">
        <v>2295</v>
      </c>
    </row>
    <row r="1170" spans="1:6" x14ac:dyDescent="0.2">
      <c r="A1170" t="s">
        <v>2333</v>
      </c>
      <c r="B1170" t="s">
        <v>2427</v>
      </c>
      <c r="C1170" t="s">
        <v>2428</v>
      </c>
      <c r="D1170" t="s">
        <v>2428</v>
      </c>
      <c r="F1170" t="s">
        <v>2295</v>
      </c>
    </row>
    <row r="1171" spans="1:6" x14ac:dyDescent="0.2">
      <c r="A1171" t="s">
        <v>2333</v>
      </c>
      <c r="B1171" t="s">
        <v>2429</v>
      </c>
      <c r="C1171" t="s">
        <v>2430</v>
      </c>
      <c r="D1171" t="s">
        <v>2430</v>
      </c>
      <c r="F1171" t="s">
        <v>2295</v>
      </c>
    </row>
    <row r="1172" spans="1:6" x14ac:dyDescent="0.2">
      <c r="A1172" t="s">
        <v>2333</v>
      </c>
      <c r="B1172" t="s">
        <v>2431</v>
      </c>
      <c r="C1172" t="s">
        <v>2432</v>
      </c>
      <c r="D1172" t="s">
        <v>2432</v>
      </c>
      <c r="F1172" t="s">
        <v>2295</v>
      </c>
    </row>
    <row r="1173" spans="1:6" x14ac:dyDescent="0.2">
      <c r="A1173" t="s">
        <v>2333</v>
      </c>
      <c r="B1173" t="s">
        <v>2433</v>
      </c>
      <c r="C1173" t="s">
        <v>2434</v>
      </c>
      <c r="D1173" t="s">
        <v>2434</v>
      </c>
      <c r="F1173" t="s">
        <v>2295</v>
      </c>
    </row>
    <row r="1174" spans="1:6" x14ac:dyDescent="0.2">
      <c r="A1174" t="s">
        <v>2333</v>
      </c>
      <c r="B1174" t="s">
        <v>2435</v>
      </c>
      <c r="C1174" t="s">
        <v>2436</v>
      </c>
      <c r="D1174" t="s">
        <v>2436</v>
      </c>
      <c r="F1174" t="s">
        <v>2295</v>
      </c>
    </row>
    <row r="1175" spans="1:6" x14ac:dyDescent="0.2">
      <c r="A1175" t="s">
        <v>2333</v>
      </c>
      <c r="B1175" t="s">
        <v>2437</v>
      </c>
      <c r="C1175" t="s">
        <v>2438</v>
      </c>
      <c r="D1175" t="s">
        <v>2438</v>
      </c>
      <c r="F1175" t="s">
        <v>2295</v>
      </c>
    </row>
    <row r="1176" spans="1:6" x14ac:dyDescent="0.2">
      <c r="A1176" t="s">
        <v>2333</v>
      </c>
      <c r="B1176" t="s">
        <v>2439</v>
      </c>
      <c r="C1176" t="s">
        <v>2440</v>
      </c>
      <c r="D1176" t="s">
        <v>2440</v>
      </c>
      <c r="F1176" t="s">
        <v>2295</v>
      </c>
    </row>
    <row r="1177" spans="1:6" x14ac:dyDescent="0.2">
      <c r="A1177" t="s">
        <v>2333</v>
      </c>
      <c r="B1177" t="s">
        <v>2441</v>
      </c>
      <c r="C1177" t="s">
        <v>2442</v>
      </c>
      <c r="D1177" t="s">
        <v>2442</v>
      </c>
      <c r="F1177" t="s">
        <v>2295</v>
      </c>
    </row>
    <row r="1178" spans="1:6" x14ac:dyDescent="0.2">
      <c r="A1178" t="s">
        <v>2333</v>
      </c>
      <c r="B1178" t="s">
        <v>2443</v>
      </c>
      <c r="C1178" t="s">
        <v>2444</v>
      </c>
      <c r="D1178" t="s">
        <v>2444</v>
      </c>
      <c r="F1178" t="s">
        <v>2295</v>
      </c>
    </row>
    <row r="1179" spans="1:6" x14ac:dyDescent="0.2">
      <c r="A1179" t="s">
        <v>2333</v>
      </c>
      <c r="B1179" t="s">
        <v>2445</v>
      </c>
      <c r="C1179" t="s">
        <v>2446</v>
      </c>
      <c r="D1179" t="s">
        <v>2446</v>
      </c>
      <c r="F1179" t="s">
        <v>2295</v>
      </c>
    </row>
    <row r="1180" spans="1:6" x14ac:dyDescent="0.2">
      <c r="A1180" t="s">
        <v>2333</v>
      </c>
      <c r="B1180" t="s">
        <v>2447</v>
      </c>
      <c r="C1180" t="s">
        <v>2448</v>
      </c>
      <c r="D1180" t="s">
        <v>2448</v>
      </c>
      <c r="F1180" t="s">
        <v>2295</v>
      </c>
    </row>
    <row r="1181" spans="1:6" x14ac:dyDescent="0.2">
      <c r="A1181" t="s">
        <v>2333</v>
      </c>
      <c r="B1181" t="s">
        <v>2449</v>
      </c>
      <c r="C1181" t="s">
        <v>2298</v>
      </c>
      <c r="D1181" t="s">
        <v>2298</v>
      </c>
      <c r="F1181" t="s">
        <v>2297</v>
      </c>
    </row>
    <row r="1182" spans="1:6" x14ac:dyDescent="0.2">
      <c r="A1182" t="s">
        <v>2333</v>
      </c>
      <c r="B1182" t="s">
        <v>2450</v>
      </c>
      <c r="C1182" t="s">
        <v>2451</v>
      </c>
      <c r="D1182" t="s">
        <v>2451</v>
      </c>
      <c r="F1182" t="s">
        <v>2297</v>
      </c>
    </row>
    <row r="1183" spans="1:6" x14ac:dyDescent="0.2">
      <c r="A1183" t="s">
        <v>2333</v>
      </c>
      <c r="B1183" t="s">
        <v>2452</v>
      </c>
      <c r="C1183" t="s">
        <v>2453</v>
      </c>
      <c r="D1183" t="s">
        <v>2453</v>
      </c>
      <c r="F1183" t="s">
        <v>2297</v>
      </c>
    </row>
    <row r="1184" spans="1:6" x14ac:dyDescent="0.2">
      <c r="A1184" t="s">
        <v>2333</v>
      </c>
      <c r="B1184" t="s">
        <v>2454</v>
      </c>
      <c r="C1184" t="s">
        <v>2455</v>
      </c>
      <c r="D1184" t="s">
        <v>2455</v>
      </c>
      <c r="F1184" t="s">
        <v>2297</v>
      </c>
    </row>
    <row r="1185" spans="1:6" x14ac:dyDescent="0.2">
      <c r="A1185" t="s">
        <v>2333</v>
      </c>
      <c r="B1185" t="s">
        <v>2456</v>
      </c>
      <c r="C1185" t="s">
        <v>2457</v>
      </c>
      <c r="D1185" t="s">
        <v>2457</v>
      </c>
      <c r="F1185" t="s">
        <v>2297</v>
      </c>
    </row>
    <row r="1186" spans="1:6" x14ac:dyDescent="0.2">
      <c r="A1186" t="s">
        <v>2333</v>
      </c>
      <c r="B1186" t="s">
        <v>2458</v>
      </c>
      <c r="C1186" t="s">
        <v>2459</v>
      </c>
      <c r="D1186" t="s">
        <v>2459</v>
      </c>
      <c r="F1186" t="s">
        <v>2297</v>
      </c>
    </row>
    <row r="1187" spans="1:6" x14ac:dyDescent="0.2">
      <c r="A1187" t="s">
        <v>2333</v>
      </c>
      <c r="B1187" t="s">
        <v>2460</v>
      </c>
      <c r="C1187" t="s">
        <v>2461</v>
      </c>
      <c r="D1187" t="s">
        <v>2461</v>
      </c>
      <c r="F1187" t="s">
        <v>2297</v>
      </c>
    </row>
    <row r="1188" spans="1:6" x14ac:dyDescent="0.2">
      <c r="A1188" t="s">
        <v>2333</v>
      </c>
      <c r="B1188" t="s">
        <v>2462</v>
      </c>
      <c r="C1188" t="s">
        <v>2463</v>
      </c>
      <c r="D1188" t="s">
        <v>2463</v>
      </c>
      <c r="F1188" t="s">
        <v>2297</v>
      </c>
    </row>
    <row r="1189" spans="1:6" x14ac:dyDescent="0.2">
      <c r="A1189" t="s">
        <v>2333</v>
      </c>
      <c r="B1189" t="s">
        <v>2464</v>
      </c>
      <c r="C1189" t="s">
        <v>2465</v>
      </c>
      <c r="D1189" t="s">
        <v>2465</v>
      </c>
      <c r="F1189" t="s">
        <v>2297</v>
      </c>
    </row>
    <row r="1190" spans="1:6" x14ac:dyDescent="0.2">
      <c r="A1190" t="s">
        <v>2333</v>
      </c>
      <c r="B1190" t="s">
        <v>2466</v>
      </c>
      <c r="C1190" t="s">
        <v>2467</v>
      </c>
      <c r="D1190" t="s">
        <v>2467</v>
      </c>
      <c r="F1190" t="s">
        <v>2297</v>
      </c>
    </row>
    <row r="1191" spans="1:6" x14ac:dyDescent="0.2">
      <c r="A1191" t="s">
        <v>2333</v>
      </c>
      <c r="B1191" t="s">
        <v>2468</v>
      </c>
      <c r="C1191" t="s">
        <v>2469</v>
      </c>
      <c r="D1191" t="s">
        <v>2469</v>
      </c>
      <c r="F1191" t="s">
        <v>2297</v>
      </c>
    </row>
    <row r="1192" spans="1:6" x14ac:dyDescent="0.2">
      <c r="A1192" t="s">
        <v>2333</v>
      </c>
      <c r="B1192" t="s">
        <v>2470</v>
      </c>
      <c r="C1192" t="s">
        <v>2471</v>
      </c>
      <c r="D1192" t="s">
        <v>2471</v>
      </c>
      <c r="F1192" t="s">
        <v>2297</v>
      </c>
    </row>
    <row r="1193" spans="1:6" x14ac:dyDescent="0.2">
      <c r="A1193" t="s">
        <v>2333</v>
      </c>
      <c r="B1193" t="s">
        <v>2472</v>
      </c>
      <c r="C1193" t="s">
        <v>2473</v>
      </c>
      <c r="D1193" t="s">
        <v>2473</v>
      </c>
      <c r="F1193" t="s">
        <v>2297</v>
      </c>
    </row>
    <row r="1194" spans="1:6" x14ac:dyDescent="0.2">
      <c r="A1194" t="s">
        <v>2333</v>
      </c>
      <c r="B1194" t="s">
        <v>2474</v>
      </c>
      <c r="C1194" t="s">
        <v>2475</v>
      </c>
      <c r="D1194" t="s">
        <v>2475</v>
      </c>
      <c r="F1194" t="s">
        <v>2297</v>
      </c>
    </row>
    <row r="1195" spans="1:6" x14ac:dyDescent="0.2">
      <c r="A1195" t="s">
        <v>2333</v>
      </c>
      <c r="B1195" t="s">
        <v>2476</v>
      </c>
      <c r="C1195" t="s">
        <v>2477</v>
      </c>
      <c r="D1195" t="s">
        <v>2477</v>
      </c>
      <c r="F1195" t="s">
        <v>2299</v>
      </c>
    </row>
    <row r="1196" spans="1:6" x14ac:dyDescent="0.2">
      <c r="A1196" t="s">
        <v>2333</v>
      </c>
      <c r="B1196" t="s">
        <v>2478</v>
      </c>
      <c r="C1196" t="s">
        <v>2479</v>
      </c>
      <c r="D1196" t="s">
        <v>2479</v>
      </c>
      <c r="F1196" t="s">
        <v>2299</v>
      </c>
    </row>
    <row r="1197" spans="1:6" x14ac:dyDescent="0.2">
      <c r="A1197" t="s">
        <v>2333</v>
      </c>
      <c r="B1197" t="s">
        <v>2480</v>
      </c>
      <c r="C1197" t="s">
        <v>2481</v>
      </c>
      <c r="D1197" t="s">
        <v>2481</v>
      </c>
      <c r="F1197" t="s">
        <v>2299</v>
      </c>
    </row>
    <row r="1198" spans="1:6" x14ac:dyDescent="0.2">
      <c r="A1198" t="s">
        <v>2333</v>
      </c>
      <c r="B1198" t="s">
        <v>2482</v>
      </c>
      <c r="C1198" t="s">
        <v>2483</v>
      </c>
      <c r="D1198" t="s">
        <v>2483</v>
      </c>
      <c r="F1198" t="s">
        <v>2299</v>
      </c>
    </row>
    <row r="1199" spans="1:6" x14ac:dyDescent="0.2">
      <c r="A1199" t="s">
        <v>2333</v>
      </c>
      <c r="B1199" t="s">
        <v>2484</v>
      </c>
      <c r="C1199" t="s">
        <v>2485</v>
      </c>
      <c r="D1199" t="s">
        <v>2485</v>
      </c>
      <c r="F1199" t="s">
        <v>2299</v>
      </c>
    </row>
    <row r="1200" spans="1:6" x14ac:dyDescent="0.2">
      <c r="A1200" t="s">
        <v>2333</v>
      </c>
      <c r="B1200" t="s">
        <v>2486</v>
      </c>
      <c r="C1200" t="s">
        <v>2487</v>
      </c>
      <c r="D1200" t="s">
        <v>2487</v>
      </c>
      <c r="F1200" t="s">
        <v>2299</v>
      </c>
    </row>
    <row r="1201" spans="1:6" x14ac:dyDescent="0.2">
      <c r="A1201" t="s">
        <v>2333</v>
      </c>
      <c r="B1201" t="s">
        <v>2488</v>
      </c>
      <c r="C1201" t="s">
        <v>2489</v>
      </c>
      <c r="D1201" t="s">
        <v>2489</v>
      </c>
      <c r="F1201" t="s">
        <v>2299</v>
      </c>
    </row>
    <row r="1202" spans="1:6" x14ac:dyDescent="0.2">
      <c r="A1202" t="s">
        <v>2333</v>
      </c>
      <c r="B1202" t="s">
        <v>2490</v>
      </c>
      <c r="C1202" t="s">
        <v>2491</v>
      </c>
      <c r="D1202" t="s">
        <v>2491</v>
      </c>
      <c r="F1202" t="s">
        <v>2299</v>
      </c>
    </row>
    <row r="1203" spans="1:6" x14ac:dyDescent="0.2">
      <c r="A1203" t="s">
        <v>2333</v>
      </c>
      <c r="B1203" t="s">
        <v>2492</v>
      </c>
      <c r="C1203" t="s">
        <v>2493</v>
      </c>
      <c r="D1203" t="s">
        <v>2493</v>
      </c>
      <c r="F1203" t="s">
        <v>2299</v>
      </c>
    </row>
    <row r="1204" spans="1:6" x14ac:dyDescent="0.2">
      <c r="A1204" t="s">
        <v>2333</v>
      </c>
      <c r="B1204" t="s">
        <v>2494</v>
      </c>
      <c r="C1204" t="s">
        <v>2495</v>
      </c>
      <c r="D1204" t="s">
        <v>2495</v>
      </c>
      <c r="F1204" t="s">
        <v>2299</v>
      </c>
    </row>
    <row r="1205" spans="1:6" x14ac:dyDescent="0.2">
      <c r="A1205" t="s">
        <v>2333</v>
      </c>
      <c r="B1205" t="s">
        <v>2496</v>
      </c>
      <c r="C1205" t="s">
        <v>2497</v>
      </c>
      <c r="D1205" t="s">
        <v>2497</v>
      </c>
      <c r="F1205" t="s">
        <v>2299</v>
      </c>
    </row>
    <row r="1206" spans="1:6" x14ac:dyDescent="0.2">
      <c r="A1206" t="s">
        <v>2333</v>
      </c>
      <c r="B1206" t="s">
        <v>2498</v>
      </c>
      <c r="C1206" t="s">
        <v>2499</v>
      </c>
      <c r="D1206" t="s">
        <v>2499</v>
      </c>
      <c r="F1206" t="s">
        <v>2299</v>
      </c>
    </row>
    <row r="1207" spans="1:6" x14ac:dyDescent="0.2">
      <c r="A1207" t="s">
        <v>2333</v>
      </c>
      <c r="B1207" t="s">
        <v>2500</v>
      </c>
      <c r="C1207" t="s">
        <v>2501</v>
      </c>
      <c r="D1207" t="s">
        <v>2501</v>
      </c>
      <c r="F1207" t="s">
        <v>2299</v>
      </c>
    </row>
    <row r="1208" spans="1:6" x14ac:dyDescent="0.2">
      <c r="A1208" t="s">
        <v>2333</v>
      </c>
      <c r="B1208" t="s">
        <v>2502</v>
      </c>
      <c r="C1208" t="s">
        <v>2503</v>
      </c>
      <c r="D1208" t="s">
        <v>2503</v>
      </c>
      <c r="F1208" t="s">
        <v>2299</v>
      </c>
    </row>
    <row r="1209" spans="1:6" x14ac:dyDescent="0.2">
      <c r="A1209" t="s">
        <v>2333</v>
      </c>
      <c r="B1209" t="s">
        <v>2504</v>
      </c>
      <c r="C1209" t="s">
        <v>2505</v>
      </c>
      <c r="D1209" t="s">
        <v>2505</v>
      </c>
      <c r="F1209" t="s">
        <v>2301</v>
      </c>
    </row>
    <row r="1210" spans="1:6" x14ac:dyDescent="0.2">
      <c r="A1210" t="s">
        <v>2333</v>
      </c>
      <c r="B1210" t="s">
        <v>2506</v>
      </c>
      <c r="C1210" t="s">
        <v>2302</v>
      </c>
      <c r="D1210" t="s">
        <v>2302</v>
      </c>
      <c r="F1210" t="s">
        <v>2301</v>
      </c>
    </row>
    <row r="1211" spans="1:6" x14ac:dyDescent="0.2">
      <c r="A1211" t="s">
        <v>2333</v>
      </c>
      <c r="B1211" t="s">
        <v>2507</v>
      </c>
      <c r="C1211" t="s">
        <v>2508</v>
      </c>
      <c r="D1211" t="s">
        <v>2508</v>
      </c>
      <c r="F1211" t="s">
        <v>2301</v>
      </c>
    </row>
    <row r="1212" spans="1:6" x14ac:dyDescent="0.2">
      <c r="A1212" t="s">
        <v>2333</v>
      </c>
      <c r="B1212" t="s">
        <v>2509</v>
      </c>
      <c r="C1212" t="s">
        <v>2510</v>
      </c>
      <c r="D1212" t="s">
        <v>2510</v>
      </c>
      <c r="F1212" t="s">
        <v>2301</v>
      </c>
    </row>
    <row r="1213" spans="1:6" x14ac:dyDescent="0.2">
      <c r="A1213" t="s">
        <v>2333</v>
      </c>
      <c r="B1213" t="s">
        <v>2511</v>
      </c>
      <c r="C1213" t="s">
        <v>2512</v>
      </c>
      <c r="D1213" t="s">
        <v>2512</v>
      </c>
      <c r="F1213" t="s">
        <v>2301</v>
      </c>
    </row>
    <row r="1214" spans="1:6" x14ac:dyDescent="0.2">
      <c r="A1214" t="s">
        <v>2333</v>
      </c>
      <c r="B1214" t="s">
        <v>2513</v>
      </c>
      <c r="C1214" t="s">
        <v>2514</v>
      </c>
      <c r="D1214" t="s">
        <v>2514</v>
      </c>
      <c r="F1214" t="s">
        <v>2301</v>
      </c>
    </row>
    <row r="1215" spans="1:6" x14ac:dyDescent="0.2">
      <c r="A1215" t="s">
        <v>2333</v>
      </c>
      <c r="B1215" t="s">
        <v>2515</v>
      </c>
      <c r="C1215" t="s">
        <v>2516</v>
      </c>
      <c r="D1215" t="s">
        <v>2516</v>
      </c>
      <c r="F1215" t="s">
        <v>2301</v>
      </c>
    </row>
    <row r="1216" spans="1:6" x14ac:dyDescent="0.2">
      <c r="A1216" t="s">
        <v>2333</v>
      </c>
      <c r="B1216" t="s">
        <v>2517</v>
      </c>
      <c r="C1216" t="s">
        <v>2518</v>
      </c>
      <c r="D1216" t="s">
        <v>2518</v>
      </c>
      <c r="F1216" t="s">
        <v>2301</v>
      </c>
    </row>
    <row r="1217" spans="1:6" x14ac:dyDescent="0.2">
      <c r="A1217" t="s">
        <v>2333</v>
      </c>
      <c r="B1217" t="s">
        <v>2519</v>
      </c>
      <c r="C1217" t="s">
        <v>2520</v>
      </c>
      <c r="D1217" t="s">
        <v>2520</v>
      </c>
      <c r="F1217" t="s">
        <v>2301</v>
      </c>
    </row>
    <row r="1218" spans="1:6" x14ac:dyDescent="0.2">
      <c r="A1218" t="s">
        <v>2333</v>
      </c>
      <c r="B1218" t="s">
        <v>2521</v>
      </c>
      <c r="C1218" t="s">
        <v>2522</v>
      </c>
      <c r="D1218" t="s">
        <v>2522</v>
      </c>
      <c r="F1218" t="s">
        <v>2301</v>
      </c>
    </row>
    <row r="1219" spans="1:6" x14ac:dyDescent="0.2">
      <c r="A1219" t="s">
        <v>2333</v>
      </c>
      <c r="B1219" t="s">
        <v>2523</v>
      </c>
      <c r="C1219" t="s">
        <v>2524</v>
      </c>
      <c r="D1219" t="s">
        <v>2524</v>
      </c>
      <c r="F1219" t="s">
        <v>2301</v>
      </c>
    </row>
    <row r="1220" spans="1:6" x14ac:dyDescent="0.2">
      <c r="A1220" t="s">
        <v>2333</v>
      </c>
      <c r="B1220" t="s">
        <v>2525</v>
      </c>
      <c r="C1220" t="s">
        <v>2526</v>
      </c>
      <c r="D1220" t="s">
        <v>2526</v>
      </c>
      <c r="F1220" t="s">
        <v>2301</v>
      </c>
    </row>
    <row r="1221" spans="1:6" x14ac:dyDescent="0.2">
      <c r="A1221" t="s">
        <v>2333</v>
      </c>
      <c r="B1221" t="s">
        <v>2527</v>
      </c>
      <c r="C1221" t="s">
        <v>2528</v>
      </c>
      <c r="D1221" t="s">
        <v>2528</v>
      </c>
      <c r="F1221" t="s">
        <v>2301</v>
      </c>
    </row>
    <row r="1222" spans="1:6" x14ac:dyDescent="0.2">
      <c r="A1222" t="s">
        <v>2333</v>
      </c>
      <c r="B1222" t="s">
        <v>2529</v>
      </c>
      <c r="C1222" t="s">
        <v>2530</v>
      </c>
      <c r="D1222" t="s">
        <v>2530</v>
      </c>
      <c r="F1222" t="s">
        <v>2301</v>
      </c>
    </row>
    <row r="1223" spans="1:6" x14ac:dyDescent="0.2">
      <c r="A1223" t="s">
        <v>2333</v>
      </c>
      <c r="B1223" t="s">
        <v>2531</v>
      </c>
      <c r="C1223" t="s">
        <v>2532</v>
      </c>
      <c r="D1223" t="s">
        <v>2532</v>
      </c>
      <c r="F1223" t="s">
        <v>2301</v>
      </c>
    </row>
    <row r="1224" spans="1:6" x14ac:dyDescent="0.2">
      <c r="A1224" t="s">
        <v>2333</v>
      </c>
      <c r="B1224" t="s">
        <v>2533</v>
      </c>
      <c r="C1224" t="s">
        <v>2534</v>
      </c>
      <c r="D1224" t="s">
        <v>2534</v>
      </c>
      <c r="F1224" t="s">
        <v>2301</v>
      </c>
    </row>
    <row r="1225" spans="1:6" x14ac:dyDescent="0.2">
      <c r="A1225" t="s">
        <v>2333</v>
      </c>
      <c r="B1225" t="s">
        <v>2535</v>
      </c>
      <c r="C1225" t="s">
        <v>2536</v>
      </c>
      <c r="D1225" t="s">
        <v>2536</v>
      </c>
      <c r="F1225" t="s">
        <v>2301</v>
      </c>
    </row>
    <row r="1226" spans="1:6" x14ac:dyDescent="0.2">
      <c r="A1226" t="s">
        <v>2333</v>
      </c>
      <c r="B1226" t="s">
        <v>2537</v>
      </c>
      <c r="C1226" t="s">
        <v>2538</v>
      </c>
      <c r="D1226" t="s">
        <v>2538</v>
      </c>
      <c r="F1226" t="s">
        <v>2301</v>
      </c>
    </row>
    <row r="1227" spans="1:6" x14ac:dyDescent="0.2">
      <c r="A1227" t="s">
        <v>2333</v>
      </c>
      <c r="B1227" t="s">
        <v>2539</v>
      </c>
      <c r="C1227" t="s">
        <v>2540</v>
      </c>
      <c r="D1227" t="s">
        <v>2540</v>
      </c>
      <c r="F1227" t="s">
        <v>2301</v>
      </c>
    </row>
    <row r="1228" spans="1:6" x14ac:dyDescent="0.2">
      <c r="A1228" t="s">
        <v>2333</v>
      </c>
      <c r="B1228" t="s">
        <v>2541</v>
      </c>
      <c r="C1228" t="s">
        <v>2542</v>
      </c>
      <c r="D1228" t="s">
        <v>2542</v>
      </c>
      <c r="F1228" t="s">
        <v>2301</v>
      </c>
    </row>
    <row r="1229" spans="1:6" x14ac:dyDescent="0.2">
      <c r="A1229" t="s">
        <v>2333</v>
      </c>
      <c r="B1229" t="s">
        <v>2543</v>
      </c>
      <c r="C1229" t="s">
        <v>2304</v>
      </c>
      <c r="D1229" t="s">
        <v>2304</v>
      </c>
      <c r="F1229" t="s">
        <v>2303</v>
      </c>
    </row>
    <row r="1230" spans="1:6" x14ac:dyDescent="0.2">
      <c r="A1230" t="s">
        <v>2333</v>
      </c>
      <c r="B1230" t="s">
        <v>2544</v>
      </c>
      <c r="C1230" t="s">
        <v>2545</v>
      </c>
      <c r="D1230" t="s">
        <v>2545</v>
      </c>
      <c r="F1230" t="s">
        <v>2303</v>
      </c>
    </row>
    <row r="1231" spans="1:6" x14ac:dyDescent="0.2">
      <c r="A1231" t="s">
        <v>2333</v>
      </c>
      <c r="B1231" t="s">
        <v>2546</v>
      </c>
      <c r="C1231" t="s">
        <v>2547</v>
      </c>
      <c r="D1231" t="s">
        <v>2547</v>
      </c>
      <c r="F1231" t="s">
        <v>2303</v>
      </c>
    </row>
    <row r="1232" spans="1:6" x14ac:dyDescent="0.2">
      <c r="A1232" t="s">
        <v>2333</v>
      </c>
      <c r="B1232" t="s">
        <v>2548</v>
      </c>
      <c r="C1232" t="s">
        <v>2549</v>
      </c>
      <c r="D1232" t="s">
        <v>2549</v>
      </c>
      <c r="F1232" t="s">
        <v>2303</v>
      </c>
    </row>
    <row r="1233" spans="1:6" x14ac:dyDescent="0.2">
      <c r="A1233" t="s">
        <v>2333</v>
      </c>
      <c r="B1233" t="s">
        <v>2550</v>
      </c>
      <c r="C1233" t="s">
        <v>2551</v>
      </c>
      <c r="D1233" t="s">
        <v>2551</v>
      </c>
      <c r="F1233" t="s">
        <v>2303</v>
      </c>
    </row>
    <row r="1234" spans="1:6" x14ac:dyDescent="0.2">
      <c r="A1234" t="s">
        <v>2333</v>
      </c>
      <c r="B1234" t="s">
        <v>2552</v>
      </c>
      <c r="C1234" t="s">
        <v>2553</v>
      </c>
      <c r="D1234" t="s">
        <v>2553</v>
      </c>
      <c r="F1234" t="s">
        <v>2303</v>
      </c>
    </row>
    <row r="1235" spans="1:6" x14ac:dyDescent="0.2">
      <c r="A1235" t="s">
        <v>2333</v>
      </c>
      <c r="B1235" t="s">
        <v>2554</v>
      </c>
      <c r="C1235" t="s">
        <v>2555</v>
      </c>
      <c r="D1235" t="s">
        <v>2555</v>
      </c>
      <c r="F1235" t="s">
        <v>2303</v>
      </c>
    </row>
    <row r="1236" spans="1:6" x14ac:dyDescent="0.2">
      <c r="A1236" t="s">
        <v>2333</v>
      </c>
      <c r="B1236" t="s">
        <v>2556</v>
      </c>
      <c r="C1236" t="s">
        <v>2557</v>
      </c>
      <c r="D1236" t="s">
        <v>2557</v>
      </c>
      <c r="F1236" t="s">
        <v>2303</v>
      </c>
    </row>
    <row r="1237" spans="1:6" x14ac:dyDescent="0.2">
      <c r="A1237" t="s">
        <v>2333</v>
      </c>
      <c r="B1237" t="s">
        <v>2558</v>
      </c>
      <c r="C1237" t="s">
        <v>2306</v>
      </c>
      <c r="D1237" t="s">
        <v>2306</v>
      </c>
      <c r="F1237" t="s">
        <v>2305</v>
      </c>
    </row>
    <row r="1238" spans="1:6" x14ac:dyDescent="0.2">
      <c r="A1238" t="s">
        <v>2333</v>
      </c>
      <c r="B1238" t="s">
        <v>2559</v>
      </c>
      <c r="C1238" t="s">
        <v>2560</v>
      </c>
      <c r="D1238" t="s">
        <v>2560</v>
      </c>
      <c r="F1238" t="s">
        <v>2305</v>
      </c>
    </row>
    <row r="1239" spans="1:6" x14ac:dyDescent="0.2">
      <c r="A1239" t="s">
        <v>2333</v>
      </c>
      <c r="B1239" t="s">
        <v>2561</v>
      </c>
      <c r="C1239" t="s">
        <v>2562</v>
      </c>
      <c r="D1239" t="s">
        <v>2562</v>
      </c>
      <c r="F1239" t="s">
        <v>2305</v>
      </c>
    </row>
    <row r="1240" spans="1:6" x14ac:dyDescent="0.2">
      <c r="A1240" t="s">
        <v>2333</v>
      </c>
      <c r="B1240" t="s">
        <v>2563</v>
      </c>
      <c r="C1240" t="s">
        <v>2564</v>
      </c>
      <c r="D1240" t="s">
        <v>2564</v>
      </c>
      <c r="F1240" t="s">
        <v>2305</v>
      </c>
    </row>
    <row r="1241" spans="1:6" x14ac:dyDescent="0.2">
      <c r="A1241" t="s">
        <v>2333</v>
      </c>
      <c r="B1241" t="s">
        <v>2565</v>
      </c>
      <c r="C1241" t="s">
        <v>2566</v>
      </c>
      <c r="D1241" t="s">
        <v>2566</v>
      </c>
      <c r="F1241" t="s">
        <v>2305</v>
      </c>
    </row>
    <row r="1242" spans="1:6" x14ac:dyDescent="0.2">
      <c r="A1242" t="s">
        <v>2333</v>
      </c>
      <c r="B1242" t="s">
        <v>2567</v>
      </c>
      <c r="C1242" t="s">
        <v>2568</v>
      </c>
      <c r="D1242" t="s">
        <v>2568</v>
      </c>
      <c r="F1242" t="s">
        <v>2305</v>
      </c>
    </row>
    <row r="1243" spans="1:6" x14ac:dyDescent="0.2">
      <c r="A1243" t="s">
        <v>2333</v>
      </c>
      <c r="B1243" t="s">
        <v>2569</v>
      </c>
      <c r="C1243" t="s">
        <v>2570</v>
      </c>
      <c r="D1243" t="s">
        <v>2570</v>
      </c>
      <c r="F1243" t="s">
        <v>2305</v>
      </c>
    </row>
    <row r="1244" spans="1:6" x14ac:dyDescent="0.2">
      <c r="A1244" t="s">
        <v>2333</v>
      </c>
      <c r="B1244" t="s">
        <v>2571</v>
      </c>
      <c r="C1244" t="s">
        <v>2572</v>
      </c>
      <c r="D1244" t="s">
        <v>2572</v>
      </c>
      <c r="F1244" t="s">
        <v>2305</v>
      </c>
    </row>
    <row r="1245" spans="1:6" x14ac:dyDescent="0.2">
      <c r="A1245" t="s">
        <v>2333</v>
      </c>
      <c r="B1245" t="s">
        <v>2573</v>
      </c>
      <c r="C1245" t="s">
        <v>2574</v>
      </c>
      <c r="D1245" t="s">
        <v>2574</v>
      </c>
      <c r="F1245" t="s">
        <v>2305</v>
      </c>
    </row>
    <row r="1246" spans="1:6" x14ac:dyDescent="0.2">
      <c r="A1246" t="s">
        <v>2333</v>
      </c>
      <c r="B1246" t="s">
        <v>2575</v>
      </c>
      <c r="C1246" t="s">
        <v>2576</v>
      </c>
      <c r="D1246" t="s">
        <v>2576</v>
      </c>
      <c r="F1246" t="s">
        <v>2305</v>
      </c>
    </row>
    <row r="1247" spans="1:6" x14ac:dyDescent="0.2">
      <c r="A1247" t="s">
        <v>2333</v>
      </c>
      <c r="B1247" t="s">
        <v>2577</v>
      </c>
      <c r="C1247" t="s">
        <v>2578</v>
      </c>
      <c r="D1247" t="s">
        <v>2578</v>
      </c>
      <c r="F1247" t="s">
        <v>2305</v>
      </c>
    </row>
    <row r="1248" spans="1:6" x14ac:dyDescent="0.2">
      <c r="A1248" t="s">
        <v>2333</v>
      </c>
      <c r="B1248" t="s">
        <v>2579</v>
      </c>
      <c r="C1248" t="s">
        <v>2580</v>
      </c>
      <c r="D1248" t="s">
        <v>2580</v>
      </c>
      <c r="F1248" t="s">
        <v>2305</v>
      </c>
    </row>
    <row r="1249" spans="1:6" x14ac:dyDescent="0.2">
      <c r="A1249" t="s">
        <v>2333</v>
      </c>
      <c r="B1249" t="s">
        <v>2581</v>
      </c>
      <c r="C1249" t="s">
        <v>2582</v>
      </c>
      <c r="D1249" t="s">
        <v>2582</v>
      </c>
      <c r="F1249" t="s">
        <v>2305</v>
      </c>
    </row>
    <row r="1250" spans="1:6" x14ac:dyDescent="0.2">
      <c r="A1250" t="s">
        <v>2333</v>
      </c>
      <c r="B1250" t="s">
        <v>2583</v>
      </c>
      <c r="C1250" t="s">
        <v>2584</v>
      </c>
      <c r="D1250" t="s">
        <v>2584</v>
      </c>
      <c r="F1250" t="s">
        <v>2305</v>
      </c>
    </row>
    <row r="1251" spans="1:6" x14ac:dyDescent="0.2">
      <c r="A1251" t="s">
        <v>2333</v>
      </c>
      <c r="B1251" t="s">
        <v>2585</v>
      </c>
      <c r="C1251" t="s">
        <v>2586</v>
      </c>
      <c r="D1251" t="s">
        <v>2586</v>
      </c>
      <c r="F1251" t="s">
        <v>2305</v>
      </c>
    </row>
    <row r="1252" spans="1:6" x14ac:dyDescent="0.2">
      <c r="A1252" t="s">
        <v>2333</v>
      </c>
      <c r="B1252" t="s">
        <v>2587</v>
      </c>
      <c r="C1252" t="s">
        <v>2588</v>
      </c>
      <c r="D1252" t="s">
        <v>2588</v>
      </c>
      <c r="F1252" t="s">
        <v>2305</v>
      </c>
    </row>
    <row r="1253" spans="1:6" x14ac:dyDescent="0.2">
      <c r="A1253" t="s">
        <v>2333</v>
      </c>
      <c r="B1253" t="s">
        <v>2589</v>
      </c>
      <c r="C1253" t="s">
        <v>2590</v>
      </c>
      <c r="D1253" t="s">
        <v>2590</v>
      </c>
      <c r="F1253" t="s">
        <v>2305</v>
      </c>
    </row>
    <row r="1254" spans="1:6" x14ac:dyDescent="0.2">
      <c r="A1254" t="s">
        <v>2333</v>
      </c>
      <c r="B1254" t="s">
        <v>2591</v>
      </c>
      <c r="C1254" t="s">
        <v>2592</v>
      </c>
      <c r="D1254" t="s">
        <v>2592</v>
      </c>
      <c r="F1254" t="s">
        <v>2305</v>
      </c>
    </row>
    <row r="1255" spans="1:6" x14ac:dyDescent="0.2">
      <c r="A1255" t="s">
        <v>2333</v>
      </c>
      <c r="B1255" t="s">
        <v>2593</v>
      </c>
      <c r="C1255" t="s">
        <v>2594</v>
      </c>
      <c r="D1255" t="s">
        <v>2594</v>
      </c>
      <c r="F1255" t="s">
        <v>2305</v>
      </c>
    </row>
    <row r="1256" spans="1:6" x14ac:dyDescent="0.2">
      <c r="A1256" t="s">
        <v>2333</v>
      </c>
      <c r="B1256" t="s">
        <v>2595</v>
      </c>
      <c r="C1256" t="s">
        <v>2596</v>
      </c>
      <c r="D1256" t="s">
        <v>2596</v>
      </c>
      <c r="F1256" t="s">
        <v>2305</v>
      </c>
    </row>
    <row r="1257" spans="1:6" x14ac:dyDescent="0.2">
      <c r="A1257" t="s">
        <v>2333</v>
      </c>
      <c r="B1257" t="s">
        <v>2597</v>
      </c>
      <c r="C1257" t="s">
        <v>2598</v>
      </c>
      <c r="D1257" t="s">
        <v>2598</v>
      </c>
      <c r="F1257" t="s">
        <v>2305</v>
      </c>
    </row>
    <row r="1258" spans="1:6" x14ac:dyDescent="0.2">
      <c r="A1258" t="s">
        <v>2333</v>
      </c>
      <c r="B1258" t="s">
        <v>2599</v>
      </c>
      <c r="C1258" t="s">
        <v>2600</v>
      </c>
      <c r="D1258" t="s">
        <v>2600</v>
      </c>
      <c r="F1258" t="s">
        <v>2305</v>
      </c>
    </row>
    <row r="1259" spans="1:6" x14ac:dyDescent="0.2">
      <c r="A1259" t="s">
        <v>2333</v>
      </c>
      <c r="B1259" t="s">
        <v>2601</v>
      </c>
      <c r="C1259" t="s">
        <v>2602</v>
      </c>
      <c r="D1259" t="s">
        <v>2602</v>
      </c>
      <c r="F1259" t="s">
        <v>2305</v>
      </c>
    </row>
    <row r="1260" spans="1:6" x14ac:dyDescent="0.2">
      <c r="A1260" t="s">
        <v>2333</v>
      </c>
      <c r="B1260" t="s">
        <v>2603</v>
      </c>
      <c r="C1260" t="s">
        <v>2604</v>
      </c>
      <c r="D1260" t="s">
        <v>2604</v>
      </c>
      <c r="F1260" t="s">
        <v>2305</v>
      </c>
    </row>
    <row r="1261" spans="1:6" x14ac:dyDescent="0.2">
      <c r="A1261" t="s">
        <v>2333</v>
      </c>
      <c r="B1261" t="s">
        <v>2605</v>
      </c>
      <c r="C1261" t="s">
        <v>2606</v>
      </c>
      <c r="D1261" t="s">
        <v>2606</v>
      </c>
      <c r="F1261" t="s">
        <v>2307</v>
      </c>
    </row>
    <row r="1262" spans="1:6" x14ac:dyDescent="0.2">
      <c r="A1262" t="s">
        <v>2333</v>
      </c>
      <c r="B1262" t="s">
        <v>2607</v>
      </c>
      <c r="C1262" t="s">
        <v>2608</v>
      </c>
      <c r="D1262" t="s">
        <v>2608</v>
      </c>
      <c r="F1262" t="s">
        <v>2307</v>
      </c>
    </row>
    <row r="1263" spans="1:6" x14ac:dyDescent="0.2">
      <c r="A1263" t="s">
        <v>2333</v>
      </c>
      <c r="B1263" t="s">
        <v>2609</v>
      </c>
      <c r="C1263" t="s">
        <v>2610</v>
      </c>
      <c r="D1263" t="s">
        <v>2610</v>
      </c>
      <c r="F1263" t="s">
        <v>2307</v>
      </c>
    </row>
    <row r="1264" spans="1:6" x14ac:dyDescent="0.2">
      <c r="A1264" t="s">
        <v>2333</v>
      </c>
      <c r="B1264" t="s">
        <v>2611</v>
      </c>
      <c r="C1264" t="s">
        <v>2612</v>
      </c>
      <c r="D1264" t="s">
        <v>2612</v>
      </c>
      <c r="F1264" t="s">
        <v>2307</v>
      </c>
    </row>
    <row r="1265" spans="1:6" x14ac:dyDescent="0.2">
      <c r="A1265" t="s">
        <v>2333</v>
      </c>
      <c r="B1265" t="s">
        <v>2613</v>
      </c>
      <c r="C1265" t="s">
        <v>2614</v>
      </c>
      <c r="D1265" t="s">
        <v>2614</v>
      </c>
      <c r="F1265" t="s">
        <v>2307</v>
      </c>
    </row>
    <row r="1266" spans="1:6" x14ac:dyDescent="0.2">
      <c r="A1266" t="s">
        <v>2333</v>
      </c>
      <c r="B1266" t="s">
        <v>2615</v>
      </c>
      <c r="C1266" t="s">
        <v>2616</v>
      </c>
      <c r="D1266" t="s">
        <v>2616</v>
      </c>
      <c r="F1266" t="s">
        <v>2307</v>
      </c>
    </row>
    <row r="1267" spans="1:6" x14ac:dyDescent="0.2">
      <c r="A1267" t="s">
        <v>2333</v>
      </c>
      <c r="B1267" t="s">
        <v>2617</v>
      </c>
      <c r="C1267" t="s">
        <v>2618</v>
      </c>
      <c r="D1267" t="s">
        <v>2618</v>
      </c>
      <c r="F1267" t="s">
        <v>2307</v>
      </c>
    </row>
    <row r="1268" spans="1:6" x14ac:dyDescent="0.2">
      <c r="A1268" t="s">
        <v>2333</v>
      </c>
      <c r="B1268" t="s">
        <v>2619</v>
      </c>
      <c r="C1268" t="s">
        <v>2620</v>
      </c>
      <c r="D1268" t="s">
        <v>2620</v>
      </c>
      <c r="F1268" t="s">
        <v>2307</v>
      </c>
    </row>
    <row r="1269" spans="1:6" x14ac:dyDescent="0.2">
      <c r="A1269" t="s">
        <v>2333</v>
      </c>
      <c r="B1269" t="s">
        <v>2621</v>
      </c>
      <c r="C1269" t="s">
        <v>2622</v>
      </c>
      <c r="D1269" t="s">
        <v>2622</v>
      </c>
      <c r="F1269" t="s">
        <v>2307</v>
      </c>
    </row>
    <row r="1270" spans="1:6" x14ac:dyDescent="0.2">
      <c r="A1270" t="s">
        <v>2333</v>
      </c>
      <c r="B1270" t="s">
        <v>2623</v>
      </c>
      <c r="C1270" t="s">
        <v>2624</v>
      </c>
      <c r="D1270" t="s">
        <v>2624</v>
      </c>
      <c r="F1270" t="s">
        <v>2307</v>
      </c>
    </row>
    <row r="1271" spans="1:6" x14ac:dyDescent="0.2">
      <c r="A1271" t="s">
        <v>2333</v>
      </c>
      <c r="B1271" t="s">
        <v>2625</v>
      </c>
      <c r="C1271" t="s">
        <v>2626</v>
      </c>
      <c r="D1271" t="s">
        <v>2626</v>
      </c>
      <c r="F1271" t="s">
        <v>2307</v>
      </c>
    </row>
    <row r="1272" spans="1:6" x14ac:dyDescent="0.2">
      <c r="A1272" t="s">
        <v>2333</v>
      </c>
      <c r="B1272" t="s">
        <v>2627</v>
      </c>
      <c r="C1272" t="s">
        <v>2628</v>
      </c>
      <c r="D1272" t="s">
        <v>2628</v>
      </c>
      <c r="F1272" t="s">
        <v>2307</v>
      </c>
    </row>
    <row r="1273" spans="1:6" x14ac:dyDescent="0.2">
      <c r="A1273" t="s">
        <v>2333</v>
      </c>
      <c r="B1273" t="s">
        <v>2629</v>
      </c>
      <c r="C1273" t="s">
        <v>2630</v>
      </c>
      <c r="D1273" t="s">
        <v>2630</v>
      </c>
      <c r="F1273" t="s">
        <v>2307</v>
      </c>
    </row>
    <row r="1274" spans="1:6" x14ac:dyDescent="0.2">
      <c r="A1274" t="s">
        <v>2333</v>
      </c>
      <c r="B1274" t="s">
        <v>2631</v>
      </c>
      <c r="C1274" t="s">
        <v>2632</v>
      </c>
      <c r="D1274" t="s">
        <v>2632</v>
      </c>
      <c r="F1274" t="s">
        <v>2307</v>
      </c>
    </row>
    <row r="1275" spans="1:6" x14ac:dyDescent="0.2">
      <c r="A1275" t="s">
        <v>2333</v>
      </c>
      <c r="B1275" t="s">
        <v>2633</v>
      </c>
      <c r="C1275" t="s">
        <v>2634</v>
      </c>
      <c r="D1275" t="s">
        <v>2634</v>
      </c>
      <c r="F1275" t="s">
        <v>2307</v>
      </c>
    </row>
    <row r="1276" spans="1:6" x14ac:dyDescent="0.2">
      <c r="A1276" t="s">
        <v>2333</v>
      </c>
      <c r="B1276" t="s">
        <v>2635</v>
      </c>
      <c r="C1276" t="s">
        <v>2636</v>
      </c>
      <c r="D1276" t="s">
        <v>2636</v>
      </c>
      <c r="F1276" t="s">
        <v>2307</v>
      </c>
    </row>
    <row r="1277" spans="1:6" x14ac:dyDescent="0.2">
      <c r="A1277" t="s">
        <v>2333</v>
      </c>
      <c r="B1277" t="s">
        <v>2637</v>
      </c>
      <c r="C1277" t="s">
        <v>2638</v>
      </c>
      <c r="D1277" t="s">
        <v>2638</v>
      </c>
      <c r="F1277" t="s">
        <v>2307</v>
      </c>
    </row>
    <row r="1278" spans="1:6" x14ac:dyDescent="0.2">
      <c r="A1278" t="s">
        <v>2333</v>
      </c>
      <c r="B1278" t="s">
        <v>2639</v>
      </c>
      <c r="C1278" t="s">
        <v>2640</v>
      </c>
      <c r="D1278" t="s">
        <v>2640</v>
      </c>
      <c r="F1278" t="s">
        <v>2307</v>
      </c>
    </row>
    <row r="1279" spans="1:6" x14ac:dyDescent="0.2">
      <c r="A1279" t="s">
        <v>2333</v>
      </c>
      <c r="B1279" t="s">
        <v>2641</v>
      </c>
      <c r="C1279" t="s">
        <v>2642</v>
      </c>
      <c r="D1279" t="s">
        <v>2642</v>
      </c>
      <c r="F1279" t="s">
        <v>2307</v>
      </c>
    </row>
    <row r="1280" spans="1:6" x14ac:dyDescent="0.2">
      <c r="A1280" t="s">
        <v>2333</v>
      </c>
      <c r="B1280" t="s">
        <v>2643</v>
      </c>
      <c r="C1280" t="s">
        <v>2644</v>
      </c>
      <c r="D1280" t="s">
        <v>2644</v>
      </c>
      <c r="F1280" t="s">
        <v>2307</v>
      </c>
    </row>
    <row r="1281" spans="1:6" x14ac:dyDescent="0.2">
      <c r="A1281" t="s">
        <v>2333</v>
      </c>
      <c r="B1281" t="s">
        <v>2645</v>
      </c>
      <c r="C1281" t="s">
        <v>2646</v>
      </c>
      <c r="D1281" t="s">
        <v>2646</v>
      </c>
      <c r="F1281" t="s">
        <v>2307</v>
      </c>
    </row>
    <row r="1282" spans="1:6" x14ac:dyDescent="0.2">
      <c r="A1282" t="s">
        <v>2333</v>
      </c>
      <c r="B1282" t="s">
        <v>2647</v>
      </c>
      <c r="C1282" t="s">
        <v>2310</v>
      </c>
      <c r="D1282" t="s">
        <v>2310</v>
      </c>
      <c r="F1282" t="s">
        <v>2309</v>
      </c>
    </row>
    <row r="1283" spans="1:6" x14ac:dyDescent="0.2">
      <c r="A1283" t="s">
        <v>2333</v>
      </c>
      <c r="B1283" t="s">
        <v>2648</v>
      </c>
      <c r="C1283" t="s">
        <v>2649</v>
      </c>
      <c r="D1283" t="s">
        <v>2649</v>
      </c>
      <c r="F1283" t="s">
        <v>2309</v>
      </c>
    </row>
    <row r="1284" spans="1:6" x14ac:dyDescent="0.2">
      <c r="A1284" t="s">
        <v>2333</v>
      </c>
      <c r="B1284" t="s">
        <v>2650</v>
      </c>
      <c r="C1284" t="s">
        <v>2651</v>
      </c>
      <c r="D1284" t="s">
        <v>2651</v>
      </c>
      <c r="F1284" t="s">
        <v>2309</v>
      </c>
    </row>
    <row r="1285" spans="1:6" x14ac:dyDescent="0.2">
      <c r="A1285" t="s">
        <v>2333</v>
      </c>
      <c r="B1285" t="s">
        <v>2652</v>
      </c>
      <c r="C1285" t="s">
        <v>2653</v>
      </c>
      <c r="D1285" t="s">
        <v>2653</v>
      </c>
      <c r="F1285" t="s">
        <v>2309</v>
      </c>
    </row>
    <row r="1286" spans="1:6" x14ac:dyDescent="0.2">
      <c r="A1286" t="s">
        <v>2333</v>
      </c>
      <c r="B1286" t="s">
        <v>2654</v>
      </c>
      <c r="C1286" t="s">
        <v>2655</v>
      </c>
      <c r="D1286" t="s">
        <v>2655</v>
      </c>
      <c r="F1286" t="s">
        <v>2309</v>
      </c>
    </row>
    <row r="1287" spans="1:6" x14ac:dyDescent="0.2">
      <c r="A1287" t="s">
        <v>2333</v>
      </c>
      <c r="B1287" t="s">
        <v>2656</v>
      </c>
      <c r="C1287" t="s">
        <v>2657</v>
      </c>
      <c r="D1287" t="s">
        <v>2657</v>
      </c>
      <c r="F1287" t="s">
        <v>2309</v>
      </c>
    </row>
    <row r="1288" spans="1:6" x14ac:dyDescent="0.2">
      <c r="A1288" t="s">
        <v>2333</v>
      </c>
      <c r="B1288" t="s">
        <v>2658</v>
      </c>
      <c r="C1288" t="s">
        <v>2659</v>
      </c>
      <c r="D1288" t="s">
        <v>2659</v>
      </c>
      <c r="F1288" t="s">
        <v>2309</v>
      </c>
    </row>
    <row r="1289" spans="1:6" x14ac:dyDescent="0.2">
      <c r="A1289" t="s">
        <v>2333</v>
      </c>
      <c r="B1289" t="s">
        <v>2660</v>
      </c>
      <c r="C1289" t="s">
        <v>2661</v>
      </c>
      <c r="D1289" t="s">
        <v>2661</v>
      </c>
      <c r="F1289" t="s">
        <v>2309</v>
      </c>
    </row>
    <row r="1290" spans="1:6" x14ac:dyDescent="0.2">
      <c r="A1290" t="s">
        <v>2333</v>
      </c>
      <c r="B1290" t="s">
        <v>2662</v>
      </c>
      <c r="C1290" t="s">
        <v>2663</v>
      </c>
      <c r="D1290" t="s">
        <v>2663</v>
      </c>
      <c r="F1290" t="s">
        <v>2309</v>
      </c>
    </row>
    <row r="1291" spans="1:6" x14ac:dyDescent="0.2">
      <c r="A1291" t="s">
        <v>2333</v>
      </c>
      <c r="B1291" t="s">
        <v>2664</v>
      </c>
      <c r="C1291" t="s">
        <v>2312</v>
      </c>
      <c r="D1291" t="s">
        <v>2312</v>
      </c>
      <c r="F1291" t="s">
        <v>2311</v>
      </c>
    </row>
    <row r="1292" spans="1:6" x14ac:dyDescent="0.2">
      <c r="A1292" t="s">
        <v>2333</v>
      </c>
      <c r="B1292" t="s">
        <v>2665</v>
      </c>
      <c r="C1292" t="s">
        <v>2353</v>
      </c>
      <c r="D1292" t="s">
        <v>2353</v>
      </c>
      <c r="F1292" t="s">
        <v>2311</v>
      </c>
    </row>
    <row r="1293" spans="1:6" x14ac:dyDescent="0.2">
      <c r="A1293" t="s">
        <v>2333</v>
      </c>
      <c r="B1293" t="s">
        <v>2666</v>
      </c>
      <c r="C1293" t="s">
        <v>2667</v>
      </c>
      <c r="D1293" t="s">
        <v>2667</v>
      </c>
      <c r="F1293" t="s">
        <v>2311</v>
      </c>
    </row>
    <row r="1294" spans="1:6" x14ac:dyDescent="0.2">
      <c r="A1294" t="s">
        <v>2333</v>
      </c>
      <c r="B1294" t="s">
        <v>2668</v>
      </c>
      <c r="C1294" t="s">
        <v>2669</v>
      </c>
      <c r="D1294" t="s">
        <v>2669</v>
      </c>
      <c r="F1294" t="s">
        <v>2311</v>
      </c>
    </row>
    <row r="1295" spans="1:6" x14ac:dyDescent="0.2">
      <c r="A1295" t="s">
        <v>2333</v>
      </c>
      <c r="B1295" t="s">
        <v>2670</v>
      </c>
      <c r="C1295" t="s">
        <v>2671</v>
      </c>
      <c r="D1295" t="s">
        <v>2671</v>
      </c>
      <c r="F1295" t="s">
        <v>2311</v>
      </c>
    </row>
    <row r="1296" spans="1:6" x14ac:dyDescent="0.2">
      <c r="A1296" t="s">
        <v>2333</v>
      </c>
      <c r="B1296" t="s">
        <v>2672</v>
      </c>
      <c r="C1296" t="s">
        <v>2673</v>
      </c>
      <c r="D1296" t="s">
        <v>2673</v>
      </c>
      <c r="F1296" t="s">
        <v>2311</v>
      </c>
    </row>
    <row r="1297" spans="1:6" x14ac:dyDescent="0.2">
      <c r="A1297" t="s">
        <v>2333</v>
      </c>
      <c r="B1297" t="s">
        <v>2674</v>
      </c>
      <c r="C1297" t="s">
        <v>2675</v>
      </c>
      <c r="D1297" t="s">
        <v>2675</v>
      </c>
      <c r="F1297" t="s">
        <v>2311</v>
      </c>
    </row>
    <row r="1298" spans="1:6" x14ac:dyDescent="0.2">
      <c r="A1298" t="s">
        <v>2333</v>
      </c>
      <c r="B1298" t="s">
        <v>2676</v>
      </c>
      <c r="C1298" t="s">
        <v>2677</v>
      </c>
      <c r="D1298" t="s">
        <v>2677</v>
      </c>
      <c r="F1298" t="s">
        <v>2311</v>
      </c>
    </row>
    <row r="1299" spans="1:6" x14ac:dyDescent="0.2">
      <c r="A1299" t="s">
        <v>2333</v>
      </c>
      <c r="B1299" t="s">
        <v>2678</v>
      </c>
      <c r="C1299" t="s">
        <v>2679</v>
      </c>
      <c r="D1299" t="s">
        <v>2679</v>
      </c>
      <c r="F1299" t="s">
        <v>2311</v>
      </c>
    </row>
    <row r="1300" spans="1:6" x14ac:dyDescent="0.2">
      <c r="A1300" t="s">
        <v>2333</v>
      </c>
      <c r="B1300" t="s">
        <v>2680</v>
      </c>
      <c r="C1300" t="s">
        <v>2681</v>
      </c>
      <c r="D1300" t="s">
        <v>2681</v>
      </c>
      <c r="F1300" t="s">
        <v>2311</v>
      </c>
    </row>
    <row r="1301" spans="1:6" x14ac:dyDescent="0.2">
      <c r="A1301" t="s">
        <v>2333</v>
      </c>
      <c r="B1301" t="s">
        <v>2682</v>
      </c>
      <c r="C1301" t="s">
        <v>2683</v>
      </c>
      <c r="D1301" t="s">
        <v>2683</v>
      </c>
      <c r="F1301" t="s">
        <v>2311</v>
      </c>
    </row>
    <row r="1302" spans="1:6" x14ac:dyDescent="0.2">
      <c r="A1302" t="s">
        <v>2333</v>
      </c>
      <c r="B1302" t="s">
        <v>2684</v>
      </c>
      <c r="C1302" t="s">
        <v>2685</v>
      </c>
      <c r="D1302" t="s">
        <v>2685</v>
      </c>
      <c r="F1302" t="s">
        <v>2311</v>
      </c>
    </row>
    <row r="1303" spans="1:6" x14ac:dyDescent="0.2">
      <c r="A1303" t="s">
        <v>2333</v>
      </c>
      <c r="B1303" t="s">
        <v>2686</v>
      </c>
      <c r="C1303" t="s">
        <v>2687</v>
      </c>
      <c r="D1303" t="s">
        <v>2687</v>
      </c>
      <c r="F1303" t="s">
        <v>2311</v>
      </c>
    </row>
    <row r="1304" spans="1:6" x14ac:dyDescent="0.2">
      <c r="A1304" t="s">
        <v>2333</v>
      </c>
      <c r="B1304" t="s">
        <v>2688</v>
      </c>
      <c r="C1304" t="s">
        <v>2689</v>
      </c>
      <c r="D1304" t="s">
        <v>2689</v>
      </c>
      <c r="F1304" t="s">
        <v>2311</v>
      </c>
    </row>
    <row r="1305" spans="1:6" x14ac:dyDescent="0.2">
      <c r="A1305" t="s">
        <v>2333</v>
      </c>
      <c r="B1305" t="s">
        <v>2690</v>
      </c>
      <c r="C1305" t="s">
        <v>2691</v>
      </c>
      <c r="D1305" t="s">
        <v>2691</v>
      </c>
      <c r="F1305" t="s">
        <v>2311</v>
      </c>
    </row>
    <row r="1306" spans="1:6" x14ac:dyDescent="0.2">
      <c r="A1306" t="s">
        <v>2333</v>
      </c>
      <c r="B1306" t="s">
        <v>2692</v>
      </c>
      <c r="C1306" t="s">
        <v>2693</v>
      </c>
      <c r="D1306" t="s">
        <v>2693</v>
      </c>
      <c r="F1306" t="s">
        <v>2311</v>
      </c>
    </row>
    <row r="1307" spans="1:6" x14ac:dyDescent="0.2">
      <c r="A1307" t="s">
        <v>2333</v>
      </c>
      <c r="B1307" t="s">
        <v>2694</v>
      </c>
      <c r="C1307" t="s">
        <v>2695</v>
      </c>
      <c r="D1307" t="s">
        <v>2695</v>
      </c>
      <c r="F1307" t="s">
        <v>2311</v>
      </c>
    </row>
    <row r="1308" spans="1:6" x14ac:dyDescent="0.2">
      <c r="A1308" t="s">
        <v>2333</v>
      </c>
      <c r="B1308" t="s">
        <v>2696</v>
      </c>
      <c r="C1308" t="s">
        <v>2697</v>
      </c>
      <c r="D1308" t="s">
        <v>2697</v>
      </c>
      <c r="F1308" t="s">
        <v>2311</v>
      </c>
    </row>
    <row r="1309" spans="1:6" x14ac:dyDescent="0.2">
      <c r="A1309" t="s">
        <v>2333</v>
      </c>
      <c r="B1309" t="s">
        <v>2698</v>
      </c>
      <c r="C1309" t="s">
        <v>2699</v>
      </c>
      <c r="D1309" t="s">
        <v>2699</v>
      </c>
      <c r="F1309" t="s">
        <v>2311</v>
      </c>
    </row>
    <row r="1310" spans="1:6" x14ac:dyDescent="0.2">
      <c r="A1310" t="s">
        <v>2333</v>
      </c>
      <c r="B1310" t="s">
        <v>2700</v>
      </c>
      <c r="C1310" t="s">
        <v>2701</v>
      </c>
      <c r="D1310" t="s">
        <v>2701</v>
      </c>
      <c r="F1310" t="s">
        <v>2311</v>
      </c>
    </row>
    <row r="1311" spans="1:6" x14ac:dyDescent="0.2">
      <c r="A1311" t="s">
        <v>2333</v>
      </c>
      <c r="B1311" t="s">
        <v>2702</v>
      </c>
      <c r="C1311" t="s">
        <v>2703</v>
      </c>
      <c r="D1311" t="s">
        <v>2703</v>
      </c>
      <c r="F1311" t="s">
        <v>2311</v>
      </c>
    </row>
    <row r="1312" spans="1:6" x14ac:dyDescent="0.2">
      <c r="A1312" t="s">
        <v>2333</v>
      </c>
      <c r="B1312" t="s">
        <v>2704</v>
      </c>
      <c r="C1312" t="s">
        <v>2705</v>
      </c>
      <c r="D1312" t="s">
        <v>2705</v>
      </c>
      <c r="F1312" t="s">
        <v>2311</v>
      </c>
    </row>
    <row r="1313" spans="1:6" x14ac:dyDescent="0.2">
      <c r="A1313" t="s">
        <v>2333</v>
      </c>
      <c r="B1313" t="s">
        <v>2706</v>
      </c>
      <c r="C1313" t="s">
        <v>2707</v>
      </c>
      <c r="D1313" t="s">
        <v>2707</v>
      </c>
      <c r="F1313" t="s">
        <v>2311</v>
      </c>
    </row>
    <row r="1314" spans="1:6" x14ac:dyDescent="0.2">
      <c r="A1314" t="s">
        <v>2333</v>
      </c>
      <c r="B1314" t="s">
        <v>2708</v>
      </c>
      <c r="C1314" t="s">
        <v>2709</v>
      </c>
      <c r="D1314" t="s">
        <v>2709</v>
      </c>
      <c r="F1314" t="s">
        <v>2311</v>
      </c>
    </row>
    <row r="1315" spans="1:6" x14ac:dyDescent="0.2">
      <c r="A1315" t="s">
        <v>2333</v>
      </c>
      <c r="B1315" t="s">
        <v>2710</v>
      </c>
      <c r="C1315" t="s">
        <v>2711</v>
      </c>
      <c r="D1315" t="s">
        <v>2711</v>
      </c>
      <c r="F1315" t="s">
        <v>2311</v>
      </c>
    </row>
    <row r="1316" spans="1:6" x14ac:dyDescent="0.2">
      <c r="A1316" t="s">
        <v>2333</v>
      </c>
      <c r="B1316" t="s">
        <v>2712</v>
      </c>
      <c r="C1316" t="s">
        <v>2713</v>
      </c>
      <c r="D1316" t="s">
        <v>2713</v>
      </c>
      <c r="F1316" t="s">
        <v>2311</v>
      </c>
    </row>
    <row r="1317" spans="1:6" x14ac:dyDescent="0.2">
      <c r="A1317" t="s">
        <v>2333</v>
      </c>
      <c r="B1317" t="s">
        <v>2714</v>
      </c>
      <c r="C1317" t="s">
        <v>2715</v>
      </c>
      <c r="D1317" t="s">
        <v>2715</v>
      </c>
      <c r="F1317" t="s">
        <v>2311</v>
      </c>
    </row>
    <row r="1318" spans="1:6" x14ac:dyDescent="0.2">
      <c r="A1318" t="s">
        <v>2333</v>
      </c>
      <c r="B1318" t="s">
        <v>2716</v>
      </c>
      <c r="C1318" t="s">
        <v>2717</v>
      </c>
      <c r="D1318" t="s">
        <v>2717</v>
      </c>
      <c r="F1318" t="s">
        <v>2311</v>
      </c>
    </row>
    <row r="1319" spans="1:6" x14ac:dyDescent="0.2">
      <c r="A1319" t="s">
        <v>2333</v>
      </c>
      <c r="B1319" t="s">
        <v>2718</v>
      </c>
      <c r="C1319" t="s">
        <v>2618</v>
      </c>
      <c r="D1319" t="s">
        <v>2618</v>
      </c>
      <c r="F1319" t="s">
        <v>2311</v>
      </c>
    </row>
    <row r="1320" spans="1:6" x14ac:dyDescent="0.2">
      <c r="A1320" t="s">
        <v>2333</v>
      </c>
      <c r="B1320" t="s">
        <v>2719</v>
      </c>
      <c r="C1320" t="s">
        <v>2720</v>
      </c>
      <c r="D1320" t="s">
        <v>2720</v>
      </c>
      <c r="F1320" t="s">
        <v>2311</v>
      </c>
    </row>
    <row r="1321" spans="1:6" x14ac:dyDescent="0.2">
      <c r="A1321" t="s">
        <v>2333</v>
      </c>
      <c r="B1321" t="s">
        <v>2721</v>
      </c>
      <c r="C1321" t="s">
        <v>2314</v>
      </c>
      <c r="D1321" t="s">
        <v>2314</v>
      </c>
      <c r="F1321" t="s">
        <v>2313</v>
      </c>
    </row>
    <row r="1322" spans="1:6" x14ac:dyDescent="0.2">
      <c r="A1322" t="s">
        <v>2333</v>
      </c>
      <c r="B1322" t="s">
        <v>2722</v>
      </c>
      <c r="C1322" t="s">
        <v>2723</v>
      </c>
      <c r="D1322" t="s">
        <v>2723</v>
      </c>
      <c r="F1322" t="s">
        <v>2313</v>
      </c>
    </row>
    <row r="1323" spans="1:6" x14ac:dyDescent="0.2">
      <c r="A1323" t="s">
        <v>2333</v>
      </c>
      <c r="B1323" t="s">
        <v>2724</v>
      </c>
      <c r="C1323" t="s">
        <v>2725</v>
      </c>
      <c r="D1323" t="s">
        <v>2725</v>
      </c>
      <c r="F1323" t="s">
        <v>2313</v>
      </c>
    </row>
    <row r="1324" spans="1:6" x14ac:dyDescent="0.2">
      <c r="A1324" t="s">
        <v>2333</v>
      </c>
      <c r="B1324" t="s">
        <v>2726</v>
      </c>
      <c r="C1324" t="s">
        <v>2727</v>
      </c>
      <c r="D1324" t="s">
        <v>2727</v>
      </c>
      <c r="F1324" t="s">
        <v>2313</v>
      </c>
    </row>
    <row r="1325" spans="1:6" x14ac:dyDescent="0.2">
      <c r="A1325" t="s">
        <v>2333</v>
      </c>
      <c r="B1325" t="s">
        <v>2728</v>
      </c>
      <c r="C1325" t="s">
        <v>2729</v>
      </c>
      <c r="D1325" t="s">
        <v>2729</v>
      </c>
      <c r="F1325" t="s">
        <v>2313</v>
      </c>
    </row>
    <row r="1326" spans="1:6" x14ac:dyDescent="0.2">
      <c r="A1326" t="s">
        <v>2333</v>
      </c>
      <c r="B1326" t="s">
        <v>2730</v>
      </c>
      <c r="C1326" t="s">
        <v>2731</v>
      </c>
      <c r="D1326" t="s">
        <v>2731</v>
      </c>
      <c r="F1326" t="s">
        <v>2313</v>
      </c>
    </row>
    <row r="1327" spans="1:6" x14ac:dyDescent="0.2">
      <c r="A1327" t="s">
        <v>2333</v>
      </c>
      <c r="B1327" t="s">
        <v>2732</v>
      </c>
      <c r="C1327" t="s">
        <v>2733</v>
      </c>
      <c r="D1327" t="s">
        <v>2733</v>
      </c>
      <c r="F1327" t="s">
        <v>2313</v>
      </c>
    </row>
    <row r="1328" spans="1:6" x14ac:dyDescent="0.2">
      <c r="A1328" t="s">
        <v>2333</v>
      </c>
      <c r="B1328" t="s">
        <v>2734</v>
      </c>
      <c r="C1328" t="s">
        <v>2735</v>
      </c>
      <c r="D1328" t="s">
        <v>2735</v>
      </c>
      <c r="F1328" t="s">
        <v>2313</v>
      </c>
    </row>
    <row r="1329" spans="1:6" x14ac:dyDescent="0.2">
      <c r="A1329" t="s">
        <v>2333</v>
      </c>
      <c r="B1329" t="s">
        <v>2736</v>
      </c>
      <c r="C1329" t="s">
        <v>2737</v>
      </c>
      <c r="D1329" t="s">
        <v>2737</v>
      </c>
      <c r="F1329" t="s">
        <v>2313</v>
      </c>
    </row>
    <row r="1330" spans="1:6" x14ac:dyDescent="0.2">
      <c r="A1330" t="s">
        <v>2333</v>
      </c>
      <c r="B1330" t="s">
        <v>2738</v>
      </c>
      <c r="C1330" t="s">
        <v>2634</v>
      </c>
      <c r="D1330" t="s">
        <v>2634</v>
      </c>
      <c r="F1330" t="s">
        <v>2313</v>
      </c>
    </row>
    <row r="1331" spans="1:6" x14ac:dyDescent="0.2">
      <c r="A1331" t="s">
        <v>2333</v>
      </c>
      <c r="B1331" t="s">
        <v>2739</v>
      </c>
      <c r="C1331" t="s">
        <v>2740</v>
      </c>
      <c r="D1331" t="s">
        <v>2740</v>
      </c>
      <c r="F1331" t="s">
        <v>2313</v>
      </c>
    </row>
    <row r="1332" spans="1:6" x14ac:dyDescent="0.2">
      <c r="A1332" t="s">
        <v>2333</v>
      </c>
      <c r="B1332" t="s">
        <v>2741</v>
      </c>
      <c r="C1332" t="s">
        <v>2453</v>
      </c>
      <c r="D1332" t="s">
        <v>2453</v>
      </c>
      <c r="F1332" t="s">
        <v>2313</v>
      </c>
    </row>
    <row r="1333" spans="1:6" x14ac:dyDescent="0.2">
      <c r="A1333" t="s">
        <v>2333</v>
      </c>
      <c r="B1333" t="s">
        <v>2742</v>
      </c>
      <c r="C1333" t="s">
        <v>2743</v>
      </c>
      <c r="D1333" t="s">
        <v>2743</v>
      </c>
      <c r="F1333" t="s">
        <v>2313</v>
      </c>
    </row>
    <row r="1334" spans="1:6" x14ac:dyDescent="0.2">
      <c r="A1334" t="s">
        <v>2333</v>
      </c>
      <c r="B1334" t="s">
        <v>2744</v>
      </c>
      <c r="C1334" t="s">
        <v>2745</v>
      </c>
      <c r="D1334" t="s">
        <v>2745</v>
      </c>
      <c r="F1334" t="s">
        <v>2313</v>
      </c>
    </row>
    <row r="1335" spans="1:6" x14ac:dyDescent="0.2">
      <c r="A1335" t="s">
        <v>2333</v>
      </c>
      <c r="B1335" t="s">
        <v>2746</v>
      </c>
      <c r="C1335" t="s">
        <v>2747</v>
      </c>
      <c r="D1335" t="s">
        <v>2747</v>
      </c>
      <c r="F1335" t="s">
        <v>2313</v>
      </c>
    </row>
    <row r="1336" spans="1:6" x14ac:dyDescent="0.2">
      <c r="A1336" t="s">
        <v>2333</v>
      </c>
      <c r="B1336" t="s">
        <v>2748</v>
      </c>
      <c r="C1336" t="s">
        <v>2749</v>
      </c>
      <c r="D1336" t="s">
        <v>2749</v>
      </c>
      <c r="F1336" t="s">
        <v>2313</v>
      </c>
    </row>
    <row r="1337" spans="1:6" x14ac:dyDescent="0.2">
      <c r="A1337" t="s">
        <v>2333</v>
      </c>
      <c r="B1337" t="s">
        <v>2750</v>
      </c>
      <c r="C1337" t="s">
        <v>2751</v>
      </c>
      <c r="D1337" t="s">
        <v>2751</v>
      </c>
      <c r="F1337" t="s">
        <v>2313</v>
      </c>
    </row>
    <row r="1338" spans="1:6" x14ac:dyDescent="0.2">
      <c r="A1338" t="s">
        <v>2333</v>
      </c>
      <c r="B1338" t="s">
        <v>2752</v>
      </c>
      <c r="C1338" t="s">
        <v>2753</v>
      </c>
      <c r="D1338" t="s">
        <v>2753</v>
      </c>
      <c r="F1338" t="s">
        <v>2313</v>
      </c>
    </row>
    <row r="1339" spans="1:6" x14ac:dyDescent="0.2">
      <c r="A1339" t="s">
        <v>2333</v>
      </c>
      <c r="B1339" t="s">
        <v>2754</v>
      </c>
      <c r="C1339" t="s">
        <v>2755</v>
      </c>
      <c r="D1339" t="s">
        <v>2755</v>
      </c>
      <c r="F1339" t="s">
        <v>2313</v>
      </c>
    </row>
    <row r="1340" spans="1:6" x14ac:dyDescent="0.2">
      <c r="A1340" t="s">
        <v>2333</v>
      </c>
      <c r="B1340" t="s">
        <v>2756</v>
      </c>
      <c r="C1340" t="s">
        <v>2757</v>
      </c>
      <c r="D1340" t="s">
        <v>2757</v>
      </c>
      <c r="F1340" t="s">
        <v>2313</v>
      </c>
    </row>
    <row r="1341" spans="1:6" x14ac:dyDescent="0.2">
      <c r="A1341" t="s">
        <v>2333</v>
      </c>
      <c r="B1341" t="s">
        <v>2758</v>
      </c>
      <c r="C1341" t="s">
        <v>2759</v>
      </c>
      <c r="D1341" t="s">
        <v>2759</v>
      </c>
      <c r="F1341" t="s">
        <v>2313</v>
      </c>
    </row>
    <row r="1342" spans="1:6" x14ac:dyDescent="0.2">
      <c r="A1342" t="s">
        <v>2333</v>
      </c>
      <c r="B1342" t="s">
        <v>2760</v>
      </c>
      <c r="C1342" t="s">
        <v>2761</v>
      </c>
      <c r="D1342" t="s">
        <v>2761</v>
      </c>
      <c r="F1342" t="s">
        <v>2313</v>
      </c>
    </row>
    <row r="1343" spans="1:6" x14ac:dyDescent="0.2">
      <c r="A1343" t="s">
        <v>2333</v>
      </c>
      <c r="B1343" t="s">
        <v>2762</v>
      </c>
      <c r="C1343" t="s">
        <v>2763</v>
      </c>
      <c r="D1343" t="s">
        <v>2763</v>
      </c>
      <c r="F1343" t="s">
        <v>2313</v>
      </c>
    </row>
    <row r="1344" spans="1:6" x14ac:dyDescent="0.2">
      <c r="A1344" t="s">
        <v>2333</v>
      </c>
      <c r="B1344" t="s">
        <v>2764</v>
      </c>
      <c r="C1344" t="s">
        <v>2765</v>
      </c>
      <c r="D1344" t="s">
        <v>2765</v>
      </c>
      <c r="F1344" t="s">
        <v>2313</v>
      </c>
    </row>
    <row r="1345" spans="1:6" x14ac:dyDescent="0.2">
      <c r="A1345" t="s">
        <v>2333</v>
      </c>
      <c r="B1345" t="s">
        <v>2766</v>
      </c>
      <c r="C1345" t="s">
        <v>2767</v>
      </c>
      <c r="D1345" t="s">
        <v>2767</v>
      </c>
      <c r="F1345" t="s">
        <v>2313</v>
      </c>
    </row>
    <row r="1346" spans="1:6" x14ac:dyDescent="0.2">
      <c r="A1346" t="s">
        <v>2333</v>
      </c>
      <c r="B1346" t="s">
        <v>2768</v>
      </c>
      <c r="C1346" t="s">
        <v>2769</v>
      </c>
      <c r="D1346" t="s">
        <v>2769</v>
      </c>
      <c r="F1346" t="s">
        <v>2313</v>
      </c>
    </row>
    <row r="1347" spans="1:6" x14ac:dyDescent="0.2">
      <c r="A1347" t="s">
        <v>2333</v>
      </c>
      <c r="B1347" t="s">
        <v>2770</v>
      </c>
      <c r="C1347" t="s">
        <v>2771</v>
      </c>
      <c r="D1347" t="s">
        <v>2771</v>
      </c>
      <c r="F1347" t="s">
        <v>2313</v>
      </c>
    </row>
    <row r="1348" spans="1:6" x14ac:dyDescent="0.2">
      <c r="A1348" t="s">
        <v>2333</v>
      </c>
      <c r="B1348" t="s">
        <v>2772</v>
      </c>
      <c r="C1348" t="s">
        <v>2773</v>
      </c>
      <c r="D1348" t="s">
        <v>2773</v>
      </c>
      <c r="F1348" t="s">
        <v>2313</v>
      </c>
    </row>
    <row r="1349" spans="1:6" x14ac:dyDescent="0.2">
      <c r="A1349" t="s">
        <v>2333</v>
      </c>
      <c r="B1349" t="s">
        <v>2774</v>
      </c>
      <c r="C1349" t="s">
        <v>2775</v>
      </c>
      <c r="D1349" t="s">
        <v>2775</v>
      </c>
      <c r="F1349" t="s">
        <v>2313</v>
      </c>
    </row>
    <row r="1350" spans="1:6" x14ac:dyDescent="0.2">
      <c r="A1350" t="s">
        <v>2333</v>
      </c>
      <c r="B1350" t="s">
        <v>2776</v>
      </c>
      <c r="C1350" t="s">
        <v>2777</v>
      </c>
      <c r="D1350" t="s">
        <v>2777</v>
      </c>
      <c r="F1350" t="s">
        <v>2313</v>
      </c>
    </row>
    <row r="1351" spans="1:6" x14ac:dyDescent="0.2">
      <c r="A1351" t="s">
        <v>2333</v>
      </c>
      <c r="B1351" t="s">
        <v>2778</v>
      </c>
      <c r="C1351" t="s">
        <v>2779</v>
      </c>
      <c r="D1351" t="s">
        <v>2779</v>
      </c>
      <c r="F1351" t="s">
        <v>2313</v>
      </c>
    </row>
    <row r="1352" spans="1:6" x14ac:dyDescent="0.2">
      <c r="A1352" t="s">
        <v>2333</v>
      </c>
      <c r="B1352" t="s">
        <v>2780</v>
      </c>
      <c r="C1352" t="s">
        <v>2781</v>
      </c>
      <c r="D1352" t="s">
        <v>2781</v>
      </c>
      <c r="F1352" t="s">
        <v>2313</v>
      </c>
    </row>
    <row r="1353" spans="1:6" x14ac:dyDescent="0.2">
      <c r="A1353" t="s">
        <v>2333</v>
      </c>
      <c r="B1353" t="s">
        <v>2782</v>
      </c>
      <c r="C1353" t="s">
        <v>2783</v>
      </c>
      <c r="D1353" t="s">
        <v>2783</v>
      </c>
      <c r="F1353" t="s">
        <v>2313</v>
      </c>
    </row>
    <row r="1354" spans="1:6" x14ac:dyDescent="0.2">
      <c r="A1354" t="s">
        <v>2333</v>
      </c>
      <c r="B1354" t="s">
        <v>2784</v>
      </c>
      <c r="C1354" t="s">
        <v>2785</v>
      </c>
      <c r="D1354" t="s">
        <v>2785</v>
      </c>
      <c r="F1354" t="s">
        <v>2315</v>
      </c>
    </row>
    <row r="1355" spans="1:6" x14ac:dyDescent="0.2">
      <c r="A1355" t="s">
        <v>2333</v>
      </c>
      <c r="B1355" t="s">
        <v>2786</v>
      </c>
      <c r="C1355" t="s">
        <v>2787</v>
      </c>
      <c r="D1355" t="s">
        <v>2787</v>
      </c>
      <c r="F1355" t="s">
        <v>2315</v>
      </c>
    </row>
    <row r="1356" spans="1:6" x14ac:dyDescent="0.2">
      <c r="A1356" t="s">
        <v>2333</v>
      </c>
      <c r="B1356" t="s">
        <v>2788</v>
      </c>
      <c r="C1356" t="s">
        <v>2789</v>
      </c>
      <c r="D1356" t="s">
        <v>2789</v>
      </c>
      <c r="F1356" t="s">
        <v>2315</v>
      </c>
    </row>
    <row r="1357" spans="1:6" x14ac:dyDescent="0.2">
      <c r="A1357" t="s">
        <v>2333</v>
      </c>
      <c r="B1357" t="s">
        <v>2790</v>
      </c>
      <c r="C1357" t="s">
        <v>2791</v>
      </c>
      <c r="D1357" t="s">
        <v>2791</v>
      </c>
      <c r="F1357" t="s">
        <v>2315</v>
      </c>
    </row>
    <row r="1358" spans="1:6" x14ac:dyDescent="0.2">
      <c r="A1358" t="s">
        <v>2333</v>
      </c>
      <c r="B1358" t="s">
        <v>2792</v>
      </c>
      <c r="C1358" t="s">
        <v>2793</v>
      </c>
      <c r="D1358" t="s">
        <v>2793</v>
      </c>
      <c r="F1358" t="s">
        <v>2315</v>
      </c>
    </row>
    <row r="1359" spans="1:6" x14ac:dyDescent="0.2">
      <c r="A1359" t="s">
        <v>2333</v>
      </c>
      <c r="B1359" t="s">
        <v>2794</v>
      </c>
      <c r="C1359" t="s">
        <v>2795</v>
      </c>
      <c r="D1359" t="s">
        <v>2795</v>
      </c>
      <c r="F1359" t="s">
        <v>2315</v>
      </c>
    </row>
    <row r="1360" spans="1:6" x14ac:dyDescent="0.2">
      <c r="A1360" t="s">
        <v>2333</v>
      </c>
      <c r="B1360" t="s">
        <v>2796</v>
      </c>
      <c r="C1360" t="s">
        <v>2797</v>
      </c>
      <c r="D1360" t="s">
        <v>2797</v>
      </c>
      <c r="F1360" t="s">
        <v>2315</v>
      </c>
    </row>
    <row r="1361" spans="1:6" x14ac:dyDescent="0.2">
      <c r="A1361" t="s">
        <v>2333</v>
      </c>
      <c r="B1361" t="s">
        <v>2798</v>
      </c>
      <c r="C1361" t="s">
        <v>2799</v>
      </c>
      <c r="D1361" t="s">
        <v>2799</v>
      </c>
      <c r="F1361" t="s">
        <v>2315</v>
      </c>
    </row>
    <row r="1362" spans="1:6" x14ac:dyDescent="0.2">
      <c r="A1362" t="s">
        <v>2333</v>
      </c>
      <c r="B1362" t="s">
        <v>2800</v>
      </c>
      <c r="C1362" t="s">
        <v>2801</v>
      </c>
      <c r="D1362" t="s">
        <v>2801</v>
      </c>
      <c r="F1362" t="s">
        <v>2315</v>
      </c>
    </row>
    <row r="1363" spans="1:6" x14ac:dyDescent="0.2">
      <c r="A1363" t="s">
        <v>2333</v>
      </c>
      <c r="B1363" t="s">
        <v>2802</v>
      </c>
      <c r="C1363" t="s">
        <v>2803</v>
      </c>
      <c r="D1363" t="s">
        <v>2803</v>
      </c>
      <c r="F1363" t="s">
        <v>2315</v>
      </c>
    </row>
    <row r="1364" spans="1:6" x14ac:dyDescent="0.2">
      <c r="A1364" t="s">
        <v>2333</v>
      </c>
      <c r="B1364" t="s">
        <v>2804</v>
      </c>
      <c r="C1364" t="s">
        <v>2805</v>
      </c>
      <c r="D1364" t="s">
        <v>2805</v>
      </c>
      <c r="F1364" t="s">
        <v>2315</v>
      </c>
    </row>
    <row r="1365" spans="1:6" x14ac:dyDescent="0.2">
      <c r="A1365" t="s">
        <v>2333</v>
      </c>
      <c r="B1365" t="s">
        <v>2806</v>
      </c>
      <c r="C1365" t="s">
        <v>2807</v>
      </c>
      <c r="D1365" t="s">
        <v>2807</v>
      </c>
      <c r="F1365" t="s">
        <v>2315</v>
      </c>
    </row>
    <row r="1366" spans="1:6" x14ac:dyDescent="0.2">
      <c r="A1366" t="s">
        <v>2333</v>
      </c>
      <c r="B1366" t="s">
        <v>2808</v>
      </c>
      <c r="C1366" t="s">
        <v>2809</v>
      </c>
      <c r="D1366" t="s">
        <v>2809</v>
      </c>
      <c r="F1366" t="s">
        <v>2315</v>
      </c>
    </row>
    <row r="1367" spans="1:6" x14ac:dyDescent="0.2">
      <c r="A1367" t="s">
        <v>2333</v>
      </c>
      <c r="B1367" t="s">
        <v>2810</v>
      </c>
      <c r="C1367" t="s">
        <v>2811</v>
      </c>
      <c r="D1367" t="s">
        <v>2811</v>
      </c>
      <c r="F1367" t="s">
        <v>2315</v>
      </c>
    </row>
    <row r="1368" spans="1:6" x14ac:dyDescent="0.2">
      <c r="A1368" t="s">
        <v>2333</v>
      </c>
      <c r="B1368" t="s">
        <v>2812</v>
      </c>
      <c r="C1368" t="s">
        <v>2813</v>
      </c>
      <c r="D1368" t="s">
        <v>2813</v>
      </c>
      <c r="F1368" t="s">
        <v>2315</v>
      </c>
    </row>
    <row r="1369" spans="1:6" x14ac:dyDescent="0.2">
      <c r="A1369" t="s">
        <v>2333</v>
      </c>
      <c r="B1369" t="s">
        <v>2814</v>
      </c>
      <c r="C1369" t="s">
        <v>2815</v>
      </c>
      <c r="D1369" t="s">
        <v>2815</v>
      </c>
      <c r="F1369" t="s">
        <v>2315</v>
      </c>
    </row>
    <row r="1370" spans="1:6" x14ac:dyDescent="0.2">
      <c r="A1370" t="s">
        <v>2333</v>
      </c>
      <c r="B1370" t="s">
        <v>2816</v>
      </c>
      <c r="C1370" t="s">
        <v>2817</v>
      </c>
      <c r="D1370" t="s">
        <v>2817</v>
      </c>
      <c r="F1370" t="s">
        <v>2315</v>
      </c>
    </row>
    <row r="1371" spans="1:6" x14ac:dyDescent="0.2">
      <c r="A1371" t="s">
        <v>2333</v>
      </c>
      <c r="B1371" t="s">
        <v>2818</v>
      </c>
      <c r="C1371" t="s">
        <v>2819</v>
      </c>
      <c r="D1371" t="s">
        <v>2819</v>
      </c>
      <c r="F1371" t="s">
        <v>2315</v>
      </c>
    </row>
    <row r="1372" spans="1:6" x14ac:dyDescent="0.2">
      <c r="A1372" t="s">
        <v>2333</v>
      </c>
      <c r="B1372" t="s">
        <v>2820</v>
      </c>
      <c r="C1372" t="s">
        <v>2821</v>
      </c>
      <c r="D1372" t="s">
        <v>2821</v>
      </c>
      <c r="F1372" t="s">
        <v>2315</v>
      </c>
    </row>
    <row r="1373" spans="1:6" x14ac:dyDescent="0.2">
      <c r="A1373" t="s">
        <v>2333</v>
      </c>
      <c r="B1373" t="s">
        <v>2822</v>
      </c>
      <c r="C1373" t="s">
        <v>2823</v>
      </c>
      <c r="D1373" t="s">
        <v>2823</v>
      </c>
      <c r="F1373" t="s">
        <v>2315</v>
      </c>
    </row>
    <row r="1374" spans="1:6" x14ac:dyDescent="0.2">
      <c r="A1374" t="s">
        <v>2333</v>
      </c>
      <c r="B1374" t="s">
        <v>2824</v>
      </c>
      <c r="C1374" t="s">
        <v>2825</v>
      </c>
      <c r="D1374" t="s">
        <v>2825</v>
      </c>
      <c r="F1374" t="s">
        <v>2315</v>
      </c>
    </row>
    <row r="1375" spans="1:6" x14ac:dyDescent="0.2">
      <c r="A1375" t="s">
        <v>2333</v>
      </c>
      <c r="B1375" t="s">
        <v>2826</v>
      </c>
      <c r="C1375" t="s">
        <v>2827</v>
      </c>
      <c r="D1375" t="s">
        <v>2827</v>
      </c>
      <c r="F1375" t="s">
        <v>2317</v>
      </c>
    </row>
    <row r="1376" spans="1:6" x14ac:dyDescent="0.2">
      <c r="A1376" t="s">
        <v>2333</v>
      </c>
      <c r="B1376" t="s">
        <v>2828</v>
      </c>
      <c r="C1376" t="s">
        <v>2829</v>
      </c>
      <c r="D1376" t="s">
        <v>2829</v>
      </c>
      <c r="F1376" t="s">
        <v>2317</v>
      </c>
    </row>
    <row r="1377" spans="1:6" x14ac:dyDescent="0.2">
      <c r="A1377" t="s">
        <v>2333</v>
      </c>
      <c r="B1377" t="s">
        <v>2830</v>
      </c>
      <c r="C1377" t="s">
        <v>2831</v>
      </c>
      <c r="D1377" t="s">
        <v>2831</v>
      </c>
      <c r="F1377" t="s">
        <v>2317</v>
      </c>
    </row>
    <row r="1378" spans="1:6" x14ac:dyDescent="0.2">
      <c r="A1378" t="s">
        <v>2333</v>
      </c>
      <c r="B1378" t="s">
        <v>2832</v>
      </c>
      <c r="C1378" t="s">
        <v>2833</v>
      </c>
      <c r="D1378" t="s">
        <v>2833</v>
      </c>
      <c r="F1378" t="s">
        <v>2317</v>
      </c>
    </row>
    <row r="1379" spans="1:6" x14ac:dyDescent="0.2">
      <c r="A1379" t="s">
        <v>2333</v>
      </c>
      <c r="B1379" t="s">
        <v>2834</v>
      </c>
      <c r="C1379" t="s">
        <v>2835</v>
      </c>
      <c r="D1379" t="s">
        <v>2835</v>
      </c>
      <c r="F1379" t="s">
        <v>2317</v>
      </c>
    </row>
    <row r="1380" spans="1:6" x14ac:dyDescent="0.2">
      <c r="A1380" t="s">
        <v>2333</v>
      </c>
      <c r="B1380" t="s">
        <v>2836</v>
      </c>
      <c r="C1380" t="s">
        <v>2837</v>
      </c>
      <c r="D1380" t="s">
        <v>2837</v>
      </c>
      <c r="F1380" t="s">
        <v>2317</v>
      </c>
    </row>
    <row r="1381" spans="1:6" x14ac:dyDescent="0.2">
      <c r="A1381" t="s">
        <v>2333</v>
      </c>
      <c r="B1381" t="s">
        <v>2838</v>
      </c>
      <c r="C1381" t="s">
        <v>2839</v>
      </c>
      <c r="D1381" t="s">
        <v>2839</v>
      </c>
      <c r="F1381" t="s">
        <v>2317</v>
      </c>
    </row>
    <row r="1382" spans="1:6" x14ac:dyDescent="0.2">
      <c r="A1382" t="s">
        <v>2333</v>
      </c>
      <c r="B1382" t="s">
        <v>2840</v>
      </c>
      <c r="C1382" t="s">
        <v>2841</v>
      </c>
      <c r="D1382" t="s">
        <v>2841</v>
      </c>
      <c r="F1382" t="s">
        <v>2317</v>
      </c>
    </row>
    <row r="1383" spans="1:6" x14ac:dyDescent="0.2">
      <c r="A1383" t="s">
        <v>2333</v>
      </c>
      <c r="B1383" t="s">
        <v>2842</v>
      </c>
      <c r="C1383" t="s">
        <v>2843</v>
      </c>
      <c r="D1383" t="s">
        <v>2843</v>
      </c>
      <c r="F1383" t="s">
        <v>2319</v>
      </c>
    </row>
    <row r="1384" spans="1:6" x14ac:dyDescent="0.2">
      <c r="A1384" t="s">
        <v>2333</v>
      </c>
      <c r="B1384" t="s">
        <v>2844</v>
      </c>
      <c r="C1384" t="s">
        <v>2845</v>
      </c>
      <c r="D1384" t="s">
        <v>2845</v>
      </c>
      <c r="F1384" t="s">
        <v>2319</v>
      </c>
    </row>
    <row r="1385" spans="1:6" x14ac:dyDescent="0.2">
      <c r="A1385" t="s">
        <v>2333</v>
      </c>
      <c r="B1385" t="s">
        <v>2846</v>
      </c>
      <c r="C1385" t="s">
        <v>2847</v>
      </c>
      <c r="D1385" t="s">
        <v>2847</v>
      </c>
      <c r="F1385" t="s">
        <v>2319</v>
      </c>
    </row>
    <row r="1386" spans="1:6" x14ac:dyDescent="0.2">
      <c r="A1386" t="s">
        <v>2333</v>
      </c>
      <c r="B1386" t="s">
        <v>2848</v>
      </c>
      <c r="C1386" t="s">
        <v>2849</v>
      </c>
      <c r="D1386" t="s">
        <v>2849</v>
      </c>
      <c r="F1386" t="s">
        <v>2319</v>
      </c>
    </row>
    <row r="1387" spans="1:6" x14ac:dyDescent="0.2">
      <c r="A1387" t="s">
        <v>2333</v>
      </c>
      <c r="B1387" t="s">
        <v>2850</v>
      </c>
      <c r="C1387" t="s">
        <v>2851</v>
      </c>
      <c r="D1387" t="s">
        <v>2851</v>
      </c>
      <c r="F1387" t="s">
        <v>2319</v>
      </c>
    </row>
    <row r="1388" spans="1:6" x14ac:dyDescent="0.2">
      <c r="A1388" t="s">
        <v>2333</v>
      </c>
      <c r="B1388" t="s">
        <v>2852</v>
      </c>
      <c r="C1388" t="s">
        <v>2853</v>
      </c>
      <c r="D1388" t="s">
        <v>2853</v>
      </c>
      <c r="F1388" t="s">
        <v>2319</v>
      </c>
    </row>
    <row r="1389" spans="1:6" x14ac:dyDescent="0.2">
      <c r="A1389" t="s">
        <v>2333</v>
      </c>
      <c r="B1389" t="s">
        <v>2854</v>
      </c>
      <c r="C1389" t="s">
        <v>2855</v>
      </c>
      <c r="D1389" t="s">
        <v>2855</v>
      </c>
      <c r="F1389" t="s">
        <v>2319</v>
      </c>
    </row>
    <row r="1390" spans="1:6" x14ac:dyDescent="0.2">
      <c r="A1390" t="s">
        <v>2333</v>
      </c>
      <c r="B1390" t="s">
        <v>2856</v>
      </c>
      <c r="C1390" t="s">
        <v>2857</v>
      </c>
      <c r="D1390" t="s">
        <v>2857</v>
      </c>
      <c r="F1390" t="s">
        <v>2319</v>
      </c>
    </row>
    <row r="1391" spans="1:6" x14ac:dyDescent="0.2">
      <c r="A1391" t="s">
        <v>2333</v>
      </c>
      <c r="B1391" t="s">
        <v>2858</v>
      </c>
      <c r="C1391" t="s">
        <v>2859</v>
      </c>
      <c r="D1391" t="s">
        <v>2859</v>
      </c>
      <c r="F1391" t="s">
        <v>2319</v>
      </c>
    </row>
    <row r="1392" spans="1:6" x14ac:dyDescent="0.2">
      <c r="A1392" t="s">
        <v>2333</v>
      </c>
      <c r="B1392" t="s">
        <v>2860</v>
      </c>
      <c r="C1392" t="s">
        <v>2861</v>
      </c>
      <c r="D1392" t="s">
        <v>2861</v>
      </c>
      <c r="F1392" t="s">
        <v>2319</v>
      </c>
    </row>
    <row r="1393" spans="1:6" x14ac:dyDescent="0.2">
      <c r="A1393" t="s">
        <v>2333</v>
      </c>
      <c r="B1393" t="s">
        <v>2862</v>
      </c>
      <c r="C1393" t="s">
        <v>2863</v>
      </c>
      <c r="D1393" t="s">
        <v>2863</v>
      </c>
      <c r="F1393" t="s">
        <v>2319</v>
      </c>
    </row>
    <row r="1394" spans="1:6" x14ac:dyDescent="0.2">
      <c r="A1394" t="s">
        <v>2333</v>
      </c>
      <c r="B1394" t="s">
        <v>2864</v>
      </c>
      <c r="C1394" t="s">
        <v>2865</v>
      </c>
      <c r="D1394" t="s">
        <v>2865</v>
      </c>
      <c r="F1394" t="s">
        <v>2319</v>
      </c>
    </row>
    <row r="1395" spans="1:6" x14ac:dyDescent="0.2">
      <c r="A1395" t="s">
        <v>2333</v>
      </c>
      <c r="B1395" t="s">
        <v>2866</v>
      </c>
      <c r="C1395" t="s">
        <v>2867</v>
      </c>
      <c r="D1395" t="s">
        <v>2867</v>
      </c>
      <c r="F1395" t="s">
        <v>2319</v>
      </c>
    </row>
    <row r="1396" spans="1:6" x14ac:dyDescent="0.2">
      <c r="A1396" t="s">
        <v>2333</v>
      </c>
      <c r="B1396" t="s">
        <v>2868</v>
      </c>
      <c r="C1396" t="s">
        <v>2869</v>
      </c>
      <c r="D1396" t="s">
        <v>2869</v>
      </c>
      <c r="F1396" t="s">
        <v>2319</v>
      </c>
    </row>
    <row r="1397" spans="1:6" x14ac:dyDescent="0.2">
      <c r="A1397" t="s">
        <v>2333</v>
      </c>
      <c r="B1397" t="s">
        <v>2870</v>
      </c>
      <c r="C1397" t="s">
        <v>2871</v>
      </c>
      <c r="D1397" t="s">
        <v>2871</v>
      </c>
      <c r="F1397" t="s">
        <v>2319</v>
      </c>
    </row>
    <row r="1398" spans="1:6" x14ac:dyDescent="0.2">
      <c r="A1398" t="s">
        <v>2333</v>
      </c>
      <c r="B1398" t="s">
        <v>2872</v>
      </c>
      <c r="C1398" t="s">
        <v>2873</v>
      </c>
      <c r="D1398" t="s">
        <v>2873</v>
      </c>
      <c r="F1398" t="s">
        <v>2319</v>
      </c>
    </row>
    <row r="1399" spans="1:6" x14ac:dyDescent="0.2">
      <c r="A1399" t="s">
        <v>2333</v>
      </c>
      <c r="B1399" t="s">
        <v>2874</v>
      </c>
      <c r="C1399" t="s">
        <v>2875</v>
      </c>
      <c r="D1399" t="s">
        <v>2875</v>
      </c>
      <c r="F1399" t="s">
        <v>2319</v>
      </c>
    </row>
    <row r="1400" spans="1:6" x14ac:dyDescent="0.2">
      <c r="A1400" t="s">
        <v>2333</v>
      </c>
      <c r="B1400" t="s">
        <v>2876</v>
      </c>
      <c r="C1400" t="s">
        <v>2877</v>
      </c>
      <c r="D1400" t="s">
        <v>2877</v>
      </c>
      <c r="F1400" t="s">
        <v>2321</v>
      </c>
    </row>
    <row r="1401" spans="1:6" x14ac:dyDescent="0.2">
      <c r="A1401" t="s">
        <v>2333</v>
      </c>
      <c r="B1401" t="s">
        <v>2878</v>
      </c>
      <c r="C1401" t="s">
        <v>2465</v>
      </c>
      <c r="D1401" t="s">
        <v>2465</v>
      </c>
      <c r="F1401" t="s">
        <v>2321</v>
      </c>
    </row>
    <row r="1402" spans="1:6" x14ac:dyDescent="0.2">
      <c r="A1402" t="s">
        <v>2333</v>
      </c>
      <c r="B1402" t="s">
        <v>2879</v>
      </c>
      <c r="C1402" t="s">
        <v>2880</v>
      </c>
      <c r="D1402" t="s">
        <v>2880</v>
      </c>
      <c r="F1402" t="s">
        <v>2321</v>
      </c>
    </row>
    <row r="1403" spans="1:6" x14ac:dyDescent="0.2">
      <c r="A1403" t="s">
        <v>2333</v>
      </c>
      <c r="B1403" t="s">
        <v>2881</v>
      </c>
      <c r="C1403" t="s">
        <v>2882</v>
      </c>
      <c r="D1403" t="s">
        <v>2882</v>
      </c>
      <c r="F1403" t="s">
        <v>2321</v>
      </c>
    </row>
    <row r="1404" spans="1:6" x14ac:dyDescent="0.2">
      <c r="A1404" t="s">
        <v>2333</v>
      </c>
      <c r="B1404" t="s">
        <v>2883</v>
      </c>
      <c r="C1404" t="s">
        <v>2740</v>
      </c>
      <c r="D1404" t="s">
        <v>2740</v>
      </c>
      <c r="F1404" t="s">
        <v>2321</v>
      </c>
    </row>
    <row r="1405" spans="1:6" x14ac:dyDescent="0.2">
      <c r="A1405" t="s">
        <v>2333</v>
      </c>
      <c r="B1405" t="s">
        <v>2884</v>
      </c>
      <c r="C1405" t="s">
        <v>2885</v>
      </c>
      <c r="D1405" t="s">
        <v>2885</v>
      </c>
      <c r="F1405" t="s">
        <v>2321</v>
      </c>
    </row>
    <row r="1406" spans="1:6" x14ac:dyDescent="0.2">
      <c r="A1406" t="s">
        <v>2333</v>
      </c>
      <c r="B1406" t="s">
        <v>2886</v>
      </c>
      <c r="C1406" t="s">
        <v>2887</v>
      </c>
      <c r="D1406" t="s">
        <v>2887</v>
      </c>
      <c r="F1406" t="s">
        <v>2321</v>
      </c>
    </row>
    <row r="1407" spans="1:6" x14ac:dyDescent="0.2">
      <c r="A1407" t="s">
        <v>2333</v>
      </c>
      <c r="B1407" t="s">
        <v>2888</v>
      </c>
      <c r="C1407" t="s">
        <v>2889</v>
      </c>
      <c r="D1407" t="s">
        <v>2889</v>
      </c>
      <c r="F1407" t="s">
        <v>2321</v>
      </c>
    </row>
    <row r="1408" spans="1:6" x14ac:dyDescent="0.2">
      <c r="A1408" t="s">
        <v>2333</v>
      </c>
      <c r="B1408" t="s">
        <v>2890</v>
      </c>
      <c r="C1408" t="s">
        <v>2891</v>
      </c>
      <c r="D1408" t="s">
        <v>2891</v>
      </c>
      <c r="F1408" t="s">
        <v>2321</v>
      </c>
    </row>
    <row r="1409" spans="1:6" x14ac:dyDescent="0.2">
      <c r="A1409" t="s">
        <v>2333</v>
      </c>
      <c r="B1409" t="s">
        <v>2892</v>
      </c>
      <c r="C1409" t="s">
        <v>2893</v>
      </c>
      <c r="D1409" t="s">
        <v>2893</v>
      </c>
      <c r="F1409" t="s">
        <v>2321</v>
      </c>
    </row>
    <row r="1410" spans="1:6" x14ac:dyDescent="0.2">
      <c r="A1410" t="s">
        <v>2333</v>
      </c>
      <c r="B1410" t="s">
        <v>2894</v>
      </c>
      <c r="C1410" t="s">
        <v>2895</v>
      </c>
      <c r="D1410" t="s">
        <v>2895</v>
      </c>
      <c r="F1410" t="s">
        <v>2321</v>
      </c>
    </row>
    <row r="1411" spans="1:6" x14ac:dyDescent="0.2">
      <c r="A1411" t="s">
        <v>2333</v>
      </c>
      <c r="B1411" t="s">
        <v>2896</v>
      </c>
      <c r="C1411" t="s">
        <v>2897</v>
      </c>
      <c r="D1411" t="s">
        <v>2897</v>
      </c>
      <c r="F1411" t="s">
        <v>2321</v>
      </c>
    </row>
    <row r="1412" spans="1:6" x14ac:dyDescent="0.2">
      <c r="A1412" t="s">
        <v>2333</v>
      </c>
      <c r="B1412" t="s">
        <v>2898</v>
      </c>
      <c r="C1412" t="s">
        <v>2899</v>
      </c>
      <c r="D1412" t="s">
        <v>2899</v>
      </c>
      <c r="F1412" t="s">
        <v>2321</v>
      </c>
    </row>
    <row r="1413" spans="1:6" x14ac:dyDescent="0.2">
      <c r="A1413" t="s">
        <v>2333</v>
      </c>
      <c r="B1413" t="s">
        <v>2900</v>
      </c>
      <c r="C1413" t="s">
        <v>2901</v>
      </c>
      <c r="D1413" t="s">
        <v>2901</v>
      </c>
      <c r="F1413" t="s">
        <v>2321</v>
      </c>
    </row>
    <row r="1414" spans="1:6" x14ac:dyDescent="0.2">
      <c r="A1414" t="s">
        <v>2333</v>
      </c>
      <c r="B1414" t="s">
        <v>2902</v>
      </c>
      <c r="C1414" t="s">
        <v>2903</v>
      </c>
      <c r="D1414" t="s">
        <v>2903</v>
      </c>
      <c r="F1414" t="s">
        <v>2323</v>
      </c>
    </row>
    <row r="1415" spans="1:6" x14ac:dyDescent="0.2">
      <c r="A1415" t="s">
        <v>2333</v>
      </c>
      <c r="B1415" t="s">
        <v>2904</v>
      </c>
      <c r="C1415" t="s">
        <v>2905</v>
      </c>
      <c r="D1415" t="s">
        <v>2905</v>
      </c>
      <c r="F1415" t="s">
        <v>2323</v>
      </c>
    </row>
    <row r="1416" spans="1:6" x14ac:dyDescent="0.2">
      <c r="A1416" t="s">
        <v>2333</v>
      </c>
      <c r="B1416" t="s">
        <v>2906</v>
      </c>
      <c r="C1416" t="s">
        <v>2907</v>
      </c>
      <c r="D1416" t="s">
        <v>2907</v>
      </c>
      <c r="F1416" t="s">
        <v>2323</v>
      </c>
    </row>
    <row r="1417" spans="1:6" x14ac:dyDescent="0.2">
      <c r="A1417" t="s">
        <v>2333</v>
      </c>
      <c r="B1417" t="s">
        <v>2908</v>
      </c>
      <c r="C1417" t="s">
        <v>2909</v>
      </c>
      <c r="D1417" t="s">
        <v>2909</v>
      </c>
      <c r="F1417" t="s">
        <v>2323</v>
      </c>
    </row>
    <row r="1418" spans="1:6" x14ac:dyDescent="0.2">
      <c r="A1418" t="s">
        <v>2333</v>
      </c>
      <c r="B1418" t="s">
        <v>2910</v>
      </c>
      <c r="C1418" t="s">
        <v>2911</v>
      </c>
      <c r="D1418" t="s">
        <v>2911</v>
      </c>
      <c r="F1418" t="s">
        <v>2323</v>
      </c>
    </row>
    <row r="1419" spans="1:6" x14ac:dyDescent="0.2">
      <c r="A1419" t="s">
        <v>2333</v>
      </c>
      <c r="B1419" t="s">
        <v>2912</v>
      </c>
      <c r="C1419" t="s">
        <v>2326</v>
      </c>
      <c r="D1419" t="s">
        <v>2326</v>
      </c>
      <c r="F1419" t="s">
        <v>2325</v>
      </c>
    </row>
    <row r="1420" spans="1:6" x14ac:dyDescent="0.2">
      <c r="A1420" t="s">
        <v>2333</v>
      </c>
      <c r="B1420" t="s">
        <v>2913</v>
      </c>
      <c r="C1420" t="s">
        <v>2914</v>
      </c>
      <c r="D1420" t="s">
        <v>2914</v>
      </c>
      <c r="F1420" t="s">
        <v>2325</v>
      </c>
    </row>
    <row r="1421" spans="1:6" x14ac:dyDescent="0.2">
      <c r="A1421" t="s">
        <v>2333</v>
      </c>
      <c r="B1421" t="s">
        <v>2915</v>
      </c>
      <c r="C1421" t="s">
        <v>2916</v>
      </c>
      <c r="D1421" t="s">
        <v>2916</v>
      </c>
      <c r="F1421" t="s">
        <v>2325</v>
      </c>
    </row>
    <row r="1422" spans="1:6" x14ac:dyDescent="0.2">
      <c r="A1422" t="s">
        <v>2333</v>
      </c>
      <c r="B1422" t="s">
        <v>2917</v>
      </c>
      <c r="C1422" t="s">
        <v>2918</v>
      </c>
      <c r="D1422" t="s">
        <v>2918</v>
      </c>
      <c r="F1422" t="s">
        <v>2325</v>
      </c>
    </row>
    <row r="1423" spans="1:6" x14ac:dyDescent="0.2">
      <c r="A1423" t="s">
        <v>2333</v>
      </c>
      <c r="B1423" t="s">
        <v>2919</v>
      </c>
      <c r="C1423" t="s">
        <v>2920</v>
      </c>
      <c r="D1423" t="s">
        <v>2920</v>
      </c>
      <c r="F1423" t="s">
        <v>2325</v>
      </c>
    </row>
    <row r="1424" spans="1:6" x14ac:dyDescent="0.2">
      <c r="A1424" t="s">
        <v>2333</v>
      </c>
      <c r="B1424" t="s">
        <v>2921</v>
      </c>
      <c r="C1424" t="s">
        <v>2922</v>
      </c>
      <c r="D1424" t="s">
        <v>2922</v>
      </c>
      <c r="F1424" t="s">
        <v>2325</v>
      </c>
    </row>
    <row r="1425" spans="1:6" x14ac:dyDescent="0.2">
      <c r="A1425" t="s">
        <v>2333</v>
      </c>
      <c r="B1425" t="s">
        <v>2923</v>
      </c>
      <c r="C1425" t="s">
        <v>2924</v>
      </c>
      <c r="D1425" t="s">
        <v>2924</v>
      </c>
      <c r="F1425" t="s">
        <v>2325</v>
      </c>
    </row>
    <row r="1426" spans="1:6" x14ac:dyDescent="0.2">
      <c r="A1426" t="s">
        <v>2333</v>
      </c>
      <c r="B1426" t="s">
        <v>2925</v>
      </c>
      <c r="C1426" t="s">
        <v>2926</v>
      </c>
      <c r="D1426" t="s">
        <v>2926</v>
      </c>
      <c r="F1426" t="s">
        <v>2325</v>
      </c>
    </row>
    <row r="1427" spans="1:6" x14ac:dyDescent="0.2">
      <c r="A1427" t="s">
        <v>2333</v>
      </c>
      <c r="B1427" t="s">
        <v>2927</v>
      </c>
      <c r="C1427" t="s">
        <v>2928</v>
      </c>
      <c r="D1427" t="s">
        <v>2928</v>
      </c>
      <c r="F1427" t="s">
        <v>2325</v>
      </c>
    </row>
    <row r="1428" spans="1:6" x14ac:dyDescent="0.2">
      <c r="A1428" t="s">
        <v>2333</v>
      </c>
      <c r="B1428" t="s">
        <v>2929</v>
      </c>
      <c r="C1428" t="s">
        <v>2930</v>
      </c>
      <c r="D1428" t="s">
        <v>2930</v>
      </c>
      <c r="F1428" t="s">
        <v>2325</v>
      </c>
    </row>
    <row r="1429" spans="1:6" x14ac:dyDescent="0.2">
      <c r="A1429" t="s">
        <v>2333</v>
      </c>
      <c r="B1429" t="s">
        <v>2931</v>
      </c>
      <c r="C1429" t="s">
        <v>2932</v>
      </c>
      <c r="D1429" t="s">
        <v>2932</v>
      </c>
      <c r="F1429" t="s">
        <v>2325</v>
      </c>
    </row>
    <row r="1430" spans="1:6" x14ac:dyDescent="0.2">
      <c r="A1430" t="s">
        <v>2333</v>
      </c>
      <c r="B1430" t="s">
        <v>2933</v>
      </c>
      <c r="C1430" t="s">
        <v>2328</v>
      </c>
      <c r="D1430" t="s">
        <v>2328</v>
      </c>
      <c r="F1430" t="s">
        <v>2327</v>
      </c>
    </row>
    <row r="1431" spans="1:6" x14ac:dyDescent="0.2">
      <c r="A1431" t="s">
        <v>2333</v>
      </c>
      <c r="B1431" t="s">
        <v>2934</v>
      </c>
      <c r="C1431" t="s">
        <v>2935</v>
      </c>
      <c r="D1431" t="s">
        <v>2935</v>
      </c>
      <c r="F1431" t="s">
        <v>2327</v>
      </c>
    </row>
    <row r="1432" spans="1:6" x14ac:dyDescent="0.2">
      <c r="A1432" t="s">
        <v>2333</v>
      </c>
      <c r="B1432" t="s">
        <v>2936</v>
      </c>
      <c r="C1432" t="s">
        <v>2937</v>
      </c>
      <c r="D1432" t="s">
        <v>2937</v>
      </c>
      <c r="F1432" t="s">
        <v>2327</v>
      </c>
    </row>
    <row r="1433" spans="1:6" x14ac:dyDescent="0.2">
      <c r="A1433" t="s">
        <v>2333</v>
      </c>
      <c r="B1433" t="s">
        <v>2938</v>
      </c>
      <c r="C1433" t="s">
        <v>2939</v>
      </c>
      <c r="D1433" t="s">
        <v>2939</v>
      </c>
      <c r="F1433" t="s">
        <v>2327</v>
      </c>
    </row>
    <row r="1434" spans="1:6" x14ac:dyDescent="0.2">
      <c r="A1434" t="s">
        <v>2333</v>
      </c>
      <c r="B1434" t="s">
        <v>2940</v>
      </c>
      <c r="C1434" t="s">
        <v>2941</v>
      </c>
      <c r="D1434" t="s">
        <v>2941</v>
      </c>
      <c r="F1434" t="s">
        <v>2327</v>
      </c>
    </row>
    <row r="1435" spans="1:6" x14ac:dyDescent="0.2">
      <c r="A1435" t="s">
        <v>2333</v>
      </c>
      <c r="B1435" t="s">
        <v>2942</v>
      </c>
      <c r="C1435" t="s">
        <v>2943</v>
      </c>
      <c r="D1435" t="s">
        <v>2943</v>
      </c>
      <c r="F1435" t="s">
        <v>2327</v>
      </c>
    </row>
    <row r="1436" spans="1:6" x14ac:dyDescent="0.2">
      <c r="A1436" t="s">
        <v>2333</v>
      </c>
      <c r="B1436" t="s">
        <v>2944</v>
      </c>
      <c r="C1436" t="s">
        <v>2945</v>
      </c>
      <c r="D1436" t="s">
        <v>2945</v>
      </c>
      <c r="F1436" t="s">
        <v>2327</v>
      </c>
    </row>
    <row r="1437" spans="1:6" x14ac:dyDescent="0.2">
      <c r="A1437" t="s">
        <v>2333</v>
      </c>
      <c r="B1437" t="s">
        <v>2946</v>
      </c>
      <c r="C1437" t="s">
        <v>2947</v>
      </c>
      <c r="D1437" t="s">
        <v>2947</v>
      </c>
      <c r="F1437" t="s">
        <v>2327</v>
      </c>
    </row>
    <row r="1438" spans="1:6" x14ac:dyDescent="0.2">
      <c r="A1438" t="s">
        <v>2333</v>
      </c>
      <c r="B1438" t="s">
        <v>2948</v>
      </c>
      <c r="C1438" t="s">
        <v>2949</v>
      </c>
      <c r="D1438" t="s">
        <v>2949</v>
      </c>
      <c r="F1438" t="s">
        <v>2327</v>
      </c>
    </row>
    <row r="1439" spans="1:6" x14ac:dyDescent="0.2">
      <c r="A1439" t="s">
        <v>2333</v>
      </c>
      <c r="B1439" t="s">
        <v>2950</v>
      </c>
      <c r="C1439" t="s">
        <v>2951</v>
      </c>
      <c r="D1439" t="s">
        <v>2951</v>
      </c>
      <c r="F1439" t="s">
        <v>2327</v>
      </c>
    </row>
    <row r="1440" spans="1:6" x14ac:dyDescent="0.2">
      <c r="A1440" t="s">
        <v>2333</v>
      </c>
      <c r="B1440" t="s">
        <v>2952</v>
      </c>
      <c r="C1440" t="s">
        <v>2953</v>
      </c>
      <c r="D1440" t="s">
        <v>2953</v>
      </c>
      <c r="F1440" t="s">
        <v>2327</v>
      </c>
    </row>
    <row r="1441" spans="1:6" x14ac:dyDescent="0.2">
      <c r="A1441" t="s">
        <v>2333</v>
      </c>
      <c r="B1441" t="s">
        <v>2954</v>
      </c>
      <c r="C1441" t="s">
        <v>2330</v>
      </c>
      <c r="D1441" t="s">
        <v>2330</v>
      </c>
      <c r="F1441" t="s">
        <v>2329</v>
      </c>
    </row>
    <row r="1442" spans="1:6" x14ac:dyDescent="0.2">
      <c r="A1442" t="s">
        <v>2333</v>
      </c>
      <c r="B1442" t="s">
        <v>2955</v>
      </c>
      <c r="C1442" t="s">
        <v>2956</v>
      </c>
      <c r="D1442" t="s">
        <v>2956</v>
      </c>
      <c r="F1442" t="s">
        <v>2329</v>
      </c>
    </row>
    <row r="1443" spans="1:6" x14ac:dyDescent="0.2">
      <c r="A1443" t="s">
        <v>2333</v>
      </c>
      <c r="B1443" t="s">
        <v>2957</v>
      </c>
      <c r="C1443" t="s">
        <v>2958</v>
      </c>
      <c r="D1443" t="s">
        <v>2958</v>
      </c>
      <c r="F1443" t="s">
        <v>2329</v>
      </c>
    </row>
    <row r="1444" spans="1:6" x14ac:dyDescent="0.2">
      <c r="A1444" t="s">
        <v>2333</v>
      </c>
      <c r="B1444" t="s">
        <v>2959</v>
      </c>
      <c r="C1444" t="s">
        <v>2960</v>
      </c>
      <c r="D1444" t="s">
        <v>2960</v>
      </c>
      <c r="F1444" t="s">
        <v>2329</v>
      </c>
    </row>
    <row r="1445" spans="1:6" x14ac:dyDescent="0.2">
      <c r="A1445" t="s">
        <v>2333</v>
      </c>
      <c r="B1445" t="s">
        <v>2961</v>
      </c>
      <c r="C1445" t="s">
        <v>2962</v>
      </c>
      <c r="D1445" t="s">
        <v>2962</v>
      </c>
      <c r="F1445" t="s">
        <v>2329</v>
      </c>
    </row>
    <row r="1446" spans="1:6" x14ac:dyDescent="0.2">
      <c r="A1446" t="s">
        <v>2333</v>
      </c>
      <c r="B1446" t="s">
        <v>2963</v>
      </c>
      <c r="C1446" t="s">
        <v>2964</v>
      </c>
      <c r="D1446" t="s">
        <v>2964</v>
      </c>
      <c r="F1446" t="s">
        <v>2329</v>
      </c>
    </row>
    <row r="1447" spans="1:6" x14ac:dyDescent="0.2">
      <c r="A1447" t="s">
        <v>2333</v>
      </c>
      <c r="B1447" t="s">
        <v>2965</v>
      </c>
      <c r="C1447" t="s">
        <v>2966</v>
      </c>
      <c r="D1447" t="s">
        <v>2966</v>
      </c>
      <c r="F1447" t="s">
        <v>2329</v>
      </c>
    </row>
    <row r="1448" spans="1:6" x14ac:dyDescent="0.2">
      <c r="A1448" t="s">
        <v>2333</v>
      </c>
      <c r="B1448" t="s">
        <v>2967</v>
      </c>
      <c r="C1448" t="s">
        <v>2332</v>
      </c>
      <c r="D1448" t="s">
        <v>2332</v>
      </c>
      <c r="F1448" t="s">
        <v>2331</v>
      </c>
    </row>
    <row r="1449" spans="1:6" x14ac:dyDescent="0.2">
      <c r="A1449" t="s">
        <v>2333</v>
      </c>
      <c r="B1449" t="s">
        <v>2968</v>
      </c>
      <c r="C1449" t="s">
        <v>2292</v>
      </c>
      <c r="D1449" t="s">
        <v>2292</v>
      </c>
      <c r="F1449" t="s">
        <v>2331</v>
      </c>
    </row>
    <row r="1450" spans="1:6" x14ac:dyDescent="0.2">
      <c r="A1450" t="s">
        <v>2333</v>
      </c>
      <c r="B1450" t="s">
        <v>2969</v>
      </c>
      <c r="C1450" t="s">
        <v>2970</v>
      </c>
      <c r="D1450" t="s">
        <v>2970</v>
      </c>
      <c r="F1450" t="s">
        <v>2331</v>
      </c>
    </row>
    <row r="1451" spans="1:6" x14ac:dyDescent="0.2">
      <c r="A1451" t="s">
        <v>2333</v>
      </c>
      <c r="B1451" t="s">
        <v>2971</v>
      </c>
      <c r="C1451" t="s">
        <v>2972</v>
      </c>
      <c r="D1451" t="s">
        <v>2972</v>
      </c>
      <c r="F1451" t="s">
        <v>2331</v>
      </c>
    </row>
    <row r="1452" spans="1:6" x14ac:dyDescent="0.2">
      <c r="A1452" t="s">
        <v>2333</v>
      </c>
      <c r="B1452" t="s">
        <v>2973</v>
      </c>
      <c r="C1452" t="s">
        <v>2974</v>
      </c>
      <c r="D1452" t="s">
        <v>2974</v>
      </c>
      <c r="F1452" t="s">
        <v>2331</v>
      </c>
    </row>
    <row r="1453" spans="1:6" x14ac:dyDescent="0.2">
      <c r="A1453" t="s">
        <v>2333</v>
      </c>
      <c r="B1453" t="s">
        <v>2975</v>
      </c>
      <c r="C1453" t="s">
        <v>2976</v>
      </c>
      <c r="D1453" t="s">
        <v>2976</v>
      </c>
      <c r="F1453" t="s">
        <v>2331</v>
      </c>
    </row>
    <row r="1454" spans="1:6" x14ac:dyDescent="0.2">
      <c r="A1454" t="s">
        <v>2333</v>
      </c>
      <c r="B1454" t="s">
        <v>2977</v>
      </c>
      <c r="C1454" t="s">
        <v>2978</v>
      </c>
      <c r="D1454" t="s">
        <v>2978</v>
      </c>
      <c r="F1454" t="s">
        <v>2331</v>
      </c>
    </row>
    <row r="1455" spans="1:6" x14ac:dyDescent="0.2">
      <c r="A1455" t="s">
        <v>2333</v>
      </c>
      <c r="B1455" t="s">
        <v>2979</v>
      </c>
      <c r="C1455" t="s">
        <v>2980</v>
      </c>
      <c r="D1455" t="s">
        <v>2980</v>
      </c>
      <c r="F1455" t="s">
        <v>2331</v>
      </c>
    </row>
    <row r="1456" spans="1:6" x14ac:dyDescent="0.2">
      <c r="A1456" t="s">
        <v>2333</v>
      </c>
      <c r="B1456" t="s">
        <v>2981</v>
      </c>
      <c r="C1456" t="s">
        <v>2982</v>
      </c>
      <c r="D1456" t="s">
        <v>2982</v>
      </c>
      <c r="F1456" t="s">
        <v>2331</v>
      </c>
    </row>
    <row r="1457" spans="1:6" x14ac:dyDescent="0.2">
      <c r="A1457" t="s">
        <v>2333</v>
      </c>
      <c r="B1457" t="s">
        <v>2983</v>
      </c>
      <c r="C1457" t="s">
        <v>2984</v>
      </c>
      <c r="D1457" t="s">
        <v>2984</v>
      </c>
      <c r="F1457" t="s">
        <v>2331</v>
      </c>
    </row>
    <row r="1458" spans="1:6" x14ac:dyDescent="0.2">
      <c r="A1458" t="s">
        <v>2333</v>
      </c>
      <c r="B1458" t="s">
        <v>2985</v>
      </c>
      <c r="C1458" t="s">
        <v>2986</v>
      </c>
      <c r="D1458" t="s">
        <v>2986</v>
      </c>
      <c r="F1458" t="s">
        <v>2331</v>
      </c>
    </row>
    <row r="1459" spans="1:6" x14ac:dyDescent="0.2">
      <c r="A1459" t="s">
        <v>2333</v>
      </c>
      <c r="B1459" t="s">
        <v>2987</v>
      </c>
      <c r="C1459" t="s">
        <v>2988</v>
      </c>
      <c r="D1459" t="s">
        <v>2988</v>
      </c>
      <c r="F1459" t="s">
        <v>2331</v>
      </c>
    </row>
    <row r="1460" spans="1:6" x14ac:dyDescent="0.2">
      <c r="A1460" t="s">
        <v>2333</v>
      </c>
      <c r="B1460" t="s">
        <v>2989</v>
      </c>
      <c r="C1460" t="s">
        <v>2990</v>
      </c>
      <c r="D1460" t="s">
        <v>2990</v>
      </c>
      <c r="F1460" t="s">
        <v>2331</v>
      </c>
    </row>
    <row r="1461" spans="1:6" x14ac:dyDescent="0.2">
      <c r="A1461" t="s">
        <v>2333</v>
      </c>
      <c r="B1461" t="s">
        <v>2991</v>
      </c>
      <c r="C1461" t="s">
        <v>2992</v>
      </c>
      <c r="D1461" t="s">
        <v>2992</v>
      </c>
      <c r="F1461" t="s">
        <v>2331</v>
      </c>
    </row>
    <row r="1462" spans="1:6" x14ac:dyDescent="0.2">
      <c r="A1462" t="s">
        <v>2333</v>
      </c>
      <c r="B1462" t="s">
        <v>2993</v>
      </c>
      <c r="C1462" t="s">
        <v>2994</v>
      </c>
      <c r="D1462" t="s">
        <v>2994</v>
      </c>
      <c r="F1462" t="s">
        <v>2331</v>
      </c>
    </row>
    <row r="1463" spans="1:6" x14ac:dyDescent="0.2">
      <c r="A1463" t="s">
        <v>2333</v>
      </c>
      <c r="B1463" t="s">
        <v>2995</v>
      </c>
      <c r="C1463" t="s">
        <v>2996</v>
      </c>
      <c r="D1463" t="s">
        <v>2996</v>
      </c>
      <c r="F1463" t="s">
        <v>2331</v>
      </c>
    </row>
    <row r="1464" spans="1:6" x14ac:dyDescent="0.2">
      <c r="A1464" t="s">
        <v>2333</v>
      </c>
      <c r="B1464" t="s">
        <v>2997</v>
      </c>
      <c r="C1464" t="s">
        <v>2998</v>
      </c>
      <c r="D1464" t="s">
        <v>2998</v>
      </c>
      <c r="F1464" t="s">
        <v>2331</v>
      </c>
    </row>
    <row r="1466" spans="1:6" x14ac:dyDescent="0.2">
      <c r="A1466" s="286" t="s">
        <v>57</v>
      </c>
      <c r="B1466" s="286">
        <v>1</v>
      </c>
      <c r="C1466" s="286" t="s">
        <v>2999</v>
      </c>
      <c r="D1466" s="286" t="s">
        <v>3000</v>
      </c>
    </row>
    <row r="1467" spans="1:6" x14ac:dyDescent="0.2">
      <c r="A1467" s="286" t="s">
        <v>57</v>
      </c>
      <c r="B1467" s="286">
        <v>2</v>
      </c>
      <c r="C1467" s="286" t="s">
        <v>3001</v>
      </c>
      <c r="D1467" s="286" t="s">
        <v>3002</v>
      </c>
    </row>
    <row r="1468" spans="1:6" x14ac:dyDescent="0.2">
      <c r="A1468" s="286" t="s">
        <v>57</v>
      </c>
      <c r="B1468" s="286">
        <v>3</v>
      </c>
      <c r="C1468" s="286" t="s">
        <v>3003</v>
      </c>
      <c r="D1468" s="286" t="s">
        <v>3004</v>
      </c>
    </row>
    <row r="1469" spans="1:6" x14ac:dyDescent="0.2">
      <c r="A1469" s="286" t="s">
        <v>57</v>
      </c>
      <c r="B1469" s="286">
        <v>4</v>
      </c>
      <c r="C1469" s="286" t="s">
        <v>3005</v>
      </c>
      <c r="D1469" s="286" t="s">
        <v>3006</v>
      </c>
    </row>
    <row r="1470" spans="1:6" x14ac:dyDescent="0.2">
      <c r="A1470" s="286" t="s">
        <v>57</v>
      </c>
      <c r="B1470" s="286">
        <v>7</v>
      </c>
      <c r="C1470" s="286" t="s">
        <v>3007</v>
      </c>
      <c r="D1470" s="286" t="s">
        <v>3008</v>
      </c>
    </row>
    <row r="1472" spans="1:6" x14ac:dyDescent="0.2">
      <c r="A1472" s="328" t="s">
        <v>3009</v>
      </c>
      <c r="B1472" s="328">
        <v>1</v>
      </c>
      <c r="C1472" s="328"/>
      <c r="D1472" s="328" t="s">
        <v>1362</v>
      </c>
    </row>
    <row r="1473" spans="1:4" x14ac:dyDescent="0.2">
      <c r="A1473" s="328" t="s">
        <v>3009</v>
      </c>
      <c r="B1473" s="3">
        <v>2</v>
      </c>
      <c r="C1473" s="328"/>
      <c r="D1473" s="328" t="s">
        <v>1990</v>
      </c>
    </row>
    <row r="1474" spans="1:4" x14ac:dyDescent="0.2">
      <c r="A1474" s="328" t="s">
        <v>3009</v>
      </c>
      <c r="B1474" s="328">
        <v>3</v>
      </c>
      <c r="C1474" s="328"/>
      <c r="D1474" s="328" t="s">
        <v>1382</v>
      </c>
    </row>
    <row r="1475" spans="1:4" x14ac:dyDescent="0.2">
      <c r="A1475" s="328" t="s">
        <v>3009</v>
      </c>
      <c r="B1475" s="328">
        <v>4</v>
      </c>
      <c r="C1475" s="328"/>
      <c r="D1475" s="328" t="s">
        <v>1872</v>
      </c>
    </row>
    <row r="1476" spans="1:4" x14ac:dyDescent="0.2">
      <c r="A1476" s="328" t="s">
        <v>3009</v>
      </c>
      <c r="B1476" s="328">
        <v>5</v>
      </c>
      <c r="C1476" s="328"/>
      <c r="D1476" s="328" t="s">
        <v>1873</v>
      </c>
    </row>
  </sheetData>
  <sheetProtection algorithmName="SHA-512" hashValue="3PXcn4T/NzGU8VAI8RmeNda7axMp2SZXYb258aaCSmYG4ET3ZOei9kLWzDtrVxeUmaWSh+zZXaNKswug+0m6tg==" saltValue="Uw3en6pXELNYzhvohjK18Q=="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21" sqref="D21"/>
    </sheetView>
  </sheetViews>
  <sheetFormatPr baseColWidth="10" defaultColWidth="8.83203125" defaultRowHeight="15" x14ac:dyDescent="0.2"/>
  <cols>
    <col min="1" max="4" width="28.1640625" style="3" customWidth="1"/>
    <col min="5" max="6" width="8.83203125" style="3" customWidth="1"/>
    <col min="7" max="16384" width="8.83203125" style="3"/>
  </cols>
  <sheetData>
    <row r="1" spans="1:4" s="2" customFormat="1" x14ac:dyDescent="0.2">
      <c r="A1" s="6" t="s">
        <v>3010</v>
      </c>
      <c r="B1" s="6" t="s">
        <v>3011</v>
      </c>
      <c r="C1" s="6" t="s">
        <v>3012</v>
      </c>
      <c r="D1" s="6" t="s">
        <v>3013</v>
      </c>
    </row>
    <row r="2" spans="1:4" x14ac:dyDescent="0.2">
      <c r="A2" s="3" t="s">
        <v>3014</v>
      </c>
      <c r="B2" s="4" t="s">
        <v>3015</v>
      </c>
      <c r="C2" t="s">
        <v>37</v>
      </c>
      <c r="D2" s="3" t="s">
        <v>3016</v>
      </c>
    </row>
  </sheetData>
  <sheetProtection algorithmName="SHA-512" hashValue="p0sTwD9hM6N0+jlU07UXsFLS1Hk82Q7o1ovrZUiydGJq/gUooZ/XZUF13ykmwFINX8FNPYNpz1YyDsSOwMc1Mw==" saltValue="gAcIiXoEOq33BspxRTKOy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C92"/>
    </sheetView>
  </sheetViews>
  <sheetFormatPr baseColWidth="10" defaultColWidth="10.83203125" defaultRowHeight="15" x14ac:dyDescent="0.2"/>
  <cols>
    <col min="1" max="2" width="10.83203125" style="89" customWidth="1"/>
    <col min="3" max="3" width="15.1640625" style="103" customWidth="1"/>
    <col min="4" max="4" width="10.83203125" style="104" customWidth="1"/>
    <col min="5" max="5" width="28.6640625" style="105" customWidth="1"/>
    <col min="6" max="6" width="38.83203125" style="105" customWidth="1"/>
    <col min="7" max="8" width="10.83203125" style="89" customWidth="1"/>
    <col min="9" max="16384" width="10.83203125" style="89"/>
  </cols>
  <sheetData>
    <row r="2" spans="2:6" x14ac:dyDescent="0.2">
      <c r="C2" s="90"/>
      <c r="D2" s="91"/>
      <c r="E2" s="92"/>
      <c r="F2" s="92"/>
    </row>
    <row r="3" spans="2:6" ht="32" customHeight="1" x14ac:dyDescent="0.2">
      <c r="B3" s="93"/>
      <c r="C3" s="94" t="s">
        <v>3017</v>
      </c>
      <c r="D3" s="95" t="s">
        <v>3018</v>
      </c>
      <c r="E3" s="96" t="s">
        <v>3019</v>
      </c>
      <c r="F3" s="96" t="s">
        <v>3020</v>
      </c>
    </row>
    <row r="4" spans="2:6" ht="16" customHeight="1" x14ac:dyDescent="0.2">
      <c r="B4" s="93"/>
      <c r="C4" s="329"/>
      <c r="D4" s="97" t="s">
        <v>2041</v>
      </c>
      <c r="E4" s="98" t="s">
        <v>2042</v>
      </c>
      <c r="F4" s="98" t="s">
        <v>2043</v>
      </c>
    </row>
    <row r="5" spans="2:6" ht="16" customHeight="1" x14ac:dyDescent="0.2">
      <c r="B5" s="93"/>
      <c r="C5" s="329"/>
      <c r="D5" s="97" t="s">
        <v>2044</v>
      </c>
      <c r="E5" s="98" t="s">
        <v>2045</v>
      </c>
      <c r="F5" s="98" t="s">
        <v>2046</v>
      </c>
    </row>
    <row r="6" spans="2:6" ht="16" customHeight="1" x14ac:dyDescent="0.2">
      <c r="B6" s="93"/>
      <c r="C6" s="329"/>
      <c r="D6" s="97" t="s">
        <v>2047</v>
      </c>
      <c r="E6" s="98" t="s">
        <v>2048</v>
      </c>
      <c r="F6" s="98" t="s">
        <v>2049</v>
      </c>
    </row>
    <row r="7" spans="2:6" ht="16" customHeight="1" x14ac:dyDescent="0.2">
      <c r="B7" s="93"/>
      <c r="C7" s="329" t="s">
        <v>3021</v>
      </c>
      <c r="D7" s="97" t="s">
        <v>2012</v>
      </c>
      <c r="E7" s="98" t="s">
        <v>2013</v>
      </c>
      <c r="F7" s="98" t="s">
        <v>2014</v>
      </c>
    </row>
    <row r="8" spans="2:6" ht="16" customHeight="1" x14ac:dyDescent="0.2">
      <c r="B8" s="93"/>
      <c r="C8" s="329" t="s">
        <v>3021</v>
      </c>
      <c r="D8" s="97" t="s">
        <v>2015</v>
      </c>
      <c r="E8" s="98" t="s">
        <v>2016</v>
      </c>
      <c r="F8" s="98" t="s">
        <v>2017</v>
      </c>
    </row>
    <row r="9" spans="2:6" ht="16" customHeight="1" x14ac:dyDescent="0.2">
      <c r="B9" s="93"/>
      <c r="C9" s="329"/>
      <c r="D9" s="97" t="s">
        <v>2050</v>
      </c>
      <c r="E9" s="98" t="s">
        <v>2051</v>
      </c>
      <c r="F9" s="98" t="s">
        <v>2052</v>
      </c>
    </row>
    <row r="10" spans="2:6" ht="16" customHeight="1" x14ac:dyDescent="0.2">
      <c r="B10" s="93"/>
      <c r="C10" s="330"/>
      <c r="D10" s="97" t="s">
        <v>2053</v>
      </c>
      <c r="E10" s="99" t="s">
        <v>2054</v>
      </c>
      <c r="F10" s="99" t="s">
        <v>2055</v>
      </c>
    </row>
    <row r="11" spans="2:6" ht="16" customHeight="1" x14ac:dyDescent="0.2">
      <c r="B11" s="93"/>
      <c r="C11" s="329"/>
      <c r="D11" s="97" t="s">
        <v>2056</v>
      </c>
      <c r="E11" s="98" t="s">
        <v>2057</v>
      </c>
      <c r="F11" s="98" t="s">
        <v>2058</v>
      </c>
    </row>
    <row r="12" spans="2:6" ht="16" customHeight="1" x14ac:dyDescent="0.2">
      <c r="B12" s="93"/>
      <c r="C12" s="329" t="s">
        <v>3021</v>
      </c>
      <c r="D12" s="97" t="s">
        <v>2018</v>
      </c>
      <c r="E12" s="98" t="s">
        <v>2019</v>
      </c>
      <c r="F12" s="98" t="s">
        <v>2020</v>
      </c>
    </row>
    <row r="13" spans="2:6" ht="16" customHeight="1" x14ac:dyDescent="0.2">
      <c r="B13" s="93"/>
      <c r="C13" s="329"/>
      <c r="D13" s="97" t="s">
        <v>2059</v>
      </c>
      <c r="E13" s="98" t="s">
        <v>2060</v>
      </c>
      <c r="F13" s="98" t="s">
        <v>2061</v>
      </c>
    </row>
    <row r="14" spans="2:6" ht="16" customHeight="1" x14ac:dyDescent="0.2">
      <c r="B14" s="93"/>
      <c r="C14" s="329"/>
      <c r="D14" s="97" t="s">
        <v>2062</v>
      </c>
      <c r="E14" s="98" t="s">
        <v>2063</v>
      </c>
      <c r="F14" s="98" t="s">
        <v>2064</v>
      </c>
    </row>
    <row r="15" spans="2:6" ht="16" customHeight="1" x14ac:dyDescent="0.2">
      <c r="B15" s="93"/>
      <c r="C15" s="329"/>
      <c r="D15" s="97" t="s">
        <v>2065</v>
      </c>
      <c r="E15" s="98" t="s">
        <v>2066</v>
      </c>
      <c r="F15" s="98" t="s">
        <v>2067</v>
      </c>
    </row>
    <row r="16" spans="2:6" ht="16" customHeight="1" x14ac:dyDescent="0.2">
      <c r="B16" s="93"/>
      <c r="C16" s="329"/>
      <c r="D16" s="97" t="s">
        <v>2068</v>
      </c>
      <c r="E16" s="98" t="s">
        <v>2069</v>
      </c>
      <c r="F16" s="98" t="s">
        <v>2069</v>
      </c>
    </row>
    <row r="17" spans="2:6" ht="16" customHeight="1" x14ac:dyDescent="0.2">
      <c r="B17" s="93"/>
      <c r="C17" s="330"/>
      <c r="D17" s="97" t="s">
        <v>2070</v>
      </c>
      <c r="E17" s="99" t="s">
        <v>2071</v>
      </c>
      <c r="F17" s="99" t="s">
        <v>2072</v>
      </c>
    </row>
    <row r="18" spans="2:6" ht="16" customHeight="1" x14ac:dyDescent="0.2">
      <c r="B18" s="93"/>
      <c r="C18" s="329" t="s">
        <v>3021</v>
      </c>
      <c r="D18" s="97" t="s">
        <v>2021</v>
      </c>
      <c r="E18" s="98" t="s">
        <v>2022</v>
      </c>
      <c r="F18" s="98" t="s">
        <v>2023</v>
      </c>
    </row>
    <row r="19" spans="2:6" ht="16" customHeight="1" x14ac:dyDescent="0.2">
      <c r="B19" s="93"/>
      <c r="C19" s="329"/>
      <c r="D19" s="97" t="s">
        <v>2073</v>
      </c>
      <c r="E19" s="98" t="s">
        <v>2074</v>
      </c>
      <c r="F19" s="98" t="s">
        <v>2075</v>
      </c>
    </row>
    <row r="20" spans="2:6" ht="16" customHeight="1" x14ac:dyDescent="0.2">
      <c r="B20" s="93"/>
      <c r="C20" s="329"/>
      <c r="D20" s="97" t="s">
        <v>2076</v>
      </c>
      <c r="E20" s="98" t="s">
        <v>2077</v>
      </c>
      <c r="F20" s="98" t="s">
        <v>2078</v>
      </c>
    </row>
    <row r="21" spans="2:6" ht="16" customHeight="1" x14ac:dyDescent="0.2">
      <c r="B21" s="93"/>
      <c r="C21" s="329"/>
      <c r="D21" s="97" t="s">
        <v>2079</v>
      </c>
      <c r="E21" s="98" t="s">
        <v>2080</v>
      </c>
      <c r="F21" s="98" t="s">
        <v>2081</v>
      </c>
    </row>
    <row r="22" spans="2:6" ht="16" customHeight="1" x14ac:dyDescent="0.2">
      <c r="B22" s="93"/>
      <c r="C22" s="329"/>
      <c r="D22" s="97" t="s">
        <v>2082</v>
      </c>
      <c r="E22" s="98" t="s">
        <v>2083</v>
      </c>
      <c r="F22" s="98" t="s">
        <v>2084</v>
      </c>
    </row>
    <row r="23" spans="2:6" ht="16" customHeight="1" x14ac:dyDescent="0.2">
      <c r="B23" s="93"/>
      <c r="C23" s="329"/>
      <c r="D23" s="97" t="s">
        <v>2085</v>
      </c>
      <c r="E23" s="98" t="s">
        <v>2086</v>
      </c>
      <c r="F23" s="98" t="s">
        <v>2087</v>
      </c>
    </row>
    <row r="24" spans="2:6" ht="16" customHeight="1" x14ac:dyDescent="0.2">
      <c r="B24" s="93"/>
      <c r="C24" s="329"/>
      <c r="D24" s="97" t="s">
        <v>2088</v>
      </c>
      <c r="E24" s="98" t="s">
        <v>2089</v>
      </c>
      <c r="F24" s="98" t="s">
        <v>2087</v>
      </c>
    </row>
    <row r="25" spans="2:6" ht="16" customHeight="1" x14ac:dyDescent="0.2">
      <c r="B25" s="93"/>
      <c r="C25" s="330"/>
      <c r="D25" s="97" t="s">
        <v>2090</v>
      </c>
      <c r="E25" s="99" t="s">
        <v>2091</v>
      </c>
      <c r="F25" s="99" t="s">
        <v>2092</v>
      </c>
    </row>
    <row r="26" spans="2:6" ht="16" customHeight="1" x14ac:dyDescent="0.2">
      <c r="B26" s="93"/>
      <c r="C26" s="329"/>
      <c r="D26" s="97" t="s">
        <v>2093</v>
      </c>
      <c r="E26" s="98" t="s">
        <v>2094</v>
      </c>
      <c r="F26" s="98" t="s">
        <v>2095</v>
      </c>
    </row>
    <row r="27" spans="2:6" ht="16" customHeight="1" x14ac:dyDescent="0.2">
      <c r="B27" s="93"/>
      <c r="C27" s="329" t="s">
        <v>3021</v>
      </c>
      <c r="D27" s="97" t="s">
        <v>2024</v>
      </c>
      <c r="E27" s="98" t="s">
        <v>2025</v>
      </c>
      <c r="F27" s="98" t="s">
        <v>2026</v>
      </c>
    </row>
    <row r="28" spans="2:6" ht="16" customHeight="1" x14ac:dyDescent="0.2">
      <c r="B28" s="93"/>
      <c r="C28" s="329" t="s">
        <v>3021</v>
      </c>
      <c r="D28" s="97" t="s">
        <v>2027</v>
      </c>
      <c r="E28" s="98" t="s">
        <v>2028</v>
      </c>
      <c r="F28" s="98" t="s">
        <v>2029</v>
      </c>
    </row>
    <row r="29" spans="2:6" ht="16" customHeight="1" x14ac:dyDescent="0.2">
      <c r="B29" s="93"/>
      <c r="C29" s="329"/>
      <c r="D29" s="97" t="s">
        <v>2099</v>
      </c>
      <c r="E29" s="98" t="s">
        <v>2100</v>
      </c>
      <c r="F29" s="98" t="s">
        <v>2101</v>
      </c>
    </row>
    <row r="30" spans="2:6" ht="16" customHeight="1" x14ac:dyDescent="0.2">
      <c r="B30" s="93"/>
      <c r="C30" s="329"/>
      <c r="D30" s="97" t="s">
        <v>2102</v>
      </c>
      <c r="E30" s="98" t="s">
        <v>2103</v>
      </c>
      <c r="F30" s="98" t="s">
        <v>2104</v>
      </c>
    </row>
    <row r="31" spans="2:6" ht="16" customHeight="1" x14ac:dyDescent="0.2">
      <c r="B31" s="93"/>
      <c r="C31" s="329"/>
      <c r="D31" s="97" t="s">
        <v>2105</v>
      </c>
      <c r="E31" s="98" t="s">
        <v>2106</v>
      </c>
      <c r="F31" s="98" t="s">
        <v>2106</v>
      </c>
    </row>
    <row r="32" spans="2:6" ht="16" customHeight="1" x14ac:dyDescent="0.2">
      <c r="B32" s="93"/>
      <c r="C32" s="329"/>
      <c r="D32" s="97" t="s">
        <v>2107</v>
      </c>
      <c r="E32" s="98" t="s">
        <v>2108</v>
      </c>
      <c r="F32" s="98" t="s">
        <v>2109</v>
      </c>
    </row>
    <row r="33" spans="2:6" ht="32" customHeight="1" x14ac:dyDescent="0.2">
      <c r="B33" s="93"/>
      <c r="C33" s="329" t="s">
        <v>3021</v>
      </c>
      <c r="D33" s="97" t="s">
        <v>2030</v>
      </c>
      <c r="E33" s="98" t="s">
        <v>2031</v>
      </c>
      <c r="F33" s="98" t="s">
        <v>2032</v>
      </c>
    </row>
    <row r="34" spans="2:6" ht="16" customHeight="1" x14ac:dyDescent="0.2">
      <c r="B34" s="93"/>
      <c r="C34" s="329"/>
      <c r="D34" s="97" t="s">
        <v>2096</v>
      </c>
      <c r="E34" s="98" t="s">
        <v>2097</v>
      </c>
      <c r="F34" s="98" t="s">
        <v>2098</v>
      </c>
    </row>
    <row r="35" spans="2:6" ht="16" customHeight="1" x14ac:dyDescent="0.2">
      <c r="B35" s="93"/>
      <c r="C35" s="330"/>
      <c r="D35" s="97" t="s">
        <v>2110</v>
      </c>
      <c r="E35" s="99" t="s">
        <v>2111</v>
      </c>
      <c r="F35" s="99" t="s">
        <v>2112</v>
      </c>
    </row>
    <row r="36" spans="2:6" ht="16" customHeight="1" x14ac:dyDescent="0.2">
      <c r="B36" s="93"/>
      <c r="C36" s="329" t="s">
        <v>3021</v>
      </c>
      <c r="D36" s="97" t="s">
        <v>2033</v>
      </c>
      <c r="E36" s="98" t="s">
        <v>2034</v>
      </c>
      <c r="F36" s="98" t="s">
        <v>2035</v>
      </c>
    </row>
    <row r="37" spans="2:6" ht="16" customHeight="1" x14ac:dyDescent="0.2">
      <c r="B37" s="93"/>
      <c r="C37" s="329"/>
      <c r="D37" s="97" t="s">
        <v>2119</v>
      </c>
      <c r="E37" s="98" t="s">
        <v>2120</v>
      </c>
      <c r="F37" s="98" t="s">
        <v>2121</v>
      </c>
    </row>
    <row r="38" spans="2:6" ht="16" customHeight="1" x14ac:dyDescent="0.2">
      <c r="B38" s="93"/>
      <c r="C38" s="329"/>
      <c r="D38" s="97" t="s">
        <v>2122</v>
      </c>
      <c r="E38" s="98" t="s">
        <v>2123</v>
      </c>
      <c r="F38" s="98" t="s">
        <v>2124</v>
      </c>
    </row>
    <row r="39" spans="2:6" ht="16" customHeight="1" x14ac:dyDescent="0.2">
      <c r="B39" s="93"/>
      <c r="C39" s="329"/>
      <c r="D39" s="97" t="s">
        <v>2125</v>
      </c>
      <c r="E39" s="98" t="s">
        <v>2126</v>
      </c>
      <c r="F39" s="98" t="s">
        <v>2127</v>
      </c>
    </row>
    <row r="40" spans="2:6" ht="16" customHeight="1" x14ac:dyDescent="0.2">
      <c r="B40" s="93"/>
      <c r="C40" s="329"/>
      <c r="D40" s="97" t="s">
        <v>2128</v>
      </c>
      <c r="E40" s="98" t="s">
        <v>2129</v>
      </c>
      <c r="F40" s="98" t="s">
        <v>2130</v>
      </c>
    </row>
    <row r="41" spans="2:6" ht="16" customHeight="1" x14ac:dyDescent="0.2">
      <c r="B41" s="93"/>
      <c r="C41" s="329"/>
      <c r="D41" s="97" t="s">
        <v>2131</v>
      </c>
      <c r="E41" s="98" t="s">
        <v>2132</v>
      </c>
      <c r="F41" s="98" t="s">
        <v>2132</v>
      </c>
    </row>
    <row r="42" spans="2:6" ht="16" customHeight="1" x14ac:dyDescent="0.2">
      <c r="B42" s="93"/>
      <c r="C42" s="329"/>
      <c r="D42" s="97" t="s">
        <v>2133</v>
      </c>
      <c r="E42" s="98" t="s">
        <v>2134</v>
      </c>
      <c r="F42" s="98" t="s">
        <v>2135</v>
      </c>
    </row>
    <row r="43" spans="2:6" ht="16" customHeight="1" x14ac:dyDescent="0.2">
      <c r="B43" s="93"/>
      <c r="C43" s="329" t="s">
        <v>3021</v>
      </c>
      <c r="D43" s="97" t="s">
        <v>2036</v>
      </c>
      <c r="E43" s="98" t="s">
        <v>2037</v>
      </c>
      <c r="F43" s="98" t="s">
        <v>2038</v>
      </c>
    </row>
    <row r="44" spans="2:6" ht="16" customHeight="1" x14ac:dyDescent="0.2">
      <c r="B44" s="93"/>
      <c r="C44" s="329"/>
      <c r="D44" s="97" t="s">
        <v>2136</v>
      </c>
      <c r="E44" s="98" t="s">
        <v>2137</v>
      </c>
      <c r="F44" s="98" t="s">
        <v>2138</v>
      </c>
    </row>
    <row r="45" spans="2:6" ht="16" customHeight="1" x14ac:dyDescent="0.2">
      <c r="B45" s="93"/>
      <c r="C45" s="329"/>
      <c r="D45" s="97" t="s">
        <v>2113</v>
      </c>
      <c r="E45" s="98" t="s">
        <v>2114</v>
      </c>
      <c r="F45" s="98" t="s">
        <v>2115</v>
      </c>
    </row>
    <row r="46" spans="2:6" ht="16" customHeight="1" x14ac:dyDescent="0.2">
      <c r="B46" s="93"/>
      <c r="C46" s="329"/>
      <c r="D46" s="97" t="s">
        <v>2116</v>
      </c>
      <c r="E46" s="98" t="s">
        <v>2117</v>
      </c>
      <c r="F46" s="98" t="s">
        <v>2118</v>
      </c>
    </row>
    <row r="47" spans="2:6" ht="16" customHeight="1" x14ac:dyDescent="0.2">
      <c r="B47" s="93"/>
      <c r="C47" s="330"/>
      <c r="D47" s="97" t="s">
        <v>2139</v>
      </c>
      <c r="E47" s="99" t="s">
        <v>2140</v>
      </c>
      <c r="F47" s="99" t="s">
        <v>2141</v>
      </c>
    </row>
    <row r="48" spans="2:6" ht="16" customHeight="1" x14ac:dyDescent="0.2">
      <c r="B48" s="93"/>
      <c r="C48" s="329"/>
      <c r="D48" s="97" t="s">
        <v>2142</v>
      </c>
      <c r="E48" s="98" t="s">
        <v>2143</v>
      </c>
      <c r="F48" s="98" t="s">
        <v>2144</v>
      </c>
    </row>
    <row r="49" spans="2:6" ht="16" customHeight="1" x14ac:dyDescent="0.2">
      <c r="B49" s="93"/>
      <c r="C49" s="329"/>
      <c r="D49" s="97" t="s">
        <v>2145</v>
      </c>
      <c r="E49" s="98" t="s">
        <v>2146</v>
      </c>
      <c r="F49" s="98" t="s">
        <v>2147</v>
      </c>
    </row>
    <row r="50" spans="2:6" ht="16" customHeight="1" x14ac:dyDescent="0.2">
      <c r="B50" s="93"/>
      <c r="C50" s="329"/>
      <c r="D50" s="97" t="s">
        <v>2148</v>
      </c>
      <c r="E50" s="98" t="s">
        <v>2149</v>
      </c>
      <c r="F50" s="98" t="s">
        <v>2150</v>
      </c>
    </row>
    <row r="51" spans="2:6" ht="16" customHeight="1" x14ac:dyDescent="0.2">
      <c r="B51" s="93"/>
      <c r="C51" s="329"/>
      <c r="D51" s="97" t="s">
        <v>2151</v>
      </c>
      <c r="E51" s="98" t="s">
        <v>2152</v>
      </c>
      <c r="F51" s="98" t="s">
        <v>2153</v>
      </c>
    </row>
    <row r="52" spans="2:6" ht="16" customHeight="1" x14ac:dyDescent="0.2">
      <c r="B52" s="93"/>
      <c r="C52" s="330"/>
      <c r="D52" s="97" t="s">
        <v>2154</v>
      </c>
      <c r="E52" s="99" t="s">
        <v>2155</v>
      </c>
      <c r="F52" s="99" t="s">
        <v>2156</v>
      </c>
    </row>
    <row r="53" spans="2:6" ht="16" customHeight="1" x14ac:dyDescent="0.2">
      <c r="B53" s="93"/>
      <c r="C53" s="329"/>
      <c r="D53" s="97" t="s">
        <v>2157</v>
      </c>
      <c r="E53" s="98" t="s">
        <v>2158</v>
      </c>
      <c r="F53" s="98" t="s">
        <v>2159</v>
      </c>
    </row>
    <row r="54" spans="2:6" ht="16" customHeight="1" x14ac:dyDescent="0.2">
      <c r="B54" s="93"/>
      <c r="C54" s="329"/>
      <c r="D54" s="97" t="s">
        <v>2187</v>
      </c>
      <c r="E54" s="98" t="s">
        <v>2188</v>
      </c>
      <c r="F54" s="98" t="s">
        <v>2189</v>
      </c>
    </row>
    <row r="55" spans="2:6" ht="16" customHeight="1" x14ac:dyDescent="0.2">
      <c r="B55" s="93"/>
      <c r="C55" s="329"/>
      <c r="D55" s="97" t="s">
        <v>2190</v>
      </c>
      <c r="E55" s="98" t="s">
        <v>2191</v>
      </c>
      <c r="F55" s="98" t="s">
        <v>2191</v>
      </c>
    </row>
    <row r="56" spans="2:6" ht="16" customHeight="1" x14ac:dyDescent="0.2">
      <c r="B56" s="93"/>
      <c r="C56" s="329"/>
      <c r="D56" s="97" t="s">
        <v>2192</v>
      </c>
      <c r="E56" s="98" t="s">
        <v>2193</v>
      </c>
      <c r="F56" s="98" t="s">
        <v>2193</v>
      </c>
    </row>
    <row r="57" spans="2:6" ht="16" customHeight="1" x14ac:dyDescent="0.2">
      <c r="B57" s="93"/>
      <c r="C57" s="329"/>
      <c r="D57" s="97" t="s">
        <v>2194</v>
      </c>
      <c r="E57" s="98" t="s">
        <v>2195</v>
      </c>
      <c r="F57" s="98" t="s">
        <v>2196</v>
      </c>
    </row>
    <row r="58" spans="2:6" ht="16" customHeight="1" x14ac:dyDescent="0.2">
      <c r="B58" s="93"/>
      <c r="C58" s="329"/>
      <c r="D58" s="97" t="s">
        <v>2197</v>
      </c>
      <c r="E58" s="98" t="s">
        <v>2198</v>
      </c>
      <c r="F58" s="98" t="s">
        <v>2199</v>
      </c>
    </row>
    <row r="59" spans="2:6" ht="16" customHeight="1" x14ac:dyDescent="0.2">
      <c r="B59" s="93"/>
      <c r="C59" s="329"/>
      <c r="D59" s="97" t="s">
        <v>2200</v>
      </c>
      <c r="E59" s="98" t="s">
        <v>2201</v>
      </c>
      <c r="F59" s="98" t="s">
        <v>2202</v>
      </c>
    </row>
    <row r="60" spans="2:6" ht="16" customHeight="1" x14ac:dyDescent="0.2">
      <c r="B60" s="93"/>
      <c r="C60" s="329"/>
      <c r="D60" s="97" t="s">
        <v>2203</v>
      </c>
      <c r="E60" s="98" t="s">
        <v>2204</v>
      </c>
      <c r="F60" s="98" t="s">
        <v>2205</v>
      </c>
    </row>
    <row r="61" spans="2:6" ht="16" customHeight="1" x14ac:dyDescent="0.2">
      <c r="B61" s="93"/>
      <c r="C61" s="329"/>
      <c r="D61" s="97" t="s">
        <v>2206</v>
      </c>
      <c r="E61" s="98" t="s">
        <v>2207</v>
      </c>
      <c r="F61" s="98" t="s">
        <v>2208</v>
      </c>
    </row>
    <row r="62" spans="2:6" ht="16" customHeight="1" x14ac:dyDescent="0.2">
      <c r="B62" s="93"/>
      <c r="C62" s="329"/>
      <c r="D62" s="97" t="s">
        <v>2160</v>
      </c>
      <c r="E62" s="98" t="s">
        <v>2161</v>
      </c>
      <c r="F62" s="98" t="s">
        <v>2162</v>
      </c>
    </row>
    <row r="63" spans="2:6" ht="16" customHeight="1" x14ac:dyDescent="0.2">
      <c r="B63" s="93"/>
      <c r="C63" s="329"/>
      <c r="D63" s="97" t="s">
        <v>2163</v>
      </c>
      <c r="E63" s="98" t="s">
        <v>2164</v>
      </c>
      <c r="F63" s="98" t="s">
        <v>2165</v>
      </c>
    </row>
    <row r="64" spans="2:6" ht="16" customHeight="1" x14ac:dyDescent="0.2">
      <c r="B64" s="93"/>
      <c r="C64" s="329"/>
      <c r="D64" s="97" t="s">
        <v>2166</v>
      </c>
      <c r="E64" s="98" t="s">
        <v>2167</v>
      </c>
      <c r="F64" s="98" t="s">
        <v>2168</v>
      </c>
    </row>
    <row r="65" spans="2:6" ht="16" customHeight="1" x14ac:dyDescent="0.2">
      <c r="B65" s="93"/>
      <c r="C65" s="329"/>
      <c r="D65" s="97" t="s">
        <v>2169</v>
      </c>
      <c r="E65" s="98" t="s">
        <v>2170</v>
      </c>
      <c r="F65" s="98" t="s">
        <v>2171</v>
      </c>
    </row>
    <row r="66" spans="2:6" ht="16" customHeight="1" x14ac:dyDescent="0.2">
      <c r="B66" s="93"/>
      <c r="C66" s="329"/>
      <c r="D66" s="97" t="s">
        <v>2172</v>
      </c>
      <c r="E66" s="98" t="s">
        <v>2173</v>
      </c>
      <c r="F66" s="98" t="s">
        <v>2174</v>
      </c>
    </row>
    <row r="67" spans="2:6" ht="16" customHeight="1" x14ac:dyDescent="0.2">
      <c r="B67" s="93"/>
      <c r="C67" s="329"/>
      <c r="D67" s="97" t="s">
        <v>2175</v>
      </c>
      <c r="E67" s="98" t="s">
        <v>2176</v>
      </c>
      <c r="F67" s="98" t="s">
        <v>2177</v>
      </c>
    </row>
    <row r="68" spans="2:6" ht="16" customHeight="1" x14ac:dyDescent="0.2">
      <c r="B68" s="93"/>
      <c r="C68" s="329"/>
      <c r="D68" s="97" t="s">
        <v>2178</v>
      </c>
      <c r="E68" s="98" t="s">
        <v>2179</v>
      </c>
      <c r="F68" s="98" t="s">
        <v>2180</v>
      </c>
    </row>
    <row r="69" spans="2:6" ht="16" customHeight="1" x14ac:dyDescent="0.2">
      <c r="B69" s="93"/>
      <c r="C69" s="329"/>
      <c r="D69" s="97" t="s">
        <v>2181</v>
      </c>
      <c r="E69" s="98" t="s">
        <v>2182</v>
      </c>
      <c r="F69" s="98" t="s">
        <v>2183</v>
      </c>
    </row>
    <row r="70" spans="2:6" ht="16" customHeight="1" x14ac:dyDescent="0.2">
      <c r="B70" s="93"/>
      <c r="C70" s="329"/>
      <c r="D70" s="97" t="s">
        <v>2184</v>
      </c>
      <c r="E70" s="98" t="s">
        <v>2185</v>
      </c>
      <c r="F70" s="98" t="s">
        <v>2186</v>
      </c>
    </row>
    <row r="71" spans="2:6" ht="16" customHeight="1" x14ac:dyDescent="0.2">
      <c r="B71" s="93"/>
      <c r="C71" s="330"/>
      <c r="D71" s="97" t="s">
        <v>2209</v>
      </c>
      <c r="E71" s="99" t="s">
        <v>2210</v>
      </c>
      <c r="F71" s="99" t="s">
        <v>2211</v>
      </c>
    </row>
    <row r="72" spans="2:6" ht="16" customHeight="1" x14ac:dyDescent="0.2">
      <c r="B72" s="93"/>
      <c r="C72" s="329"/>
      <c r="D72" s="97" t="s">
        <v>2212</v>
      </c>
      <c r="E72" s="98" t="s">
        <v>2213</v>
      </c>
      <c r="F72" s="98" t="s">
        <v>2214</v>
      </c>
    </row>
    <row r="73" spans="2:6" ht="16" customHeight="1" x14ac:dyDescent="0.2">
      <c r="B73" s="93"/>
      <c r="C73" s="329"/>
      <c r="D73" s="97" t="s">
        <v>2215</v>
      </c>
      <c r="E73" s="98" t="s">
        <v>2216</v>
      </c>
      <c r="F73" s="98" t="s">
        <v>2217</v>
      </c>
    </row>
    <row r="74" spans="2:6" ht="16" customHeight="1" x14ac:dyDescent="0.2">
      <c r="B74" s="93"/>
      <c r="C74" s="329"/>
      <c r="D74" s="97" t="s">
        <v>2218</v>
      </c>
      <c r="E74" s="98" t="s">
        <v>2219</v>
      </c>
      <c r="F74" s="98" t="s">
        <v>2220</v>
      </c>
    </row>
    <row r="75" spans="2:6" ht="16" customHeight="1" x14ac:dyDescent="0.2">
      <c r="B75" s="93"/>
      <c r="C75" s="329"/>
      <c r="D75" s="97" t="s">
        <v>2221</v>
      </c>
      <c r="E75" s="98" t="s">
        <v>2222</v>
      </c>
      <c r="F75" s="98" t="s">
        <v>2223</v>
      </c>
    </row>
    <row r="76" spans="2:6" ht="16" customHeight="1" x14ac:dyDescent="0.2">
      <c r="B76" s="93"/>
      <c r="C76" s="329"/>
      <c r="D76" s="97" t="s">
        <v>2224</v>
      </c>
      <c r="E76" s="98" t="s">
        <v>2225</v>
      </c>
      <c r="F76" s="98" t="s">
        <v>2226</v>
      </c>
    </row>
    <row r="77" spans="2:6" ht="16" customHeight="1" x14ac:dyDescent="0.2">
      <c r="B77" s="93"/>
      <c r="C77" s="329"/>
      <c r="D77" s="97" t="s">
        <v>2227</v>
      </c>
      <c r="E77" s="98" t="s">
        <v>2228</v>
      </c>
      <c r="F77" s="98" t="s">
        <v>2229</v>
      </c>
    </row>
    <row r="78" spans="2:6" ht="16" customHeight="1" x14ac:dyDescent="0.2">
      <c r="B78" s="93"/>
      <c r="C78" s="329"/>
      <c r="D78" s="97" t="s">
        <v>2230</v>
      </c>
      <c r="E78" s="98" t="s">
        <v>2231</v>
      </c>
      <c r="F78" s="98" t="s">
        <v>2232</v>
      </c>
    </row>
    <row r="79" spans="2:6" ht="16" customHeight="1" x14ac:dyDescent="0.2">
      <c r="B79" s="93"/>
      <c r="C79" s="329"/>
      <c r="D79" s="97" t="s">
        <v>2233</v>
      </c>
      <c r="E79" s="98" t="s">
        <v>2234</v>
      </c>
      <c r="F79" s="98" t="s">
        <v>2235</v>
      </c>
    </row>
    <row r="80" spans="2:6" ht="16" customHeight="1" x14ac:dyDescent="0.2">
      <c r="B80" s="93"/>
      <c r="C80" s="330"/>
      <c r="D80" s="97" t="s">
        <v>2236</v>
      </c>
      <c r="E80" s="99" t="s">
        <v>2237</v>
      </c>
      <c r="F80" s="99" t="s">
        <v>2238</v>
      </c>
    </row>
    <row r="81" spans="2:6" ht="16" customHeight="1" x14ac:dyDescent="0.2">
      <c r="B81" s="93"/>
      <c r="C81" s="329"/>
      <c r="D81" s="97" t="s">
        <v>2239</v>
      </c>
      <c r="E81" s="98" t="s">
        <v>2240</v>
      </c>
      <c r="F81" s="98" t="s">
        <v>2241</v>
      </c>
    </row>
    <row r="82" spans="2:6" ht="16" customHeight="1" x14ac:dyDescent="0.2">
      <c r="B82" s="93"/>
      <c r="C82" s="329" t="s">
        <v>3021</v>
      </c>
      <c r="D82" s="97" t="s">
        <v>2039</v>
      </c>
      <c r="E82" s="98" t="s">
        <v>2040</v>
      </c>
      <c r="F82" s="98" t="s">
        <v>1946</v>
      </c>
    </row>
    <row r="83" spans="2:6" ht="16" customHeight="1" x14ac:dyDescent="0.2">
      <c r="B83" s="93"/>
      <c r="C83" s="329"/>
      <c r="D83" s="97" t="s">
        <v>2242</v>
      </c>
      <c r="E83" s="98" t="s">
        <v>2243</v>
      </c>
      <c r="F83" s="98" t="s">
        <v>2244</v>
      </c>
    </row>
    <row r="84" spans="2:6" ht="16" customHeight="1" x14ac:dyDescent="0.2">
      <c r="B84" s="93"/>
      <c r="C84" s="329"/>
      <c r="D84" s="97" t="s">
        <v>2245</v>
      </c>
      <c r="E84" s="98" t="s">
        <v>2246</v>
      </c>
      <c r="F84" s="98" t="s">
        <v>2247</v>
      </c>
    </row>
    <row r="85" spans="2:6" ht="16" customHeight="1" x14ac:dyDescent="0.2">
      <c r="B85" s="93"/>
      <c r="C85" s="329"/>
      <c r="D85" s="97" t="s">
        <v>2248</v>
      </c>
      <c r="E85" s="98" t="s">
        <v>2249</v>
      </c>
      <c r="F85" s="98" t="s">
        <v>2250</v>
      </c>
    </row>
    <row r="86" spans="2:6" ht="16" customHeight="1" x14ac:dyDescent="0.2">
      <c r="B86" s="93"/>
      <c r="C86" s="330"/>
      <c r="D86" s="97" t="s">
        <v>2251</v>
      </c>
      <c r="E86" s="99" t="s">
        <v>2252</v>
      </c>
      <c r="F86" s="99" t="s">
        <v>2253</v>
      </c>
    </row>
    <row r="87" spans="2:6" ht="16" customHeight="1" x14ac:dyDescent="0.2">
      <c r="B87" s="93"/>
      <c r="C87" s="329"/>
      <c r="D87" s="97" t="s">
        <v>2254</v>
      </c>
      <c r="E87" s="98" t="s">
        <v>2255</v>
      </c>
      <c r="F87" s="98" t="s">
        <v>2256</v>
      </c>
    </row>
    <row r="88" spans="2:6" ht="16" customHeight="1" x14ac:dyDescent="0.2">
      <c r="B88" s="93"/>
      <c r="C88" s="329"/>
      <c r="D88" s="97" t="s">
        <v>2257</v>
      </c>
      <c r="E88" s="98" t="s">
        <v>2258</v>
      </c>
      <c r="F88" s="98" t="s">
        <v>2259</v>
      </c>
    </row>
    <row r="89" spans="2:6" ht="16" customHeight="1" x14ac:dyDescent="0.2">
      <c r="B89" s="93"/>
      <c r="C89" s="329"/>
      <c r="D89" s="97" t="s">
        <v>2260</v>
      </c>
      <c r="E89" s="98" t="s">
        <v>2261</v>
      </c>
      <c r="F89" s="98" t="s">
        <v>2262</v>
      </c>
    </row>
    <row r="90" spans="2:6" ht="16" customHeight="1" x14ac:dyDescent="0.2">
      <c r="B90" s="93"/>
      <c r="C90" s="329"/>
      <c r="D90" s="97" t="s">
        <v>2263</v>
      </c>
      <c r="E90" s="98" t="s">
        <v>2264</v>
      </c>
      <c r="F90" s="98" t="s">
        <v>2265</v>
      </c>
    </row>
    <row r="91" spans="2:6" ht="16" customHeight="1" x14ac:dyDescent="0.2">
      <c r="B91" s="93"/>
      <c r="C91" s="329"/>
      <c r="D91" s="97" t="s">
        <v>2266</v>
      </c>
      <c r="E91" s="98" t="s">
        <v>2267</v>
      </c>
      <c r="F91" s="98" t="s">
        <v>2268</v>
      </c>
    </row>
    <row r="92" spans="2:6" ht="16" customHeight="1" x14ac:dyDescent="0.2">
      <c r="B92" s="93"/>
      <c r="C92" s="329"/>
      <c r="D92" s="97" t="s">
        <v>2269</v>
      </c>
      <c r="E92" s="98" t="s">
        <v>2270</v>
      </c>
      <c r="F92" s="98" t="s">
        <v>2270</v>
      </c>
    </row>
    <row r="93" spans="2:6" s="105" customFormat="1" ht="16" customHeight="1" x14ac:dyDescent="0.2">
      <c r="B93" s="239"/>
      <c r="C93" s="240"/>
      <c r="D93" s="241" t="s">
        <v>2271</v>
      </c>
      <c r="E93" s="99" t="s">
        <v>2272</v>
      </c>
      <c r="F93" s="99" t="s">
        <v>2273</v>
      </c>
    </row>
    <row r="94" spans="2:6" x14ac:dyDescent="0.2">
      <c r="C94" s="100"/>
      <c r="D94" s="101"/>
      <c r="E94" s="102"/>
      <c r="F94" s="102"/>
    </row>
  </sheetData>
  <sheetProtection algorithmName="SHA-512" hashValue="xQIQxFm4wi3GE2Ra55hjTZwqVR8D77kYa5iBGMm5V1kKuPX5WhUJ/Hw/7fiKf9G3O2W34GlzmptGVr1c+peveg==" saltValue="1HNO4iQkbyh1ve7xhKeOnA=="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12" zoomScale="80" zoomScaleNormal="80" workbookViewId="0">
      <selection activeCell="E16" sqref="E16"/>
    </sheetView>
  </sheetViews>
  <sheetFormatPr baseColWidth="10" defaultColWidth="10.83203125" defaultRowHeight="16" x14ac:dyDescent="0.2"/>
  <cols>
    <col min="1" max="1" width="10.83203125" style="152" customWidth="1"/>
    <col min="2" max="2" width="8.83203125" style="152" customWidth="1"/>
    <col min="3" max="3" width="27.6640625" style="152" customWidth="1"/>
    <col min="4" max="5" width="20.83203125" style="152" customWidth="1"/>
    <col min="6" max="7" width="46.5" style="165" customWidth="1"/>
    <col min="8" max="8" width="20.83203125" style="235" customWidth="1"/>
    <col min="9" max="9" width="20.83203125" style="152" customWidth="1"/>
    <col min="10" max="11" width="10.83203125" style="152" customWidth="1"/>
    <col min="12" max="16384" width="10.83203125" style="152"/>
  </cols>
  <sheetData>
    <row r="1" spans="1:11" ht="17" customHeight="1" thickBot="1" x14ac:dyDescent="0.25">
      <c r="C1" s="153"/>
      <c r="D1" s="153"/>
      <c r="E1" s="153"/>
      <c r="F1" s="154"/>
      <c r="G1" s="154"/>
      <c r="H1" s="155"/>
      <c r="I1" s="153"/>
    </row>
    <row r="2" spans="1:11" s="165" customFormat="1" ht="17" customHeight="1" thickBot="1" x14ac:dyDescent="0.25">
      <c r="A2" s="156"/>
      <c r="B2" s="157"/>
      <c r="C2" s="158" t="s">
        <v>3022</v>
      </c>
      <c r="D2" s="159" t="s">
        <v>3023</v>
      </c>
      <c r="E2" s="159" t="s">
        <v>3024</v>
      </c>
      <c r="F2" s="160" t="s">
        <v>3025</v>
      </c>
      <c r="G2" s="161" t="s">
        <v>3026</v>
      </c>
      <c r="H2" s="162" t="s">
        <v>3027</v>
      </c>
      <c r="I2" s="163" t="s">
        <v>3028</v>
      </c>
      <c r="J2" s="164"/>
    </row>
    <row r="3" spans="1:11" ht="62.5" customHeight="1" x14ac:dyDescent="0.2">
      <c r="A3" s="166"/>
      <c r="B3" s="346" t="s">
        <v>3029</v>
      </c>
      <c r="C3" s="167" t="s">
        <v>3030</v>
      </c>
      <c r="D3" s="331" t="s">
        <v>3031</v>
      </c>
      <c r="E3" s="168" t="s">
        <v>3031</v>
      </c>
      <c r="F3" s="169" t="s">
        <v>3032</v>
      </c>
      <c r="G3" s="170" t="s">
        <v>3033</v>
      </c>
      <c r="H3" s="171" t="s">
        <v>3034</v>
      </c>
      <c r="I3" s="172" t="s">
        <v>3034</v>
      </c>
      <c r="J3" s="173"/>
    </row>
    <row r="4" spans="1:11" ht="31.75" customHeight="1" x14ac:dyDescent="0.2">
      <c r="A4" s="166"/>
      <c r="B4" s="343"/>
      <c r="C4" s="174" t="s">
        <v>3035</v>
      </c>
      <c r="D4" s="332">
        <v>18</v>
      </c>
      <c r="E4" s="175">
        <v>18</v>
      </c>
      <c r="F4" s="176" t="s">
        <v>3036</v>
      </c>
      <c r="G4" s="177" t="s">
        <v>3037</v>
      </c>
      <c r="H4" s="178">
        <v>18</v>
      </c>
      <c r="I4" s="179">
        <v>18</v>
      </c>
      <c r="J4" s="173"/>
    </row>
    <row r="5" spans="1:11" ht="66" customHeight="1" x14ac:dyDescent="0.2">
      <c r="A5" s="166"/>
      <c r="B5" s="343"/>
      <c r="C5" s="180" t="s">
        <v>3038</v>
      </c>
      <c r="D5" s="333" t="s">
        <v>3039</v>
      </c>
      <c r="E5" s="257" t="s">
        <v>3040</v>
      </c>
      <c r="F5" s="246" t="s">
        <v>3041</v>
      </c>
      <c r="G5" s="177" t="s">
        <v>3042</v>
      </c>
      <c r="H5" s="181" t="s">
        <v>3043</v>
      </c>
      <c r="I5" s="182" t="s">
        <v>3044</v>
      </c>
      <c r="J5" s="173"/>
    </row>
    <row r="6" spans="1:11" ht="48" customHeight="1" x14ac:dyDescent="0.2">
      <c r="A6" s="166"/>
      <c r="B6" s="343"/>
      <c r="C6" s="183" t="s">
        <v>3045</v>
      </c>
      <c r="D6" s="340" t="s">
        <v>3046</v>
      </c>
      <c r="E6" s="257" t="s">
        <v>3047</v>
      </c>
      <c r="F6" s="246" t="s">
        <v>3048</v>
      </c>
      <c r="G6" s="176" t="s">
        <v>3049</v>
      </c>
      <c r="H6" s="184" t="s">
        <v>3050</v>
      </c>
      <c r="I6" s="185" t="s">
        <v>3051</v>
      </c>
      <c r="J6" s="173"/>
    </row>
    <row r="7" spans="1:11" s="191" customFormat="1" ht="100.5" customHeight="1" x14ac:dyDescent="0.2">
      <c r="A7" s="186"/>
      <c r="B7" s="343"/>
      <c r="C7" s="187" t="s">
        <v>3052</v>
      </c>
      <c r="D7" s="151" t="s">
        <v>3053</v>
      </c>
      <c r="E7" s="266" t="s">
        <v>3054</v>
      </c>
      <c r="F7" s="246" t="s">
        <v>3055</v>
      </c>
      <c r="G7" s="188" t="s">
        <v>3056</v>
      </c>
      <c r="H7" s="184" t="s">
        <v>3053</v>
      </c>
      <c r="I7" s="189" t="s">
        <v>3054</v>
      </c>
      <c r="J7" s="190"/>
    </row>
    <row r="8" spans="1:11" ht="121" customHeight="1" x14ac:dyDescent="0.2">
      <c r="A8" s="166"/>
      <c r="B8" s="343"/>
      <c r="C8" s="183" t="s">
        <v>3057</v>
      </c>
      <c r="D8" s="15" t="s">
        <v>3058</v>
      </c>
      <c r="E8" s="339" t="s">
        <v>3059</v>
      </c>
      <c r="F8" s="247" t="s">
        <v>3060</v>
      </c>
      <c r="G8" s="192" t="s">
        <v>3061</v>
      </c>
      <c r="H8" s="193" t="s">
        <v>3062</v>
      </c>
      <c r="I8" s="194" t="s">
        <v>3063</v>
      </c>
      <c r="J8" s="173"/>
      <c r="K8" s="267"/>
    </row>
    <row r="9" spans="1:11" ht="96" customHeight="1" x14ac:dyDescent="0.2">
      <c r="A9" s="166"/>
      <c r="B9" s="343"/>
      <c r="C9" s="183" t="s">
        <v>3064</v>
      </c>
      <c r="D9" s="334" t="s">
        <v>3065</v>
      </c>
      <c r="E9" s="195" t="s">
        <v>3066</v>
      </c>
      <c r="F9" s="247" t="s">
        <v>3067</v>
      </c>
      <c r="G9" s="192" t="s">
        <v>3068</v>
      </c>
      <c r="H9" s="193" t="s">
        <v>3069</v>
      </c>
      <c r="I9" s="185" t="s">
        <v>3070</v>
      </c>
      <c r="J9" s="173"/>
    </row>
    <row r="10" spans="1:11" s="191" customFormat="1" ht="85" customHeight="1" x14ac:dyDescent="0.2">
      <c r="A10" s="186"/>
      <c r="B10" s="343"/>
      <c r="C10" s="196" t="s">
        <v>3071</v>
      </c>
      <c r="D10" s="341" t="s">
        <v>2171</v>
      </c>
      <c r="E10" s="268" t="s">
        <v>2171</v>
      </c>
      <c r="F10" s="248" t="s">
        <v>3072</v>
      </c>
      <c r="G10" s="197" t="s">
        <v>3073</v>
      </c>
      <c r="H10" s="193" t="s">
        <v>2171</v>
      </c>
      <c r="I10" s="198" t="s">
        <v>2171</v>
      </c>
      <c r="J10" s="190"/>
    </row>
    <row r="11" spans="1:11" s="191" customFormat="1" ht="50.25" customHeight="1" thickBot="1" x14ac:dyDescent="0.25">
      <c r="A11" s="186"/>
      <c r="B11" s="344"/>
      <c r="C11" s="199" t="s">
        <v>3074</v>
      </c>
      <c r="D11" s="335">
        <v>1.43</v>
      </c>
      <c r="E11" s="200">
        <v>1.43</v>
      </c>
      <c r="F11" s="249" t="s">
        <v>3075</v>
      </c>
      <c r="G11" s="201" t="s">
        <v>3076</v>
      </c>
      <c r="H11" s="202">
        <v>1.43</v>
      </c>
      <c r="I11" s="203">
        <v>1.43</v>
      </c>
      <c r="J11" s="190"/>
    </row>
    <row r="12" spans="1:11" ht="57.5" customHeight="1" x14ac:dyDescent="0.2">
      <c r="A12" s="166"/>
      <c r="B12" s="342" t="s">
        <v>3077</v>
      </c>
      <c r="C12" s="204" t="s">
        <v>3078</v>
      </c>
      <c r="D12" s="336" t="s">
        <v>3079</v>
      </c>
      <c r="E12" s="175" t="s">
        <v>3079</v>
      </c>
      <c r="F12" s="250" t="s">
        <v>3080</v>
      </c>
      <c r="G12" s="205" t="s">
        <v>3081</v>
      </c>
      <c r="H12" s="181" t="s">
        <v>3082</v>
      </c>
      <c r="I12" s="206" t="s">
        <v>3082</v>
      </c>
      <c r="J12" s="173"/>
    </row>
    <row r="13" spans="1:11" ht="145.5" customHeight="1" x14ac:dyDescent="0.2">
      <c r="A13" s="166"/>
      <c r="B13" s="343"/>
      <c r="C13" s="207" t="s">
        <v>3083</v>
      </c>
      <c r="D13" s="337">
        <v>1</v>
      </c>
      <c r="E13" s="175">
        <v>1</v>
      </c>
      <c r="F13" s="251" t="s">
        <v>3084</v>
      </c>
      <c r="G13" s="208" t="s">
        <v>3085</v>
      </c>
      <c r="H13" s="193">
        <v>5</v>
      </c>
      <c r="I13" s="209">
        <v>5</v>
      </c>
      <c r="J13" s="210"/>
      <c r="K13" s="211"/>
    </row>
    <row r="14" spans="1:11" ht="198" customHeight="1" x14ac:dyDescent="0.2">
      <c r="A14" s="166"/>
      <c r="B14" s="343"/>
      <c r="C14" s="207" t="s">
        <v>3086</v>
      </c>
      <c r="D14" s="337">
        <v>80000</v>
      </c>
      <c r="E14" s="175">
        <v>80000</v>
      </c>
      <c r="F14" s="252" t="s">
        <v>3087</v>
      </c>
      <c r="G14" s="197" t="s">
        <v>3088</v>
      </c>
      <c r="H14" s="193">
        <v>1200000</v>
      </c>
      <c r="I14" s="209">
        <v>1200000</v>
      </c>
      <c r="J14" s="173"/>
    </row>
    <row r="15" spans="1:11" ht="48" customHeight="1" x14ac:dyDescent="0.2">
      <c r="A15" s="166"/>
      <c r="B15" s="343"/>
      <c r="C15" s="212" t="s">
        <v>3089</v>
      </c>
      <c r="D15" s="333" t="s">
        <v>3090</v>
      </c>
      <c r="E15" s="347" t="s">
        <v>3090</v>
      </c>
      <c r="F15" s="248" t="s">
        <v>3091</v>
      </c>
      <c r="G15" s="197" t="s">
        <v>3092</v>
      </c>
      <c r="H15" s="193" t="s">
        <v>3093</v>
      </c>
      <c r="I15" s="194" t="s">
        <v>3094</v>
      </c>
      <c r="J15" s="173"/>
    </row>
    <row r="16" spans="1:11" ht="49" customHeight="1" thickBot="1" x14ac:dyDescent="0.25">
      <c r="A16" s="166"/>
      <c r="B16" s="344"/>
      <c r="C16" s="213" t="s">
        <v>3095</v>
      </c>
      <c r="D16" s="338" t="s">
        <v>3096</v>
      </c>
      <c r="E16" s="16" t="s">
        <v>3097</v>
      </c>
      <c r="F16" s="253" t="s">
        <v>3098</v>
      </c>
      <c r="G16" s="214" t="s">
        <v>3099</v>
      </c>
      <c r="H16" s="215" t="s">
        <v>3100</v>
      </c>
      <c r="I16" s="216" t="s">
        <v>3101</v>
      </c>
      <c r="J16" s="173"/>
    </row>
    <row r="17" spans="1:10" s="225" customFormat="1" ht="5.5" customHeight="1" thickBot="1" x14ac:dyDescent="0.25">
      <c r="A17" s="217"/>
      <c r="B17" s="218"/>
      <c r="C17" s="219"/>
      <c r="D17" s="220"/>
      <c r="E17" s="221"/>
      <c r="G17" s="222"/>
      <c r="H17" s="223"/>
      <c r="I17" s="224"/>
      <c r="J17" s="211"/>
    </row>
    <row r="18" spans="1:10" ht="176" customHeight="1" x14ac:dyDescent="0.2">
      <c r="A18" s="166"/>
      <c r="B18" s="345" t="s">
        <v>3102</v>
      </c>
      <c r="C18" s="226" t="s">
        <v>3103</v>
      </c>
      <c r="D18" s="236">
        <v>60</v>
      </c>
      <c r="E18" s="269">
        <v>60</v>
      </c>
      <c r="F18" s="254" t="s">
        <v>3104</v>
      </c>
      <c r="G18" s="227" t="s">
        <v>3105</v>
      </c>
      <c r="H18" s="145">
        <v>0.91</v>
      </c>
      <c r="I18" s="146">
        <v>0.91</v>
      </c>
      <c r="J18" s="173"/>
    </row>
    <row r="19" spans="1:10" ht="176" customHeight="1" x14ac:dyDescent="0.2">
      <c r="A19" s="166"/>
      <c r="B19" s="343"/>
      <c r="C19" s="228" t="s">
        <v>3106</v>
      </c>
      <c r="D19" s="237">
        <v>0.2</v>
      </c>
      <c r="E19" s="270">
        <v>0.2</v>
      </c>
      <c r="F19" s="255" t="s">
        <v>3107</v>
      </c>
      <c r="G19" s="229" t="s">
        <v>3108</v>
      </c>
      <c r="H19" s="147">
        <v>0.91</v>
      </c>
      <c r="I19" s="148">
        <v>0.91</v>
      </c>
      <c r="J19" s="173"/>
    </row>
    <row r="20" spans="1:10" ht="141" customHeight="1" thickBot="1" x14ac:dyDescent="0.25">
      <c r="A20" s="166"/>
      <c r="B20" s="344"/>
      <c r="C20" s="230" t="s">
        <v>3109</v>
      </c>
      <c r="D20" s="238">
        <v>0.05</v>
      </c>
      <c r="E20" s="271">
        <v>0.05</v>
      </c>
      <c r="F20" s="256" t="s">
        <v>3110</v>
      </c>
      <c r="G20" s="231" t="s">
        <v>3111</v>
      </c>
      <c r="H20" s="149">
        <v>0.05</v>
      </c>
      <c r="I20" s="150">
        <v>0.05</v>
      </c>
      <c r="J20" s="173"/>
    </row>
    <row r="21" spans="1:10" x14ac:dyDescent="0.2">
      <c r="B21" s="232"/>
      <c r="C21" s="232"/>
      <c r="D21" s="232"/>
      <c r="E21" s="232"/>
      <c r="F21" s="233"/>
      <c r="G21" s="233"/>
      <c r="H21" s="234"/>
      <c r="I21" s="232"/>
    </row>
  </sheetData>
  <sheetProtection algorithmName="SHA-512" hashValue="sj58Hz/jU948XcjYJO4YXW4PLXN0EcHKg3iAetLrn+7SkxFm1iUGv6Y0Pebmdvz2tfBpDmV1WYXH/Q20gPhR6w==" saltValue="TkiTU+mYS6789IV2itC76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"el año pasado, un año normal"</formula1>
    </dataValidation>
    <dataValidation type="list" allowBlank="1" showInputMessage="1" showErrorMessage="1" sqref="D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2024-05-06T08:45:21Z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2024-05-06T08:36:22Z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2417c6ed-5288-473e-a90b-0633cb2e63dd</vt:lpwstr>
  </property>
  <property fmtid="{D5CDD505-2E9C-101B-9397-08002B2CF9AE}" pid="8" name="MSIP_Label_46ec50b2-b191-4ad7-ba82-7deb0436e358_ContentBits">
    <vt:lpwstr>0</vt:lpwstr>
  </property>
</Properties>
</file>