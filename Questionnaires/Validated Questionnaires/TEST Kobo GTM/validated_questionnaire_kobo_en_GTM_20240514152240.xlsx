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3600" windowHeight="21000" tabRatio="600" firstSheet="0" activeTab="3"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family val="2"/>
      <sz val="8"/>
      <scheme val="minor"/>
    </font>
    <font>
      <name val="Calibri (Body)"/>
      <color theme="0" tint="-0.3499862666707358"/>
      <sz val="11"/>
    </font>
    <font>
      <name val="Calibri (Body)"/>
      <b val="1"/>
      <color rgb="FFC00000"/>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47">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medium">
        <color indexed="64"/>
      </left>
      <right/>
      <top/>
      <bottom/>
      <diagonal/>
    </border>
  </borders>
  <cellStyleXfs count="17">
    <xf numFmtId="0" fontId="12" fillId="0" borderId="0"/>
    <xf numFmtId="0" fontId="9" fillId="0" borderId="0"/>
    <xf numFmtId="0" fontId="12" fillId="0" borderId="0"/>
    <xf numFmtId="0" fontId="18" fillId="0" borderId="0"/>
    <xf numFmtId="0" fontId="9" fillId="0" borderId="0"/>
    <xf numFmtId="0" fontId="9" fillId="0" borderId="0"/>
    <xf numFmtId="0" fontId="23" fillId="4" borderId="14"/>
    <xf numFmtId="9" fontId="12" fillId="0" borderId="0"/>
    <xf numFmtId="0" fontId="9" fillId="0" borderId="0"/>
    <xf numFmtId="0" fontId="9" fillId="0" borderId="0"/>
    <xf numFmtId="0" fontId="9" fillId="0" borderId="0"/>
    <xf numFmtId="0" fontId="9" fillId="0" borderId="0"/>
    <xf numFmtId="0" fontId="12" fillId="0" borderId="0"/>
    <xf numFmtId="0" fontId="9" fillId="0" borderId="0"/>
    <xf numFmtId="0" fontId="12" fillId="0" borderId="0"/>
    <xf numFmtId="0" fontId="9" fillId="0" borderId="0"/>
    <xf numFmtId="0" fontId="12" fillId="0" borderId="0"/>
  </cellStyleXfs>
  <cellXfs count="263">
    <xf numFmtId="0" fontId="0" fillId="0" borderId="0" pivotButton="0" quotePrefix="0" xfId="0"/>
    <xf numFmtId="0" fontId="11" fillId="2" borderId="0" applyProtection="1" pivotButton="0" quotePrefix="0" xfId="0">
      <protection locked="0" hidden="0"/>
    </xf>
    <xf numFmtId="0" fontId="11"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3" fillId="2" borderId="0" applyProtection="1" pivotButton="0" quotePrefix="0" xfId="0">
      <protection locked="0" hidden="0"/>
    </xf>
    <xf numFmtId="0" fontId="11" fillId="0" borderId="0" pivotButton="0" quotePrefix="0" xfId="0"/>
    <xf numFmtId="0" fontId="16" fillId="2" borderId="0" applyProtection="1" pivotButton="0" quotePrefix="0" xfId="0">
      <protection locked="0" hidden="0"/>
    </xf>
    <xf numFmtId="0" fontId="10" fillId="2" borderId="0" applyProtection="1" pivotButton="0" quotePrefix="0" xfId="0">
      <protection locked="0" hidden="0"/>
    </xf>
    <xf numFmtId="0" fontId="24" fillId="2" borderId="7" applyAlignment="1" applyProtection="1" pivotButton="0" quotePrefix="0" xfId="6">
      <alignment horizontal="center" vertical="center"/>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0" fillId="0" borderId="0" applyProtection="1" pivotButton="0" quotePrefix="0" xfId="0">
      <protection locked="0" hidden="0"/>
    </xf>
    <xf numFmtId="0" fontId="14" fillId="0" borderId="0" applyProtection="1" pivotButton="0" quotePrefix="0" xfId="0">
      <protection locked="0" hidden="0"/>
    </xf>
    <xf numFmtId="0" fontId="13" fillId="0" borderId="0" applyProtection="1" pivotButton="0" quotePrefix="0" xfId="0">
      <protection locked="0" hidden="0"/>
    </xf>
    <xf numFmtId="0" fontId="14" fillId="2" borderId="0" applyProtection="1" pivotButton="0" quotePrefix="0" xfId="0">
      <protection locked="0" hidden="0"/>
    </xf>
    <xf numFmtId="0" fontId="6" fillId="0" borderId="2" pivotButton="0" quotePrefix="0" xfId="10"/>
    <xf numFmtId="0" fontId="6" fillId="0" borderId="13" pivotButton="0" quotePrefix="0" xfId="10"/>
    <xf numFmtId="0" fontId="6" fillId="0" borderId="6" pivotButton="0" quotePrefix="0" xfId="10"/>
    <xf numFmtId="0" fontId="6" fillId="0" borderId="23" pivotButton="0" quotePrefix="0" xfId="10"/>
    <xf numFmtId="0" fontId="20" fillId="0" borderId="33" applyAlignment="1" pivotButton="0" quotePrefix="0" xfId="10">
      <alignment horizontal="center" vertical="center" wrapText="1"/>
    </xf>
    <xf numFmtId="0" fontId="20" fillId="0" borderId="29" applyAlignment="1" pivotButton="0" quotePrefix="0" xfId="10">
      <alignment horizontal="center" vertical="center" wrapText="1"/>
    </xf>
    <xf numFmtId="0" fontId="21" fillId="0" borderId="29" applyAlignment="1" pivotButton="0" quotePrefix="0" xfId="10">
      <alignment horizontal="center" vertical="center" wrapText="1"/>
    </xf>
    <xf numFmtId="0" fontId="21" fillId="0" borderId="36" applyAlignment="1" pivotButton="0" quotePrefix="0" xfId="10">
      <alignment vertical="center" wrapText="1"/>
    </xf>
    <xf numFmtId="0" fontId="21" fillId="0" borderId="19" applyAlignment="1" pivotButton="0" quotePrefix="0" xfId="10">
      <alignment vertical="center" wrapText="1"/>
    </xf>
    <xf numFmtId="0" fontId="21" fillId="0" borderId="31" applyAlignment="1" pivotButton="0" quotePrefix="0" xfId="10">
      <alignment vertical="center" wrapText="1"/>
    </xf>
    <xf numFmtId="9" fontId="21" fillId="0" borderId="21" applyAlignment="1" pivotButton="0" quotePrefix="0" xfId="7">
      <alignment horizontal="center" vertical="center" wrapText="1"/>
    </xf>
    <xf numFmtId="9" fontId="21" fillId="0" borderId="22" applyAlignment="1" pivotButton="0" quotePrefix="0" xfId="7">
      <alignment horizontal="center" vertical="center" wrapText="1"/>
    </xf>
    <xf numFmtId="0" fontId="6" fillId="0" borderId="3" pivotButton="0" quotePrefix="0" xfId="10"/>
    <xf numFmtId="0" fontId="6" fillId="3" borderId="7" applyAlignment="1" applyProtection="1" pivotButton="0" quotePrefix="0" xfId="10">
      <alignment horizontal="center" vertical="center"/>
      <protection locked="0" hidden="0"/>
    </xf>
    <xf numFmtId="0" fontId="20" fillId="0" borderId="10" applyAlignment="1" pivotButton="0" quotePrefix="0" xfId="5">
      <alignment horizontal="left" vertical="center"/>
    </xf>
    <xf numFmtId="0" fontId="20" fillId="0" borderId="39" applyAlignment="1" pivotButton="0" quotePrefix="0" xfId="10">
      <alignment horizontal="left" vertical="center"/>
    </xf>
    <xf numFmtId="0" fontId="20" fillId="0" borderId="38" applyAlignment="1" pivotButton="0" quotePrefix="0" xfId="10">
      <alignment horizontal="left" vertical="center"/>
    </xf>
    <xf numFmtId="0" fontId="20" fillId="0" borderId="10" applyAlignment="1" pivotButton="0" quotePrefix="0" xfId="10">
      <alignment horizontal="left" vertical="center"/>
    </xf>
    <xf numFmtId="0" fontId="27" fillId="0" borderId="8" applyAlignment="1" pivotButton="0" quotePrefix="0" xfId="10">
      <alignment horizontal="center" vertical="center" wrapText="1"/>
    </xf>
    <xf numFmtId="0" fontId="27" fillId="0" borderId="5" applyAlignment="1" pivotButton="0" quotePrefix="0" xfId="10">
      <alignment horizontal="center" vertical="center" wrapText="1"/>
    </xf>
    <xf numFmtId="0" fontId="25" fillId="0" borderId="40" applyAlignment="1" applyProtection="1" pivotButton="0" quotePrefix="0" xfId="0">
      <alignment horizontal="center" vertical="center" wrapText="1"/>
      <protection locked="0" hidden="0"/>
    </xf>
    <xf numFmtId="0" fontId="6" fillId="0" borderId="41" pivotButton="0" quotePrefix="0" xfId="10"/>
    <xf numFmtId="0" fontId="6" fillId="0" borderId="13" applyAlignment="1" pivotButton="0" quotePrefix="0" xfId="10">
      <alignment vertical="center"/>
    </xf>
    <xf numFmtId="0" fontId="22" fillId="0" borderId="26" applyAlignment="1" pivotButton="0" quotePrefix="0" xfId="10">
      <alignment horizontal="center" vertical="center"/>
    </xf>
    <xf numFmtId="0" fontId="20" fillId="0" borderId="32" applyAlignment="1" pivotButton="0" quotePrefix="0" xfId="10">
      <alignment vertical="center" wrapText="1"/>
    </xf>
    <xf numFmtId="0" fontId="6" fillId="0" borderId="3" applyAlignment="1" pivotButton="0" quotePrefix="0" xfId="10">
      <alignment vertical="center"/>
    </xf>
    <xf numFmtId="0" fontId="6"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20" fillId="0" borderId="15" applyAlignment="1" pivotButton="0" quotePrefix="0" xfId="5">
      <alignment horizontal="left" vertical="center" wrapText="1"/>
    </xf>
    <xf numFmtId="0" fontId="27" fillId="0" borderId="15" applyAlignment="1" pivotButton="0" quotePrefix="0" xfId="10">
      <alignment horizontal="center" vertical="center" wrapText="1"/>
    </xf>
    <xf numFmtId="9" fontId="21" fillId="0" borderId="42" applyAlignment="1" pivotButton="0" quotePrefix="0" xfId="7">
      <alignment horizontal="center" vertical="center" wrapText="1"/>
    </xf>
    <xf numFmtId="0" fontId="39" fillId="0" borderId="16" applyAlignment="1" pivotButton="0" quotePrefix="0" xfId="10">
      <alignment vertical="center" wrapText="1"/>
    </xf>
    <xf numFmtId="0" fontId="39" fillId="0" borderId="7" applyAlignment="1" pivotButton="0" quotePrefix="0" xfId="10">
      <alignment vertical="center" wrapText="1"/>
    </xf>
    <xf numFmtId="0" fontId="39" fillId="0" borderId="4" applyAlignment="1" pivotButton="0" quotePrefix="0" xfId="10">
      <alignment vertical="center" wrapText="1"/>
    </xf>
    <xf numFmtId="0" fontId="6" fillId="5" borderId="6" pivotButton="0" quotePrefix="0" xfId="10"/>
    <xf numFmtId="0" fontId="6" fillId="5" borderId="34" applyAlignment="1" pivotButton="0" quotePrefix="0" xfId="10">
      <alignment wrapText="1"/>
    </xf>
    <xf numFmtId="0" fontId="20" fillId="5" borderId="35" applyAlignment="1" pivotButton="0" quotePrefix="0" xfId="10">
      <alignment vertical="center"/>
    </xf>
    <xf numFmtId="0" fontId="21" fillId="5" borderId="36" applyAlignment="1" pivotButton="0" quotePrefix="0" xfId="10">
      <alignment vertical="center" wrapText="1"/>
    </xf>
    <xf numFmtId="0" fontId="21" fillId="5" borderId="37" applyAlignment="1" pivotButton="0" quotePrefix="0" xfId="10">
      <alignment horizontal="center" vertical="center" wrapText="1"/>
    </xf>
    <xf numFmtId="0" fontId="6" fillId="5" borderId="23" pivotButton="0" quotePrefix="0" xfId="10"/>
    <xf numFmtId="0" fontId="6" fillId="5" borderId="2" pivotButton="0" quotePrefix="0" xfId="10"/>
    <xf numFmtId="0" fontId="20" fillId="0" borderId="8" applyAlignment="1" pivotButton="0" quotePrefix="0" xfId="10">
      <alignment horizontal="left" vertical="center" wrapText="1"/>
    </xf>
    <xf numFmtId="0" fontId="6" fillId="0" borderId="6" applyAlignment="1" pivotButton="0" quotePrefix="0" xfId="10">
      <alignment vertical="center"/>
    </xf>
    <xf numFmtId="0" fontId="6" fillId="0" borderId="25" applyAlignment="1" pivotButton="0" quotePrefix="0" xfId="10">
      <alignment vertical="center"/>
    </xf>
    <xf numFmtId="0" fontId="22" fillId="0" borderId="12" applyAlignment="1" pivotButton="0" quotePrefix="0" xfId="10">
      <alignment horizontal="center" vertical="center" wrapText="1"/>
    </xf>
    <xf numFmtId="0" fontId="22" fillId="0" borderId="11" applyAlignment="1" pivotButton="0" quotePrefix="0" xfId="10">
      <alignment horizontal="center" vertical="center"/>
    </xf>
    <xf numFmtId="0" fontId="22" fillId="0" borderId="18" applyAlignment="1" pivotButton="0" quotePrefix="0" xfId="10">
      <alignment horizontal="center" vertical="center"/>
    </xf>
    <xf numFmtId="0" fontId="6" fillId="0" borderId="23" applyAlignment="1" pivotButton="0" quotePrefix="0" xfId="10">
      <alignment vertical="center"/>
    </xf>
    <xf numFmtId="0" fontId="12" fillId="0" borderId="43" applyAlignment="1" pivotButton="0" quotePrefix="0" xfId="5">
      <alignment horizontal="center" vertical="center"/>
    </xf>
    <xf numFmtId="0" fontId="12" fillId="0" borderId="44" applyAlignment="1" pivotButton="0" quotePrefix="0" xfId="5">
      <alignment horizontal="center" vertical="center"/>
    </xf>
    <xf numFmtId="0" fontId="11" fillId="0" borderId="0" applyAlignment="1" pivotButton="0" quotePrefix="0" xfId="0">
      <alignment vertical="top"/>
    </xf>
    <xf numFmtId="0" fontId="11" fillId="2" borderId="0" applyAlignment="1" applyProtection="1" pivotButton="0" quotePrefix="0" xfId="0">
      <alignment vertical="top" wrapText="1"/>
      <protection locked="0" hidden="0"/>
    </xf>
    <xf numFmtId="0" fontId="11" fillId="2"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25" fillId="0" borderId="0" applyAlignment="1" applyProtection="1" pivotButton="0" quotePrefix="0" xfId="0">
      <alignment vertical="top"/>
      <protection locked="0" hidden="0"/>
    </xf>
    <xf numFmtId="0" fontId="0" fillId="0" borderId="0" applyAlignment="1" pivotButton="0" quotePrefix="0" xfId="0">
      <alignment vertical="top"/>
    </xf>
    <xf numFmtId="0" fontId="13" fillId="0" borderId="0" applyAlignment="1" applyProtection="1" pivotButton="0" quotePrefix="0" xfId="0">
      <alignment vertical="top"/>
      <protection locked="0" hidden="0"/>
    </xf>
    <xf numFmtId="0" fontId="14" fillId="0" borderId="0" applyAlignment="1" applyProtection="1" pivotButton="0" quotePrefix="0" xfId="0">
      <alignment vertical="top"/>
      <protection locked="0" hidden="0"/>
    </xf>
    <xf numFmtId="0" fontId="14" fillId="0" borderId="0" applyAlignment="1" applyProtection="1" pivotButton="0" quotePrefix="0" xfId="0">
      <alignment vertical="top" wrapText="1"/>
      <protection locked="0" hidden="0"/>
    </xf>
    <xf numFmtId="0" fontId="14" fillId="2" borderId="0" applyAlignment="1" applyProtection="1" pivotButton="0" quotePrefix="0" xfId="0">
      <alignment vertical="top" wrapText="1"/>
      <protection locked="0" hidden="0"/>
    </xf>
    <xf numFmtId="0" fontId="13" fillId="0" borderId="0" applyAlignment="1" pivotButton="0" quotePrefix="0" xfId="0">
      <alignment vertical="top"/>
    </xf>
    <xf numFmtId="0" fontId="13" fillId="0" borderId="0" applyAlignment="1" pivotButton="0" quotePrefix="0" xfId="0">
      <alignment vertical="top" wrapText="1"/>
    </xf>
    <xf numFmtId="0" fontId="25" fillId="0" borderId="0" applyAlignment="1" pivotButton="0" quotePrefix="0" xfId="0">
      <alignment vertical="top"/>
    </xf>
    <xf numFmtId="0" fontId="14" fillId="2" borderId="0" applyAlignment="1" applyProtection="1" pivotButton="0" quotePrefix="0" xfId="0">
      <alignment vertical="top"/>
      <protection locked="0" hidden="0"/>
    </xf>
    <xf numFmtId="0" fontId="14" fillId="0" borderId="1" applyAlignment="1" applyProtection="1" pivotButton="0" quotePrefix="0" xfId="0">
      <alignment vertical="top"/>
      <protection locked="0" hidden="0"/>
    </xf>
    <xf numFmtId="0" fontId="14" fillId="0" borderId="1" applyAlignment="1" applyProtection="1" pivotButton="0" quotePrefix="0" xfId="0">
      <alignment vertical="top" wrapText="1"/>
      <protection locked="0" hidden="0"/>
    </xf>
    <xf numFmtId="0" fontId="14" fillId="2" borderId="1" applyAlignment="1" applyProtection="1" pivotButton="0" quotePrefix="0" xfId="0">
      <alignment vertical="top" wrapText="1"/>
      <protection locked="0" hidden="0"/>
    </xf>
    <xf numFmtId="0" fontId="14"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11" fillId="0" borderId="0" applyAlignment="1" pivotButton="0" quotePrefix="0" xfId="0">
      <alignment vertical="top" wrapText="1"/>
    </xf>
    <xf numFmtId="0" fontId="11" fillId="0" borderId="0" applyAlignment="1" applyProtection="1" pivotButton="0" quotePrefix="0" xfId="0">
      <alignment vertical="top" wrapText="1"/>
      <protection locked="0" hidden="0"/>
    </xf>
    <xf numFmtId="0" fontId="33" fillId="0" borderId="0" applyAlignment="1" applyProtection="1" pivotButton="0" quotePrefix="0" xfId="0">
      <alignment vertical="top"/>
      <protection locked="0" hidden="0"/>
    </xf>
    <xf numFmtId="0" fontId="13" fillId="0" borderId="1" applyAlignment="1" pivotButton="0" quotePrefix="0" xfId="0">
      <alignment vertical="top"/>
    </xf>
    <xf numFmtId="0" fontId="13" fillId="0" borderId="1" applyAlignment="1" pivotButton="0" quotePrefix="0" xfId="0">
      <alignment vertical="top" wrapText="1"/>
    </xf>
    <xf numFmtId="0" fontId="13" fillId="2" borderId="0" applyAlignment="1" applyProtection="1" pivotButton="0" quotePrefix="0" xfId="0">
      <alignment vertical="top" wrapText="1"/>
      <protection locked="0" hidden="0"/>
    </xf>
    <xf numFmtId="0" fontId="15"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5" fillId="0" borderId="0" applyAlignment="1" pivotButton="0" quotePrefix="0" xfId="0">
      <alignment vertical="top" wrapText="1"/>
    </xf>
    <xf numFmtId="0" fontId="17" fillId="2" borderId="0" applyAlignment="1" applyProtection="1" pivotButton="0" quotePrefix="0" xfId="0">
      <alignment vertical="top"/>
      <protection locked="0" hidden="0"/>
    </xf>
    <xf numFmtId="0" fontId="15" fillId="2" borderId="0" applyAlignment="1" applyProtection="1" pivotButton="0" quotePrefix="0" xfId="0">
      <alignment vertical="top"/>
      <protection locked="0" hidden="0"/>
    </xf>
    <xf numFmtId="0" fontId="15" fillId="0" borderId="0" applyAlignment="1" pivotButton="0" quotePrefix="0" xfId="0">
      <alignment vertical="top"/>
    </xf>
    <xf numFmtId="164" fontId="1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9" fillId="2" borderId="0" applyAlignment="1" applyProtection="1" pivotButton="0" quotePrefix="0" xfId="0">
      <alignment vertical="top" wrapText="1"/>
      <protection locked="0" hidden="0"/>
    </xf>
    <xf numFmtId="0" fontId="19"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1" fillId="0" borderId="0" applyAlignment="1" pivotButton="0" quotePrefix="0" xfId="0">
      <alignment horizontal="center" vertical="center"/>
    </xf>
    <xf numFmtId="0" fontId="11" fillId="0" borderId="0" applyAlignment="1" pivotButton="0" quotePrefix="0" xfId="0">
      <alignment horizontal="center" vertical="center" wrapText="1"/>
    </xf>
    <xf numFmtId="0" fontId="11" fillId="2" borderId="0" applyAlignment="1" applyProtection="1" pivotButton="0" quotePrefix="0" xfId="0">
      <alignment horizontal="center" vertical="center" wrapText="1"/>
      <protection locked="0" hidden="0"/>
    </xf>
    <xf numFmtId="0" fontId="11" fillId="2" borderId="0" applyAlignment="1" applyProtection="1" pivotButton="0" quotePrefix="0" xfId="0">
      <alignment horizontal="center" vertical="center"/>
      <protection locked="0" hidden="0"/>
    </xf>
    <xf numFmtId="0" fontId="11" fillId="0" borderId="0" applyAlignment="1" applyProtection="1" pivotButton="0" quotePrefix="0" xfId="0">
      <alignment horizontal="center" vertical="center"/>
      <protection locked="0" hidden="0"/>
    </xf>
    <xf numFmtId="0" fontId="25"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4" fillId="0" borderId="0" applyAlignment="1" applyProtection="1" pivotButton="0" quotePrefix="0" xfId="0">
      <alignment vertical="center"/>
      <protection locked="0" hidden="0"/>
    </xf>
    <xf numFmtId="0" fontId="13" fillId="0" borderId="0" applyAlignment="1" pivotButton="0" quotePrefix="0" xfId="0">
      <alignment vertical="center"/>
    </xf>
    <xf numFmtId="0" fontId="14" fillId="0" borderId="1" applyAlignment="1" applyProtection="1" pivotButton="0" quotePrefix="0" xfId="0">
      <alignment vertical="center"/>
      <protection locked="0" hidden="0"/>
    </xf>
    <xf numFmtId="0" fontId="13" fillId="0" borderId="1" applyAlignment="1" applyProtection="1" pivotButton="0" quotePrefix="0" xfId="0">
      <alignment vertical="center"/>
      <protection locked="0" hidden="0"/>
    </xf>
    <xf numFmtId="0" fontId="11" fillId="0" borderId="0" applyAlignment="1" pivotButton="0" quotePrefix="0" xfId="0">
      <alignment vertical="center"/>
    </xf>
    <xf numFmtId="0" fontId="11"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3" fillId="0" borderId="0" applyAlignment="1" applyProtection="1" pivotButton="0" quotePrefix="0" xfId="0">
      <alignment vertical="center"/>
      <protection locked="0" hidden="0"/>
    </xf>
    <xf numFmtId="0" fontId="33" fillId="0" borderId="0" applyAlignment="1" pivotButton="0" quotePrefix="0" xfId="0">
      <alignment vertical="center"/>
    </xf>
    <xf numFmtId="0" fontId="14" fillId="0" borderId="0" applyAlignment="1" pivotButton="0" quotePrefix="0" xfId="0">
      <alignment vertical="center"/>
    </xf>
    <xf numFmtId="0" fontId="13" fillId="0" borderId="1" applyAlignment="1" pivotButton="0" quotePrefix="0" xfId="0">
      <alignment vertical="center"/>
    </xf>
    <xf numFmtId="0" fontId="13" fillId="0" borderId="0" applyAlignment="1" applyProtection="1" pivotButton="0" quotePrefix="0" xfId="0">
      <alignment vertical="center"/>
      <protection locked="0" hidden="0"/>
    </xf>
    <xf numFmtId="0" fontId="0" fillId="0" borderId="1" applyAlignment="1" pivotButton="0" quotePrefix="0" xfId="0">
      <alignment vertical="center"/>
    </xf>
    <xf numFmtId="0" fontId="25" fillId="0" borderId="0" applyAlignment="1" pivotButton="0" quotePrefix="0" xfId="0">
      <alignment vertical="center"/>
    </xf>
    <xf numFmtId="0" fontId="17" fillId="0" borderId="0" applyAlignment="1" applyProtection="1" pivotButton="0" quotePrefix="0" xfId="0">
      <alignment vertical="center"/>
      <protection locked="0" hidden="0"/>
    </xf>
    <xf numFmtId="0" fontId="14" fillId="0" borderId="0" applyAlignment="1" applyProtection="1" pivotButton="0" quotePrefix="0" xfId="0">
      <alignment vertical="center" wrapText="1"/>
      <protection locked="0" hidden="0"/>
    </xf>
    <xf numFmtId="0" fontId="10" fillId="0" borderId="0" applyAlignment="1" pivotButton="0" quotePrefix="0" xfId="0">
      <alignment vertical="center"/>
    </xf>
    <xf numFmtId="0" fontId="20" fillId="0" borderId="5" applyAlignment="1" pivotButton="0" quotePrefix="0" xfId="10">
      <alignment horizontal="left" vertical="center" wrapText="1"/>
    </xf>
    <xf numFmtId="0" fontId="20" fillId="0" borderId="8" applyAlignment="1" pivotButton="0" quotePrefix="0" xfId="10">
      <alignment horizontal="left" vertical="center"/>
    </xf>
    <xf numFmtId="0" fontId="21" fillId="0" borderId="19" applyAlignment="1" pivotButton="0" quotePrefix="0" xfId="5">
      <alignment vertical="center" wrapText="1"/>
    </xf>
    <xf numFmtId="0" fontId="6" fillId="5" borderId="24" applyAlignment="1" pivotButton="0" quotePrefix="0" xfId="10">
      <alignment horizontal="center" vertical="center"/>
    </xf>
    <xf numFmtId="0" fontId="21" fillId="0" borderId="22" applyAlignment="1" pivotButton="0" quotePrefix="0" xfId="10">
      <alignment horizontal="center" vertical="center" wrapText="1"/>
    </xf>
    <xf numFmtId="0" fontId="0" fillId="0" borderId="2" pivotButton="0" quotePrefix="0" xfId="0"/>
    <xf numFmtId="0" fontId="13"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1" fillId="0" borderId="7" applyAlignment="1" pivotButton="0" quotePrefix="0" xfId="0">
      <alignment horizontal="center" vertical="center" wrapText="1"/>
    </xf>
    <xf numFmtId="0" fontId="25" fillId="0" borderId="7" applyAlignment="1" pivotButton="0" quotePrefix="0" xfId="0">
      <alignment horizontal="center" vertical="center"/>
    </xf>
    <xf numFmtId="0" fontId="25" fillId="0" borderId="7" applyAlignment="1" pivotButton="0" quotePrefix="0" xfId="0">
      <alignment horizontal="center" vertical="center" wrapText="1"/>
    </xf>
    <xf numFmtId="0" fontId="13" fillId="0" borderId="7" applyAlignment="1" pivotButton="0" quotePrefix="0" xfId="0">
      <alignment horizontal="center" vertical="center"/>
    </xf>
    <xf numFmtId="0" fontId="13" fillId="0" borderId="7" applyAlignment="1" pivotButton="0" quotePrefix="0" xfId="0">
      <alignment wrapText="1"/>
    </xf>
    <xf numFmtId="0" fontId="25" fillId="0" borderId="7" applyAlignment="1" pivotButton="0" quotePrefix="0" xfId="0">
      <alignment wrapText="1"/>
    </xf>
    <xf numFmtId="0" fontId="13"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3"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40" fillId="0" borderId="0" applyAlignment="1" pivotButton="0" quotePrefix="0" xfId="0">
      <alignment vertical="center"/>
    </xf>
    <xf numFmtId="0" fontId="40" fillId="0" borderId="0" applyAlignment="1" pivotButton="0" quotePrefix="0" xfId="0">
      <alignment vertical="top"/>
    </xf>
    <xf numFmtId="0" fontId="40" fillId="0" borderId="0" applyAlignment="1" pivotButton="0" quotePrefix="0" xfId="0">
      <alignment vertical="top" wrapText="1"/>
    </xf>
    <xf numFmtId="0" fontId="40" fillId="0" borderId="0" applyAlignment="1" applyProtection="1" pivotButton="0" quotePrefix="0" xfId="0">
      <alignment vertical="top"/>
      <protection locked="0" hidden="0"/>
    </xf>
    <xf numFmtId="0" fontId="40" fillId="2" borderId="0" applyAlignment="1" applyProtection="1" pivotButton="0" quotePrefix="0" xfId="0">
      <alignment vertical="top" wrapText="1"/>
      <protection locked="0" hidden="0"/>
    </xf>
    <xf numFmtId="0" fontId="40" fillId="2" borderId="0" applyAlignment="1" applyProtection="1" pivotButton="0" quotePrefix="0" xfId="0">
      <alignment vertical="top"/>
      <protection locked="0" hidden="0"/>
    </xf>
    <xf numFmtId="0" fontId="26" fillId="0" borderId="0" applyAlignment="1" applyProtection="1" pivotButton="0" quotePrefix="0" xfId="0">
      <alignment vertical="top" wrapText="1"/>
      <protection locked="0" hidden="0"/>
    </xf>
    <xf numFmtId="9" fontId="14"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19" fillId="0" borderId="0" applyAlignment="1" applyProtection="1" pivotButton="0" quotePrefix="0" xfId="0">
      <alignment vertical="center"/>
      <protection locked="0" hidden="0"/>
    </xf>
    <xf numFmtId="9" fontId="13"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165" fontId="13" fillId="0" borderId="0" applyAlignment="1" applyProtection="1" pivotButton="0" quotePrefix="0" xfId="0">
      <alignment vertical="top" wrapText="1"/>
      <protection locked="0" hidden="0"/>
    </xf>
    <xf numFmtId="9" fontId="13" fillId="0" borderId="0" applyAlignment="1" applyProtection="1" pivotButton="0" quotePrefix="0" xfId="7">
      <alignment vertical="top" wrapText="1"/>
      <protection locked="0" hidden="0"/>
    </xf>
    <xf numFmtId="9" fontId="13" fillId="0" borderId="0" applyAlignment="1" applyProtection="1" pivotButton="0" quotePrefix="0" xfId="7">
      <alignment vertical="top"/>
      <protection locked="0" hidden="0"/>
    </xf>
    <xf numFmtId="165" fontId="14" fillId="0" borderId="0" applyAlignment="1" applyProtection="1" pivotButton="0" quotePrefix="0" xfId="0">
      <alignment vertical="top"/>
      <protection locked="0" hidden="0"/>
    </xf>
    <xf numFmtId="9" fontId="14" fillId="0" borderId="0" applyAlignment="1" applyProtection="1" pivotButton="0" quotePrefix="0" xfId="7">
      <alignment vertical="top"/>
      <protection locked="0" hidden="0"/>
    </xf>
    <xf numFmtId="9" fontId="25" fillId="0" borderId="17" applyAlignment="1" applyProtection="1" pivotButton="0" quotePrefix="0" xfId="7">
      <alignment vertical="top"/>
      <protection locked="0" hidden="0"/>
    </xf>
    <xf numFmtId="0" fontId="25" fillId="0" borderId="18" applyAlignment="1" applyProtection="1" pivotButton="0" quotePrefix="0" xfId="0">
      <alignment vertical="top"/>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40" fillId="0" borderId="0" applyAlignment="1" pivotButton="0" quotePrefix="0" xfId="0">
      <alignment horizontal="left" vertical="top" wrapText="1"/>
    </xf>
    <xf numFmtId="1" fontId="38" fillId="2" borderId="7" applyAlignment="1" applyProtection="1" pivotButton="0" quotePrefix="0" xfId="5">
      <alignment horizontal="center" vertical="center"/>
      <protection locked="0" hidden="0"/>
    </xf>
    <xf numFmtId="0" fontId="21" fillId="0" borderId="16" applyAlignment="1" pivotButton="0" quotePrefix="0" xfId="5">
      <alignment vertical="center" wrapText="1"/>
    </xf>
    <xf numFmtId="0" fontId="20" fillId="0" borderId="9" applyAlignment="1" pivotButton="0" quotePrefix="0" xfId="5">
      <alignment vertical="center" wrapText="1"/>
    </xf>
    <xf numFmtId="0" fontId="20" fillId="0" borderId="7" applyAlignment="1" pivotButton="0" quotePrefix="0" xfId="5">
      <alignment vertical="center" wrapText="1"/>
    </xf>
    <xf numFmtId="0" fontId="21"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4" fillId="0" borderId="7" applyAlignment="1" pivotButton="0" quotePrefix="0" xfId="6">
      <alignment horizontal="center" vertical="center"/>
    </xf>
    <xf numFmtId="0" fontId="13" fillId="0" borderId="0" applyAlignment="1" applyProtection="1" pivotButton="0" quotePrefix="0" xfId="0">
      <alignment horizontal="right" vertical="top"/>
      <protection locked="0" hidden="0"/>
    </xf>
    <xf numFmtId="165" fontId="13" fillId="0" borderId="0" applyAlignment="1" applyProtection="1" pivotButton="0" quotePrefix="0" xfId="0">
      <alignment horizontal="right" vertical="top"/>
      <protection locked="0" hidden="0"/>
    </xf>
    <xf numFmtId="165" fontId="13" fillId="0" borderId="0" applyAlignment="1" pivotButton="0" quotePrefix="0" xfId="0">
      <alignment horizontal="right" vertical="top"/>
    </xf>
    <xf numFmtId="0" fontId="25" fillId="0" borderId="17" applyAlignment="1" applyProtection="1" pivotButton="0" quotePrefix="0" xfId="0">
      <alignment horizontal="right" vertical="top"/>
      <protection locked="0" hidden="0"/>
    </xf>
    <xf numFmtId="165" fontId="13" fillId="0" borderId="0" applyAlignment="1" applyProtection="1" pivotButton="0" quotePrefix="0" xfId="0">
      <alignment horizontal="right" vertical="top" wrapText="1"/>
      <protection locked="0" hidden="0"/>
    </xf>
    <xf numFmtId="165" fontId="14" fillId="0" borderId="0" applyAlignment="1" applyProtection="1" pivotButton="0" quotePrefix="0" xfId="0">
      <alignment horizontal="right" vertical="top"/>
      <protection locked="0" hidden="0"/>
    </xf>
    <xf numFmtId="0" fontId="11" fillId="0" borderId="34" applyAlignment="1" applyProtection="1" pivotButton="0" quotePrefix="0" xfId="0">
      <alignment horizontal="center" vertical="center" wrapText="1"/>
      <protection locked="0" hidden="0"/>
    </xf>
    <xf numFmtId="0" fontId="25" fillId="6" borderId="12" applyAlignment="1" applyProtection="1" pivotButton="0" quotePrefix="0" xfId="0">
      <alignment horizontal="center" vertical="center" wrapText="1"/>
      <protection locked="0" hidden="0"/>
    </xf>
    <xf numFmtId="9" fontId="25" fillId="6" borderId="11" applyAlignment="1" applyProtection="1" pivotButton="0" quotePrefix="0" xfId="7">
      <alignment horizontal="center" vertical="center" wrapText="1"/>
      <protection locked="0" hidden="0"/>
    </xf>
    <xf numFmtId="0" fontId="25" fillId="6" borderId="11" applyAlignment="1" applyProtection="1" pivotButton="0" quotePrefix="0" xfId="0">
      <alignment horizontal="center" vertical="center" wrapText="1"/>
      <protection locked="0" hidden="0"/>
    </xf>
    <xf numFmtId="0" fontId="24" fillId="0" borderId="20" applyProtection="1" pivotButton="0" quotePrefix="0" xfId="0">
      <protection locked="0" hidden="0"/>
    </xf>
    <xf numFmtId="0" fontId="0" fillId="0" borderId="17" applyAlignment="1" applyProtection="1" pivotButton="0" quotePrefix="0" xfId="0">
      <alignment vertical="top"/>
      <protection locked="0" hidden="0"/>
    </xf>
    <xf numFmtId="0" fontId="7" fillId="0" borderId="6" pivotButton="0" quotePrefix="0" xfId="5"/>
    <xf numFmtId="0" fontId="20" fillId="0" borderId="8" applyAlignment="1" pivotButton="0" quotePrefix="0" xfId="5">
      <alignment vertical="center"/>
    </xf>
    <xf numFmtId="0" fontId="20" fillId="0" borderId="19" applyAlignment="1" pivotButton="0" quotePrefix="0" xfId="5">
      <alignment horizontal="left" vertical="center" wrapText="1"/>
    </xf>
    <xf numFmtId="0" fontId="20" fillId="0" borderId="29" applyAlignment="1" pivotButton="0" quotePrefix="0" xfId="5">
      <alignment horizontal="center" vertical="center" wrapText="1"/>
    </xf>
    <xf numFmtId="0" fontId="7" fillId="0" borderId="23" pivotButton="0" quotePrefix="0" xfId="5"/>
    <xf numFmtId="0" fontId="7" fillId="0" borderId="2" pivotButton="0" quotePrefix="0" xfId="5"/>
    <xf numFmtId="9" fontId="14" fillId="0" borderId="0" applyAlignment="1" applyProtection="1" pivotButton="0" quotePrefix="0" xfId="7">
      <alignment vertical="top"/>
      <protection locked="0" hidden="0"/>
    </xf>
    <xf numFmtId="0" fontId="14" fillId="3" borderId="0" applyProtection="1" pivotButton="0" quotePrefix="0" xfId="0">
      <protection locked="0" hidden="0"/>
    </xf>
    <xf numFmtId="0" fontId="26" fillId="2" borderId="0" applyProtection="1" pivotButton="0" quotePrefix="0" xfId="0">
      <protection locked="0" hidden="0"/>
    </xf>
    <xf numFmtId="0" fontId="26" fillId="0" borderId="0" applyProtection="1" pivotButton="0" quotePrefix="0" xfId="0">
      <protection locked="0" hidden="0"/>
    </xf>
    <xf numFmtId="0" fontId="0" fillId="3" borderId="0" applyProtection="1" pivotButton="0" quotePrefix="0" xfId="0">
      <protection locked="0" hidden="0"/>
    </xf>
    <xf numFmtId="0" fontId="21" fillId="0" borderId="29" applyAlignment="1" pivotButton="0" quotePrefix="0" xfId="5">
      <alignment horizontal="center" vertical="center" wrapText="1"/>
    </xf>
    <xf numFmtId="0" fontId="21" fillId="0" borderId="37" applyAlignment="1" pivotButton="0" quotePrefix="0" xfId="5">
      <alignment horizontal="center" vertical="center" wrapText="1"/>
    </xf>
    <xf numFmtId="0" fontId="20" fillId="0" borderId="45" applyAlignment="1" pivotButton="0" quotePrefix="0" xfId="5">
      <alignment vertical="center"/>
    </xf>
    <xf numFmtId="0" fontId="20" fillId="0" borderId="35" applyAlignment="1" pivotButton="0" quotePrefix="0" xfId="5">
      <alignment vertical="center"/>
    </xf>
    <xf numFmtId="165" fontId="13" fillId="7" borderId="0" applyAlignment="1" applyProtection="1" pivotButton="0" quotePrefix="0" xfId="0">
      <alignment horizontal="right" vertical="top"/>
      <protection locked="0" hidden="0"/>
    </xf>
    <xf numFmtId="9" fontId="13" fillId="7" borderId="0" applyAlignment="1" applyProtection="1" pivotButton="0" quotePrefix="0" xfId="7">
      <alignment vertical="top"/>
      <protection locked="0" hidden="0"/>
    </xf>
    <xf numFmtId="165" fontId="13" fillId="7" borderId="0" applyAlignment="1" applyProtection="1" pivotButton="0" quotePrefix="0" xfId="0">
      <alignment vertical="top"/>
      <protection locked="0" hidden="0"/>
    </xf>
    <xf numFmtId="9" fontId="13" fillId="0" borderId="0" applyAlignment="1" pivotButton="0" quotePrefix="0" xfId="7">
      <alignment vertical="top"/>
    </xf>
    <xf numFmtId="165" fontId="13" fillId="0" borderId="0" applyAlignment="1" pivotButton="0" quotePrefix="0" xfId="0">
      <alignment vertical="top"/>
    </xf>
    <xf numFmtId="0" fontId="15" fillId="0" borderId="0" pivotButton="0" quotePrefix="0" xfId="0"/>
    <xf numFmtId="0" fontId="13" fillId="0" borderId="0" pivotButton="0" quotePrefix="0" xfId="0"/>
    <xf numFmtId="0" fontId="14" fillId="0" borderId="0" pivotButton="0" quotePrefix="0" xfId="0"/>
    <xf numFmtId="0" fontId="30" fillId="0" borderId="0" pivotButton="0" quotePrefix="0" xfId="0"/>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xf numFmtId="0" fontId="3" fillId="3" borderId="7" applyAlignment="1" applyProtection="1" pivotButton="0" quotePrefix="0" xfId="5">
      <alignment horizontal="center" vertical="center"/>
      <protection locked="0" hidden="0"/>
    </xf>
    <xf numFmtId="0" fontId="3" fillId="0" borderId="2" pivotButton="0" quotePrefix="0" xfId="10"/>
    <xf numFmtId="0" fontId="3" fillId="3" borderId="7" applyAlignment="1" applyProtection="1" pivotButton="0" quotePrefix="0" xfId="10">
      <alignment horizontal="center" vertical="center"/>
      <protection locked="0" hidden="0"/>
    </xf>
    <xf numFmtId="2" fontId="3" fillId="3" borderId="24" applyAlignment="1" applyProtection="1" pivotButton="0" quotePrefix="0" xfId="5">
      <alignment horizontal="center" vertical="center"/>
      <protection locked="0" hidden="0"/>
    </xf>
    <xf numFmtId="2" fontId="3" fillId="3" borderId="7" applyAlignment="1" applyProtection="1" pivotButton="0" quotePrefix="0" xfId="10">
      <alignment horizontal="center" vertical="center"/>
      <protection locked="0" hidden="0"/>
    </xf>
    <xf numFmtId="49" fontId="2" fillId="3" borderId="16" applyAlignment="1" applyProtection="1" pivotButton="0" quotePrefix="0" xfId="5">
      <alignment horizontal="center" vertical="center"/>
      <protection locked="0" hidden="0"/>
    </xf>
    <xf numFmtId="0" fontId="2" fillId="3" borderId="7" applyAlignment="1" applyProtection="1" pivotButton="0" quotePrefix="0" xfId="10">
      <alignment horizontal="center" vertical="center"/>
      <protection locked="0" hidden="0"/>
    </xf>
    <xf numFmtId="0" fontId="2" fillId="3" borderId="9" applyAlignment="1" applyProtection="1" pivotButton="0" quotePrefix="0" xfId="10">
      <alignment horizontal="center" vertical="center"/>
      <protection locked="0" hidden="0"/>
    </xf>
    <xf numFmtId="0" fontId="2" fillId="3" borderId="4" applyAlignment="1" applyProtection="1" pivotButton="0" quotePrefix="0" xfId="10">
      <alignment horizontal="center" vertical="center"/>
      <protection locked="0" hidden="0"/>
    </xf>
    <xf numFmtId="0" fontId="6" fillId="0" borderId="28" applyAlignment="1" pivotButton="0" quotePrefix="0" xfId="10">
      <alignment horizontal="center" vertical="top" textRotation="90" wrapText="1"/>
    </xf>
    <xf numFmtId="0" fontId="6" fillId="0" borderId="30" applyAlignment="1" pivotButton="0" quotePrefix="0" xfId="10">
      <alignment horizontal="center" vertical="top" textRotation="90" wrapText="1"/>
    </xf>
    <xf numFmtId="0" fontId="6" fillId="0" borderId="27" applyAlignment="1" pivotButton="0" quotePrefix="0" xfId="10">
      <alignment horizontal="center" vertical="top" textRotation="90"/>
    </xf>
    <xf numFmtId="0" fontId="6" fillId="0" borderId="28" applyAlignment="1" pivotButton="0" quotePrefix="0" xfId="10">
      <alignment horizontal="center" vertical="top" textRotation="90"/>
    </xf>
    <xf numFmtId="0" fontId="6" fillId="0" borderId="30" applyAlignment="1" pivotButton="0" quotePrefix="0" xfId="10">
      <alignment horizontal="center" vertical="top" textRotation="90"/>
    </xf>
    <xf numFmtId="0" fontId="6" fillId="0" borderId="27" applyAlignment="1" pivotButton="0" quotePrefix="0" xfId="10">
      <alignment horizontal="center" vertical="top" textRotation="90" wrapText="1"/>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4" fillId="0" borderId="0" applyAlignment="1" applyProtection="1" pivotButton="0" quotePrefix="0" xfId="0">
      <alignment horizontal="right" vertical="top"/>
      <protection locked="0" hidden="0"/>
    </xf>
    <xf numFmtId="165" fontId="14"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wrapText="1"/>
      <protection locked="0" hidden="0"/>
    </xf>
    <xf numFmtId="165" fontId="13" fillId="0" borderId="0" applyAlignment="1" applyProtection="1" pivotButton="0" quotePrefix="0" xfId="0">
      <alignment vertical="top" wrapText="1"/>
      <protection locked="0" hidden="0"/>
    </xf>
    <xf numFmtId="165" fontId="13" fillId="7" borderId="0" applyAlignment="1" applyProtection="1" pivotButton="0" quotePrefix="0" xfId="0">
      <alignment horizontal="right" vertical="top"/>
      <protection locked="0" hidden="0"/>
    </xf>
    <xf numFmtId="165" fontId="13" fillId="7" borderId="0" applyAlignment="1" applyProtection="1" pivotButton="0" quotePrefix="0" xfId="0">
      <alignment vertical="top"/>
      <protection locked="0" hidden="0"/>
    </xf>
    <xf numFmtId="165" fontId="13" fillId="0" borderId="0" applyAlignment="1" pivotButton="0" quotePrefix="0" xfId="0">
      <alignment horizontal="right" vertical="top"/>
    </xf>
    <xf numFmtId="165" fontId="13" fillId="0" borderId="0" applyAlignment="1" pivotButton="0" quotePrefix="0" xfId="0">
      <alignment vertical="top"/>
    </xf>
    <xf numFmtId="164" fontId="13" fillId="0" borderId="0" applyAlignment="1" applyProtection="1" pivotButton="0" quotePrefix="0" xfId="0">
      <alignment vertical="top"/>
      <protection locked="0" hidden="0"/>
    </xf>
    <xf numFmtId="0" fontId="6"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6" fillId="0" borderId="34" applyAlignment="1" pivotButton="0" quotePrefix="0" xfId="10">
      <alignment horizontal="center" vertical="top" textRotation="90"/>
    </xf>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4"/>
  <sheetViews>
    <sheetView zoomScale="88" zoomScaleNormal="100" workbookViewId="0">
      <pane ySplit="1" topLeftCell="A2" activePane="bottomLeft" state="frozen"/>
      <selection pane="bottomLeft" activeCell="E7" sqref="E7"/>
    </sheetView>
  </sheetViews>
  <sheetFormatPr baseColWidth="10" defaultColWidth="8.83203125" defaultRowHeight="15"/>
  <cols>
    <col width="21.1640625" customWidth="1" style="45" min="1" max="1"/>
    <col width="25.83203125" customWidth="1" style="45" min="2" max="2"/>
    <col width="66" customWidth="1" style="46" min="3" max="3"/>
    <col width="16.83203125" customWidth="1" style="46" min="4" max="4"/>
    <col width="28" customWidth="1" style="45" min="5" max="5"/>
    <col width="15.5" customWidth="1" style="45" min="6" max="6"/>
    <col width="8.83203125" customWidth="1" style="127" min="7" max="8"/>
    <col width="29.1640625" customWidth="1" style="127" min="9" max="9"/>
    <col width="8.83203125" customWidth="1" style="127" min="10" max="14"/>
    <col width="8.83203125" customWidth="1" style="45" min="15" max="18"/>
    <col width="9.5" customWidth="1" style="45" min="19" max="19"/>
    <col width="9" customWidth="1" style="45" min="20" max="20"/>
    <col width="18.1640625" customWidth="1" style="191" min="21" max="21"/>
    <col width="18.33203125" customWidth="1" style="174" min="22" max="22"/>
    <col width="14.1640625" customWidth="1" style="76" min="23" max="23"/>
    <col hidden="1" width="19.6640625" customWidth="1" style="76" min="24" max="24"/>
    <col width="8.83203125" customWidth="1" style="76" min="25" max="25"/>
    <col width="8.83203125" customWidth="1" style="45" min="26" max="26"/>
    <col width="8.83203125" customWidth="1" style="45" min="27" max="16384"/>
  </cols>
  <sheetData>
    <row r="1" ht="33" customFormat="1" customHeight="1" s="118" thickBot="1">
      <c r="A1" s="114" t="inlineStr">
        <is>
          <t>type</t>
        </is>
      </c>
      <c r="B1" s="114" t="inlineStr">
        <is>
          <t>name</t>
        </is>
      </c>
      <c r="C1" s="115" t="inlineStr">
        <is>
          <t>label::English (en)</t>
        </is>
      </c>
      <c r="D1" s="116" t="inlineStr">
        <is>
          <t>label::</t>
        </is>
      </c>
      <c r="E1" s="114" t="inlineStr">
        <is>
          <t>hint::English (en)</t>
        </is>
      </c>
      <c r="F1" s="117" t="inlineStr">
        <is>
          <t>hint::</t>
        </is>
      </c>
      <c r="G1" s="114" t="inlineStr">
        <is>
          <t>required</t>
        </is>
      </c>
      <c r="H1" s="114" t="inlineStr">
        <is>
          <t>appearance</t>
        </is>
      </c>
      <c r="I1" s="114" t="inlineStr">
        <is>
          <t>constraint</t>
        </is>
      </c>
      <c r="J1" s="114" t="inlineStr">
        <is>
          <t>constraint_message</t>
        </is>
      </c>
      <c r="K1" s="114" t="inlineStr">
        <is>
          <t>relevant</t>
        </is>
      </c>
      <c r="L1" s="114" t="inlineStr">
        <is>
          <t>choice_filter</t>
        </is>
      </c>
      <c r="M1" s="114" t="inlineStr">
        <is>
          <t>parameters</t>
        </is>
      </c>
      <c r="N1" s="114" t="inlineStr">
        <is>
          <t>calculation</t>
        </is>
      </c>
      <c r="S1" s="197" t="inlineStr">
        <is>
          <t xml:space="preserve">Mandatory </t>
        </is>
      </c>
      <c r="U1" s="198" t="inlineStr">
        <is>
          <t>New question duration (sec)</t>
        </is>
      </c>
      <c r="V1" s="199" t="inlineStr">
        <is>
          <t>Estimated percentage of repondents</t>
        </is>
      </c>
      <c r="W1" s="200" t="inlineStr">
        <is>
          <t>Weighted time</t>
        </is>
      </c>
      <c r="X1" s="36" t="inlineStr">
        <is>
          <t>Weighted time for core vars</t>
        </is>
      </c>
      <c r="Y1" s="119" t="n"/>
    </row>
    <row r="2">
      <c r="A2" s="75" t="inlineStr">
        <is>
          <t>start</t>
        </is>
      </c>
      <c r="B2" s="75" t="inlineStr">
        <is>
          <t>start</t>
        </is>
      </c>
      <c r="C2" s="44" t="n"/>
      <c r="D2" s="88" t="n"/>
      <c r="E2" s="75" t="n"/>
      <c r="F2" s="89" t="n"/>
      <c r="G2" s="120" t="n"/>
      <c r="H2" s="120" t="n"/>
      <c r="I2" s="120" t="n"/>
      <c r="J2" s="120" t="n"/>
      <c r="K2" s="120" t="n"/>
      <c r="L2" s="120" t="n"/>
      <c r="M2" s="120" t="n"/>
      <c r="N2" s="120" t="n"/>
      <c r="U2" s="245" t="n"/>
      <c r="V2" s="174" t="n"/>
      <c r="W2" s="246">
        <f>IF(U2&lt;&gt;"",U2*V2,"")</f>
        <v/>
      </c>
      <c r="X2" s="246">
        <f>IF(AND(U2&lt;&gt;"",S2="yes"),U2*V2,"")</f>
        <v/>
      </c>
    </row>
    <row r="3">
      <c r="A3" s="75" t="inlineStr">
        <is>
          <t>end</t>
        </is>
      </c>
      <c r="B3" s="75" t="inlineStr">
        <is>
          <t>end</t>
        </is>
      </c>
      <c r="C3" s="44" t="n"/>
      <c r="D3" s="88" t="n"/>
      <c r="E3" s="75" t="n"/>
      <c r="F3" s="89" t="n"/>
      <c r="G3" s="120" t="n"/>
      <c r="H3" s="120" t="n"/>
      <c r="I3" s="120" t="n"/>
      <c r="J3" s="120" t="n"/>
      <c r="K3" s="120" t="n"/>
      <c r="L3" s="120" t="n"/>
      <c r="M3" s="120" t="n"/>
      <c r="N3" s="120" t="n"/>
      <c r="U3" s="245" t="n"/>
      <c r="V3" s="174" t="n"/>
      <c r="W3" s="246">
        <f>IF(U3&lt;&gt;"",U3*V3,"")</f>
        <v/>
      </c>
      <c r="X3" s="246">
        <f>IF(AND(U3&lt;&gt;"",S3="yes"),U3*V3,"")</f>
        <v/>
      </c>
    </row>
    <row r="4">
      <c r="A4" s="75" t="inlineStr">
        <is>
          <t>today</t>
        </is>
      </c>
      <c r="B4" s="75" t="inlineStr">
        <is>
          <t>today</t>
        </is>
      </c>
      <c r="C4" s="44" t="n"/>
      <c r="D4" s="88" t="n"/>
      <c r="E4" s="75" t="n"/>
      <c r="F4" s="89" t="n"/>
      <c r="G4" s="120" t="n"/>
      <c r="H4" s="120" t="n"/>
      <c r="I4" s="120" t="n"/>
      <c r="J4" s="120" t="n"/>
      <c r="K4" s="120" t="n"/>
      <c r="L4" s="120" t="n"/>
      <c r="M4" s="120" t="n"/>
      <c r="N4" s="120" t="n"/>
      <c r="U4" s="245" t="n"/>
      <c r="V4" s="174" t="n"/>
      <c r="W4" s="246">
        <f>IF(U4&lt;&gt;"",U4*V4,"")</f>
        <v/>
      </c>
      <c r="X4" s="246">
        <f>IF(AND(U4&lt;&gt;"",S4="yes"),U4*V4,"")</f>
        <v/>
      </c>
    </row>
    <row r="5">
      <c r="A5" s="75" t="inlineStr">
        <is>
          <t>deviceid</t>
        </is>
      </c>
      <c r="B5" s="75" t="inlineStr">
        <is>
          <t>deviceid</t>
        </is>
      </c>
      <c r="C5" s="44" t="n"/>
      <c r="D5" s="88" t="n"/>
      <c r="E5" s="75" t="n"/>
      <c r="F5" s="89" t="n"/>
      <c r="G5" s="120" t="n"/>
      <c r="H5" s="120" t="n"/>
      <c r="I5" s="120" t="n"/>
      <c r="J5" s="120" t="n"/>
      <c r="K5" s="120" t="n"/>
      <c r="L5" s="120" t="n"/>
      <c r="M5" s="120" t="n"/>
      <c r="N5" s="120" t="n"/>
      <c r="U5" s="245" t="n"/>
      <c r="V5" s="174" t="n"/>
      <c r="W5" s="246">
        <f>IF(U5&lt;&gt;"",U5*V5,"")</f>
        <v/>
      </c>
      <c r="X5" s="246">
        <f>IF(AND(U5&lt;&gt;"",S5="yes"),U5*V5,"")</f>
        <v/>
      </c>
    </row>
    <row r="6">
      <c r="A6" s="75" t="inlineStr">
        <is>
          <t>audit</t>
        </is>
      </c>
      <c r="B6" s="75" t="inlineStr">
        <is>
          <t>audit</t>
        </is>
      </c>
      <c r="C6" s="44" t="n"/>
      <c r="D6" s="88" t="n"/>
      <c r="E6" s="75" t="n"/>
      <c r="F6" s="89" t="n"/>
      <c r="G6" s="120" t="n"/>
      <c r="H6" s="120" t="n"/>
      <c r="I6" s="120" t="n"/>
      <c r="J6" s="120" t="n"/>
      <c r="K6" s="120" t="n"/>
      <c r="L6" s="120" t="n"/>
      <c r="M6" s="120" t="n"/>
      <c r="N6" s="120" t="n"/>
      <c r="U6" s="245" t="n"/>
      <c r="V6" s="174" t="n"/>
      <c r="W6" s="246" t="n"/>
      <c r="X6" s="246" t="n"/>
    </row>
    <row r="7">
      <c r="A7" s="75" t="inlineStr">
        <is>
          <t>calculate</t>
        </is>
      </c>
      <c r="B7" s="75" t="inlineStr">
        <is>
          <t>audio_random</t>
        </is>
      </c>
      <c r="C7" s="44" t="n"/>
      <c r="D7" s="88" t="n"/>
      <c r="E7" s="75" t="n"/>
      <c r="F7" s="89" t="n"/>
      <c r="G7" s="120" t="n"/>
      <c r="H7" s="120" t="n"/>
      <c r="I7" s="120" t="n"/>
      <c r="J7" s="120" t="n"/>
      <c r="K7" s="45" t="n"/>
      <c r="L7" s="120" t="n"/>
      <c r="M7" s="120" t="n"/>
      <c r="N7" s="120" t="inlineStr">
        <is>
          <t>once(random())</t>
        </is>
      </c>
      <c r="U7" s="245" t="n"/>
      <c r="V7" s="174" t="n"/>
      <c r="W7" s="246" t="n"/>
      <c r="X7" s="246" t="n"/>
    </row>
    <row r="8">
      <c r="A8" s="75" t="inlineStr">
        <is>
          <t>background-audio</t>
        </is>
      </c>
      <c r="B8" s="75" t="inlineStr">
        <is>
          <t>background-audio</t>
        </is>
      </c>
      <c r="C8" s="44" t="n"/>
      <c r="D8" s="88" t="n"/>
      <c r="E8" s="75" t="n"/>
      <c r="F8" s="89" t="n"/>
      <c r="G8" s="120" t="n"/>
      <c r="H8" s="120" t="n"/>
      <c r="I8" s="120" t="n"/>
      <c r="J8" s="120" t="n"/>
      <c r="K8" s="120" t="inlineStr">
        <is>
          <t>${audio_random}&lt;=0.02</t>
        </is>
      </c>
      <c r="L8" s="120" t="n"/>
      <c r="M8" s="120" t="inlineStr">
        <is>
          <t>quality=low</t>
        </is>
      </c>
      <c r="N8" s="120" t="n"/>
      <c r="U8" s="245" t="n"/>
      <c r="V8" s="174" t="n"/>
      <c r="W8" s="246" t="n"/>
      <c r="X8" s="246" t="n"/>
    </row>
    <row r="9" ht="16" customFormat="1" customHeight="1" s="77">
      <c r="A9" s="77" t="inlineStr">
        <is>
          <t>select_one enumteam</t>
        </is>
      </c>
      <c r="B9" s="77" t="inlineStr">
        <is>
          <t>enum_team</t>
        </is>
      </c>
      <c r="C9" s="78" t="inlineStr">
        <is>
          <t>Enumerator team number or code</t>
        </is>
      </c>
      <c r="D9" s="79" t="n"/>
      <c r="F9" s="83" t="n"/>
      <c r="G9" s="121" t="n"/>
      <c r="H9" s="121" t="n"/>
      <c r="J9" s="121" t="n"/>
      <c r="K9" s="121" t="n"/>
      <c r="L9" s="121" t="n"/>
      <c r="M9" s="121" t="n"/>
      <c r="N9" s="121" t="n"/>
      <c r="U9" s="247" t="n"/>
      <c r="V9" s="209" t="n"/>
      <c r="W9" s="248" t="n"/>
      <c r="X9" s="248" t="n"/>
    </row>
    <row r="10" ht="16" customFormat="1" customHeight="1" s="77" thickBot="1">
      <c r="A10" s="84" t="n"/>
      <c r="B10" s="84" t="n"/>
      <c r="C10" s="85" t="n"/>
      <c r="D10" s="86" t="n"/>
      <c r="E10" s="84" t="n"/>
      <c r="F10" s="87" t="n"/>
      <c r="G10" s="123" t="n"/>
      <c r="H10" s="123" t="n"/>
      <c r="I10" s="123" t="n"/>
      <c r="J10" s="123" t="n"/>
      <c r="K10" s="123" t="n"/>
      <c r="L10" s="123" t="n"/>
      <c r="M10" s="123" t="n"/>
      <c r="N10" s="123" t="n"/>
      <c r="U10" s="245" t="n"/>
      <c r="V10" s="174" t="n"/>
      <c r="W10" s="246" t="n"/>
      <c r="X10" s="246" t="n"/>
      <c r="Y10" s="76" t="n"/>
    </row>
    <row r="11" ht="225" customHeight="1" thickTop="1">
      <c r="A11" s="75" t="inlineStr">
        <is>
          <t>note</t>
        </is>
      </c>
      <c r="B11" s="75" t="inlineStr">
        <is>
          <t>introduction</t>
        </is>
      </c>
      <c r="C11" s="18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1" s="88" t="n"/>
      <c r="E11" s="75" t="inlineStr">
        <is>
          <t>[INSTRUCTIONS: ADDRESS QUESTIONS FROM RESPONDENT, IF ANY.]</t>
        </is>
      </c>
      <c r="F11" s="89" t="n"/>
      <c r="G11" s="120" t="inlineStr">
        <is>
          <t>false</t>
        </is>
      </c>
      <c r="H11" s="120" t="n"/>
      <c r="I11" s="120" t="n"/>
      <c r="J11" s="120" t="n"/>
      <c r="K11" s="120" t="n"/>
      <c r="L11" s="120" t="n"/>
      <c r="M11" s="120" t="n"/>
      <c r="N11" s="120" t="n"/>
      <c r="S11" s="45" t="inlineStr">
        <is>
          <t>no</t>
        </is>
      </c>
      <c r="U11" s="245" t="n">
        <v>50.82254028320312</v>
      </c>
      <c r="V11" s="174" t="n"/>
      <c r="W11" s="246">
        <f>IF(U11&lt;&gt;"",U11*V11,"")</f>
        <v/>
      </c>
      <c r="X11" s="246">
        <f>IF(AND(U11&lt;&gt;"",S11="yes"),U11*V11,"")</f>
        <v/>
      </c>
    </row>
    <row r="12" ht="16" customHeight="1">
      <c r="A12" s="75" t="inlineStr">
        <is>
          <t>select_one yesno</t>
        </is>
      </c>
      <c r="B12" s="75" t="inlineStr">
        <is>
          <t>resp_agree</t>
        </is>
      </c>
      <c r="C12" s="44" t="inlineStr">
        <is>
          <t>Are you interested in participating in this survey?</t>
        </is>
      </c>
      <c r="D12" s="88" t="n"/>
      <c r="E12" s="75" t="n"/>
      <c r="F12" s="89" t="n"/>
      <c r="G12" s="120" t="inlineStr">
        <is>
          <t>false</t>
        </is>
      </c>
      <c r="H12" s="120" t="n"/>
      <c r="I12" s="120" t="n"/>
      <c r="J12" s="120" t="n"/>
      <c r="K12" s="120" t="n"/>
      <c r="L12" s="120" t="n"/>
      <c r="M12" s="120" t="n"/>
      <c r="N12" s="120" t="n"/>
      <c r="S12" s="45" t="inlineStr">
        <is>
          <t>yes</t>
        </is>
      </c>
      <c r="U12" s="245" t="n">
        <v>3.5</v>
      </c>
      <c r="V12" s="174">
        <f>1</f>
        <v/>
      </c>
      <c r="W12" s="246">
        <f>IF(U12&lt;&gt;"",U12*V12,"")</f>
        <v/>
      </c>
      <c r="X12" s="246">
        <f>IF(AND(U12&lt;&gt;"",S12="yes"),U12*V12,"")</f>
        <v/>
      </c>
    </row>
    <row r="13" ht="16" customFormat="1" customHeight="1" s="77">
      <c r="A13" s="76" t="inlineStr">
        <is>
          <t>geopoint</t>
        </is>
      </c>
      <c r="B13" s="76" t="inlineStr">
        <is>
          <t>gps_1</t>
        </is>
      </c>
      <c r="C13" s="47" t="inlineStr">
        <is>
          <t xml:space="preserve">GPS INSTRUCTION: Take a GPS measurement. </t>
        </is>
      </c>
      <c r="D13" s="79" t="n"/>
      <c r="E13" s="76" t="inlineStr">
        <is>
          <t>NOTE: It might take a few minutes for the tablet to register the GPS. Wait for it to load. If it takes longer than 3 minutes, skip to the next question. You can take the GPS reading at the end of the interview.</t>
        </is>
      </c>
      <c r="F13" s="83" t="n"/>
      <c r="G13" s="127" t="inlineStr">
        <is>
          <t>false</t>
        </is>
      </c>
      <c r="H13" s="121" t="n"/>
      <c r="I13" s="121" t="n"/>
      <c r="J13" s="121" t="n"/>
      <c r="K13" s="127" t="inlineStr">
        <is>
          <t>${resp_agree} = '1'</t>
        </is>
      </c>
      <c r="L13" s="121" t="n"/>
      <c r="M13" s="121" t="n"/>
      <c r="N13" s="121" t="n"/>
      <c r="U13" s="245" t="n">
        <v>0</v>
      </c>
      <c r="V13" s="174" t="n">
        <v>1</v>
      </c>
      <c r="W13" s="246">
        <f>IF(U13&lt;&gt;"",U13*V13,"")</f>
        <v/>
      </c>
      <c r="X13" s="246" t="n"/>
      <c r="Y13" s="76" t="n"/>
    </row>
    <row r="14" ht="16" customFormat="1" customHeight="1" s="76">
      <c r="A14" s="80" t="inlineStr">
        <is>
          <t>note</t>
        </is>
      </c>
      <c r="B14" s="80" t="inlineStr">
        <is>
          <t>Refusal</t>
        </is>
      </c>
      <c r="C14" s="81" t="inlineStr">
        <is>
          <t>Thank you for your time, you will be removed from today's survey.</t>
        </is>
      </c>
      <c r="D14" s="99" t="n"/>
      <c r="E14" s="80" t="n"/>
      <c r="F14" s="101" t="n"/>
      <c r="G14" s="122" t="inlineStr">
        <is>
          <t>false</t>
        </is>
      </c>
      <c r="H14" s="122" t="n"/>
      <c r="I14" s="122" t="n"/>
      <c r="J14" s="122" t="n"/>
      <c r="K14" s="122" t="inlineStr">
        <is>
          <t>${resp_agree} = '2'</t>
        </is>
      </c>
      <c r="L14" s="122" t="n"/>
      <c r="M14" s="122" t="n"/>
      <c r="N14" s="122" t="n"/>
      <c r="S14" s="76" t="inlineStr">
        <is>
          <t>no</t>
        </is>
      </c>
      <c r="U14" s="245" t="n">
        <v>0</v>
      </c>
      <c r="V14" s="174" t="n">
        <v>1</v>
      </c>
      <c r="W14" s="246">
        <f>IF(U14&lt;&gt;"",U14*V14,"")</f>
        <v/>
      </c>
      <c r="X14" s="246">
        <f>IF(AND(U14&lt;&gt;"",S14="yes"),U14*V14,"")</f>
        <v/>
      </c>
    </row>
    <row r="15" ht="16" customFormat="1" customHeight="1" s="76" thickBot="1">
      <c r="A15" s="90" t="n"/>
      <c r="B15" s="90" t="n"/>
      <c r="C15" s="91" t="n"/>
      <c r="D15" s="92" t="n"/>
      <c r="E15" s="90" t="n"/>
      <c r="F15" s="93" t="n"/>
      <c r="G15" s="124" t="n"/>
      <c r="H15" s="124" t="n"/>
      <c r="I15" s="124" t="n"/>
      <c r="J15" s="124" t="n"/>
      <c r="K15" s="124" t="n"/>
      <c r="L15" s="124" t="n"/>
      <c r="M15" s="124" t="n"/>
      <c r="N15" s="124" t="n"/>
      <c r="S15" s="76" t="inlineStr"/>
      <c r="U15" s="245" t="inlineStr"/>
      <c r="V15" s="174" t="n"/>
      <c r="W15" s="246">
        <f>IF(U15&lt;&gt;"",U15*V15,"")</f>
        <v/>
      </c>
      <c r="X15" s="246">
        <f>IF(AND(U15&lt;&gt;"",S15="yes"),U15*V15,"")</f>
        <v/>
      </c>
    </row>
    <row r="16" ht="17" customFormat="1" customHeight="1" s="73" thickTop="1">
      <c r="A16" s="70" t="inlineStr">
        <is>
          <t>begin_group</t>
        </is>
      </c>
      <c r="B16" s="70" t="inlineStr">
        <is>
          <t>eligibility</t>
        </is>
      </c>
      <c r="C16" s="94" t="inlineStr">
        <is>
          <t>ELIGIBILITY CRITERIA</t>
        </is>
      </c>
      <c r="D16" s="71" t="n"/>
      <c r="E16" s="70" t="n"/>
      <c r="F16" s="72" t="n"/>
      <c r="G16" s="125" t="inlineStr">
        <is>
          <t>false</t>
        </is>
      </c>
      <c r="H16" s="125" t="n"/>
      <c r="I16" s="125" t="n"/>
      <c r="J16" s="125" t="n"/>
      <c r="K16" s="125" t="inlineStr">
        <is>
          <t>${resp_agree} = '1'</t>
        </is>
      </c>
      <c r="L16" s="125" t="n"/>
      <c r="M16" s="125" t="n"/>
      <c r="N16" s="125" t="n"/>
      <c r="S16" s="45" t="inlineStr">
        <is>
          <t>yes</t>
        </is>
      </c>
      <c r="U16" s="245" t="n"/>
      <c r="V16" s="174" t="n"/>
      <c r="W16" s="246">
        <f>IF(U16&lt;&gt;"",U16*V16,"")</f>
        <v/>
      </c>
      <c r="X16" s="246">
        <f>IF(AND(U16&lt;&gt;"",S16="yes"),U16*V16,"")</f>
        <v/>
      </c>
      <c r="Y16" s="74" t="n"/>
    </row>
    <row r="17" customFormat="1" s="77">
      <c r="C17" s="78" t="n"/>
      <c r="D17" s="79" t="n"/>
      <c r="F17" s="83" t="n"/>
      <c r="G17" s="121" t="n"/>
      <c r="H17" s="121" t="n"/>
      <c r="I17" s="121" t="n"/>
      <c r="J17" s="121" t="n"/>
      <c r="K17" s="121" t="n"/>
      <c r="L17" s="121" t="n"/>
      <c r="M17" s="121" t="n"/>
      <c r="N17" s="121" t="n"/>
      <c r="S17" s="77" t="inlineStr"/>
      <c r="U17" s="245" t="inlineStr"/>
      <c r="V17" s="76" t="n"/>
      <c r="W17" s="246">
        <f>IF(U17&lt;&gt;"",U17*V17,"")</f>
        <v/>
      </c>
      <c r="X17" s="246">
        <f>IF(AND(U17&lt;&gt;"",S17="yes"),U17*V17,"")</f>
        <v/>
      </c>
      <c r="Y17" s="76" t="n"/>
    </row>
    <row r="18" ht="16" customFormat="1" customHeight="1" s="77">
      <c r="A18" s="80" t="inlineStr">
        <is>
          <t>text</t>
        </is>
      </c>
      <c r="B18" s="80" t="inlineStr">
        <is>
          <t>resp_firstname</t>
        </is>
      </c>
      <c r="C18" s="81" t="inlineStr">
        <is>
          <t>What is your first name?</t>
        </is>
      </c>
      <c r="D18" s="79" t="n"/>
      <c r="E18" s="76" t="inlineStr">
        <is>
          <t>[INSTRUCTIONS: RECORD THE RESPONDENT'S FIRST NAME. ENTER 999 FOR REFUSED]</t>
        </is>
      </c>
      <c r="F18" s="83" t="n"/>
      <c r="G18" s="122" t="inlineStr">
        <is>
          <t>true</t>
        </is>
      </c>
      <c r="H18" s="122" t="n"/>
      <c r="I18" s="122" t="n"/>
      <c r="J18" s="122" t="n"/>
      <c r="K18" s="122" t="n"/>
      <c r="L18" s="122" t="n"/>
      <c r="M18" s="122" t="n"/>
      <c r="N18" s="122" t="n"/>
      <c r="S18" s="76" t="inlineStr">
        <is>
          <t>yes</t>
        </is>
      </c>
      <c r="U18" s="245" t="n">
        <v>10</v>
      </c>
      <c r="V18" s="174">
        <f>1</f>
        <v/>
      </c>
      <c r="W18" s="246">
        <f>IF(U18&lt;&gt;"",U18*V18,"")</f>
        <v/>
      </c>
      <c r="X18" s="246">
        <f>IF(AND(U18&lt;&gt;"",S18="yes"),U18*V18,"")</f>
        <v/>
      </c>
      <c r="Y18" s="76" t="n"/>
    </row>
    <row r="19" ht="16" customFormat="1" customHeight="1" s="77">
      <c r="A19" s="80" t="inlineStr">
        <is>
          <t>text</t>
        </is>
      </c>
      <c r="B19" s="80" t="inlineStr">
        <is>
          <t>resp_lastname</t>
        </is>
      </c>
      <c r="C19" s="81" t="inlineStr">
        <is>
          <t>What is your last name?</t>
        </is>
      </c>
      <c r="D19" s="79" t="n"/>
      <c r="E19" s="76" t="inlineStr">
        <is>
          <t>[INSTRUCTIONS: RECORD THE RESPONDENT'S LAST NAME. ENTER 999 FOR REFUSED]</t>
        </is>
      </c>
      <c r="F19" s="83" t="n"/>
      <c r="G19" s="122" t="inlineStr">
        <is>
          <t>true</t>
        </is>
      </c>
      <c r="H19" s="122" t="n"/>
      <c r="I19" s="122" t="n"/>
      <c r="J19" s="122" t="n"/>
      <c r="K19" s="122" t="n"/>
      <c r="L19" s="122" t="n"/>
      <c r="M19" s="122" t="n"/>
      <c r="N19" s="122" t="n"/>
      <c r="S19" s="76" t="inlineStr">
        <is>
          <t>yes</t>
        </is>
      </c>
      <c r="U19" s="245" t="n">
        <v>10</v>
      </c>
      <c r="V19" s="174">
        <f>1</f>
        <v/>
      </c>
      <c r="W19" s="246">
        <f>IF(U19&lt;&gt;"",U19*V19,"")</f>
        <v/>
      </c>
      <c r="X19" s="246">
        <f>IF(AND(U19&lt;&gt;"",S19="yes"),U19*V19,"")</f>
        <v/>
      </c>
      <c r="Y19" s="76" t="n"/>
    </row>
    <row r="20" customFormat="1" s="77">
      <c r="C20" s="78" t="n"/>
      <c r="D20" s="79" t="n"/>
      <c r="F20" s="83" t="n"/>
      <c r="G20" s="121" t="n"/>
      <c r="H20" s="121" t="n"/>
      <c r="I20" s="121" t="n"/>
      <c r="J20" s="121" t="n"/>
      <c r="K20" s="121" t="n"/>
      <c r="L20" s="121" t="n"/>
      <c r="M20" s="121" t="n"/>
      <c r="N20" s="121" t="n"/>
      <c r="S20" s="77" t="inlineStr"/>
      <c r="U20" s="245" t="inlineStr"/>
      <c r="V20" s="174">
        <f>1</f>
        <v/>
      </c>
      <c r="W20" s="246">
        <f>IF(U20&lt;&gt;"",U20*V20,"")</f>
        <v/>
      </c>
      <c r="X20" s="246">
        <f>IF(AND(U20&lt;&gt;"",S20="yes"),U20*V20,"")</f>
        <v/>
      </c>
      <c r="Y20" s="76" t="n"/>
    </row>
    <row r="21" ht="16" customHeight="1">
      <c r="A21" s="75" t="inlineStr">
        <is>
          <t>integer</t>
        </is>
      </c>
      <c r="B21" s="75" t="inlineStr">
        <is>
          <t>resp_age</t>
        </is>
      </c>
      <c r="C21" s="44" t="inlineStr">
        <is>
          <t>How old are you?</t>
        </is>
      </c>
      <c r="D21" s="99" t="n"/>
      <c r="E21" s="80" t="inlineStr">
        <is>
          <t>[INSTRUCTIONS: RECORD AGE IN NUMBER OF YEARS. ROUND UP TO NEAREST WHOLE NUMBER. IF THE RESPONDENT GIVES BIRTH YEAR, REPEAT THE QUESTION. ENTER 888 FOR DON'T KNOW.]</t>
        </is>
      </c>
      <c r="F21" s="89" t="n"/>
      <c r="G21" s="120" t="inlineStr">
        <is>
          <t>true</t>
        </is>
      </c>
      <c r="H21" s="120" t="n"/>
      <c r="I21" s="120" t="inlineStr">
        <is>
          <t>(. &gt;= #age# and . &lt;= 100) or . = 888</t>
        </is>
      </c>
      <c r="J21" s="120" t="n"/>
      <c r="K21" s="120" t="n"/>
      <c r="L21" s="120" t="n"/>
      <c r="M21" s="120" t="n"/>
      <c r="N21" s="120" t="n"/>
      <c r="S21" s="45" t="inlineStr">
        <is>
          <t>yes</t>
        </is>
      </c>
      <c r="U21" s="245" t="n">
        <v>13.75307273864746</v>
      </c>
      <c r="V21" s="174">
        <f>1</f>
        <v/>
      </c>
      <c r="W21" s="246">
        <f>IF(U21&lt;&gt;"",U21*V21,"")</f>
        <v/>
      </c>
      <c r="X21" s="246">
        <f>IF(AND(U21&lt;&gt;"",S21="yes"),U21*V21,"")</f>
        <v/>
      </c>
    </row>
    <row r="22">
      <c r="D22" s="88" t="n"/>
      <c r="F22" s="89" t="n"/>
      <c r="S22" s="45" t="inlineStr"/>
      <c r="U22" s="245" t="inlineStr"/>
      <c r="V22" s="174">
        <f>1</f>
        <v/>
      </c>
      <c r="W22" s="246">
        <f>IF(U22&lt;&gt;"",U22*V22,"")</f>
        <v/>
      </c>
      <c r="X22" s="246">
        <f>IF(AND(U22&lt;&gt;"",S22="yes"),U22*V22,"")</f>
        <v/>
      </c>
    </row>
    <row r="23" ht="16" customFormat="1" customHeight="1" s="76">
      <c r="A23" s="80" t="inlineStr">
        <is>
          <t>select_one gender</t>
        </is>
      </c>
      <c r="B23" s="80" t="inlineStr">
        <is>
          <t>resp_gender</t>
        </is>
      </c>
      <c r="C23" s="81" t="inlineStr">
        <is>
          <t>What is the gender of the respondent?</t>
        </is>
      </c>
      <c r="D23" s="99" t="n"/>
      <c r="E23" s="76" t="inlineStr">
        <is>
          <t>[INSTRUCTIONS: DO NOT ASK THIS QUESTION OUT LOUD. SELECT THE GENDER OF THE RESPONDENT.]</t>
        </is>
      </c>
      <c r="F23" s="101" t="n"/>
      <c r="G23" s="132" t="inlineStr">
        <is>
          <t>true</t>
        </is>
      </c>
      <c r="H23" s="132" t="n"/>
      <c r="I23" s="132" t="n"/>
      <c r="J23" s="132" t="n"/>
      <c r="K23" s="132" t="n"/>
      <c r="L23" s="132" t="n"/>
      <c r="M23" s="132" t="n"/>
      <c r="N23" s="132" t="n"/>
      <c r="S23" s="45" t="inlineStr">
        <is>
          <t>yes</t>
        </is>
      </c>
      <c r="U23" s="245" t="n">
        <v>2.117356061935425</v>
      </c>
      <c r="V23" s="174">
        <f>1</f>
        <v/>
      </c>
      <c r="W23" s="246">
        <f>IF(U23&lt;&gt;"",U23*V23,"")</f>
        <v/>
      </c>
      <c r="X23" s="246">
        <f>IF(AND(U23&lt;&gt;"",S23="yes"),U23*V23,"")</f>
        <v/>
      </c>
    </row>
    <row r="24" customFormat="1" s="77">
      <c r="C24" s="78" t="n"/>
      <c r="D24" s="79" t="n"/>
      <c r="F24" s="83" t="n"/>
      <c r="G24" s="121" t="n"/>
      <c r="H24" s="121" t="n"/>
      <c r="I24" s="121" t="n"/>
      <c r="J24" s="128" t="n"/>
      <c r="K24" s="121" t="n"/>
      <c r="L24" s="121" t="n"/>
      <c r="M24" s="121" t="n"/>
      <c r="N24" s="121" t="n"/>
      <c r="S24" s="77" t="inlineStr"/>
      <c r="U24" s="245" t="inlineStr"/>
      <c r="V24" s="174">
        <f>1</f>
        <v/>
      </c>
      <c r="W24" s="246">
        <f>IF(U24&lt;&gt;"",U24*V24,"")</f>
        <v/>
      </c>
      <c r="X24" s="246">
        <f>IF(AND(U24&lt;&gt;"",S24="yes"),U24*V24,"")</f>
        <v/>
      </c>
      <c r="Y24" s="76" t="n"/>
    </row>
    <row r="25" ht="16" customFormat="1" customHeight="1" s="96">
      <c r="A25" s="161" t="inlineStr">
        <is>
          <t>text</t>
        </is>
      </c>
      <c r="B25" s="161" t="inlineStr">
        <is>
          <t>phone_number_personal</t>
        </is>
      </c>
      <c r="C25" s="162" t="inlineStr">
        <is>
          <t>What is your phone number?</t>
        </is>
      </c>
      <c r="D25" s="164" t="n"/>
      <c r="E25" s="163" t="n"/>
      <c r="F25" s="165" t="n"/>
      <c r="G25" s="160" t="inlineStr">
        <is>
          <t>true</t>
        </is>
      </c>
      <c r="H25" s="160" t="inlineStr">
        <is>
          <t>numbers</t>
        </is>
      </c>
      <c r="I25" s="130" t="inlineStr">
        <is>
          <t>regex(.,’^[0-9]{#number of digits#}$’)</t>
        </is>
      </c>
      <c r="J25" s="160" t="inlineStr">
        <is>
          <t>Please enter the telephone number in the correct format, e.g. #phone number#</t>
        </is>
      </c>
      <c r="K25" s="160" t="n"/>
      <c r="L25" s="160" t="n"/>
      <c r="M25" s="160" t="n"/>
      <c r="N25" s="129" t="n"/>
      <c r="S25" s="163" t="inlineStr">
        <is>
          <t>yes - panel</t>
        </is>
      </c>
      <c r="U25" s="245" t="n">
        <v>10</v>
      </c>
      <c r="V25" s="174">
        <f>1</f>
        <v/>
      </c>
      <c r="W25" s="246">
        <f>IF(U25&lt;&gt;"",U25*V25,"")</f>
        <v/>
      </c>
      <c r="X25" s="246">
        <f>IF(AND(U25&lt;&gt;"",S25="yes"),U25*V25,"")</f>
        <v/>
      </c>
    </row>
    <row r="26" ht="48" customFormat="1" customHeight="1" s="96">
      <c r="A26" s="161" t="inlineStr">
        <is>
          <t>select_one contact_info</t>
        </is>
      </c>
      <c r="B26" s="161" t="inlineStr">
        <is>
          <t>contact_2</t>
        </is>
      </c>
      <c r="C26" s="162" t="inlineStr">
        <is>
          <t>Can you give me an additional phone number belonging to you, another household member or a close relation living outside of the household at which you can be reached?</t>
        </is>
      </c>
      <c r="D26" s="164" t="n"/>
      <c r="E26" s="163" t="n"/>
      <c r="F26" s="165" t="n"/>
      <c r="G26" s="160" t="inlineStr">
        <is>
          <t>true</t>
        </is>
      </c>
      <c r="H26" s="160" t="n"/>
      <c r="I26" s="129" t="n"/>
      <c r="J26" s="160" t="n"/>
      <c r="K26" s="160" t="n"/>
      <c r="L26" s="160" t="n"/>
      <c r="M26" s="160" t="n"/>
      <c r="N26" s="129" t="n"/>
      <c r="S26" s="163" t="inlineStr">
        <is>
          <t>yes - panel</t>
        </is>
      </c>
      <c r="U26" s="245" t="n">
        <v>10</v>
      </c>
      <c r="V26" s="174">
        <f>1</f>
        <v/>
      </c>
      <c r="W26" s="246">
        <f>IF(U26&lt;&gt;"",U26*V26,"")</f>
        <v/>
      </c>
      <c r="X26" s="246">
        <f>IF(AND(U26&lt;&gt;"",S26="yes"),U26*V26,"")</f>
        <v/>
      </c>
    </row>
    <row r="27" ht="16" customFormat="1" customHeight="1" s="96">
      <c r="A27" s="161" t="inlineStr">
        <is>
          <t>text</t>
        </is>
      </c>
      <c r="B27" s="161" t="inlineStr">
        <is>
          <t>phone_number_2</t>
        </is>
      </c>
      <c r="C27" s="162" t="inlineStr">
        <is>
          <t>What is the additional phone number?</t>
        </is>
      </c>
      <c r="D27" s="164" t="n"/>
      <c r="E27" s="163" t="n"/>
      <c r="F27" s="165" t="n"/>
      <c r="G27" s="160" t="inlineStr">
        <is>
          <t>true</t>
        </is>
      </c>
      <c r="H27" s="160" t="inlineStr">
        <is>
          <t>numbers</t>
        </is>
      </c>
      <c r="I27" s="130" t="inlineStr">
        <is>
          <t>regex(.,’^[0-9]{#number of digits#}$’)</t>
        </is>
      </c>
      <c r="J27" s="160" t="inlineStr">
        <is>
          <t>Please enter the telephone number in the correct format, e.g. #phone number#</t>
        </is>
      </c>
      <c r="K27" s="160" t="inlineStr">
        <is>
          <t xml:space="preserve">${contact_2} = '1' or ${contact_2} = '2' or ${contact_2} = '3' </t>
        </is>
      </c>
      <c r="L27" s="160" t="n"/>
      <c r="M27" s="160" t="n"/>
      <c r="N27" s="129" t="n"/>
      <c r="S27" s="163" t="inlineStr">
        <is>
          <t>yes - panel</t>
        </is>
      </c>
      <c r="U27" s="245" t="n">
        <v>10</v>
      </c>
      <c r="V27" s="174">
        <f>1</f>
        <v/>
      </c>
      <c r="W27" s="246">
        <f>IF(U27&lt;&gt;"",U27*V27,"")</f>
        <v/>
      </c>
      <c r="X27" s="246">
        <f>IF(AND(U27&lt;&gt;"",S27="yes"),U27*V27,"")</f>
        <v/>
      </c>
    </row>
    <row r="28" ht="16" customFormat="1" customHeight="1" s="96">
      <c r="A28" s="161" t="inlineStr">
        <is>
          <t>text</t>
        </is>
      </c>
      <c r="B28" s="161" t="inlineStr">
        <is>
          <t>contact_2_name</t>
        </is>
      </c>
      <c r="C28" s="162" t="inlineStr">
        <is>
          <t>What is the name of the contact?</t>
        </is>
      </c>
      <c r="D28" s="164" t="n"/>
      <c r="E28" s="163" t="n"/>
      <c r="F28" s="165" t="n"/>
      <c r="G28" s="160" t="inlineStr">
        <is>
          <t>true</t>
        </is>
      </c>
      <c r="H28" s="160" t="n"/>
      <c r="I28" s="129" t="n"/>
      <c r="J28" s="160" t="n"/>
      <c r="K28" s="160" t="inlineStr">
        <is>
          <t xml:space="preserve">${contact_2} = '2' or ${contact_2} = '3' </t>
        </is>
      </c>
      <c r="L28" s="160" t="n"/>
      <c r="M28" s="160" t="n"/>
      <c r="N28" s="129" t="n"/>
      <c r="S28" s="163" t="inlineStr">
        <is>
          <t>yes - panel</t>
        </is>
      </c>
      <c r="U28" s="245" t="n">
        <v>10</v>
      </c>
      <c r="V28" s="174">
        <f>1</f>
        <v/>
      </c>
      <c r="W28" s="246">
        <f>IF(U28&lt;&gt;"",U28*V28,"")</f>
        <v/>
      </c>
      <c r="X28" s="246">
        <f>IF(AND(U28&lt;&gt;"",S28="yes"),U28*V28,"")</f>
        <v/>
      </c>
    </row>
    <row r="29" ht="48" customFormat="1" customHeight="1" s="96">
      <c r="A29" s="161" t="inlineStr">
        <is>
          <t>select_one contact_info</t>
        </is>
      </c>
      <c r="B29" s="161" t="inlineStr">
        <is>
          <t>contact_3</t>
        </is>
      </c>
      <c r="C29" s="162" t="inlineStr">
        <is>
          <t>Can you give me an additional phone number belonging to you, another household member or a close relation living outside of the household at which you can be reached?</t>
        </is>
      </c>
      <c r="D29" s="164" t="n"/>
      <c r="E29" s="163" t="n"/>
      <c r="F29" s="165" t="n"/>
      <c r="G29" s="160" t="inlineStr">
        <is>
          <t>true</t>
        </is>
      </c>
      <c r="H29" s="160" t="n"/>
      <c r="I29" s="129" t="n"/>
      <c r="J29" s="160" t="n"/>
      <c r="K29" s="160" t="inlineStr">
        <is>
          <t xml:space="preserve">${contact_2} = '1' or ${contact_2} = '2' or ${contact_2} = '3' </t>
        </is>
      </c>
      <c r="L29" s="160" t="n"/>
      <c r="M29" s="160" t="n"/>
      <c r="N29" s="129" t="n"/>
      <c r="S29" s="163" t="inlineStr">
        <is>
          <t>yes - panel</t>
        </is>
      </c>
      <c r="U29" s="245" t="n">
        <v>10</v>
      </c>
      <c r="V29" s="174">
        <f>1</f>
        <v/>
      </c>
      <c r="W29" s="246">
        <f>IF(U29&lt;&gt;"",U29*V29,"")</f>
        <v/>
      </c>
      <c r="X29" s="246">
        <f>IF(AND(U29&lt;&gt;"",S29="yes"),U29*V29,"")</f>
        <v/>
      </c>
    </row>
    <row r="30" ht="16" customFormat="1" customHeight="1" s="96">
      <c r="A30" s="161" t="inlineStr">
        <is>
          <t>text</t>
        </is>
      </c>
      <c r="B30" s="161" t="inlineStr">
        <is>
          <t>phone_number_3</t>
        </is>
      </c>
      <c r="C30" s="162" t="inlineStr">
        <is>
          <t>What is the additional phone number?</t>
        </is>
      </c>
      <c r="D30" s="164" t="n"/>
      <c r="E30" s="163" t="n"/>
      <c r="F30" s="165" t="n"/>
      <c r="G30" s="160" t="inlineStr">
        <is>
          <t>true</t>
        </is>
      </c>
      <c r="H30" s="160" t="inlineStr">
        <is>
          <t>numbers</t>
        </is>
      </c>
      <c r="I30" s="130" t="inlineStr">
        <is>
          <t>regex(.,’^[0-9]{#number of digits#}$’)</t>
        </is>
      </c>
      <c r="J30" s="160" t="inlineStr">
        <is>
          <t>Please enter the telephone number in the correct format, e.g. #phone number#</t>
        </is>
      </c>
      <c r="K30" s="160" t="inlineStr">
        <is>
          <t xml:space="preserve">${contact_3} = '1' or ${contact_3} = '2' or ${contact_3} = '3' </t>
        </is>
      </c>
      <c r="L30" s="160" t="n"/>
      <c r="M30" s="160" t="n"/>
      <c r="N30" s="129" t="n"/>
      <c r="S30" s="163" t="inlineStr">
        <is>
          <t>yes - panel</t>
        </is>
      </c>
      <c r="U30" s="245" t="n">
        <v>10</v>
      </c>
      <c r="V30" s="174">
        <f>1</f>
        <v/>
      </c>
      <c r="W30" s="246">
        <f>IF(U30&lt;&gt;"",U30*V30,"")</f>
        <v/>
      </c>
      <c r="X30" s="246">
        <f>IF(AND(U30&lt;&gt;"",S30="yes"),U30*V30,"")</f>
        <v/>
      </c>
    </row>
    <row r="31" ht="16" customFormat="1" customHeight="1" s="96">
      <c r="A31" s="161" t="inlineStr">
        <is>
          <t>text</t>
        </is>
      </c>
      <c r="B31" s="161" t="inlineStr">
        <is>
          <t>contact_3_name</t>
        </is>
      </c>
      <c r="C31" s="162" t="inlineStr">
        <is>
          <t>What is the name of the contact?</t>
        </is>
      </c>
      <c r="D31" s="164" t="n"/>
      <c r="E31" s="163" t="n"/>
      <c r="F31" s="165" t="n"/>
      <c r="G31" s="160" t="inlineStr">
        <is>
          <t>true</t>
        </is>
      </c>
      <c r="H31" s="160" t="n"/>
      <c r="I31" s="129" t="n"/>
      <c r="J31" s="160" t="n"/>
      <c r="K31" s="160" t="inlineStr">
        <is>
          <t xml:space="preserve">${contact_3} = '2' or ${contact_3} = '3' </t>
        </is>
      </c>
      <c r="L31" s="160" t="n"/>
      <c r="M31" s="160" t="n"/>
      <c r="N31" s="129" t="n"/>
      <c r="S31" s="163" t="inlineStr">
        <is>
          <t>yes - panel</t>
        </is>
      </c>
      <c r="U31" s="245" t="n">
        <v>10</v>
      </c>
      <c r="V31" s="174">
        <f>1</f>
        <v/>
      </c>
      <c r="W31" s="246">
        <f>IF(U31&lt;&gt;"",U31*V31,"")</f>
        <v/>
      </c>
      <c r="X31" s="246">
        <f>IF(AND(U31&lt;&gt;"",S31="yes"),U31*V31,"")</f>
        <v/>
      </c>
    </row>
    <row r="32" customFormat="1" s="77">
      <c r="C32" s="78" t="n"/>
      <c r="D32" s="79" t="n"/>
      <c r="F32" s="83" t="n"/>
      <c r="G32" s="121" t="n"/>
      <c r="H32" s="121" t="n"/>
      <c r="I32" s="121" t="n"/>
      <c r="J32" s="128" t="n"/>
      <c r="K32" s="121" t="n"/>
      <c r="L32" s="121" t="n"/>
      <c r="M32" s="121" t="n"/>
      <c r="N32" s="121" t="n"/>
      <c r="S32" s="77" t="inlineStr"/>
      <c r="U32" s="245" t="inlineStr"/>
      <c r="V32" s="174">
        <f>1</f>
        <v/>
      </c>
      <c r="W32" s="246">
        <f>IF(U32&lt;&gt;"",U32*V32,"")</f>
        <v/>
      </c>
      <c r="X32" s="246">
        <f>IF(AND(U32&lt;&gt;"",S32="yes"),U32*V32,"")</f>
        <v/>
      </c>
      <c r="Y32" s="76" t="n"/>
    </row>
    <row r="33" ht="16" customHeight="1">
      <c r="A33" s="75" t="inlineStr">
        <is>
          <t>select_one admin1</t>
        </is>
      </c>
      <c r="B33" s="75" t="inlineStr">
        <is>
          <t>adm1_pcode</t>
        </is>
      </c>
      <c r="C33" s="44" t="inlineStr">
        <is>
          <t>IBRAHIM TESTTTT</t>
        </is>
      </c>
      <c r="D33" s="88" t="n"/>
      <c r="E33" s="75" t="inlineStr">
        <is>
          <t>[HINT: HOUSEHOLD CONSISTS OF ALL MEMBERS LIVING TOGETHER, SHARING RESOURCES &amp; EATING FROM THE SAME POT.]</t>
        </is>
      </c>
      <c r="F33" s="89" t="n"/>
      <c r="G33" s="120" t="inlineStr">
        <is>
          <t>true</t>
        </is>
      </c>
      <c r="H33" s="122" t="inlineStr">
        <is>
          <t>autocomplete</t>
        </is>
      </c>
      <c r="I33" s="120" t="n"/>
      <c r="J33" s="129" t="n"/>
      <c r="K33" s="120" t="n"/>
      <c r="L33" s="120" t="n"/>
      <c r="M33" s="120" t="n"/>
      <c r="N33" s="120" t="n"/>
      <c r="S33" s="45" t="inlineStr">
        <is>
          <t>yes</t>
        </is>
      </c>
      <c r="U33" s="245" t="n">
        <v>8.800000000000001</v>
      </c>
      <c r="V33" s="174">
        <f>1</f>
        <v/>
      </c>
      <c r="W33" s="246">
        <f>IF(U33&lt;&gt;"",U33*V33,"")</f>
        <v/>
      </c>
      <c r="X33" s="246">
        <f>IF(AND(U33&lt;&gt;"",S33="yes"),U33*V33,"")</f>
        <v/>
      </c>
    </row>
    <row r="34">
      <c r="A34" s="75" t="inlineStr">
        <is>
          <t>calculate</t>
        </is>
      </c>
      <c r="B34" s="75" t="inlineStr">
        <is>
          <t>adm1_name</t>
        </is>
      </c>
      <c r="C34" s="44" t="n"/>
      <c r="D34" s="88" t="n"/>
      <c r="E34" s="75" t="n"/>
      <c r="F34" s="89" t="n"/>
      <c r="G34" s="120" t="n"/>
      <c r="H34" s="120" t="n"/>
      <c r="I34" s="120" t="n"/>
      <c r="J34" s="120" t="n"/>
      <c r="K34" s="120" t="n"/>
      <c r="L34" s="120" t="n"/>
      <c r="M34" s="120" t="n"/>
      <c r="N34" s="120" t="inlineStr">
        <is>
          <t>jr:choice-name(${adm1_pcode},'${adm1_pcode}')</t>
        </is>
      </c>
      <c r="S34" s="45" t="inlineStr">
        <is>
          <t>yes</t>
        </is>
      </c>
      <c r="U34" s="245" t="n"/>
      <c r="V34" s="174">
        <f>1</f>
        <v/>
      </c>
      <c r="W34" s="246">
        <f>IF(U34&lt;&gt;"",U34*V34,"")</f>
        <v/>
      </c>
      <c r="X34" s="246">
        <f>IF(AND(U34&lt;&gt;"",S34="yes"),U34*V34,"")</f>
        <v/>
      </c>
    </row>
    <row r="35" ht="16" customHeight="1">
      <c r="A35" s="75" t="inlineStr">
        <is>
          <t>select_one admin2</t>
        </is>
      </c>
      <c r="B35" s="75" t="inlineStr">
        <is>
          <t xml:space="preserve">adm2_pcode </t>
        </is>
      </c>
      <c r="C35" s="44" t="inlineStr">
        <is>
          <t>IBRAHIM TESTTTT</t>
        </is>
      </c>
      <c r="D35" s="88" t="n"/>
      <c r="E35" s="75" t="n"/>
      <c r="F35" s="89" t="n"/>
      <c r="G35" s="120" t="inlineStr">
        <is>
          <t>true</t>
        </is>
      </c>
      <c r="H35" s="122" t="inlineStr">
        <is>
          <t>autocomplete</t>
        </is>
      </c>
      <c r="I35" s="120" t="n"/>
      <c r="J35" s="120" t="n"/>
      <c r="K35" s="120" t="n"/>
      <c r="L35" s="120" t="inlineStr">
        <is>
          <t>my_filter_admin=${adm1_pcode}</t>
        </is>
      </c>
      <c r="M35" s="120" t="n"/>
      <c r="N35" s="120" t="n"/>
      <c r="S35" s="45" t="inlineStr">
        <is>
          <t>yes</t>
        </is>
      </c>
      <c r="U35" s="245" t="n">
        <v>10.4</v>
      </c>
      <c r="V35" s="174">
        <f>1</f>
        <v/>
      </c>
      <c r="W35" s="246">
        <f>IF(U35&lt;&gt;"",U35*V35,"")</f>
        <v/>
      </c>
      <c r="X35" s="246">
        <f>IF(AND(U35&lt;&gt;"",S35="yes"),U35*V35,"")</f>
        <v/>
      </c>
    </row>
    <row r="36">
      <c r="A36" s="75" t="inlineStr">
        <is>
          <t>calculate</t>
        </is>
      </c>
      <c r="B36" s="75" t="inlineStr">
        <is>
          <t>adm2_name</t>
        </is>
      </c>
      <c r="C36" s="44" t="n"/>
      <c r="D36" s="88" t="n"/>
      <c r="E36" s="75" t="n"/>
      <c r="F36" s="89" t="n"/>
      <c r="G36" s="120" t="n"/>
      <c r="H36" s="120" t="n"/>
      <c r="I36" s="120" t="n"/>
      <c r="J36" s="120" t="n"/>
      <c r="K36" s="120" t="n"/>
      <c r="L36" s="120" t="n"/>
      <c r="M36" s="120" t="n"/>
      <c r="N36" s="120" t="inlineStr">
        <is>
          <t>jr:choice-name(${adm2_pcode},'${adm2_pcode}')</t>
        </is>
      </c>
      <c r="S36" s="45" t="inlineStr">
        <is>
          <t>yes</t>
        </is>
      </c>
      <c r="U36" s="245" t="n"/>
      <c r="V36" s="174">
        <f>1</f>
        <v/>
      </c>
      <c r="W36" s="246">
        <f>IF(U36&lt;&gt;"",U36*V36,"")</f>
        <v/>
      </c>
      <c r="X36" s="246">
        <f>IF(AND(U36&lt;&gt;"",S36="yes"),U36*V36,"")</f>
        <v/>
      </c>
    </row>
    <row r="37">
      <c r="D37" s="88" t="n"/>
      <c r="F37" s="89" t="n"/>
      <c r="S37" s="45" t="inlineStr"/>
      <c r="U37" s="245" t="inlineStr"/>
      <c r="V37" s="174">
        <f>1</f>
        <v/>
      </c>
      <c r="W37" s="246">
        <f>IF(U37&lt;&gt;"",U37*V37,"")</f>
        <v/>
      </c>
      <c r="X37" s="246">
        <f>IF(AND(U37&lt;&gt;"",S37="yes"),U37*V37,"")</f>
        <v/>
      </c>
    </row>
    <row r="38" ht="48" customFormat="1" customHeight="1" s="46">
      <c r="A38" s="44" t="inlineStr">
        <is>
          <t>select_one agricactivity</t>
        </is>
      </c>
      <c r="B38" s="44" t="inlineStr">
        <is>
          <t>hh_agricactivity</t>
        </is>
      </c>
      <c r="C38" s="44" t="inlineStr">
        <is>
          <t>Has anybody in your household produced crops or livestock for household consumption or for sale in the past 12 months, including household members currently away for transhumance?</t>
        </is>
      </c>
      <c r="D38" s="88" t="n"/>
      <c r="E38"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F38" s="88" t="n"/>
      <c r="G38" s="43" t="inlineStr">
        <is>
          <t>true</t>
        </is>
      </c>
      <c r="H38" s="43" t="n"/>
      <c r="I38" s="43" t="n"/>
      <c r="J38" s="43" t="n"/>
      <c r="K38" s="43" t="n"/>
      <c r="L38" s="43" t="n"/>
      <c r="M38" s="43" t="n"/>
      <c r="N38" s="43" t="n"/>
      <c r="S38" s="46" t="inlineStr">
        <is>
          <t>yes</t>
        </is>
      </c>
      <c r="U38" s="249" t="n">
        <v>31.37237739562988</v>
      </c>
      <c r="V38" s="174">
        <f>1</f>
        <v/>
      </c>
      <c r="W38" s="250">
        <f>IF(U38&lt;&gt;"",U38*V38,"")</f>
        <v/>
      </c>
      <c r="X38" s="250">
        <f>IF(AND(U38&lt;&gt;"",S38="yes"),U38*V38,"")</f>
        <v/>
      </c>
      <c r="Y38" s="47" t="n"/>
    </row>
    <row r="39" ht="32" customFormat="1" customHeight="1" s="77">
      <c r="A39" s="77" t="inlineStr">
        <is>
          <t>select_one yes_no</t>
        </is>
      </c>
      <c r="B39" s="77" t="inlineStr">
        <is>
          <t>hh_fish</t>
        </is>
      </c>
      <c r="C39" s="78" t="inlineStr">
        <is>
          <t xml:space="preserve">Has anybody in your household been engaged in aquatic production [fish catch or aquaculture farming] for household consumption or for sales in the past 12 months? </t>
        </is>
      </c>
      <c r="D39" s="83" t="n"/>
      <c r="E39" s="77" t="inlineStr">
        <is>
          <t>[HINT FOR PROBING: It should not include sports fishing. It should be about production of aquatic products [fish catch or aquaculture farming] for household consumption or sales.]</t>
        </is>
      </c>
      <c r="F39" s="83" t="n"/>
      <c r="G39" s="121" t="inlineStr">
        <is>
          <t>true</t>
        </is>
      </c>
      <c r="H39" s="121" t="n"/>
      <c r="I39" s="121" t="n"/>
      <c r="J39" s="121" t="n"/>
      <c r="K39" s="121" t="n"/>
      <c r="L39" s="121" t="n"/>
      <c r="M39" s="121" t="n"/>
      <c r="N39" s="121" t="n"/>
      <c r="S39" s="77" t="inlineStr">
        <is>
          <t>no</t>
        </is>
      </c>
      <c r="U39" s="245" t="n">
        <v>17</v>
      </c>
      <c r="V39" s="174">
        <f>1</f>
        <v/>
      </c>
      <c r="W39" s="246">
        <f>IF(U39&lt;&gt;"",U39*V39,"")</f>
        <v/>
      </c>
      <c r="X39" s="246">
        <f>IF(AND(U39&lt;&gt;"",S39="yes"),U39*V39,"")</f>
        <v/>
      </c>
      <c r="Y39" s="76" t="n"/>
    </row>
    <row r="40">
      <c r="D40" s="88" t="n"/>
      <c r="F40" s="89" t="n"/>
      <c r="S40" s="45" t="inlineStr"/>
      <c r="U40" s="245" t="inlineStr"/>
      <c r="V40" s="174">
        <f>1</f>
        <v/>
      </c>
      <c r="W40" s="246">
        <f>IF(U40&lt;&gt;"",U40*V40,"")</f>
        <v/>
      </c>
      <c r="X40" s="246">
        <f>IF(AND(U40&lt;&gt;"",S40="yes"),U40*V40,"")</f>
        <v/>
      </c>
    </row>
    <row r="41" ht="16" customFormat="1" customHeight="1" s="76" thickBot="1">
      <c r="A41" s="97" t="inlineStr">
        <is>
          <t>end_group</t>
        </is>
      </c>
      <c r="B41" s="97" t="n"/>
      <c r="C41" s="98" t="n"/>
      <c r="D41" s="92" t="n"/>
      <c r="E41" s="97" t="n"/>
      <c r="F41" s="93" t="n"/>
      <c r="G41" s="131" t="n"/>
      <c r="H41" s="131" t="n"/>
      <c r="I41" s="131" t="n"/>
      <c r="J41" s="131" t="n"/>
      <c r="K41" s="131" t="n"/>
      <c r="L41" s="131" t="n"/>
      <c r="M41" s="131" t="n"/>
      <c r="N41" s="131" t="n"/>
      <c r="S41" s="76" t="inlineStr"/>
      <c r="U41" s="245" t="inlineStr"/>
      <c r="V41" s="174" t="n"/>
      <c r="W41" s="246">
        <f>IF(U41&lt;&gt;"",U41*V41,"")</f>
        <v/>
      </c>
      <c r="X41" s="246">
        <f>IF(AND(U41&lt;&gt;"",S41="yes"),U41*V41,"")</f>
        <v/>
      </c>
    </row>
    <row r="42" ht="17" customFormat="1" customHeight="1" s="73" thickTop="1">
      <c r="A42" s="70" t="inlineStr">
        <is>
          <t>begin_group</t>
        </is>
      </c>
      <c r="B42" s="70" t="inlineStr">
        <is>
          <t>generalInfo</t>
        </is>
      </c>
      <c r="C42" s="94" t="inlineStr">
        <is>
          <t>GENERAL INFORMATION</t>
        </is>
      </c>
      <c r="D42" s="71" t="n"/>
      <c r="E42" s="70" t="n"/>
      <c r="F42" s="72" t="n"/>
      <c r="G42" s="125" t="inlineStr">
        <is>
          <t>false</t>
        </is>
      </c>
      <c r="H42" s="125" t="n"/>
      <c r="I42" s="125" t="n"/>
      <c r="J42" s="125" t="n"/>
      <c r="K42" s="125" t="inlineStr">
        <is>
          <t>${resp_agree} = '1' and ${hh_agricactivity} != '5' and ${hh_agricactivity} != '6'</t>
        </is>
      </c>
      <c r="L42" s="125" t="n"/>
      <c r="M42" s="125" t="n"/>
      <c r="N42" s="125" t="n"/>
      <c r="S42" s="45" t="inlineStr">
        <is>
          <t>yes</t>
        </is>
      </c>
      <c r="U42" s="245" t="n"/>
      <c r="V42" s="174" t="n"/>
      <c r="W42" s="246">
        <f>IF(U42&lt;&gt;"",U42*V42,"")</f>
        <v/>
      </c>
      <c r="X42" s="246">
        <f>IF(AND(U42&lt;&gt;"",S42="yes"),U42*V42,"")</f>
        <v/>
      </c>
      <c r="Y42" s="74" t="n"/>
    </row>
    <row r="43">
      <c r="D43" s="88" t="n"/>
      <c r="F43" s="89" t="n"/>
      <c r="S43" s="45" t="inlineStr"/>
      <c r="U43" s="245" t="inlineStr"/>
      <c r="V43" s="174">
        <f>1</f>
        <v/>
      </c>
      <c r="W43" s="246">
        <f>IF(U43&lt;&gt;"",U43*V43,"")</f>
        <v/>
      </c>
      <c r="X43" s="246">
        <f>IF(AND(U43&lt;&gt;"",S43="yes"),U43*V43,"")</f>
        <v/>
      </c>
    </row>
    <row r="44" ht="16" customHeight="1">
      <c r="A44" s="75" t="inlineStr">
        <is>
          <t>select_one yes_no</t>
        </is>
      </c>
      <c r="B44" s="75" t="inlineStr">
        <is>
          <t>resp_id</t>
        </is>
      </c>
      <c r="C44" s="44" t="inlineStr">
        <is>
          <t>Are you the head of household?</t>
        </is>
      </c>
      <c r="D44" s="88" t="n"/>
      <c r="E44" s="75" t="n"/>
      <c r="F44" s="89" t="n"/>
      <c r="G44" s="120" t="inlineStr">
        <is>
          <t>true</t>
        </is>
      </c>
      <c r="H44" s="120" t="n"/>
      <c r="I44" s="120" t="n"/>
      <c r="J44" s="120" t="n"/>
      <c r="K44" s="120" t="n"/>
      <c r="L44" s="120" t="n"/>
      <c r="M44" s="120" t="n"/>
      <c r="N44" s="120" t="n"/>
      <c r="S44" s="45" t="inlineStr">
        <is>
          <t>yes</t>
        </is>
      </c>
      <c r="U44" s="251" t="n"/>
      <c r="V44" s="219" t="n"/>
      <c r="W44" s="252" t="n"/>
      <c r="X44" s="246" t="n"/>
    </row>
    <row r="45" ht="16" customHeight="1">
      <c r="A45" s="75" t="inlineStr">
        <is>
          <t>select_one gender</t>
        </is>
      </c>
      <c r="B45" s="75" t="inlineStr">
        <is>
          <t>hh_gender</t>
        </is>
      </c>
      <c r="C45" s="44" t="inlineStr">
        <is>
          <t xml:space="preserve">Is the head of your household male or female? </t>
        </is>
      </c>
      <c r="D45" s="88" t="n"/>
      <c r="E45" s="75" t="n"/>
      <c r="F45" s="89" t="n"/>
      <c r="G45" s="120" t="inlineStr">
        <is>
          <t>true</t>
        </is>
      </c>
      <c r="H45" s="120" t="n"/>
      <c r="I45" s="120" t="n"/>
      <c r="J45" s="120" t="n"/>
      <c r="K45" s="120" t="inlineStr">
        <is>
          <t>${resp_id} != '1'</t>
        </is>
      </c>
      <c r="L45" s="120" t="n"/>
      <c r="M45" s="120" t="n"/>
      <c r="N45" s="120" t="n"/>
      <c r="S45" s="45" t="inlineStr">
        <is>
          <t>yes</t>
        </is>
      </c>
      <c r="U45" s="245" t="n">
        <v>10.08573150634766</v>
      </c>
      <c r="V45" s="174">
        <f>1</f>
        <v/>
      </c>
      <c r="W45" s="246">
        <f>IF(U45&lt;&gt;"",U45*V45,"")</f>
        <v/>
      </c>
      <c r="X45" s="246">
        <f>IF(AND(U45&lt;&gt;"",S45="yes"),U45*V45,"")</f>
        <v/>
      </c>
    </row>
    <row r="46">
      <c r="D46" s="88" t="n"/>
      <c r="F46" s="89" t="n"/>
      <c r="S46" s="45" t="inlineStr"/>
      <c r="U46" s="245" t="inlineStr"/>
      <c r="V46" s="174">
        <f>1</f>
        <v/>
      </c>
      <c r="W46" s="246">
        <f>IF(U46&lt;&gt;"",U46*V46,"")</f>
        <v/>
      </c>
      <c r="X46" s="246">
        <f>IF(AND(U46&lt;&gt;"",S46="yes"),U46*V46,"")</f>
        <v/>
      </c>
    </row>
    <row r="47" ht="16" customHeight="1">
      <c r="A47" s="75" t="inlineStr">
        <is>
          <t>select_one edu</t>
        </is>
      </c>
      <c r="B47" s="75" t="inlineStr">
        <is>
          <t>hh_education</t>
        </is>
      </c>
      <c r="C47" s="44" t="inlineStr">
        <is>
          <t xml:space="preserve">What is the educational level attained by the head of household? </t>
        </is>
      </c>
      <c r="D47" s="88" t="n"/>
      <c r="E47" s="75" t="n"/>
      <c r="F47" s="89" t="n"/>
      <c r="G47" s="120" t="inlineStr">
        <is>
          <t>true</t>
        </is>
      </c>
      <c r="H47" s="120" t="n"/>
      <c r="I47" s="120" t="n"/>
      <c r="J47" s="120" t="n"/>
      <c r="K47" s="120" t="n"/>
      <c r="L47" s="120" t="n"/>
      <c r="M47" s="120" t="n"/>
      <c r="N47" s="120" t="n"/>
      <c r="S47" s="45" t="inlineStr">
        <is>
          <t>yes</t>
        </is>
      </c>
      <c r="U47" s="245" t="n">
        <v>12.89403438568115</v>
      </c>
      <c r="V47" s="174">
        <f>1</f>
        <v/>
      </c>
      <c r="W47" s="246">
        <f>IF(U47&lt;&gt;"",U47*V47,"")</f>
        <v/>
      </c>
      <c r="X47" s="246">
        <f>IF(AND(U47&lt;&gt;"",S47="yes"),U47*V47,"")</f>
        <v/>
      </c>
    </row>
    <row r="48">
      <c r="D48" s="88" t="n"/>
      <c r="F48" s="89" t="n"/>
      <c r="S48" s="45" t="inlineStr"/>
      <c r="U48" s="245" t="inlineStr"/>
      <c r="V48" s="174">
        <f>1</f>
        <v/>
      </c>
      <c r="W48" s="246">
        <f>IF(U48&lt;&gt;"",U48*V48,"")</f>
        <v/>
      </c>
      <c r="X48" s="246">
        <f>IF(AND(U48&lt;&gt;"",S48="yes"),U48*V48,"")</f>
        <v/>
      </c>
    </row>
    <row r="49" ht="16" customFormat="1" customHeight="1" s="76">
      <c r="A49" s="76" t="inlineStr">
        <is>
          <t>select_one water</t>
        </is>
      </c>
      <c r="B49" s="76" t="inlineStr">
        <is>
          <t>hh_wealth_water</t>
        </is>
      </c>
      <c r="C49" s="47" t="inlineStr">
        <is>
          <t>Where does the water that you drink at home come from?</t>
        </is>
      </c>
      <c r="D49" s="99" t="n"/>
      <c r="E49" s="100" t="n"/>
      <c r="F49" s="101" t="n"/>
      <c r="G49" s="127" t="inlineStr">
        <is>
          <t>true</t>
        </is>
      </c>
      <c r="H49" s="132" t="n"/>
      <c r="I49" s="132" t="n"/>
      <c r="J49" s="132" t="n"/>
      <c r="K49" s="132" t="n"/>
      <c r="L49" s="132" t="n"/>
      <c r="M49" s="132" t="n"/>
      <c r="N49" s="132" t="n"/>
      <c r="S49" s="76" t="inlineStr">
        <is>
          <t>yes</t>
        </is>
      </c>
      <c r="U49" s="245" t="n">
        <v>15.26582908630371</v>
      </c>
      <c r="V49" s="174">
        <f>1</f>
        <v/>
      </c>
      <c r="W49" s="246">
        <f>IF(U49&lt;&gt;"",U49*V49,"")</f>
        <v/>
      </c>
      <c r="X49" s="246">
        <f>IF(AND(U49&lt;&gt;"",S49="yes"),U49*V49,"")</f>
        <v/>
      </c>
    </row>
    <row r="50" ht="16" customFormat="1" customHeight="1" s="76">
      <c r="A50" s="76" t="inlineStr">
        <is>
          <t>select_one toilet</t>
        </is>
      </c>
      <c r="B50" s="76" t="inlineStr">
        <is>
          <t>hh_wealth_toilet</t>
        </is>
      </c>
      <c r="C50" s="47" t="inlineStr">
        <is>
          <t>Where do household members typically go to use the toilet?</t>
        </is>
      </c>
      <c r="D50" s="99" t="n"/>
      <c r="E50" s="100" t="n"/>
      <c r="F50" s="101" t="n"/>
      <c r="G50" s="127" t="inlineStr">
        <is>
          <t>true</t>
        </is>
      </c>
      <c r="H50" s="132" t="n"/>
      <c r="I50" s="132" t="n"/>
      <c r="J50" s="132" t="n"/>
      <c r="K50" s="132" t="n"/>
      <c r="L50" s="132" t="n"/>
      <c r="M50" s="132" t="n"/>
      <c r="N50" s="132" t="n"/>
      <c r="S50" s="76" t="inlineStr">
        <is>
          <t>yes</t>
        </is>
      </c>
      <c r="U50" s="245" t="n">
        <v>15.12371826171875</v>
      </c>
      <c r="V50" s="174">
        <f>1</f>
        <v/>
      </c>
      <c r="W50" s="246">
        <f>IF(U50&lt;&gt;"",U50*V50,"")</f>
        <v/>
      </c>
      <c r="X50" s="246">
        <f>IF(AND(U50&lt;&gt;"",S50="yes"),U50*V50,"")</f>
        <v/>
      </c>
    </row>
    <row r="51" ht="16" customFormat="1" customHeight="1" s="76">
      <c r="A51" s="76" t="inlineStr">
        <is>
          <t>select_one light</t>
        </is>
      </c>
      <c r="B51" s="76" t="inlineStr">
        <is>
          <t>hh_wealth_light</t>
        </is>
      </c>
      <c r="C51" s="47" t="inlineStr">
        <is>
          <t>What is the main source of light in your dwelling?</t>
        </is>
      </c>
      <c r="D51" s="99" t="n"/>
      <c r="E51" s="100" t="n"/>
      <c r="F51" s="101" t="n"/>
      <c r="G51" s="127" t="inlineStr">
        <is>
          <t>true</t>
        </is>
      </c>
      <c r="H51" s="132" t="n"/>
      <c r="I51" s="132" t="n"/>
      <c r="J51" s="132" t="n"/>
      <c r="K51" s="132" t="n"/>
      <c r="L51" s="132" t="n"/>
      <c r="M51" s="132" t="n"/>
      <c r="N51" s="132" t="n"/>
      <c r="S51" s="76" t="inlineStr">
        <is>
          <t>yes</t>
        </is>
      </c>
      <c r="U51" s="245" t="n">
        <v>13.76013851165771</v>
      </c>
      <c r="V51" s="174">
        <f>1</f>
        <v/>
      </c>
      <c r="W51" s="246">
        <f>IF(U51&lt;&gt;"",U51*V51,"")</f>
        <v/>
      </c>
      <c r="X51" s="246">
        <f>IF(AND(U51&lt;&gt;"",S51="yes"),U51*V51,"")</f>
        <v/>
      </c>
    </row>
    <row r="52" customFormat="1" s="76">
      <c r="C52" s="47" t="n"/>
      <c r="D52" s="99" t="n"/>
      <c r="E52" s="100" t="n"/>
      <c r="F52" s="101" t="n"/>
      <c r="G52" s="132" t="n"/>
      <c r="H52" s="132" t="n"/>
      <c r="I52" s="132" t="n"/>
      <c r="J52" s="132" t="n"/>
      <c r="K52" s="132" t="n"/>
      <c r="L52" s="132" t="n"/>
      <c r="M52" s="132" t="n"/>
      <c r="N52" s="132" t="n"/>
      <c r="S52" s="76" t="inlineStr"/>
      <c r="U52" s="245" t="inlineStr"/>
      <c r="V52" s="174">
        <f>1</f>
        <v/>
      </c>
      <c r="W52" s="246">
        <f>IF(U52&lt;&gt;"",U52*V52,"")</f>
        <v/>
      </c>
      <c r="X52" s="246">
        <f>IF(AND(U52&lt;&gt;"",S52="yes"),U52*V52,"")</f>
        <v/>
      </c>
    </row>
    <row r="53" ht="16" customFormat="1" customHeight="1" s="77">
      <c r="A53" s="77" t="inlineStr">
        <is>
          <t>select_one residence</t>
        </is>
      </c>
      <c r="B53" s="77" t="inlineStr">
        <is>
          <t>hh_residencetype</t>
        </is>
      </c>
      <c r="C53" s="78" t="inlineStr">
        <is>
          <t>Which in the following types of residence best describes your residence?</t>
        </is>
      </c>
      <c r="D53" s="79" t="n"/>
      <c r="E53" s="77" t="inlineStr">
        <is>
          <t>[INSTRUCTIONS: READ OUT THE OPTIONS.]
[HINT: IF RESPONDENT IS ONLY AWAY FROM THE HOUSEHOLD FOR SHORT SEASONAL WORK (&lt;6 MONTHS) OR TRANSHUMANCE, MAKE SURE TO REFER TO THEIR HOUSEHOLD BACK WHERE THEY TYPICALLY ARE LOCATED.]</t>
        </is>
      </c>
      <c r="F53" s="83" t="n"/>
      <c r="G53" s="121" t="inlineStr">
        <is>
          <t>true</t>
        </is>
      </c>
      <c r="H53" s="121" t="n"/>
      <c r="I53" s="121" t="n"/>
      <c r="J53" s="121" t="n"/>
      <c r="K53" s="121" t="n"/>
      <c r="L53" s="121" t="n"/>
      <c r="M53" s="121" t="n"/>
      <c r="N53" s="121" t="n"/>
      <c r="S53" s="77" t="inlineStr">
        <is>
          <t>no</t>
        </is>
      </c>
      <c r="U53" s="245" t="n">
        <v>30.64618873596191</v>
      </c>
      <c r="V53" s="174">
        <f>1</f>
        <v/>
      </c>
      <c r="W53" s="246">
        <f>IF(U53&lt;&gt;"",U53*V53,"")</f>
        <v/>
      </c>
      <c r="X53" s="246">
        <f>IF(AND(U53&lt;&gt;"",S53="yes"),U53*V53,"")</f>
        <v/>
      </c>
      <c r="Y53" s="76" t="n"/>
    </row>
    <row r="54" ht="16" customFormat="1" customHeight="1" s="77">
      <c r="A54" s="77" t="inlineStr">
        <is>
          <t>integer</t>
        </is>
      </c>
      <c r="B54" s="77" t="inlineStr">
        <is>
          <t>hh_size</t>
        </is>
      </c>
      <c r="C54" s="78" t="inlineStr">
        <is>
          <t>How many people are part of the household?</t>
        </is>
      </c>
      <c r="D54" s="79" t="n"/>
      <c r="E54" s="77" t="inlineStr">
        <is>
          <t>[INSTRUCTIONS: RECORD NUMBER OF MEMBERS IN HOUSEHOLD. ENTER 888 FOR DON'T KNOW &amp; 999 FOR REFUSED.]
[HINT: TO BE A PART OF THE SAME HOUSEHOLD, MEMBERS MUST LIVE UNDER THE SAME ROOF, SHARE THE SAME RESOURCES &amp; EAT FROM THE SAME POT.]</t>
        </is>
      </c>
      <c r="F54" s="83" t="n"/>
      <c r="G54" s="121" t="inlineStr">
        <is>
          <t>true</t>
        </is>
      </c>
      <c r="H54" s="121" t="n"/>
      <c r="I54" s="121" t="inlineStr">
        <is>
          <t xml:space="preserve">(. &gt;= 1 and . &lt;= 50) or . = 888 or . = 999 </t>
        </is>
      </c>
      <c r="J54" s="121" t="n"/>
      <c r="K54" s="121" t="n"/>
      <c r="L54" s="121" t="n"/>
      <c r="M54" s="121" t="n"/>
      <c r="N54" s="121" t="n"/>
      <c r="S54" s="77" t="inlineStr">
        <is>
          <t>no</t>
        </is>
      </c>
      <c r="U54" s="245" t="n">
        <v>15.21184825897217</v>
      </c>
      <c r="V54" s="174">
        <f>1</f>
        <v/>
      </c>
      <c r="W54" s="246">
        <f>IF(U54&lt;&gt;"",U54*V54,"")</f>
        <v/>
      </c>
      <c r="X54" s="246">
        <f>IF(AND(U54&lt;&gt;"",S54="yes"),U54*V54,"")</f>
        <v/>
      </c>
      <c r="Y54" s="76" t="n"/>
    </row>
    <row r="55" ht="16" customFormat="1" customHeight="1" s="77">
      <c r="A55" s="77" t="inlineStr">
        <is>
          <t>select_multiple asset_prod</t>
        </is>
      </c>
      <c r="B55" s="77" t="inlineStr">
        <is>
          <t>hh_asset_prod</t>
        </is>
      </c>
      <c r="C55" s="78" t="inlineStr">
        <is>
          <t xml:space="preserve">Does your household own any of the following productive assets? </t>
        </is>
      </c>
      <c r="D55" s="79" t="n"/>
      <c r="E55" s="77" t="inlineStr">
        <is>
          <t>[INSTRUCTIONS: MULTIPLE RESPONSES POSSIBLE. READ ANSWER OPTIONS OUT LOUD.]</t>
        </is>
      </c>
      <c r="F55" s="83" t="n"/>
      <c r="G55" s="121" t="inlineStr">
        <is>
          <t>true</t>
        </is>
      </c>
      <c r="H55" s="121" t="n"/>
      <c r="I55" s="121" t="inlineStr">
        <is>
          <t>if(selected(.,'none') or selected(.,'dk') or selected(.,'ref'), count-selected(.) = 1, count-selected(.) &gt;= 1)</t>
        </is>
      </c>
      <c r="J55" s="121" t="n"/>
      <c r="K55" s="121" t="n"/>
      <c r="L55" s="121" t="n"/>
      <c r="M55" s="121" t="n"/>
      <c r="N55" s="121" t="n"/>
      <c r="S55" s="77" t="inlineStr">
        <is>
          <t>no</t>
        </is>
      </c>
      <c r="U55" s="245" t="n">
        <v>17</v>
      </c>
      <c r="V55" s="174">
        <f>1</f>
        <v/>
      </c>
      <c r="W55" s="246">
        <f>IF(U55&lt;&gt;"",U55*V55,"")</f>
        <v/>
      </c>
      <c r="X55" s="246">
        <f>IF(AND(U55&lt;&gt;"",S55="yes"),U55*V55,"")</f>
        <v/>
      </c>
      <c r="Y55" s="76" t="n"/>
    </row>
    <row r="56" ht="16" customFormat="1" customHeight="1" s="77">
      <c r="A56" s="77" t="inlineStr">
        <is>
          <t>select_multiple asset_transp</t>
        </is>
      </c>
      <c r="B56" s="77" t="inlineStr">
        <is>
          <t>hh_asset_transp</t>
        </is>
      </c>
      <c r="C56" s="78" t="inlineStr">
        <is>
          <t xml:space="preserve">Do you or any member of household own any of the following transportation assets? </t>
        </is>
      </c>
      <c r="D56" s="79" t="n"/>
      <c r="E56" s="77" t="inlineStr">
        <is>
          <t>[INSTRUCTIONS: MULTIPLE RESPONSES POSSIBLE. READ ANSWER OPTIONS OUT LOUD.]</t>
        </is>
      </c>
      <c r="F56" s="83" t="n"/>
      <c r="G56" s="121" t="inlineStr">
        <is>
          <t>true</t>
        </is>
      </c>
      <c r="H56" s="121" t="n"/>
      <c r="I56" s="121" t="inlineStr">
        <is>
          <t>if(selected(.,'none') or selected(.,'dk') or selected(.,'ref'), count-selected(.) = 1, count-selected(.) &gt;= 1)</t>
        </is>
      </c>
      <c r="J56" s="121" t="n"/>
      <c r="K56" s="121" t="n"/>
      <c r="L56" s="121" t="n"/>
      <c r="M56" s="121" t="n"/>
      <c r="N56" s="121" t="n"/>
      <c r="S56" s="77" t="inlineStr">
        <is>
          <t>no</t>
        </is>
      </c>
      <c r="U56" s="245" t="n">
        <v>17</v>
      </c>
      <c r="V56" s="174">
        <f>1</f>
        <v/>
      </c>
      <c r="W56" s="246">
        <f>IF(U56&lt;&gt;"",U56*V56,"")</f>
        <v/>
      </c>
      <c r="X56" s="246">
        <f>IF(AND(U56&lt;&gt;"",S56="yes"),U56*V56,"")</f>
        <v/>
      </c>
      <c r="Y56" s="76" t="n"/>
    </row>
    <row r="57" ht="16" customFormat="1" customHeight="1" s="77">
      <c r="A57" s="77" t="inlineStr">
        <is>
          <t>select_one maritalstat</t>
        </is>
      </c>
      <c r="B57" s="77" t="inlineStr">
        <is>
          <t>hh_maritalstat</t>
        </is>
      </c>
      <c r="C57" s="78" t="inlineStr">
        <is>
          <t xml:space="preserve">What is the head of household’s current marital status? </t>
        </is>
      </c>
      <c r="D57" s="79" t="n"/>
      <c r="F57" s="83" t="n"/>
      <c r="G57" s="121" t="inlineStr">
        <is>
          <t>true</t>
        </is>
      </c>
      <c r="H57" s="121" t="n"/>
      <c r="I57" s="121" t="n"/>
      <c r="J57" s="121" t="n"/>
      <c r="K57" s="121" t="n"/>
      <c r="L57" s="121" t="n"/>
      <c r="M57" s="121" t="n"/>
      <c r="N57" s="121" t="n"/>
      <c r="S57" s="77" t="inlineStr">
        <is>
          <t>no</t>
        </is>
      </c>
      <c r="U57" s="245" t="n">
        <v>17</v>
      </c>
      <c r="V57" s="174">
        <f>1</f>
        <v/>
      </c>
      <c r="W57" s="246">
        <f>IF(U57&lt;&gt;"",U57*V57,"")</f>
        <v/>
      </c>
      <c r="X57" s="246">
        <f>IF(AND(U57&lt;&gt;"",S57="yes"),U57*V57,"")</f>
        <v/>
      </c>
      <c r="Y57" s="76" t="n"/>
    </row>
    <row r="58" ht="16" customFormat="1" customHeight="1" s="77">
      <c r="A58" s="77" t="inlineStr">
        <is>
          <t>select_one agegroup</t>
        </is>
      </c>
      <c r="B58" s="77" t="inlineStr">
        <is>
          <t>hh_age</t>
        </is>
      </c>
      <c r="C58" s="78" t="inlineStr">
        <is>
          <t xml:space="preserve">How old is the head of household? </t>
        </is>
      </c>
      <c r="D58" s="79" t="n"/>
      <c r="F58" s="83" t="n"/>
      <c r="G58" s="121" t="inlineStr">
        <is>
          <t>true</t>
        </is>
      </c>
      <c r="H58" s="121" t="n"/>
      <c r="I58" s="121" t="n"/>
      <c r="J58" s="121" t="n"/>
      <c r="K58" s="121" t="n"/>
      <c r="L58" s="121" t="n"/>
      <c r="M58" s="121" t="n"/>
      <c r="N58" s="121" t="n"/>
      <c r="S58" s="77" t="inlineStr">
        <is>
          <t>no</t>
        </is>
      </c>
      <c r="U58" s="245" t="n">
        <v>8.228806495666504</v>
      </c>
      <c r="V58" s="174">
        <f>1</f>
        <v/>
      </c>
      <c r="W58" s="246">
        <f>IF(U58&lt;&gt;"",U58*V58,"")</f>
        <v/>
      </c>
      <c r="X58" s="246">
        <f>IF(AND(U58&lt;&gt;"",S58="yes"),U58*V58,"")</f>
        <v/>
      </c>
      <c r="Y58" s="76" t="n"/>
    </row>
    <row r="59" customFormat="1" s="77">
      <c r="C59" s="78" t="n"/>
      <c r="D59" s="79" t="n"/>
      <c r="F59" s="83" t="n"/>
      <c r="G59" s="121" t="n"/>
      <c r="H59" s="121" t="n"/>
      <c r="I59" s="121" t="n"/>
      <c r="J59" s="121" t="n"/>
      <c r="K59" s="121" t="n"/>
      <c r="L59" s="121" t="n"/>
      <c r="M59" s="121" t="n"/>
      <c r="N59" s="121" t="n"/>
      <c r="S59" s="77" t="inlineStr"/>
      <c r="U59" s="245" t="inlineStr"/>
      <c r="V59" s="174">
        <f>1</f>
        <v/>
      </c>
      <c r="W59" s="246">
        <f>IF(U59&lt;&gt;"",U59*V59,"")</f>
        <v/>
      </c>
      <c r="X59" s="246">
        <f>IF(AND(U59&lt;&gt;"",S59="yes"),U59*V59,"")</f>
        <v/>
      </c>
      <c r="Y59" s="76" t="n"/>
    </row>
    <row r="60" ht="16" customHeight="1" thickBot="1">
      <c r="A60" s="102" t="inlineStr">
        <is>
          <t>end_group</t>
        </is>
      </c>
      <c r="B60" s="102" t="n"/>
      <c r="C60" s="103" t="n"/>
      <c r="D60" s="112" t="n"/>
      <c r="E60" s="102" t="n"/>
      <c r="F60" s="113" t="n"/>
      <c r="G60" s="133" t="n"/>
      <c r="H60" s="133" t="n"/>
      <c r="I60" s="133" t="n"/>
      <c r="J60" s="133" t="n"/>
      <c r="K60" s="133" t="n"/>
      <c r="L60" s="133" t="n"/>
      <c r="M60" s="133" t="n"/>
      <c r="N60" s="133" t="n"/>
      <c r="S60" s="45" t="inlineStr"/>
      <c r="U60" s="245" t="inlineStr"/>
      <c r="V60" s="174">
        <f>1</f>
        <v/>
      </c>
      <c r="W60" s="246">
        <f>IF(U60&lt;&gt;"",U60*V60,"")</f>
        <v/>
      </c>
      <c r="X60" s="246">
        <f>IF(AND(U60&lt;&gt;"",S60="yes"),U60*V60,"")</f>
        <v/>
      </c>
    </row>
    <row r="61" ht="17" customFormat="1" customHeight="1" s="73" thickTop="1">
      <c r="A61" s="82" t="inlineStr">
        <is>
          <t>begin_group</t>
        </is>
      </c>
      <c r="B61" s="82" t="inlineStr">
        <is>
          <t>Income_Shocks_group</t>
        </is>
      </c>
      <c r="C61" s="104" t="inlineStr">
        <is>
          <t>INCOME SOURCES, LIVELIHOODS AND SHOCKS</t>
        </is>
      </c>
      <c r="D61" s="179" t="n"/>
      <c r="E61" s="82" t="n"/>
      <c r="F61" s="180" t="n"/>
      <c r="G61" s="134" t="inlineStr">
        <is>
          <t>false</t>
        </is>
      </c>
      <c r="H61" s="134" t="n"/>
      <c r="I61" s="134" t="n"/>
      <c r="J61" s="134" t="n"/>
      <c r="K61" s="134" t="inlineStr">
        <is>
          <t>${resp_agree} = '1' and ${hh_agricactivity} != '5' and ${hh_agricactivity} != '6'</t>
        </is>
      </c>
      <c r="L61" s="134" t="n"/>
      <c r="M61" s="134" t="n"/>
      <c r="N61" s="134" t="n"/>
      <c r="S61" s="45" t="inlineStr">
        <is>
          <t>yes</t>
        </is>
      </c>
      <c r="U61" s="245" t="n"/>
      <c r="V61" s="174">
        <f>1</f>
        <v/>
      </c>
      <c r="W61" s="246">
        <f>IF(U61&lt;&gt;"",U61*V61,"")</f>
        <v/>
      </c>
      <c r="X61" s="246">
        <f>IF(AND(U61&lt;&gt;"",S61="yes"),U61*V61,"")</f>
        <v/>
      </c>
      <c r="Y61" s="74" t="n"/>
    </row>
    <row r="62">
      <c r="D62" s="88" t="n"/>
      <c r="F62" s="89" t="n"/>
      <c r="S62" s="45" t="inlineStr"/>
      <c r="U62" s="245" t="inlineStr"/>
      <c r="V62" s="174">
        <f>1</f>
        <v/>
      </c>
      <c r="W62" s="246">
        <f>IF(U62&lt;&gt;"",U62*V62,"")</f>
        <v/>
      </c>
      <c r="X62" s="246">
        <f>IF(AND(U62&lt;&gt;"",S62="yes"),U62*V62,"")</f>
        <v/>
      </c>
    </row>
    <row r="63" ht="16" customHeight="1">
      <c r="A63" s="80" t="inlineStr">
        <is>
          <t>select_one incomesource1</t>
        </is>
      </c>
      <c r="B63" s="80" t="inlineStr">
        <is>
          <t>income_main</t>
        </is>
      </c>
      <c r="C63" s="81" t="inlineStr">
        <is>
          <t>What was your household's main source of income in the past 3 months?</t>
        </is>
      </c>
      <c r="D63" s="99" t="n"/>
      <c r="E63" s="76" t="inlineStr">
        <is>
          <t>[INSTRUCTIONS: REFUSED OPTIONS SHOULD BE AVOIDED AS MUCH AS POSSIBLE.]</t>
        </is>
      </c>
      <c r="F63" s="101" t="n"/>
      <c r="G63" s="122" t="inlineStr">
        <is>
          <t>true</t>
        </is>
      </c>
      <c r="H63" s="122" t="inlineStr">
        <is>
          <t>minimal</t>
        </is>
      </c>
      <c r="I63" s="122" t="n"/>
      <c r="J63" s="122" t="n"/>
      <c r="K63" s="122" t="n"/>
      <c r="L63" s="122" t="n"/>
      <c r="M63" s="122" t="n"/>
      <c r="N63" s="122" t="n"/>
      <c r="S63" s="45" t="inlineStr">
        <is>
          <t>yes</t>
        </is>
      </c>
      <c r="U63" s="245" t="n">
        <v>36.92873382568359</v>
      </c>
      <c r="V63" s="174">
        <f>1</f>
        <v/>
      </c>
      <c r="W63" s="246">
        <f>IF(U63&lt;&gt;"",U63*V63,"")</f>
        <v/>
      </c>
      <c r="X63" s="246">
        <f>IF(AND(U63&lt;&gt;"",S63="yes"),U63*V63,"")</f>
        <v/>
      </c>
    </row>
    <row r="64">
      <c r="A64" s="80" t="inlineStr">
        <is>
          <t>calculate</t>
        </is>
      </c>
      <c r="B64" s="80" t="inlineStr">
        <is>
          <t>incomemain</t>
        </is>
      </c>
      <c r="C64" s="81" t="n"/>
      <c r="D64" s="99" t="n"/>
      <c r="E64" s="76" t="n"/>
      <c r="F64" s="101" t="n"/>
      <c r="G64" s="122" t="n"/>
      <c r="H64" s="122" t="n"/>
      <c r="I64" s="122" t="n"/>
      <c r="J64" s="122" t="n"/>
      <c r="K64" s="122" t="n"/>
      <c r="L64" s="122" t="n"/>
      <c r="M64" s="122" t="n"/>
      <c r="N64" s="122" t="inlineStr">
        <is>
          <t>jr:choice-name(${income_main},'${income_main}')</t>
        </is>
      </c>
      <c r="S64" s="45" t="inlineStr">
        <is>
          <t>yes</t>
        </is>
      </c>
      <c r="U64" s="245" t="n"/>
      <c r="V64" s="174">
        <f>1</f>
        <v/>
      </c>
      <c r="W64" s="246">
        <f>IF(U64&lt;&gt;"",U64*V64,"")</f>
        <v/>
      </c>
      <c r="X64" s="246">
        <f>IF(AND(U64&lt;&gt;"",S64="yes"),U64*V64,"")</f>
        <v/>
      </c>
    </row>
    <row r="65" ht="16" customHeight="1">
      <c r="A65" s="80" t="inlineStr">
        <is>
          <t>select_one yes_no</t>
        </is>
      </c>
      <c r="B65" s="80" t="inlineStr">
        <is>
          <t>income_main_crop_check</t>
        </is>
      </c>
      <c r="C65" s="81" t="inlineStr">
        <is>
          <t>Are the crops sold also produced by you or anyone in your household?</t>
        </is>
      </c>
      <c r="D65" s="99" t="n"/>
      <c r="E65" s="76" t="n"/>
      <c r="F65" s="101" t="n"/>
      <c r="G65" s="122" t="inlineStr">
        <is>
          <t>true</t>
        </is>
      </c>
      <c r="H65" s="122" t="n"/>
      <c r="I65" s="122" t="n"/>
      <c r="J65" s="122" t="n"/>
      <c r="K65" s="122" t="inlineStr">
        <is>
          <t xml:space="preserve">${income_main} = '1' or ${income_main} = '2' or ${income_main} = '3' </t>
        </is>
      </c>
      <c r="L65" s="122" t="n"/>
      <c r="M65" s="122" t="n"/>
      <c r="N65" s="122" t="n"/>
      <c r="S65" s="45" t="inlineStr">
        <is>
          <t>yes</t>
        </is>
      </c>
      <c r="U65" s="245" t="n">
        <v>0</v>
      </c>
      <c r="V65" s="174">
        <f>1</f>
        <v/>
      </c>
      <c r="W65" s="246">
        <f>IF(U65&lt;&gt;"",U65*V65,"")</f>
        <v/>
      </c>
      <c r="X65" s="246">
        <f>IF(AND(U65&lt;&gt;"",S65="yes"),U65*V65,"")</f>
        <v/>
      </c>
    </row>
    <row r="66" ht="32" customHeight="1">
      <c r="A66" s="80" t="inlineStr">
        <is>
          <t>select_one yes_no</t>
        </is>
      </c>
      <c r="B66" s="80" t="inlineStr">
        <is>
          <t>income_main_ls_check</t>
        </is>
      </c>
      <c r="C66" s="81" t="inlineStr">
        <is>
          <t>Are the livestock or livestock products sold also produced by you or anyone in your household?</t>
        </is>
      </c>
      <c r="D66" s="99" t="n"/>
      <c r="E66" s="76" t="n"/>
      <c r="F66" s="101" t="n"/>
      <c r="G66" s="122" t="inlineStr">
        <is>
          <t>true</t>
        </is>
      </c>
      <c r="H66" s="122" t="n"/>
      <c r="I66" s="122" t="n"/>
      <c r="J66" s="122" t="n"/>
      <c r="K66" s="122" t="inlineStr">
        <is>
          <t>${income_main} = '4'</t>
        </is>
      </c>
      <c r="L66" s="122" t="n"/>
      <c r="M66" s="122" t="n"/>
      <c r="N66" s="122" t="n"/>
      <c r="S66" s="45" t="inlineStr">
        <is>
          <t>yes</t>
        </is>
      </c>
      <c r="U66" s="245" t="n">
        <v>0</v>
      </c>
      <c r="V66" s="174">
        <f>1</f>
        <v/>
      </c>
      <c r="W66" s="246">
        <f>IF(U66&lt;&gt;"",U66*V66,"")</f>
        <v/>
      </c>
      <c r="X66" s="246">
        <f>IF(AND(U66&lt;&gt;"",S66="yes"),U66*V66,"")</f>
        <v/>
      </c>
    </row>
    <row r="67" ht="32" customHeight="1">
      <c r="A67" s="80" t="inlineStr">
        <is>
          <t>select_one yes_no</t>
        </is>
      </c>
      <c r="B67" s="80" t="inlineStr">
        <is>
          <t>income_main_fish_check</t>
        </is>
      </c>
      <c r="C67" s="81" t="inlineStr">
        <is>
          <t>Are the fish or aquatic products sold also captured/harvested by you or anyone in your household?</t>
        </is>
      </c>
      <c r="D67" s="99" t="n"/>
      <c r="E67" s="76" t="n"/>
      <c r="F67" s="101" t="n"/>
      <c r="G67" s="122" t="inlineStr">
        <is>
          <t>true</t>
        </is>
      </c>
      <c r="H67" s="122" t="n"/>
      <c r="I67" s="122" t="n"/>
      <c r="J67" s="122" t="n"/>
      <c r="K67" s="122" t="inlineStr">
        <is>
          <t>${income_main} = '6'</t>
        </is>
      </c>
      <c r="L67" s="122" t="n"/>
      <c r="M67" s="122" t="n"/>
      <c r="N67" s="122" t="n"/>
      <c r="S67" s="45" t="inlineStr">
        <is>
          <t>yes</t>
        </is>
      </c>
      <c r="U67" s="245" t="n">
        <v>0</v>
      </c>
      <c r="V67" s="174">
        <f>1</f>
        <v/>
      </c>
      <c r="W67" s="246">
        <f>IF(U67&lt;&gt;"",U67*V67,"")</f>
        <v/>
      </c>
      <c r="X67" s="246">
        <f>IF(AND(U67&lt;&gt;"",S67="yes"),U67*V67,"")</f>
        <v/>
      </c>
    </row>
    <row r="68">
      <c r="D68" s="88" t="n"/>
      <c r="F68" s="89" t="n"/>
      <c r="S68" s="45" t="inlineStr"/>
      <c r="U68" s="245" t="inlineStr"/>
      <c r="V68" s="174">
        <f>1</f>
        <v/>
      </c>
      <c r="W68" s="246">
        <f>IF(U68&lt;&gt;"",U68*V68,"")</f>
        <v/>
      </c>
      <c r="X68" s="246">
        <f>IF(AND(U68&lt;&gt;"",S68="yes"),U68*V68,"")</f>
        <v/>
      </c>
    </row>
    <row r="69" ht="16" customFormat="1" customHeight="1" s="77">
      <c r="A69" s="77" t="inlineStr">
        <is>
          <t>decimal</t>
        </is>
      </c>
      <c r="B69" s="77" t="inlineStr">
        <is>
          <t>income_main_amount</t>
        </is>
      </c>
      <c r="C69" s="78" t="inlineStr">
        <is>
          <t>IBRAHIM</t>
        </is>
      </c>
      <c r="D69" s="79" t="n"/>
      <c r="E69" s="77" t="inlineStr">
        <is>
          <t>[INSTRUCTIONS: MAKE SURE THE INFORMATION IS RECORDED IN THE CORRECT CURRENCY. ENTER 888 FOR DON'T KNOW AND 999 FOR REFUSED.]</t>
        </is>
      </c>
      <c r="F69" s="83" t="n"/>
      <c r="G69" s="121" t="inlineStr">
        <is>
          <t>true</t>
        </is>
      </c>
      <c r="H69" s="121" t="n"/>
      <c r="I69" s="121" t="inlineStr">
        <is>
          <t>. &gt; #MIN AMOUNT# or . = 888 or . = 999</t>
        </is>
      </c>
      <c r="J69" s="121" t="n"/>
      <c r="K69" s="121" t="inlineStr">
        <is>
          <t>${income_main} != '19' and ${income_main} != '20'</t>
        </is>
      </c>
      <c r="L69" s="121" t="n"/>
      <c r="M69" s="121" t="n"/>
      <c r="N69" s="121" t="n"/>
      <c r="S69" s="77" t="inlineStr">
        <is>
          <t>no</t>
        </is>
      </c>
      <c r="U69" s="245" t="n">
        <v>40.04731750488281</v>
      </c>
      <c r="V69" s="174">
        <f>1</f>
        <v/>
      </c>
      <c r="W69" s="246">
        <f>IF(U69&lt;&gt;"",U69*V69,"")</f>
        <v/>
      </c>
      <c r="X69" s="246">
        <f>IF(AND(U69&lt;&gt;"",S69="yes"),U69*V69,"")</f>
        <v/>
      </c>
      <c r="Y69" s="76" t="n"/>
    </row>
    <row r="70" customFormat="1" s="77">
      <c r="A70" s="77" t="inlineStr">
        <is>
          <t>select_one continue</t>
        </is>
      </c>
      <c r="B70" s="77" t="inlineStr">
        <is>
          <t>income_main_amount_conf</t>
        </is>
      </c>
      <c r="C70" s="77" t="inlineStr">
        <is>
          <t>Can you confirm the amount of income you just stated is correct?</t>
        </is>
      </c>
      <c r="D70" s="83" t="n"/>
      <c r="E70" s="77" t="inlineStr">
        <is>
          <t>[INSTRUCTIONS: IF THE RESPONDENT CONFIRMS THAT THE INCOME AMOUNT EARNED FROM THIS INCOME SOURCE OVER THE PAST 3 MONTH IS INDEED OVER #THRESHOLD#, CLICK ON CONTINUE. OTHERWISE, GO BACK AND CHANGE THE AMOUNT ENTERED.]</t>
        </is>
      </c>
      <c r="F70" s="83" t="n"/>
      <c r="G70" s="121" t="inlineStr">
        <is>
          <t>false</t>
        </is>
      </c>
      <c r="H70" s="121" t="n"/>
      <c r="I70" s="121" t="n"/>
      <c r="J70" s="121" t="n"/>
      <c r="K70" s="121" t="inlineStr">
        <is>
          <t xml:space="preserve">${income_main_amount} &gt; #THRESHOLD# and (${income_main} != '19' and ${income_main} != '20') </t>
        </is>
      </c>
      <c r="L70" s="121" t="n"/>
      <c r="M70" s="121" t="n"/>
      <c r="N70" s="121" t="n"/>
      <c r="S70" s="77" t="inlineStr">
        <is>
          <t>no</t>
        </is>
      </c>
      <c r="U70" s="245" t="n">
        <v>3.687011003494263</v>
      </c>
      <c r="V70" s="174">
        <f>1</f>
        <v/>
      </c>
      <c r="W70" s="246">
        <f>IF(U70&lt;&gt;"",U70*V70,"")</f>
        <v/>
      </c>
      <c r="X70" s="246">
        <f>IF(AND(U70&lt;&gt;"",S70="yes"),U70*V70,"")</f>
        <v/>
      </c>
      <c r="Y70" s="76" t="n"/>
    </row>
    <row r="71">
      <c r="D71" s="83" t="n"/>
      <c r="F71" s="83" t="n"/>
    </row>
    <row r="72" customFormat="1" s="80">
      <c r="A72" s="80" t="inlineStr">
        <is>
          <t>select_one gender_inc_1</t>
        </is>
      </c>
      <c r="B72" s="80" t="inlineStr">
        <is>
          <t>income_main_gender</t>
        </is>
      </c>
      <c r="C72" s="80" t="inlineStr">
        <is>
          <t xml:space="preserve">What is the gender of the household member(s) generating income from this source? </t>
        </is>
      </c>
      <c r="D72" s="101" t="n"/>
      <c r="F72" s="101" t="n"/>
      <c r="G72" s="122" t="inlineStr">
        <is>
          <t>true</t>
        </is>
      </c>
      <c r="H72" s="122" t="n"/>
      <c r="I72" s="122" t="n"/>
      <c r="J72" s="122" t="n"/>
      <c r="K72" s="122" t="inlineStr">
        <is>
          <t>${income_main} != '19' and ${income_main} != '20'</t>
        </is>
      </c>
      <c r="L72" s="122" t="n"/>
      <c r="M72" s="122" t="n"/>
      <c r="N72" s="122" t="n"/>
      <c r="S72" s="80" t="inlineStr">
        <is>
          <t>yes</t>
        </is>
      </c>
      <c r="U72" s="253" t="n"/>
      <c r="V72" s="221" t="n"/>
      <c r="W72" s="254" t="n"/>
      <c r="X72" s="254" t="n"/>
    </row>
    <row r="73" customFormat="1" s="80">
      <c r="A73" s="80" t="inlineStr">
        <is>
          <t>select_one gender_inc_2</t>
        </is>
      </c>
      <c r="B73" s="80" t="inlineStr">
        <is>
          <t>income_main_control</t>
        </is>
      </c>
      <c r="C73" s="80" t="inlineStr">
        <is>
          <t xml:space="preserve">Who controls the revenue that is earned from this source? </t>
        </is>
      </c>
      <c r="D73" s="101" t="n"/>
      <c r="F73" s="101" t="n"/>
      <c r="G73" s="122" t="inlineStr">
        <is>
          <t>true</t>
        </is>
      </c>
      <c r="H73" s="122" t="n"/>
      <c r="I73" s="122" t="n"/>
      <c r="J73" s="122" t="n"/>
      <c r="K73" s="122" t="inlineStr">
        <is>
          <t>${income_main} != '19' and ${income_main} != '20'</t>
        </is>
      </c>
      <c r="L73" s="122" t="n"/>
      <c r="M73" s="122" t="n"/>
      <c r="N73" s="122" t="n"/>
      <c r="S73" s="80" t="inlineStr">
        <is>
          <t>yes</t>
        </is>
      </c>
      <c r="U73" s="253" t="n"/>
      <c r="V73" s="221" t="n"/>
      <c r="W73" s="254" t="n"/>
      <c r="X73" s="254" t="n"/>
    </row>
    <row r="74">
      <c r="D74" s="88" t="n"/>
      <c r="F74" s="89" t="n"/>
      <c r="S74" s="45" t="inlineStr"/>
      <c r="U74" s="245" t="inlineStr"/>
      <c r="V74" s="174">
        <f>1</f>
        <v/>
      </c>
      <c r="W74" s="246">
        <f>IF(U74&lt;&gt;"",U74*V74,"")</f>
        <v/>
      </c>
      <c r="X74" s="246">
        <f>IF(AND(U74&lt;&gt;"",S74="yes"),U74*V74,"")</f>
        <v/>
      </c>
    </row>
    <row r="75" ht="16" customHeight="1">
      <c r="A75" s="80" t="inlineStr">
        <is>
          <t>select_one change</t>
        </is>
      </c>
      <c r="B75" s="80" t="inlineStr">
        <is>
          <t>income_main_comp</t>
        </is>
      </c>
      <c r="C75" s="81" t="inlineStr">
        <is>
          <t>IBRAHIM TEST</t>
        </is>
      </c>
      <c r="D75" s="99" t="n"/>
      <c r="E75" s="80" t="n"/>
      <c r="F75" s="101" t="n"/>
      <c r="G75" s="122" t="inlineStr">
        <is>
          <t>true</t>
        </is>
      </c>
      <c r="H75" s="122" t="n"/>
      <c r="I75" s="122" t="n"/>
      <c r="J75" s="122" t="n"/>
      <c r="K75" s="122" t="inlineStr">
        <is>
          <t>${income_main} != '19' and ${income_main} != '20'</t>
        </is>
      </c>
      <c r="L75" s="122" t="n"/>
      <c r="M75" s="122" t="n"/>
      <c r="N75" s="122" t="n"/>
      <c r="S75" s="45" t="inlineStr">
        <is>
          <t>yes</t>
        </is>
      </c>
      <c r="U75" s="245" t="n">
        <v>27.24216651916504</v>
      </c>
      <c r="V75" s="174">
        <f>1</f>
        <v/>
      </c>
      <c r="W75" s="246">
        <f>IF(U75&lt;&gt;"",U75*V75,"")</f>
        <v/>
      </c>
      <c r="X75" s="246">
        <f>IF(AND(U75&lt;&gt;"",S75="yes"),U75*V75,"")</f>
        <v/>
      </c>
    </row>
    <row r="76">
      <c r="D76" s="88" t="n"/>
      <c r="F76" s="89" t="n"/>
      <c r="S76" s="45" t="inlineStr"/>
      <c r="U76" s="245" t="inlineStr"/>
      <c r="V76" s="174">
        <f>1</f>
        <v/>
      </c>
      <c r="W76" s="246">
        <f>IF(U76&lt;&gt;"",U76*V76,"")</f>
        <v/>
      </c>
      <c r="X76" s="246">
        <f>IF(AND(U76&lt;&gt;"",S76="yes"),U76*V76,"")</f>
        <v/>
      </c>
    </row>
    <row r="77" ht="32" customHeight="1">
      <c r="A77" s="80" t="inlineStr">
        <is>
          <t>select_one incomesource2</t>
        </is>
      </c>
      <c r="B77" s="80" t="inlineStr">
        <is>
          <t>income_sec</t>
        </is>
      </c>
      <c r="C77" s="81" t="inlineStr">
        <is>
          <t>What was your household's second most important source of income in the past 3 months?</t>
        </is>
      </c>
      <c r="D77" s="99" t="n"/>
      <c r="E77" s="76" t="inlineStr">
        <is>
          <t>[INSTRUCTIONS: DON'T KNOW AND REFUSED OPTIONS SHOULD BE AVOIDED AS MUCH AS POSSIBLE.]</t>
        </is>
      </c>
      <c r="F77" s="101" t="n"/>
      <c r="G77" s="122" t="inlineStr">
        <is>
          <t>true</t>
        </is>
      </c>
      <c r="H77" s="122" t="inlineStr">
        <is>
          <t>minimal</t>
        </is>
      </c>
      <c r="I77" s="122" t="n"/>
      <c r="J77" s="122" t="n"/>
      <c r="K77" s="122" t="inlineStr">
        <is>
          <t>${income_main} != '19' and ${income_main} != '20'</t>
        </is>
      </c>
      <c r="L77" s="122" t="inlineStr">
        <is>
          <t>not(selected(${income_main}, name))</t>
        </is>
      </c>
      <c r="M77" s="122" t="n"/>
      <c r="N77" s="122" t="n"/>
      <c r="S77" s="45" t="inlineStr">
        <is>
          <t>yes</t>
        </is>
      </c>
      <c r="U77" s="245" t="n">
        <v>25.30800437927246</v>
      </c>
      <c r="V77" s="174">
        <f>1</f>
        <v/>
      </c>
      <c r="W77" s="246">
        <f>IF(U77&lt;&gt;"",U77*V77,"")</f>
        <v/>
      </c>
      <c r="X77" s="246">
        <f>IF(AND(U77&lt;&gt;"",S77="yes"),U77*V77,"")</f>
        <v/>
      </c>
    </row>
    <row r="78">
      <c r="A78" s="80" t="inlineStr">
        <is>
          <t>calculate</t>
        </is>
      </c>
      <c r="B78" s="80" t="inlineStr">
        <is>
          <t>incomesec</t>
        </is>
      </c>
      <c r="C78" s="81" t="n"/>
      <c r="D78" s="99" t="n"/>
      <c r="E78" s="76" t="n"/>
      <c r="F78" s="101" t="n"/>
      <c r="G78" s="122" t="n"/>
      <c r="H78" s="122" t="n"/>
      <c r="I78" s="122" t="n"/>
      <c r="J78" s="122" t="n"/>
      <c r="K78" s="122" t="n"/>
      <c r="L78" s="122" t="n"/>
      <c r="M78" s="122" t="n"/>
      <c r="N78" s="122" t="inlineStr">
        <is>
          <t>jr:choice-name(${income_sec},'${income_sec}')</t>
        </is>
      </c>
      <c r="S78" s="45" t="inlineStr">
        <is>
          <t>yes</t>
        </is>
      </c>
      <c r="U78" s="245" t="n"/>
      <c r="V78" s="174">
        <f>1</f>
        <v/>
      </c>
      <c r="W78" s="246">
        <f>IF(U78&lt;&gt;"",U78*V78,"")</f>
        <v/>
      </c>
      <c r="X78" s="246">
        <f>IF(AND(U78&lt;&gt;"",S78="yes"),U78*V78,"")</f>
        <v/>
      </c>
    </row>
    <row r="79" ht="16" customHeight="1">
      <c r="A79" s="80" t="inlineStr">
        <is>
          <t>select_one yes_no</t>
        </is>
      </c>
      <c r="B79" s="80" t="inlineStr">
        <is>
          <t>income_sec_crop_check</t>
        </is>
      </c>
      <c r="C79" s="81" t="inlineStr">
        <is>
          <t>Are the crops sold also produced by you or anyone in your household?</t>
        </is>
      </c>
      <c r="D79" s="99" t="n"/>
      <c r="E79" s="76" t="n"/>
      <c r="F79" s="101" t="n"/>
      <c r="G79" s="122" t="inlineStr">
        <is>
          <t>true</t>
        </is>
      </c>
      <c r="H79" s="122" t="n"/>
      <c r="I79" s="122" t="n"/>
      <c r="J79" s="122" t="n"/>
      <c r="K79" s="122" t="inlineStr">
        <is>
          <t xml:space="preserve">${income_sec} = '1' or ${income_sec} = '2' or ${income_sec} = '3' </t>
        </is>
      </c>
      <c r="L79" s="122" t="n"/>
      <c r="M79" s="122" t="n"/>
      <c r="N79" s="122" t="n"/>
      <c r="S79" s="45" t="inlineStr">
        <is>
          <t>yes</t>
        </is>
      </c>
      <c r="U79" s="245" t="n">
        <v>0</v>
      </c>
      <c r="V79" s="174">
        <f>1</f>
        <v/>
      </c>
      <c r="W79" s="246">
        <f>IF(U79&lt;&gt;"",U79*V79,"")</f>
        <v/>
      </c>
      <c r="X79" s="246">
        <f>IF(AND(U79&lt;&gt;"",S79="yes"),U79*V79,"")</f>
        <v/>
      </c>
    </row>
    <row r="80" ht="32" customHeight="1">
      <c r="A80" s="80" t="inlineStr">
        <is>
          <t>select_one yes_no</t>
        </is>
      </c>
      <c r="B80" s="80" t="inlineStr">
        <is>
          <t>income_sec_ls_check</t>
        </is>
      </c>
      <c r="C80" s="81" t="inlineStr">
        <is>
          <t>Are the livestock or livestock products sold also produced by you or anyone in your household?</t>
        </is>
      </c>
      <c r="D80" s="99" t="n"/>
      <c r="E80" s="76" t="n"/>
      <c r="F80" s="101" t="n"/>
      <c r="G80" s="122" t="inlineStr">
        <is>
          <t>true</t>
        </is>
      </c>
      <c r="H80" s="122" t="n"/>
      <c r="I80" s="122" t="n"/>
      <c r="J80" s="122" t="n"/>
      <c r="K80" s="122" t="inlineStr">
        <is>
          <t>${income_sec} = '4'</t>
        </is>
      </c>
      <c r="L80" s="122" t="n"/>
      <c r="M80" s="122" t="n"/>
      <c r="N80" s="122" t="n"/>
      <c r="S80" s="45" t="inlineStr">
        <is>
          <t>yes</t>
        </is>
      </c>
      <c r="U80" s="245" t="n">
        <v>0</v>
      </c>
      <c r="V80" s="174">
        <f>1</f>
        <v/>
      </c>
      <c r="W80" s="246">
        <f>IF(U80&lt;&gt;"",U80*V80,"")</f>
        <v/>
      </c>
      <c r="X80" s="246">
        <f>IF(AND(U80&lt;&gt;"",S80="yes"),U80*V80,"")</f>
        <v/>
      </c>
    </row>
    <row r="81" ht="32" customHeight="1">
      <c r="A81" s="80" t="inlineStr">
        <is>
          <t>select_one yes_no</t>
        </is>
      </c>
      <c r="B81" s="80" t="inlineStr">
        <is>
          <t>income_sec_fish_check</t>
        </is>
      </c>
      <c r="C81" s="81" t="inlineStr">
        <is>
          <t>Are the fish or aquatic products sold also captured/harvested by you or anyone in your household?</t>
        </is>
      </c>
      <c r="D81" s="99" t="n"/>
      <c r="E81" s="76" t="n"/>
      <c r="F81" s="101" t="n"/>
      <c r="G81" s="122" t="inlineStr">
        <is>
          <t>true</t>
        </is>
      </c>
      <c r="H81" s="122" t="n"/>
      <c r="I81" s="122" t="n"/>
      <c r="J81" s="122" t="n"/>
      <c r="K81" s="122" t="inlineStr">
        <is>
          <t>${income_sec} = '6'</t>
        </is>
      </c>
      <c r="L81" s="122" t="n"/>
      <c r="M81" s="122" t="n"/>
      <c r="N81" s="122" t="n"/>
      <c r="S81" s="45" t="inlineStr">
        <is>
          <t>yes</t>
        </is>
      </c>
      <c r="U81" s="245" t="n">
        <v>0</v>
      </c>
      <c r="V81" s="174">
        <f>1</f>
        <v/>
      </c>
      <c r="W81" s="246">
        <f>IF(U81&lt;&gt;"",U81*V81,"")</f>
        <v/>
      </c>
      <c r="X81" s="246">
        <f>IF(AND(U81&lt;&gt;"",S81="yes"),U81*V81,"")</f>
        <v/>
      </c>
    </row>
    <row r="82">
      <c r="D82" s="88" t="n"/>
      <c r="F82" s="89" t="n"/>
      <c r="S82" s="45" t="inlineStr"/>
      <c r="U82" s="245" t="inlineStr"/>
      <c r="V82" s="174">
        <f>1</f>
        <v/>
      </c>
      <c r="W82" s="246">
        <f>IF(U82&lt;&gt;"",U82*V82,"")</f>
        <v/>
      </c>
      <c r="X82" s="246">
        <f>IF(AND(U82&lt;&gt;"",S82="yes"),U82*V82,"")</f>
        <v/>
      </c>
    </row>
    <row r="83" ht="16" customFormat="1" customHeight="1" s="77">
      <c r="A83" s="77" t="inlineStr">
        <is>
          <t>decimal</t>
        </is>
      </c>
      <c r="B83" s="77" t="inlineStr">
        <is>
          <t>income_sec_amount</t>
        </is>
      </c>
      <c r="C83" s="81" t="inlineStr">
        <is>
          <t>IBRAHIM TEST</t>
        </is>
      </c>
      <c r="D83" s="79" t="n"/>
      <c r="E83" s="77" t="inlineStr">
        <is>
          <t>[INSTRUCTIONS: MAKE SURE THE INFORMATION IS RECORDED IN THE CORRECT CURRENCY. ENTER 888 FOR DON'T KNOW AND 999 FOR REFUSED.]</t>
        </is>
      </c>
      <c r="F83" s="83" t="n"/>
      <c r="G83" s="121" t="inlineStr">
        <is>
          <t>true</t>
        </is>
      </c>
      <c r="H83" s="121" t="n"/>
      <c r="I83" s="121" t="inlineStr">
        <is>
          <t>. &gt; #MIN AMOUNT# or . = 888 or . = 999</t>
        </is>
      </c>
      <c r="J83" s="121" t="n"/>
      <c r="K83" s="121" t="inlineStr">
        <is>
          <t xml:space="preserve">${income_main} != '19' and ${income_main} != '20' and ${income_sec} != '19' and ${income_sec} != '20' and ${income_sec} != '21' </t>
        </is>
      </c>
      <c r="L83" s="121" t="n"/>
      <c r="M83" s="121" t="n"/>
      <c r="N83" s="121" t="n"/>
      <c r="S83" s="77" t="inlineStr">
        <is>
          <t>no</t>
        </is>
      </c>
      <c r="U83" s="245" t="n">
        <v>30.82847023010254</v>
      </c>
      <c r="V83" s="174">
        <f>1</f>
        <v/>
      </c>
      <c r="W83" s="246">
        <f>IF(U83&lt;&gt;"",U83*V83,"")</f>
        <v/>
      </c>
      <c r="X83" s="246">
        <f>IF(AND(U83&lt;&gt;"",S83="yes"),U83*V83,"")</f>
        <v/>
      </c>
      <c r="Y83" s="76" t="n"/>
    </row>
    <row r="84" customFormat="1" s="77">
      <c r="A84" s="77" t="inlineStr">
        <is>
          <t>select_one continue</t>
        </is>
      </c>
      <c r="B84" s="77" t="inlineStr">
        <is>
          <t>income_sec_amount_conf</t>
        </is>
      </c>
      <c r="C84" s="77" t="inlineStr">
        <is>
          <t>Can you confirm the amount of income you just stated is correct?</t>
        </is>
      </c>
      <c r="D84" s="79" t="n"/>
      <c r="E84" s="77" t="inlineStr">
        <is>
          <t>[INSTRUCTIONS: IF THE RESPONDENT CONFIRMS THAT THE INCOME AMOUNT EARNED FROM THIS INCOME SOURCE OVER THE PAST 3 MONTH IS INDEED OVER #THRESHOLD#, CLICK ON CONTINUE. OTHERWISE, GO BACK AND CHANGE THE AMOUNT ENTERED.]</t>
        </is>
      </c>
      <c r="F84" s="83" t="n"/>
      <c r="G84" s="121" t="inlineStr">
        <is>
          <t>false</t>
        </is>
      </c>
      <c r="H84" s="121" t="n"/>
      <c r="I84" s="121" t="n"/>
      <c r="J84" s="121" t="n"/>
      <c r="K84" s="121" t="inlineStr">
        <is>
          <t>${income_sec_amount} &gt; #THRESHOLD# and (${income_main} != '19' and ${income_main} != '20' and ${income_sec} != '19' and ${income_sec} != '20' and ${income_sec} != '21')</t>
        </is>
      </c>
      <c r="L84" s="121" t="n"/>
      <c r="M84" s="121" t="n"/>
      <c r="N84" s="121" t="n"/>
      <c r="S84" s="77" t="inlineStr">
        <is>
          <t>no</t>
        </is>
      </c>
      <c r="U84" s="245" t="n">
        <v>2.29411768913269</v>
      </c>
      <c r="V84" s="174">
        <f>1</f>
        <v/>
      </c>
      <c r="W84" s="246">
        <f>IF(U84&lt;&gt;"",U84*V84,"")</f>
        <v/>
      </c>
      <c r="X84" s="246">
        <f>IF(AND(U84&lt;&gt;"",S84="yes"),U84*V84,"")</f>
        <v/>
      </c>
      <c r="Y84" s="76" t="n"/>
    </row>
    <row r="85" customFormat="1" s="77">
      <c r="C85" s="78" t="n"/>
      <c r="D85" s="79" t="n"/>
      <c r="F85" s="83" t="n"/>
      <c r="G85" s="121" t="n"/>
      <c r="H85" s="121" t="n"/>
      <c r="I85" s="121" t="n"/>
      <c r="J85" s="121" t="n"/>
      <c r="K85" s="121" t="n"/>
      <c r="L85" s="121" t="n"/>
      <c r="M85" s="121" t="n"/>
      <c r="N85" s="121" t="n"/>
      <c r="S85" s="77" t="inlineStr"/>
      <c r="U85" s="245" t="inlineStr"/>
      <c r="V85" s="174">
        <f>1</f>
        <v/>
      </c>
      <c r="W85" s="246">
        <f>IF(U85&lt;&gt;"",U85*V85,"")</f>
        <v/>
      </c>
      <c r="X85" s="246">
        <f>IF(AND(U85&lt;&gt;"",S85="yes"),U85*V85,"")</f>
        <v/>
      </c>
      <c r="Y85" s="76" t="n"/>
    </row>
    <row r="86" customFormat="1" s="77">
      <c r="A86" s="77" t="inlineStr">
        <is>
          <t>select_one gender_inc_1</t>
        </is>
      </c>
      <c r="B86" s="77" t="inlineStr">
        <is>
          <t>income_sec_gender</t>
        </is>
      </c>
      <c r="C86" s="77" t="inlineStr">
        <is>
          <t xml:space="preserve">What is the gender of the household member(s) generating income from this source? </t>
        </is>
      </c>
      <c r="D86" s="83" t="n"/>
      <c r="F86" s="83" t="n"/>
      <c r="G86" s="121" t="inlineStr">
        <is>
          <t>true</t>
        </is>
      </c>
      <c r="H86" s="121" t="n"/>
      <c r="I86" s="121" t="n"/>
      <c r="J86" s="121" t="n"/>
      <c r="K86" s="121" t="inlineStr">
        <is>
          <t xml:space="preserve">${income_main} != '19' and ${income_main} != '20' and ${income_sec} != '19' and ${income_sec} != '20' and ${income_sec} != '21' </t>
        </is>
      </c>
      <c r="L86" s="121" t="n"/>
      <c r="M86" s="121" t="n"/>
      <c r="N86" s="121" t="n"/>
      <c r="S86" s="77" t="inlineStr">
        <is>
          <t>no</t>
        </is>
      </c>
      <c r="U86" s="245" t="n"/>
      <c r="V86" s="174" t="n"/>
      <c r="W86" s="246" t="n"/>
      <c r="X86" s="246" t="n"/>
      <c r="Y86" s="76" t="n"/>
    </row>
    <row r="87" customFormat="1" s="77">
      <c r="A87" s="77" t="inlineStr">
        <is>
          <t>select_one gender_inc_2</t>
        </is>
      </c>
      <c r="B87" s="77" t="inlineStr">
        <is>
          <t>income_sec_control</t>
        </is>
      </c>
      <c r="C87" s="77" t="inlineStr">
        <is>
          <t xml:space="preserve">Who controls the revenue that is earned from this source? </t>
        </is>
      </c>
      <c r="D87" s="83" t="n"/>
      <c r="F87" s="83" t="n"/>
      <c r="G87" s="121" t="inlineStr">
        <is>
          <t>true</t>
        </is>
      </c>
      <c r="H87" s="121" t="n"/>
      <c r="I87" s="121" t="n"/>
      <c r="J87" s="121" t="n"/>
      <c r="K87" s="121" t="inlineStr">
        <is>
          <t xml:space="preserve">${income_main} != '19' and ${income_main} != '20' and ${income_sec} != '19' and ${income_sec} != '20' and ${income_sec} != '21' </t>
        </is>
      </c>
      <c r="L87" s="121" t="n"/>
      <c r="M87" s="121" t="n"/>
      <c r="N87" s="121" t="n"/>
      <c r="S87" s="77" t="inlineStr">
        <is>
          <t>no</t>
        </is>
      </c>
      <c r="U87" s="245" t="n"/>
      <c r="V87" s="174" t="n"/>
      <c r="W87" s="246" t="n"/>
      <c r="X87" s="246" t="n"/>
      <c r="Y87" s="76" t="n"/>
    </row>
    <row r="88" customFormat="1" s="77">
      <c r="C88" s="78" t="n"/>
      <c r="D88" s="79" t="n"/>
      <c r="F88" s="83" t="n"/>
      <c r="G88" s="121" t="n"/>
      <c r="H88" s="121" t="n"/>
      <c r="I88" s="121" t="n"/>
      <c r="J88" s="121" t="n"/>
      <c r="K88" s="121" t="n"/>
      <c r="L88" s="121" t="n"/>
      <c r="M88" s="121" t="n"/>
      <c r="N88" s="121" t="n"/>
      <c r="S88" s="77" t="inlineStr"/>
      <c r="U88" s="245" t="inlineStr"/>
      <c r="V88" s="174">
        <f>1</f>
        <v/>
      </c>
      <c r="W88" s="246">
        <f>IF(U88&lt;&gt;"",U88*V88,"")</f>
        <v/>
      </c>
      <c r="X88" s="246">
        <f>IF(AND(U88&lt;&gt;"",S88="yes"),U88*V88,"")</f>
        <v/>
      </c>
      <c r="Y88" s="76" t="n"/>
    </row>
    <row r="89" ht="16" customHeight="1">
      <c r="A89" s="80" t="inlineStr">
        <is>
          <t>select_one change</t>
        </is>
      </c>
      <c r="B89" s="80" t="inlineStr">
        <is>
          <t>income_sec_comp</t>
        </is>
      </c>
      <c r="C89" s="81" t="inlineStr">
        <is>
          <t>IBRAHIM TEST</t>
        </is>
      </c>
      <c r="D89" s="99" t="n"/>
      <c r="E89" s="80" t="n"/>
      <c r="F89" s="101" t="n"/>
      <c r="G89" s="122" t="inlineStr">
        <is>
          <t>true</t>
        </is>
      </c>
      <c r="H89" s="122" t="n"/>
      <c r="I89" s="122" t="n"/>
      <c r="J89" s="122" t="n"/>
      <c r="K89" s="122" t="inlineStr">
        <is>
          <t xml:space="preserve">${income_main} != '19' and ${income_main} != '20' and ${income_sec} != '19' and ${income_sec} != '20' and ${income_sec} != '21' </t>
        </is>
      </c>
      <c r="L89" s="122" t="n"/>
      <c r="M89" s="122" t="n"/>
      <c r="N89" s="122" t="n"/>
      <c r="S89" s="45" t="inlineStr">
        <is>
          <t>yes</t>
        </is>
      </c>
      <c r="U89" s="245" t="n">
        <v>21.19325637817383</v>
      </c>
      <c r="V89" s="174">
        <f>1</f>
        <v/>
      </c>
      <c r="W89" s="246">
        <f>IF(U89&lt;&gt;"",U89*V89,"")</f>
        <v/>
      </c>
      <c r="X89" s="246">
        <f>IF(AND(U89&lt;&gt;"",S89="yes"),U89*V89,"")</f>
        <v/>
      </c>
    </row>
    <row r="90">
      <c r="D90" s="88" t="n"/>
      <c r="F90" s="89" t="n"/>
      <c r="K90" s="132" t="n"/>
      <c r="S90" s="45" t="inlineStr"/>
      <c r="U90" s="245" t="inlineStr"/>
      <c r="V90" s="174">
        <f>1</f>
        <v/>
      </c>
      <c r="W90" s="246">
        <f>IF(U90&lt;&gt;"",U90*V90,"")</f>
        <v/>
      </c>
      <c r="X90" s="246">
        <f>IF(AND(U90&lt;&gt;"",S90="yes"),U90*V90,"")</f>
        <v/>
      </c>
    </row>
    <row r="91">
      <c r="A91" s="80" t="inlineStr">
        <is>
          <t>select_one incomesource3</t>
        </is>
      </c>
      <c r="B91" s="80" t="inlineStr">
        <is>
          <t>income_third</t>
        </is>
      </c>
      <c r="C91" s="80" t="inlineStr">
        <is>
          <t>What was your household's third most important source of income in the past 3 months?</t>
        </is>
      </c>
      <c r="D91" s="101" t="n"/>
      <c r="E91" s="76" t="inlineStr">
        <is>
          <t>[INSTRUCTIONS: DON'T KNOW AND REFUSED OPTIONS SHOULD BE AVOIDED AS MUCH AS POSSIBLE.]</t>
        </is>
      </c>
      <c r="F91" s="101" t="n"/>
      <c r="G91" s="122" t="inlineStr">
        <is>
          <t>true</t>
        </is>
      </c>
      <c r="H91" s="122" t="inlineStr">
        <is>
          <t>minimal</t>
        </is>
      </c>
      <c r="I91" s="122" t="n"/>
      <c r="J91" s="122" t="n"/>
      <c r="K91" s="122" t="inlineStr">
        <is>
          <t xml:space="preserve">${income_main} != '19' and ${income_main} != '20' and ${income_sec} != '19' and ${income_sec} != '20' and ${income_sec} != '21' </t>
        </is>
      </c>
      <c r="L91" s="122" t="inlineStr">
        <is>
          <t>not(selected(${income_main}, name) or selected(${income_sec}, name))</t>
        </is>
      </c>
      <c r="M91" s="122" t="n"/>
      <c r="N91" s="122" t="n"/>
      <c r="S91" s="45" t="inlineStr">
        <is>
          <t>yes</t>
        </is>
      </c>
      <c r="U91" s="245" t="n">
        <v>20.22992706298828</v>
      </c>
      <c r="V91" s="174">
        <f>1</f>
        <v/>
      </c>
      <c r="W91" s="246">
        <f>IF(U91&lt;&gt;"",U91*V91,"")</f>
        <v/>
      </c>
      <c r="X91" s="246">
        <f>IF(AND(U91&lt;&gt;"",S91="yes"),U91*V91,"")</f>
        <v/>
      </c>
    </row>
    <row r="92">
      <c r="A92" s="80" t="inlineStr">
        <is>
          <t>calculate</t>
        </is>
      </c>
      <c r="B92" s="80" t="inlineStr">
        <is>
          <t>incomethird</t>
        </is>
      </c>
      <c r="C92" s="81" t="n"/>
      <c r="D92" s="99" t="n"/>
      <c r="E92" s="76" t="n"/>
      <c r="F92" s="101" t="n"/>
      <c r="G92" s="122" t="n"/>
      <c r="H92" s="122" t="n"/>
      <c r="I92" s="122" t="n"/>
      <c r="J92" s="122" t="n"/>
      <c r="K92" s="122" t="n"/>
      <c r="L92" s="122" t="n"/>
      <c r="M92" s="122" t="n"/>
      <c r="N92" s="122" t="inlineStr">
        <is>
          <t>jr:choice-name(${income_third},'${income_third}')</t>
        </is>
      </c>
      <c r="S92" s="45" t="inlineStr">
        <is>
          <t>yes</t>
        </is>
      </c>
      <c r="U92" s="245" t="n"/>
      <c r="V92" s="174">
        <f>1</f>
        <v/>
      </c>
      <c r="W92" s="246">
        <f>IF(U92&lt;&gt;"",U92*V92,"")</f>
        <v/>
      </c>
      <c r="X92" s="246">
        <f>IF(AND(U92&lt;&gt;"",S92="yes"),U92*V92,"")</f>
        <v/>
      </c>
    </row>
    <row r="93" ht="16" customHeight="1">
      <c r="A93" s="80" t="inlineStr">
        <is>
          <t>select_one yes_no</t>
        </is>
      </c>
      <c r="B93" s="80" t="inlineStr">
        <is>
          <t>income_third_crop_check</t>
        </is>
      </c>
      <c r="C93" s="81" t="inlineStr">
        <is>
          <t>Are the crops sold also produced by you or anyone in your household?</t>
        </is>
      </c>
      <c r="D93" s="99" t="n"/>
      <c r="E93" s="76" t="n"/>
      <c r="F93" s="101" t="n"/>
      <c r="G93" s="122" t="inlineStr">
        <is>
          <t>true</t>
        </is>
      </c>
      <c r="H93" s="122" t="n"/>
      <c r="I93" s="122" t="n"/>
      <c r="J93" s="122" t="n"/>
      <c r="K93" s="122" t="inlineStr">
        <is>
          <t xml:space="preserve">${income_third} = '1' or ${income_third} = '2' or ${income_third} = '3' </t>
        </is>
      </c>
      <c r="L93" s="122" t="n"/>
      <c r="M93" s="122" t="n"/>
      <c r="N93" s="122" t="n"/>
      <c r="S93" s="45" t="inlineStr">
        <is>
          <t>yes</t>
        </is>
      </c>
      <c r="U93" s="245" t="n">
        <v>0</v>
      </c>
      <c r="V93" s="174">
        <f>1</f>
        <v/>
      </c>
      <c r="W93" s="246">
        <f>IF(U93&lt;&gt;"",U93*V93,"")</f>
        <v/>
      </c>
      <c r="X93" s="246">
        <f>IF(AND(U93&lt;&gt;"",S93="yes"),U93*V93,"")</f>
        <v/>
      </c>
    </row>
    <row r="94" ht="32" customHeight="1">
      <c r="A94" s="80" t="inlineStr">
        <is>
          <t>select_one yes_no</t>
        </is>
      </c>
      <c r="B94" s="80" t="inlineStr">
        <is>
          <t>income_third_ls_check</t>
        </is>
      </c>
      <c r="C94" s="81" t="inlineStr">
        <is>
          <t>Are the livestock or livestock products sold also produced by you or anyone in your household?</t>
        </is>
      </c>
      <c r="D94" s="99" t="n"/>
      <c r="E94" s="76" t="n"/>
      <c r="F94" s="101" t="n"/>
      <c r="G94" s="122" t="inlineStr">
        <is>
          <t>true</t>
        </is>
      </c>
      <c r="H94" s="122" t="n"/>
      <c r="I94" s="122" t="n"/>
      <c r="J94" s="122" t="n"/>
      <c r="K94" s="122" t="inlineStr">
        <is>
          <t>${income_third} = '4'</t>
        </is>
      </c>
      <c r="L94" s="122" t="n"/>
      <c r="M94" s="122" t="n"/>
      <c r="N94" s="122" t="n"/>
      <c r="S94" s="45" t="inlineStr">
        <is>
          <t>yes</t>
        </is>
      </c>
      <c r="U94" s="245" t="n">
        <v>0</v>
      </c>
      <c r="V94" s="174">
        <f>1</f>
        <v/>
      </c>
      <c r="W94" s="246">
        <f>IF(U94&lt;&gt;"",U94*V94,"")</f>
        <v/>
      </c>
      <c r="X94" s="246">
        <f>IF(AND(U94&lt;&gt;"",S94="yes"),U94*V94,"")</f>
        <v/>
      </c>
    </row>
    <row r="95" ht="32" customHeight="1">
      <c r="A95" s="80" t="inlineStr">
        <is>
          <t>select_one yes_no</t>
        </is>
      </c>
      <c r="B95" s="80" t="inlineStr">
        <is>
          <t>income_third_fish_check</t>
        </is>
      </c>
      <c r="C95" s="81" t="inlineStr">
        <is>
          <t>Are the fish or aquatic products sold also captured/harvested by you or anyone in your household?</t>
        </is>
      </c>
      <c r="D95" s="99" t="n"/>
      <c r="E95" s="76" t="n"/>
      <c r="F95" s="101" t="n"/>
      <c r="G95" s="122" t="inlineStr">
        <is>
          <t>true</t>
        </is>
      </c>
      <c r="H95" s="122" t="n"/>
      <c r="I95" s="122" t="n"/>
      <c r="J95" s="122" t="n"/>
      <c r="K95" s="122" t="inlineStr">
        <is>
          <t>${income_third} = '6'</t>
        </is>
      </c>
      <c r="L95" s="122" t="n"/>
      <c r="M95" s="122" t="n"/>
      <c r="N95" s="122" t="n"/>
      <c r="S95" s="45" t="inlineStr">
        <is>
          <t>yes</t>
        </is>
      </c>
      <c r="U95" s="245" t="n">
        <v>0</v>
      </c>
      <c r="V95" s="174">
        <f>1</f>
        <v/>
      </c>
      <c r="W95" s="246">
        <f>IF(U95&lt;&gt;"",U95*V95,"")</f>
        <v/>
      </c>
      <c r="X95" s="246">
        <f>IF(AND(U95&lt;&gt;"",S95="yes"),U95*V95,"")</f>
        <v/>
      </c>
    </row>
    <row r="96">
      <c r="D96" s="88" t="n"/>
      <c r="F96" s="89" t="n"/>
      <c r="S96" s="45" t="inlineStr"/>
      <c r="U96" s="245" t="inlineStr"/>
      <c r="V96" s="174">
        <f>1</f>
        <v/>
      </c>
      <c r="W96" s="246">
        <f>IF(U96&lt;&gt;"",U96*V96,"")</f>
        <v/>
      </c>
      <c r="X96" s="246">
        <f>IF(AND(U96&lt;&gt;"",S96="yes"),U96*V96,"")</f>
        <v/>
      </c>
    </row>
    <row r="97" ht="16" customFormat="1" customHeight="1" s="77">
      <c r="A97" s="77" t="inlineStr">
        <is>
          <t>decimal</t>
        </is>
      </c>
      <c r="B97" s="77" t="inlineStr">
        <is>
          <t>income_third_amount</t>
        </is>
      </c>
      <c r="C97" s="81" t="inlineStr">
        <is>
          <t>IBRAHIM TEST</t>
        </is>
      </c>
      <c r="D97" s="79" t="n"/>
      <c r="E97" s="77" t="inlineStr">
        <is>
          <t>[INSTRUCTIONS: MAKE SURE THE INFORMATION IS RECORDED IN THE CORRECT CURRENCY. ENTER 888 FOR DON'T KNOW AND 999 FOR REFUSED.]</t>
        </is>
      </c>
      <c r="F97" s="83" t="n"/>
      <c r="G97" s="121" t="inlineStr">
        <is>
          <t>true</t>
        </is>
      </c>
      <c r="H97" s="121" t="n"/>
      <c r="I97" s="121" t="inlineStr">
        <is>
          <t>. &gt; #MIN AMOUNT# or . = 888 or . = 999</t>
        </is>
      </c>
      <c r="J97" s="121" t="n"/>
      <c r="K97" s="121" t="inlineStr">
        <is>
          <t xml:space="preserve">${income_main} != '19' and ${income_main} != '20' and ${income_sec} != '19' and ${income_sec} != '20' and ${income_sec} != '21' and ${income_third} != '19' and ${income_third} != '20' and ${income_third} != '21' </t>
        </is>
      </c>
      <c r="L97" s="121" t="n"/>
      <c r="M97" s="121" t="n"/>
      <c r="N97" s="121" t="n"/>
      <c r="S97" s="77" t="inlineStr">
        <is>
          <t>no</t>
        </is>
      </c>
      <c r="U97" s="245" t="n">
        <v>29.42983245849609</v>
      </c>
      <c r="V97" s="174">
        <f>1</f>
        <v/>
      </c>
      <c r="W97" s="246">
        <f>IF(U97&lt;&gt;"",U97*V97,"")</f>
        <v/>
      </c>
      <c r="X97" s="246">
        <f>IF(AND(U97&lt;&gt;"",S97="yes"),U97*V97,"")</f>
        <v/>
      </c>
      <c r="Y97" s="76" t="n"/>
    </row>
    <row r="98" customFormat="1" s="77">
      <c r="A98" s="77" t="inlineStr">
        <is>
          <t>select_one continue</t>
        </is>
      </c>
      <c r="B98" s="77" t="inlineStr">
        <is>
          <t>income_third_amount_conf</t>
        </is>
      </c>
      <c r="C98" s="77" t="inlineStr">
        <is>
          <t>Can you confirm the amount of income you just stated is correct?</t>
        </is>
      </c>
      <c r="D98" s="79" t="n"/>
      <c r="E98" s="77" t="inlineStr">
        <is>
          <t>[INSTRUCTIONS: IF THE RESPONDENT CONFIRMS THAT THE INCOME AMOUNT EARNED FROM THIS INCOME SOURCE OVER THE PAST 3 MONTH IS INDEED OVER #THRESHOLD#, CLICK ON CONTINUE. OTHERWISE, GO BACK AND CHANGE THE AMOUNT ENTERED.]</t>
        </is>
      </c>
      <c r="F98" s="105" t="n"/>
      <c r="G98" s="121" t="inlineStr">
        <is>
          <t>false</t>
        </is>
      </c>
      <c r="H98" s="121" t="n"/>
      <c r="I98" s="121" t="n"/>
      <c r="J98" s="121" t="n"/>
      <c r="K98" s="135" t="inlineStr">
        <is>
          <t>${income_third_amount} &gt; #THRESHOLD# and (${income_main} != '19' and ${income_main} != '20' and ${income_sec} != '19' and ${income_sec} != '20' and ${income_sec} != '21' and ${income_third} != '19' and ${income_third} != '20' and ${income_third} != '21' )</t>
        </is>
      </c>
      <c r="L98" s="121" t="n"/>
      <c r="M98" s="121" t="n"/>
      <c r="N98" s="121" t="n"/>
      <c r="S98" s="77" t="inlineStr">
        <is>
          <t>no</t>
        </is>
      </c>
      <c r="U98" s="245" t="n">
        <v>1.555555582046509</v>
      </c>
      <c r="V98" s="174">
        <f>1</f>
        <v/>
      </c>
      <c r="W98" s="246">
        <f>IF(U98&lt;&gt;"",U98*V98,"")</f>
        <v/>
      </c>
      <c r="X98" s="246">
        <f>IF(AND(U98&lt;&gt;"",S98="yes"),U98*V98,"")</f>
        <v/>
      </c>
      <c r="Y98" s="76" t="n"/>
    </row>
    <row r="99" customFormat="1" s="77">
      <c r="C99" s="78" t="n"/>
      <c r="D99" s="79" t="n"/>
      <c r="F99" s="83" t="n"/>
      <c r="G99" s="121" t="n"/>
      <c r="H99" s="121" t="n"/>
      <c r="I99" s="121" t="n"/>
      <c r="J99" s="121" t="n"/>
      <c r="K99" s="121" t="n"/>
      <c r="L99" s="121" t="n"/>
      <c r="M99" s="121" t="n"/>
      <c r="N99" s="121" t="n"/>
      <c r="S99" s="77" t="inlineStr"/>
      <c r="U99" s="245" t="inlineStr"/>
      <c r="V99" s="174">
        <f>1</f>
        <v/>
      </c>
      <c r="W99" s="246">
        <f>IF(U99&lt;&gt;"",U99*V99,"")</f>
        <v/>
      </c>
      <c r="X99" s="246">
        <f>IF(AND(U99&lt;&gt;"",S99="yes"),U99*V99,"")</f>
        <v/>
      </c>
      <c r="Y99" s="76" t="n"/>
    </row>
    <row r="100" customFormat="1" s="77">
      <c r="A100" s="77" t="inlineStr">
        <is>
          <t>select_one gender_inc_1</t>
        </is>
      </c>
      <c r="B100" s="77" t="inlineStr">
        <is>
          <t>income_third_gender</t>
        </is>
      </c>
      <c r="C100" s="77" t="inlineStr">
        <is>
          <t xml:space="preserve">What is the gender of the household member(s) generating income from this source? </t>
        </is>
      </c>
      <c r="D100" s="83" t="n"/>
      <c r="F100" s="83" t="n"/>
      <c r="G100" s="121" t="inlineStr">
        <is>
          <t>true</t>
        </is>
      </c>
      <c r="H100" s="121" t="n"/>
      <c r="I100" s="121" t="n"/>
      <c r="J100" s="121" t="n"/>
      <c r="K100" s="121" t="inlineStr">
        <is>
          <t xml:space="preserve">${income_main} != '19' and ${income_main} != '20' and ${income_sec} != '19' and ${income_sec} != '20' and ${income_sec} != '21' and ${income_third} != '19' and ${income_third} != '20' and ${income_third} != '21' </t>
        </is>
      </c>
      <c r="L100" s="121" t="n"/>
      <c r="M100" s="121" t="n"/>
      <c r="N100" s="121" t="n"/>
      <c r="S100" s="77" t="inlineStr">
        <is>
          <t>no</t>
        </is>
      </c>
      <c r="U100" s="245" t="n"/>
      <c r="V100" s="174" t="n"/>
      <c r="W100" s="246" t="n"/>
      <c r="X100" s="246" t="n"/>
      <c r="Y100" s="76" t="n"/>
    </row>
    <row r="101" customFormat="1" s="77">
      <c r="A101" s="77" t="inlineStr">
        <is>
          <t>select_one gender_inc_2</t>
        </is>
      </c>
      <c r="B101" s="77" t="inlineStr">
        <is>
          <t>income_third_control</t>
        </is>
      </c>
      <c r="C101" s="77" t="inlineStr">
        <is>
          <t xml:space="preserve">Who controls the revenue that is earned from this source? </t>
        </is>
      </c>
      <c r="D101" s="83" t="n"/>
      <c r="F101" s="83" t="n"/>
      <c r="G101" s="121" t="inlineStr">
        <is>
          <t>true</t>
        </is>
      </c>
      <c r="H101" s="121" t="n"/>
      <c r="I101" s="121" t="n"/>
      <c r="J101" s="121" t="n"/>
      <c r="K101" s="121" t="inlineStr">
        <is>
          <t xml:space="preserve">${income_main} != '19' and ${income_main} != '20' and ${income_sec} != '19' and ${income_sec} != '20' and ${income_sec} != '21' and ${income_third} != '19' and ${income_third} != '20' and ${income_third} != '21' </t>
        </is>
      </c>
      <c r="L101" s="121" t="n"/>
      <c r="M101" s="121" t="n"/>
      <c r="N101" s="121" t="n"/>
      <c r="S101" s="77" t="inlineStr">
        <is>
          <t>no</t>
        </is>
      </c>
      <c r="U101" s="245" t="n"/>
      <c r="V101" s="174" t="n"/>
      <c r="W101" s="246" t="n"/>
      <c r="X101" s="246" t="n"/>
      <c r="Y101" s="76" t="n"/>
    </row>
    <row r="102" customFormat="1" s="77">
      <c r="C102" s="78" t="n"/>
      <c r="D102" s="79" t="n"/>
      <c r="F102" s="105" t="n"/>
      <c r="G102" s="121" t="n"/>
      <c r="H102" s="121" t="n"/>
      <c r="I102" s="121" t="n"/>
      <c r="J102" s="121" t="n"/>
      <c r="K102" s="135" t="n"/>
      <c r="L102" s="121" t="n"/>
      <c r="M102" s="121" t="n"/>
      <c r="N102" s="121" t="n"/>
      <c r="S102" s="77" t="inlineStr"/>
      <c r="U102" s="245" t="inlineStr"/>
      <c r="V102" s="174">
        <f>1</f>
        <v/>
      </c>
      <c r="W102" s="246">
        <f>IF(U102&lt;&gt;"",U102*V102,"")</f>
        <v/>
      </c>
      <c r="X102" s="246">
        <f>IF(AND(U102&lt;&gt;"",S102="yes"),U102*V102,"")</f>
        <v/>
      </c>
      <c r="Y102" s="76" t="n"/>
    </row>
    <row r="103" ht="16" customHeight="1">
      <c r="A103" s="80" t="inlineStr">
        <is>
          <t>select_one change</t>
        </is>
      </c>
      <c r="B103" s="80" t="inlineStr">
        <is>
          <t>income_third_comp</t>
        </is>
      </c>
      <c r="C103" s="81" t="inlineStr">
        <is>
          <t>IBRAHIM TEST</t>
        </is>
      </c>
      <c r="D103" s="99" t="n"/>
      <c r="E103" s="80" t="n"/>
      <c r="F103" s="101" t="n"/>
      <c r="G103" s="122" t="inlineStr">
        <is>
          <t>true</t>
        </is>
      </c>
      <c r="H103" s="122" t="n"/>
      <c r="I103" s="122" t="n"/>
      <c r="J103" s="122" t="n"/>
      <c r="K103" s="122" t="inlineStr">
        <is>
          <t xml:space="preserve">${income_main} != '19' and ${income_main} != '20' and ${income_sec} != '19' and ${income_sec} != '20' and ${income_sec} != '21' and ${income_third} != '19' and ${income_third} != '20' and ${income_third} != '21' </t>
        </is>
      </c>
      <c r="L103" s="122" t="n"/>
      <c r="M103" s="122" t="n"/>
      <c r="N103" s="122" t="n"/>
      <c r="S103" s="45" t="inlineStr">
        <is>
          <t>yes</t>
        </is>
      </c>
      <c r="U103" s="245" t="n">
        <v>16.34839630126953</v>
      </c>
      <c r="V103" s="174">
        <f>1</f>
        <v/>
      </c>
      <c r="W103" s="246">
        <f>IF(U103&lt;&gt;"",U103*V103,"")</f>
        <v/>
      </c>
      <c r="X103" s="246">
        <f>IF(AND(U103&lt;&gt;"",S103="yes"),U103*V103,"")</f>
        <v/>
      </c>
    </row>
    <row r="104" customFormat="1" s="77">
      <c r="C104" s="78" t="n"/>
      <c r="D104" s="79" t="n"/>
      <c r="F104" s="83" t="n"/>
      <c r="G104" s="121" t="n"/>
      <c r="H104" s="121" t="n"/>
      <c r="I104" s="121" t="n"/>
      <c r="J104" s="121" t="n"/>
      <c r="K104" s="121" t="n"/>
      <c r="L104" s="121" t="n"/>
      <c r="M104" s="121" t="n"/>
      <c r="N104" s="121" t="n"/>
      <c r="S104" s="77" t="inlineStr"/>
      <c r="U104" s="245" t="inlineStr"/>
      <c r="V104" s="174">
        <f>1</f>
        <v/>
      </c>
      <c r="W104" s="246">
        <f>IF(U104&lt;&gt;"",U104*V104,"")</f>
        <v/>
      </c>
      <c r="X104" s="246">
        <f>IF(AND(U104&lt;&gt;"",S104="yes"),U104*V104,"")</f>
        <v/>
      </c>
      <c r="Y104" s="76" t="n"/>
    </row>
    <row r="105" ht="59.25" customHeight="1">
      <c r="A105" s="80" t="inlineStr">
        <is>
          <t>select_multiple shock</t>
        </is>
      </c>
      <c r="B105" s="80" t="inlineStr">
        <is>
          <t>shock</t>
        </is>
      </c>
      <c r="C105" s="81" t="inlineStr">
        <is>
          <t xml:space="preserve">Has your household or community faced any particular disaster or crisis affecting your household's ability to raise an income and/or to produce food for self consumption in the last 3 months, and if so, which ones? </t>
        </is>
      </c>
      <c r="D105" s="99" t="n"/>
      <c r="E105" s="80" t="inlineStr">
        <is>
          <t>[INSTRUCTIONS: SELECT RELEVANT SHOCKS EXPERIENCED BY THE HOUSEHOLD. MULTIPLE RESPONSES POSSIBLE. REFER TO ECONOMIC SHOCKS, CROP AND LIVESTOCK SHOCKS, INTRA-HOUSEHOLD SHOCK, NATURAL HAZARDS AND HUMAN-INDUCED HAZARDS.]</t>
        </is>
      </c>
      <c r="F105" s="101" t="n"/>
      <c r="G105" s="122" t="inlineStr">
        <is>
          <t>true</t>
        </is>
      </c>
      <c r="H105" s="122" t="n"/>
      <c r="I105" s="122" t="inlineStr">
        <is>
          <t>if(selected(.,'noshock') or selected(.,'dk') or selected(.,'ref'), count-selected(.) = 1, count-selected(.) &gt;= 1)</t>
        </is>
      </c>
      <c r="J105" s="122" t="n"/>
      <c r="K105" s="122" t="n"/>
      <c r="L105" s="122" t="n"/>
      <c r="M105" s="122" t="n"/>
      <c r="N105" s="122" t="n"/>
      <c r="S105" s="45" t="inlineStr">
        <is>
          <t>yes</t>
        </is>
      </c>
      <c r="U105" s="245" t="n">
        <v>46.24752807617188</v>
      </c>
      <c r="V105" s="174">
        <f>1</f>
        <v/>
      </c>
      <c r="W105" s="246">
        <f>IF(U105&lt;&gt;"",U105*V105,"")</f>
        <v/>
      </c>
      <c r="X105" s="246">
        <f>IF(AND(U105&lt;&gt;"",S105="yes"),U105*V105,"")</f>
        <v/>
      </c>
    </row>
    <row r="106">
      <c r="D106" s="88" t="n"/>
      <c r="F106" s="89" t="n"/>
      <c r="S106" s="45" t="inlineStr"/>
      <c r="U106" s="245" t="inlineStr"/>
      <c r="V106" s="174">
        <f>1</f>
        <v/>
      </c>
      <c r="W106" s="246">
        <f>IF(U106&lt;&gt;"",U106*V106,"")</f>
        <v/>
      </c>
      <c r="X106" s="246">
        <f>IF(AND(U106&lt;&gt;"",S106="yes"),U106*V106,"")</f>
        <v/>
      </c>
    </row>
    <row r="107" ht="48" customFormat="1" customHeight="1" s="77">
      <c r="A107" s="77" t="inlineStr">
        <is>
          <t>text</t>
        </is>
      </c>
      <c r="B107" s="77" t="inlineStr">
        <is>
          <t>hh_explanation</t>
        </is>
      </c>
      <c r="C107" s="78" t="inlineStr">
        <is>
          <t>If the household was affected by a major recent shock as indicated in this assessment [for example, an earthquake], what are the [expected] consequences for your household, in your own words?</t>
        </is>
      </c>
      <c r="D107" s="79" t="n"/>
      <c r="E107" s="77" t="inlineStr">
        <is>
          <t>[INSTRUCTIONS: RECORD IN FEW WORDS THE MAIN CONSEQUENCE OF THE RECENT SHOCKS. ENTER 888 FOR DON'T KNOW AND 999 FOR REFUSED.]</t>
        </is>
      </c>
      <c r="F107" s="83" t="n"/>
      <c r="G107" s="121" t="inlineStr">
        <is>
          <t>false</t>
        </is>
      </c>
      <c r="H107" s="121" t="n"/>
      <c r="I107" s="127" t="n"/>
      <c r="J107" s="121" t="n"/>
      <c r="K107" s="121" t="inlineStr">
        <is>
          <t>${shock} != 'noshock' and ${shock} != 'dk' and ${shock} != 'ref'</t>
        </is>
      </c>
      <c r="L107" s="121" t="n"/>
      <c r="M107" s="121" t="n"/>
      <c r="N107" s="121" t="n"/>
      <c r="S107" s="77" t="inlineStr">
        <is>
          <t>no</t>
        </is>
      </c>
      <c r="U107" s="245" t="n">
        <v>26.11878204345703</v>
      </c>
      <c r="V107" s="174">
        <f>1</f>
        <v/>
      </c>
      <c r="W107" s="246">
        <f>IF(U107&lt;&gt;"",U107*V107,"")</f>
        <v/>
      </c>
      <c r="X107" s="246">
        <f>IF(AND(U107&lt;&gt;"",S107="yes"),U107*V107,"")</f>
        <v/>
      </c>
      <c r="Y107" s="76" t="n"/>
    </row>
    <row r="108">
      <c r="D108" s="88" t="n"/>
      <c r="F108" s="89" t="n"/>
      <c r="K108" s="132" t="n"/>
      <c r="S108" s="45" t="inlineStr"/>
      <c r="U108" s="245" t="inlineStr"/>
      <c r="V108" s="174">
        <f>1</f>
        <v/>
      </c>
      <c r="W108" s="246">
        <f>IF(U108&lt;&gt;"",U108*V108,"")</f>
        <v/>
      </c>
      <c r="X108" s="246">
        <f>IF(AND(U108&lt;&gt;"",S108="yes"),U108*V108,"")</f>
        <v/>
      </c>
    </row>
    <row r="109" ht="32" customFormat="1" customHeight="1" s="77">
      <c r="A109" s="77" t="inlineStr">
        <is>
          <t>select_multiple covidmeasures</t>
        </is>
      </c>
      <c r="B109" s="77" t="inlineStr">
        <is>
          <t>covid</t>
        </is>
      </c>
      <c r="C109" s="78" t="inlineStr">
        <is>
          <t>Have you or anyone in your household been affected by movement restrictions or social distancing measures aimed at containing COVID-19 in the last 3 months?</t>
        </is>
      </c>
      <c r="D109" s="79" t="n"/>
      <c r="E109" s="77" t="inlineStr">
        <is>
          <t>[INSTRUCTIONS: MULTIPLE RESPONSES POSSIBLE.]</t>
        </is>
      </c>
      <c r="F109" s="83" t="n"/>
      <c r="G109" s="121" t="inlineStr">
        <is>
          <t>true</t>
        </is>
      </c>
      <c r="H109" s="121" t="n"/>
      <c r="I109" s="121" t="inlineStr">
        <is>
          <t>if(selected(.,'none') or selected(.,'dk') or selected(.,'ref'), count-selected(.) = 1, count-selected(.) &gt;= 1)</t>
        </is>
      </c>
      <c r="J109" s="121" t="n"/>
      <c r="K109" s="121" t="n"/>
      <c r="L109" s="121" t="n"/>
      <c r="M109" s="121" t="n"/>
      <c r="N109" s="121" t="n"/>
      <c r="S109" s="77" t="inlineStr">
        <is>
          <t>no</t>
        </is>
      </c>
      <c r="U109" s="247" t="n">
        <v>56.47102355957031</v>
      </c>
      <c r="V109" s="209">
        <f>1</f>
        <v/>
      </c>
      <c r="W109" s="248">
        <f>IF(U109&lt;&gt;"",U109*V109,"")</f>
        <v/>
      </c>
      <c r="X109" s="248">
        <f>IF(AND(U109&lt;&gt;"",S109="yes"),U109*V109,"")</f>
        <v/>
      </c>
    </row>
    <row r="110" ht="16" customFormat="1" customHeight="1" s="77">
      <c r="A110" s="77" t="inlineStr">
        <is>
          <t>text</t>
        </is>
      </c>
      <c r="B110" s="77" t="inlineStr">
        <is>
          <t>covid_otherspecify</t>
        </is>
      </c>
      <c r="C110" s="78" t="inlineStr">
        <is>
          <t>If other, specify.</t>
        </is>
      </c>
      <c r="D110" s="79" t="n"/>
      <c r="E110" s="77" t="inlineStr">
        <is>
          <t>[INSTRUCTIONS: RECORD THE OPEN RESPONSE GIVEN IN FEW WORDS. ENTER 888 FOR DON'T KNOW AND 999 FOR REFUSED]</t>
        </is>
      </c>
      <c r="F110" s="83" t="n"/>
      <c r="G110" s="121" t="inlineStr">
        <is>
          <t>true</t>
        </is>
      </c>
      <c r="H110" s="121" t="n"/>
      <c r="I110" s="121" t="n"/>
      <c r="J110" s="121" t="n"/>
      <c r="K110" s="121" t="inlineStr">
        <is>
          <t>selected(${covid}, 'other')</t>
        </is>
      </c>
      <c r="L110" s="121" t="n"/>
      <c r="M110" s="121" t="n"/>
      <c r="N110" s="121" t="n"/>
      <c r="S110" s="77" t="inlineStr">
        <is>
          <t>no</t>
        </is>
      </c>
      <c r="U110" s="247" t="n"/>
      <c r="V110" s="209">
        <f>1</f>
        <v/>
      </c>
      <c r="W110" s="248">
        <f>IF(U110&lt;&gt;"",U110*V110,"")</f>
        <v/>
      </c>
      <c r="X110" s="248">
        <f>IF(AND(U110&lt;&gt;"",S110="yes"),U110*V110,"")</f>
        <v/>
      </c>
    </row>
    <row r="111" customFormat="1" s="77">
      <c r="C111" s="78" t="n"/>
      <c r="D111" s="79" t="n"/>
      <c r="F111" s="83" t="n"/>
      <c r="G111" s="121" t="n"/>
      <c r="H111" s="121" t="n"/>
      <c r="I111" s="127" t="n"/>
      <c r="J111" s="121" t="n"/>
      <c r="K111" s="121" t="n"/>
      <c r="L111" s="121" t="n"/>
      <c r="M111" s="121" t="n"/>
      <c r="N111" s="121" t="n"/>
      <c r="S111" s="77" t="inlineStr"/>
      <c r="U111" s="245" t="inlineStr"/>
      <c r="V111" s="174">
        <f>1</f>
        <v/>
      </c>
      <c r="W111" s="246">
        <f>IF(U111&lt;&gt;"",U111*V111,"")</f>
        <v/>
      </c>
      <c r="X111" s="246">
        <f>IF(AND(U111&lt;&gt;"",S111="yes"),U111*V111,"")</f>
        <v/>
      </c>
      <c r="Y111" s="76" t="n"/>
    </row>
    <row r="112" ht="16" customHeight="1" thickBot="1">
      <c r="A112" s="97" t="inlineStr">
        <is>
          <t>end_group</t>
        </is>
      </c>
      <c r="B112" s="97" t="n"/>
      <c r="C112" s="98" t="n"/>
      <c r="D112" s="92" t="n"/>
      <c r="E112" s="97" t="n"/>
      <c r="F112" s="93" t="n"/>
      <c r="G112" s="131" t="n"/>
      <c r="H112" s="131" t="n"/>
      <c r="I112" s="131" t="n"/>
      <c r="J112" s="131" t="n"/>
      <c r="K112" s="131" t="n"/>
      <c r="L112" s="131" t="n"/>
      <c r="M112" s="131" t="n"/>
      <c r="N112" s="131" t="n"/>
      <c r="S112" s="45" t="inlineStr"/>
      <c r="U112" s="245" t="inlineStr"/>
      <c r="V112" s="76" t="n"/>
      <c r="W112" s="246">
        <f>IF(U112&lt;&gt;"",U112*V112,"")</f>
        <v/>
      </c>
      <c r="X112" s="246">
        <f>IF(AND(U112&lt;&gt;"",S112="yes"),U112*V112,"")</f>
        <v/>
      </c>
    </row>
    <row r="113" ht="17" customFormat="1" customHeight="1" s="73" thickTop="1">
      <c r="A113" s="70" t="inlineStr">
        <is>
          <t>begin_group</t>
        </is>
      </c>
      <c r="B113" s="70" t="inlineStr">
        <is>
          <t>CropProduction_group</t>
        </is>
      </c>
      <c r="C113" s="94" t="inlineStr">
        <is>
          <t>CROP PRODUCTION</t>
        </is>
      </c>
      <c r="D113" s="71" t="n"/>
      <c r="E113" s="70" t="n"/>
      <c r="F113" s="72" t="n"/>
      <c r="G113" s="125" t="inlineStr">
        <is>
          <t>false</t>
        </is>
      </c>
      <c r="H113" s="125" t="n"/>
      <c r="I113" s="125" t="n"/>
      <c r="J113" s="125" t="n"/>
      <c r="K113" s="125" t="inlineStr">
        <is>
          <t>${resp_agree} = '1' and (${hh_agricactivity}='1' or ${hh_agricactivity} = '3' or ${income_main_crop_check}='1' or ${income_sec_crop_check}='1' or ${income_third_crop_check}='1')</t>
        </is>
      </c>
      <c r="L113" s="125" t="n"/>
      <c r="M113" s="125" t="n"/>
      <c r="N113" s="125" t="n"/>
      <c r="S113" s="45" t="inlineStr">
        <is>
          <t>yes</t>
        </is>
      </c>
      <c r="U113" s="245" t="n"/>
      <c r="V113" s="74" t="n"/>
      <c r="W113" s="246">
        <f>IF(U113&lt;&gt;"",U113*V113,"")</f>
        <v/>
      </c>
      <c r="X113" s="246">
        <f>IF(AND(U113&lt;&gt;"",S113="yes"),U113*V113,"")</f>
        <v/>
      </c>
      <c r="Y113" s="74" t="n"/>
    </row>
    <row r="114" ht="49" customFormat="1" customHeight="1" s="46">
      <c r="A114" s="44" t="inlineStr">
        <is>
          <t>note</t>
        </is>
      </c>
      <c r="B114" s="44" t="inlineStr">
        <is>
          <t>crp_intro</t>
        </is>
      </c>
      <c r="C114" s="81" t="inlineStr">
        <is>
          <t>IBRAHIM TEST</t>
        </is>
      </c>
      <c r="D114" s="88" t="n"/>
      <c r="E114" s="44" t="n"/>
      <c r="F114" s="88" t="n"/>
      <c r="G114" s="43" t="n"/>
      <c r="H114" s="43" t="n"/>
      <c r="I114" s="43" t="n"/>
      <c r="J114" s="43" t="n"/>
      <c r="K114" s="43" t="n"/>
      <c r="L114" s="43" t="n"/>
      <c r="M114" s="43" t="n"/>
      <c r="N114" s="43" t="n"/>
      <c r="S114" s="46" t="inlineStr">
        <is>
          <t>yes</t>
        </is>
      </c>
      <c r="U114" s="249" t="n">
        <v>7.5</v>
      </c>
      <c r="V114" s="173">
        <f>'Additional information'!$D$18</f>
        <v/>
      </c>
      <c r="W114" s="250">
        <f>IF(U114&lt;&gt;"",U114*V114,"")</f>
        <v/>
      </c>
      <c r="X114" s="250">
        <f>IF(AND(U114&lt;&gt;"",S114="yes"),U114*V114,"")</f>
        <v/>
      </c>
      <c r="Y114" s="47" t="n"/>
    </row>
    <row r="115">
      <c r="D115" s="88" t="n"/>
      <c r="F115" s="89" t="n"/>
      <c r="S115" s="45" t="inlineStr"/>
      <c r="U115" s="245" t="inlineStr"/>
      <c r="V115" s="174">
        <f>'Additional information'!$D$18</f>
        <v/>
      </c>
      <c r="W115" s="246">
        <f>IF(U115&lt;&gt;"",U115*V115,"")</f>
        <v/>
      </c>
      <c r="X115" s="246">
        <f>IF(AND(U115&lt;&gt;"",S115="yes"),U115*V115,"")</f>
        <v/>
      </c>
    </row>
    <row r="116" ht="16" customFormat="1" customHeight="1" s="76">
      <c r="A116" s="80" t="inlineStr">
        <is>
          <t>decimal</t>
        </is>
      </c>
      <c r="B116" s="80" t="inlineStr">
        <is>
          <t>crp_landsize_num</t>
        </is>
      </c>
      <c r="C116" s="81" t="inlineStr">
        <is>
          <t>What is the total size of the land you can cultivate?</t>
        </is>
      </c>
      <c r="D116" s="99" t="n"/>
      <c r="E116" s="80" t="inlineStr">
        <is>
          <t>[INSTRUCTIONS: RECORD THE TOTAL LAND SIZE PROVIDED BY THE RESPONDENT. WRITE 888 FOR DON'T KNOW AND 999 FOR REFUSED. MEASUREMENT UNIT WILL BE SPECIFIED IN THE FOLLOWING QUESTION.]</t>
        </is>
      </c>
      <c r="F116" s="101" t="n"/>
      <c r="G116" s="122" t="inlineStr">
        <is>
          <t>true</t>
        </is>
      </c>
      <c r="H116" s="122" t="n"/>
      <c r="I116" s="122" t="inlineStr">
        <is>
          <t>. &gt;= 0</t>
        </is>
      </c>
      <c r="J116" s="122" t="n"/>
      <c r="K116" s="122" t="n"/>
      <c r="L116" s="122" t="n"/>
      <c r="M116" s="122" t="n"/>
      <c r="N116" s="122" t="n"/>
      <c r="S116" s="76" t="inlineStr">
        <is>
          <t>yes</t>
        </is>
      </c>
      <c r="U116" s="245" t="n">
        <v>17</v>
      </c>
      <c r="V116" s="174">
        <f>'Additional information'!$D$18</f>
        <v/>
      </c>
      <c r="W116" s="246">
        <f>IF(U116&lt;&gt;"",U116*V116,"")</f>
        <v/>
      </c>
      <c r="X116" s="246">
        <f>IF(AND(U116&lt;&gt;"",S116="yes"),U116*V116,"")</f>
        <v/>
      </c>
    </row>
    <row r="117" ht="16" customFormat="1" customHeight="1" s="76">
      <c r="A117" s="80" t="inlineStr">
        <is>
          <t>select_one landsize_unit</t>
        </is>
      </c>
      <c r="B117" s="80" t="inlineStr">
        <is>
          <t>crp_landsize_unit</t>
        </is>
      </c>
      <c r="C117" s="81" t="inlineStr">
        <is>
          <t xml:space="preserve">Unit of measurement for land size: </t>
        </is>
      </c>
      <c r="D117" s="99" t="n"/>
      <c r="E117" s="80" t="inlineStr">
        <is>
          <t>[INSTRUCTIONS: DO NOT READ QUESTION. SELECT UNIT OF MEASUREMENT IN WHICH LAND SIZE WAS PROVIDED.]</t>
        </is>
      </c>
      <c r="F117" s="101" t="n"/>
      <c r="G117" s="122" t="inlineStr">
        <is>
          <t>true</t>
        </is>
      </c>
      <c r="H117" s="122" t="n"/>
      <c r="I117" s="122" t="n"/>
      <c r="J117" s="122" t="n"/>
      <c r="K117" s="122" t="inlineStr">
        <is>
          <t>${crp_landsize_num} != 888 and ${crp_landsize_num} != 999</t>
        </is>
      </c>
      <c r="L117" s="122" t="n"/>
      <c r="M117" s="122" t="n"/>
      <c r="N117" s="122" t="n"/>
      <c r="S117" s="76" t="inlineStr">
        <is>
          <t>yes</t>
        </is>
      </c>
      <c r="U117" s="245" t="n">
        <v>0</v>
      </c>
      <c r="V117" s="174">
        <f>'Additional information'!$D$18</f>
        <v/>
      </c>
      <c r="W117" s="246">
        <f>IF(U117&lt;&gt;"",U117*V117,"")</f>
        <v/>
      </c>
      <c r="X117" s="246">
        <f>IF(AND(U117&lt;&gt;"",S117="yes"),U117*V117,"")</f>
        <v/>
      </c>
    </row>
    <row r="118" customFormat="1" s="73">
      <c r="C118" s="95" t="n"/>
      <c r="D118" s="71" t="n"/>
      <c r="F118" s="72" t="n"/>
      <c r="G118" s="126" t="n"/>
      <c r="H118" s="126" t="n"/>
      <c r="I118" s="126" t="n"/>
      <c r="J118" s="126" t="n"/>
      <c r="K118" s="126" t="n"/>
      <c r="L118" s="126" t="n"/>
      <c r="M118" s="126" t="n"/>
      <c r="N118" s="126" t="n"/>
      <c r="S118" s="45" t="inlineStr"/>
      <c r="U118" s="245" t="inlineStr"/>
      <c r="V118" s="174">
        <f>'Additional information'!$D$18</f>
        <v/>
      </c>
      <c r="W118" s="246">
        <f>IF(U118&lt;&gt;"",U118*V118,"")</f>
        <v/>
      </c>
      <c r="X118" s="246">
        <f>IF(AND(U118&lt;&gt;"",S118="yes"),U118*V118,"")</f>
        <v/>
      </c>
      <c r="Y118" s="74" t="n"/>
    </row>
    <row r="119" ht="16" customHeight="1">
      <c r="A119" s="75" t="inlineStr">
        <is>
          <t>select_one crop</t>
        </is>
      </c>
      <c r="B119" s="75" t="inlineStr">
        <is>
          <t>crp_main</t>
        </is>
      </c>
      <c r="C119" s="81" t="inlineStr">
        <is>
          <t>IBRAHIM TEST</t>
        </is>
      </c>
      <c r="D119" s="88" t="n"/>
      <c r="E119" s="75" t="inlineStr">
        <is>
          <t>[INSTRUCTIONS: "NO CROP PRODUCTION" APPEARS AT THE END OF THE LIST OF OPTIONS.]</t>
        </is>
      </c>
      <c r="F119" s="89" t="n"/>
      <c r="G119" s="120" t="inlineStr">
        <is>
          <t>true</t>
        </is>
      </c>
      <c r="H119" s="122" t="inlineStr">
        <is>
          <t>autocomplete</t>
        </is>
      </c>
      <c r="I119" s="120" t="n"/>
      <c r="J119" s="120" t="n"/>
      <c r="K119" s="120" t="n"/>
      <c r="L119" s="120" t="n"/>
      <c r="M119" s="120" t="n"/>
      <c r="N119" s="120" t="n"/>
      <c r="S119" s="45" t="inlineStr">
        <is>
          <t>yes</t>
        </is>
      </c>
      <c r="U119" s="245" t="n">
        <v>27.05755233764648</v>
      </c>
      <c r="V119" s="174">
        <f>'Additional information'!$D$18</f>
        <v/>
      </c>
      <c r="W119" s="246">
        <f>IF(U119&lt;&gt;"",U119*V119,"")</f>
        <v/>
      </c>
      <c r="X119" s="246">
        <f>IF(AND(U119&lt;&gt;"",S119="yes"),U119*V119,"")</f>
        <v/>
      </c>
    </row>
    <row r="120">
      <c r="A120" s="75" t="inlineStr">
        <is>
          <t>calculate</t>
        </is>
      </c>
      <c r="B120" s="75" t="inlineStr">
        <is>
          <t>crpmain</t>
        </is>
      </c>
      <c r="C120" s="44" t="n"/>
      <c r="D120" s="88" t="n"/>
      <c r="F120" s="89" t="n"/>
      <c r="G120" s="120" t="n"/>
      <c r="H120" s="120" t="n"/>
      <c r="I120" s="120" t="n"/>
      <c r="J120" s="120" t="n"/>
      <c r="K120" s="120" t="n"/>
      <c r="L120" s="120" t="n"/>
      <c r="M120" s="120" t="n"/>
      <c r="N120" s="120" t="inlineStr">
        <is>
          <t>jr:choice-name(${crp_main},'${crp_main}')</t>
        </is>
      </c>
      <c r="S120" s="45" t="inlineStr">
        <is>
          <t>yes</t>
        </is>
      </c>
      <c r="U120" s="245" t="n"/>
      <c r="V120" s="174">
        <f>'Additional information'!$D$18</f>
        <v/>
      </c>
      <c r="W120" s="246">
        <f>IF(U120&lt;&gt;"",U120*V120,"")</f>
        <v/>
      </c>
      <c r="X120" s="246">
        <f>IF(AND(U120&lt;&gt;"",S120="yes"),U120*V120,"")</f>
        <v/>
      </c>
    </row>
    <row r="121" ht="16" customHeight="1">
      <c r="A121" s="75" t="inlineStr">
        <is>
          <t>select_one cropcheck</t>
        </is>
      </c>
      <c r="B121" s="75" t="inlineStr">
        <is>
          <t>crp_main_check</t>
        </is>
      </c>
      <c r="C121" s="81" t="inlineStr">
        <is>
          <t>IBRAHIM TEST</t>
        </is>
      </c>
      <c r="D121" s="88" t="n"/>
      <c r="F121" s="89" t="n"/>
      <c r="G121" s="120" t="inlineStr">
        <is>
          <t>true</t>
        </is>
      </c>
      <c r="H121" s="120" t="n"/>
      <c r="I121" s="120" t="n"/>
      <c r="J121" s="120" t="n"/>
      <c r="K121" s="120" t="inlineStr">
        <is>
          <t>${crp_main}='777'</t>
        </is>
      </c>
      <c r="L121" s="120" t="n"/>
      <c r="M121" s="120" t="n"/>
      <c r="N121" s="120" t="n"/>
      <c r="S121" s="45" t="inlineStr">
        <is>
          <t>yes</t>
        </is>
      </c>
      <c r="U121" s="245" t="n">
        <v>0</v>
      </c>
      <c r="V121" s="174">
        <f>'Additional information'!$D$18</f>
        <v/>
      </c>
      <c r="W121" s="246">
        <f>IF(U121&lt;&gt;"",U121*V121,"")</f>
        <v/>
      </c>
      <c r="X121" s="246">
        <f>IF(AND(U121&lt;&gt;"",S121="yes"),U121*V121,"")</f>
        <v/>
      </c>
    </row>
    <row r="122" customFormat="1" s="76">
      <c r="C122" s="47" t="n"/>
      <c r="D122" s="99" t="n"/>
      <c r="F122" s="101" t="n"/>
      <c r="G122" s="132" t="n"/>
      <c r="H122" s="132" t="n"/>
      <c r="I122" s="132" t="n"/>
      <c r="J122" s="132" t="n"/>
      <c r="K122" s="132" t="n"/>
      <c r="L122" s="132" t="n"/>
      <c r="M122" s="132" t="n"/>
      <c r="N122" s="132" t="n"/>
      <c r="S122" s="76" t="inlineStr"/>
      <c r="U122" s="245" t="inlineStr"/>
      <c r="V122" s="174">
        <f>'Additional information'!$D$18</f>
        <v/>
      </c>
      <c r="W122" s="246">
        <f>IF(U122&lt;&gt;"",U122*V122,"")</f>
        <v/>
      </c>
      <c r="X122" s="246">
        <f>IF(AND(U122&lt;&gt;"",S122="yes"),U122*V122,"")</f>
        <v/>
      </c>
    </row>
    <row r="123" ht="31.75" customHeight="1">
      <c r="A123" s="75" t="inlineStr">
        <is>
          <t>select_one irrigation</t>
        </is>
      </c>
      <c r="B123" s="75" t="inlineStr">
        <is>
          <t>crp_irrig_source</t>
        </is>
      </c>
      <c r="C123" s="75" t="inlineStr">
        <is>
          <t xml:space="preserve">Where do you normally and mainly obtain water for the production of ${crpmain}? </t>
        </is>
      </c>
      <c r="D123" s="89" t="n"/>
      <c r="F123" s="89" t="n"/>
      <c r="G123" s="120" t="inlineStr">
        <is>
          <t>true</t>
        </is>
      </c>
      <c r="H123" s="120" t="n"/>
      <c r="I123" s="120" t="n"/>
      <c r="J123" s="120" t="n"/>
      <c r="K123" s="120" t="inlineStr">
        <is>
          <t>${crp_main} != '777' and ${crp_main} != '888' and ${crp_main} != '999'</t>
        </is>
      </c>
      <c r="L123" s="120" t="n"/>
      <c r="M123" s="120" t="n"/>
      <c r="N123" s="120" t="n"/>
      <c r="S123" s="45" t="inlineStr">
        <is>
          <t>yes</t>
        </is>
      </c>
      <c r="U123" s="245" t="n">
        <v>15.95429515838623</v>
      </c>
      <c r="V123" s="174">
        <f>'Additional information'!$D$18</f>
        <v/>
      </c>
      <c r="W123" s="246">
        <f>IF(U123&lt;&gt;"",U123*V123,"")</f>
        <v/>
      </c>
      <c r="X123" s="246">
        <f>IF(AND(U123&lt;&gt;"",S123="yes"),U123*V123,"")</f>
        <v/>
      </c>
    </row>
    <row r="124" ht="15.75" customHeight="1">
      <c r="A124" s="75" t="inlineStr">
        <is>
          <t>text</t>
        </is>
      </c>
      <c r="B124" s="75" t="inlineStr">
        <is>
          <t>crp_irrig_source_otherspecify</t>
        </is>
      </c>
      <c r="C124" s="81" t="inlineStr">
        <is>
          <t>If other, specify.</t>
        </is>
      </c>
      <c r="D124" s="99" t="n"/>
      <c r="E124" s="76" t="inlineStr">
        <is>
          <t>[INSTRUCTIONS: RECORD THE OPEN RESPONSE GIVEN IN FEW WORDS. ENTER 888 FOR DON'T KNOW AND 999 FOR REFUSED]</t>
        </is>
      </c>
      <c r="F124" s="89" t="n"/>
      <c r="G124" s="120" t="inlineStr">
        <is>
          <t>true</t>
        </is>
      </c>
      <c r="H124" s="120" t="n"/>
      <c r="I124" s="120" t="n"/>
      <c r="J124" s="120" t="n"/>
      <c r="K124" s="120" t="inlineStr">
        <is>
          <t>${crp_irrig_source}='6' and (${crp_main} != '777' and ${crp_main} != '888' and ${crp_main} != '999')</t>
        </is>
      </c>
      <c r="L124" s="120" t="n"/>
      <c r="M124" s="120" t="n"/>
      <c r="N124" s="120" t="n"/>
      <c r="S124" s="45" t="inlineStr">
        <is>
          <t>yes</t>
        </is>
      </c>
      <c r="U124" s="245" t="n"/>
      <c r="V124" s="174">
        <f>'Additional information'!$D$18</f>
        <v/>
      </c>
      <c r="W124" s="246">
        <f>IF(U124&lt;&gt;"",U124*V124,"")</f>
        <v/>
      </c>
      <c r="X124" s="246">
        <f>IF(AND(U124&lt;&gt;"",S124="yes"),U124*V124,"")</f>
        <v/>
      </c>
    </row>
    <row r="125" ht="15.75" customFormat="1" customHeight="1" s="77">
      <c r="C125" s="78" t="n"/>
      <c r="D125" s="79" t="n"/>
      <c r="F125" s="83" t="n"/>
      <c r="G125" s="121" t="n"/>
      <c r="H125" s="121" t="n"/>
      <c r="I125" s="121" t="n"/>
      <c r="J125" s="121" t="n"/>
      <c r="K125" s="121" t="n"/>
      <c r="L125" s="121" t="n"/>
      <c r="M125" s="121" t="n"/>
      <c r="N125" s="121" t="n"/>
      <c r="S125" s="77" t="inlineStr"/>
      <c r="U125" s="245" t="inlineStr"/>
      <c r="V125" s="174">
        <f>'Additional information'!$D$18</f>
        <v/>
      </c>
      <c r="W125" s="246">
        <f>IF(U125&lt;&gt;"",U125*V125,"")</f>
        <v/>
      </c>
      <c r="X125" s="246">
        <f>IF(AND(U125&lt;&gt;"",S125="yes"),U125*V125,"")</f>
        <v/>
      </c>
      <c r="Y125" s="76" t="n"/>
    </row>
    <row r="126" ht="15.75" customFormat="1" customHeight="1" s="77">
      <c r="A126" s="77" t="inlineStr">
        <is>
          <t>select_one irrigpump</t>
        </is>
      </c>
      <c r="B126" s="77" t="inlineStr">
        <is>
          <t>crp_irrig_system</t>
        </is>
      </c>
      <c r="C126" s="78" t="inlineStr">
        <is>
          <t>Do you [your community] use a pump for your own [the communal] irrigation system?</t>
        </is>
      </c>
      <c r="D126" s="79" t="n"/>
      <c r="F126" s="83" t="n"/>
      <c r="G126" s="121" t="n"/>
      <c r="H126" s="121" t="n"/>
      <c r="I126" s="121" t="n"/>
      <c r="J126" s="121" t="n"/>
      <c r="K126" s="121" t="inlineStr">
        <is>
          <t>not(${crp_irrig_source}='7' or ${crp_irrig_source}='8') and (${crp_main} != '777' and ${crp_main} != '888' and ${crp_main} != '999')</t>
        </is>
      </c>
      <c r="L126" s="121" t="n"/>
      <c r="M126" s="121" t="n"/>
      <c r="N126" s="121" t="n"/>
      <c r="S126" s="77" t="inlineStr">
        <is>
          <t>no</t>
        </is>
      </c>
      <c r="U126" s="245" t="n"/>
      <c r="V126" s="174" t="n"/>
      <c r="W126" s="246" t="n"/>
      <c r="X126" s="246" t="n"/>
      <c r="Y126" s="76" t="n"/>
    </row>
    <row r="127" ht="15.75" customFormat="1" customHeight="1" s="77">
      <c r="A127" s="77" t="inlineStr">
        <is>
          <t>select_one yes_no</t>
        </is>
      </c>
      <c r="B127" s="77" t="inlineStr">
        <is>
          <t>crp_irrig_pay</t>
        </is>
      </c>
      <c r="C127" s="78" t="inlineStr">
        <is>
          <t xml:space="preserve">Do you have to pay for water rights [e.g. water rights, communal infrastructure maintenance, gas for communal pump, etc.]? </t>
        </is>
      </c>
      <c r="D127" s="79" t="n"/>
      <c r="F127" s="83" t="n"/>
      <c r="G127" s="121" t="n"/>
      <c r="H127" s="121" t="n"/>
      <c r="I127" s="121" t="n"/>
      <c r="J127" s="121" t="n"/>
      <c r="K127" s="121" t="inlineStr">
        <is>
          <t>not(${crp_irrig_source}='7' or ${crp_irrig_source}='8') and (${crp_main} != '777' and ${crp_main} != '888' and ${crp_main} != '999')</t>
        </is>
      </c>
      <c r="L127" s="121" t="n"/>
      <c r="M127" s="121" t="n"/>
      <c r="N127" s="121" t="n"/>
      <c r="S127" s="77" t="inlineStr">
        <is>
          <t>no</t>
        </is>
      </c>
      <c r="U127" s="245" t="n"/>
      <c r="V127" s="174" t="n"/>
      <c r="W127" s="246" t="n"/>
      <c r="X127" s="246" t="n"/>
      <c r="Y127" s="76" t="n"/>
    </row>
    <row r="128" ht="16" customFormat="1" customHeight="1" s="77">
      <c r="A128" s="77" t="inlineStr">
        <is>
          <t xml:space="preserve">select_multiple seedsupply </t>
        </is>
      </c>
      <c r="B128" s="77" t="inlineStr">
        <is>
          <t>crp_seed</t>
        </is>
      </c>
      <c r="C128" s="78" t="inlineStr">
        <is>
          <t xml:space="preserve">Who do you normally procure your seeds from? </t>
        </is>
      </c>
      <c r="D128" s="79" t="n"/>
      <c r="E128" s="77" t="inlineStr">
        <is>
          <t>[INSTRUCTIONS: MULTIPLE RESPONSES POSSIBLE.]</t>
        </is>
      </c>
      <c r="F128" s="83" t="n"/>
      <c r="G128" s="121" t="inlineStr">
        <is>
          <t>true</t>
        </is>
      </c>
      <c r="H128" s="121" t="n"/>
      <c r="I128" s="121" t="inlineStr">
        <is>
          <t>if(selected(., 'ref') or selected(., 'dk'), count-selected(.) = 1, count-selected(.) &gt;= 1)</t>
        </is>
      </c>
      <c r="J128" s="121" t="n"/>
      <c r="K128" s="121" t="inlineStr">
        <is>
          <t>${crp_main} != '777' and ${crp_main} != '888' and ${crp_main} != '999'</t>
        </is>
      </c>
      <c r="L128" s="121" t="n"/>
      <c r="M128" s="121" t="n"/>
      <c r="N128" s="121" t="n"/>
      <c r="S128" s="77" t="inlineStr">
        <is>
          <t>no</t>
        </is>
      </c>
      <c r="U128" s="245" t="n">
        <v>17.92890930175781</v>
      </c>
      <c r="V128" s="174">
        <f>'Additional information'!$D$18</f>
        <v/>
      </c>
      <c r="W128" s="246">
        <f>IF(U128&lt;&gt;"",U128*V128,"")</f>
        <v/>
      </c>
      <c r="X128" s="246">
        <f>IF(AND(U128&lt;&gt;"",S128="yes"),U128*V128,"")</f>
        <v/>
      </c>
      <c r="Y128" s="76" t="n"/>
    </row>
    <row r="129" customFormat="1" s="77">
      <c r="C129" s="78" t="n"/>
      <c r="D129" s="79" t="n"/>
      <c r="F129" s="83" t="n"/>
      <c r="G129" s="121" t="n"/>
      <c r="H129" s="121" t="n"/>
      <c r="I129" s="121" t="n"/>
      <c r="J129" s="121" t="n"/>
      <c r="K129" s="121" t="n"/>
      <c r="L129" s="121" t="n"/>
      <c r="M129" s="121" t="n"/>
      <c r="N129" s="121" t="n"/>
      <c r="S129" s="77" t="inlineStr"/>
      <c r="U129" s="245" t="inlineStr"/>
      <c r="V129" s="174">
        <f>'Additional information'!$D$18</f>
        <v/>
      </c>
      <c r="W129" s="246">
        <f>IF(U129&lt;&gt;"",U129*V129,"")</f>
        <v/>
      </c>
      <c r="X129" s="246">
        <f>IF(AND(U129&lt;&gt;"",S129="yes"),U129*V129,"")</f>
        <v/>
      </c>
      <c r="Y129" s="76" t="n"/>
    </row>
    <row r="130" ht="16" customHeight="1">
      <c r="A130" s="75" t="inlineStr">
        <is>
          <t>select_one change</t>
        </is>
      </c>
      <c r="B130" s="75" t="inlineStr">
        <is>
          <t>crp_area_change</t>
        </is>
      </c>
      <c r="C130" s="81" t="inlineStr">
        <is>
          <t>IBRAHIM TEST</t>
        </is>
      </c>
      <c r="D130" s="88" t="n"/>
      <c r="E130" s="75" t="n"/>
      <c r="F130" s="89" t="n"/>
      <c r="G130" s="120" t="inlineStr">
        <is>
          <t>true</t>
        </is>
      </c>
      <c r="H130" s="120" t="n"/>
      <c r="I130" s="120" t="n"/>
      <c r="J130" s="120" t="n"/>
      <c r="K130" s="122" t="inlineStr">
        <is>
          <t>${crp_main} != '777' and ${crp_main} != '888' and ${crp_main} != '999'</t>
        </is>
      </c>
      <c r="L130" s="120" t="n"/>
      <c r="M130" s="120" t="n"/>
      <c r="N130" s="120" t="n"/>
      <c r="S130" s="45" t="inlineStr">
        <is>
          <t>yes</t>
        </is>
      </c>
      <c r="U130" s="245" t="n">
        <v>25.43687438964844</v>
      </c>
      <c r="V130" s="174">
        <f>'Additional information'!$D$18</f>
        <v/>
      </c>
      <c r="W130" s="246">
        <f>IF(U130&lt;&gt;"",U130*V130,"")</f>
        <v/>
      </c>
      <c r="X130" s="246">
        <f>IF(AND(U130&lt;&gt;"",S130="yes"),U130*V130,"")</f>
        <v/>
      </c>
    </row>
    <row r="131">
      <c r="D131" s="88" t="n"/>
      <c r="F131" s="89" t="n"/>
      <c r="K131" s="132" t="n"/>
      <c r="S131" s="45" t="inlineStr"/>
      <c r="U131" s="245" t="inlineStr"/>
      <c r="V131" s="174">
        <f>'Additional information'!$D$18</f>
        <v/>
      </c>
      <c r="W131" s="246">
        <f>IF(U131&lt;&gt;"",U131*V131,"")</f>
        <v/>
      </c>
      <c r="X131" s="246">
        <f>IF(AND(U131&lt;&gt;"",S131="yes"),U131*V131,"")</f>
        <v/>
      </c>
    </row>
    <row r="132" ht="16" customHeight="1">
      <c r="A132" s="75" t="inlineStr">
        <is>
          <t>select_one change</t>
        </is>
      </c>
      <c r="B132" s="75" t="inlineStr">
        <is>
          <t>crp_harv_change</t>
        </is>
      </c>
      <c r="C132" s="81" t="inlineStr">
        <is>
          <t>IBRAHIM TEST</t>
        </is>
      </c>
      <c r="D132" s="88" t="n"/>
      <c r="F132" s="89" t="n"/>
      <c r="G132" s="120" t="inlineStr">
        <is>
          <t>true</t>
        </is>
      </c>
      <c r="H132" s="120" t="n"/>
      <c r="I132" s="120" t="n"/>
      <c r="J132" s="120" t="n"/>
      <c r="K132" s="122" t="inlineStr">
        <is>
          <t>${crp_main} != '777' and ${crp_main} != '888' and ${crp_main} != '999'</t>
        </is>
      </c>
      <c r="L132" s="120" t="n"/>
      <c r="M132" s="120" t="n"/>
      <c r="N132" s="120" t="n"/>
      <c r="S132" s="45" t="inlineStr">
        <is>
          <t>yes</t>
        </is>
      </c>
      <c r="U132" s="245" t="n">
        <v>19.36494636535645</v>
      </c>
      <c r="V132" s="174">
        <f>'Additional information'!$D$18</f>
        <v/>
      </c>
      <c r="W132" s="246">
        <f>IF(U132&lt;&gt;"",U132*V132,"")</f>
        <v/>
      </c>
      <c r="X132" s="246">
        <f>IF(AND(U132&lt;&gt;"",S132="yes"),U132*V132,"")</f>
        <v/>
      </c>
    </row>
    <row r="133" ht="16" customFormat="1" customHeight="1" s="77">
      <c r="A133" s="77" t="inlineStr">
        <is>
          <t>decimal</t>
        </is>
      </c>
      <c r="B133" s="77" t="inlineStr">
        <is>
          <t>crp_harv_vol</t>
        </is>
      </c>
      <c r="C133" s="81" t="inlineStr">
        <is>
          <t>IBRAHIM TEST</t>
        </is>
      </c>
      <c r="D133" s="79" t="n"/>
      <c r="E133" s="77" t="inlineStr">
        <is>
          <t>[INSTRUCTIONS: RECORD THE RESPONSE GIVEN. UNIT OF MEASUREMENT TO BE SPECIFIED IN NEXT QUESTION. ENTER 888 FOR DON'T KNOW &amp; 999 FOR REFUSED, TO BE USED RARELY - PROBE!]</t>
        </is>
      </c>
      <c r="F133" s="83" t="n"/>
      <c r="G133" s="121" t="inlineStr">
        <is>
          <t>true</t>
        </is>
      </c>
      <c r="H133" s="132" t="n"/>
      <c r="I133" s="135" t="inlineStr">
        <is>
          <t>. &gt;= 0</t>
        </is>
      </c>
      <c r="J133" s="121" t="n"/>
      <c r="K133" s="121" t="inlineStr">
        <is>
          <t>${crp_main} != '777' and ${crp_main} != '888' and ${crp_main} != '999'</t>
        </is>
      </c>
      <c r="L133" s="121" t="n"/>
      <c r="M133" s="121" t="n"/>
      <c r="N133" s="121" t="n"/>
      <c r="S133" s="77" t="inlineStr">
        <is>
          <t>no</t>
        </is>
      </c>
      <c r="U133" s="245" t="n">
        <v>17</v>
      </c>
      <c r="V133" s="174">
        <f>'Additional information'!$D$18</f>
        <v/>
      </c>
      <c r="W133" s="246">
        <f>IF(U133&lt;&gt;"",U133*V133,"")</f>
        <v/>
      </c>
      <c r="X133" s="246">
        <f>IF(AND(U133&lt;&gt;"",S133="yes"),U133*V133,"")</f>
        <v/>
      </c>
      <c r="Y133" s="76" t="n"/>
    </row>
    <row r="134" ht="16" customFormat="1" customHeight="1" s="77">
      <c r="A134" s="77" t="inlineStr">
        <is>
          <t>select_one harv_unit</t>
        </is>
      </c>
      <c r="B134" s="77" t="inlineStr">
        <is>
          <t>crp_harv_unit</t>
        </is>
      </c>
      <c r="C134" s="78" t="inlineStr">
        <is>
          <t>Unit of measurement for harvested ${crpmain}:</t>
        </is>
      </c>
      <c r="D134" s="79" t="n"/>
      <c r="F134" s="83" t="n"/>
      <c r="G134" s="121" t="inlineStr">
        <is>
          <t>true</t>
        </is>
      </c>
      <c r="H134" s="132" t="n"/>
      <c r="I134" s="121" t="n"/>
      <c r="J134" s="121" t="n"/>
      <c r="K134" s="121" t="inlineStr">
        <is>
          <t>${crp_harv_vol} != '888' and ${crp_harv_vol} != '999'</t>
        </is>
      </c>
      <c r="L134" s="121" t="n"/>
      <c r="M134" s="121" t="n"/>
      <c r="N134" s="121" t="n"/>
      <c r="S134" s="77" t="inlineStr">
        <is>
          <t>no</t>
        </is>
      </c>
      <c r="U134" s="245" t="n">
        <v>17</v>
      </c>
      <c r="V134" s="174">
        <f>'Additional information'!$D$18</f>
        <v/>
      </c>
      <c r="W134" s="246">
        <f>IF(U134&lt;&gt;"",U134*V134,"")</f>
        <v/>
      </c>
      <c r="X134" s="246">
        <f>IF(AND(U134&lt;&gt;"",S134="yes"),U134*V134,"")</f>
        <v/>
      </c>
      <c r="Y134" s="76" t="n"/>
    </row>
    <row r="135" customFormat="1" s="77">
      <c r="A135" s="77" t="inlineStr">
        <is>
          <t>calculate</t>
        </is>
      </c>
      <c r="B135" s="77" t="inlineStr">
        <is>
          <t>crp_harvunit</t>
        </is>
      </c>
      <c r="C135" s="78" t="n"/>
      <c r="D135" s="79" t="n"/>
      <c r="F135" s="83" t="n"/>
      <c r="G135" s="121" t="n"/>
      <c r="H135" s="121" t="n"/>
      <c r="I135" s="121" t="n"/>
      <c r="J135" s="121" t="n"/>
      <c r="K135" s="121" t="n"/>
      <c r="L135" s="121" t="n"/>
      <c r="M135" s="121" t="n"/>
      <c r="N135" s="121" t="inlineStr">
        <is>
          <t>jr:choice-name(${crp_harv_unit},'${crp_harv_unit}')</t>
        </is>
      </c>
      <c r="S135" s="77" t="inlineStr">
        <is>
          <t>no</t>
        </is>
      </c>
      <c r="U135" s="245" t="n"/>
      <c r="V135" s="174">
        <f>'Additional information'!$D$18</f>
        <v/>
      </c>
      <c r="W135" s="246">
        <f>IF(U135&lt;&gt;"",U135*V135,"")</f>
        <v/>
      </c>
      <c r="X135" s="246">
        <f>IF(AND(U135&lt;&gt;"",S135="yes"),U135*V135,"")</f>
        <v/>
      </c>
      <c r="Y135" s="76" t="n"/>
    </row>
    <row r="136" ht="16" customFormat="1" customHeight="1" s="77">
      <c r="A136" s="77" t="inlineStr">
        <is>
          <t>decimal</t>
        </is>
      </c>
      <c r="B136" s="77" t="inlineStr">
        <is>
          <t>crp_harv_unit_kg</t>
        </is>
      </c>
      <c r="C136" s="78" t="inlineStr">
        <is>
          <t>How many kilograms [kgs] in each unit?</t>
        </is>
      </c>
      <c r="D136" s="79" t="n"/>
      <c r="E136" s="77" t="inlineStr">
        <is>
          <t>[INSTRUCTIONS: RECORD THE RESPONSE GIVEN. ENTER 888 FOR DON'T KNOW &amp; 999 FOR REFUSED, TO BE USED RARELY - PROBE!]</t>
        </is>
      </c>
      <c r="F136" s="83" t="n"/>
      <c r="G136" s="121" t="inlineStr">
        <is>
          <t>true</t>
        </is>
      </c>
      <c r="H136" s="132" t="n"/>
      <c r="I136" s="121" t="n"/>
      <c r="J136" s="121" t="n"/>
      <c r="K136" s="121" t="inlineStr">
        <is>
          <t>(${crp_harv_vol} != '888' and ${crp_harv_vol} != '999') and (${crp_harv_unit}='5' or ${crp_harv_unit}='6' or ${crp_harv_unit}='7' or ${crp_harv_unit}='8' or ${crp_harv_unit}='9')</t>
        </is>
      </c>
      <c r="L136" s="121" t="n"/>
      <c r="M136" s="121" t="n"/>
      <c r="N136" s="121" t="n"/>
      <c r="S136" s="77" t="inlineStr">
        <is>
          <t>no</t>
        </is>
      </c>
      <c r="U136" s="245" t="n">
        <v>17</v>
      </c>
      <c r="V136" s="174">
        <f>'Additional information'!$D$18</f>
        <v/>
      </c>
      <c r="W136" s="246">
        <f>IF(U136&lt;&gt;"",U136*V136,"")</f>
        <v/>
      </c>
      <c r="X136" s="246">
        <f>IF(AND(U136&lt;&gt;"",S136="yes"),U136*V136,"")</f>
        <v/>
      </c>
      <c r="Y136" s="76" t="n"/>
    </row>
    <row r="137" ht="32" customFormat="1" customHeight="1" s="77">
      <c r="A137" s="77" t="inlineStr">
        <is>
          <t>integer</t>
        </is>
      </c>
      <c r="B137" s="77" t="inlineStr">
        <is>
          <t>crp_harv_lastyr</t>
        </is>
      </c>
      <c r="C137" s="78" t="inlineStr">
        <is>
          <t>How many ${crp_harvunit} of (threshed) ${crpmain} did you harvest last year during the same season?</t>
        </is>
      </c>
      <c r="D137" s="79" t="n"/>
      <c r="E137" s="77" t="inlineStr">
        <is>
          <t>[INSTRUCTIONS: RECORD THE RESPONSE GIVEN. ENTER 888 FOR DON'T KNOW &amp; 999 FOR REFUSED, TO BE USED RARELY - PROBE!]</t>
        </is>
      </c>
      <c r="F137" s="83" t="n"/>
      <c r="G137" s="121" t="inlineStr">
        <is>
          <t>true</t>
        </is>
      </c>
      <c r="H137" s="132" t="n"/>
      <c r="I137" s="135" t="inlineStr">
        <is>
          <t>. &gt;= 0</t>
        </is>
      </c>
      <c r="J137" s="121" t="n"/>
      <c r="K137" s="121" t="inlineStr">
        <is>
          <t>${crp_harv_vol} != '888' and ${crp_harv_vol} != '999' and (${crp_main} != '777' and ${crp_main} != '888' and ${crp_main} != '999')</t>
        </is>
      </c>
      <c r="L137" s="121" t="n"/>
      <c r="M137" s="121" t="n"/>
      <c r="N137" s="121" t="n"/>
      <c r="S137" s="77" t="inlineStr">
        <is>
          <t>no</t>
        </is>
      </c>
      <c r="U137" s="245" t="n">
        <v>17</v>
      </c>
      <c r="V137" s="174">
        <f>'Additional information'!$D$18</f>
        <v/>
      </c>
      <c r="W137" s="246">
        <f>IF(U137&lt;&gt;"",U137*V137,"")</f>
        <v/>
      </c>
      <c r="X137" s="246">
        <f>IF(AND(U137&lt;&gt;"",S137="yes"),U137*V137,"")</f>
        <v/>
      </c>
      <c r="Y137" s="76" t="n"/>
    </row>
    <row r="138" customFormat="1" s="77">
      <c r="C138" s="78" t="n"/>
      <c r="D138" s="79" t="n"/>
      <c r="F138" s="83" t="n"/>
      <c r="G138" s="121" t="n"/>
      <c r="H138" s="121" t="n"/>
      <c r="I138" s="121" t="n"/>
      <c r="J138" s="121" t="n"/>
      <c r="K138" s="121" t="n"/>
      <c r="L138" s="121" t="n"/>
      <c r="M138" s="121" t="n"/>
      <c r="N138" s="121" t="n"/>
      <c r="S138" s="77" t="inlineStr"/>
      <c r="U138" s="245" t="inlineStr"/>
      <c r="V138" s="174">
        <f>'Additional information'!$D$18</f>
        <v/>
      </c>
      <c r="W138" s="246">
        <f>IF(U138&lt;&gt;"",U138*V138,"")</f>
        <v/>
      </c>
      <c r="X138" s="246">
        <f>IF(AND(U138&lt;&gt;"",S138="yes"),U138*V138,"")</f>
        <v/>
      </c>
      <c r="Y138" s="76" t="n"/>
    </row>
    <row r="139" ht="16" customHeight="1">
      <c r="A139" s="75" t="inlineStr">
        <is>
          <t>select_one yes_no</t>
        </is>
      </c>
      <c r="B139" s="75" t="inlineStr">
        <is>
          <t>crp_proddif</t>
        </is>
      </c>
      <c r="C139" s="81" t="inlineStr">
        <is>
          <t>IBRAHIM TEST</t>
        </is>
      </c>
      <c r="D139" s="88" t="n"/>
      <c r="F139" s="89" t="n"/>
      <c r="G139" s="120" t="inlineStr">
        <is>
          <t>true</t>
        </is>
      </c>
      <c r="H139" s="120" t="n"/>
      <c r="I139" s="120" t="n"/>
      <c r="J139" s="120" t="n"/>
      <c r="K139" s="122" t="inlineStr">
        <is>
          <t>${crp_main} != '888' and ${crp_main} != '999' and ${crp_main_check} != 1</t>
        </is>
      </c>
      <c r="L139" s="120" t="n"/>
      <c r="M139" s="120" t="n"/>
      <c r="N139" s="120" t="n"/>
      <c r="S139" s="45" t="inlineStr">
        <is>
          <t>yes</t>
        </is>
      </c>
      <c r="U139" s="245" t="n">
        <v>13.45886421203613</v>
      </c>
      <c r="V139" s="174">
        <f>'Additional information'!$D$18</f>
        <v/>
      </c>
      <c r="W139" s="246">
        <f>IF(U139&lt;&gt;"",U139*V139,"")</f>
        <v/>
      </c>
      <c r="X139" s="246">
        <f>IF(AND(U139&lt;&gt;"",S139="yes"),U139*V139,"")</f>
        <v/>
      </c>
    </row>
    <row r="140" ht="16" customHeight="1">
      <c r="A140" s="75" t="inlineStr">
        <is>
          <t>select_multiple cropproddiff</t>
        </is>
      </c>
      <c r="B140" s="75" t="inlineStr">
        <is>
          <t>crp_proddif_</t>
        </is>
      </c>
      <c r="C140" s="81" t="inlineStr">
        <is>
          <t>IBRAHIM TEST</t>
        </is>
      </c>
      <c r="D140" s="88" t="n"/>
      <c r="E140" s="45" t="inlineStr">
        <is>
          <t>[INSTRUCTIONS: MULTIPLE RESPONSES POSSIBLE. SELECT OPTION(S) THAT BEST FIT THE INFORMATION PROVIDED BY THE RESPONDENTS.]</t>
        </is>
      </c>
      <c r="F140" s="89" t="n"/>
      <c r="G140" s="120" t="inlineStr">
        <is>
          <t>true</t>
        </is>
      </c>
      <c r="H140" s="120" t="n"/>
      <c r="I140" s="122" t="inlineStr">
        <is>
          <t>if(selected(., 'ref') or selected(., 'dk'), count-selected(.) = 1, count-selected(.) &gt;= 1)</t>
        </is>
      </c>
      <c r="J140" s="120" t="n"/>
      <c r="K140" s="122" t="inlineStr">
        <is>
          <t>${crp_proddif} = '1' and (${crp_main} != '888' and ${crp_main} != '999' and ${crp_main_check} != 1)</t>
        </is>
      </c>
      <c r="L140" s="120" t="n"/>
      <c r="M140" s="120" t="n"/>
      <c r="N140" s="120" t="n"/>
      <c r="S140" s="45" t="inlineStr">
        <is>
          <t>yes</t>
        </is>
      </c>
      <c r="U140" s="245" t="n">
        <v>37.52328872680664</v>
      </c>
      <c r="V140" s="174">
        <f>'Additional information'!$D$18</f>
        <v/>
      </c>
      <c r="W140" s="246">
        <f>IF(U140&lt;&gt;"",U140*V140,"")</f>
        <v/>
      </c>
      <c r="X140" s="246">
        <f>IF(AND(U140&lt;&gt;"",S140="yes"),U140*V140,"")</f>
        <v/>
      </c>
    </row>
    <row r="141">
      <c r="D141" s="88" t="n"/>
      <c r="F141" s="89" t="n"/>
      <c r="K141" s="132" t="n"/>
      <c r="S141" s="45" t="inlineStr"/>
      <c r="U141" s="245" t="inlineStr"/>
      <c r="V141" s="174">
        <f>'Additional information'!$D$18</f>
        <v/>
      </c>
      <c r="W141" s="246">
        <f>IF(U141&lt;&gt;"",U141*V141,"")</f>
        <v/>
      </c>
      <c r="X141" s="246">
        <f>IF(AND(U141&lt;&gt;"",S141="yes"),U141*V141,"")</f>
        <v/>
      </c>
    </row>
    <row r="142" ht="32" customFormat="1" customHeight="1" s="77">
      <c r="A142" s="77" t="inlineStr">
        <is>
          <t>select_one storage</t>
        </is>
      </c>
      <c r="B142" s="77" t="inlineStr">
        <is>
          <t>crp_storage</t>
        </is>
      </c>
      <c r="C142" s="78" t="inlineStr">
        <is>
          <t>Last year, what proportion of your ${crpmain} stock did you lose [to pests, rotting, mould, etc.] after the harvest?</t>
        </is>
      </c>
      <c r="D142" s="79" t="n"/>
      <c r="F142" s="83" t="n"/>
      <c r="G142" s="121" t="inlineStr">
        <is>
          <t>true</t>
        </is>
      </c>
      <c r="H142" s="121" t="n"/>
      <c r="I142" s="121" t="n"/>
      <c r="J142" s="121" t="n"/>
      <c r="K142" s="121" t="inlineStr">
        <is>
          <t>${crp_main} != '888' and ${crp_main} != '999' and ${crp_main} != '777'</t>
        </is>
      </c>
      <c r="L142" s="121" t="n"/>
      <c r="M142" s="121" t="n"/>
      <c r="N142" s="121" t="n"/>
      <c r="S142" s="77" t="inlineStr">
        <is>
          <t>no</t>
        </is>
      </c>
      <c r="U142" s="245" t="n">
        <v>17</v>
      </c>
      <c r="V142" s="174">
        <f>'Additional information'!$D$18</f>
        <v/>
      </c>
      <c r="W142" s="246">
        <f>IF(U142&lt;&gt;"",U142*V142,"")</f>
        <v/>
      </c>
      <c r="X142" s="246">
        <f>IF(AND(U142&lt;&gt;"",S142="yes"),U142*V142,"")</f>
        <v/>
      </c>
      <c r="Y142" s="76" t="n"/>
    </row>
    <row r="143" ht="16" customFormat="1" customHeight="1" s="77">
      <c r="A143" s="77" t="inlineStr">
        <is>
          <t>select_multiple crop2</t>
        </is>
      </c>
      <c r="B143" s="77" t="inlineStr">
        <is>
          <t>crp_all</t>
        </is>
      </c>
      <c r="C143" s="78" t="inlineStr">
        <is>
          <t>Do you cultivate any other crops aside from ${crpmain}, and if so which ones?</t>
        </is>
      </c>
      <c r="D143" s="79" t="n"/>
      <c r="E143" s="77" t="inlineStr">
        <is>
          <t>[INSTRUCTIONS: "No other crops" APPEARS AT THE END OF THE LIST OF OPTIONS. SELECT ALL CROPS LISTED BY THE RESPONDENT.]</t>
        </is>
      </c>
      <c r="F143" s="83" t="n"/>
      <c r="G143" s="121" t="inlineStr">
        <is>
          <t>true</t>
        </is>
      </c>
      <c r="H143" s="121" t="inlineStr">
        <is>
          <t>autocomplete</t>
        </is>
      </c>
      <c r="I143" s="121" t="inlineStr">
        <is>
          <t>if(selected(., '888') or selected(., '999') or selected(.,'666'), count-selected(.) = 1, count-selected(.) &gt;= 1)</t>
        </is>
      </c>
      <c r="J143" s="121" t="n"/>
      <c r="K143" s="121" t="inlineStr">
        <is>
          <t>${crp_main} != '888' and ${crp_main} != '999' and ${crp_main} != '777'</t>
        </is>
      </c>
      <c r="L143" s="121" t="inlineStr">
        <is>
          <t>not(selected(${crp_main}, name))</t>
        </is>
      </c>
      <c r="M143" s="127" t="n"/>
      <c r="N143" s="127" t="n"/>
      <c r="O143" s="45" t="n"/>
      <c r="S143" s="77" t="inlineStr">
        <is>
          <t>no</t>
        </is>
      </c>
      <c r="U143" s="245" t="n">
        <v>17</v>
      </c>
      <c r="V143" s="174">
        <f>'Additional information'!$D$18</f>
        <v/>
      </c>
      <c r="W143" s="246">
        <f>IF(U143&lt;&gt;"",U143*V143,"")</f>
        <v/>
      </c>
      <c r="X143" s="246">
        <f>IF(AND(U143&lt;&gt;"",S143="yes"),U143*V143,"")</f>
        <v/>
      </c>
      <c r="Y143" s="76" t="n"/>
    </row>
    <row r="144">
      <c r="D144" s="88" t="n"/>
      <c r="F144" s="89" t="n"/>
      <c r="K144" s="132" t="n"/>
      <c r="U144" s="245" t="inlineStr"/>
      <c r="V144" s="174">
        <f>'Additional information'!$D$18</f>
        <v/>
      </c>
      <c r="W144" s="246">
        <f>IF(U144&lt;&gt;"",U144*V144,"")</f>
        <v/>
      </c>
      <c r="X144" s="246">
        <f>IF(AND(U144&lt;&gt;"",S144="yes"),U144*V144,"")</f>
        <v/>
      </c>
    </row>
    <row r="145" ht="16" customHeight="1" thickBot="1">
      <c r="A145" s="102" t="inlineStr">
        <is>
          <t>end_group</t>
        </is>
      </c>
      <c r="B145" s="102" t="n"/>
      <c r="C145" s="103" t="n"/>
      <c r="D145" s="112" t="n"/>
      <c r="E145" s="102" t="n"/>
      <c r="F145" s="113" t="n"/>
      <c r="G145" s="133" t="n"/>
      <c r="H145" s="133" t="n"/>
      <c r="I145" s="133" t="n"/>
      <c r="J145" s="133" t="n"/>
      <c r="K145" s="133" t="n"/>
      <c r="L145" s="133" t="n"/>
      <c r="M145" s="133" t="n"/>
      <c r="N145" s="133" t="n"/>
      <c r="U145" s="245" t="inlineStr"/>
      <c r="W145" s="246">
        <f>IF(U145&lt;&gt;"",U145*V145,"")</f>
        <v/>
      </c>
      <c r="X145" s="246">
        <f>IF(AND(U145&lt;&gt;"",S145="yes"),U145*V145,"")</f>
        <v/>
      </c>
    </row>
    <row r="146" ht="17" customFormat="1" customHeight="1" s="73" thickTop="1">
      <c r="A146" s="70" t="inlineStr">
        <is>
          <t>begin_group</t>
        </is>
      </c>
      <c r="B146" s="70" t="inlineStr">
        <is>
          <t>CropSales_group</t>
        </is>
      </c>
      <c r="C146" s="94" t="inlineStr">
        <is>
          <t>CROP MARKETING</t>
        </is>
      </c>
      <c r="D146" s="71" t="n"/>
      <c r="E146" s="70" t="n"/>
      <c r="F146" s="72" t="n"/>
      <c r="G146" s="125" t="inlineStr">
        <is>
          <t>false</t>
        </is>
      </c>
      <c r="H146" s="125" t="n"/>
      <c r="I146" s="125" t="n"/>
      <c r="J146" s="125" t="n"/>
      <c r="K146" s="125" t="inlineStr">
        <is>
          <t>${resp_agree} = '1' and (${income_main}='1' or ${income_sec}='1' or ${income_third}='1' or ${income_main}='2' or ${income_sec}='2' or ${income_third}='2' or ${income_main}='3' or ${income_sec}='3' or ${income_third}='3')</t>
        </is>
      </c>
      <c r="L146" s="125" t="n"/>
      <c r="M146" s="125" t="n"/>
      <c r="N146" s="125" t="n"/>
      <c r="S146" s="45" t="inlineStr">
        <is>
          <t>yes</t>
        </is>
      </c>
      <c r="U146" s="245" t="n"/>
      <c r="V146" s="174" t="n"/>
      <c r="W146" s="246">
        <f>IF(U146&lt;&gt;"",U146*V146,"")</f>
        <v/>
      </c>
      <c r="X146" s="246">
        <f>IF(AND(U146&lt;&gt;"",S146="yes"),U146*V146,"")</f>
        <v/>
      </c>
      <c r="Y146" s="74" t="n"/>
    </row>
    <row r="147" customFormat="1" s="73">
      <c r="C147" s="95" t="n"/>
      <c r="D147" s="71" t="n"/>
      <c r="F147" s="72" t="n"/>
      <c r="G147" s="126" t="n"/>
      <c r="H147" s="126" t="n"/>
      <c r="I147" s="126" t="n"/>
      <c r="J147" s="126" t="n"/>
      <c r="K147" s="126" t="n"/>
      <c r="L147" s="126" t="n"/>
      <c r="M147" s="126" t="n"/>
      <c r="N147" s="126" t="n"/>
      <c r="S147" s="45" t="inlineStr"/>
      <c r="U147" s="245" t="inlineStr"/>
      <c r="V147" s="255">
        <f>'Additional information'!$D$19</f>
        <v/>
      </c>
      <c r="W147" s="246">
        <f>IF(U147&lt;&gt;"",U147*V147,"")</f>
        <v/>
      </c>
      <c r="X147" s="246">
        <f>IF(AND(U147&lt;&gt;"",S147="yes"),U147*V147,"")</f>
        <v/>
      </c>
      <c r="Y147" s="74" t="n"/>
    </row>
    <row r="148" ht="16" customHeight="1">
      <c r="A148" s="75" t="inlineStr">
        <is>
          <t>select_one yes_no</t>
        </is>
      </c>
      <c r="B148" s="75" t="inlineStr">
        <is>
          <t>crp_sales_main_1</t>
        </is>
      </c>
      <c r="C148" s="81" t="inlineStr">
        <is>
          <t xml:space="preserve">Was ${crpmain} the main crop that you sold over the *last 3 months*? </t>
        </is>
      </c>
      <c r="D148" s="88" t="n"/>
      <c r="F148" s="89" t="n"/>
      <c r="G148" s="122" t="inlineStr">
        <is>
          <t>true</t>
        </is>
      </c>
      <c r="H148" s="122" t="n"/>
      <c r="I148" s="122" t="n"/>
      <c r="J148" s="122" t="n"/>
      <c r="K148" s="122" t="n"/>
      <c r="L148" s="80" t="n"/>
      <c r="M148" s="122" t="n"/>
      <c r="N148" s="122" t="n"/>
      <c r="S148" s="45" t="inlineStr">
        <is>
          <t>yes</t>
        </is>
      </c>
      <c r="U148" s="245" t="n">
        <v>13.55</v>
      </c>
      <c r="V148" s="174">
        <f>'Additional information'!$D$18</f>
        <v/>
      </c>
      <c r="W148" s="246">
        <f>IF(U148&lt;&gt;"",U148*V148,"")</f>
        <v/>
      </c>
      <c r="X148" s="246" t="n"/>
    </row>
    <row r="149" ht="16" customHeight="1">
      <c r="A149" s="75" t="inlineStr">
        <is>
          <t>select_one crop3</t>
        </is>
      </c>
      <c r="B149" s="75" t="inlineStr">
        <is>
          <t>crp_sales_main_2</t>
        </is>
      </c>
      <c r="C149" s="44" t="inlineStr">
        <is>
          <t>What was the main crop that you sold over the *last 3 months*?</t>
        </is>
      </c>
      <c r="D149" s="88" t="n"/>
      <c r="F149" s="89" t="n"/>
      <c r="G149" s="122" t="inlineStr">
        <is>
          <t>true</t>
        </is>
      </c>
      <c r="H149" s="122" t="inlineStr">
        <is>
          <t>autocomplete</t>
        </is>
      </c>
      <c r="I149" s="122" t="n"/>
      <c r="J149" s="122" t="n"/>
      <c r="K149" s="122" t="inlineStr">
        <is>
          <t>${crp_sales_main_1}='2'</t>
        </is>
      </c>
      <c r="L149" s="122" t="inlineStr">
        <is>
          <t>not(selected(${crp_main}, name))</t>
        </is>
      </c>
      <c r="M149" s="122" t="n"/>
      <c r="N149" s="122" t="n"/>
      <c r="S149" s="45" t="inlineStr">
        <is>
          <t>yes</t>
        </is>
      </c>
      <c r="U149" s="245" t="n">
        <v>13.55</v>
      </c>
      <c r="V149" s="174">
        <f>'Additional information'!$D$18</f>
        <v/>
      </c>
      <c r="W149" s="246">
        <f>IF(U149&lt;&gt;"",U149*V149,"")</f>
        <v/>
      </c>
      <c r="X149" s="246" t="n"/>
    </row>
    <row r="150">
      <c r="A150" s="75" t="inlineStr">
        <is>
          <t>calculate</t>
        </is>
      </c>
      <c r="B150" s="75" t="inlineStr">
        <is>
          <t>crp_salesmain</t>
        </is>
      </c>
      <c r="C150" s="44" t="n"/>
      <c r="D150" s="88" t="n"/>
      <c r="F150" s="89" t="n"/>
      <c r="G150" s="122" t="n"/>
      <c r="H150" s="122" t="n"/>
      <c r="I150" s="122" t="n"/>
      <c r="J150" s="122" t="n"/>
      <c r="K150" s="122" t="n"/>
      <c r="L150" s="122" t="n"/>
      <c r="M150" s="122" t="n"/>
      <c r="N150" s="122" t="inlineStr">
        <is>
          <t>if(${crp_sales_main_1}='1',${crp_main},${crp_sales_main_2})</t>
        </is>
      </c>
      <c r="S150" s="45" t="inlineStr">
        <is>
          <t>yes</t>
        </is>
      </c>
      <c r="U150" s="245" t="n"/>
      <c r="V150" s="174">
        <f>'Additional information'!$D$18</f>
        <v/>
      </c>
      <c r="W150" s="246" t="n"/>
      <c r="X150" s="246" t="n"/>
    </row>
    <row r="151">
      <c r="A151" s="75" t="inlineStr">
        <is>
          <t>calculate</t>
        </is>
      </c>
      <c r="B151" s="75" t="inlineStr">
        <is>
          <t>crp_sales_main</t>
        </is>
      </c>
      <c r="C151" s="44" t="n"/>
      <c r="D151" s="88" t="n"/>
      <c r="F151" s="89" t="n"/>
      <c r="G151" s="122" t="n"/>
      <c r="H151" s="122" t="n"/>
      <c r="I151" s="122" t="n"/>
      <c r="J151" s="122" t="n"/>
      <c r="K151" s="122" t="n"/>
      <c r="L151" s="122" t="n"/>
      <c r="M151" s="122" t="n"/>
      <c r="N151" s="122" t="inlineStr">
        <is>
          <t>if(${crp_sales_main_1}='1',${crpmain},jr:choice-name(${crp_sales_main_2},'${crp_sales_main_2}'))</t>
        </is>
      </c>
      <c r="S151" s="45" t="inlineStr">
        <is>
          <t>yes</t>
        </is>
      </c>
      <c r="U151" s="245" t="n"/>
      <c r="V151" s="174">
        <f>'Additional information'!$D$18</f>
        <v/>
      </c>
      <c r="W151" s="246" t="n"/>
      <c r="X151" s="246" t="n"/>
    </row>
    <row r="152">
      <c r="D152" s="88" t="n"/>
      <c r="F152" s="89" t="n"/>
      <c r="U152" s="245" t="n"/>
      <c r="V152" s="174">
        <f>'Additional information'!$D$18</f>
        <v/>
      </c>
      <c r="W152" s="246" t="n"/>
      <c r="X152" s="246" t="n"/>
    </row>
    <row r="153" ht="32" customHeight="1">
      <c r="A153" s="75" t="inlineStr">
        <is>
          <t>select_one yes_no</t>
        </is>
      </c>
      <c r="B153" s="75" t="inlineStr">
        <is>
          <t>crp_salesdif</t>
        </is>
      </c>
      <c r="C153" s="44" t="inlineStr">
        <is>
          <t>Has your household faced any significant difficulty in the last 3 months **selling** your ${crp_sales_main}?</t>
        </is>
      </c>
      <c r="D153" s="88" t="n"/>
      <c r="E153" s="100" t="n"/>
      <c r="F153" s="106" t="n"/>
      <c r="G153" s="120" t="inlineStr">
        <is>
          <t>true</t>
        </is>
      </c>
      <c r="H153" s="120" t="n"/>
      <c r="I153" s="120" t="n"/>
      <c r="J153" s="120" t="n"/>
      <c r="K153" s="120" t="n"/>
      <c r="L153" s="120" t="n"/>
      <c r="M153" s="120" t="n"/>
      <c r="N153" s="120" t="n"/>
      <c r="S153" s="45" t="inlineStr">
        <is>
          <t>yes</t>
        </is>
      </c>
      <c r="U153" s="245" t="n">
        <v>12.68148708343506</v>
      </c>
      <c r="V153" s="174">
        <f>'Additional information'!$D$18</f>
        <v/>
      </c>
      <c r="W153" s="246">
        <f>IF(U153&lt;&gt;"",U153*V153,"")</f>
        <v/>
      </c>
      <c r="X153" s="246">
        <f>IF(AND(U153&lt;&gt;"",S153="yes"),U153*V153,"")</f>
        <v/>
      </c>
    </row>
    <row r="154" ht="32" customHeight="1">
      <c r="A154" s="75" t="inlineStr">
        <is>
          <t>select_multiple cropsalesdiff</t>
        </is>
      </c>
      <c r="B154" s="75" t="inlineStr">
        <is>
          <t>crp_saledif</t>
        </is>
      </c>
      <c r="C154" s="81" t="inlineStr">
        <is>
          <t xml:space="preserve">Which difficulties has your household faced in the last 3 months selling your ${crp_sales_main}? </t>
        </is>
      </c>
      <c r="D154" s="99" t="n"/>
      <c r="E154" s="45" t="inlineStr">
        <is>
          <t>[INSTRUCTIONS: MULTIPLE RESPONSES POSSIBLE. SELECT OPTION(S) THAT BEST FIT THE INFORMATION PROVIDED BY THE RESPONDENTS.]</t>
        </is>
      </c>
      <c r="F154" s="89" t="n"/>
      <c r="G154" s="120" t="inlineStr">
        <is>
          <t>true</t>
        </is>
      </c>
      <c r="H154" s="120" t="n"/>
      <c r="I154" s="122" t="inlineStr">
        <is>
          <t>if(selected(., 'dk') or selected(., 'ref'), count-selected(.) = 1, count-selected(.) &gt;= 1)</t>
        </is>
      </c>
      <c r="J154" s="120" t="n"/>
      <c r="K154" s="122" t="inlineStr">
        <is>
          <t xml:space="preserve">${crp_salesdif} = '1' </t>
        </is>
      </c>
      <c r="L154" s="120" t="n"/>
      <c r="M154" s="120" t="n"/>
      <c r="N154" s="120" t="n"/>
      <c r="S154" s="45" t="inlineStr">
        <is>
          <t>yes</t>
        </is>
      </c>
      <c r="U154" s="245" t="n">
        <v>22.61360931396484</v>
      </c>
      <c r="V154" s="174">
        <f>'Additional information'!$D$18</f>
        <v/>
      </c>
      <c r="W154" s="246">
        <f>IF(U154&lt;&gt;"",U154*V154,"")</f>
        <v/>
      </c>
      <c r="X154" s="246">
        <f>IF(AND(U154&lt;&gt;"",S154="yes"),U154*V154,"")</f>
        <v/>
      </c>
    </row>
    <row r="155">
      <c r="D155" s="88" t="n"/>
      <c r="F155" s="89" t="n"/>
      <c r="K155" s="132" t="n"/>
      <c r="S155" s="45" t="inlineStr"/>
      <c r="U155" s="245" t="inlineStr"/>
      <c r="V155" s="174">
        <f>'Additional information'!$D$18</f>
        <v/>
      </c>
      <c r="W155" s="246">
        <f>IF(U155&lt;&gt;"",U155*V155,"")</f>
        <v/>
      </c>
      <c r="X155" s="246">
        <f>IF(AND(U155&lt;&gt;"",S155="yes"),U155*V155,"")</f>
        <v/>
      </c>
    </row>
    <row r="156" ht="16" customHeight="1">
      <c r="A156" s="75" t="inlineStr">
        <is>
          <t>select_one change</t>
        </is>
      </c>
      <c r="B156" s="75" t="inlineStr">
        <is>
          <t>crp_salesprice</t>
        </is>
      </c>
      <c r="C156" s="81" t="inlineStr">
        <is>
          <t>IBRAHIM TEST</t>
        </is>
      </c>
      <c r="D156" s="99" t="n"/>
      <c r="E156" s="107" t="inlineStr">
        <is>
          <t>[INSTRUCTIONS: INSIST ON THE MAIN PRODUCT MENTIONED.]</t>
        </is>
      </c>
      <c r="F156" s="106" t="n"/>
      <c r="G156" s="120" t="inlineStr">
        <is>
          <t>true</t>
        </is>
      </c>
      <c r="H156" s="120" t="n"/>
      <c r="I156" s="120" t="n"/>
      <c r="J156" s="120" t="n"/>
      <c r="K156" s="122" t="n"/>
      <c r="L156" s="120" t="n"/>
      <c r="M156" s="120" t="n"/>
      <c r="N156" s="120" t="n"/>
      <c r="S156" s="45" t="inlineStr">
        <is>
          <t>yes</t>
        </is>
      </c>
      <c r="U156" s="245" t="n">
        <v>21.70190811157227</v>
      </c>
      <c r="V156" s="174">
        <f>'Additional information'!$D$18</f>
        <v/>
      </c>
      <c r="W156" s="246">
        <f>IF(U156&lt;&gt;"",U156*V156,"")</f>
        <v/>
      </c>
      <c r="X156" s="246">
        <f>IF(AND(U156&lt;&gt;"",S156="yes"),U156*V156,"")</f>
        <v/>
      </c>
    </row>
    <row r="157">
      <c r="C157" s="47" t="n"/>
      <c r="D157" s="99" t="n"/>
      <c r="E157" s="100" t="n"/>
      <c r="F157" s="106" t="n"/>
      <c r="K157" s="132" t="n"/>
      <c r="S157" s="45" t="inlineStr"/>
      <c r="U157" s="245" t="inlineStr"/>
      <c r="V157" s="174">
        <f>'Additional information'!$D$18</f>
        <v/>
      </c>
      <c r="W157" s="246">
        <f>IF(U157&lt;&gt;"",U157*V157,"")</f>
        <v/>
      </c>
      <c r="X157" s="246">
        <f>IF(AND(U157&lt;&gt;"",S157="yes"),U157*V157,"")</f>
        <v/>
      </c>
    </row>
    <row r="158" ht="16" customHeight="1" thickBot="1">
      <c r="A158" s="102" t="inlineStr">
        <is>
          <t>end_group</t>
        </is>
      </c>
      <c r="B158" s="102" t="n"/>
      <c r="C158" s="103" t="n"/>
      <c r="D158" s="112" t="n"/>
      <c r="E158" s="102" t="n"/>
      <c r="F158" s="113" t="n"/>
      <c r="G158" s="133" t="n"/>
      <c r="H158" s="133" t="n"/>
      <c r="I158" s="133" t="n"/>
      <c r="J158" s="133" t="n"/>
      <c r="K158" s="133" t="n"/>
      <c r="L158" s="133" t="n"/>
      <c r="M158" s="133" t="n"/>
      <c r="N158" s="133" t="n"/>
      <c r="U158" s="245" t="inlineStr"/>
      <c r="W158" s="246">
        <f>IF(U158&lt;&gt;"",U158*V158,"")</f>
        <v/>
      </c>
      <c r="X158" s="246">
        <f>IF(AND(U158&lt;&gt;"",S158="yes"),U158*V158,"")</f>
        <v/>
      </c>
    </row>
    <row r="159" ht="17" customFormat="1" customHeight="1" s="73" thickTop="1">
      <c r="A159" s="70" t="inlineStr">
        <is>
          <t>begin_group</t>
        </is>
      </c>
      <c r="B159" s="70" t="inlineStr">
        <is>
          <t>Livestock_group</t>
        </is>
      </c>
      <c r="C159" s="94" t="inlineStr">
        <is>
          <t>LIVESTOCK PRODUCTION</t>
        </is>
      </c>
      <c r="D159" s="71" t="n"/>
      <c r="E159" s="70" t="n"/>
      <c r="F159" s="72" t="n"/>
      <c r="G159" s="125" t="inlineStr">
        <is>
          <t>false</t>
        </is>
      </c>
      <c r="H159" s="125" t="n"/>
      <c r="I159" s="125" t="n"/>
      <c r="J159" s="125" t="n"/>
      <c r="K159" s="125" t="inlineStr">
        <is>
          <t>${resp_agree} = '1' and (${hh_agricactivity}='2' or ${hh_agricactivity} = '3' or ${income_main_ls_check}='1' or ${income_sec_ls_check}='1' or ${income_third_ls_check}='1')</t>
        </is>
      </c>
      <c r="L159" s="125" t="n"/>
      <c r="M159" s="125" t="n"/>
      <c r="N159" s="125" t="n"/>
      <c r="S159" s="45" t="inlineStr">
        <is>
          <t>yes</t>
        </is>
      </c>
      <c r="U159" s="245" t="n"/>
      <c r="V159" s="74" t="n"/>
      <c r="W159" s="246">
        <f>IF(U159&lt;&gt;"",U159*V159,"")</f>
        <v/>
      </c>
      <c r="X159" s="246">
        <f>IF(AND(U159&lt;&gt;"",S159="yes"),U159*V159,"")</f>
        <v/>
      </c>
      <c r="Y159" s="74" t="n"/>
    </row>
    <row r="160" ht="32" customHeight="1">
      <c r="A160" s="75" t="inlineStr">
        <is>
          <t>note</t>
        </is>
      </c>
      <c r="B160" s="75" t="inlineStr">
        <is>
          <t>ls_intro</t>
        </is>
      </c>
      <c r="C160" s="44" t="inlineStr">
        <is>
          <t xml:space="preserve">We will now ask you some questions about livestock production which apply to you and anyone in your household that is involved in livestock production or sales. </t>
        </is>
      </c>
      <c r="D160" s="88" t="n"/>
      <c r="E160" s="75" t="n"/>
      <c r="F160" s="89" t="n"/>
      <c r="G160" s="120" t="n"/>
      <c r="H160" s="120" t="n"/>
      <c r="I160" s="120" t="n"/>
      <c r="J160" s="120" t="n"/>
      <c r="K160" s="120" t="n"/>
      <c r="L160" s="120" t="n"/>
      <c r="M160" s="120" t="n"/>
      <c r="N160" s="120" t="n"/>
      <c r="S160" s="45" t="inlineStr">
        <is>
          <t>yes</t>
        </is>
      </c>
      <c r="U160" s="245" t="n">
        <v>7.5</v>
      </c>
      <c r="V160" s="255">
        <f>'Additional information'!$D$19</f>
        <v/>
      </c>
      <c r="W160" s="246">
        <f>IF(U160&lt;&gt;"",U160*V160,"")</f>
        <v/>
      </c>
      <c r="X160" s="246">
        <f>IF(AND(U160&lt;&gt;"",S160="yes"),U160*V160,"")</f>
        <v/>
      </c>
    </row>
    <row r="161" customFormat="1" s="73">
      <c r="C161" s="95" t="n"/>
      <c r="D161" s="71" t="n"/>
      <c r="F161" s="72" t="n"/>
      <c r="G161" s="126" t="n"/>
      <c r="H161" s="126" t="n"/>
      <c r="I161" s="126" t="n"/>
      <c r="J161" s="126" t="n"/>
      <c r="K161" s="126" t="n"/>
      <c r="L161" s="126" t="n"/>
      <c r="M161" s="126" t="n"/>
      <c r="N161" s="126" t="n"/>
      <c r="S161" s="45" t="inlineStr"/>
      <c r="U161" s="245" t="inlineStr"/>
      <c r="V161" s="255">
        <f>'Additional information'!$D$19</f>
        <v/>
      </c>
      <c r="W161" s="246">
        <f>IF(U161&lt;&gt;"",U161*V161,"")</f>
        <v/>
      </c>
      <c r="X161" s="246">
        <f>IF(AND(U161&lt;&gt;"",S161="yes"),U161*V161,"")</f>
        <v/>
      </c>
      <c r="Y161" s="74" t="n"/>
    </row>
    <row r="162" ht="32" customHeight="1">
      <c r="A162" s="75" t="inlineStr">
        <is>
          <t>select_one lsmain</t>
        </is>
      </c>
      <c r="B162" s="75" t="inlineStr">
        <is>
          <t>ls_main</t>
        </is>
      </c>
      <c r="C162" s="44" t="inlineStr">
        <is>
          <t>What was the main animal raised by your household for food or income generation in the last 12 months?</t>
        </is>
      </c>
      <c r="D162" s="88" t="n"/>
      <c r="E162" s="45" t="inlineStr">
        <is>
          <t>[INSTRUCTIONS: ASK ABOUT THE MOST IMPORTANT ANIMAL ONLY.] [HINT: DON'T FORGET TO PROBE ABOUT TRANSHUMANCE - MOVING LIVESTOCK FROM ONE GRAZING GROUND TO ANOTHER.]</t>
        </is>
      </c>
      <c r="F162" s="89" t="n"/>
      <c r="G162" s="120" t="inlineStr">
        <is>
          <t>true</t>
        </is>
      </c>
      <c r="H162" s="120" t="inlineStr">
        <is>
          <t>minimal</t>
        </is>
      </c>
      <c r="I162" s="120" t="n"/>
      <c r="J162" s="120" t="n"/>
      <c r="K162" s="120" t="n"/>
      <c r="L162" s="120" t="n"/>
      <c r="M162" s="120" t="n"/>
      <c r="N162" s="120" t="n"/>
      <c r="S162" s="45" t="inlineStr">
        <is>
          <t>yes</t>
        </is>
      </c>
      <c r="U162" s="245" t="n">
        <v>20.2944221496582</v>
      </c>
      <c r="V162" s="255">
        <f>'Additional information'!$D$19</f>
        <v/>
      </c>
      <c r="W162" s="246">
        <f>IF(U162&lt;&gt;"",U162*V162,"")</f>
        <v/>
      </c>
      <c r="X162" s="246">
        <f>IF(AND(U162&lt;&gt;"",S162="yes"),U162*V162,"")</f>
        <v/>
      </c>
    </row>
    <row r="163">
      <c r="A163" s="75" t="inlineStr">
        <is>
          <t>calculate</t>
        </is>
      </c>
      <c r="B163" s="75" t="inlineStr">
        <is>
          <t>lsmain</t>
        </is>
      </c>
      <c r="C163" s="44" t="n"/>
      <c r="D163" s="88" t="n"/>
      <c r="F163" s="89" t="n"/>
      <c r="G163" s="120" t="n"/>
      <c r="H163" s="120" t="n"/>
      <c r="I163" s="120" t="n"/>
      <c r="J163" s="120" t="n"/>
      <c r="K163" s="120" t="n"/>
      <c r="L163" s="120" t="n"/>
      <c r="M163" s="120" t="n"/>
      <c r="N163" s="120" t="inlineStr">
        <is>
          <t>jr:choice-name(${ls_main},'${ls_main}')</t>
        </is>
      </c>
      <c r="S163" s="45" t="inlineStr">
        <is>
          <t>yes</t>
        </is>
      </c>
      <c r="U163" s="245" t="n"/>
      <c r="V163" s="255">
        <f>'Additional information'!$D$19</f>
        <v/>
      </c>
      <c r="W163" s="246">
        <f>IF(U163&lt;&gt;"",U163*V163,"")</f>
        <v/>
      </c>
      <c r="X163" s="246">
        <f>IF(AND(U163&lt;&gt;"",S163="yes"),U163*V163,"")</f>
        <v/>
      </c>
    </row>
    <row r="164">
      <c r="D164" s="88" t="n"/>
      <c r="F164" s="89" t="n"/>
      <c r="K164" s="132" t="n"/>
      <c r="S164" s="45" t="inlineStr"/>
      <c r="U164" s="245" t="inlineStr"/>
      <c r="V164" s="255">
        <f>'Additional information'!$D$19</f>
        <v/>
      </c>
      <c r="W164" s="246">
        <f>IF(U164&lt;&gt;"",U164*V164,"")</f>
        <v/>
      </c>
      <c r="X164" s="246">
        <f>IF(AND(U164&lt;&gt;"",S164="yes"),U164*V164,"")</f>
        <v/>
      </c>
    </row>
    <row r="165" ht="16" customHeight="1">
      <c r="A165" s="75" t="inlineStr">
        <is>
          <t>integer</t>
        </is>
      </c>
      <c r="B165" s="75" t="inlineStr">
        <is>
          <t>ls_num_lastyr</t>
        </is>
      </c>
      <c r="C165" s="44" t="inlineStr">
        <is>
          <t>How many ${lsmain} did you have at the same time last year?</t>
        </is>
      </c>
      <c r="D165" s="88" t="n"/>
      <c r="E165" s="75" t="inlineStr">
        <is>
          <t>[INSTRUCTIONS: RECORD THE NUMBER OF ANIMALS. ENTER 888 FOR DON'T KNOW AND 999 FOR REFUSED.]</t>
        </is>
      </c>
      <c r="F165" s="89" t="n"/>
      <c r="G165" s="120" t="inlineStr">
        <is>
          <t>true</t>
        </is>
      </c>
      <c r="H165" s="120" t="n"/>
      <c r="I165" s="120" t="inlineStr">
        <is>
          <t xml:space="preserve">. &gt;= 0 </t>
        </is>
      </c>
      <c r="J165" s="120" t="n"/>
      <c r="K165" s="120" t="inlineStr">
        <is>
          <t>${ls_main} != '10' or ${ls_main} != '11'</t>
        </is>
      </c>
      <c r="L165" s="120" t="n"/>
      <c r="M165" s="120" t="n"/>
      <c r="N165" s="120" t="n"/>
      <c r="S165" s="45" t="inlineStr">
        <is>
          <t>yes</t>
        </is>
      </c>
      <c r="U165" s="245" t="n">
        <v>18.53907775878906</v>
      </c>
      <c r="V165" s="255">
        <f>'Additional information'!$D$19</f>
        <v/>
      </c>
      <c r="W165" s="246">
        <f>IF(U165&lt;&gt;"",U165*V165,"")</f>
        <v/>
      </c>
      <c r="X165" s="246">
        <f>IF(AND(U165&lt;&gt;"",S165="yes"),U165*V165,"")</f>
        <v/>
      </c>
    </row>
    <row r="166" ht="16" customHeight="1">
      <c r="A166" s="75" t="inlineStr">
        <is>
          <t>integer</t>
        </is>
      </c>
      <c r="B166" s="75" t="inlineStr">
        <is>
          <t>ls_num_now</t>
        </is>
      </c>
      <c r="C166" s="44" t="inlineStr">
        <is>
          <t>How many ${lsmain} do you have now?</t>
        </is>
      </c>
      <c r="D166" s="88" t="n"/>
      <c r="E166" s="75" t="inlineStr">
        <is>
          <t>[INSTRUCTIONS: RECORD THE NUMBER OF ANIMALS. ENTER 888 FOR DON'T KNOW AND 999 FOR REFUSED.]</t>
        </is>
      </c>
      <c r="F166" s="89" t="n"/>
      <c r="G166" s="120" t="inlineStr">
        <is>
          <t>true</t>
        </is>
      </c>
      <c r="H166" s="120" t="n"/>
      <c r="I166" s="120" t="inlineStr">
        <is>
          <t xml:space="preserve">. &gt;= 0 </t>
        </is>
      </c>
      <c r="J166" s="120" t="n"/>
      <c r="K166" s="120" t="inlineStr">
        <is>
          <t>${ls_main} != '10' or ${ls_main} != '11'</t>
        </is>
      </c>
      <c r="L166" s="120" t="n"/>
      <c r="M166" s="120" t="n"/>
      <c r="N166" s="120" t="n"/>
      <c r="S166" s="45" t="inlineStr">
        <is>
          <t>yes</t>
        </is>
      </c>
      <c r="U166" s="245" t="n">
        <v>8.915891647338867</v>
      </c>
      <c r="V166" s="255">
        <f>'Additional information'!$D$19</f>
        <v/>
      </c>
      <c r="W166" s="246">
        <f>IF(U166&lt;&gt;"",U166*V166,"")</f>
        <v/>
      </c>
      <c r="X166" s="246">
        <f>IF(AND(U166&lt;&gt;"",S166="yes"),U166*V166,"")</f>
        <v/>
      </c>
    </row>
    <row r="167" ht="16" customHeight="1">
      <c r="A167" s="75" t="inlineStr">
        <is>
          <t>calculate</t>
        </is>
      </c>
      <c r="B167" s="75" t="inlineStr">
        <is>
          <t>ls_num_diff</t>
        </is>
      </c>
      <c r="C167" s="44" t="inlineStr">
        <is>
          <t xml:space="preserve">Change in ${lsmain}: </t>
        </is>
      </c>
      <c r="D167" s="88" t="n"/>
      <c r="E167" s="75" t="n"/>
      <c r="F167" s="89" t="n"/>
      <c r="G167" s="120" t="inlineStr">
        <is>
          <t>true</t>
        </is>
      </c>
      <c r="H167" s="120" t="n"/>
      <c r="I167" s="120" t="n"/>
      <c r="J167" s="120" t="n"/>
      <c r="K167" s="120" t="inlineStr">
        <is>
          <t>(${ls_main} != '10' or ${ls_main} != '11') and (${ls_num_lastyr} != '888' and ${ls_num_lastyr} != '999' and ${ls_num_now} != '888' and ${ls_num_now} != '999')</t>
        </is>
      </c>
      <c r="L167" s="120" t="n"/>
      <c r="M167" s="120" t="n"/>
      <c r="N167" s="120" t="inlineStr">
        <is>
          <t>${ls_num_now} - ${ls_num_lastyr}</t>
        </is>
      </c>
      <c r="S167" s="45" t="inlineStr">
        <is>
          <t>yes</t>
        </is>
      </c>
      <c r="U167" s="245" t="n"/>
      <c r="V167" s="255">
        <f>'Additional information'!$D$19</f>
        <v/>
      </c>
      <c r="W167" s="246">
        <f>IF(U167&lt;&gt;"",U167*V167,"")</f>
        <v/>
      </c>
      <c r="X167" s="246">
        <f>IF(AND(U167&lt;&gt;"",S167="yes"),U167*V167,"")</f>
        <v/>
      </c>
    </row>
    <row r="168">
      <c r="D168" s="88" t="n"/>
      <c r="F168" s="89" t="n"/>
      <c r="S168" s="45" t="inlineStr"/>
      <c r="U168" s="245" t="inlineStr"/>
      <c r="V168" s="255">
        <f>'Additional information'!$D$19</f>
        <v/>
      </c>
      <c r="W168" s="246">
        <f>IF(U168&lt;&gt;"",U168*V168,"")</f>
        <v/>
      </c>
      <c r="X168" s="246">
        <f>IF(AND(U168&lt;&gt;"",S168="yes"),U168*V168,"")</f>
        <v/>
      </c>
    </row>
    <row r="169" ht="16" customHeight="1">
      <c r="A169" s="75" t="inlineStr">
        <is>
          <t>select_multiple lsnum</t>
        </is>
      </c>
      <c r="B169" s="75" t="inlineStr">
        <is>
          <t>ls_num</t>
        </is>
      </c>
      <c r="C169" s="44" t="inlineStr">
        <is>
          <t>Why did the number of livestock change?</t>
        </is>
      </c>
      <c r="D169" s="88" t="n"/>
      <c r="E169" s="45" t="inlineStr">
        <is>
          <t>[INSTRUCTIONS: MULTIPLE RESPONSES POSSIBLE.]</t>
        </is>
      </c>
      <c r="F169" s="89" t="n"/>
      <c r="G169" s="120" t="inlineStr">
        <is>
          <t>true</t>
        </is>
      </c>
      <c r="H169" s="120" t="n"/>
      <c r="I169" s="120" t="inlineStr">
        <is>
          <t>if(selected(., 'inc_dec_dk') or selected(., 'inc_dec_ref'), count-selected(.) = 1, count-selected(.) &gt;= 1)</t>
        </is>
      </c>
      <c r="J169" s="120" t="n"/>
      <c r="K169" s="120" t="inlineStr">
        <is>
          <t>${ls_main} != '10' or ${ls_main} != '11'</t>
        </is>
      </c>
      <c r="L169" s="120" t="n"/>
      <c r="M169" s="120" t="n"/>
      <c r="N169" s="120" t="n"/>
      <c r="S169" s="45" t="inlineStr">
        <is>
          <t>yes</t>
        </is>
      </c>
      <c r="U169" s="245" t="n">
        <v>25.81001091003418</v>
      </c>
      <c r="V169" s="255">
        <f>'Additional information'!$D$19</f>
        <v/>
      </c>
      <c r="W169" s="246">
        <f>IF(U169&lt;&gt;"",U169*V169,"")</f>
        <v/>
      </c>
      <c r="X169" s="246">
        <f>IF(AND(U169&lt;&gt;"",S169="yes"),U169*V169,"")</f>
        <v/>
      </c>
    </row>
    <row r="170">
      <c r="D170" s="88" t="n"/>
      <c r="F170" s="89" t="n"/>
      <c r="K170" s="132" t="n"/>
      <c r="S170" s="45" t="inlineStr"/>
      <c r="U170" s="245" t="inlineStr"/>
      <c r="V170" s="255">
        <f>'Additional information'!$D$19</f>
        <v/>
      </c>
      <c r="W170" s="246">
        <f>IF(U170&lt;&gt;"",U170*V170,"")</f>
        <v/>
      </c>
      <c r="X170" s="246">
        <f>IF(AND(U170&lt;&gt;"",S170="yes"),U170*V170,"")</f>
        <v/>
      </c>
    </row>
    <row r="171" ht="16" customFormat="1" customHeight="1" s="77">
      <c r="A171" s="77" t="inlineStr">
        <is>
          <t>select_multiple lsfood</t>
        </is>
      </c>
      <c r="B171" s="77" t="inlineStr">
        <is>
          <t>ls_feed</t>
        </is>
      </c>
      <c r="C171" s="78" t="inlineStr">
        <is>
          <t xml:space="preserve">Where do you usually access feed for your ${lsmain}? </t>
        </is>
      </c>
      <c r="D171" s="79" t="n"/>
      <c r="E171" s="77" t="inlineStr">
        <is>
          <t>[INSTRUCTIONS: MULTIPLE RESPONSES POSSIBLE.]</t>
        </is>
      </c>
      <c r="F171" s="83" t="n"/>
      <c r="G171" s="121" t="inlineStr">
        <is>
          <t>true</t>
        </is>
      </c>
      <c r="H171" s="121" t="n"/>
      <c r="I171" s="121" t="inlineStr">
        <is>
          <t>if(selected(., 'dk') or selected(., 'ref'), count-selected(.) = 1, count-selected(.) &gt;= 1)</t>
        </is>
      </c>
      <c r="J171" s="121" t="n"/>
      <c r="K171" s="121" t="n"/>
      <c r="L171" s="121" t="n"/>
      <c r="M171" s="121" t="n"/>
      <c r="N171" s="121" t="n"/>
      <c r="S171" s="77" t="inlineStr">
        <is>
          <t>no</t>
        </is>
      </c>
      <c r="U171" s="245" t="n">
        <v>19.55319786071777</v>
      </c>
      <c r="V171" s="255">
        <f>'Additional information'!$D$19</f>
        <v/>
      </c>
      <c r="W171" s="246">
        <f>IF(U171&lt;&gt;"",U171*V171,"")</f>
        <v/>
      </c>
      <c r="X171" s="246">
        <f>IF(AND(U171&lt;&gt;"",S171="yes"),U171*V171,"")</f>
        <v/>
      </c>
      <c r="Y171" s="76" t="n"/>
    </row>
    <row r="172" customFormat="1" s="77">
      <c r="C172" s="78" t="n"/>
      <c r="D172" s="79" t="n"/>
      <c r="F172" s="83" t="n"/>
      <c r="G172" s="121" t="n"/>
      <c r="H172" s="121" t="n"/>
      <c r="I172" s="121" t="n"/>
      <c r="J172" s="121" t="n"/>
      <c r="K172" s="121" t="n"/>
      <c r="L172" s="121" t="n"/>
      <c r="M172" s="121" t="n"/>
      <c r="N172" s="121" t="n"/>
      <c r="S172" s="77" t="inlineStr"/>
      <c r="U172" s="245" t="inlineStr"/>
      <c r="V172" s="255">
        <f>'Additional information'!$D$19</f>
        <v/>
      </c>
      <c r="W172" s="246">
        <f>IF(U172&lt;&gt;"",U172*V172,"")</f>
        <v/>
      </c>
      <c r="X172" s="246">
        <f>IF(AND(U172&lt;&gt;"",S172="yes"),U172*V172,"")</f>
        <v/>
      </c>
      <c r="Y172" s="76" t="n"/>
    </row>
    <row r="173" ht="32" customHeight="1">
      <c r="A173" s="75" t="inlineStr">
        <is>
          <t>select_one yes_no</t>
        </is>
      </c>
      <c r="B173" s="75" t="inlineStr">
        <is>
          <t>ls_proddif</t>
        </is>
      </c>
      <c r="C173" s="44" t="inlineStr">
        <is>
          <t>Has your household faced any significant difficulty with livestock production over the last 3 months?</t>
        </is>
      </c>
      <c r="D173" s="88" t="n"/>
      <c r="F173" s="89" t="n"/>
      <c r="G173" s="120" t="inlineStr">
        <is>
          <t>true</t>
        </is>
      </c>
      <c r="H173" s="120" t="n"/>
      <c r="I173" s="120" t="n"/>
      <c r="J173" s="120" t="n"/>
      <c r="K173" s="122" t="n"/>
      <c r="L173" s="120" t="n"/>
      <c r="M173" s="120" t="n"/>
      <c r="N173" s="120" t="n"/>
      <c r="S173" s="45" t="inlineStr">
        <is>
          <t>yes</t>
        </is>
      </c>
      <c r="U173" s="245" t="n">
        <v>13.61331653594971</v>
      </c>
      <c r="V173" s="255">
        <f>'Additional information'!$D$19</f>
        <v/>
      </c>
      <c r="W173" s="246">
        <f>IF(U173&lt;&gt;"",U173*V173,"")</f>
        <v/>
      </c>
      <c r="X173" s="246">
        <f>IF(AND(U173&lt;&gt;"",S173="yes"),U173*V173,"")</f>
        <v/>
      </c>
    </row>
    <row r="174" ht="32" customHeight="1">
      <c r="A174" s="75" t="inlineStr">
        <is>
          <t>select_multiple lsproddiff</t>
        </is>
      </c>
      <c r="B174" s="75" t="inlineStr">
        <is>
          <t>ls_proddif_</t>
        </is>
      </c>
      <c r="C174" s="44" t="inlineStr">
        <is>
          <t>Which difficulties has your household faced with livestock production in the last 3 months?</t>
        </is>
      </c>
      <c r="D174" s="88" t="n"/>
      <c r="E174" s="45" t="inlineStr">
        <is>
          <t>[INSTRUCTIONS: MULTIPLE RESPONSES POSSIBLE. SELECT OPTION(S) THAT BEST FIT THE INFORMATION PROVIDED BY THE RESPONDENTS.]</t>
        </is>
      </c>
      <c r="F174" s="89" t="n"/>
      <c r="G174" s="120" t="inlineStr">
        <is>
          <t>true</t>
        </is>
      </c>
      <c r="H174" s="120" t="n"/>
      <c r="I174" s="122" t="inlineStr">
        <is>
          <t>if(selected(., 'dk') or selected(., 'ref'), count-selected(.) = 1, count-selected(.) &gt;= 1)</t>
        </is>
      </c>
      <c r="J174" s="120" t="n"/>
      <c r="K174" s="122" t="inlineStr">
        <is>
          <t>${ls_proddif}='1'</t>
        </is>
      </c>
      <c r="L174" s="120" t="n"/>
      <c r="M174" s="120" t="n"/>
      <c r="N174" s="120" t="n"/>
      <c r="S174" s="45" t="inlineStr">
        <is>
          <t>yes</t>
        </is>
      </c>
      <c r="U174" s="245" t="n">
        <v>27.75464820861816</v>
      </c>
      <c r="V174" s="255">
        <f>'Additional information'!$D$19</f>
        <v/>
      </c>
      <c r="W174" s="246">
        <f>IF(U174&lt;&gt;"",U174*V174,"")</f>
        <v/>
      </c>
      <c r="X174" s="246">
        <f>IF(AND(U174&lt;&gt;"",S174="yes"),U174*V174,"")</f>
        <v/>
      </c>
    </row>
    <row r="175">
      <c r="D175" s="88" t="n"/>
      <c r="F175" s="89" t="n"/>
      <c r="K175" s="132" t="n"/>
      <c r="S175" s="45" t="inlineStr"/>
      <c r="U175" s="245" t="inlineStr"/>
      <c r="V175" s="255">
        <f>'Additional information'!$D$19</f>
        <v/>
      </c>
      <c r="W175" s="246">
        <f>IF(U175&lt;&gt;"",U175*V175,"")</f>
        <v/>
      </c>
      <c r="X175" s="246">
        <f>IF(AND(U175&lt;&gt;"",S175="yes"),U175*V175,"")</f>
        <v/>
      </c>
    </row>
    <row r="176" ht="16" customFormat="1" customHeight="1" s="77">
      <c r="A176" s="77" t="inlineStr">
        <is>
          <t>select_multiple lsmain2</t>
        </is>
      </c>
      <c r="B176" s="77" t="inlineStr">
        <is>
          <t>ls_all</t>
        </is>
      </c>
      <c r="C176" s="78" t="inlineStr">
        <is>
          <t>Do you own any other livestock aside from ${lsmain}, and if so which ones?</t>
        </is>
      </c>
      <c r="D176" s="79" t="n"/>
      <c r="E176" s="77" t="inlineStr">
        <is>
          <t>[INSTRUCTIONS: "No other livestock" APPEARS AT THE END OF THE LIST OF OPTIONS. SELECT ALL LIVESTOCK LISTED BY THE RESPONDENT.]</t>
        </is>
      </c>
      <c r="F176" s="83" t="n"/>
      <c r="G176" s="121" t="inlineStr">
        <is>
          <t>true</t>
        </is>
      </c>
      <c r="H176" s="121" t="inlineStr">
        <is>
          <t>minimal</t>
        </is>
      </c>
      <c r="I176" s="121" t="inlineStr">
        <is>
          <t>if(selected(., '10') or selected(., '11') or selected(.,'666'), count-selected(.) = 1, count-selected(.) &gt;= 1)</t>
        </is>
      </c>
      <c r="J176" s="121" t="n"/>
      <c r="K176" s="121" t="inlineStr">
        <is>
          <t>${ls_main} != '10' and ${ls_main} != '11'</t>
        </is>
      </c>
      <c r="L176" s="121" t="inlineStr">
        <is>
          <t>not(selected(${ls_main}, name))</t>
        </is>
      </c>
      <c r="M176" s="127" t="n"/>
      <c r="N176" s="127" t="n"/>
      <c r="O176" s="45" t="n"/>
      <c r="S176" s="77" t="inlineStr">
        <is>
          <t>no</t>
        </is>
      </c>
      <c r="U176" s="245" t="n">
        <v>17</v>
      </c>
      <c r="V176" s="255">
        <f>'Additional information'!$D$19</f>
        <v/>
      </c>
      <c r="W176" s="246">
        <f>IF(U176&lt;&gt;"",U176*V176,"")</f>
        <v/>
      </c>
      <c r="X176" s="246">
        <f>IF(AND(U176&lt;&gt;"",S176="yes"),U176*V176,"")</f>
        <v/>
      </c>
      <c r="Y176" s="76" t="n"/>
    </row>
    <row r="177">
      <c r="D177" s="88" t="n"/>
      <c r="F177" s="89" t="n"/>
      <c r="K177" s="132" t="n"/>
      <c r="S177" s="45" t="inlineStr"/>
      <c r="U177" s="245" t="inlineStr"/>
      <c r="V177" s="255">
        <f>'Additional information'!$D$19</f>
        <v/>
      </c>
      <c r="W177" s="246">
        <f>IF(U177&lt;&gt;"",U177*V177,"")</f>
        <v/>
      </c>
      <c r="X177" s="246">
        <f>IF(AND(U177&lt;&gt;"",S177="yes"),U177*V177,"")</f>
        <v/>
      </c>
    </row>
    <row r="178" ht="16" customHeight="1" thickBot="1">
      <c r="A178" s="102" t="inlineStr">
        <is>
          <t>end_group</t>
        </is>
      </c>
      <c r="B178" s="102" t="n"/>
      <c r="C178" s="103" t="n"/>
      <c r="D178" s="112" t="n"/>
      <c r="E178" s="102" t="n"/>
      <c r="F178" s="113" t="n"/>
      <c r="G178" s="133" t="n"/>
      <c r="H178" s="133" t="n"/>
      <c r="I178" s="133" t="n"/>
      <c r="J178" s="133" t="n"/>
      <c r="K178" s="133" t="n"/>
      <c r="L178" s="133" t="n"/>
      <c r="M178" s="133" t="n"/>
      <c r="N178" s="133" t="n"/>
      <c r="U178" s="245" t="inlineStr"/>
      <c r="V178" s="174" t="n"/>
      <c r="W178" s="246">
        <f>IF(U178&lt;&gt;"",U178*V178,"")</f>
        <v/>
      </c>
      <c r="X178" s="246">
        <f>IF(AND(U178&lt;&gt;"",S178="yes"),U178*V178,"")</f>
        <v/>
      </c>
    </row>
    <row r="179" ht="17" customFormat="1" customHeight="1" s="73" thickTop="1">
      <c r="A179" s="70" t="inlineStr">
        <is>
          <t>begin_group</t>
        </is>
      </c>
      <c r="B179" s="70" t="inlineStr">
        <is>
          <t>LivestockSales_group</t>
        </is>
      </c>
      <c r="C179" s="94" t="inlineStr">
        <is>
          <t xml:space="preserve">LIVESTOCK &amp; LIVESTOCK PRODUCT MARKETING </t>
        </is>
      </c>
      <c r="D179" s="71" t="n"/>
      <c r="E179" s="70" t="n"/>
      <c r="F179" s="72" t="n"/>
      <c r="G179" s="125" t="inlineStr">
        <is>
          <t>false</t>
        </is>
      </c>
      <c r="H179" s="125" t="n"/>
      <c r="I179" s="125" t="n"/>
      <c r="J179" s="125" t="n"/>
      <c r="K179" s="125" t="inlineStr">
        <is>
          <t>${resp_agree} = '1' and (${income_main}='4' or ${income_sec}='4' or ${income_third}='4')</t>
        </is>
      </c>
      <c r="L179" s="125" t="n"/>
      <c r="M179" s="125" t="n"/>
      <c r="N179" s="125" t="n"/>
      <c r="S179" s="45" t="inlineStr">
        <is>
          <t>yes</t>
        </is>
      </c>
      <c r="U179" s="245" t="n"/>
      <c r="V179" s="174" t="n"/>
      <c r="W179" s="246">
        <f>IF(U179&lt;&gt;"",U179*V179,"")</f>
        <v/>
      </c>
      <c r="X179" s="246">
        <f>IF(AND(U179&lt;&gt;"",S179="yes"),U179*V179,"")</f>
        <v/>
      </c>
      <c r="Y179" s="74" t="n"/>
    </row>
    <row r="180" customFormat="1" s="73">
      <c r="C180" s="95" t="n"/>
      <c r="D180" s="71" t="n"/>
      <c r="F180" s="72" t="n"/>
      <c r="G180" s="126" t="n"/>
      <c r="H180" s="126" t="n"/>
      <c r="I180" s="126" t="n"/>
      <c r="J180" s="126" t="n"/>
      <c r="K180" s="126" t="n"/>
      <c r="L180" s="126" t="n"/>
      <c r="M180" s="126" t="n"/>
      <c r="N180" s="126" t="n"/>
      <c r="S180" s="45" t="inlineStr"/>
      <c r="U180" s="245" t="inlineStr"/>
      <c r="V180" s="255">
        <f>'Additional information'!$D$19</f>
        <v/>
      </c>
      <c r="W180" s="246">
        <f>IF(U180&lt;&gt;"",U180*V180,"")</f>
        <v/>
      </c>
      <c r="X180" s="246">
        <f>IF(AND(U180&lt;&gt;"",S180="yes"),U180*V180,"")</f>
        <v/>
      </c>
      <c r="Y180" s="74" t="n"/>
    </row>
    <row r="181" ht="32" customFormat="1" customHeight="1" s="73">
      <c r="A181" s="75" t="inlineStr">
        <is>
          <t>select_one salesmain</t>
        </is>
      </c>
      <c r="B181" s="75" t="inlineStr">
        <is>
          <t>ls_salesmain</t>
        </is>
      </c>
      <c r="C181" s="44" t="inlineStr">
        <is>
          <t>What was the main livestock or livestock product sold by the household in the last 3 months?</t>
        </is>
      </c>
      <c r="D181" s="88" t="n"/>
      <c r="E181" s="45" t="n"/>
      <c r="F181" s="89" t="n"/>
      <c r="G181" s="120" t="inlineStr">
        <is>
          <t>true</t>
        </is>
      </c>
      <c r="H181" s="120" t="inlineStr">
        <is>
          <t>minimal</t>
        </is>
      </c>
      <c r="I181" s="125" t="n"/>
      <c r="J181" s="125" t="n"/>
      <c r="K181" s="125" t="n"/>
      <c r="L181" s="125" t="n"/>
      <c r="M181" s="125" t="n"/>
      <c r="N181" s="125" t="n"/>
      <c r="S181" s="45" t="inlineStr">
        <is>
          <t>yes</t>
        </is>
      </c>
      <c r="U181" s="245" t="n">
        <v>13.99939060211182</v>
      </c>
      <c r="V181" s="255">
        <f>'Additional information'!$D$19</f>
        <v/>
      </c>
      <c r="W181" s="246">
        <f>IF(U181&lt;&gt;"",U181*V181,"")</f>
        <v/>
      </c>
      <c r="X181" s="246">
        <f>IF(AND(U181&lt;&gt;"",S181="yes"),U181*V181,"")</f>
        <v/>
      </c>
      <c r="Y181" s="74" t="n"/>
    </row>
    <row r="182">
      <c r="A182" s="75" t="inlineStr">
        <is>
          <t>calculate</t>
        </is>
      </c>
      <c r="B182" s="75" t="inlineStr">
        <is>
          <t>lssalesmain</t>
        </is>
      </c>
      <c r="C182" s="44" t="n"/>
      <c r="D182" s="88" t="n"/>
      <c r="F182" s="89" t="n"/>
      <c r="G182" s="120" t="n"/>
      <c r="H182" s="120" t="n"/>
      <c r="I182" s="120" t="n"/>
      <c r="J182" s="120" t="n"/>
      <c r="K182" s="120" t="n"/>
      <c r="L182" s="120" t="n"/>
      <c r="M182" s="120" t="n"/>
      <c r="N182" s="120" t="inlineStr">
        <is>
          <t>jr:choice-name(${ls_salesmain},'${ls_salesmain}')</t>
        </is>
      </c>
      <c r="S182" s="45" t="inlineStr">
        <is>
          <t>yes</t>
        </is>
      </c>
      <c r="U182" s="245" t="n"/>
      <c r="V182" s="255">
        <f>'Additional information'!$D$19</f>
        <v/>
      </c>
      <c r="W182" s="246">
        <f>IF(U182&lt;&gt;"",U182*V182,"")</f>
        <v/>
      </c>
      <c r="X182" s="246">
        <f>IF(AND(U182&lt;&gt;"",S182="yes"),U182*V182,"")</f>
        <v/>
      </c>
    </row>
    <row r="183">
      <c r="D183" s="88" t="n"/>
      <c r="F183" s="89" t="n"/>
      <c r="S183" s="45" t="inlineStr"/>
      <c r="U183" s="245" t="inlineStr"/>
      <c r="V183" s="255">
        <f>'Additional information'!$D$19</f>
        <v/>
      </c>
      <c r="W183" s="246">
        <f>IF(U183&lt;&gt;"",U183*V183,"")</f>
        <v/>
      </c>
      <c r="X183" s="246">
        <f>IF(AND(U183&lt;&gt;"",S183="yes"),U183*V183,"")</f>
        <v/>
      </c>
    </row>
    <row r="184" ht="32" customHeight="1">
      <c r="A184" s="75" t="inlineStr">
        <is>
          <t>select_one yes_no</t>
        </is>
      </c>
      <c r="B184" s="75" t="inlineStr">
        <is>
          <t>ls_salesdif</t>
        </is>
      </c>
      <c r="C184" s="44" t="inlineStr">
        <is>
          <t>Has your household faced any significant difficulty in the last 3 months selling your ${lssalesmain}?</t>
        </is>
      </c>
      <c r="D184" s="88" t="n"/>
      <c r="F184" s="89" t="n"/>
      <c r="G184" s="120" t="inlineStr">
        <is>
          <t>true</t>
        </is>
      </c>
      <c r="H184" s="120" t="n"/>
      <c r="I184" s="120" t="n"/>
      <c r="J184" s="120" t="n"/>
      <c r="K184" s="120" t="n"/>
      <c r="L184" s="120" t="n"/>
      <c r="M184" s="120" t="n"/>
      <c r="N184" s="120" t="n"/>
      <c r="S184" s="45" t="inlineStr">
        <is>
          <t>yes</t>
        </is>
      </c>
      <c r="U184" s="245" t="n">
        <v>10.25279426574707</v>
      </c>
      <c r="V184" s="255">
        <f>'Additional information'!$D$19</f>
        <v/>
      </c>
      <c r="W184" s="246">
        <f>IF(U184&lt;&gt;"",U184*V184,"")</f>
        <v/>
      </c>
      <c r="X184" s="246">
        <f>IF(AND(U184&lt;&gt;"",S184="yes"),U184*V184,"")</f>
        <v/>
      </c>
    </row>
    <row r="185" ht="32" customHeight="1">
      <c r="A185" s="75" t="inlineStr">
        <is>
          <t>select_multiple lssalesdif</t>
        </is>
      </c>
      <c r="B185" s="75" t="inlineStr">
        <is>
          <t>ls_salesdif_</t>
        </is>
      </c>
      <c r="C185" s="44" t="inlineStr">
        <is>
          <t>What difficulties has your household faced in the last 3 months selling your ${lssalesmain}?</t>
        </is>
      </c>
      <c r="D185" s="88" t="n"/>
      <c r="E185" s="45" t="inlineStr">
        <is>
          <t>[INSTRUCTIONS: MULTIPLE RESPONSES POSSIBLE. SELECT OPTION(S) THAT BEST FIT THE INFORMATION PROVIDED BY THE RESPONDENTS.]</t>
        </is>
      </c>
      <c r="F185" s="89" t="n"/>
      <c r="G185" s="120" t="inlineStr">
        <is>
          <t>true</t>
        </is>
      </c>
      <c r="H185" s="120" t="n"/>
      <c r="I185" s="122" t="inlineStr">
        <is>
          <t>if(selected(., 'dk') or selected(., 'ref'), count-selected(.) = 1, count-selected(.) &gt;= 1)</t>
        </is>
      </c>
      <c r="J185" s="122" t="n"/>
      <c r="K185" s="122" t="inlineStr">
        <is>
          <t xml:space="preserve">${ls_salesdif} = '1' </t>
        </is>
      </c>
      <c r="L185" s="120" t="n"/>
      <c r="M185" s="120" t="n"/>
      <c r="N185" s="120" t="n"/>
      <c r="S185" s="45" t="inlineStr">
        <is>
          <t>yes</t>
        </is>
      </c>
      <c r="U185" s="245" t="n">
        <v>24.19434356689453</v>
      </c>
      <c r="V185" s="255">
        <f>'Additional information'!$D$19</f>
        <v/>
      </c>
      <c r="W185" s="246">
        <f>IF(U185&lt;&gt;"",U185*V185,"")</f>
        <v/>
      </c>
      <c r="X185" s="246">
        <f>IF(AND(U185&lt;&gt;"",S185="yes"),U185*V185,"")</f>
        <v/>
      </c>
    </row>
    <row r="186">
      <c r="D186" s="88" t="n"/>
      <c r="F186" s="89" t="n"/>
      <c r="K186" s="132" t="n"/>
      <c r="S186" s="45" t="inlineStr"/>
      <c r="U186" s="245" t="inlineStr"/>
      <c r="V186" s="255">
        <f>'Additional information'!$D$19</f>
        <v/>
      </c>
      <c r="W186" s="246">
        <f>IF(U186&lt;&gt;"",U186*V186,"")</f>
        <v/>
      </c>
      <c r="X186" s="246">
        <f>IF(AND(U186&lt;&gt;"",S186="yes"),U186*V186,"")</f>
        <v/>
      </c>
    </row>
    <row r="187" ht="16" customHeight="1">
      <c r="A187" s="75" t="inlineStr">
        <is>
          <t>select_one change</t>
        </is>
      </c>
      <c r="B187" s="75" t="inlineStr">
        <is>
          <t>ls_salesprice</t>
        </is>
      </c>
      <c r="C187" s="81" t="inlineStr">
        <is>
          <t>IBRAHIM TEST</t>
        </is>
      </c>
      <c r="D187" s="88" t="n"/>
      <c r="E187" s="75" t="inlineStr">
        <is>
          <t>[INSTRUCTIONS: INSIST ON THE MAIN PRODUCT MENTIONED.]</t>
        </is>
      </c>
      <c r="F187" s="89" t="n"/>
      <c r="G187" s="120" t="inlineStr">
        <is>
          <t>true</t>
        </is>
      </c>
      <c r="H187" s="120" t="n"/>
      <c r="I187" s="120" t="n"/>
      <c r="J187" s="120" t="n"/>
      <c r="K187" s="122" t="n"/>
      <c r="L187" s="120" t="n"/>
      <c r="M187" s="120" t="n"/>
      <c r="N187" s="120" t="n"/>
      <c r="S187" s="45" t="inlineStr">
        <is>
          <t>yes</t>
        </is>
      </c>
      <c r="U187" s="245" t="n">
        <v>19.32173728942871</v>
      </c>
      <c r="V187" s="255">
        <f>'Additional information'!$D$19</f>
        <v/>
      </c>
      <c r="W187" s="246">
        <f>IF(U187&lt;&gt;"",U187*V187,"")</f>
        <v/>
      </c>
      <c r="X187" s="246">
        <f>IF(AND(U187&lt;&gt;"",S187="yes"),U187*V187,"")</f>
        <v/>
      </c>
    </row>
    <row r="188">
      <c r="C188" s="47" t="n"/>
      <c r="D188" s="88" t="n"/>
      <c r="F188" s="89" t="n"/>
      <c r="K188" s="132" t="n"/>
      <c r="S188" s="45" t="inlineStr"/>
      <c r="U188" s="245" t="inlineStr"/>
      <c r="V188" s="255">
        <f>'Additional information'!$D$19</f>
        <v/>
      </c>
      <c r="W188" s="246">
        <f>IF(U188&lt;&gt;"",U188*V188,"")</f>
        <v/>
      </c>
      <c r="X188" s="246">
        <f>IF(AND(U188&lt;&gt;"",S188="yes"),U188*V188,"")</f>
        <v/>
      </c>
    </row>
    <row r="189" ht="16" customHeight="1" thickBot="1">
      <c r="A189" s="102" t="inlineStr">
        <is>
          <t>end_group</t>
        </is>
      </c>
      <c r="B189" s="102" t="n"/>
      <c r="C189" s="103" t="n"/>
      <c r="D189" s="112" t="n"/>
      <c r="E189" s="102" t="n"/>
      <c r="F189" s="113" t="n"/>
      <c r="G189" s="133" t="n"/>
      <c r="H189" s="133" t="n"/>
      <c r="I189" s="133" t="n"/>
      <c r="J189" s="133" t="n"/>
      <c r="K189" s="133" t="n"/>
      <c r="L189" s="133" t="n"/>
      <c r="M189" s="133" t="n"/>
      <c r="N189" s="133" t="n"/>
      <c r="U189" s="245" t="inlineStr"/>
      <c r="W189" s="246">
        <f>IF(U189&lt;&gt;"",U189*V189,"")</f>
        <v/>
      </c>
      <c r="X189" s="246">
        <f>IF(AND(U189&lt;&gt;"",S189="yes"),U189*V189,"")</f>
        <v/>
      </c>
    </row>
    <row r="190" ht="17" customFormat="1" customHeight="1" s="73" thickTop="1">
      <c r="A190" s="70" t="inlineStr">
        <is>
          <t>begin_group</t>
        </is>
      </c>
      <c r="B190" s="70" t="inlineStr">
        <is>
          <t>Fishing_group</t>
        </is>
      </c>
      <c r="C190" s="94" t="inlineStr">
        <is>
          <t>FISHING / AQUACULTURE PRODUCTION</t>
        </is>
      </c>
      <c r="D190" s="71" t="n"/>
      <c r="E190" s="70" t="n"/>
      <c r="F190" s="72" t="n"/>
      <c r="G190" s="125" t="inlineStr">
        <is>
          <t>false</t>
        </is>
      </c>
      <c r="H190" s="125" t="n"/>
      <c r="I190" s="125" t="n"/>
      <c r="J190" s="125" t="n"/>
      <c r="K190" s="125" t="inlineStr">
        <is>
          <t>${resp_agree} = '1' and (${income_main_fish_check}='1' or ${income_sec_fish_check}='1' or ${income_third_fish_check}='1' or ${hh_fish}='1')</t>
        </is>
      </c>
      <c r="L190" s="125" t="n"/>
      <c r="M190" s="125" t="n"/>
      <c r="N190" s="125" t="n"/>
      <c r="S190" s="45" t="inlineStr">
        <is>
          <t>yes</t>
        </is>
      </c>
      <c r="U190" s="245" t="n"/>
      <c r="V190" s="74" t="n"/>
      <c r="W190" s="246">
        <f>IF(U190&lt;&gt;"",U190*V190,"")</f>
        <v/>
      </c>
      <c r="X190" s="246">
        <f>IF(AND(U190&lt;&gt;"",S190="yes"),U190*V190,"")</f>
        <v/>
      </c>
      <c r="Y190" s="74" t="n"/>
    </row>
    <row r="191" ht="48" customFormat="1" customHeight="1" s="76">
      <c r="A191" s="80" t="inlineStr">
        <is>
          <t>note</t>
        </is>
      </c>
      <c r="B191" s="80" t="inlineStr">
        <is>
          <t>fish_intro</t>
        </is>
      </c>
      <c r="C191" s="81" t="inlineStr">
        <is>
          <t>We will now ask you some questions about fishing and aquaculture production which apply to you and anyone in your household that is involved in the capture, culture, or harvest of fish and aquatic products.</t>
        </is>
      </c>
      <c r="D191" s="99" t="n"/>
      <c r="F191" s="101" t="n"/>
      <c r="G191" s="122" t="n"/>
      <c r="H191" s="122" t="n"/>
      <c r="I191" s="122" t="n"/>
      <c r="J191" s="122" t="n"/>
      <c r="K191" s="122" t="n"/>
      <c r="L191" s="122" t="n"/>
      <c r="M191" s="122" t="n"/>
      <c r="N191" s="122" t="n"/>
      <c r="S191" s="76" t="inlineStr">
        <is>
          <t>yes</t>
        </is>
      </c>
      <c r="U191" s="245" t="n">
        <v>7.5</v>
      </c>
      <c r="V191" s="255">
        <f>'Additional information'!$D$20</f>
        <v/>
      </c>
      <c r="W191" s="246">
        <f>IF(U191&lt;&gt;"",U191*V191,"")</f>
        <v/>
      </c>
      <c r="X191" s="246">
        <f>IF(AND(U191&lt;&gt;"",S191="yes"),U191*V191,"")</f>
        <v/>
      </c>
    </row>
    <row r="192" customFormat="1" s="73">
      <c r="C192" s="95" t="n"/>
      <c r="D192" s="71" t="n"/>
      <c r="F192" s="72" t="n"/>
      <c r="G192" s="126" t="n"/>
      <c r="H192" s="126" t="n"/>
      <c r="I192" s="126" t="n"/>
      <c r="J192" s="126" t="n"/>
      <c r="K192" s="126" t="n"/>
      <c r="L192" s="126" t="n"/>
      <c r="M192" s="126" t="n"/>
      <c r="N192" s="126" t="n"/>
      <c r="S192" s="45" t="inlineStr"/>
      <c r="U192" s="245" t="inlineStr"/>
      <c r="V192" s="255">
        <f>'Additional information'!$D$20</f>
        <v/>
      </c>
      <c r="W192" s="246">
        <f>IF(U192&lt;&gt;"",U192*V192,"")</f>
        <v/>
      </c>
      <c r="X192" s="246">
        <f>IF(AND(U192&lt;&gt;"",S192="yes"),U192*V192,"")</f>
        <v/>
      </c>
      <c r="Y192" s="74" t="n"/>
    </row>
    <row r="193" ht="16" customHeight="1">
      <c r="A193" s="75" t="inlineStr">
        <is>
          <t>select_multiple fishactivity</t>
        </is>
      </c>
      <c r="B193" s="75" t="inlineStr">
        <is>
          <t>fish_main</t>
        </is>
      </c>
      <c r="C193" s="44" t="inlineStr">
        <is>
          <t>What type of fishing activity does your household generally practice?</t>
        </is>
      </c>
      <c r="D193" s="88" t="n"/>
      <c r="E193" s="45" t="inlineStr">
        <is>
          <t>[INSTRUCTIONS: MUTIPLE RESPONSES POSSIBLE.]</t>
        </is>
      </c>
      <c r="F193" s="89" t="n"/>
      <c r="G193" s="120" t="inlineStr">
        <is>
          <t>true</t>
        </is>
      </c>
      <c r="H193" s="120" t="n"/>
      <c r="I193" s="120" t="inlineStr">
        <is>
          <t>if(selected(., 'dk') or selected(., 'ref'), count-selected(.) = 1, count-selected(.) &gt;= 1)</t>
        </is>
      </c>
      <c r="J193" s="120" t="n"/>
      <c r="K193" s="120" t="n"/>
      <c r="L193" s="120" t="n"/>
      <c r="M193" s="120" t="n"/>
      <c r="N193" s="120" t="n"/>
      <c r="S193" s="45" t="inlineStr">
        <is>
          <t>yes</t>
        </is>
      </c>
      <c r="U193" s="245" t="n">
        <v>19.09011650085449</v>
      </c>
      <c r="V193" s="255">
        <f>'Additional information'!$D$20</f>
        <v/>
      </c>
      <c r="W193" s="246">
        <f>IF(U193&lt;&gt;"",U193*V193,"")</f>
        <v/>
      </c>
      <c r="X193" s="246">
        <f>IF(AND(U193&lt;&gt;"",S193="yes"),U193*V193,"")</f>
        <v/>
      </c>
    </row>
    <row r="194">
      <c r="D194" s="88" t="n"/>
      <c r="F194" s="89" t="n"/>
      <c r="S194" s="45" t="inlineStr"/>
      <c r="U194" s="245" t="inlineStr"/>
      <c r="V194" s="255">
        <f>'Additional information'!$D$20</f>
        <v/>
      </c>
      <c r="W194" s="246">
        <f>IF(U194&lt;&gt;"",U194*V194,"")</f>
        <v/>
      </c>
      <c r="X194" s="246">
        <f>IF(AND(U194&lt;&gt;"",S194="yes"),U194*V194,"")</f>
        <v/>
      </c>
    </row>
    <row r="195" ht="32" customHeight="1">
      <c r="A195" s="75" t="inlineStr">
        <is>
          <t>select_one change</t>
        </is>
      </c>
      <c r="B195" s="75" t="inlineStr">
        <is>
          <t>fish_change</t>
        </is>
      </c>
      <c r="C195" s="44" t="inlineStr">
        <is>
          <t>How does your fish catch [farmed] in the last 3 months [last harvest] compare to the same period [harvest] last year?</t>
        </is>
      </c>
      <c r="D195" s="88" t="n"/>
      <c r="F195" s="89" t="n"/>
      <c r="G195" s="120" t="inlineStr">
        <is>
          <t>true</t>
        </is>
      </c>
      <c r="H195" s="120" t="n"/>
      <c r="I195" s="120" t="n"/>
      <c r="J195" s="120" t="n"/>
      <c r="K195" s="120" t="n"/>
      <c r="L195" s="120" t="n"/>
      <c r="M195" s="120" t="n"/>
      <c r="N195" s="120" t="n"/>
      <c r="S195" s="45" t="inlineStr">
        <is>
          <t>yes</t>
        </is>
      </c>
      <c r="U195" s="245" t="n">
        <v>17.6569766998291</v>
      </c>
      <c r="V195" s="255">
        <f>'Additional information'!$D$20</f>
        <v/>
      </c>
      <c r="W195" s="246">
        <f>IF(U195&lt;&gt;"",U195*V195,"")</f>
        <v/>
      </c>
      <c r="X195" s="246">
        <f>IF(AND(U195&lt;&gt;"",S195="yes"),U195*V195,"")</f>
        <v/>
      </c>
    </row>
    <row r="196">
      <c r="D196" s="88" t="n"/>
      <c r="F196" s="89" t="n"/>
      <c r="S196" s="45" t="inlineStr"/>
      <c r="U196" s="245" t="inlineStr"/>
      <c r="V196" s="255">
        <f>'Additional information'!$D$20</f>
        <v/>
      </c>
      <c r="W196" s="246">
        <f>IF(U196&lt;&gt;"",U196*V196,"")</f>
        <v/>
      </c>
      <c r="X196" s="246">
        <f>IF(AND(U196&lt;&gt;"",S196="yes"),U196*V196,"")</f>
        <v/>
      </c>
    </row>
    <row r="197" ht="32" customHeight="1">
      <c r="A197" s="75" t="inlineStr">
        <is>
          <t>select_one yes_no</t>
        </is>
      </c>
      <c r="B197" s="75" t="inlineStr">
        <is>
          <t>fish_proddif</t>
        </is>
      </c>
      <c r="C197" s="44" t="inlineStr">
        <is>
          <t>Has your household faced any significant difficulty with fish catch / harvest / farming in the last 3 months?</t>
        </is>
      </c>
      <c r="D197" s="88" t="n"/>
      <c r="F197" s="89" t="n"/>
      <c r="G197" s="120" t="inlineStr">
        <is>
          <t>true</t>
        </is>
      </c>
      <c r="H197" s="120" t="n"/>
      <c r="I197" s="120" t="n"/>
      <c r="J197" s="120" t="n"/>
      <c r="K197" s="120" t="n"/>
      <c r="L197" s="120" t="n"/>
      <c r="M197" s="120" t="n"/>
      <c r="N197" s="120" t="n"/>
      <c r="S197" s="45" t="inlineStr">
        <is>
          <t>yes</t>
        </is>
      </c>
      <c r="U197" s="253" t="n">
        <v>8.764705657958984</v>
      </c>
      <c r="V197" s="255">
        <f>'Additional information'!$D$20</f>
        <v/>
      </c>
      <c r="W197" s="246">
        <f>IF(U197&lt;&gt;"",U197*V197,"")</f>
        <v/>
      </c>
      <c r="X197" s="246">
        <f>IF(AND(U197&lt;&gt;"",S197="yes"),U197*V197,"")</f>
        <v/>
      </c>
    </row>
    <row r="198" ht="32" customHeight="1">
      <c r="A198" s="75" t="inlineStr">
        <is>
          <t>select_multiple fishproddiff</t>
        </is>
      </c>
      <c r="B198" s="75" t="inlineStr">
        <is>
          <t>fish_proddif_</t>
        </is>
      </c>
      <c r="C198" s="44" t="inlineStr">
        <is>
          <t>Which difficulties has your household faced with fish catch / harvest / farming in the last 3 months?</t>
        </is>
      </c>
      <c r="D198" s="88" t="n"/>
      <c r="E198" s="45" t="inlineStr">
        <is>
          <t>[INSTRUCTIONS: MULTIPLE RESPONSES POSSIBLE. SELECT OPTION(S) THAT BEST FIT THE INFORMATION PROVIDED BY THE RESPONDENTS.]</t>
        </is>
      </c>
      <c r="F198" s="89" t="n"/>
      <c r="G198" s="120" t="n"/>
      <c r="H198" s="120" t="n"/>
      <c r="I198" s="122" t="inlineStr">
        <is>
          <t>if(selected(., 'dk') or selected(., 'ref'), count-selected(.) = 1, count-selected(.) &gt;= 1)</t>
        </is>
      </c>
      <c r="J198" s="120" t="n"/>
      <c r="K198" s="122" t="inlineStr">
        <is>
          <t>${fish_proddif}='1'</t>
        </is>
      </c>
      <c r="L198" s="120" t="n"/>
      <c r="M198" s="120" t="n"/>
      <c r="N198" s="120" t="n"/>
      <c r="S198" s="45" t="inlineStr">
        <is>
          <t>yes</t>
        </is>
      </c>
      <c r="U198" s="253" t="n">
        <v>27.9538459777832</v>
      </c>
      <c r="V198" s="255">
        <f>'Additional information'!$D$20</f>
        <v/>
      </c>
      <c r="W198" s="246">
        <f>IF(U198&lt;&gt;"",U198*V198,"")</f>
        <v/>
      </c>
      <c r="X198" s="246">
        <f>IF(AND(U198&lt;&gt;"",S198="yes"),U198*V198,"")</f>
        <v/>
      </c>
    </row>
    <row r="199" ht="16" customHeight="1">
      <c r="A199" s="75" t="inlineStr">
        <is>
          <t>text</t>
        </is>
      </c>
      <c r="B199" s="75" t="inlineStr">
        <is>
          <t>fish_proddif_otherspecify</t>
        </is>
      </c>
      <c r="C199" s="81" t="inlineStr">
        <is>
          <t>If other, specify.</t>
        </is>
      </c>
      <c r="D199" s="99" t="n"/>
      <c r="E199" s="76" t="inlineStr">
        <is>
          <t>[INSTRUCTIONS: RECORD THE OPEN RESPONSE GIVEN IN FEW WORDS. ENTER 888 FOR DON'T KNOW AND 999 FOR REFUSED]</t>
        </is>
      </c>
      <c r="F199" s="89" t="n"/>
      <c r="G199" s="120" t="inlineStr">
        <is>
          <t>true</t>
        </is>
      </c>
      <c r="H199" s="120" t="n"/>
      <c r="I199" s="120" t="n"/>
      <c r="J199" s="120" t="n"/>
      <c r="K199" s="120" t="inlineStr">
        <is>
          <t>${fish_proddif} = '1' and selected(${fish_proddif_}, 'other')</t>
        </is>
      </c>
      <c r="L199" s="120" t="n"/>
      <c r="M199" s="120" t="n"/>
      <c r="N199" s="120" t="n"/>
      <c r="S199" s="45" t="inlineStr">
        <is>
          <t>yes</t>
        </is>
      </c>
      <c r="U199" s="245" t="n"/>
      <c r="V199" s="255">
        <f>'Additional information'!$D$20</f>
        <v/>
      </c>
      <c r="W199" s="246">
        <f>IF(U199&lt;&gt;"",U199*V199,"")</f>
        <v/>
      </c>
      <c r="X199" s="246">
        <f>IF(AND(U199&lt;&gt;"",S199="yes"),U199*V199,"")</f>
        <v/>
      </c>
    </row>
    <row r="200">
      <c r="D200" s="88" t="n"/>
      <c r="F200" s="89" t="n"/>
      <c r="S200" s="45" t="inlineStr"/>
      <c r="U200" s="245" t="inlineStr"/>
      <c r="V200" s="255">
        <f>'Additional information'!$D$20</f>
        <v/>
      </c>
      <c r="W200" s="246">
        <f>IF(U200&lt;&gt;"",U200*V200,"")</f>
        <v/>
      </c>
      <c r="X200" s="246">
        <f>IF(AND(U200&lt;&gt;"",S200="yes"),U200*V200,"")</f>
        <v/>
      </c>
    </row>
    <row r="201" ht="32" customFormat="1" customHeight="1" s="77">
      <c r="A201" s="77" t="inlineStr">
        <is>
          <t>select_multiple fishinput</t>
        </is>
      </c>
      <c r="B201" s="77" t="inlineStr">
        <is>
          <t>fish_inputdif</t>
        </is>
      </c>
      <c r="C201" s="78" t="inlineStr">
        <is>
          <t>Which fishing [culture] input material has your household had difficulties accessing in the last 3 months?</t>
        </is>
      </c>
      <c r="D201" s="79" t="n"/>
      <c r="E201" s="77" t="inlineStr">
        <is>
          <t>[INSTRUCTIONS: MUTIPLE RESPONSES POSSIBLE.]</t>
        </is>
      </c>
      <c r="F201" s="83" t="n"/>
      <c r="G201" s="121" t="inlineStr">
        <is>
          <t>true</t>
        </is>
      </c>
      <c r="H201" s="121" t="n"/>
      <c r="I201" s="121" t="inlineStr">
        <is>
          <t>if(selected(., 'dk') or selected(., 'ref'), count-selected(.) = 1, count-selected(.) &gt;= 1)</t>
        </is>
      </c>
      <c r="J201" s="121" t="n"/>
      <c r="K201" s="121" t="inlineStr">
        <is>
          <t>${fish_proddif} = '1' and selected(${fish_proddif_}, 'input_access')</t>
        </is>
      </c>
      <c r="L201" s="121" t="n"/>
      <c r="M201" s="121" t="n"/>
      <c r="N201" s="121" t="n"/>
      <c r="S201" s="77" t="inlineStr">
        <is>
          <t>no</t>
        </is>
      </c>
      <c r="U201" s="245" t="n">
        <v>21.25</v>
      </c>
      <c r="V201" s="255">
        <f>'Additional information'!$D$20</f>
        <v/>
      </c>
      <c r="W201" s="246">
        <f>IF(U201&lt;&gt;"",U201*V201,"")</f>
        <v/>
      </c>
      <c r="X201" s="246">
        <f>IF(AND(U201&lt;&gt;"",S201="yes"),U201*V201,"")</f>
        <v/>
      </c>
      <c r="Y201" s="76" t="n"/>
    </row>
    <row r="202" ht="16" customFormat="1" customHeight="1" s="77">
      <c r="A202" s="77" t="inlineStr">
        <is>
          <t>text</t>
        </is>
      </c>
      <c r="B202" s="77" t="inlineStr">
        <is>
          <t>fish_inputdif_otherspecify</t>
        </is>
      </c>
      <c r="C202" s="78" t="inlineStr">
        <is>
          <t>If other, specify.</t>
        </is>
      </c>
      <c r="D202" s="79" t="n"/>
      <c r="E202" s="77" t="inlineStr">
        <is>
          <t>[INSTRUCTIONS: RECORD THE OPEN RESPONSE GIVEN IN FEW WORDS. ENTER 888 FOR DON'T KNOW AND 999 FOR REFUSED]</t>
        </is>
      </c>
      <c r="F202" s="83" t="n"/>
      <c r="G202" s="121" t="inlineStr">
        <is>
          <t>true</t>
        </is>
      </c>
      <c r="H202" s="121" t="n"/>
      <c r="I202" s="121" t="n"/>
      <c r="J202" s="121" t="n"/>
      <c r="K202" s="121" t="inlineStr">
        <is>
          <t>${fish_inputdif} = 'other'</t>
        </is>
      </c>
      <c r="L202" s="121" t="n"/>
      <c r="M202" s="121" t="n"/>
      <c r="N202" s="121" t="n"/>
      <c r="S202" s="77" t="inlineStr">
        <is>
          <t>no</t>
        </is>
      </c>
      <c r="U202" s="245" t="n"/>
      <c r="V202" s="255">
        <f>'Additional information'!$D$20</f>
        <v/>
      </c>
      <c r="W202" s="246">
        <f>IF(U202&lt;&gt;"",U202*V202,"")</f>
        <v/>
      </c>
      <c r="X202" s="246">
        <f>IF(AND(U202&lt;&gt;"",S202="yes"),U202*V202,"")</f>
        <v/>
      </c>
      <c r="Y202" s="76" t="n"/>
    </row>
    <row r="203" customFormat="1" s="77">
      <c r="C203" s="78" t="n"/>
      <c r="D203" s="79" t="n"/>
      <c r="F203" s="83" t="n"/>
      <c r="G203" s="121" t="n"/>
      <c r="H203" s="121" t="n"/>
      <c r="I203" s="121" t="n"/>
      <c r="J203" s="121" t="n"/>
      <c r="K203" s="121" t="n"/>
      <c r="L203" s="121" t="n"/>
      <c r="M203" s="121" t="n"/>
      <c r="N203" s="121" t="n"/>
      <c r="S203" s="77" t="inlineStr"/>
      <c r="U203" s="245" t="inlineStr"/>
      <c r="V203" s="255">
        <f>'Additional information'!$D$20</f>
        <v/>
      </c>
      <c r="W203" s="246">
        <f>IF(U203&lt;&gt;"",U203*V203,"")</f>
        <v/>
      </c>
      <c r="X203" s="246">
        <f>IF(AND(U203&lt;&gt;"",S203="yes"),U203*V203,"")</f>
        <v/>
      </c>
      <c r="Y203" s="76" t="n"/>
    </row>
    <row r="204" ht="16" customHeight="1" thickBot="1">
      <c r="A204" s="97" t="inlineStr">
        <is>
          <t>end_group</t>
        </is>
      </c>
      <c r="B204" s="97" t="n"/>
      <c r="C204" s="98" t="n"/>
      <c r="D204" s="92" t="n"/>
      <c r="E204" s="97" t="n"/>
      <c r="F204" s="93" t="n"/>
      <c r="G204" s="131" t="n"/>
      <c r="H204" s="131" t="n"/>
      <c r="I204" s="131" t="n"/>
      <c r="J204" s="131" t="n"/>
      <c r="K204" s="131" t="n"/>
      <c r="L204" s="131" t="n"/>
      <c r="M204" s="131" t="n"/>
      <c r="N204" s="131" t="n"/>
      <c r="U204" s="245" t="inlineStr"/>
      <c r="W204" s="246">
        <f>IF(U204&lt;&gt;"",U204*V204,"")</f>
        <v/>
      </c>
      <c r="X204" s="246">
        <f>IF(AND(U204&lt;&gt;"",S204="yes"),U204*V204,"")</f>
        <v/>
      </c>
    </row>
    <row r="205" ht="17" customFormat="1" customHeight="1" s="73" thickTop="1">
      <c r="A205" s="70" t="inlineStr">
        <is>
          <t>begin_group</t>
        </is>
      </c>
      <c r="B205" s="70" t="inlineStr">
        <is>
          <t>FishSales_group</t>
        </is>
      </c>
      <c r="C205" s="94" t="inlineStr">
        <is>
          <t xml:space="preserve">FISHING / AQUACULTURE MARKETING </t>
        </is>
      </c>
      <c r="D205" s="71" t="n"/>
      <c r="E205" s="70" t="n"/>
      <c r="F205" s="72" t="n"/>
      <c r="G205" s="125" t="inlineStr">
        <is>
          <t>false</t>
        </is>
      </c>
      <c r="H205" s="125" t="n"/>
      <c r="I205" s="125" t="n"/>
      <c r="J205" s="125" t="n"/>
      <c r="K205" s="125" t="inlineStr">
        <is>
          <t>${resp_agree} = '1' and (${income_main}='6' or ${income_sec}='6' or ${income_third}='6')</t>
        </is>
      </c>
      <c r="L205" s="125" t="n"/>
      <c r="M205" s="125" t="n"/>
      <c r="N205" s="125" t="n"/>
      <c r="S205" s="45" t="inlineStr">
        <is>
          <t>yes</t>
        </is>
      </c>
      <c r="U205" s="245" t="n"/>
      <c r="V205" s="74" t="n"/>
      <c r="W205" s="246">
        <f>IF(U205&lt;&gt;"",U205*V205,"")</f>
        <v/>
      </c>
      <c r="X205" s="246">
        <f>IF(AND(U205&lt;&gt;"",S205="yes"),U205*V205,"")</f>
        <v/>
      </c>
      <c r="Y205" s="74" t="n"/>
    </row>
    <row r="206" customFormat="1" s="73">
      <c r="C206" s="95" t="n"/>
      <c r="D206" s="71" t="n"/>
      <c r="F206" s="72" t="n"/>
      <c r="G206" s="126" t="n"/>
      <c r="H206" s="126" t="n"/>
      <c r="I206" s="126" t="n"/>
      <c r="J206" s="126" t="n"/>
      <c r="K206" s="126" t="n"/>
      <c r="L206" s="126" t="n"/>
      <c r="M206" s="126" t="n"/>
      <c r="N206" s="126" t="n"/>
      <c r="S206" s="45" t="inlineStr"/>
      <c r="U206" s="245" t="inlineStr"/>
      <c r="V206" s="255">
        <f>'Additional information'!$D$20</f>
        <v/>
      </c>
      <c r="W206" s="246">
        <f>IF(U206&lt;&gt;"",U206*V206,"")</f>
        <v/>
      </c>
      <c r="X206" s="246">
        <f>IF(AND(U206&lt;&gt;"",S206="yes"),U206*V206,"")</f>
        <v/>
      </c>
      <c r="Y206" s="74" t="n"/>
    </row>
    <row r="207" ht="32" customFormat="1" customHeight="1" s="73">
      <c r="A207" s="75" t="inlineStr">
        <is>
          <t>select_one fishsales</t>
        </is>
      </c>
      <c r="B207" s="75" t="inlineStr">
        <is>
          <t>fish_salesmain</t>
        </is>
      </c>
      <c r="C207" s="44" t="inlineStr">
        <is>
          <t>What was the main fish or aquatic product sold by your household in the last 3 months?</t>
        </is>
      </c>
      <c r="D207" s="88" t="n"/>
      <c r="E207" s="75" t="n"/>
      <c r="F207" s="89" t="n"/>
      <c r="G207" s="120" t="inlineStr">
        <is>
          <t>true</t>
        </is>
      </c>
      <c r="H207" s="125" t="n"/>
      <c r="I207" s="125" t="n"/>
      <c r="J207" s="125" t="n"/>
      <c r="K207" s="125" t="n"/>
      <c r="L207" s="125" t="n"/>
      <c r="M207" s="125" t="n"/>
      <c r="N207" s="125" t="n"/>
      <c r="S207" s="45" t="inlineStr">
        <is>
          <t>yes</t>
        </is>
      </c>
      <c r="U207" s="245" t="n">
        <v>14.38495540618896</v>
      </c>
      <c r="V207" s="255">
        <f>'Additional information'!$D$20</f>
        <v/>
      </c>
      <c r="W207" s="246">
        <f>IF(U207&lt;&gt;"",U207*V207,"")</f>
        <v/>
      </c>
      <c r="X207" s="246">
        <f>IF(AND(U207&lt;&gt;"",S207="yes"),U207*V207,"")</f>
        <v/>
      </c>
      <c r="Y207" s="74" t="n"/>
    </row>
    <row r="208">
      <c r="A208" s="75" t="inlineStr">
        <is>
          <t>calculate</t>
        </is>
      </c>
      <c r="B208" s="75" t="inlineStr">
        <is>
          <t>fishsalesmain</t>
        </is>
      </c>
      <c r="C208" s="44" t="n"/>
      <c r="D208" s="88" t="n"/>
      <c r="E208" s="75" t="n"/>
      <c r="F208" s="89" t="n"/>
      <c r="G208" s="120" t="n"/>
      <c r="H208" s="120" t="n"/>
      <c r="I208" s="120" t="n"/>
      <c r="J208" s="120" t="n"/>
      <c r="K208" s="120" t="n"/>
      <c r="L208" s="120" t="n"/>
      <c r="M208" s="120" t="n"/>
      <c r="N208" s="120" t="inlineStr">
        <is>
          <t>jr:choice-name(${fish_salesmain},'${fish_salesmain}')</t>
        </is>
      </c>
      <c r="S208" s="45" t="inlineStr">
        <is>
          <t>yes</t>
        </is>
      </c>
      <c r="U208" s="245" t="n"/>
      <c r="V208" s="255">
        <f>'Additional information'!$D$20</f>
        <v/>
      </c>
      <c r="W208" s="246">
        <f>IF(U208&lt;&gt;"",U208*V208,"")</f>
        <v/>
      </c>
      <c r="X208" s="246">
        <f>IF(AND(U208&lt;&gt;"",S208="yes"),U208*V208,"")</f>
        <v/>
      </c>
    </row>
    <row r="209" ht="16" customHeight="1">
      <c r="A209" s="75" t="inlineStr">
        <is>
          <t>text</t>
        </is>
      </c>
      <c r="B209" s="75" t="inlineStr">
        <is>
          <t>fish_salesmain_otherspecify</t>
        </is>
      </c>
      <c r="C209" s="81" t="inlineStr">
        <is>
          <t>If other, specify.</t>
        </is>
      </c>
      <c r="D209" s="99" t="n"/>
      <c r="E209" s="76" t="inlineStr">
        <is>
          <t>[INSTRUCTIONS: RECORD THE OPEN RESPONSE GIVEN IN FEW WORDS. ENTER 888 FOR DON'T KNOW AND 999 FOR REFUSED]</t>
        </is>
      </c>
      <c r="F209" s="89" t="n"/>
      <c r="G209" s="120" t="inlineStr">
        <is>
          <t>true</t>
        </is>
      </c>
      <c r="H209" s="120" t="n"/>
      <c r="I209" s="120" t="n"/>
      <c r="J209" s="120" t="n"/>
      <c r="K209" s="122" t="inlineStr">
        <is>
          <t>selected(${fish_salesmain} , '5')</t>
        </is>
      </c>
      <c r="L209" s="120" t="n"/>
      <c r="M209" s="120" t="n"/>
      <c r="N209" s="120" t="n"/>
      <c r="S209" s="45" t="inlineStr">
        <is>
          <t>yes</t>
        </is>
      </c>
      <c r="U209" s="245" t="n"/>
      <c r="V209" s="255">
        <f>'Additional information'!$D$20</f>
        <v/>
      </c>
      <c r="W209" s="246">
        <f>IF(U209&lt;&gt;"",U209*V209,"")</f>
        <v/>
      </c>
      <c r="X209" s="246">
        <f>IF(AND(U209&lt;&gt;"",S209="yes"),U209*V209,"")</f>
        <v/>
      </c>
    </row>
    <row r="210">
      <c r="D210" s="88" t="n"/>
      <c r="F210" s="89" t="n"/>
      <c r="K210" s="132" t="n"/>
      <c r="S210" s="45" t="inlineStr"/>
      <c r="U210" s="245" t="inlineStr"/>
      <c r="V210" s="255">
        <f>'Additional information'!$D$20</f>
        <v/>
      </c>
      <c r="W210" s="246">
        <f>IF(U210&lt;&gt;"",U210*V210,"")</f>
        <v/>
      </c>
      <c r="X210" s="246">
        <f>IF(AND(U210&lt;&gt;"",S210="yes"),U210*V210,"")</f>
        <v/>
      </c>
    </row>
    <row r="211" ht="32" customHeight="1">
      <c r="A211" s="75" t="inlineStr">
        <is>
          <t>select_one yes_no</t>
        </is>
      </c>
      <c r="B211" s="75" t="inlineStr">
        <is>
          <t>fish_salesdif</t>
        </is>
      </c>
      <c r="C211" s="44" t="inlineStr">
        <is>
          <t>Has your household faced any significant difficulty marketing / selling your ${fishsalesmain} in the last 3 months?</t>
        </is>
      </c>
      <c r="D211" s="88" t="n"/>
      <c r="E211" s="75" t="n"/>
      <c r="F211" s="89" t="n"/>
      <c r="G211" s="120" t="inlineStr">
        <is>
          <t>true</t>
        </is>
      </c>
      <c r="H211" s="120" t="n"/>
      <c r="I211" s="120" t="n"/>
      <c r="J211" s="120" t="n"/>
      <c r="K211" s="120" t="n"/>
      <c r="L211" s="120" t="n"/>
      <c r="M211" s="120" t="n"/>
      <c r="N211" s="120" t="n"/>
      <c r="S211" s="45" t="inlineStr">
        <is>
          <t>yes</t>
        </is>
      </c>
      <c r="U211" s="245" t="n">
        <v>9.438053131103516</v>
      </c>
      <c r="V211" s="255">
        <f>'Additional information'!$D$20</f>
        <v/>
      </c>
      <c r="W211" s="246">
        <f>IF(U211&lt;&gt;"",U211*V211,"")</f>
        <v/>
      </c>
      <c r="X211" s="246">
        <f>IF(AND(U211&lt;&gt;"",S211="yes"),U211*V211,"")</f>
        <v/>
      </c>
    </row>
    <row r="212" ht="32" customHeight="1">
      <c r="A212" s="75" t="inlineStr">
        <is>
          <t>select_multiple fishsalesdif</t>
        </is>
      </c>
      <c r="B212" s="75" t="inlineStr">
        <is>
          <t>fish_saledif</t>
        </is>
      </c>
      <c r="C212" s="44" t="inlineStr">
        <is>
          <t>What difficulties has your household faced in the last 3 months selling your ${fishsalesmain}?</t>
        </is>
      </c>
      <c r="D212" s="88" t="n"/>
      <c r="E212" s="75" t="inlineStr">
        <is>
          <t>[INSTRUCTIONS: MULTIPLE RESPONSES POSSIBLE.]</t>
        </is>
      </c>
      <c r="F212" s="89" t="n"/>
      <c r="G212" s="120" t="inlineStr">
        <is>
          <t>true</t>
        </is>
      </c>
      <c r="H212" s="120" t="n"/>
      <c r="I212" s="122" t="inlineStr">
        <is>
          <t>if(selected(., 'dk') or selected(., 'ref'), count-selected(.) = 1, count-selected(.) &gt;= 1)</t>
        </is>
      </c>
      <c r="J212" s="120" t="n"/>
      <c r="K212" s="122" t="inlineStr">
        <is>
          <t xml:space="preserve">${fish_salesdif} = '1' </t>
        </is>
      </c>
      <c r="L212" s="120" t="n"/>
      <c r="M212" s="120" t="n"/>
      <c r="N212" s="120" t="n"/>
      <c r="S212" s="45" t="inlineStr">
        <is>
          <t>yes</t>
        </is>
      </c>
      <c r="U212" s="245" t="n">
        <v>27.76699066162109</v>
      </c>
      <c r="V212" s="255">
        <f>'Additional information'!$D$20</f>
        <v/>
      </c>
      <c r="W212" s="246">
        <f>IF(U212&lt;&gt;"",U212*V212,"")</f>
        <v/>
      </c>
      <c r="X212" s="246">
        <f>IF(AND(U212&lt;&gt;"",S212="yes"),U212*V212,"")</f>
        <v/>
      </c>
    </row>
    <row r="213" ht="16" customHeight="1">
      <c r="A213" s="75" t="inlineStr">
        <is>
          <t>text</t>
        </is>
      </c>
      <c r="B213" s="75" t="inlineStr">
        <is>
          <t>fish_salesdif_otherspecify</t>
        </is>
      </c>
      <c r="C213" s="81" t="inlineStr">
        <is>
          <t>If other, specify.</t>
        </is>
      </c>
      <c r="D213" s="99" t="n"/>
      <c r="E213" s="76" t="inlineStr">
        <is>
          <t>[INSTRUCTIONS: RECORD THE OPEN RESPONSE GIVEN IN FEW WORDS. ENTER 888 FOR DON'T KNOW AND 999 FOR REFUSED]</t>
        </is>
      </c>
      <c r="F213" s="89" t="n"/>
      <c r="G213" s="120" t="inlineStr">
        <is>
          <t>true</t>
        </is>
      </c>
      <c r="H213" s="120" t="n"/>
      <c r="I213" s="120" t="n"/>
      <c r="J213" s="120" t="n"/>
      <c r="K213" s="122" t="inlineStr">
        <is>
          <t>selected(${fish_saledif}, 'other')</t>
        </is>
      </c>
      <c r="L213" s="120" t="n"/>
      <c r="M213" s="120" t="n"/>
      <c r="N213" s="120" t="n"/>
      <c r="S213" s="45" t="inlineStr">
        <is>
          <t>yes</t>
        </is>
      </c>
      <c r="U213" s="245" t="n"/>
      <c r="V213" s="255">
        <f>'Additional information'!$D$20</f>
        <v/>
      </c>
      <c r="W213" s="246">
        <f>IF(U213&lt;&gt;"",U213*V213,"")</f>
        <v/>
      </c>
      <c r="X213" s="246">
        <f>IF(AND(U213&lt;&gt;"",S213="yes"),U213*V213,"")</f>
        <v/>
      </c>
    </row>
    <row r="214">
      <c r="D214" s="88" t="n"/>
      <c r="F214" s="89" t="n"/>
      <c r="K214" s="132" t="n"/>
      <c r="S214" s="45" t="inlineStr"/>
      <c r="U214" s="245" t="inlineStr"/>
      <c r="V214" s="255">
        <f>'Additional information'!$D$20</f>
        <v/>
      </c>
      <c r="W214" s="246">
        <f>IF(U214&lt;&gt;"",U214*V214,"")</f>
        <v/>
      </c>
      <c r="X214" s="246">
        <f>IF(AND(U214&lt;&gt;"",S214="yes"),U214*V214,"")</f>
        <v/>
      </c>
    </row>
    <row r="215" ht="16" customHeight="1">
      <c r="A215" s="75" t="inlineStr">
        <is>
          <t>select_one change</t>
        </is>
      </c>
      <c r="B215" s="75" t="inlineStr">
        <is>
          <t>fish_salesprice</t>
        </is>
      </c>
      <c r="C215" s="81" t="inlineStr">
        <is>
          <t>IBRAHIM TEST</t>
        </is>
      </c>
      <c r="D215" s="88" t="n"/>
      <c r="E215" s="75" t="inlineStr">
        <is>
          <t>[INSTRUCTIONS: INSIST ON THE MAIN PRODUCT MENTIONED.]</t>
        </is>
      </c>
      <c r="F215" s="89" t="n"/>
      <c r="G215" s="120" t="inlineStr">
        <is>
          <t>true</t>
        </is>
      </c>
      <c r="H215" s="120" t="n"/>
      <c r="I215" s="120" t="n"/>
      <c r="J215" s="120" t="n"/>
      <c r="K215" s="122" t="n"/>
      <c r="L215" s="120" t="n"/>
      <c r="M215" s="120" t="n"/>
      <c r="N215" s="120" t="n"/>
      <c r="S215" s="45" t="inlineStr">
        <is>
          <t>yes</t>
        </is>
      </c>
      <c r="U215" s="245" t="n">
        <v>13.7057523727417</v>
      </c>
      <c r="V215" s="255">
        <f>'Additional information'!$D$20</f>
        <v/>
      </c>
      <c r="W215" s="246">
        <f>IF(U215&lt;&gt;"",U215*V215,"")</f>
        <v/>
      </c>
      <c r="X215" s="246">
        <f>IF(AND(U215&lt;&gt;"",S215="yes"),U215*V215,"")</f>
        <v/>
      </c>
    </row>
    <row r="216">
      <c r="C216" s="47" t="n"/>
      <c r="D216" s="88" t="n"/>
      <c r="F216" s="89" t="n"/>
      <c r="K216" s="132" t="n"/>
      <c r="S216" s="45" t="inlineStr"/>
      <c r="U216" s="245" t="inlineStr"/>
      <c r="V216" s="255">
        <f>'Additional information'!$D$20</f>
        <v/>
      </c>
      <c r="W216" s="246">
        <f>IF(U216&lt;&gt;"",U216*V216,"")</f>
        <v/>
      </c>
      <c r="X216" s="246">
        <f>IF(AND(U216&lt;&gt;"",S216="yes"),U216*V216,"")</f>
        <v/>
      </c>
    </row>
    <row r="217" ht="16" customHeight="1" thickBot="1">
      <c r="A217" s="102" t="inlineStr">
        <is>
          <t>end_group</t>
        </is>
      </c>
      <c r="B217" s="102" t="n"/>
      <c r="C217" s="103" t="n"/>
      <c r="D217" s="112" t="n"/>
      <c r="E217" s="102" t="n"/>
      <c r="F217" s="113" t="n"/>
      <c r="G217" s="133" t="n"/>
      <c r="H217" s="133" t="n"/>
      <c r="I217" s="133" t="n"/>
      <c r="J217" s="133" t="n"/>
      <c r="K217" s="133" t="n"/>
      <c r="L217" s="133" t="n"/>
      <c r="M217" s="133" t="n"/>
      <c r="N217" s="133" t="n"/>
      <c r="U217" s="245" t="inlineStr"/>
      <c r="W217" s="246">
        <f>IF(U217&lt;&gt;"",U217*V217,"")</f>
        <v/>
      </c>
      <c r="X217" s="246">
        <f>IF(AND(U217&lt;&gt;"",S217="yes"),U217*V217,"")</f>
        <v/>
      </c>
    </row>
    <row r="218" ht="17" customFormat="1" customHeight="1" s="73" thickTop="1">
      <c r="A218" s="70" t="inlineStr">
        <is>
          <t>begin_group</t>
        </is>
      </c>
      <c r="B218" s="70" t="inlineStr">
        <is>
          <t>FSI</t>
        </is>
      </c>
      <c r="C218" s="94" t="inlineStr">
        <is>
          <t>FOOD SECURITY INDICATORS</t>
        </is>
      </c>
      <c r="D218" s="71" t="n"/>
      <c r="E218" s="70" t="n"/>
      <c r="F218" s="72" t="n"/>
      <c r="G218" s="125" t="inlineStr">
        <is>
          <t>false</t>
        </is>
      </c>
      <c r="H218" s="125" t="n"/>
      <c r="I218" s="125" t="n"/>
      <c r="J218" s="125" t="n"/>
      <c r="K218" s="125" t="inlineStr">
        <is>
          <t>${resp_agree} = '1' and ${hh_agricactivity} != '5' and ${hh_agricactivity} != '6'</t>
        </is>
      </c>
      <c r="L218" s="125" t="n"/>
      <c r="M218" s="125" t="n"/>
      <c r="N218" s="125" t="n"/>
      <c r="S218" s="45" t="inlineStr">
        <is>
          <t>yes</t>
        </is>
      </c>
      <c r="U218" s="245" t="n"/>
      <c r="V218" s="74" t="n"/>
      <c r="W218" s="246">
        <f>IF(U218&lt;&gt;"",U218*V218,"")</f>
        <v/>
      </c>
      <c r="X218" s="246">
        <f>IF(AND(U218&lt;&gt;"",S218="yes"),U218*V218,"")</f>
        <v/>
      </c>
      <c r="Y218" s="74" t="n"/>
    </row>
    <row r="219">
      <c r="C219" s="47" t="n"/>
      <c r="D219" s="88" t="n"/>
      <c r="F219" s="89" t="n"/>
      <c r="K219" s="132" t="n"/>
      <c r="S219" s="45" t="inlineStr"/>
      <c r="U219" s="245" t="inlineStr"/>
      <c r="V219" s="255" t="n">
        <v>1</v>
      </c>
      <c r="W219" s="246">
        <f>IF(U219&lt;&gt;"",U219*V219,"")</f>
        <v/>
      </c>
      <c r="X219" s="246">
        <f>IF(AND(U219&lt;&gt;"",S219="yes"),U219*V219,"")</f>
        <v/>
      </c>
    </row>
    <row r="220" ht="48" customFormat="1" customHeight="1" s="73">
      <c r="A220" s="75" t="inlineStr">
        <is>
          <t>note</t>
        </is>
      </c>
      <c r="B220" s="75" t="inlineStr">
        <is>
          <t>intro_foodsec</t>
        </is>
      </c>
      <c r="C220" s="44" t="inlineStr">
        <is>
          <t>Now I would like to ask you some questions about food consumption, food utilization and coping mechanisms. Make sure to refer to the correct time period for each set of questions.</t>
        </is>
      </c>
      <c r="D220" s="71" t="n"/>
      <c r="F220" s="72" t="n"/>
      <c r="G220" s="125" t="n"/>
      <c r="H220" s="125" t="n"/>
      <c r="I220" s="125" t="n"/>
      <c r="J220" s="125" t="n"/>
      <c r="K220" s="125" t="n"/>
      <c r="L220" s="125" t="n"/>
      <c r="M220" s="125" t="n"/>
      <c r="N220" s="125" t="n"/>
      <c r="S220" s="45" t="inlineStr">
        <is>
          <t>no</t>
        </is>
      </c>
      <c r="U220" s="245" t="n"/>
      <c r="V220" s="109" t="n">
        <v>1</v>
      </c>
      <c r="W220" s="246">
        <f>IF(U220&lt;&gt;"",U220*V220,"")</f>
        <v/>
      </c>
      <c r="X220" s="246">
        <f>IF(AND(U220&lt;&gt;"",S220="yes"),U220*V220,"")</f>
        <v/>
      </c>
      <c r="Y220" s="74" t="n"/>
    </row>
    <row r="221">
      <c r="C221" s="47" t="n"/>
      <c r="D221" s="88" t="n"/>
      <c r="F221" s="89" t="n"/>
      <c r="K221" s="132" t="n"/>
      <c r="U221" s="245" t="inlineStr"/>
      <c r="V221" s="255" t="n">
        <v>1</v>
      </c>
      <c r="W221" s="246">
        <f>IF(U221&lt;&gt;"",U221*V221,"")</f>
        <v/>
      </c>
      <c r="X221" s="246">
        <f>IF(AND(U221&lt;&gt;"",S221="yes"),U221*V221,"")</f>
        <v/>
      </c>
    </row>
    <row r="222" ht="16" customFormat="1" customHeight="1" s="73">
      <c r="A222" s="75" t="inlineStr">
        <is>
          <t>begin_group</t>
        </is>
      </c>
      <c r="B222" s="75" t="inlineStr">
        <is>
          <t>grp_fies</t>
        </is>
      </c>
      <c r="C222" s="94" t="inlineStr">
        <is>
          <t>FIES</t>
        </is>
      </c>
      <c r="D222" s="71" t="n"/>
      <c r="E222" s="70" t="n"/>
      <c r="F222" s="72" t="n"/>
      <c r="G222" s="125" t="n"/>
      <c r="H222" s="125" t="n"/>
      <c r="I222" s="125" t="n"/>
      <c r="J222" s="125" t="n"/>
      <c r="K222" s="125" t="n"/>
      <c r="L222" s="125" t="n"/>
      <c r="M222" s="125" t="n"/>
      <c r="N222" s="125" t="n"/>
      <c r="S222" s="45" t="n"/>
      <c r="U222" s="245" t="n"/>
      <c r="V222" s="109" t="n">
        <v>1</v>
      </c>
      <c r="W222" s="246">
        <f>IF(U222&lt;&gt;"",U222*V222,"")</f>
        <v/>
      </c>
      <c r="X222" s="246">
        <f>IF(AND(U222&lt;&gt;"",S222="yes"),U222*V222,"")</f>
        <v/>
      </c>
      <c r="Y222" s="74" t="n"/>
    </row>
    <row r="223" ht="32" customHeight="1">
      <c r="A223" s="75" t="inlineStr">
        <is>
          <t>note</t>
        </is>
      </c>
      <c r="B223" s="75" t="inlineStr">
        <is>
          <t>fies_intro</t>
        </is>
      </c>
      <c r="C223" s="44" t="inlineStr">
        <is>
          <t xml:space="preserve">The first set of questions refers to experiences faced by your or any of your household members over the past 30 days. </t>
        </is>
      </c>
      <c r="D223" s="88" t="n"/>
      <c r="E223" s="75" t="n"/>
      <c r="F223" s="89" t="n"/>
      <c r="G223" s="120" t="inlineStr">
        <is>
          <t>false</t>
        </is>
      </c>
      <c r="H223" s="120" t="n"/>
      <c r="I223" s="120" t="n"/>
      <c r="J223" s="120" t="n"/>
      <c r="K223" s="120" t="n"/>
      <c r="L223" s="120" t="n"/>
      <c r="M223" s="120" t="n"/>
      <c r="N223" s="120" t="n"/>
      <c r="S223" s="45" t="inlineStr">
        <is>
          <t>yes</t>
        </is>
      </c>
      <c r="U223" s="245" t="n">
        <v>12.77690315246582</v>
      </c>
      <c r="V223" s="109" t="n">
        <v>1</v>
      </c>
      <c r="W223" s="246">
        <f>IF(U223&lt;&gt;"",U223*V223,"")</f>
        <v/>
      </c>
      <c r="X223" s="246">
        <f>IF(AND(U223&lt;&gt;"",S223="yes"),U223*V223,"")</f>
        <v/>
      </c>
    </row>
    <row r="224" ht="48" customHeight="1">
      <c r="A224" s="75" t="inlineStr">
        <is>
          <t>select_one yes_no</t>
        </is>
      </c>
      <c r="B224" s="75" t="inlineStr">
        <is>
          <t>fies_worried</t>
        </is>
      </c>
      <c r="C224" s="44" t="inlineStr">
        <is>
          <t>During the *last 30 days*, was there a time when you or others in your household were **worried about not having enough food to eat** because of lack of money or other resources?</t>
        </is>
      </c>
      <c r="D224" s="88" t="n"/>
      <c r="E224" s="75" t="n"/>
      <c r="F224" s="89" t="n"/>
      <c r="G224" s="120" t="inlineStr">
        <is>
          <t>true</t>
        </is>
      </c>
      <c r="H224" s="120" t="n"/>
      <c r="I224" s="120" t="n"/>
      <c r="J224" s="120" t="n"/>
      <c r="K224" s="120" t="n"/>
      <c r="L224" s="120" t="n"/>
      <c r="M224" s="120" t="n"/>
      <c r="N224" s="120" t="n"/>
      <c r="S224" s="45" t="inlineStr">
        <is>
          <t>yes</t>
        </is>
      </c>
      <c r="U224" s="245" t="n">
        <v>21.39860534667969</v>
      </c>
      <c r="V224" s="109" t="n">
        <v>1</v>
      </c>
      <c r="W224" s="246">
        <f>IF(U224&lt;&gt;"",U224*V224,"")</f>
        <v/>
      </c>
      <c r="X224" s="246">
        <f>IF(AND(U224&lt;&gt;"",S224="yes"),U224*V224,"")</f>
        <v/>
      </c>
    </row>
    <row r="225" ht="48" customHeight="1">
      <c r="A225" s="75" t="inlineStr">
        <is>
          <t>select_one yes_no</t>
        </is>
      </c>
      <c r="B225" s="75" t="inlineStr">
        <is>
          <t>fies_healthy</t>
        </is>
      </c>
      <c r="C225" s="44" t="inlineStr">
        <is>
          <t>During the *last 30 days*, was there a time when you or others in your household were **unable to eat healthy and nutritious food** because of lack of money or other resources?</t>
        </is>
      </c>
      <c r="D225" s="88" t="n"/>
      <c r="E225" s="75" t="n"/>
      <c r="F225" s="89" t="n"/>
      <c r="G225" s="120" t="inlineStr">
        <is>
          <t>true</t>
        </is>
      </c>
      <c r="H225" s="120" t="n"/>
      <c r="I225" s="120" t="n"/>
      <c r="J225" s="120" t="n"/>
      <c r="K225" s="120" t="n"/>
      <c r="L225" s="120" t="n"/>
      <c r="M225" s="120" t="n"/>
      <c r="N225" s="120" t="n"/>
      <c r="S225" s="45" t="inlineStr">
        <is>
          <t>yes</t>
        </is>
      </c>
      <c r="U225" s="245" t="n">
        <v>14.98074054718018</v>
      </c>
      <c r="V225" s="109" t="n">
        <v>1</v>
      </c>
      <c r="W225" s="246">
        <f>IF(U225&lt;&gt;"",U225*V225,"")</f>
        <v/>
      </c>
      <c r="X225" s="246">
        <f>IF(AND(U225&lt;&gt;"",S225="yes"),U225*V225,"")</f>
        <v/>
      </c>
    </row>
    <row r="226" ht="32" customHeight="1">
      <c r="A226" s="75" t="inlineStr">
        <is>
          <t>select_one yes_no</t>
        </is>
      </c>
      <c r="B226" s="75" t="inlineStr">
        <is>
          <t>fies_fewfoods</t>
        </is>
      </c>
      <c r="C226" s="44" t="inlineStr">
        <is>
          <t>During the *last 30 days*, was there a time when you or others in your household **ate only a few kinds of foods** because of lack of money or other resources?</t>
        </is>
      </c>
      <c r="D226" s="88" t="n"/>
      <c r="E226" s="75" t="n"/>
      <c r="F226" s="89" t="n"/>
      <c r="G226" s="120" t="inlineStr">
        <is>
          <t>true</t>
        </is>
      </c>
      <c r="H226" s="120" t="n"/>
      <c r="I226" s="120" t="n"/>
      <c r="J226" s="120" t="n"/>
      <c r="K226" s="120" t="n"/>
      <c r="L226" s="120" t="n"/>
      <c r="M226" s="120" t="n"/>
      <c r="N226" s="120" t="n"/>
      <c r="S226" s="45" t="inlineStr">
        <is>
          <t>yes</t>
        </is>
      </c>
      <c r="U226" s="245" t="n">
        <v>13.72302150726318</v>
      </c>
      <c r="V226" s="109" t="n">
        <v>1</v>
      </c>
      <c r="W226" s="246">
        <f>IF(U226&lt;&gt;"",U226*V226,"")</f>
        <v/>
      </c>
      <c r="X226" s="246">
        <f>IF(AND(U226&lt;&gt;"",S226="yes"),U226*V226,"")</f>
        <v/>
      </c>
    </row>
    <row r="227" ht="32" customHeight="1">
      <c r="A227" s="75" t="inlineStr">
        <is>
          <t>select_one yes_no</t>
        </is>
      </c>
      <c r="B227" s="75" t="inlineStr">
        <is>
          <t>fies_skipped</t>
        </is>
      </c>
      <c r="C227" s="44" t="inlineStr">
        <is>
          <t>During the *last 30 days*, was there a time when you or others in your household **had to skip a meal** because of lack of money or other resources to get food?</t>
        </is>
      </c>
      <c r="D227" s="88" t="n"/>
      <c r="E227" s="75" t="n"/>
      <c r="F227" s="89" t="n"/>
      <c r="G227" s="120" t="inlineStr">
        <is>
          <t>true</t>
        </is>
      </c>
      <c r="H227" s="120" t="n"/>
      <c r="I227" s="120" t="n"/>
      <c r="J227" s="120" t="n"/>
      <c r="K227" s="120" t="n"/>
      <c r="L227" s="120" t="n"/>
      <c r="M227" s="120" t="n"/>
      <c r="N227" s="120" t="n"/>
      <c r="S227" s="45" t="inlineStr">
        <is>
          <t>yes</t>
        </is>
      </c>
      <c r="U227" s="245" t="n">
        <v>13.06220054626465</v>
      </c>
      <c r="V227" s="109" t="n">
        <v>1</v>
      </c>
      <c r="W227" s="246">
        <f>IF(U227&lt;&gt;"",U227*V227,"")</f>
        <v/>
      </c>
      <c r="X227" s="246">
        <f>IF(AND(U227&lt;&gt;"",S227="yes"),U227*V227,"")</f>
        <v/>
      </c>
    </row>
    <row r="228" ht="48" customHeight="1">
      <c r="A228" s="75" t="inlineStr">
        <is>
          <t>select_one yes_no</t>
        </is>
      </c>
      <c r="B228" s="75" t="inlineStr">
        <is>
          <t>fies_ateless</t>
        </is>
      </c>
      <c r="C228" s="44" t="inlineStr">
        <is>
          <t>During the *last 30 days*, was there a time when you or others in your household **ate less than you thought you should** because of lack of money or other resources?</t>
        </is>
      </c>
      <c r="D228" s="88" t="n"/>
      <c r="E228" s="75" t="n"/>
      <c r="F228" s="89" t="n"/>
      <c r="G228" s="120" t="inlineStr">
        <is>
          <t>true</t>
        </is>
      </c>
      <c r="H228" s="120" t="n"/>
      <c r="I228" s="120" t="n"/>
      <c r="J228" s="120" t="n"/>
      <c r="K228" s="120" t="n"/>
      <c r="L228" s="120" t="n"/>
      <c r="M228" s="120" t="n"/>
      <c r="N228" s="120" t="n"/>
      <c r="S228" s="45" t="inlineStr">
        <is>
          <t>yes</t>
        </is>
      </c>
      <c r="U228" s="245" t="n">
        <v>13.09532356262207</v>
      </c>
      <c r="V228" s="109" t="n">
        <v>1</v>
      </c>
      <c r="W228" s="246">
        <f>IF(U228&lt;&gt;"",U228*V228,"")</f>
        <v/>
      </c>
      <c r="X228" s="246">
        <f>IF(AND(U228&lt;&gt;"",S228="yes"),U228*V228,"")</f>
        <v/>
      </c>
    </row>
    <row r="229" ht="32" customHeight="1">
      <c r="A229" s="75" t="inlineStr">
        <is>
          <t>select_one yes_no</t>
        </is>
      </c>
      <c r="B229" s="75" t="inlineStr">
        <is>
          <t>fies_ranout</t>
        </is>
      </c>
      <c r="C229" s="44" t="inlineStr">
        <is>
          <t>In the *past 30 days*, was there ever **no food to eat of any kind** in your house because of lack of resources to get food?</t>
        </is>
      </c>
      <c r="D229" s="88" t="n"/>
      <c r="E229" s="75" t="n"/>
      <c r="F229" s="89" t="n"/>
      <c r="G229" s="120" t="inlineStr">
        <is>
          <t>true</t>
        </is>
      </c>
      <c r="H229" s="120" t="n"/>
      <c r="I229" s="120" t="n"/>
      <c r="J229" s="120" t="n"/>
      <c r="K229" s="120" t="n"/>
      <c r="L229" s="120" t="n"/>
      <c r="M229" s="120" t="n"/>
      <c r="N229" s="120" t="n"/>
      <c r="S229" s="45" t="inlineStr">
        <is>
          <t>yes</t>
        </is>
      </c>
      <c r="U229" s="245" t="n">
        <v>16.10101918465228</v>
      </c>
      <c r="V229" s="109" t="n">
        <v>1</v>
      </c>
      <c r="W229" s="246">
        <f>IF(U229&lt;&gt;"",U229*V229,"")</f>
        <v/>
      </c>
      <c r="X229" s="246">
        <f>IF(AND(U229&lt;&gt;"",S229="yes"),U229*V229,"")</f>
        <v/>
      </c>
    </row>
    <row r="230" ht="16" customFormat="1" customHeight="1" s="76">
      <c r="A230" s="80" t="inlineStr">
        <is>
          <t>select_one frequency</t>
        </is>
      </c>
      <c r="B230" s="80" t="inlineStr">
        <is>
          <t>fies_ranout_hhs</t>
        </is>
      </c>
      <c r="C230" s="81" t="inlineStr">
        <is>
          <t xml:space="preserve">How often did this happen? </t>
        </is>
      </c>
      <c r="D230" s="99" t="n"/>
      <c r="E230" s="80" t="n"/>
      <c r="F230" s="101" t="n"/>
      <c r="G230" s="122" t="inlineStr">
        <is>
          <t>true</t>
        </is>
      </c>
      <c r="H230" s="122" t="n"/>
      <c r="I230" s="122" t="n"/>
      <c r="J230" s="122" t="n"/>
      <c r="K230" s="122" t="inlineStr">
        <is>
          <t>${fies_ranout} = '1'</t>
        </is>
      </c>
      <c r="L230" s="122" t="n"/>
      <c r="M230" s="122" t="n"/>
      <c r="N230" s="122" t="n"/>
      <c r="S230" s="76" t="inlineStr">
        <is>
          <t>yes</t>
        </is>
      </c>
      <c r="U230" s="245" t="n">
        <v>11.76504325866699</v>
      </c>
      <c r="V230" s="109" t="n">
        <v>1</v>
      </c>
      <c r="W230" s="246">
        <f>IF(U230&lt;&gt;"",U230*V230,"")</f>
        <v/>
      </c>
      <c r="X230" s="246">
        <f>IF(AND(U230&lt;&gt;"",S230="yes"),U230*V230,"")</f>
        <v/>
      </c>
    </row>
    <row r="231" ht="32" customFormat="1" customHeight="1" s="76">
      <c r="A231" s="80" t="inlineStr">
        <is>
          <t>select_one yes_no</t>
        </is>
      </c>
      <c r="B231" s="80" t="inlineStr">
        <is>
          <t>fies_hungry</t>
        </is>
      </c>
      <c r="C231" s="81" t="inlineStr">
        <is>
          <t>In the *past 30 days*, did you or any household member ever **go to sleep at night hungry**because there was not enough food?</t>
        </is>
      </c>
      <c r="D231" s="99" t="n"/>
      <c r="E231" s="80" t="n"/>
      <c r="F231" s="101" t="n"/>
      <c r="G231" s="122" t="inlineStr">
        <is>
          <t>true</t>
        </is>
      </c>
      <c r="H231" s="122" t="n"/>
      <c r="I231" s="122" t="n"/>
      <c r="J231" s="122" t="n"/>
      <c r="K231" s="122" t="n"/>
      <c r="L231" s="122" t="n"/>
      <c r="M231" s="122" t="n"/>
      <c r="N231" s="122" t="n"/>
      <c r="S231" s="76" t="inlineStr">
        <is>
          <t>yes</t>
        </is>
      </c>
      <c r="U231" s="245" t="n">
        <v>12.43247890472412</v>
      </c>
      <c r="V231" s="109" t="n">
        <v>1</v>
      </c>
      <c r="W231" s="246">
        <f>IF(U231&lt;&gt;"",U231*V231,"")</f>
        <v/>
      </c>
      <c r="X231" s="246">
        <f>IF(AND(U231&lt;&gt;"",S231="yes"),U231*V231,"")</f>
        <v/>
      </c>
    </row>
    <row r="232" ht="16" customFormat="1" customHeight="1" s="76">
      <c r="A232" s="80" t="inlineStr">
        <is>
          <t>select_one frequency</t>
        </is>
      </c>
      <c r="B232" s="80" t="inlineStr">
        <is>
          <t>fies_hungry_hhs</t>
        </is>
      </c>
      <c r="C232" s="81" t="inlineStr">
        <is>
          <t xml:space="preserve">How often did this happen? </t>
        </is>
      </c>
      <c r="D232" s="99" t="n"/>
      <c r="E232" s="80" t="n"/>
      <c r="F232" s="101" t="n"/>
      <c r="G232" s="122" t="inlineStr">
        <is>
          <t>true</t>
        </is>
      </c>
      <c r="H232" s="122" t="n"/>
      <c r="I232" s="122" t="n"/>
      <c r="J232" s="122" t="n"/>
      <c r="K232" s="122" t="inlineStr">
        <is>
          <t>${fies_hungry} = '1'</t>
        </is>
      </c>
      <c r="L232" s="122" t="n"/>
      <c r="M232" s="122" t="n"/>
      <c r="N232" s="122" t="n"/>
      <c r="S232" s="76" t="inlineStr">
        <is>
          <t>yes</t>
        </is>
      </c>
      <c r="U232" s="245" t="n">
        <v>8.980183601379395</v>
      </c>
      <c r="V232" s="109" t="n">
        <v>1</v>
      </c>
      <c r="W232" s="246">
        <f>IF(U232&lt;&gt;"",U232*V232,"")</f>
        <v/>
      </c>
      <c r="X232" s="246">
        <f>IF(AND(U232&lt;&gt;"",S232="yes"),U232*V232,"")</f>
        <v/>
      </c>
    </row>
    <row r="233" ht="32" customFormat="1" customHeight="1" s="76">
      <c r="A233" s="80" t="inlineStr">
        <is>
          <t>select_one yes_no</t>
        </is>
      </c>
      <c r="B233" s="80" t="inlineStr">
        <is>
          <t>fies_whlday</t>
        </is>
      </c>
      <c r="C233" s="81" t="inlineStr">
        <is>
          <t>In the *past 30 days*, did you or any household member ever **go a whole day and night without eating anything at all** because there was not enough food?</t>
        </is>
      </c>
      <c r="D233" s="99" t="n"/>
      <c r="E233" s="80" t="n"/>
      <c r="F233" s="101" t="n"/>
      <c r="G233" s="122" t="inlineStr">
        <is>
          <t>true</t>
        </is>
      </c>
      <c r="H233" s="122" t="n"/>
      <c r="I233" s="122" t="n"/>
      <c r="J233" s="122" t="n"/>
      <c r="K233" s="122" t="n"/>
      <c r="L233" s="122" t="n"/>
      <c r="M233" s="122" t="n"/>
      <c r="N233" s="122" t="n"/>
      <c r="S233" s="76" t="inlineStr">
        <is>
          <t>yes</t>
        </is>
      </c>
      <c r="U233" s="245" t="n">
        <v>11.08932876586914</v>
      </c>
      <c r="V233" s="109" t="n">
        <v>1</v>
      </c>
      <c r="W233" s="246">
        <f>IF(U233&lt;&gt;"",U233*V233,"")</f>
        <v/>
      </c>
      <c r="X233" s="246">
        <f>IF(AND(U233&lt;&gt;"",S233="yes"),U233*V233,"")</f>
        <v/>
      </c>
    </row>
    <row r="234" ht="16" customFormat="1" customHeight="1" s="76">
      <c r="A234" s="80" t="inlineStr">
        <is>
          <t>select_one frequency</t>
        </is>
      </c>
      <c r="B234" s="80" t="inlineStr">
        <is>
          <t>fies_whlday_hhs</t>
        </is>
      </c>
      <c r="C234" s="81" t="inlineStr">
        <is>
          <t xml:space="preserve">How often did this happen? </t>
        </is>
      </c>
      <c r="D234" s="99" t="n"/>
      <c r="E234" s="80" t="n"/>
      <c r="F234" s="101" t="n"/>
      <c r="G234" s="122" t="inlineStr">
        <is>
          <t>true</t>
        </is>
      </c>
      <c r="H234" s="122" t="n"/>
      <c r="I234" s="122" t="n"/>
      <c r="J234" s="122" t="n"/>
      <c r="K234" s="122" t="inlineStr">
        <is>
          <t>${fies_whlday} = '1'</t>
        </is>
      </c>
      <c r="L234" s="122" t="n"/>
      <c r="M234" s="122" t="n"/>
      <c r="N234" s="122" t="n"/>
      <c r="S234" s="76" t="inlineStr">
        <is>
          <t>yes</t>
        </is>
      </c>
      <c r="U234" s="245" t="n">
        <v>8.06833553314209</v>
      </c>
      <c r="V234" s="109" t="n">
        <v>1</v>
      </c>
      <c r="W234" s="246">
        <f>IF(U234&lt;&gt;"",U234*V234,"")</f>
        <v/>
      </c>
      <c r="X234" s="246">
        <f>IF(AND(U234&lt;&gt;"",S234="yes"),U234*V234,"")</f>
        <v/>
      </c>
    </row>
    <row r="235">
      <c r="A235" s="80" t="inlineStr">
        <is>
          <t>end_group</t>
        </is>
      </c>
      <c r="B235" s="80" t="n"/>
      <c r="C235" s="44" t="n"/>
      <c r="D235" s="88" t="n"/>
      <c r="E235" s="75" t="n"/>
      <c r="F235" s="89" t="n"/>
      <c r="G235" s="120" t="n"/>
      <c r="H235" s="120" t="n"/>
      <c r="I235" s="120" t="n"/>
      <c r="J235" s="120" t="n"/>
      <c r="K235" s="120" t="n"/>
      <c r="L235" s="120" t="n"/>
      <c r="M235" s="120" t="n"/>
      <c r="N235" s="120" t="n"/>
      <c r="S235" s="45" t="inlineStr"/>
      <c r="U235" s="245" t="inlineStr"/>
      <c r="V235" s="109" t="n">
        <v>1</v>
      </c>
      <c r="W235" s="246">
        <f>IF(U235&lt;&gt;"",U235*V235,"")</f>
        <v/>
      </c>
      <c r="X235" s="246">
        <f>IF(AND(U235&lt;&gt;"",S235="yes"),U235*V235,"")</f>
        <v/>
      </c>
    </row>
    <row r="236">
      <c r="A236" s="76" t="n"/>
      <c r="B236" s="76" t="n"/>
      <c r="D236" s="88" t="n"/>
      <c r="F236" s="89" t="n"/>
      <c r="S236" s="45" t="inlineStr"/>
      <c r="U236" s="245" t="inlineStr"/>
      <c r="V236" s="109" t="n">
        <v>1</v>
      </c>
      <c r="W236" s="246">
        <f>IF(U236&lt;&gt;"",U236*V236,"")</f>
        <v/>
      </c>
      <c r="X236" s="246">
        <f>IF(AND(U236&lt;&gt;"",S236="yes"),U236*V236,"")</f>
        <v/>
      </c>
    </row>
    <row r="237" ht="16" customFormat="1" customHeight="1" s="77">
      <c r="A237" s="77" t="inlineStr">
        <is>
          <t>begin_group</t>
        </is>
      </c>
      <c r="B237" s="77" t="inlineStr">
        <is>
          <t>grp_lcsi</t>
        </is>
      </c>
      <c r="C237" s="166" t="inlineStr">
        <is>
          <t>LCSI</t>
        </is>
      </c>
      <c r="D237" s="79" t="n"/>
      <c r="F237" s="83" t="n"/>
      <c r="G237" s="121" t="n"/>
      <c r="H237" s="121" t="inlineStr">
        <is>
          <t>field-list</t>
        </is>
      </c>
      <c r="I237" s="121" t="n"/>
      <c r="J237" s="121" t="n"/>
      <c r="K237" s="121" t="n"/>
      <c r="L237" s="121" t="n"/>
      <c r="M237" s="121" t="n"/>
      <c r="N237" s="121" t="n"/>
      <c r="U237" s="247" t="n"/>
      <c r="V237" s="167" t="n">
        <v>1</v>
      </c>
      <c r="W237" s="248">
        <f>IF(U237&lt;&gt;"",U237*V237,"")</f>
        <v/>
      </c>
      <c r="X237" s="248">
        <f>IF(AND(U237&lt;&gt;"",S237="yes"),U237*V237,"")</f>
        <v/>
      </c>
    </row>
    <row r="238" ht="64" customFormat="1" customHeight="1" s="77">
      <c r="A238" s="77" t="inlineStr">
        <is>
          <t>note</t>
        </is>
      </c>
      <c r="B238" s="77" t="inlineStr">
        <is>
          <t>lcsi_intro</t>
        </is>
      </c>
      <c r="C238"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38" s="79" t="n"/>
      <c r="F238" s="83" t="n"/>
      <c r="G238" s="121" t="n"/>
      <c r="H238" s="121" t="n"/>
      <c r="I238" s="121" t="n"/>
      <c r="J238" s="121" t="n"/>
      <c r="K238" s="121" t="n"/>
      <c r="L238" s="121" t="n"/>
      <c r="M238" s="121" t="n"/>
      <c r="N238" s="121" t="n"/>
      <c r="S238" s="77" t="inlineStr">
        <is>
          <t>no</t>
        </is>
      </c>
      <c r="U238" s="247" t="n">
        <v>5.711253643035889</v>
      </c>
      <c r="V238" s="167" t="n">
        <v>1</v>
      </c>
      <c r="W238" s="248">
        <f>IF(U238&lt;&gt;"",U238*V238,"")</f>
        <v/>
      </c>
      <c r="X238" s="248">
        <f>IF(AND(U238&lt;&gt;"",S238="yes"),U238*V238,"")</f>
        <v/>
      </c>
    </row>
    <row r="239" ht="16" customFormat="1" customHeight="1" s="168">
      <c r="A239" s="77" t="inlineStr">
        <is>
          <t>select_one coping</t>
        </is>
      </c>
      <c r="B239" s="77" t="inlineStr">
        <is>
          <t>cs_stress_hh_assets</t>
        </is>
      </c>
      <c r="C239" s="78" t="inlineStr">
        <is>
          <t>**Sell household assets/goods** (radio, furniture, television, jewelry etc.)</t>
        </is>
      </c>
      <c r="D239" s="110" t="n"/>
      <c r="F239" s="111" t="n"/>
      <c r="G239" s="121" t="inlineStr">
        <is>
          <t>true</t>
        </is>
      </c>
      <c r="H239" s="121" t="inlineStr">
        <is>
          <t>minimal</t>
        </is>
      </c>
      <c r="I239" s="169" t="n"/>
      <c r="J239" s="169" t="n"/>
      <c r="K239" s="169" t="n"/>
      <c r="L239" s="169" t="n"/>
      <c r="M239" s="169" t="n"/>
      <c r="N239" s="169" t="n"/>
      <c r="S239" s="77" t="inlineStr">
        <is>
          <t>no</t>
        </is>
      </c>
      <c r="U239" s="245" t="n">
        <v>19.85153007507324</v>
      </c>
      <c r="V239" s="109" t="n">
        <v>1</v>
      </c>
      <c r="W239" s="246">
        <f>IF(U239&lt;&gt;"",U239*V239,"")</f>
        <v/>
      </c>
      <c r="X239" s="246">
        <f>IF(AND(U239&lt;&gt;"",S239="yes"),U239*V239,"")</f>
        <v/>
      </c>
      <c r="Y239" s="76" t="n"/>
    </row>
    <row r="240" ht="16" customFormat="1" customHeight="1" s="168">
      <c r="A240" s="77" t="inlineStr">
        <is>
          <t>select_one coping</t>
        </is>
      </c>
      <c r="B240" s="77" t="inlineStr">
        <is>
          <t>cs_stress_spent_savings</t>
        </is>
      </c>
      <c r="C240" s="78" t="inlineStr">
        <is>
          <t>**Spend savings**</t>
        </is>
      </c>
      <c r="D240" s="110" t="n"/>
      <c r="F240" s="111" t="n"/>
      <c r="G240" s="121" t="inlineStr">
        <is>
          <t>true</t>
        </is>
      </c>
      <c r="H240" s="121" t="inlineStr">
        <is>
          <t>minimal</t>
        </is>
      </c>
      <c r="I240" s="169" t="n"/>
      <c r="J240" s="169" t="n"/>
      <c r="K240" s="169" t="n"/>
      <c r="L240" s="169" t="n"/>
      <c r="M240" s="169" t="n"/>
      <c r="N240" s="169" t="n"/>
      <c r="S240" s="77" t="inlineStr">
        <is>
          <t>no</t>
        </is>
      </c>
      <c r="U240" s="245" t="n">
        <v>15.43667125701904</v>
      </c>
      <c r="V240" s="109" t="n">
        <v>1</v>
      </c>
      <c r="W240" s="246">
        <f>IF(U240&lt;&gt;"",U240*V240,"")</f>
        <v/>
      </c>
      <c r="X240" s="246">
        <f>IF(AND(U240&lt;&gt;"",S240="yes"),U240*V240,"")</f>
        <v/>
      </c>
      <c r="Y240" s="76" t="n"/>
    </row>
    <row r="241" ht="16" customFormat="1" customHeight="1" s="168">
      <c r="A241" s="77" t="inlineStr">
        <is>
          <t>select_one coping</t>
        </is>
      </c>
      <c r="B241" s="77" t="inlineStr">
        <is>
          <t>cs_stress_sold_more_animals</t>
        </is>
      </c>
      <c r="C241" s="78" t="inlineStr">
        <is>
          <t>**Sell more animals (non-reproductive) than usual**</t>
        </is>
      </c>
      <c r="D241" s="110" t="n"/>
      <c r="F241" s="111" t="n"/>
      <c r="G241" s="121" t="inlineStr">
        <is>
          <t>true</t>
        </is>
      </c>
      <c r="H241" s="121" t="inlineStr">
        <is>
          <t>minimal</t>
        </is>
      </c>
      <c r="I241" s="169" t="n"/>
      <c r="J241" s="169" t="n"/>
      <c r="K241" s="169" t="n"/>
      <c r="L241" s="169" t="n"/>
      <c r="M241" s="169" t="n"/>
      <c r="N241" s="169" t="n"/>
      <c r="S241" s="77" t="inlineStr">
        <is>
          <t>no</t>
        </is>
      </c>
      <c r="U241" s="245" t="n">
        <v>13.39993858337402</v>
      </c>
      <c r="V241" s="109" t="n">
        <v>1</v>
      </c>
      <c r="W241" s="246">
        <f>IF(U241&lt;&gt;"",U241*V241,"")</f>
        <v/>
      </c>
      <c r="X241" s="246">
        <f>IF(AND(U241&lt;&gt;"",S241="yes"),U241*V241,"")</f>
        <v/>
      </c>
      <c r="Y241" s="76" t="n"/>
    </row>
    <row r="242" ht="16" customFormat="1" customHeight="1" s="168">
      <c r="A242" s="77" t="inlineStr">
        <is>
          <t>select_one coping</t>
        </is>
      </c>
      <c r="B242" s="77" t="inlineStr">
        <is>
          <t>cs_stress_eat_elsewhere</t>
        </is>
      </c>
      <c r="C242" s="78" t="inlineStr">
        <is>
          <t>**Send household members to eat elsewhere**</t>
        </is>
      </c>
      <c r="D242" s="110" t="n"/>
      <c r="F242" s="111" t="n"/>
      <c r="G242" s="121" t="inlineStr">
        <is>
          <t>true</t>
        </is>
      </c>
      <c r="H242" s="121" t="inlineStr">
        <is>
          <t>minimal</t>
        </is>
      </c>
      <c r="I242" s="169" t="n"/>
      <c r="J242" s="169" t="n"/>
      <c r="K242" s="169" t="n"/>
      <c r="L242" s="169" t="n"/>
      <c r="M242" s="169" t="n"/>
      <c r="N242" s="169" t="n"/>
      <c r="S242" s="77" t="inlineStr">
        <is>
          <t>no</t>
        </is>
      </c>
      <c r="U242" s="245" t="n">
        <v>14.62593364715576</v>
      </c>
      <c r="V242" s="109" t="n">
        <v>1</v>
      </c>
      <c r="W242" s="246">
        <f>IF(U242&lt;&gt;"",U242*V242,"")</f>
        <v/>
      </c>
      <c r="X242" s="246">
        <f>IF(AND(U242&lt;&gt;"",S242="yes"),U242*V242,"")</f>
        <v/>
      </c>
      <c r="Y242" s="76" t="n"/>
    </row>
    <row r="243" ht="16" customFormat="1" customHeight="1" s="168">
      <c r="A243" s="77" t="inlineStr">
        <is>
          <t>select_one coping</t>
        </is>
      </c>
      <c r="B243" s="77" t="inlineStr">
        <is>
          <t>cs_stress_borrowed_or_helped</t>
        </is>
      </c>
      <c r="C243" s="78" t="inlineStr">
        <is>
          <t>**Borrow food or relied on help from friends or relatives **</t>
        </is>
      </c>
      <c r="D243" s="110" t="n"/>
      <c r="F243" s="111" t="n"/>
      <c r="G243" s="121" t="inlineStr">
        <is>
          <t>true</t>
        </is>
      </c>
      <c r="H243" s="121" t="inlineStr">
        <is>
          <t>minimal</t>
        </is>
      </c>
      <c r="I243" s="169" t="n"/>
      <c r="J243" s="169" t="n"/>
      <c r="K243" s="169" t="n"/>
      <c r="L243" s="169" t="n"/>
      <c r="M243" s="169" t="n"/>
      <c r="N243" s="169" t="n"/>
      <c r="S243" s="77" t="inlineStr">
        <is>
          <t>no</t>
        </is>
      </c>
      <c r="U243" s="245" t="n">
        <v>11.78780174255371</v>
      </c>
      <c r="V243" s="109" t="n">
        <v>1</v>
      </c>
      <c r="W243" s="246">
        <f>IF(U243&lt;&gt;"",U243*V243,"")</f>
        <v/>
      </c>
      <c r="X243" s="246">
        <f>IF(AND(U243&lt;&gt;"",S243="yes"),U243*V243,"")</f>
        <v/>
      </c>
      <c r="Y243" s="76" t="n"/>
    </row>
    <row r="244" ht="16" customFormat="1" customHeight="1" s="168">
      <c r="A244" s="77" t="inlineStr">
        <is>
          <t>select_one coping</t>
        </is>
      </c>
      <c r="B244" s="77" t="inlineStr">
        <is>
          <t>cs_stress_credit</t>
        </is>
      </c>
      <c r="C244" s="78" t="inlineStr">
        <is>
          <t>**Purchase food on credit or borrowed food**</t>
        </is>
      </c>
      <c r="D244" s="110" t="n"/>
      <c r="F244" s="111" t="n"/>
      <c r="G244" s="121" t="inlineStr">
        <is>
          <t>true</t>
        </is>
      </c>
      <c r="H244" s="121" t="inlineStr">
        <is>
          <t>minimal</t>
        </is>
      </c>
      <c r="I244" s="169" t="n"/>
      <c r="J244" s="169" t="n"/>
      <c r="K244" s="169" t="n"/>
      <c r="L244" s="169" t="n"/>
      <c r="M244" s="169" t="n"/>
      <c r="N244" s="169" t="n"/>
      <c r="S244" s="77" t="inlineStr">
        <is>
          <t>no</t>
        </is>
      </c>
      <c r="U244" s="245" t="n">
        <v>12.4080867767334</v>
      </c>
      <c r="V244" s="109" t="n">
        <v>1</v>
      </c>
      <c r="W244" s="246">
        <f>IF(U244&lt;&gt;"",U244*V244,"")</f>
        <v/>
      </c>
      <c r="X244" s="246">
        <f>IF(AND(U244&lt;&gt;"",S244="yes"),U244*V244,"")</f>
        <v/>
      </c>
      <c r="Y244" s="76" t="n"/>
    </row>
    <row r="245" ht="16" customFormat="1" customHeight="1" s="168">
      <c r="A245" s="77" t="inlineStr">
        <is>
          <t>select_one coping</t>
        </is>
      </c>
      <c r="B245" s="77" t="inlineStr">
        <is>
          <t>cs_stress_borrowed_money</t>
        </is>
      </c>
      <c r="C245" s="78" t="inlineStr">
        <is>
          <t>**Borrow money**</t>
        </is>
      </c>
      <c r="D245" s="110" t="n"/>
      <c r="F245" s="111" t="n"/>
      <c r="G245" s="121" t="inlineStr">
        <is>
          <t>true</t>
        </is>
      </c>
      <c r="H245" s="121" t="inlineStr">
        <is>
          <t>minimal</t>
        </is>
      </c>
      <c r="I245" s="169" t="n"/>
      <c r="J245" s="169" t="n"/>
      <c r="K245" s="169" t="n"/>
      <c r="L245" s="169" t="n"/>
      <c r="M245" s="169" t="n"/>
      <c r="N245" s="169" t="n"/>
      <c r="S245" s="77" t="inlineStr">
        <is>
          <t>no</t>
        </is>
      </c>
      <c r="U245" s="245" t="n">
        <v>9.289467811584473</v>
      </c>
      <c r="V245" s="109" t="n">
        <v>1</v>
      </c>
      <c r="W245" s="246">
        <f>IF(U245&lt;&gt;"",U245*V245,"")</f>
        <v/>
      </c>
      <c r="X245" s="246">
        <f>IF(AND(U245&lt;&gt;"",S245="yes"),U245*V245,"")</f>
        <v/>
      </c>
      <c r="Y245" s="76" t="n"/>
    </row>
    <row r="246" ht="16" customFormat="1" customHeight="1" s="168">
      <c r="A246" s="77" t="inlineStr">
        <is>
          <t>select_one coping</t>
        </is>
      </c>
      <c r="B246" s="77" t="inlineStr">
        <is>
          <t>cs_stress_changed_school</t>
        </is>
      </c>
      <c r="C246" s="78" t="inlineStr">
        <is>
          <t>**Move children to less expensive schools**</t>
        </is>
      </c>
      <c r="D246" s="110" t="n"/>
      <c r="F246" s="111" t="n"/>
      <c r="G246" s="121" t="inlineStr">
        <is>
          <t>true</t>
        </is>
      </c>
      <c r="H246" s="121" t="inlineStr">
        <is>
          <t>minimal</t>
        </is>
      </c>
      <c r="I246" s="169" t="n"/>
      <c r="J246" s="169" t="n"/>
      <c r="K246" s="169" t="n"/>
      <c r="L246" s="169" t="n"/>
      <c r="M246" s="169" t="n"/>
      <c r="N246" s="169" t="n"/>
      <c r="S246" s="77" t="inlineStr">
        <is>
          <t>no</t>
        </is>
      </c>
      <c r="U246" s="245" t="n">
        <v>12</v>
      </c>
      <c r="V246" s="109" t="n">
        <v>1</v>
      </c>
      <c r="W246" s="246">
        <f>IF(U246&lt;&gt;"",U246*V246,"")</f>
        <v/>
      </c>
      <c r="X246" s="246">
        <f>IF(AND(U246&lt;&gt;"",S246="yes"),U246*V246,"")</f>
        <v/>
      </c>
      <c r="Y246" s="76" t="n"/>
    </row>
    <row r="247" ht="32" customFormat="1" customHeight="1" s="168">
      <c r="A247" s="77" t="inlineStr">
        <is>
          <t>select_one coping</t>
        </is>
      </c>
      <c r="B247" s="77" t="inlineStr">
        <is>
          <t>cs_crisis_sold_prod_assets</t>
        </is>
      </c>
      <c r="C247" s="78" t="inlineStr">
        <is>
          <t>**Sell productive assets or means of transport** (sewing machine, wheelbarrow, bicycle, car, etc.)</t>
        </is>
      </c>
      <c r="D247" s="110" t="n"/>
      <c r="F247" s="111" t="n"/>
      <c r="G247" s="121" t="inlineStr">
        <is>
          <t>true</t>
        </is>
      </c>
      <c r="H247" s="121" t="inlineStr">
        <is>
          <t>minimal</t>
        </is>
      </c>
      <c r="I247" s="169" t="n"/>
      <c r="J247" s="169" t="n"/>
      <c r="K247" s="169" t="n"/>
      <c r="L247" s="169" t="n"/>
      <c r="M247" s="169" t="n"/>
      <c r="N247" s="169" t="n"/>
      <c r="S247" s="77" t="inlineStr">
        <is>
          <t>no</t>
        </is>
      </c>
      <c r="U247" s="245" t="n">
        <v>14.41095890410959</v>
      </c>
      <c r="V247" s="109" t="n">
        <v>1</v>
      </c>
      <c r="W247" s="246">
        <f>IF(U247&lt;&gt;"",U247*V247,"")</f>
        <v/>
      </c>
      <c r="X247" s="246">
        <f>IF(AND(U247&lt;&gt;"",S247="yes"),U247*V247,"")</f>
        <v/>
      </c>
      <c r="Y247" s="76" t="n"/>
    </row>
    <row r="248" ht="16" customFormat="1" customHeight="1" s="168">
      <c r="A248" s="77" t="inlineStr">
        <is>
          <t>select_one coping</t>
        </is>
      </c>
      <c r="B248" s="77" t="inlineStr">
        <is>
          <t>cs_crisis_no_school</t>
        </is>
      </c>
      <c r="C248" s="78" t="inlineStr">
        <is>
          <t>**Withdraw children from school**</t>
        </is>
      </c>
      <c r="D248" s="110" t="n"/>
      <c r="F248" s="111" t="n"/>
      <c r="G248" s="121" t="inlineStr">
        <is>
          <t>true</t>
        </is>
      </c>
      <c r="H248" s="121" t="inlineStr">
        <is>
          <t>minimal</t>
        </is>
      </c>
      <c r="I248" s="169" t="n"/>
      <c r="J248" s="169" t="n"/>
      <c r="K248" s="169" t="n"/>
      <c r="L248" s="169" t="n"/>
      <c r="M248" s="169" t="n"/>
      <c r="N248" s="169" t="n"/>
      <c r="S248" s="77" t="inlineStr">
        <is>
          <t>no</t>
        </is>
      </c>
      <c r="U248" s="245" t="n">
        <v>15.40838527679443</v>
      </c>
      <c r="V248" s="109" t="n">
        <v>1</v>
      </c>
      <c r="W248" s="246">
        <f>IF(U248&lt;&gt;"",U248*V248,"")</f>
        <v/>
      </c>
      <c r="X248" s="246">
        <f>IF(AND(U248&lt;&gt;"",S248="yes"),U248*V248,"")</f>
        <v/>
      </c>
      <c r="Y248" s="76" t="n"/>
    </row>
    <row r="249" ht="16" customFormat="1" customHeight="1" s="168">
      <c r="A249" s="77" t="inlineStr">
        <is>
          <t>select_one coping</t>
        </is>
      </c>
      <c r="B249" s="77" t="inlineStr">
        <is>
          <t>cs_crisis_reduced_health_exp</t>
        </is>
      </c>
      <c r="C249" s="78" t="inlineStr">
        <is>
          <t>**Reduce expenses on health** (including drugs)</t>
        </is>
      </c>
      <c r="D249" s="110" t="n"/>
      <c r="F249" s="111" t="n"/>
      <c r="G249" s="121" t="inlineStr">
        <is>
          <t>true</t>
        </is>
      </c>
      <c r="H249" s="121" t="inlineStr">
        <is>
          <t>minimal</t>
        </is>
      </c>
      <c r="I249" s="169" t="n"/>
      <c r="J249" s="169" t="n"/>
      <c r="K249" s="169" t="n"/>
      <c r="L249" s="169" t="n"/>
      <c r="M249" s="169" t="n"/>
      <c r="N249" s="169" t="n"/>
      <c r="S249" s="77" t="inlineStr">
        <is>
          <t>no</t>
        </is>
      </c>
      <c r="U249" s="245" t="n">
        <v>15.54398632049561</v>
      </c>
      <c r="V249" s="109" t="n">
        <v>1</v>
      </c>
      <c r="W249" s="246">
        <f>IF(U249&lt;&gt;"",U249*V249,"")</f>
        <v/>
      </c>
      <c r="X249" s="246">
        <f>IF(AND(U249&lt;&gt;"",S249="yes"),U249*V249,"")</f>
        <v/>
      </c>
      <c r="Y249" s="76" t="n"/>
    </row>
    <row r="250" ht="16" customFormat="1" customHeight="1" s="168">
      <c r="A250" s="77" t="inlineStr">
        <is>
          <t>select_one coping</t>
        </is>
      </c>
      <c r="B250" s="77" t="inlineStr">
        <is>
          <t>cs_crisis_harv_immature_crops</t>
        </is>
      </c>
      <c r="C250" s="78" t="inlineStr">
        <is>
          <t>**Harvest immature crops** (e.g. green maize) **to eat**</t>
        </is>
      </c>
      <c r="D250" s="110" t="n"/>
      <c r="F250" s="111" t="n"/>
      <c r="G250" s="121" t="inlineStr">
        <is>
          <t>true</t>
        </is>
      </c>
      <c r="H250" s="121" t="inlineStr">
        <is>
          <t>minimal</t>
        </is>
      </c>
      <c r="I250" s="169" t="n"/>
      <c r="J250" s="169" t="n"/>
      <c r="K250" s="169" t="n"/>
      <c r="L250" s="169" t="n"/>
      <c r="M250" s="169" t="n"/>
      <c r="N250" s="169" t="n"/>
      <c r="S250" s="77" t="inlineStr">
        <is>
          <t>no</t>
        </is>
      </c>
      <c r="U250" s="245" t="n">
        <v>12</v>
      </c>
      <c r="V250" s="109" t="n">
        <v>1</v>
      </c>
      <c r="W250" s="246">
        <f>IF(U250&lt;&gt;"",U250*V250,"")</f>
        <v/>
      </c>
      <c r="X250" s="246">
        <f>IF(AND(U250&lt;&gt;"",S250="yes"),U250*V250,"")</f>
        <v/>
      </c>
      <c r="Y250" s="76" t="n"/>
    </row>
    <row r="251" ht="16" customFormat="1" customHeight="1" s="168">
      <c r="A251" s="77" t="inlineStr">
        <is>
          <t>select_one coping</t>
        </is>
      </c>
      <c r="B251" s="77" t="inlineStr">
        <is>
          <t>cs_crisis_consume_seed_stocks</t>
        </is>
      </c>
      <c r="C251" s="78" t="inlineStr">
        <is>
          <t>**Consume seed stocks that were to be saved for the next planting season**</t>
        </is>
      </c>
      <c r="D251" s="110" t="n"/>
      <c r="F251" s="111" t="n"/>
      <c r="G251" s="121" t="inlineStr">
        <is>
          <t>true</t>
        </is>
      </c>
      <c r="H251" s="121" t="inlineStr">
        <is>
          <t>minimal</t>
        </is>
      </c>
      <c r="I251" s="169" t="n"/>
      <c r="J251" s="169" t="n"/>
      <c r="K251" s="169" t="n"/>
      <c r="L251" s="169" t="n"/>
      <c r="M251" s="169" t="n"/>
      <c r="N251" s="169" t="n"/>
      <c r="S251" s="77" t="inlineStr">
        <is>
          <t>no</t>
        </is>
      </c>
      <c r="U251" s="245" t="n">
        <v>12.99618148803711</v>
      </c>
      <c r="V251" s="109" t="n">
        <v>1</v>
      </c>
      <c r="W251" s="246">
        <f>IF(U251&lt;&gt;"",U251*V251,"")</f>
        <v/>
      </c>
      <c r="X251" s="246">
        <f>IF(AND(U251&lt;&gt;"",S251="yes"),U251*V251,"")</f>
        <v/>
      </c>
      <c r="Y251" s="76" t="n"/>
    </row>
    <row r="252" ht="32" customFormat="1" customHeight="1" s="168">
      <c r="A252" s="77" t="inlineStr">
        <is>
          <t>select_one coping</t>
        </is>
      </c>
      <c r="B252" s="77" t="inlineStr">
        <is>
          <t>cs_crisis_decrease_input_exp</t>
        </is>
      </c>
      <c r="C252" s="78" t="inlineStr">
        <is>
          <t>**Decrease expenditures on fertilizer, pesticide, fodder, animal feed, veterinary care, etc.**</t>
        </is>
      </c>
      <c r="D252" s="110" t="n"/>
      <c r="F252" s="111" t="n"/>
      <c r="G252" s="121" t="inlineStr">
        <is>
          <t>true</t>
        </is>
      </c>
      <c r="H252" s="121" t="inlineStr">
        <is>
          <t>minimal</t>
        </is>
      </c>
      <c r="I252" s="169" t="n"/>
      <c r="J252" s="169" t="n"/>
      <c r="K252" s="169" t="n"/>
      <c r="L252" s="169" t="n"/>
      <c r="M252" s="169" t="n"/>
      <c r="N252" s="169" t="n"/>
      <c r="S252" s="77" t="inlineStr">
        <is>
          <t>no</t>
        </is>
      </c>
      <c r="U252" s="245" t="n">
        <v>14.75238990783691</v>
      </c>
      <c r="V252" s="109" t="n">
        <v>1</v>
      </c>
      <c r="W252" s="246">
        <f>IF(U252&lt;&gt;"",U252*V252,"")</f>
        <v/>
      </c>
      <c r="X252" s="246">
        <f>IF(AND(U252&lt;&gt;"",S252="yes"),U252*V252,"")</f>
        <v/>
      </c>
      <c r="Y252" s="76" t="n"/>
    </row>
    <row r="253" ht="16" customFormat="1" customHeight="1" s="168">
      <c r="A253" s="77" t="inlineStr">
        <is>
          <t>select_one coping</t>
        </is>
      </c>
      <c r="B253" s="77" t="inlineStr">
        <is>
          <t>cs_emergency_sold_house</t>
        </is>
      </c>
      <c r="C253" s="78" t="inlineStr">
        <is>
          <t>**Sell a house or land**</t>
        </is>
      </c>
      <c r="D253" s="110" t="n"/>
      <c r="F253" s="111" t="n"/>
      <c r="G253" s="121" t="inlineStr">
        <is>
          <t>true</t>
        </is>
      </c>
      <c r="H253" s="121" t="inlineStr">
        <is>
          <t>minimal</t>
        </is>
      </c>
      <c r="I253" s="169" t="n"/>
      <c r="J253" s="169" t="n"/>
      <c r="K253" s="169" t="n"/>
      <c r="L253" s="169" t="n"/>
      <c r="M253" s="169" t="n"/>
      <c r="N253" s="169" t="n"/>
      <c r="S253" s="77" t="inlineStr">
        <is>
          <t>no</t>
        </is>
      </c>
      <c r="U253" s="245" t="n">
        <v>10.66811275482178</v>
      </c>
      <c r="V253" s="109" t="n">
        <v>1</v>
      </c>
      <c r="W253" s="246">
        <f>IF(U253&lt;&gt;"",U253*V253,"")</f>
        <v/>
      </c>
      <c r="X253" s="246">
        <f>IF(AND(U253&lt;&gt;"",S253="yes"),U253*V253,"")</f>
        <v/>
      </c>
      <c r="Y253" s="76" t="n"/>
    </row>
    <row r="254" ht="16" customFormat="1" customHeight="1" s="168">
      <c r="A254" s="77" t="inlineStr">
        <is>
          <t>select_one coping</t>
        </is>
      </c>
      <c r="B254" s="77" t="inlineStr">
        <is>
          <t>cs_emergency_begged</t>
        </is>
      </c>
      <c r="C254" s="78" t="inlineStr">
        <is>
          <t>**Beg**</t>
        </is>
      </c>
      <c r="D254" s="110" t="n"/>
      <c r="F254" s="111" t="n"/>
      <c r="G254" s="121" t="inlineStr">
        <is>
          <t>true</t>
        </is>
      </c>
      <c r="H254" s="121" t="inlineStr">
        <is>
          <t>minimal</t>
        </is>
      </c>
      <c r="I254" s="169" t="n"/>
      <c r="J254" s="169" t="n"/>
      <c r="K254" s="169" t="n"/>
      <c r="L254" s="169" t="n"/>
      <c r="M254" s="169" t="n"/>
      <c r="N254" s="169" t="n"/>
      <c r="S254" s="77" t="inlineStr">
        <is>
          <t>no</t>
        </is>
      </c>
      <c r="U254" s="245" t="n">
        <v>9.716710090637207</v>
      </c>
      <c r="V254" s="109" t="n">
        <v>1</v>
      </c>
      <c r="W254" s="246">
        <f>IF(U254&lt;&gt;"",U254*V254,"")</f>
        <v/>
      </c>
      <c r="X254" s="246">
        <f>IF(AND(U254&lt;&gt;"",S254="yes"),U254*V254,"")</f>
        <v/>
      </c>
      <c r="Y254" s="76" t="n"/>
    </row>
    <row r="255" ht="16" customFormat="1" customHeight="1" s="168">
      <c r="A255" s="77" t="inlineStr">
        <is>
          <t>select_one coping</t>
        </is>
      </c>
      <c r="B255" s="77" t="inlineStr">
        <is>
          <t>cs_emergency_illegal</t>
        </is>
      </c>
      <c r="C255" s="78" t="inlineStr">
        <is>
          <t>**Engage in illegal or degrading income activities** (theft, prostitution)</t>
        </is>
      </c>
      <c r="D255" s="110" t="n"/>
      <c r="F255" s="111" t="n"/>
      <c r="G255" s="121" t="inlineStr">
        <is>
          <t>true</t>
        </is>
      </c>
      <c r="H255" s="121" t="inlineStr">
        <is>
          <t>minimal</t>
        </is>
      </c>
      <c r="I255" s="169" t="n"/>
      <c r="J255" s="169" t="n"/>
      <c r="K255" s="169" t="n"/>
      <c r="L255" s="169" t="n"/>
      <c r="M255" s="169" t="n"/>
      <c r="N255" s="169" t="n"/>
      <c r="S255" s="77" t="inlineStr">
        <is>
          <t>no</t>
        </is>
      </c>
      <c r="U255" s="245" t="n">
        <v>10.95336532592773</v>
      </c>
      <c r="V255" s="109" t="n">
        <v>1</v>
      </c>
      <c r="W255" s="246">
        <f>IF(U255&lt;&gt;"",U255*V255,"")</f>
        <v/>
      </c>
      <c r="X255" s="246">
        <f>IF(AND(U255&lt;&gt;"",S255="yes"),U255*V255,"")</f>
        <v/>
      </c>
      <c r="Y255" s="76" t="n"/>
    </row>
    <row r="256" ht="16" customFormat="1" customHeight="1" s="168">
      <c r="A256" s="77" t="inlineStr">
        <is>
          <t>select_one coping</t>
        </is>
      </c>
      <c r="B256" s="77" t="inlineStr">
        <is>
          <t>cs_emergency_sold_last_female</t>
        </is>
      </c>
      <c r="C256" s="78" t="inlineStr">
        <is>
          <t>**Sell your last female animals**</t>
        </is>
      </c>
      <c r="D256" s="110" t="n"/>
      <c r="F256" s="111" t="n"/>
      <c r="G256" s="121" t="inlineStr">
        <is>
          <t>true</t>
        </is>
      </c>
      <c r="H256" s="121" t="inlineStr">
        <is>
          <t>minimal</t>
        </is>
      </c>
      <c r="I256" s="169" t="n"/>
      <c r="J256" s="169" t="n"/>
      <c r="K256" s="169" t="n"/>
      <c r="L256" s="169" t="n"/>
      <c r="M256" s="169" t="n"/>
      <c r="N256" s="169" t="n"/>
      <c r="S256" s="77" t="inlineStr">
        <is>
          <t>no</t>
        </is>
      </c>
      <c r="U256" s="245" t="n">
        <v>10.11413192749023</v>
      </c>
      <c r="V256" s="109" t="n">
        <v>1</v>
      </c>
      <c r="W256" s="246">
        <f>IF(U256&lt;&gt;"",U256*V256,"")</f>
        <v/>
      </c>
      <c r="X256" s="246">
        <f>IF(AND(U256&lt;&gt;"",S256="yes"),U256*V256,"")</f>
        <v/>
      </c>
      <c r="Y256" s="76" t="n"/>
    </row>
    <row r="257" ht="16" customFormat="1" customHeight="1" s="168">
      <c r="A257" s="77" t="inlineStr">
        <is>
          <t>select_one coping</t>
        </is>
      </c>
      <c r="B257" s="77" t="inlineStr">
        <is>
          <t>cs_emergency_hh_migration</t>
        </is>
      </c>
      <c r="C257" s="78" t="inlineStr">
        <is>
          <t>**Migrate with the entire household**</t>
        </is>
      </c>
      <c r="D257" s="110" t="n"/>
      <c r="F257" s="111" t="n"/>
      <c r="G257" s="121" t="inlineStr">
        <is>
          <t>true</t>
        </is>
      </c>
      <c r="H257" s="121" t="inlineStr">
        <is>
          <t>minimal</t>
        </is>
      </c>
      <c r="I257" s="169" t="n"/>
      <c r="J257" s="169" t="n"/>
      <c r="K257" s="169" t="n"/>
      <c r="L257" s="169" t="n"/>
      <c r="M257" s="169" t="n"/>
      <c r="N257" s="169" t="n"/>
      <c r="S257" s="77" t="inlineStr">
        <is>
          <t>no</t>
        </is>
      </c>
      <c r="U257" s="245" t="n">
        <v>10.86770534515381</v>
      </c>
      <c r="V257" s="109" t="n">
        <v>1</v>
      </c>
      <c r="W257" s="246">
        <f>IF(U257&lt;&gt;"",U257*V257,"")</f>
        <v/>
      </c>
      <c r="X257" s="246">
        <f>IF(AND(U257&lt;&gt;"",S257="yes"),U257*V257,"")</f>
        <v/>
      </c>
      <c r="Y257" s="76" t="n"/>
    </row>
    <row r="258">
      <c r="A258" s="77" t="inlineStr">
        <is>
          <t>end_group</t>
        </is>
      </c>
      <c r="B258" s="77" t="n"/>
      <c r="C258" s="78" t="n"/>
      <c r="D258" s="88" t="n"/>
      <c r="F258" s="89" t="n"/>
      <c r="G258" s="121" t="n"/>
      <c r="S258" s="45" t="inlineStr"/>
      <c r="U258" s="245" t="inlineStr"/>
      <c r="V258" s="109" t="n">
        <v>1</v>
      </c>
      <c r="W258" s="246">
        <f>IF(U258&lt;&gt;"",U258*V258,"")</f>
        <v/>
      </c>
      <c r="X258" s="246">
        <f>IF(AND(U258&lt;&gt;"",S258="yes"),U258*V258,"")</f>
        <v/>
      </c>
    </row>
    <row r="259">
      <c r="A259" s="76" t="n"/>
      <c r="B259" s="76" t="n"/>
      <c r="D259" s="88" t="n"/>
      <c r="F259" s="89" t="n"/>
      <c r="S259" s="45" t="inlineStr"/>
      <c r="U259" s="245" t="inlineStr"/>
      <c r="V259" s="109" t="n">
        <v>1</v>
      </c>
      <c r="W259" s="246">
        <f>IF(U259&lt;&gt;"",U259*V259,"")</f>
        <v/>
      </c>
      <c r="X259" s="246">
        <f>IF(AND(U259&lt;&gt;"",S259="yes"),U259*V259,"")</f>
        <v/>
      </c>
    </row>
    <row r="260" ht="16" customHeight="1">
      <c r="A260" s="80" t="inlineStr">
        <is>
          <t>begin_group</t>
        </is>
      </c>
      <c r="B260" s="80" t="inlineStr">
        <is>
          <t>grp_hdds</t>
        </is>
      </c>
      <c r="C260" s="94" t="inlineStr">
        <is>
          <t>HDDS</t>
        </is>
      </c>
      <c r="D260" s="88" t="n"/>
      <c r="E260" s="75" t="n"/>
      <c r="F260" s="89" t="n"/>
      <c r="G260" s="120" t="n"/>
      <c r="H260" s="120" t="n"/>
      <c r="I260" s="120" t="n"/>
      <c r="J260" s="120" t="n"/>
      <c r="K260" s="120" t="n"/>
      <c r="L260" s="120" t="n"/>
      <c r="M260" s="120" t="n"/>
      <c r="N260" s="120" t="n"/>
      <c r="U260" s="245" t="n"/>
      <c r="V260" s="109" t="n">
        <v>1</v>
      </c>
      <c r="W260" s="246">
        <f>IF(U260&lt;&gt;"",U260*V260,"")</f>
        <v/>
      </c>
      <c r="X260" s="246">
        <f>IF(AND(U260&lt;&gt;"",S260="yes"),U260*V260,"")</f>
        <v/>
      </c>
    </row>
    <row r="261" ht="32" customHeight="1">
      <c r="A261" s="75" t="inlineStr">
        <is>
          <t>note</t>
        </is>
      </c>
      <c r="B261" s="75" t="inlineStr">
        <is>
          <t>hdds_intro</t>
        </is>
      </c>
      <c r="C261" s="44" t="inlineStr">
        <is>
          <t>Now I would like to ask you about a set of questions on food consumption, referring to the *24 hours of yesterday*.</t>
        </is>
      </c>
      <c r="D261" s="88" t="n"/>
      <c r="E261" s="75" t="n"/>
      <c r="F261" s="89" t="n"/>
      <c r="G261" s="120" t="inlineStr">
        <is>
          <t>false</t>
        </is>
      </c>
      <c r="H261" s="120" t="n"/>
      <c r="I261" s="120" t="n"/>
      <c r="J261" s="120" t="n"/>
      <c r="K261" s="120" t="n"/>
      <c r="L261" s="120" t="n"/>
      <c r="M261" s="120" t="n"/>
      <c r="N261" s="120" t="n"/>
      <c r="S261" s="45" t="inlineStr">
        <is>
          <t>yes</t>
        </is>
      </c>
      <c r="U261" s="245" t="n"/>
      <c r="V261" s="109" t="n">
        <v>1</v>
      </c>
      <c r="W261" s="246">
        <f>IF(U261&lt;&gt;"",U261*V261,"")</f>
        <v/>
      </c>
      <c r="X261" s="246">
        <f>IF(AND(U261&lt;&gt;"",S261="yes"),U261*V261,"")</f>
        <v/>
      </c>
    </row>
    <row r="262" ht="48" customHeight="1">
      <c r="A262" s="75" t="inlineStr">
        <is>
          <t>select_multiple hdds</t>
        </is>
      </c>
      <c r="B262" s="75" t="inlineStr">
        <is>
          <t>hdds</t>
        </is>
      </c>
      <c r="C262" s="44" t="inlineStr">
        <is>
          <t>Please describe the foods (meals and snacks) that you or any household member ate or drank at home yesterday (in the *24 hours of yesterday*: breakfast, lunch, dinner and snacks).</t>
        </is>
      </c>
      <c r="D262" s="88" t="n"/>
      <c r="E262" s="75" t="inlineStr">
        <is>
          <t>[INSTRUCTIONS: SELECT ALL FOOD GROUPS CONSUMED IN THE 24 HOURS OF YESTERDAY AS THE RESPONDENT ANSWERS. MULTIPLE RESPONSES POSSIBLE.]</t>
        </is>
      </c>
      <c r="F262" s="89" t="n"/>
      <c r="G262" s="120" t="inlineStr">
        <is>
          <t>true</t>
        </is>
      </c>
      <c r="H262" s="120" t="n"/>
      <c r="I262" s="120" t="n"/>
      <c r="J262" s="120" t="n"/>
      <c r="K262" s="120" t="n"/>
      <c r="L262" s="120" t="n"/>
      <c r="M262" s="120" t="n"/>
      <c r="N262" s="120" t="n"/>
      <c r="S262" s="45" t="inlineStr">
        <is>
          <t>yes</t>
        </is>
      </c>
      <c r="U262" s="245" t="n">
        <v>72.29513549804688</v>
      </c>
      <c r="V262" s="109" t="n">
        <v>1</v>
      </c>
      <c r="W262" s="246">
        <f>IF(U262&lt;&gt;"",U262*V262,"")</f>
        <v/>
      </c>
      <c r="X262" s="246">
        <f>IF(AND(U262&lt;&gt;"",S262="yes"),U262*V262,"")</f>
        <v/>
      </c>
    </row>
    <row r="263" ht="48" customHeight="1">
      <c r="A263" s="75" t="inlineStr">
        <is>
          <t>note</t>
        </is>
      </c>
      <c r="B263" s="75" t="inlineStr">
        <is>
          <t>hdds_confirmation</t>
        </is>
      </c>
      <c r="C263" s="44" t="inlineStr">
        <is>
          <t>[INSTRUCTIONS: Remember to probe for snacks, special foods given to children or pregnant women, ingredients in mixed dishes. At the end, probe for any food groups not specified.]</t>
        </is>
      </c>
      <c r="D263" s="88" t="n"/>
      <c r="E263" s="75" t="n"/>
      <c r="F263" s="89" t="n"/>
      <c r="G263" s="120" t="inlineStr">
        <is>
          <t>false</t>
        </is>
      </c>
      <c r="H263" s="120" t="n"/>
      <c r="I263" s="120" t="n"/>
      <c r="J263" s="120" t="n"/>
      <c r="K263" s="120" t="n"/>
      <c r="L263" s="120" t="n"/>
      <c r="M263" s="120" t="n"/>
      <c r="N263" s="120" t="n"/>
      <c r="S263" s="45" t="inlineStr">
        <is>
          <t>yes</t>
        </is>
      </c>
      <c r="U263" s="245" t="n">
        <v>3.705221891403198</v>
      </c>
      <c r="V263" s="109" t="n">
        <v>1</v>
      </c>
      <c r="W263" s="246">
        <f>IF(U263&lt;&gt;"",U263*V263,"")</f>
        <v/>
      </c>
      <c r="X263" s="246">
        <f>IF(AND(U263&lt;&gt;"",S263="yes"),U263*V263,"")</f>
        <v/>
      </c>
    </row>
    <row r="264" ht="16" customHeight="1">
      <c r="A264" s="75" t="inlineStr">
        <is>
          <t>end_group</t>
        </is>
      </c>
      <c r="B264" s="75" t="n"/>
      <c r="C264" s="44" t="n"/>
      <c r="D264" s="88" t="n"/>
      <c r="E264" s="75" t="n"/>
      <c r="F264" s="89" t="n"/>
      <c r="G264" s="120" t="n"/>
      <c r="H264" s="120" t="n"/>
      <c r="I264" s="120" t="n"/>
      <c r="J264" s="120" t="n"/>
      <c r="K264" s="120" t="n"/>
      <c r="L264" s="120" t="n"/>
      <c r="M264" s="120" t="n"/>
      <c r="N264" s="120" t="n"/>
      <c r="U264" s="245" t="inlineStr"/>
      <c r="V264" s="109" t="n">
        <v>1</v>
      </c>
      <c r="W264" s="246">
        <f>IF(U264&lt;&gt;"",U264*V264,"")</f>
        <v/>
      </c>
      <c r="X264" s="246">
        <f>IF(AND(U264&lt;&gt;"",S264="yes"),U264*V264,"")</f>
        <v/>
      </c>
    </row>
    <row r="265">
      <c r="A265" s="76" t="n"/>
      <c r="B265" s="76" t="n"/>
      <c r="D265" s="88" t="n"/>
      <c r="F265" s="89" t="n"/>
      <c r="S265" s="45" t="inlineStr"/>
      <c r="U265" s="245" t="inlineStr"/>
      <c r="V265" s="109" t="n">
        <v>1</v>
      </c>
      <c r="W265" s="246">
        <f>IF(U265&lt;&gt;"",U265*V265,"")</f>
        <v/>
      </c>
      <c r="X265" s="246">
        <f>IF(AND(U265&lt;&gt;"",S265="yes"),U265*V265,"")</f>
        <v/>
      </c>
    </row>
    <row r="266" ht="16" customFormat="1" customHeight="1" s="77">
      <c r="A266" s="77" t="inlineStr">
        <is>
          <t>begin_group</t>
        </is>
      </c>
      <c r="B266" s="77" t="inlineStr">
        <is>
          <t>grp_fcs</t>
        </is>
      </c>
      <c r="C266" s="78" t="inlineStr">
        <is>
          <t>FCS</t>
        </is>
      </c>
      <c r="D266" s="79" t="n"/>
      <c r="F266" s="83" t="n"/>
      <c r="G266" s="121" t="n"/>
      <c r="H266" s="121" t="n"/>
      <c r="I266" s="121" t="n"/>
      <c r="J266" s="121" t="n"/>
      <c r="K266" s="121" t="n"/>
      <c r="L266" s="121" t="n"/>
      <c r="M266" s="121" t="n"/>
      <c r="N266" s="121" t="n"/>
      <c r="S266" s="77" t="inlineStr">
        <is>
          <t>no</t>
        </is>
      </c>
      <c r="U266" s="245" t="n"/>
      <c r="V266" s="109" t="n">
        <v>1</v>
      </c>
      <c r="W266" s="246">
        <f>IF(U266&lt;&gt;"",U266*V266,"")</f>
        <v/>
      </c>
      <c r="X266" s="246">
        <f>IF(AND(U266&lt;&gt;"",S266="yes"),U266*V266,"")</f>
        <v/>
      </c>
    </row>
    <row r="267" ht="32" customFormat="1" customHeight="1" s="78">
      <c r="A267" s="78" t="inlineStr">
        <is>
          <t>note</t>
        </is>
      </c>
      <c r="B267" s="78" t="inlineStr">
        <is>
          <t>fcs_intro</t>
        </is>
      </c>
      <c r="C267" s="78" t="inlineStr">
        <is>
          <t>Now I would like to ask you about the foods and drinks your household ate or drank in  *the last 7 days* during the day and at night [breakfast, lunch, dinner, snacks].</t>
        </is>
      </c>
      <c r="D267" s="79" t="n"/>
      <c r="F267" s="79" t="n"/>
      <c r="G267" s="121" t="inlineStr">
        <is>
          <t>false</t>
        </is>
      </c>
      <c r="H267" s="136" t="n"/>
      <c r="I267" s="136" t="n"/>
      <c r="J267" s="121" t="n"/>
      <c r="K267" s="136" t="n"/>
      <c r="L267" s="136" t="n"/>
      <c r="M267" s="136" t="n"/>
      <c r="N267" s="136" t="n"/>
      <c r="S267" s="78" t="inlineStr">
        <is>
          <t>no</t>
        </is>
      </c>
      <c r="U267" s="245" t="n">
        <v>0</v>
      </c>
      <c r="V267" s="109" t="n">
        <v>1</v>
      </c>
      <c r="W267" s="246">
        <f>IF(U267&lt;&gt;"",U267*V267,"")</f>
        <v/>
      </c>
      <c r="X267" s="246">
        <f>IF(AND(U267&lt;&gt;"",S267="yes"),U267*V267,"")</f>
        <v/>
      </c>
    </row>
    <row r="268" ht="48" customFormat="1" customHeight="1" s="78">
      <c r="A268" s="78" t="inlineStr">
        <is>
          <t>integer</t>
        </is>
      </c>
      <c r="B268" s="78" t="inlineStr">
        <is>
          <t>fcs_staple_days</t>
        </is>
      </c>
      <c r="C268" s="78" t="inlineStr">
        <is>
          <t>How many days over *the last 7 days*, did members of your household eat **starches, roots and tubers** such as rice, maize, pasta, bread, sorghum, millet, potato, yam, cassava, white sweet potato?</t>
        </is>
      </c>
      <c r="D268" s="79" t="n"/>
      <c r="E268" s="77" t="inlineStr">
        <is>
          <t>[INSTRUCTIONS: RECORD NUMBER OF DAYS 0 - 7. IF CONSUMED ONLY IN SMALL QUANTITY, DO NOT INCLUDE.]</t>
        </is>
      </c>
      <c r="F268" s="79" t="n"/>
      <c r="G268" s="121" t="inlineStr">
        <is>
          <t>true</t>
        </is>
      </c>
      <c r="H268" s="136" t="n"/>
      <c r="I268" s="136" t="inlineStr">
        <is>
          <t>.&gt;= 0 and .&lt;=7</t>
        </is>
      </c>
      <c r="J268" s="121" t="inlineStr">
        <is>
          <t>The answer must be between 0 and 7 days</t>
        </is>
      </c>
      <c r="K268" s="136" t="n"/>
      <c r="L268" s="136" t="n"/>
      <c r="M268" s="136" t="n"/>
      <c r="N268" s="136" t="n"/>
      <c r="S268" s="78" t="inlineStr">
        <is>
          <t>no</t>
        </is>
      </c>
      <c r="U268" s="245" t="n">
        <v>17</v>
      </c>
      <c r="V268" s="109" t="n">
        <v>1</v>
      </c>
      <c r="W268" s="246">
        <f>IF(U268&lt;&gt;"",U268*V268,"")</f>
        <v/>
      </c>
      <c r="X268" s="246">
        <f>IF(AND(U268&lt;&gt;"",S268="yes"),U268*V268,"")</f>
        <v/>
      </c>
    </row>
    <row r="269" ht="48" customFormat="1" customHeight="1" s="78">
      <c r="A269" s="78" t="inlineStr">
        <is>
          <t>integer</t>
        </is>
      </c>
      <c r="B269" s="78" t="inlineStr">
        <is>
          <t>fcs_pulses_days</t>
        </is>
      </c>
      <c r="C269" s="78" t="inlineStr">
        <is>
          <t>How many days over *the last 7 days*, did members of your household eat** pulses and nuts such as beans, lentils, cowpeas, soybean, pigeon peas and peanuts or other nuts**?</t>
        </is>
      </c>
      <c r="D269" s="79" t="n"/>
      <c r="E269" s="77" t="inlineStr">
        <is>
          <t>[INSTRUCTIONS: RECORD NUMBER OF DAYS 0 - 7. IF CONSUMED ONLY IN SMALL QUANTITY, DO NOT INCLUDE.]</t>
        </is>
      </c>
      <c r="F269" s="79" t="n"/>
      <c r="G269" s="121" t="inlineStr">
        <is>
          <t>true</t>
        </is>
      </c>
      <c r="H269" s="136" t="n"/>
      <c r="I269" s="136" t="inlineStr">
        <is>
          <t>.&gt;= 0 and .&lt;=7</t>
        </is>
      </c>
      <c r="J269" s="121" t="inlineStr">
        <is>
          <t>The answer must be between 0 and 7 days</t>
        </is>
      </c>
      <c r="K269" s="136" t="n"/>
      <c r="L269" s="136" t="n"/>
      <c r="M269" s="136" t="n"/>
      <c r="N269" s="136" t="n"/>
      <c r="S269" s="78" t="inlineStr">
        <is>
          <t>no</t>
        </is>
      </c>
      <c r="U269" s="245" t="n">
        <v>17</v>
      </c>
      <c r="V269" s="109" t="n">
        <v>1</v>
      </c>
      <c r="W269" s="246">
        <f>IF(U269&lt;&gt;"",U269*V269,"")</f>
        <v/>
      </c>
      <c r="X269" s="246">
        <f>IF(AND(U269&lt;&gt;"",S269="yes"),U269*V269,"")</f>
        <v/>
      </c>
    </row>
    <row r="270" ht="16" customFormat="1" customHeight="1" s="78">
      <c r="A270" s="78" t="inlineStr">
        <is>
          <t>integer</t>
        </is>
      </c>
      <c r="B270" s="78" t="inlineStr">
        <is>
          <t>fcs_vegetables_days</t>
        </is>
      </c>
      <c r="C270" s="81" t="inlineStr">
        <is>
          <t>IBRAHIM TEST</t>
        </is>
      </c>
      <c r="D270" s="79" t="n"/>
      <c r="E270" s="77" t="inlineStr">
        <is>
          <t>[INSTRUCTIONS: RECORD NUMBER OF DAYS 0 - 7. IF CONSUMED ONLY IN SMALL QUANTITY, DO NOT INCLUDE.]</t>
        </is>
      </c>
      <c r="F270" s="79" t="n"/>
      <c r="G270" s="121" t="inlineStr">
        <is>
          <t>true</t>
        </is>
      </c>
      <c r="H270" s="136" t="n"/>
      <c r="I270" s="136" t="inlineStr">
        <is>
          <t>.&gt;= 0 and .&lt;=7</t>
        </is>
      </c>
      <c r="J270" s="121" t="inlineStr">
        <is>
          <t>The answer must be between 0 and 7 days</t>
        </is>
      </c>
      <c r="K270" s="136" t="n"/>
      <c r="L270" s="136" t="n"/>
      <c r="M270" s="136" t="n"/>
      <c r="N270" s="136" t="n"/>
      <c r="S270" s="78" t="inlineStr">
        <is>
          <t>no</t>
        </is>
      </c>
      <c r="U270" s="245" t="n">
        <v>17</v>
      </c>
      <c r="V270" s="109" t="n">
        <v>1</v>
      </c>
      <c r="W270" s="246">
        <f>IF(U270&lt;&gt;"",U270*V270,"")</f>
        <v/>
      </c>
      <c r="X270" s="246">
        <f>IF(AND(U270&lt;&gt;"",S270="yes"),U270*V270,"")</f>
        <v/>
      </c>
    </row>
    <row r="271" ht="16" customFormat="1" customHeight="1" s="78">
      <c r="A271" s="78" t="inlineStr">
        <is>
          <t>integer</t>
        </is>
      </c>
      <c r="B271" s="78" t="inlineStr">
        <is>
          <t>fcs_fruit_days</t>
        </is>
      </c>
      <c r="C271" s="81" t="inlineStr">
        <is>
          <t>IBRAHIM TEST</t>
        </is>
      </c>
      <c r="D271" s="79" t="n"/>
      <c r="E271" s="77" t="inlineStr">
        <is>
          <t>[INSTRUCTIONS: RECORD NUMBER OF DAYS 0 - 7. IF CONSUMED ONLY IN SMALL QUANTITY, DO NOT INCLUDE.]</t>
        </is>
      </c>
      <c r="F271" s="79" t="n"/>
      <c r="G271" s="121" t="inlineStr">
        <is>
          <t>true</t>
        </is>
      </c>
      <c r="H271" s="136" t="n"/>
      <c r="I271" s="136" t="inlineStr">
        <is>
          <t>.&gt;= 0 and .&lt;=7</t>
        </is>
      </c>
      <c r="J271" s="121" t="inlineStr">
        <is>
          <t>The answer must be between 0 and 7 days</t>
        </is>
      </c>
      <c r="K271" s="136" t="n"/>
      <c r="L271" s="136" t="n"/>
      <c r="M271" s="136" t="n"/>
      <c r="N271" s="136" t="n"/>
      <c r="S271" s="78" t="inlineStr">
        <is>
          <t>no</t>
        </is>
      </c>
      <c r="U271" s="245" t="n">
        <v>17</v>
      </c>
      <c r="V271" s="109" t="n">
        <v>1</v>
      </c>
      <c r="W271" s="246">
        <f>IF(U271&lt;&gt;"",U271*V271,"")</f>
        <v/>
      </c>
      <c r="X271" s="246">
        <f>IF(AND(U271&lt;&gt;"",S271="yes"),U271*V271,"")</f>
        <v/>
      </c>
    </row>
    <row r="272" ht="16" customFormat="1" customHeight="1" s="78">
      <c r="A272" s="78" t="inlineStr">
        <is>
          <t>integer</t>
        </is>
      </c>
      <c r="B272" s="78" t="inlineStr">
        <is>
          <t>fcs_meat_fish_days</t>
        </is>
      </c>
      <c r="C272" s="81" t="inlineStr">
        <is>
          <t>IBRAHIM TEST</t>
        </is>
      </c>
      <c r="D272" s="79" t="n"/>
      <c r="E272" s="77" t="inlineStr">
        <is>
          <t>[INSTRUCTIONS: RECORD NUMBER OF DAYS 0 - 7. IF CONSUMED ONLY IN SMALL QUANTITY, DO NOT INCLUDE.]</t>
        </is>
      </c>
      <c r="F272" s="79" t="n"/>
      <c r="G272" s="121" t="inlineStr">
        <is>
          <t>true</t>
        </is>
      </c>
      <c r="H272" s="136" t="n"/>
      <c r="I272" s="136" t="inlineStr">
        <is>
          <t>.&gt;= 0 and .&lt;=7</t>
        </is>
      </c>
      <c r="J272" s="121" t="inlineStr">
        <is>
          <t>The answer must be between 0 and 7 days</t>
        </is>
      </c>
      <c r="K272" s="136" t="n"/>
      <c r="L272" s="136" t="n"/>
      <c r="M272" s="136" t="n"/>
      <c r="N272" s="136" t="n"/>
      <c r="S272" s="78" t="inlineStr">
        <is>
          <t>no</t>
        </is>
      </c>
      <c r="U272" s="245" t="n">
        <v>17</v>
      </c>
      <c r="V272" s="109" t="n">
        <v>1</v>
      </c>
      <c r="W272" s="246">
        <f>IF(U272&lt;&gt;"",U272*V272,"")</f>
        <v/>
      </c>
      <c r="X272" s="246">
        <f>IF(AND(U272&lt;&gt;"",S272="yes"),U272*V272,"")</f>
        <v/>
      </c>
    </row>
    <row r="273" ht="48" customFormat="1" customHeight="1" s="78">
      <c r="A273" s="78" t="inlineStr">
        <is>
          <t>integer</t>
        </is>
      </c>
      <c r="B273" s="78" t="inlineStr">
        <is>
          <t>fcs_dairy_days</t>
        </is>
      </c>
      <c r="C273" s="78" t="inlineStr">
        <is>
          <t>How many days over *the last 7 days*, did members of your household consume fresh milk, sour milk, yogurt, cheese or other **dairy products** [excluding margarine/butter or small amounts of milk for tea/ coffee]?</t>
        </is>
      </c>
      <c r="D273" s="79" t="n"/>
      <c r="E273" s="77" t="inlineStr">
        <is>
          <t>[INSTRUCTIONS: RECORD NUMBER OF DAYS 0 - 7. IF CONSUMED ONLY IN SMALL QUANTITY, DO NOT INCLUDE.]</t>
        </is>
      </c>
      <c r="F273" s="79" t="n"/>
      <c r="G273" s="121" t="inlineStr">
        <is>
          <t>true</t>
        </is>
      </c>
      <c r="H273" s="136" t="n"/>
      <c r="I273" s="136" t="inlineStr">
        <is>
          <t>.&gt;= 0 and .&lt;=7</t>
        </is>
      </c>
      <c r="J273" s="121" t="inlineStr">
        <is>
          <t>The answer must be between 0 and 7 days</t>
        </is>
      </c>
      <c r="K273" s="136" t="n"/>
      <c r="L273" s="136" t="n"/>
      <c r="M273" s="136" t="n"/>
      <c r="N273" s="136" t="n"/>
      <c r="S273" s="78" t="inlineStr">
        <is>
          <t>no</t>
        </is>
      </c>
      <c r="U273" s="245" t="n">
        <v>17</v>
      </c>
      <c r="V273" s="109" t="n">
        <v>1</v>
      </c>
      <c r="W273" s="246">
        <f>IF(U273&lt;&gt;"",U273*V273,"")</f>
        <v/>
      </c>
      <c r="X273" s="246">
        <f>IF(AND(U273&lt;&gt;"",S273="yes"),U273*V273,"")</f>
        <v/>
      </c>
    </row>
    <row r="274" ht="48" customFormat="1" customHeight="1" s="78">
      <c r="A274" s="78" t="inlineStr">
        <is>
          <t>integer</t>
        </is>
      </c>
      <c r="B274" s="78" t="inlineStr">
        <is>
          <t>fcs_sugar_days</t>
        </is>
      </c>
      <c r="C274" s="78" t="inlineStr">
        <is>
          <t>How many days over *the last 7 days*, did members of your household consume **sugar or sweets** such as sugar, honey, jam, cakes, candy, cookies, pastries, cakes and other sweets and sugary drinks?</t>
        </is>
      </c>
      <c r="D274" s="79" t="n"/>
      <c r="E274" s="77" t="inlineStr">
        <is>
          <t>[INSTRUCTIONS: RECORD NUMBER OF DAYS 0 - 7. IF CONSUMED ONLY IN SMALL QUANTITY, DO NOT INCLUDE.]</t>
        </is>
      </c>
      <c r="F274" s="79" t="n"/>
      <c r="G274" s="121" t="inlineStr">
        <is>
          <t>true</t>
        </is>
      </c>
      <c r="H274" s="136" t="n"/>
      <c r="I274" s="136" t="inlineStr">
        <is>
          <t>.&gt;= 0 and .&lt;=7</t>
        </is>
      </c>
      <c r="J274" s="121" t="inlineStr">
        <is>
          <t>The answer must be between 0 and 7 days</t>
        </is>
      </c>
      <c r="K274" s="136" t="n"/>
      <c r="L274" s="136" t="n"/>
      <c r="M274" s="136" t="n"/>
      <c r="N274" s="136" t="n"/>
      <c r="S274" s="78" t="inlineStr">
        <is>
          <t>no</t>
        </is>
      </c>
      <c r="U274" s="245" t="n">
        <v>17</v>
      </c>
      <c r="V274" s="109" t="n">
        <v>1</v>
      </c>
      <c r="W274" s="246">
        <f>IF(U274&lt;&gt;"",U274*V274,"")</f>
        <v/>
      </c>
      <c r="X274" s="246">
        <f>IF(AND(U274&lt;&gt;"",S274="yes"),U274*V274,"")</f>
        <v/>
      </c>
    </row>
    <row r="275" ht="48" customFormat="1" customHeight="1" s="78">
      <c r="A275" s="78" t="inlineStr">
        <is>
          <t>integer</t>
        </is>
      </c>
      <c r="B275" s="78" t="inlineStr">
        <is>
          <t>fcs_oil_days</t>
        </is>
      </c>
      <c r="C275" s="78" t="inlineStr">
        <is>
          <t>How many days over *the last 7 days*, did members of your household eat **oil/fat/butter** such as vegetable oil, palm oil, groundnut oil, margarine, other fats / oil?</t>
        </is>
      </c>
      <c r="D275" s="79" t="n"/>
      <c r="E275" s="77" t="inlineStr">
        <is>
          <t>[INSTRUCTIONS: RECORD NUMBER OF DAYS 0 - 7. IF CONSUMED ONLY IN SMALL QUANTITY, DO NOT INCLUDE.]</t>
        </is>
      </c>
      <c r="F275" s="79" t="n"/>
      <c r="G275" s="121" t="inlineStr">
        <is>
          <t>true</t>
        </is>
      </c>
      <c r="H275" s="136" t="n"/>
      <c r="I275" s="136" t="inlineStr">
        <is>
          <t>.&gt;= 0 and .&lt;=7</t>
        </is>
      </c>
      <c r="J275" s="121" t="inlineStr">
        <is>
          <t>The answer must be between 0 and 7 days</t>
        </is>
      </c>
      <c r="K275" s="136" t="n"/>
      <c r="L275" s="136" t="n"/>
      <c r="M275" s="136" t="n"/>
      <c r="N275" s="136" t="n"/>
      <c r="S275" s="78" t="inlineStr">
        <is>
          <t>no</t>
        </is>
      </c>
      <c r="U275" s="245" t="n">
        <v>17</v>
      </c>
      <c r="V275" s="109" t="n">
        <v>1</v>
      </c>
      <c r="W275" s="246">
        <f>IF(U275&lt;&gt;"",U275*V275,"")</f>
        <v/>
      </c>
      <c r="X275" s="246">
        <f>IF(AND(U275&lt;&gt;"",S275="yes"),U275*V275,"")</f>
        <v/>
      </c>
    </row>
    <row r="276" ht="48" customFormat="1" customHeight="1" s="78">
      <c r="A276" s="78" t="inlineStr">
        <is>
          <t>integer</t>
        </is>
      </c>
      <c r="B276" s="78" t="inlineStr">
        <is>
          <t>fcs_condiments_days</t>
        </is>
      </c>
      <c r="C276" s="78" t="inlineStr">
        <is>
          <t>How many days over *the last 7 days*, did members of your household eat **spices or condiments** such as tea, coffee, cocoa, salt, garlic, spices, yeast, meat fish as a condiment or small amounts of milk for tea or coffee?</t>
        </is>
      </c>
      <c r="D276" s="79" t="n"/>
      <c r="E276" s="77" t="inlineStr">
        <is>
          <t>[INSTRUCTIONS: RECORD NUMBER OF DAYS 0 - 7. IF CONSUMED ONLY IN SMALL QUANTITY, DO NOT INCLUDE.]</t>
        </is>
      </c>
      <c r="F276" s="79" t="n"/>
      <c r="G276" s="121" t="inlineStr">
        <is>
          <t>true</t>
        </is>
      </c>
      <c r="H276" s="136" t="n"/>
      <c r="I276" s="136" t="inlineStr">
        <is>
          <t>.&gt;= 0 and .&lt;=7</t>
        </is>
      </c>
      <c r="J276" s="121" t="inlineStr">
        <is>
          <t>The answer must be between 0 and 7 days</t>
        </is>
      </c>
      <c r="K276" s="136" t="n"/>
      <c r="L276" s="136" t="n"/>
      <c r="M276" s="136" t="n"/>
      <c r="N276" s="136" t="n"/>
      <c r="S276" s="78" t="inlineStr">
        <is>
          <t>no</t>
        </is>
      </c>
      <c r="U276" s="245" t="n">
        <v>17</v>
      </c>
      <c r="V276" s="109" t="n">
        <v>1</v>
      </c>
      <c r="W276" s="246">
        <f>IF(U276&lt;&gt;"",U276*V276,"")</f>
        <v/>
      </c>
      <c r="X276" s="246">
        <f>IF(AND(U276&lt;&gt;"",S276="yes"),U276*V276,"")</f>
        <v/>
      </c>
    </row>
    <row r="277" customFormat="1" s="77">
      <c r="A277" s="77" t="inlineStr">
        <is>
          <t>end_group</t>
        </is>
      </c>
      <c r="C277" s="78" t="n"/>
      <c r="D277" s="79" t="n"/>
      <c r="F277" s="83" t="n"/>
      <c r="G277" s="121" t="n"/>
      <c r="H277" s="121" t="n"/>
      <c r="I277" s="121" t="n"/>
      <c r="J277" s="121" t="n"/>
      <c r="K277" s="121" t="n"/>
      <c r="L277" s="121" t="n"/>
      <c r="M277" s="121" t="n"/>
      <c r="N277" s="121" t="n"/>
      <c r="S277" s="77" t="inlineStr"/>
      <c r="U277" s="245" t="n">
        <v>17</v>
      </c>
      <c r="V277" s="109" t="n">
        <v>1</v>
      </c>
      <c r="W277" s="246">
        <f>IF(U277&lt;&gt;"",U277*V277,"")</f>
        <v/>
      </c>
      <c r="X277" s="246">
        <f>IF(AND(U277&lt;&gt;"",S277="yes"),U277*V277,"")</f>
        <v/>
      </c>
      <c r="Y277" s="76" t="n"/>
    </row>
    <row r="278" customFormat="1" s="77">
      <c r="C278" s="78" t="n"/>
      <c r="D278" s="79" t="n"/>
      <c r="F278" s="83" t="n"/>
      <c r="G278" s="121" t="n"/>
      <c r="H278" s="121" t="n"/>
      <c r="I278" s="121" t="n"/>
      <c r="J278" s="121" t="n"/>
      <c r="K278" s="121" t="n"/>
      <c r="L278" s="121" t="n"/>
      <c r="M278" s="121" t="n"/>
      <c r="N278" s="121" t="n"/>
      <c r="S278" s="77" t="inlineStr"/>
      <c r="U278" s="245" t="n">
        <v>17</v>
      </c>
      <c r="V278" s="109" t="n">
        <v>1</v>
      </c>
      <c r="W278" s="246">
        <f>IF(U278&lt;&gt;"",U278*V278,"")</f>
        <v/>
      </c>
      <c r="X278" s="246">
        <f>IF(AND(U278&lt;&gt;"",S278="yes"),U278*V278,"")</f>
        <v/>
      </c>
      <c r="Y278" s="76" t="n"/>
    </row>
    <row r="279" ht="16" customFormat="1" customHeight="1" s="77">
      <c r="A279" s="77" t="inlineStr">
        <is>
          <t>begin_group</t>
        </is>
      </c>
      <c r="B279" s="77" t="inlineStr">
        <is>
          <t>grp_rcsi</t>
        </is>
      </c>
      <c r="C279" s="78" t="inlineStr">
        <is>
          <t>rCSI</t>
        </is>
      </c>
      <c r="D279" s="79" t="n"/>
      <c r="F279" s="83" t="n"/>
      <c r="G279" s="121" t="n"/>
      <c r="H279" s="121" t="n"/>
      <c r="I279" s="121" t="n"/>
      <c r="J279" s="121" t="n"/>
      <c r="K279" s="121" t="n"/>
      <c r="L279" s="121" t="n"/>
      <c r="M279" s="121" t="n"/>
      <c r="N279" s="121" t="n"/>
      <c r="S279" s="77" t="inlineStr">
        <is>
          <t>no</t>
        </is>
      </c>
      <c r="U279" s="245" t="n"/>
      <c r="V279" s="109" t="n">
        <v>1</v>
      </c>
      <c r="W279" s="246">
        <f>IF(U279&lt;&gt;"",U279*V279,"")</f>
        <v/>
      </c>
      <c r="X279" s="246">
        <f>IF(AND(U279&lt;&gt;"",S279="yes"),U279*V279,"")</f>
        <v/>
      </c>
    </row>
    <row r="280" ht="48" customFormat="1" customHeight="1" s="77">
      <c r="A280" s="77" t="inlineStr">
        <is>
          <t>note</t>
        </is>
      </c>
      <c r="B280" s="77" t="inlineStr">
        <is>
          <t>rcsi_intro</t>
        </is>
      </c>
      <c r="C280" s="78" t="inlineStr">
        <is>
          <t>Now I will ask you about the number of days, in *the last 7 days*, during which the household has done some of the actions that I will mention to cope with the lack of food or money to buy food.</t>
        </is>
      </c>
      <c r="D280" s="79" t="n"/>
      <c r="F280" s="83" t="n"/>
      <c r="G280" s="121" t="inlineStr">
        <is>
          <t>false</t>
        </is>
      </c>
      <c r="H280" s="121" t="n"/>
      <c r="I280" s="121" t="n"/>
      <c r="J280" s="121" t="n"/>
      <c r="K280" s="121" t="n"/>
      <c r="L280" s="121" t="n"/>
      <c r="M280" s="121" t="n"/>
      <c r="N280" s="121" t="n"/>
      <c r="S280" s="77" t="inlineStr">
        <is>
          <t>no</t>
        </is>
      </c>
      <c r="U280" s="245" t="n">
        <v>17</v>
      </c>
      <c r="V280" s="109" t="n">
        <v>1</v>
      </c>
      <c r="W280" s="246">
        <f>IF(U280&lt;&gt;"",U280*V280,"")</f>
        <v/>
      </c>
      <c r="X280" s="246">
        <f>IF(AND(U280&lt;&gt;"",S280="yes"),U280*V280,"")</f>
        <v/>
      </c>
    </row>
    <row r="281" ht="32" customFormat="1" customHeight="1" s="77">
      <c r="A281" s="77" t="inlineStr">
        <is>
          <t>integer</t>
        </is>
      </c>
      <c r="B281" s="77" t="inlineStr">
        <is>
          <t>rcsi_less_preferred_foods</t>
        </is>
      </c>
      <c r="C281" s="78" t="inlineStr">
        <is>
          <t xml:space="preserve">In *the past 7 days*, how many days did your household **rely on less preferred or less expensive food** due to lack of food/money?  </t>
        </is>
      </c>
      <c r="D281" s="79" t="n"/>
      <c r="E281" s="77" t="inlineStr">
        <is>
          <t>[INSTRUCTIONS: RECORD NUMBER OF DAYS 0 - 7]</t>
        </is>
      </c>
      <c r="F281" s="83" t="n"/>
      <c r="G281" s="121" t="inlineStr">
        <is>
          <t>true</t>
        </is>
      </c>
      <c r="H281" s="121" t="n"/>
      <c r="I281" s="121" t="inlineStr">
        <is>
          <t>.&gt;= 0 and .&lt;=7</t>
        </is>
      </c>
      <c r="J281" s="121" t="inlineStr">
        <is>
          <t>The answer must be between 0 and 7 days</t>
        </is>
      </c>
      <c r="K281" s="121" t="n"/>
      <c r="L281" s="121" t="n"/>
      <c r="M281" s="121" t="n"/>
      <c r="N281" s="121" t="n"/>
      <c r="S281" s="77" t="inlineStr">
        <is>
          <t>no</t>
        </is>
      </c>
      <c r="U281" s="245" t="n">
        <v>17</v>
      </c>
      <c r="V281" s="109" t="n">
        <v>1</v>
      </c>
      <c r="W281" s="246">
        <f>IF(U281&lt;&gt;"",U281*V281,"")</f>
        <v/>
      </c>
      <c r="X281" s="246">
        <f>IF(AND(U281&lt;&gt;"",S281="yes"),U281*V281,"")</f>
        <v/>
      </c>
    </row>
    <row r="282" ht="32" customFormat="1" customHeight="1" s="77">
      <c r="A282" s="77" t="inlineStr">
        <is>
          <t>integer</t>
        </is>
      </c>
      <c r="B282" s="77" t="inlineStr">
        <is>
          <t>rcsi_borrowed_food</t>
        </is>
      </c>
      <c r="C282" s="78" t="inlineStr">
        <is>
          <t xml:space="preserve">In the *past 7 days*, how many days did your household **borrow food, or rely on help from a friend or relative** due to lack of food or money to buy food? </t>
        </is>
      </c>
      <c r="D282" s="79" t="n"/>
      <c r="E282" s="77" t="inlineStr">
        <is>
          <t>[INSTRUCTIONS: RECORD NUMBER OF DAYS 0 - 7]</t>
        </is>
      </c>
      <c r="F282" s="83" t="n"/>
      <c r="G282" s="121" t="inlineStr">
        <is>
          <t>true</t>
        </is>
      </c>
      <c r="H282" s="121" t="n"/>
      <c r="I282" s="121" t="inlineStr">
        <is>
          <t>.&gt;= 0 and .&lt;=7</t>
        </is>
      </c>
      <c r="J282" s="121" t="inlineStr">
        <is>
          <t>The answer must be between 0 and 7 days</t>
        </is>
      </c>
      <c r="K282" s="121" t="n"/>
      <c r="L282" s="121" t="n"/>
      <c r="M282" s="121" t="n"/>
      <c r="N282" s="121" t="n"/>
      <c r="S282" s="77" t="inlineStr">
        <is>
          <t>no</t>
        </is>
      </c>
      <c r="U282" s="245" t="n">
        <v>17</v>
      </c>
      <c r="V282" s="109" t="n">
        <v>1</v>
      </c>
      <c r="W282" s="246">
        <f>IF(U282&lt;&gt;"",U282*V282,"")</f>
        <v/>
      </c>
      <c r="X282" s="246">
        <f>IF(AND(U282&lt;&gt;"",S282="yes"),U282*V282,"")</f>
        <v/>
      </c>
    </row>
    <row r="283" ht="32" customFormat="1" customHeight="1" s="77">
      <c r="A283" s="77" t="inlineStr">
        <is>
          <t>integer</t>
        </is>
      </c>
      <c r="B283" s="77" t="inlineStr">
        <is>
          <t>rcsi_reduce_number_meals</t>
        </is>
      </c>
      <c r="C283" s="78" t="inlineStr">
        <is>
          <t>In the past 7 days, how many days did your household **reduce the number of meals eaten in a day** due to lack of food or money to buy food?</t>
        </is>
      </c>
      <c r="D283" s="79" t="n"/>
      <c r="E283" s="77" t="inlineStr">
        <is>
          <t>[INSTRUCTIONS: RECORD NUMBER OF DAYS 0 - 7]</t>
        </is>
      </c>
      <c r="F283" s="83" t="n"/>
      <c r="G283" s="121" t="inlineStr">
        <is>
          <t>true</t>
        </is>
      </c>
      <c r="H283" s="121" t="n"/>
      <c r="I283" s="121" t="inlineStr">
        <is>
          <t>.&gt;= 0 and .&lt;=7</t>
        </is>
      </c>
      <c r="J283" s="121" t="inlineStr">
        <is>
          <t>The answer must be between 0 and 7 days</t>
        </is>
      </c>
      <c r="K283" s="121" t="n"/>
      <c r="L283" s="121" t="n"/>
      <c r="M283" s="121" t="n"/>
      <c r="N283" s="121" t="n"/>
      <c r="S283" s="77" t="inlineStr">
        <is>
          <t>no</t>
        </is>
      </c>
      <c r="U283" s="245" t="n">
        <v>17</v>
      </c>
      <c r="V283" s="109" t="n">
        <v>1</v>
      </c>
      <c r="W283" s="246">
        <f>IF(U283&lt;&gt;"",U283*V283,"")</f>
        <v/>
      </c>
      <c r="X283" s="246">
        <f>IF(AND(U283&lt;&gt;"",S283="yes"),U283*V283,"")</f>
        <v/>
      </c>
    </row>
    <row r="284" ht="32" customFormat="1" customHeight="1" s="77">
      <c r="A284" s="77" t="inlineStr">
        <is>
          <t>integer</t>
        </is>
      </c>
      <c r="B284" s="77" t="inlineStr">
        <is>
          <t>rcsi_limit_portions</t>
        </is>
      </c>
      <c r="C284" s="78" t="inlineStr">
        <is>
          <t xml:space="preserve">In the *past 7 days*, how many days did your household **limit portion sizes at mealtime** due to lack of food or money to buy food? </t>
        </is>
      </c>
      <c r="D284" s="79" t="n"/>
      <c r="E284" s="77" t="inlineStr">
        <is>
          <t>[INSTRUCTIONS: RECORD NUMBER OF DAYS 0 - 7]</t>
        </is>
      </c>
      <c r="F284" s="83" t="n"/>
      <c r="G284" s="121" t="inlineStr">
        <is>
          <t>true</t>
        </is>
      </c>
      <c r="H284" s="121" t="n"/>
      <c r="I284" s="121" t="inlineStr">
        <is>
          <t>.&gt;= 0 and .&lt;=7</t>
        </is>
      </c>
      <c r="J284" s="121" t="inlineStr">
        <is>
          <t>The answer must be between 0 and 7 days</t>
        </is>
      </c>
      <c r="K284" s="121" t="n"/>
      <c r="L284" s="121" t="n"/>
      <c r="M284" s="121" t="n"/>
      <c r="N284" s="121" t="n"/>
      <c r="S284" s="77" t="inlineStr">
        <is>
          <t>no</t>
        </is>
      </c>
      <c r="U284" s="245" t="n">
        <v>17</v>
      </c>
      <c r="V284" s="109" t="n">
        <v>1</v>
      </c>
      <c r="W284" s="246">
        <f>IF(U284&lt;&gt;"",U284*V284,"")</f>
        <v/>
      </c>
      <c r="X284" s="246">
        <f>IF(AND(U284&lt;&gt;"",S284="yes"),U284*V284,"")</f>
        <v/>
      </c>
    </row>
    <row r="285" ht="32" customFormat="1" customHeight="1" s="77">
      <c r="A285" s="77" t="inlineStr">
        <is>
          <t>integer</t>
        </is>
      </c>
      <c r="B285" s="77" t="inlineStr">
        <is>
          <t>rcsi_restrict_adult_consumpt</t>
        </is>
      </c>
      <c r="C285" s="78" t="inlineStr">
        <is>
          <t>In the *past 7 days*, how many days did your household **restrict consumption by adults so children could eat**, due to lack of food or money to buy food?</t>
        </is>
      </c>
      <c r="D285" s="79" t="n"/>
      <c r="E285" s="77" t="inlineStr">
        <is>
          <t>[INSTRUCTIONS: RECORD NUMBER OF DAYS 0 - 7]</t>
        </is>
      </c>
      <c r="F285" s="83" t="n"/>
      <c r="G285" s="121" t="inlineStr">
        <is>
          <t>true</t>
        </is>
      </c>
      <c r="H285" s="121" t="n"/>
      <c r="I285" s="121" t="inlineStr">
        <is>
          <t>.&gt;= 0 and .&lt;=7</t>
        </is>
      </c>
      <c r="J285" s="121" t="inlineStr">
        <is>
          <t>The answer must be between 0 and 7 days</t>
        </is>
      </c>
      <c r="K285" s="121" t="n"/>
      <c r="L285" s="121" t="n"/>
      <c r="M285" s="121" t="n"/>
      <c r="N285" s="121" t="n"/>
      <c r="S285" s="77" t="inlineStr">
        <is>
          <t>no</t>
        </is>
      </c>
      <c r="U285" s="245" t="n">
        <v>17</v>
      </c>
      <c r="V285" s="109" t="n">
        <v>1</v>
      </c>
      <c r="W285" s="246">
        <f>IF(U285&lt;&gt;"",U285*V285,"")</f>
        <v/>
      </c>
      <c r="X285" s="246">
        <f>IF(AND(U285&lt;&gt;"",S285="yes"),U285*V285,"")</f>
        <v/>
      </c>
    </row>
    <row r="286" customFormat="1" s="77">
      <c r="A286" s="77" t="inlineStr">
        <is>
          <t>end_group</t>
        </is>
      </c>
      <c r="C286" s="78" t="n"/>
      <c r="D286" s="79" t="n"/>
      <c r="F286" s="83" t="n"/>
      <c r="G286" s="121" t="n"/>
      <c r="H286" s="121" t="n"/>
      <c r="I286" s="121" t="n"/>
      <c r="J286" s="121" t="n"/>
      <c r="K286" s="121" t="n"/>
      <c r="L286" s="121" t="n"/>
      <c r="M286" s="121" t="n"/>
      <c r="N286" s="121" t="n"/>
      <c r="S286" s="77" t="inlineStr"/>
      <c r="U286" s="245" t="inlineStr"/>
      <c r="V286" s="109" t="n">
        <v>1</v>
      </c>
      <c r="W286" s="246">
        <f>IF(U286&lt;&gt;"",U286*V286,"")</f>
        <v/>
      </c>
      <c r="X286" s="246">
        <f>IF(AND(U286&lt;&gt;"",S286="yes"),U286*V286,"")</f>
        <v/>
      </c>
    </row>
    <row r="287" customFormat="1" s="77">
      <c r="C287" s="78" t="n"/>
      <c r="D287" s="79" t="n"/>
      <c r="F287" s="83" t="n"/>
      <c r="G287" s="121" t="n"/>
      <c r="H287" s="121" t="n"/>
      <c r="I287" s="121" t="n"/>
      <c r="J287" s="121" t="n"/>
      <c r="K287" s="121" t="n"/>
      <c r="L287" s="121" t="n"/>
      <c r="M287" s="121" t="n"/>
      <c r="N287" s="121" t="n"/>
      <c r="S287" s="77" t="inlineStr"/>
      <c r="U287" s="245" t="inlineStr"/>
      <c r="V287" s="109" t="n">
        <v>1</v>
      </c>
      <c r="W287" s="246">
        <f>IF(U287&lt;&gt;"",U287*V287,"")</f>
        <v/>
      </c>
      <c r="X287" s="246">
        <f>IF(AND(U287&lt;&gt;"",S287="yes"),U287*V287,"")</f>
        <v/>
      </c>
    </row>
    <row r="288" ht="16" customHeight="1" thickBot="1">
      <c r="A288" s="102" t="inlineStr">
        <is>
          <t>end_group</t>
        </is>
      </c>
      <c r="B288" s="102" t="n"/>
      <c r="C288" s="103" t="n"/>
      <c r="D288" s="112" t="n"/>
      <c r="E288" s="102" t="n"/>
      <c r="F288" s="113" t="n"/>
      <c r="G288" s="133" t="n"/>
      <c r="H288" s="133" t="n"/>
      <c r="I288" s="133" t="n"/>
      <c r="J288" s="133" t="n"/>
      <c r="K288" s="133" t="n"/>
      <c r="L288" s="133" t="n"/>
      <c r="M288" s="133" t="n"/>
      <c r="N288" s="133" t="n"/>
      <c r="U288" s="245" t="n"/>
      <c r="W288" s="246">
        <f>IF(U288&lt;&gt;"",U288*V288,"")</f>
        <v/>
      </c>
      <c r="X288" s="246">
        <f>IF(AND(U288&lt;&gt;"",S288="yes"),U288*V288,"")</f>
        <v/>
      </c>
    </row>
    <row r="289" ht="15" customFormat="1" customHeight="1" s="73" thickTop="1">
      <c r="A289" s="70" t="inlineStr">
        <is>
          <t>begin_group</t>
        </is>
      </c>
      <c r="B289" s="70" t="inlineStr">
        <is>
          <t>Assisstance_group</t>
        </is>
      </c>
      <c r="C289" s="94" t="inlineStr">
        <is>
          <t>NEEDS ASSISTANCE</t>
        </is>
      </c>
      <c r="D289" s="71" t="n"/>
      <c r="E289" s="70" t="n"/>
      <c r="F289" s="72" t="n"/>
      <c r="G289" s="125" t="inlineStr">
        <is>
          <t>false</t>
        </is>
      </c>
      <c r="H289" s="125" t="n"/>
      <c r="I289" s="125" t="n"/>
      <c r="J289" s="125" t="n"/>
      <c r="K289" s="125"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L289" s="125" t="n"/>
      <c r="M289" s="125" t="n"/>
      <c r="N289" s="125" t="n"/>
      <c r="S289" s="45" t="inlineStr">
        <is>
          <t>yes</t>
        </is>
      </c>
      <c r="U289" s="245" t="n"/>
      <c r="V289" s="74" t="n"/>
      <c r="W289" s="246">
        <f>IF(U289&lt;&gt;"",U289*V289,"")</f>
        <v/>
      </c>
      <c r="X289" s="246">
        <f>IF(AND(U289&lt;&gt;"",S289="yes"),U289*V289,"")</f>
        <v/>
      </c>
      <c r="Y289" s="74" t="n"/>
    </row>
    <row r="290" ht="15" customFormat="1" customHeight="1" s="73">
      <c r="C290" s="95" t="n"/>
      <c r="D290" s="71" t="n"/>
      <c r="F290" s="72" t="n"/>
      <c r="G290" s="126" t="n"/>
      <c r="H290" s="126" t="n"/>
      <c r="I290" s="126" t="n"/>
      <c r="J290" s="126" t="n"/>
      <c r="K290" s="126" t="n"/>
      <c r="L290" s="126" t="n"/>
      <c r="M290" s="126" t="n"/>
      <c r="N290" s="126" t="n"/>
      <c r="S290" s="45" t="inlineStr"/>
      <c r="U290" s="245" t="inlineStr"/>
      <c r="V290" s="109" t="n">
        <v>1</v>
      </c>
      <c r="W290" s="246">
        <f>IF(U290&lt;&gt;"",U290*V290,"")</f>
        <v/>
      </c>
      <c r="X290" s="246">
        <f>IF(AND(U290&lt;&gt;"",S290="yes"),U290*V290,"")</f>
        <v/>
      </c>
      <c r="Y290" s="74" t="n"/>
    </row>
    <row r="291" ht="32" customHeight="1">
      <c r="A291" s="75" t="inlineStr">
        <is>
          <t>select_one yes_no</t>
        </is>
      </c>
      <c r="B291" s="75" t="inlineStr">
        <is>
          <t>need</t>
        </is>
      </c>
      <c r="C291" s="44" t="inlineStr">
        <is>
          <t>Does your household need assistance for agricultural activities [including crop, livestock or fisheries/aquaculture activities] over the next 3 to 6 months?</t>
        </is>
      </c>
      <c r="D291" s="88" t="n"/>
      <c r="E291" s="75" t="n"/>
      <c r="F291" s="89" t="n"/>
      <c r="G291" s="120" t="inlineStr">
        <is>
          <t>true</t>
        </is>
      </c>
      <c r="H291" s="120" t="n"/>
      <c r="I291" s="120" t="n"/>
      <c r="J291" s="120" t="n"/>
      <c r="K291" s="120" t="n"/>
      <c r="L291" s="120" t="n"/>
      <c r="M291" s="120" t="n"/>
      <c r="N291" s="120" t="n"/>
      <c r="S291" s="45" t="inlineStr">
        <is>
          <t>yes</t>
        </is>
      </c>
      <c r="U291" s="245" t="n">
        <v>19.82824516296387</v>
      </c>
      <c r="V291" s="109" t="n">
        <v>1</v>
      </c>
      <c r="W291" s="246">
        <f>IF(U291&lt;&gt;"",U291*V291,"")</f>
        <v/>
      </c>
      <c r="X291" s="246">
        <f>IF(AND(U291&lt;&gt;"",S291="yes"),U291*V291,"")</f>
        <v/>
      </c>
    </row>
    <row r="292" ht="48" customHeight="1">
      <c r="A292" s="75" t="inlineStr">
        <is>
          <t>select_multiple needs</t>
        </is>
      </c>
      <c r="B292" s="75" t="inlineStr">
        <is>
          <t>need_</t>
        </is>
      </c>
      <c r="C292" s="44" t="inlineStr">
        <is>
          <t>What are your household's greatest needs for assistance for your household's agricultural activities [including crop, livestock or fisheries/aquaculture production activities] over the next 3 to 6 months?</t>
        </is>
      </c>
      <c r="D292" s="88" t="n"/>
      <c r="E292" s="75" t="inlineStr">
        <is>
          <t>[INSTRUCTIONS: MULTIPLE RESPONSE. DO NOT READ THE OPTIONS.]</t>
        </is>
      </c>
      <c r="F292" s="89" t="n"/>
      <c r="G292" s="120" t="inlineStr">
        <is>
          <t>true</t>
        </is>
      </c>
      <c r="H292" s="120" t="n"/>
      <c r="I292" s="122" t="inlineStr">
        <is>
          <t>if(selected(., 'dk') or selected(., 'ref'), count-selected(.) = 1, count-selected(.) &gt;= 1)</t>
        </is>
      </c>
      <c r="J292" s="120" t="n"/>
      <c r="K292" s="120" t="inlineStr">
        <is>
          <t>${need} = 1</t>
        </is>
      </c>
      <c r="L292" s="120" t="n"/>
      <c r="M292" s="120" t="n"/>
      <c r="N292" s="120" t="n"/>
      <c r="S292" s="45" t="inlineStr">
        <is>
          <t>yes</t>
        </is>
      </c>
      <c r="U292" s="245" t="n">
        <v>49.52969360351562</v>
      </c>
      <c r="V292" s="109" t="n">
        <v>1</v>
      </c>
      <c r="W292" s="246">
        <f>IF(U292&lt;&gt;"",U292*V292,"")</f>
        <v/>
      </c>
      <c r="X292" s="246">
        <f>IF(AND(U292&lt;&gt;"",S292="yes"),U292*V292,"")</f>
        <v/>
      </c>
    </row>
    <row r="293" ht="16" customHeight="1">
      <c r="A293" s="75" t="inlineStr">
        <is>
          <t>text</t>
        </is>
      </c>
      <c r="B293" s="75" t="inlineStr">
        <is>
          <t>need_otherspecify</t>
        </is>
      </c>
      <c r="C293" s="81" t="inlineStr">
        <is>
          <t>If other, specify.</t>
        </is>
      </c>
      <c r="D293" s="99" t="n"/>
      <c r="E293" s="76" t="inlineStr">
        <is>
          <t>[INSTRUCTIONS: RECORD THE OPEN RESPONSE GIVEN IN FEW WORDS. ENTER 888 FOR DON'T KNOW AND 999 FOR REFUSED]</t>
        </is>
      </c>
      <c r="F293" s="89" t="n"/>
      <c r="G293" s="120" t="inlineStr">
        <is>
          <t>true</t>
        </is>
      </c>
      <c r="H293" s="120" t="n"/>
      <c r="I293" s="120" t="n"/>
      <c r="J293" s="120" t="n"/>
      <c r="K293" s="120" t="inlineStr">
        <is>
          <t>selected(${need_}, 'other')</t>
        </is>
      </c>
      <c r="L293" s="120" t="n"/>
      <c r="M293" s="120" t="n"/>
      <c r="N293" s="120" t="n"/>
      <c r="S293" s="45" t="inlineStr">
        <is>
          <t>yes</t>
        </is>
      </c>
      <c r="U293" s="245" t="n"/>
      <c r="V293" s="109" t="n">
        <v>1</v>
      </c>
      <c r="W293" s="246">
        <f>IF(U293&lt;&gt;"",U293*V293,"")</f>
        <v/>
      </c>
      <c r="X293" s="246">
        <f>IF(AND(U293&lt;&gt;"",S293="yes"),U293*V293,"")</f>
        <v/>
      </c>
    </row>
    <row r="294">
      <c r="D294" s="88" t="n"/>
      <c r="F294" s="89" t="n"/>
      <c r="S294" s="45" t="inlineStr"/>
      <c r="U294" s="245" t="inlineStr"/>
      <c r="V294" s="109" t="n">
        <v>1</v>
      </c>
      <c r="W294" s="246">
        <f>IF(U294&lt;&gt;"",U294*V294,"")</f>
        <v/>
      </c>
      <c r="X294" s="246">
        <f>IF(AND(U294&lt;&gt;"",S294="yes"),U294*V294,"")</f>
        <v/>
      </c>
    </row>
    <row r="295" ht="32" customFormat="1" customHeight="1" s="76">
      <c r="A295" s="80" t="inlineStr">
        <is>
          <t>select_multiple needreceived</t>
        </is>
      </c>
      <c r="B295" s="80" t="inlineStr">
        <is>
          <t>need_received</t>
        </is>
      </c>
      <c r="C295" s="81" t="inlineStr">
        <is>
          <t>Has your household received any assistance in the last 3 months, and if so, which kind?</t>
        </is>
      </c>
      <c r="D295" s="99" t="n"/>
      <c r="E295" s="80" t="inlineStr">
        <is>
          <t>[INSTRUCTIONS: READ OUT ANSWER OPTIONS. MULTIPLE RESPONSES POSSIBLE.]</t>
        </is>
      </c>
      <c r="F295" s="101" t="n"/>
      <c r="G295" s="122" t="inlineStr">
        <is>
          <t>true</t>
        </is>
      </c>
      <c r="H295" s="122" t="n"/>
      <c r="I295" s="122" t="inlineStr">
        <is>
          <t>if(selected(., 'dk') or selected(., 'ref') or selected(., 'none'), count-selected(.) = 1, count-selected(.) &gt;= 1)</t>
        </is>
      </c>
      <c r="J295" s="122" t="n"/>
      <c r="K295" s="122" t="n"/>
      <c r="L295" s="122" t="n"/>
      <c r="M295" s="122" t="n"/>
      <c r="N295" s="122" t="n"/>
      <c r="S295" s="76" t="inlineStr">
        <is>
          <t>yes</t>
        </is>
      </c>
      <c r="U295" s="245" t="n">
        <v>22.02975082397461</v>
      </c>
      <c r="V295" s="109" t="n">
        <v>1</v>
      </c>
      <c r="W295" s="246">
        <f>IF(U295&lt;&gt;"",U295*V295,"")</f>
        <v/>
      </c>
      <c r="X295" s="246">
        <f>IF(AND(U295&lt;&gt;"",S295="yes"),U295*V295,"")</f>
        <v/>
      </c>
    </row>
    <row r="296" ht="16" customFormat="1" customHeight="1" s="76">
      <c r="A296" s="80" t="inlineStr">
        <is>
          <t>text</t>
        </is>
      </c>
      <c r="B296" s="80" t="inlineStr">
        <is>
          <t>need_received_otherspecify</t>
        </is>
      </c>
      <c r="C296" s="81" t="inlineStr">
        <is>
          <t>If other, specify.</t>
        </is>
      </c>
      <c r="D296" s="99" t="n"/>
      <c r="E296" s="80" t="inlineStr">
        <is>
          <t>[INSTRUCTIONS: RECORD THE OPEN RESPONSE GIVEN IN FEW WORDS. ENTER 888 FOR DON'T KNOW AND 999 FOR REFUSED]</t>
        </is>
      </c>
      <c r="F296" s="101" t="n"/>
      <c r="G296" s="122" t="inlineStr">
        <is>
          <t>true</t>
        </is>
      </c>
      <c r="H296" s="122" t="n"/>
      <c r="I296" s="122" t="n"/>
      <c r="J296" s="122" t="n"/>
      <c r="K296" s="122" t="inlineStr">
        <is>
          <t>selected(${need_received}, 'other')</t>
        </is>
      </c>
      <c r="L296" s="122" t="n"/>
      <c r="M296" s="122" t="n"/>
      <c r="N296" s="122" t="n"/>
      <c r="S296" s="76" t="inlineStr">
        <is>
          <t>yes</t>
        </is>
      </c>
      <c r="U296" s="245" t="n"/>
      <c r="V296" s="109" t="n">
        <v>1</v>
      </c>
      <c r="W296" s="246">
        <f>IF(U296&lt;&gt;"",U296*V296,"")</f>
        <v/>
      </c>
      <c r="X296" s="246">
        <f>IF(AND(U296&lt;&gt;"",S296="yes"),U296*V296,"")</f>
        <v/>
      </c>
    </row>
    <row r="297" ht="16" customFormat="1" customHeight="1" s="76">
      <c r="A297" s="80" t="inlineStr">
        <is>
          <t>select_one assist_quality</t>
        </is>
      </c>
      <c r="B297" s="80" t="inlineStr">
        <is>
          <t>assistance_quality</t>
        </is>
      </c>
      <c r="C297" s="81" t="inlineStr">
        <is>
          <t xml:space="preserve">Were you satisfied with the quality of the assistance provided? </t>
        </is>
      </c>
      <c r="D297" s="99" t="n"/>
      <c r="E297" s="80" t="inlineStr">
        <is>
          <t>[INSTRUCTIONS: QUALITY OF ASSISTANCE IN TERMS OF SUFFICIENT ASSISTANCE FOR PRODUCTION OR SALES DIFFICULTY TO BE OVERCOME.]</t>
        </is>
      </c>
      <c r="F297" s="101" t="n"/>
      <c r="G297" s="122" t="inlineStr">
        <is>
          <t>true</t>
        </is>
      </c>
      <c r="H297" s="122" t="n"/>
      <c r="I297" s="122" t="n"/>
      <c r="J297" s="122" t="n"/>
      <c r="K297" s="122" t="inlineStr">
        <is>
          <t>${need_received} != 'dk' and ${need_received} != 'ref' and ${need_received} != 'none'</t>
        </is>
      </c>
      <c r="L297" s="122" t="n"/>
      <c r="M297" s="122" t="n"/>
      <c r="N297" s="122" t="n"/>
      <c r="S297" s="76" t="inlineStr">
        <is>
          <t>yes</t>
        </is>
      </c>
      <c r="U297" s="245" t="n">
        <v>17</v>
      </c>
      <c r="V297" s="109" t="n">
        <v>1</v>
      </c>
      <c r="W297" s="246">
        <f>IF(U297&lt;&gt;"",U297*V297,"")</f>
        <v/>
      </c>
      <c r="X297" s="246">
        <f>IF(AND(U297&lt;&gt;"",S297="yes"),U297*V297,"")</f>
        <v/>
      </c>
    </row>
    <row r="298" customFormat="1" s="77">
      <c r="C298" s="78" t="n"/>
      <c r="D298" s="79" t="n"/>
      <c r="F298" s="83" t="n"/>
      <c r="G298" s="121" t="n"/>
      <c r="H298" s="121" t="n"/>
      <c r="I298" s="121" t="n"/>
      <c r="J298" s="121" t="n"/>
      <c r="K298" s="121" t="n"/>
      <c r="L298" s="121" t="n"/>
      <c r="M298" s="121" t="n"/>
      <c r="N298" s="121" t="n"/>
      <c r="P298" s="45" t="n"/>
      <c r="S298" s="77" t="inlineStr"/>
      <c r="U298" s="245" t="inlineStr"/>
      <c r="V298" s="109" t="n">
        <v>1</v>
      </c>
      <c r="W298" s="246">
        <f>IF(U298&lt;&gt;"",U298*V298,"")</f>
        <v/>
      </c>
      <c r="X298" s="246">
        <f>IF(AND(U298&lt;&gt;"",S298="yes"),U298*V298,"")</f>
        <v/>
      </c>
      <c r="Y298" s="76" t="n"/>
    </row>
    <row r="299" ht="16" customFormat="1" customHeight="1" s="77">
      <c r="A299" s="77" t="inlineStr">
        <is>
          <t>select_multiple provider</t>
        </is>
      </c>
      <c r="B299" s="77" t="inlineStr">
        <is>
          <t>assistance</t>
        </is>
      </c>
      <c r="C299" s="78" t="inlineStr">
        <is>
          <t>Who provided your household with this assistance?</t>
        </is>
      </c>
      <c r="D299" s="79" t="n"/>
      <c r="E299" s="77" t="inlineStr">
        <is>
          <t>[INSTRUCTIONS: MULTIPLE RESPONSES.]</t>
        </is>
      </c>
      <c r="F299" s="83" t="n"/>
      <c r="G299" s="121" t="inlineStr">
        <is>
          <t>true</t>
        </is>
      </c>
      <c r="H299" s="121" t="n"/>
      <c r="I299" s="132" t="inlineStr">
        <is>
          <t>if(selected(., 'dk') or selected(., 'ref'), count-selected(.) = 1, count-selected(.) &gt;= 1)</t>
        </is>
      </c>
      <c r="J299" s="121" t="n"/>
      <c r="K299" s="132" t="inlineStr">
        <is>
          <t>${need_received} != 'dk' and ${need_received} != 'ref' and ${need_received} != 'none'</t>
        </is>
      </c>
      <c r="L299" s="121" t="n"/>
      <c r="M299" s="121" t="n"/>
      <c r="N299" s="121" t="n"/>
      <c r="P299" s="45" t="n"/>
      <c r="S299" s="77" t="inlineStr">
        <is>
          <t>no</t>
        </is>
      </c>
      <c r="U299" s="245" t="n"/>
      <c r="V299" s="109" t="n"/>
      <c r="W299" s="246" t="n"/>
      <c r="X299" s="246" t="n"/>
      <c r="Y299" s="76" t="n"/>
    </row>
    <row r="300" customFormat="1" s="77">
      <c r="C300" s="78" t="n"/>
      <c r="D300" s="79" t="n"/>
      <c r="F300" s="83" t="n"/>
      <c r="G300" s="121" t="n"/>
      <c r="H300" s="121" t="n"/>
      <c r="I300" s="121" t="n"/>
      <c r="J300" s="121" t="n"/>
      <c r="K300" s="121" t="n"/>
      <c r="L300" s="121" t="n"/>
      <c r="M300" s="121" t="n"/>
      <c r="N300" s="121" t="n"/>
      <c r="P300" s="45" t="n"/>
      <c r="U300" s="245" t="n"/>
      <c r="V300" s="109" t="n"/>
      <c r="W300" s="246" t="n"/>
      <c r="X300" s="246" t="n"/>
      <c r="Y300" s="76" t="n"/>
    </row>
    <row r="301" ht="16" customHeight="1" thickBot="1">
      <c r="A301" s="102" t="inlineStr">
        <is>
          <t>end_group</t>
        </is>
      </c>
      <c r="B301" s="102" t="n"/>
      <c r="C301" s="103" t="n"/>
      <c r="D301" s="112" t="n"/>
      <c r="E301" s="102" t="n"/>
      <c r="F301" s="113" t="n"/>
      <c r="G301" s="133" t="n"/>
      <c r="H301" s="133" t="n"/>
      <c r="I301" s="133" t="n"/>
      <c r="J301" s="133" t="n"/>
      <c r="K301" s="133" t="n"/>
      <c r="L301" s="133" t="n"/>
      <c r="M301" s="133" t="n"/>
      <c r="N301" s="133" t="n"/>
      <c r="S301" s="45" t="inlineStr"/>
      <c r="U301" s="245" t="inlineStr"/>
      <c r="W301" s="246">
        <f>IF(U301&lt;&gt;"",U301*V301,"")</f>
        <v/>
      </c>
      <c r="X301" s="246">
        <f>IF(AND(U301&lt;&gt;"",S301="yes"),U301*V301,"")</f>
        <v/>
      </c>
    </row>
    <row r="302" ht="17" customFormat="1" customHeight="1" s="73" thickTop="1">
      <c r="A302" s="70" t="inlineStr">
        <is>
          <t>begin_group</t>
        </is>
      </c>
      <c r="B302" s="70" t="inlineStr">
        <is>
          <t>closing</t>
        </is>
      </c>
      <c r="C302" s="94" t="inlineStr">
        <is>
          <t>CLOSING</t>
        </is>
      </c>
      <c r="D302" s="71" t="n"/>
      <c r="E302" s="70" t="n"/>
      <c r="F302" s="72" t="n"/>
      <c r="G302" s="125" t="inlineStr">
        <is>
          <t>false</t>
        </is>
      </c>
      <c r="H302" s="125" t="n"/>
      <c r="I302" s="125" t="n"/>
      <c r="J302" s="125" t="n"/>
      <c r="K302" s="125" t="inlineStr">
        <is>
          <t>${resp_agree} = '1' and ${hh_agricactivity} != '5' and ${hh_agricactivity} != '6'</t>
        </is>
      </c>
      <c r="L302" s="125" t="n"/>
      <c r="M302" s="125" t="n"/>
      <c r="N302" s="125" t="n"/>
      <c r="S302" s="45" t="inlineStr">
        <is>
          <t>yes</t>
        </is>
      </c>
      <c r="U302" s="245" t="n"/>
      <c r="V302" s="174" t="n"/>
      <c r="W302" s="246">
        <f>IF(U302&lt;&gt;"",U302*V302,"")</f>
        <v/>
      </c>
      <c r="X302" s="246">
        <f>IF(AND(U302&lt;&gt;"",S302="yes"),U302*V302,"")</f>
        <v/>
      </c>
      <c r="Y302" s="74" t="n"/>
    </row>
    <row r="303" customFormat="1" s="73">
      <c r="C303" s="95" t="n"/>
      <c r="D303" s="71" t="n"/>
      <c r="F303" s="72" t="n"/>
      <c r="G303" s="126" t="n"/>
      <c r="H303" s="126" t="n"/>
      <c r="I303" s="126" t="n"/>
      <c r="J303" s="126" t="n"/>
      <c r="K303" s="126" t="n"/>
      <c r="L303" s="126" t="n"/>
      <c r="M303" s="126" t="n"/>
      <c r="N303" s="126" t="n"/>
      <c r="S303" s="45" t="inlineStr"/>
      <c r="U303" s="245" t="inlineStr"/>
      <c r="V303" s="109" t="n">
        <v>1</v>
      </c>
      <c r="W303" s="246">
        <f>IF(U303&lt;&gt;"",U303*V303,"")</f>
        <v/>
      </c>
      <c r="X303" s="246">
        <f>IF(AND(U303&lt;&gt;"",S303="yes"),U303*V303,"")</f>
        <v/>
      </c>
      <c r="Y303" s="74" t="n"/>
    </row>
    <row r="304" ht="32" customHeight="1">
      <c r="A304" s="75" t="inlineStr">
        <is>
          <t>select_one yesno</t>
        </is>
      </c>
      <c r="B304" s="75" t="inlineStr">
        <is>
          <t>callback</t>
        </is>
      </c>
      <c r="C304" s="44" t="inlineStr">
        <is>
          <t>Your answers will help us to understand and respond to your community needs. May we call you in a few months?</t>
        </is>
      </c>
      <c r="D304" s="88" t="n"/>
      <c r="E304" s="75" t="n"/>
      <c r="F304" s="89" t="n"/>
      <c r="G304" s="120" t="inlineStr">
        <is>
          <t>true</t>
        </is>
      </c>
      <c r="H304" s="120" t="n"/>
      <c r="I304" s="120" t="n"/>
      <c r="J304" s="120" t="n"/>
      <c r="K304" s="120" t="n"/>
      <c r="L304" s="120" t="n"/>
      <c r="M304" s="120" t="n"/>
      <c r="N304" s="120" t="n"/>
      <c r="S304" s="45" t="inlineStr">
        <is>
          <t>yes</t>
        </is>
      </c>
      <c r="U304" s="245" t="n">
        <v>36.78304672241211</v>
      </c>
      <c r="V304" s="109" t="n">
        <v>1</v>
      </c>
      <c r="W304" s="246">
        <f>IF(U304&lt;&gt;"",U304*V304,"")</f>
        <v/>
      </c>
      <c r="X304" s="246">
        <f>IF(AND(U304&lt;&gt;"",S304="yes"),U304*V304,"")</f>
        <v/>
      </c>
    </row>
    <row r="305">
      <c r="D305" s="88" t="n"/>
      <c r="F305" s="89" t="n"/>
      <c r="S305" s="45" t="inlineStr"/>
      <c r="U305" s="245" t="inlineStr"/>
      <c r="V305" s="109" t="n">
        <v>1</v>
      </c>
      <c r="W305" s="246">
        <f>IF(U305&lt;&gt;"",U305*V305,"")</f>
        <v/>
      </c>
      <c r="X305" s="246">
        <f>IF(AND(U305&lt;&gt;"",S305="yes"),U305*V305,"")</f>
        <v/>
      </c>
    </row>
    <row r="306" ht="16" customFormat="1" customHeight="1" s="77">
      <c r="A306" s="161" t="inlineStr">
        <is>
          <t>select_multiple week</t>
        </is>
      </c>
      <c r="B306" s="161" t="inlineStr">
        <is>
          <t>future_int_day</t>
        </is>
      </c>
      <c r="C306" s="182" t="inlineStr">
        <is>
          <t>For future interviews, in which day(s) can I call you?</t>
        </is>
      </c>
      <c r="D306" s="164" t="n"/>
      <c r="E306" s="161" t="inlineStr">
        <is>
          <t>[INSTRUCTIONS: MULTIPLE ANSWERS POSSIBLE.]</t>
        </is>
      </c>
      <c r="F306" s="165" t="n"/>
      <c r="G306" s="160" t="inlineStr">
        <is>
          <t>true</t>
        </is>
      </c>
      <c r="H306" s="160" t="n"/>
      <c r="I306" s="137" t="n"/>
      <c r="J306" s="160" t="n"/>
      <c r="K306" s="160" t="inlineStr">
        <is>
          <t>${callback} = '1'</t>
        </is>
      </c>
      <c r="L306" s="130" t="n"/>
      <c r="M306" s="130" t="n"/>
      <c r="N306" s="130" t="n"/>
      <c r="S306" s="163" t="inlineStr">
        <is>
          <t>yes - panel</t>
        </is>
      </c>
      <c r="U306" s="245" t="n">
        <v>10</v>
      </c>
      <c r="V306" s="109" t="n">
        <v>1</v>
      </c>
      <c r="W306" s="246">
        <f>IF(U306&lt;&gt;"",U306*V306,"")</f>
        <v/>
      </c>
      <c r="X306" s="246">
        <f>IF(AND(U306&lt;&gt;"",S306="yes"),U306*V306,"")</f>
        <v/>
      </c>
      <c r="Y306" s="76" t="n"/>
    </row>
    <row r="307" ht="16" customFormat="1" customHeight="1" s="77">
      <c r="A307" s="161" t="inlineStr">
        <is>
          <t>select_multiple time</t>
        </is>
      </c>
      <c r="B307" s="161" t="inlineStr">
        <is>
          <t>future_int_time</t>
        </is>
      </c>
      <c r="C307" s="182" t="inlineStr">
        <is>
          <t>For future interviews, at what time(s) can I call you?</t>
        </is>
      </c>
      <c r="D307" s="164" t="n"/>
      <c r="E307" s="161" t="inlineStr">
        <is>
          <t>[INSTRUCTIONS: MULTIPLE ANSWERS POSSIBLE.]</t>
        </is>
      </c>
      <c r="F307" s="165" t="n"/>
      <c r="G307" s="160" t="inlineStr">
        <is>
          <t>true</t>
        </is>
      </c>
      <c r="H307" s="160" t="n"/>
      <c r="I307" s="137" t="n"/>
      <c r="J307" s="160" t="n"/>
      <c r="K307" s="160" t="inlineStr">
        <is>
          <t>${callback} = '1'</t>
        </is>
      </c>
      <c r="L307" s="130" t="n"/>
      <c r="M307" s="130" t="n"/>
      <c r="N307" s="130" t="n"/>
      <c r="S307" s="163" t="inlineStr">
        <is>
          <t>yes - panel</t>
        </is>
      </c>
      <c r="U307" s="245" t="n">
        <v>10</v>
      </c>
      <c r="V307" s="109" t="n">
        <v>1</v>
      </c>
      <c r="W307" s="246">
        <f>IF(U307&lt;&gt;"",U307*V307,"")</f>
        <v/>
      </c>
      <c r="X307" s="246">
        <f>IF(AND(U307&lt;&gt;"",S307="yes"),U307*V307,"")</f>
        <v/>
      </c>
      <c r="Y307" s="76" t="n"/>
    </row>
    <row r="308" customFormat="1" s="77">
      <c r="C308" s="78" t="n"/>
      <c r="D308" s="79" t="n"/>
      <c r="F308" s="83" t="n"/>
      <c r="G308" s="121" t="n"/>
      <c r="H308" s="121" t="n"/>
      <c r="I308" s="121" t="n"/>
      <c r="J308" s="121" t="n"/>
      <c r="K308" s="121" t="n"/>
      <c r="L308" s="121" t="n"/>
      <c r="M308" s="121" t="n"/>
      <c r="N308" s="121" t="n"/>
      <c r="S308" s="77" t="inlineStr"/>
      <c r="U308" s="245" t="inlineStr"/>
      <c r="V308" s="109" t="n">
        <v>1</v>
      </c>
      <c r="W308" s="246">
        <f>IF(U308&lt;&gt;"",U308*V308,"")</f>
        <v/>
      </c>
      <c r="X308" s="246">
        <f>IF(AND(U308&lt;&gt;"",S308="yes"),U308*V308,"")</f>
        <v/>
      </c>
      <c r="Y308" s="76" t="n"/>
    </row>
    <row r="309" ht="16" customHeight="1">
      <c r="A309" s="75" t="inlineStr">
        <is>
          <t>select_one language</t>
        </is>
      </c>
      <c r="B309" s="75" t="inlineStr">
        <is>
          <t>language2</t>
        </is>
      </c>
      <c r="C309" s="44" t="inlineStr">
        <is>
          <t xml:space="preserve">Select the language that was mostly used to complete the interview. </t>
        </is>
      </c>
      <c r="D309" s="88" t="n"/>
      <c r="E309" s="75" t="n"/>
      <c r="F309" s="89" t="n"/>
      <c r="G309" s="120" t="inlineStr">
        <is>
          <t>true</t>
        </is>
      </c>
      <c r="H309" s="120" t="n"/>
      <c r="I309" s="120" t="n"/>
      <c r="J309" s="120" t="n"/>
      <c r="K309" s="120" t="n"/>
      <c r="L309" s="120" t="n"/>
      <c r="M309" s="120" t="n"/>
      <c r="N309" s="120" t="n"/>
      <c r="S309" s="45" t="inlineStr">
        <is>
          <t>yes</t>
        </is>
      </c>
      <c r="U309" s="245" t="n">
        <v>3</v>
      </c>
      <c r="V309" s="109" t="n">
        <v>1</v>
      </c>
      <c r="W309" s="246">
        <f>IF(U309&lt;&gt;"",U309*V309,"")</f>
        <v/>
      </c>
      <c r="X309" s="246">
        <f>IF(AND(U309&lt;&gt;"",S309="yes"),U309*V309,"")</f>
        <v/>
      </c>
    </row>
    <row r="310">
      <c r="D310" s="88" t="n"/>
      <c r="F310" s="89" t="n"/>
      <c r="S310" s="45" t="inlineStr"/>
      <c r="U310" s="245" t="inlineStr"/>
      <c r="V310" s="109" t="n">
        <v>1</v>
      </c>
      <c r="W310" s="246">
        <f>IF(U310&lt;&gt;"",U310*V310,"")</f>
        <v/>
      </c>
      <c r="X310" s="246">
        <f>IF(AND(U310&lt;&gt;"",S310="yes"),U310*V310,"")</f>
        <v/>
      </c>
    </row>
    <row r="311" ht="16" customHeight="1">
      <c r="A311" s="75" t="inlineStr">
        <is>
          <t>note</t>
        </is>
      </c>
      <c r="B311" s="75" t="inlineStr">
        <is>
          <t>closeout</t>
        </is>
      </c>
      <c r="C311" s="44" t="inlineStr">
        <is>
          <t xml:space="preserve">Thank you for your time. The interview has come to an end. </t>
        </is>
      </c>
      <c r="D311" s="88" t="n"/>
      <c r="E311" s="75" t="n"/>
      <c r="F311" s="89" t="n"/>
      <c r="G311" s="120" t="inlineStr">
        <is>
          <t>false</t>
        </is>
      </c>
      <c r="H311" s="120" t="n"/>
      <c r="I311" s="120" t="n"/>
      <c r="J311" s="120" t="n"/>
      <c r="K311" s="120" t="n"/>
      <c r="L311" s="120" t="n"/>
      <c r="M311" s="120" t="n"/>
      <c r="N311" s="120" t="n"/>
      <c r="S311" s="45" t="inlineStr">
        <is>
          <t>no</t>
        </is>
      </c>
      <c r="U311" s="245" t="n">
        <v>0</v>
      </c>
      <c r="V311" s="109" t="n">
        <v>1</v>
      </c>
      <c r="W311" s="246">
        <f>IF(U311&lt;&gt;"",U311*V311,"")</f>
        <v/>
      </c>
      <c r="X311" s="246">
        <f>IF(AND(U311&lt;&gt;"",S311="yes"),U311*V311,"")</f>
        <v/>
      </c>
    </row>
    <row r="312">
      <c r="D312" s="88" t="n"/>
      <c r="F312" s="89" t="n"/>
      <c r="U312" s="245" t="inlineStr"/>
      <c r="V312" s="109" t="n">
        <v>1</v>
      </c>
      <c r="W312" s="246">
        <f>IF(U312&lt;&gt;"",U312*V312,"")</f>
        <v/>
      </c>
      <c r="X312" s="246">
        <f>IF(AND(U312&lt;&gt;"",S312="yes"),U312*V312,"")</f>
        <v/>
      </c>
    </row>
    <row r="313" ht="16" customHeight="1" thickBot="1">
      <c r="A313" s="102" t="inlineStr">
        <is>
          <t>end_group</t>
        </is>
      </c>
      <c r="B313" s="102" t="n"/>
      <c r="C313" s="103" t="n"/>
      <c r="D313" s="112" t="n"/>
      <c r="E313" s="102" t="n"/>
      <c r="F313" s="113" t="n"/>
      <c r="G313" s="133" t="n"/>
      <c r="H313" s="133" t="n"/>
      <c r="I313" s="133" t="n"/>
      <c r="J313" s="133" t="n"/>
      <c r="K313" s="133" t="n"/>
      <c r="L313" s="133" t="n"/>
      <c r="M313" s="133" t="n"/>
      <c r="N313" s="133" t="n"/>
      <c r="U313" s="245" t="inlineStr"/>
      <c r="W313" s="246">
        <f>IF(U313&lt;&gt;"",U313*V313,"")</f>
        <v/>
      </c>
      <c r="X313" s="246">
        <f>IF(AND(U313&lt;&gt;"",S313="yes"),U313*V313,"")</f>
        <v/>
      </c>
    </row>
    <row r="314" ht="16" customFormat="1" customHeight="1" s="77" thickTop="1">
      <c r="C314" s="78" t="n"/>
      <c r="D314" s="78" t="n"/>
      <c r="G314" s="121" t="n"/>
      <c r="H314" s="121" t="n"/>
      <c r="I314" s="121" t="n"/>
      <c r="J314" s="121" t="n"/>
      <c r="K314" s="121" t="n"/>
      <c r="L314" s="121" t="n"/>
      <c r="M314" s="121" t="n"/>
      <c r="N314" s="121" t="n"/>
      <c r="U314" s="245" t="n"/>
      <c r="V314" s="209" t="n"/>
      <c r="W314" s="248" t="n"/>
    </row>
    <row r="315" ht="16" customHeight="1">
      <c r="A315" s="75" t="inlineStr">
        <is>
          <t>time</t>
        </is>
      </c>
      <c r="B315" s="75" t="inlineStr">
        <is>
          <t>Interview_End_Time</t>
        </is>
      </c>
      <c r="C315" s="44" t="inlineStr">
        <is>
          <t>Interview End Time</t>
        </is>
      </c>
      <c r="E315" s="75" t="n"/>
      <c r="G315" s="120" t="inlineStr">
        <is>
          <t>true</t>
        </is>
      </c>
      <c r="H315" s="120" t="n"/>
      <c r="I315" s="120" t="n"/>
      <c r="J315" s="120" t="n"/>
      <c r="K315" s="120" t="inlineStr">
        <is>
          <t>${resp_agree} = '1'</t>
        </is>
      </c>
      <c r="L315" s="120" t="n"/>
      <c r="M315" s="120" t="n"/>
      <c r="N315" s="120" t="n"/>
      <c r="S315" s="45" t="inlineStr">
        <is>
          <t>no</t>
        </is>
      </c>
      <c r="U315" s="245" t="n"/>
      <c r="W315" s="246" t="n"/>
    </row>
    <row r="316" ht="32" customHeight="1">
      <c r="A316" s="45" t="inlineStr">
        <is>
          <t>geopoint</t>
        </is>
      </c>
      <c r="B316" s="45" t="inlineStr">
        <is>
          <t>gps_2</t>
        </is>
      </c>
      <c r="C316" s="46" t="inlineStr">
        <is>
          <t>GPS INSTRUCTION: You didn't take a measurement earlier. Now walk around the household or go near the main road and try to take a GPS measurement.</t>
        </is>
      </c>
      <c r="D316" s="188" t="n"/>
      <c r="F316" s="189" t="n"/>
      <c r="G316" s="127" t="inlineStr">
        <is>
          <t xml:space="preserve">false </t>
        </is>
      </c>
      <c r="K316" s="127" t="inlineStr">
        <is>
          <t>${resp_agree} = '1' and ${gps_1} = ''</t>
        </is>
      </c>
      <c r="U316" s="245" t="n"/>
      <c r="W316" s="246" t="n"/>
    </row>
    <row r="317" ht="16" customFormat="1" customHeight="1" s="77">
      <c r="A317" s="77" t="inlineStr">
        <is>
          <t>text</t>
        </is>
      </c>
      <c r="B317" s="77" t="inlineStr">
        <is>
          <t>enum_notes</t>
        </is>
      </c>
      <c r="C317" s="78" t="inlineStr">
        <is>
          <t>Enter any notes or feedback from this survey:</t>
        </is>
      </c>
      <c r="D317" s="79" t="n"/>
      <c r="E317" s="77" t="inlineStr">
        <is>
          <t xml:space="preserve">Leave empty if there are no comments. </t>
        </is>
      </c>
      <c r="F317" s="83" t="n"/>
      <c r="G317" s="121" t="inlineStr">
        <is>
          <t>false</t>
        </is>
      </c>
      <c r="H317" s="121" t="n"/>
      <c r="I317" s="121" t="n"/>
      <c r="J317" s="121" t="n"/>
      <c r="K317" s="121" t="n"/>
      <c r="L317" s="121" t="n"/>
      <c r="M317" s="121" t="n"/>
      <c r="N317" s="121" t="n"/>
      <c r="S317" s="77" t="inlineStr">
        <is>
          <t>no</t>
        </is>
      </c>
      <c r="U317" s="245" t="n"/>
      <c r="V317" s="109" t="n"/>
      <c r="W317" s="246" t="n"/>
      <c r="X317" s="246">
        <f>IF(AND(U317&lt;&gt;"",S317="yes"),U317*V317,"")</f>
        <v/>
      </c>
    </row>
    <row r="318">
      <c r="A318" s="75" t="inlineStr">
        <is>
          <t>calculate</t>
        </is>
      </c>
      <c r="B318" s="75" t="inlineStr">
        <is>
          <t>__version__</t>
        </is>
      </c>
      <c r="C318" s="44" t="n"/>
      <c r="E318" s="75" t="n"/>
      <c r="G318" s="120" t="inlineStr">
        <is>
          <t>false</t>
        </is>
      </c>
      <c r="H318" s="120" t="n"/>
      <c r="I318" s="120" t="n"/>
      <c r="J318" s="120" t="n"/>
      <c r="K318" s="120" t="n"/>
      <c r="L318" s="120" t="n"/>
      <c r="M318" s="120" t="n"/>
      <c r="N318" s="120" t="inlineStr">
        <is>
          <t>'vfVbKi5bfYAnEzqoBsXTzQ'</t>
        </is>
      </c>
      <c r="S318" s="45" t="inlineStr">
        <is>
          <t>no</t>
        </is>
      </c>
      <c r="U318" s="245" t="n"/>
    </row>
    <row r="319">
      <c r="U319" s="245" t="n"/>
    </row>
    <row r="323" ht="16" customHeight="1" thickBot="1"/>
    <row r="324" ht="17" customHeight="1" thickBot="1">
      <c r="Q324" s="201" t="inlineStr">
        <is>
          <t xml:space="preserve">AVERAGE ESTIMATED DURATION </t>
        </is>
      </c>
      <c r="R324" s="202" t="n"/>
      <c r="S324" s="202" t="n"/>
      <c r="T324" s="202" t="n"/>
      <c r="U324" s="194" t="n"/>
      <c r="V324" s="177" t="n"/>
      <c r="W324" s="178">
        <f>(SUM(W4:W311)/60)</f>
        <v/>
      </c>
      <c r="X324" s="178">
        <f>(SUM(X4:X48)+AVERAGE(X49:X51)+SUM(X52:X311))/60</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1211"/>
  <sheetViews>
    <sheetView zoomScaleNormal="110" workbookViewId="0">
      <pane ySplit="1" topLeftCell="A2" activePane="bottomLeft" state="frozen"/>
      <selection pane="bottomLeft" activeCell="A2" sqref="A2"/>
    </sheetView>
  </sheetViews>
  <sheetFormatPr baseColWidth="10" defaultColWidth="8.83203125" defaultRowHeight="15"/>
  <cols>
    <col width="22.83203125" customWidth="1" style="3" min="1" max="1"/>
    <col width="30" customWidth="1" style="3" min="2" max="2"/>
    <col width="27.1640625" customWidth="1" style="3" min="3" max="3"/>
    <col width="20" customWidth="1" style="3" min="4" max="4"/>
    <col width="16.1640625" customWidth="1" style="3" min="5" max="5"/>
    <col width="8.83203125" customWidth="1" style="3" min="6" max="16384"/>
  </cols>
  <sheetData>
    <row r="1">
      <c r="A1" s="6" t="inlineStr">
        <is>
          <t>list_name</t>
        </is>
      </c>
      <c r="B1" s="6" t="inlineStr">
        <is>
          <t>name</t>
        </is>
      </c>
      <c r="C1" s="6" t="inlineStr">
        <is>
          <t>label::English (en)</t>
        </is>
      </c>
      <c r="D1" s="1" t="inlineStr">
        <is>
          <t>label::</t>
        </is>
      </c>
      <c r="E1" s="6" t="inlineStr">
        <is>
          <t>my_filter_admin</t>
        </is>
      </c>
    </row>
    <row r="2" customFormat="1" s="13">
      <c r="A2" s="13" t="inlineStr">
        <is>
          <t>enumteam</t>
        </is>
      </c>
      <c r="B2" s="210" t="n">
        <v>1</v>
      </c>
      <c r="C2" s="210" t="inlineStr">
        <is>
          <t>Enumerator team 1</t>
        </is>
      </c>
      <c r="D2" s="211" t="n"/>
      <c r="E2" s="212" t="n"/>
    </row>
    <row r="3" customFormat="1" s="13">
      <c r="A3" s="13" t="inlineStr">
        <is>
          <t>enumteam</t>
        </is>
      </c>
      <c r="B3" s="210" t="n">
        <v>2</v>
      </c>
      <c r="C3" s="210" t="inlineStr">
        <is>
          <t>Enumerator team 2</t>
        </is>
      </c>
      <c r="D3" s="211" t="n"/>
      <c r="E3" s="212" t="n"/>
    </row>
    <row r="4" customFormat="1" s="13">
      <c r="A4" s="13" t="inlineStr">
        <is>
          <t>enumteam</t>
        </is>
      </c>
      <c r="B4" s="210" t="n">
        <v>3</v>
      </c>
      <c r="C4" s="210" t="inlineStr">
        <is>
          <t>Enumerator team 3</t>
        </is>
      </c>
      <c r="D4" s="211" t="n"/>
      <c r="E4" s="212" t="n"/>
    </row>
    <row r="5" customFormat="1" s="13">
      <c r="A5" s="13" t="inlineStr">
        <is>
          <t>enumteam</t>
        </is>
      </c>
      <c r="B5" s="210" t="n">
        <v>4</v>
      </c>
      <c r="C5" s="210" t="inlineStr">
        <is>
          <t>Enumerator team 4</t>
        </is>
      </c>
      <c r="D5" s="211" t="n"/>
      <c r="E5" s="212" t="n"/>
    </row>
    <row r="6">
      <c r="A6" s="2" t="n"/>
      <c r="B6" s="2" t="n"/>
      <c r="C6" s="2" t="n"/>
      <c r="D6" s="1" t="n"/>
      <c r="E6" s="2" t="n"/>
    </row>
    <row r="7">
      <c r="A7" t="inlineStr">
        <is>
          <t>enumerator</t>
        </is>
      </c>
      <c r="B7" s="3" t="n">
        <v>1</v>
      </c>
      <c r="C7" s="5" t="inlineStr">
        <is>
          <t>enumerator name 1</t>
        </is>
      </c>
      <c r="D7" s="4" t="n"/>
      <c r="E7" s="213" t="n"/>
    </row>
    <row r="8">
      <c r="A8" t="inlineStr">
        <is>
          <t>enumerator</t>
        </is>
      </c>
      <c r="B8" s="3" t="n">
        <v>2</v>
      </c>
      <c r="C8" s="5" t="inlineStr">
        <is>
          <t>enumerator name 2</t>
        </is>
      </c>
      <c r="D8" s="4" t="n"/>
      <c r="E8" s="213" t="n"/>
    </row>
    <row r="9">
      <c r="A9" t="inlineStr">
        <is>
          <t>enumerator</t>
        </is>
      </c>
      <c r="B9" s="3" t="n">
        <v>3</v>
      </c>
      <c r="C9" s="5" t="inlineStr">
        <is>
          <t>enumerator name 3</t>
        </is>
      </c>
      <c r="D9" s="4" t="n"/>
      <c r="E9" s="213" t="n"/>
    </row>
    <row r="10">
      <c r="D10" s="4" t="n"/>
    </row>
    <row r="11">
      <c r="A11" t="inlineStr">
        <is>
          <t>yes_no</t>
        </is>
      </c>
      <c r="B11" t="n">
        <v>1</v>
      </c>
      <c r="C11" t="inlineStr">
        <is>
          <t>YES</t>
        </is>
      </c>
      <c r="D11" s="4" t="n"/>
    </row>
    <row r="12">
      <c r="A12" t="inlineStr">
        <is>
          <t>yes_no</t>
        </is>
      </c>
      <c r="B12" t="n">
        <v>2</v>
      </c>
      <c r="C12" t="inlineStr">
        <is>
          <t>NO</t>
        </is>
      </c>
      <c r="D12" s="4" t="n"/>
    </row>
    <row r="13">
      <c r="A13" t="inlineStr">
        <is>
          <t>yes_no</t>
        </is>
      </c>
      <c r="B13" s="223" t="n">
        <v>3</v>
      </c>
      <c r="C13" t="inlineStr">
        <is>
          <t>DON'T KNOW</t>
        </is>
      </c>
      <c r="D13" s="4" t="n"/>
    </row>
    <row r="14">
      <c r="A14" t="inlineStr">
        <is>
          <t>yes_no</t>
        </is>
      </c>
      <c r="B14" s="223" t="n">
        <v>4</v>
      </c>
      <c r="C14" t="inlineStr">
        <is>
          <t>REFUSED</t>
        </is>
      </c>
      <c r="D14" s="4" t="n"/>
    </row>
    <row r="15">
      <c r="D15" s="4" t="n"/>
    </row>
    <row r="16">
      <c r="A16" t="inlineStr">
        <is>
          <t>continue</t>
        </is>
      </c>
      <c r="B16" t="inlineStr">
        <is>
          <t>continue</t>
        </is>
      </c>
      <c r="C16" t="inlineStr">
        <is>
          <t>continue</t>
        </is>
      </c>
      <c r="D16" s="4" t="n"/>
    </row>
    <row r="17">
      <c r="D17" s="4" t="n"/>
    </row>
    <row r="18">
      <c r="A18" t="inlineStr">
        <is>
          <t>yesno</t>
        </is>
      </c>
      <c r="B18" t="n">
        <v>1</v>
      </c>
      <c r="C18" t="inlineStr">
        <is>
          <t>Yes</t>
        </is>
      </c>
      <c r="D18" s="4" t="n"/>
    </row>
    <row r="19">
      <c r="A19" t="inlineStr">
        <is>
          <t>yesno</t>
        </is>
      </c>
      <c r="B19" t="n">
        <v>2</v>
      </c>
      <c r="C19" t="inlineStr">
        <is>
          <t>No</t>
        </is>
      </c>
      <c r="D19" s="4" t="n"/>
    </row>
    <row r="20">
      <c r="D20" s="4" t="n"/>
    </row>
    <row r="21" customFormat="1" s="11">
      <c r="A21" s="224" t="inlineStr">
        <is>
          <t>language</t>
        </is>
      </c>
      <c r="B21" s="224" t="inlineStr">
        <is>
          <t>en</t>
        </is>
      </c>
      <c r="C21" s="224" t="inlineStr">
        <is>
          <t>English</t>
        </is>
      </c>
      <c r="D21" s="7" t="n"/>
    </row>
    <row r="22" customFormat="1" s="11">
      <c r="A22" s="14" t="inlineStr">
        <is>
          <t>language</t>
        </is>
      </c>
      <c r="B22" s="5" t="inlineStr">
        <is>
          <t>fr</t>
        </is>
      </c>
      <c r="C22" s="5" t="inlineStr">
        <is>
          <t>French</t>
        </is>
      </c>
      <c r="D22" s="7" t="n"/>
    </row>
    <row r="23" customFormat="1" s="11">
      <c r="A23" s="14" t="inlineStr">
        <is>
          <t>language</t>
        </is>
      </c>
      <c r="B23" s="5" t="inlineStr">
        <is>
          <t>…</t>
        </is>
      </c>
      <c r="C23" s="5" t="inlineStr">
        <is>
          <t>…</t>
        </is>
      </c>
      <c r="D23" s="7" t="n"/>
    </row>
    <row r="24">
      <c r="D24" s="4" t="n"/>
    </row>
    <row r="25">
      <c r="A25" t="inlineStr">
        <is>
          <t>gender</t>
        </is>
      </c>
      <c r="B25" t="n">
        <v>1</v>
      </c>
      <c r="C25" t="inlineStr">
        <is>
          <t>Male</t>
        </is>
      </c>
      <c r="D25" s="4" t="n"/>
    </row>
    <row r="26">
      <c r="A26" t="inlineStr">
        <is>
          <t>gender</t>
        </is>
      </c>
      <c r="B26" t="n">
        <v>2</v>
      </c>
      <c r="C26" t="inlineStr">
        <is>
          <t>Female</t>
        </is>
      </c>
      <c r="D26" s="4" t="n"/>
    </row>
    <row r="27">
      <c r="A27" t="inlineStr">
        <is>
          <t>gender</t>
        </is>
      </c>
      <c r="B27" s="223" t="n">
        <v>3</v>
      </c>
      <c r="C27" s="224" t="inlineStr">
        <is>
          <t>DON'T KNOW</t>
        </is>
      </c>
      <c r="D27" s="4" t="n"/>
    </row>
    <row r="28">
      <c r="A28" t="inlineStr">
        <is>
          <t>gender</t>
        </is>
      </c>
      <c r="B28" s="223" t="n">
        <v>4</v>
      </c>
      <c r="C28" s="224" t="inlineStr">
        <is>
          <t>REFUSED</t>
        </is>
      </c>
      <c r="D28" s="4" t="n"/>
    </row>
    <row r="29">
      <c r="C29" s="14" t="n"/>
      <c r="D29" s="4" t="n"/>
    </row>
    <row r="30">
      <c r="A30" t="inlineStr">
        <is>
          <t>contact_info</t>
        </is>
      </c>
      <c r="B30" t="n">
        <v>1</v>
      </c>
      <c r="C30" s="224" t="inlineStr">
        <is>
          <t>YES - mine</t>
        </is>
      </c>
      <c r="D30" s="4" t="n"/>
    </row>
    <row r="31">
      <c r="A31" t="inlineStr">
        <is>
          <t>contact_info</t>
        </is>
      </c>
      <c r="B31" t="n">
        <v>2</v>
      </c>
      <c r="C31" s="3" t="inlineStr">
        <is>
          <t>YES - other household member</t>
        </is>
      </c>
      <c r="D31" s="4" t="n"/>
    </row>
    <row r="32">
      <c r="A32" t="inlineStr">
        <is>
          <t>contact_info</t>
        </is>
      </c>
      <c r="B32" t="n">
        <v>3</v>
      </c>
      <c r="C32" s="224" t="inlineStr">
        <is>
          <t>YES - friend or relative (non-household member)</t>
        </is>
      </c>
      <c r="D32" s="4" t="n"/>
    </row>
    <row r="33">
      <c r="A33" t="inlineStr">
        <is>
          <t>contact_info</t>
        </is>
      </c>
      <c r="B33" t="n">
        <v>4</v>
      </c>
      <c r="C33" s="224" t="inlineStr">
        <is>
          <t>NO</t>
        </is>
      </c>
      <c r="D33" s="4" t="n"/>
    </row>
    <row r="34">
      <c r="C34" s="14" t="n"/>
      <c r="D34" s="4" t="n"/>
    </row>
    <row r="35">
      <c r="A35" t="inlineStr">
        <is>
          <t>agricactivity</t>
        </is>
      </c>
      <c r="B35" t="n">
        <v>1</v>
      </c>
      <c r="C35" t="inlineStr">
        <is>
          <t xml:space="preserve">Yes - crop production </t>
        </is>
      </c>
      <c r="D35" s="4" t="n"/>
    </row>
    <row r="36">
      <c r="A36" t="inlineStr">
        <is>
          <t>agricactivity</t>
        </is>
      </c>
      <c r="B36" t="n">
        <v>2</v>
      </c>
      <c r="C36" t="inlineStr">
        <is>
          <t>Yes - livestock production</t>
        </is>
      </c>
      <c r="D36" s="4" t="n"/>
    </row>
    <row r="37">
      <c r="A37" t="inlineStr">
        <is>
          <t>agricactivity</t>
        </is>
      </c>
      <c r="B37" t="n">
        <v>3</v>
      </c>
      <c r="C37" t="inlineStr">
        <is>
          <t xml:space="preserve">Yes - both crop and livestock production </t>
        </is>
      </c>
      <c r="D37" s="4" t="n"/>
    </row>
    <row r="38">
      <c r="A38" t="inlineStr">
        <is>
          <t>agricactivity</t>
        </is>
      </c>
      <c r="B38" t="n">
        <v>4</v>
      </c>
      <c r="C38" t="inlineStr">
        <is>
          <t>No</t>
        </is>
      </c>
      <c r="D38" s="4" t="n"/>
    </row>
    <row r="39">
      <c r="A39" t="inlineStr">
        <is>
          <t>agricactivity</t>
        </is>
      </c>
      <c r="B39" s="223" t="n">
        <v>5</v>
      </c>
      <c r="C39" s="224" t="inlineStr">
        <is>
          <t>DON'T KNOW</t>
        </is>
      </c>
      <c r="D39" s="4" t="n"/>
    </row>
    <row r="40">
      <c r="A40" t="inlineStr">
        <is>
          <t>agricactivity</t>
        </is>
      </c>
      <c r="B40" s="223" t="n">
        <v>6</v>
      </c>
      <c r="C40" t="inlineStr">
        <is>
          <t>REFUSED</t>
        </is>
      </c>
      <c r="D40" s="4" t="n"/>
    </row>
    <row r="41">
      <c r="D41" s="4" t="n"/>
    </row>
    <row r="42">
      <c r="A42" t="inlineStr">
        <is>
          <t>edu</t>
        </is>
      </c>
      <c r="B42" t="n">
        <v>1</v>
      </c>
      <c r="C42" s="224" t="inlineStr">
        <is>
          <t>None or did not complete primary school</t>
        </is>
      </c>
      <c r="D42" s="4" t="n"/>
    </row>
    <row r="43">
      <c r="A43" t="inlineStr">
        <is>
          <t>edu</t>
        </is>
      </c>
      <c r="B43" t="n">
        <v>2</v>
      </c>
      <c r="C43" s="224" t="inlineStr">
        <is>
          <t>Completed primary school</t>
        </is>
      </c>
      <c r="D43" s="4" t="n"/>
    </row>
    <row r="44">
      <c r="A44" t="inlineStr">
        <is>
          <t>edu</t>
        </is>
      </c>
      <c r="B44" t="n">
        <v>3</v>
      </c>
      <c r="C44" s="224" t="inlineStr">
        <is>
          <t>Completed secondary school</t>
        </is>
      </c>
      <c r="D44" s="4" t="n"/>
    </row>
    <row r="45">
      <c r="A45" t="inlineStr">
        <is>
          <t>edu</t>
        </is>
      </c>
      <c r="B45" t="n">
        <v>4</v>
      </c>
      <c r="C45" s="224" t="inlineStr">
        <is>
          <t>Completed higher education [University / College] degree</t>
        </is>
      </c>
      <c r="D45" s="4" t="n"/>
    </row>
    <row r="46">
      <c r="A46" t="inlineStr">
        <is>
          <t>edu</t>
        </is>
      </c>
      <c r="B46" t="n">
        <v>5</v>
      </c>
      <c r="C46" s="224" t="inlineStr">
        <is>
          <t>Religious or informal education only</t>
        </is>
      </c>
      <c r="D46" s="4" t="n"/>
    </row>
    <row r="47">
      <c r="A47" t="inlineStr">
        <is>
          <t>edu</t>
        </is>
      </c>
      <c r="B47" s="223" t="n">
        <v>6</v>
      </c>
      <c r="C47" t="inlineStr">
        <is>
          <t>DON'T KNOW</t>
        </is>
      </c>
      <c r="D47" s="4" t="n"/>
    </row>
    <row r="48">
      <c r="A48" t="inlineStr">
        <is>
          <t>edu</t>
        </is>
      </c>
      <c r="B48" s="223" t="n">
        <v>7</v>
      </c>
      <c r="C48" t="inlineStr">
        <is>
          <t>REFUSED</t>
        </is>
      </c>
      <c r="D48" s="4" t="n"/>
    </row>
    <row r="49">
      <c r="B49" s="10" t="n"/>
      <c r="D49" s="4" t="n"/>
    </row>
    <row r="50">
      <c r="A50" t="inlineStr">
        <is>
          <t>water</t>
        </is>
      </c>
      <c r="B50" s="223" t="n">
        <v>1</v>
      </c>
      <c r="C50" t="inlineStr">
        <is>
          <t>Private tap from piped water</t>
        </is>
      </c>
      <c r="D50" s="4" t="n"/>
    </row>
    <row r="51">
      <c r="A51" t="inlineStr">
        <is>
          <t>water</t>
        </is>
      </c>
      <c r="B51" s="223" t="n">
        <v>2</v>
      </c>
      <c r="C51" t="inlineStr">
        <is>
          <t>Public tap</t>
        </is>
      </c>
      <c r="D51" s="4" t="n"/>
    </row>
    <row r="52">
      <c r="A52" t="inlineStr">
        <is>
          <t>water</t>
        </is>
      </c>
      <c r="B52" s="223" t="n">
        <v>3</v>
      </c>
      <c r="C52" t="inlineStr">
        <is>
          <t>Protected well</t>
        </is>
      </c>
      <c r="D52" s="4" t="n"/>
    </row>
    <row r="53">
      <c r="A53" t="inlineStr">
        <is>
          <t>water</t>
        </is>
      </c>
      <c r="B53" s="223" t="n">
        <v>4</v>
      </c>
      <c r="C53" t="inlineStr">
        <is>
          <t>Bottled water</t>
        </is>
      </c>
      <c r="D53" s="4" t="n"/>
    </row>
    <row r="54">
      <c r="A54" t="inlineStr">
        <is>
          <t>water</t>
        </is>
      </c>
      <c r="B54" s="223" t="n">
        <v>5</v>
      </c>
      <c r="C54" t="inlineStr">
        <is>
          <t>Other safe source</t>
        </is>
      </c>
      <c r="D54" s="4" t="n"/>
    </row>
    <row r="55">
      <c r="A55" t="inlineStr">
        <is>
          <t>water</t>
        </is>
      </c>
      <c r="B55" s="223" t="n">
        <v>6</v>
      </c>
      <c r="C55" t="inlineStr">
        <is>
          <t>River</t>
        </is>
      </c>
      <c r="D55" s="4" t="n"/>
    </row>
    <row r="56">
      <c r="A56" t="inlineStr">
        <is>
          <t>water</t>
        </is>
      </c>
      <c r="B56" s="223" t="n">
        <v>7</v>
      </c>
      <c r="C56" t="inlineStr">
        <is>
          <t>Unprotected well</t>
        </is>
      </c>
      <c r="D56" s="4" t="n"/>
    </row>
    <row r="57">
      <c r="A57" t="inlineStr">
        <is>
          <t>water</t>
        </is>
      </c>
      <c r="B57" s="223" t="n">
        <v>8</v>
      </c>
      <c r="C57" t="inlineStr">
        <is>
          <t>Spring water</t>
        </is>
      </c>
      <c r="D57" s="4" t="n"/>
    </row>
    <row r="58">
      <c r="A58" t="inlineStr">
        <is>
          <t>water</t>
        </is>
      </c>
      <c r="B58" s="223" t="n">
        <v>9</v>
      </c>
      <c r="C58" t="inlineStr">
        <is>
          <t>Surface water [e.g. canal, ponds, dams]</t>
        </is>
      </c>
      <c r="D58" s="4" t="n"/>
    </row>
    <row r="59">
      <c r="A59" t="inlineStr">
        <is>
          <t>water</t>
        </is>
      </c>
      <c r="B59" s="223" t="n">
        <v>10</v>
      </c>
      <c r="C59" t="inlineStr">
        <is>
          <t>Other unsafe source</t>
        </is>
      </c>
      <c r="D59" s="4" t="n"/>
    </row>
    <row r="60">
      <c r="A60" t="inlineStr">
        <is>
          <t>water</t>
        </is>
      </c>
      <c r="B60" s="223" t="n">
        <v>11</v>
      </c>
      <c r="C60" t="inlineStr">
        <is>
          <t>DON'T KNOW</t>
        </is>
      </c>
      <c r="D60" s="4" t="n"/>
    </row>
    <row r="61">
      <c r="A61" t="inlineStr">
        <is>
          <t>water</t>
        </is>
      </c>
      <c r="B61" s="223" t="n">
        <v>12</v>
      </c>
      <c r="C61" t="inlineStr">
        <is>
          <t>REFUSED</t>
        </is>
      </c>
      <c r="D61" s="4" t="n"/>
    </row>
    <row r="62">
      <c r="B62" s="10" t="n"/>
      <c r="D62" s="4" t="n"/>
    </row>
    <row r="63">
      <c r="A63" t="inlineStr">
        <is>
          <t>toilet</t>
        </is>
      </c>
      <c r="B63" s="223" t="n">
        <v>1</v>
      </c>
      <c r="C63" t="inlineStr">
        <is>
          <t>Flush latrine/toilet with water</t>
        </is>
      </c>
      <c r="D63" s="4" t="n"/>
    </row>
    <row r="64">
      <c r="A64" t="inlineStr">
        <is>
          <t>toilet</t>
        </is>
      </c>
      <c r="B64" s="223" t="n">
        <v>2</v>
      </c>
      <c r="C64" t="inlineStr">
        <is>
          <t>Traditional pit latrine [no water]</t>
        </is>
      </c>
      <c r="D64" s="4" t="n"/>
    </row>
    <row r="65">
      <c r="A65" t="inlineStr">
        <is>
          <t>toilet</t>
        </is>
      </c>
      <c r="B65" s="223" t="n">
        <v>3</v>
      </c>
      <c r="C65" t="inlineStr">
        <is>
          <t>Open pit [hole in the ground for excrement without water, roof or wall]</t>
        </is>
      </c>
      <c r="D65" s="4" t="n"/>
    </row>
    <row r="66">
      <c r="A66" t="inlineStr">
        <is>
          <t>toilet</t>
        </is>
      </c>
      <c r="B66" s="223" t="n">
        <v>4</v>
      </c>
      <c r="C66" t="inlineStr">
        <is>
          <t>Communal latrine [with or without water]</t>
        </is>
      </c>
      <c r="D66" s="4" t="n"/>
    </row>
    <row r="67">
      <c r="A67" t="inlineStr">
        <is>
          <t>toilet</t>
        </is>
      </c>
      <c r="B67" s="223" t="n">
        <v>5</v>
      </c>
      <c r="C67" t="inlineStr">
        <is>
          <t>None – bush</t>
        </is>
      </c>
      <c r="D67" s="4" t="n"/>
    </row>
    <row r="68">
      <c r="A68" t="inlineStr">
        <is>
          <t>toilet</t>
        </is>
      </c>
      <c r="B68" s="223" t="n">
        <v>6</v>
      </c>
      <c r="C68" t="inlineStr">
        <is>
          <t>DON'T KNOW</t>
        </is>
      </c>
      <c r="D68" s="4" t="n"/>
    </row>
    <row r="69">
      <c r="A69" t="inlineStr">
        <is>
          <t>toilet</t>
        </is>
      </c>
      <c r="B69" s="223" t="n">
        <v>7</v>
      </c>
      <c r="C69" t="inlineStr">
        <is>
          <t>REFUSED</t>
        </is>
      </c>
      <c r="D69" s="4" t="n"/>
    </row>
    <row r="70">
      <c r="B70" s="10" t="n"/>
      <c r="D70" s="4" t="n"/>
    </row>
    <row r="71">
      <c r="A71" t="inlineStr">
        <is>
          <t>light</t>
        </is>
      </c>
      <c r="B71" s="223" t="n">
        <v>1</v>
      </c>
      <c r="C71" t="inlineStr">
        <is>
          <t>Electricity [from generator or electrical grid]</t>
        </is>
      </c>
      <c r="D71" s="4" t="n"/>
    </row>
    <row r="72">
      <c r="A72" t="inlineStr">
        <is>
          <t>light</t>
        </is>
      </c>
      <c r="B72" s="223" t="n">
        <v>2</v>
      </c>
      <c r="C72" t="inlineStr">
        <is>
          <t>Candle</t>
        </is>
      </c>
      <c r="D72" s="4" t="n"/>
    </row>
    <row r="73">
      <c r="A73" t="inlineStr">
        <is>
          <t>light</t>
        </is>
      </c>
      <c r="B73" s="223" t="n">
        <v>3</v>
      </c>
      <c r="C73" t="inlineStr">
        <is>
          <t>Petrol lamp</t>
        </is>
      </c>
      <c r="D73" s="4" t="n"/>
    </row>
    <row r="74">
      <c r="A74" t="inlineStr">
        <is>
          <t>light</t>
        </is>
      </c>
      <c r="B74" s="223" t="n">
        <v>4</v>
      </c>
      <c r="C74" t="inlineStr">
        <is>
          <t>Lamp with batteries</t>
        </is>
      </c>
      <c r="D74" s="4" t="n"/>
    </row>
    <row r="75">
      <c r="A75" t="inlineStr">
        <is>
          <t>light</t>
        </is>
      </c>
      <c r="B75" s="223" t="n">
        <v>5</v>
      </c>
      <c r="C75" t="inlineStr">
        <is>
          <t>Solar panel</t>
        </is>
      </c>
      <c r="D75" s="4" t="n"/>
    </row>
    <row r="76">
      <c r="A76" t="inlineStr">
        <is>
          <t>light</t>
        </is>
      </c>
      <c r="B76" s="223" t="n">
        <v>6</v>
      </c>
      <c r="C76" t="inlineStr">
        <is>
          <t>Other [no electric supply to the house]</t>
        </is>
      </c>
      <c r="D76" s="4" t="n"/>
    </row>
    <row r="77">
      <c r="A77" t="inlineStr">
        <is>
          <t>light</t>
        </is>
      </c>
      <c r="B77" s="223" t="n">
        <v>7</v>
      </c>
      <c r="C77" t="inlineStr">
        <is>
          <t>DON'T KNOW</t>
        </is>
      </c>
      <c r="D77" s="4" t="n"/>
    </row>
    <row r="78">
      <c r="A78" t="inlineStr">
        <is>
          <t>light</t>
        </is>
      </c>
      <c r="B78" s="223" t="n">
        <v>8</v>
      </c>
      <c r="C78" t="inlineStr">
        <is>
          <t>REFUSED</t>
        </is>
      </c>
      <c r="D78" s="4" t="n"/>
    </row>
    <row r="79">
      <c r="D79" s="4" t="n"/>
    </row>
    <row r="80">
      <c r="A80" s="225" t="inlineStr">
        <is>
          <t>residence</t>
        </is>
      </c>
      <c r="B80" s="225" t="n">
        <v>1</v>
      </c>
      <c r="C80" s="225" t="inlineStr">
        <is>
          <t>Permanent Resident - you have been living in your village / town for longer than two years and this is what you consider your habitual residence</t>
        </is>
      </c>
      <c r="D80" s="4" t="n"/>
    </row>
    <row r="81">
      <c r="A81" s="225" t="inlineStr">
        <is>
          <t>residence</t>
        </is>
      </c>
      <c r="B81" s="225" t="n">
        <v>2</v>
      </c>
      <c r="C81" s="225" t="inlineStr">
        <is>
          <t>Recent migrant not forcefully displaced - you have been living in your current place of residence for less than two years and you moved there voluntarily for work / family or other reasons that are not related to conflict or natural disaster</t>
        </is>
      </c>
      <c r="D81" s="4" t="n"/>
    </row>
    <row r="82">
      <c r="A82" s="225" t="inlineStr">
        <is>
          <t>residence</t>
        </is>
      </c>
      <c r="B82" s="225" t="n">
        <v>3</v>
      </c>
      <c r="C82" s="225"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row>
    <row r="83">
      <c r="A83" s="225" t="inlineStr">
        <is>
          <t>residence</t>
        </is>
      </c>
      <c r="B83" s="225" t="n">
        <v>4</v>
      </c>
      <c r="C83" s="225" t="inlineStr">
        <is>
          <t xml:space="preserve">Internally displaced person [IDP] - you were forced to flee your village or town because of conflict or natural disaster and you are now an internally displaced person in your current place of residence </t>
        </is>
      </c>
      <c r="D83" s="4" t="n"/>
    </row>
    <row r="84">
      <c r="A84" s="225" t="inlineStr">
        <is>
          <t>residence</t>
        </is>
      </c>
      <c r="B84" s="225" t="n">
        <v>5</v>
      </c>
      <c r="C84" s="225" t="inlineStr">
        <is>
          <t>Refugee - you were forced to flee your country because of conflict or natural disaster and you are now a refugee in your current place of residence</t>
        </is>
      </c>
      <c r="D84" s="4" t="n"/>
    </row>
    <row r="85">
      <c r="A85" s="225" t="inlineStr">
        <is>
          <t>residence</t>
        </is>
      </c>
      <c r="B85" s="225" t="n">
        <v>6</v>
      </c>
      <c r="C85" s="225" t="inlineStr">
        <is>
          <t>DON'T KNOW</t>
        </is>
      </c>
      <c r="D85" s="4" t="n"/>
    </row>
    <row r="86">
      <c r="A86" s="225" t="inlineStr">
        <is>
          <t>residence</t>
        </is>
      </c>
      <c r="B86" s="225" t="n">
        <v>7</v>
      </c>
      <c r="C86" s="225" t="inlineStr">
        <is>
          <t>REFUSED</t>
        </is>
      </c>
      <c r="D86" s="4" t="n"/>
    </row>
    <row r="87">
      <c r="A87" s="13" t="n"/>
      <c r="B87" s="13" t="n"/>
      <c r="C87" s="13" t="n"/>
      <c r="D87" s="4" t="n"/>
    </row>
    <row r="88">
      <c r="A88" s="225" t="inlineStr">
        <is>
          <t>asset_prod</t>
        </is>
      </c>
      <c r="B88" s="225" t="inlineStr">
        <is>
          <t>process</t>
        </is>
      </c>
      <c r="C88" s="225" t="inlineStr">
        <is>
          <t>Processing assets (e.g. grinding/crushing machine, mill, oil press, fish tanks)</t>
        </is>
      </c>
      <c r="D88" s="4" t="n"/>
    </row>
    <row r="89">
      <c r="A89" s="225" t="inlineStr">
        <is>
          <t>asset_prod</t>
        </is>
      </c>
      <c r="B89" s="225" t="inlineStr">
        <is>
          <t>farmmach</t>
        </is>
      </c>
      <c r="C89" s="225" t="inlineStr">
        <is>
          <t>Farm or fishing machinery (e.g. tractor, plough, sickle, boats, engines)</t>
        </is>
      </c>
      <c r="D89" s="4" t="n"/>
    </row>
    <row r="90">
      <c r="A90" s="225" t="inlineStr">
        <is>
          <t>asset_prod</t>
        </is>
      </c>
      <c r="B90" s="225" t="inlineStr">
        <is>
          <t>sewing</t>
        </is>
      </c>
      <c r="C90" s="225" t="inlineStr">
        <is>
          <t>Sewing machine or weaving tool</t>
        </is>
      </c>
      <c r="D90" s="4" t="n"/>
    </row>
    <row r="91">
      <c r="A91" s="225" t="inlineStr">
        <is>
          <t>asset_prod</t>
        </is>
      </c>
      <c r="B91" s="225" t="inlineStr">
        <is>
          <t>taxi</t>
        </is>
      </c>
      <c r="C91" s="225" t="inlineStr">
        <is>
          <t>Taxi</t>
        </is>
      </c>
      <c r="D91" s="4" t="n"/>
    </row>
    <row r="92">
      <c r="A92" s="225" t="inlineStr">
        <is>
          <t>asset_prod</t>
        </is>
      </c>
      <c r="B92" s="225" t="inlineStr">
        <is>
          <t>truck</t>
        </is>
      </c>
      <c r="C92" s="225" t="inlineStr">
        <is>
          <t>Truck</t>
        </is>
      </c>
      <c r="D92" s="4" t="n"/>
    </row>
    <row r="93">
      <c r="A93" s="225" t="inlineStr">
        <is>
          <t>asset_prod</t>
        </is>
      </c>
      <c r="B93" s="225" t="inlineStr">
        <is>
          <t>other</t>
        </is>
      </c>
      <c r="C93" s="225" t="inlineStr">
        <is>
          <t>Other productive machines or assets</t>
        </is>
      </c>
      <c r="D93" s="4" t="n"/>
    </row>
    <row r="94">
      <c r="A94" s="225" t="inlineStr">
        <is>
          <t>asset_prod</t>
        </is>
      </c>
      <c r="B94" s="225" t="inlineStr">
        <is>
          <t>none</t>
        </is>
      </c>
      <c r="C94" s="225" t="inlineStr">
        <is>
          <t>No productive machines or assets</t>
        </is>
      </c>
      <c r="D94" s="4" t="n"/>
    </row>
    <row r="95">
      <c r="A95" s="225" t="inlineStr">
        <is>
          <t>asset_prod</t>
        </is>
      </c>
      <c r="B95" s="225" t="inlineStr">
        <is>
          <t>dk</t>
        </is>
      </c>
      <c r="C95" s="225" t="inlineStr">
        <is>
          <t>DON'T KNOW</t>
        </is>
      </c>
      <c r="D95" s="4" t="n"/>
    </row>
    <row r="96">
      <c r="A96" s="225" t="inlineStr">
        <is>
          <t>asset_prod</t>
        </is>
      </c>
      <c r="B96" s="225" t="inlineStr">
        <is>
          <t>ref</t>
        </is>
      </c>
      <c r="C96" s="225" t="inlineStr">
        <is>
          <t>REFUSED</t>
        </is>
      </c>
      <c r="D96" s="4" t="n"/>
    </row>
    <row r="97">
      <c r="A97" s="13" t="n"/>
      <c r="B97" s="13" t="n"/>
      <c r="C97" s="13" t="n"/>
      <c r="D97" s="4" t="n"/>
    </row>
    <row r="98">
      <c r="A98" s="225" t="inlineStr">
        <is>
          <t>asset_transp</t>
        </is>
      </c>
      <c r="B98" s="225" t="inlineStr">
        <is>
          <t>bici</t>
        </is>
      </c>
      <c r="C98" s="225" t="inlineStr">
        <is>
          <t>Bicycle</t>
        </is>
      </c>
      <c r="D98" s="4" t="n"/>
    </row>
    <row r="99">
      <c r="A99" s="225" t="inlineStr">
        <is>
          <t>asset_transp</t>
        </is>
      </c>
      <c r="B99" s="225" t="inlineStr">
        <is>
          <t>cart</t>
        </is>
      </c>
      <c r="C99" s="225" t="inlineStr">
        <is>
          <t>Cart (animal drawn)</t>
        </is>
      </c>
      <c r="D99" s="4" t="n"/>
    </row>
    <row r="100">
      <c r="A100" s="225" t="inlineStr">
        <is>
          <t>asset_transp</t>
        </is>
      </c>
      <c r="B100" s="225" t="inlineStr">
        <is>
          <t>boatmotor</t>
        </is>
      </c>
      <c r="C100" s="225" t="inlineStr">
        <is>
          <t>Boat with an engine [inboard or outboard]</t>
        </is>
      </c>
      <c r="D100" s="4" t="n"/>
    </row>
    <row r="101">
      <c r="A101" s="225" t="inlineStr">
        <is>
          <t>asset_transp</t>
        </is>
      </c>
      <c r="B101" s="225" t="inlineStr">
        <is>
          <t>boatnomotor</t>
        </is>
      </c>
      <c r="C101" s="225" t="inlineStr">
        <is>
          <t>Unmotorized boat [e.g. canoe]</t>
        </is>
      </c>
      <c r="D101" s="4" t="n"/>
    </row>
    <row r="102">
      <c r="A102" s="225" t="inlineStr">
        <is>
          <t>asset_transp</t>
        </is>
      </c>
      <c r="B102" s="225" t="inlineStr">
        <is>
          <t>motorbike</t>
        </is>
      </c>
      <c r="C102" s="225" t="inlineStr">
        <is>
          <t>Motorbike / scooter / auto rickshaw</t>
        </is>
      </c>
      <c r="D102" s="4" t="n"/>
    </row>
    <row r="103">
      <c r="A103" s="225" t="inlineStr">
        <is>
          <t>asset_transp</t>
        </is>
      </c>
      <c r="B103" s="225" t="inlineStr">
        <is>
          <t>car</t>
        </is>
      </c>
      <c r="C103" s="225" t="inlineStr">
        <is>
          <t>Car</t>
        </is>
      </c>
      <c r="D103" s="4" t="n"/>
    </row>
    <row r="104">
      <c r="A104" s="225" t="inlineStr">
        <is>
          <t>asset_transp</t>
        </is>
      </c>
      <c r="B104" s="225" t="inlineStr">
        <is>
          <t>van</t>
        </is>
      </c>
      <c r="C104" s="225" t="inlineStr">
        <is>
          <t>Van or small truck</t>
        </is>
      </c>
      <c r="D104" s="4" t="n"/>
    </row>
    <row r="105">
      <c r="A105" s="225" t="inlineStr">
        <is>
          <t>asset_transp</t>
        </is>
      </c>
      <c r="B105" s="225" t="inlineStr">
        <is>
          <t>other</t>
        </is>
      </c>
      <c r="C105" s="225" t="inlineStr">
        <is>
          <t>Other motor vehicle</t>
        </is>
      </c>
      <c r="D105" s="4" t="n"/>
    </row>
    <row r="106">
      <c r="A106" s="225" t="inlineStr">
        <is>
          <t>asset_transp</t>
        </is>
      </c>
      <c r="B106" s="225" t="inlineStr">
        <is>
          <t>none</t>
        </is>
      </c>
      <c r="C106" s="225" t="inlineStr">
        <is>
          <t>None of the above</t>
        </is>
      </c>
      <c r="D106" s="4" t="n"/>
    </row>
    <row r="107">
      <c r="A107" s="225" t="inlineStr">
        <is>
          <t>asset_transp</t>
        </is>
      </c>
      <c r="B107" s="225" t="inlineStr">
        <is>
          <t>dk</t>
        </is>
      </c>
      <c r="C107" s="225" t="inlineStr">
        <is>
          <t>DON'T KNOW</t>
        </is>
      </c>
      <c r="D107" s="4" t="n"/>
    </row>
    <row r="108">
      <c r="A108" s="225" t="inlineStr">
        <is>
          <t>asset_transp</t>
        </is>
      </c>
      <c r="B108" s="225" t="inlineStr">
        <is>
          <t>ref</t>
        </is>
      </c>
      <c r="C108" s="225" t="inlineStr">
        <is>
          <t>REFUSED</t>
        </is>
      </c>
      <c r="D108" s="4" t="n"/>
    </row>
    <row r="109">
      <c r="A109" s="13" t="n"/>
      <c r="B109" s="13" t="n"/>
      <c r="C109" s="13" t="n"/>
      <c r="D109" s="4" t="n"/>
    </row>
    <row r="110">
      <c r="A110" s="225" t="inlineStr">
        <is>
          <t>maritalstat</t>
        </is>
      </c>
      <c r="B110" s="225" t="n">
        <v>1</v>
      </c>
      <c r="C110" s="225" t="inlineStr">
        <is>
          <t xml:space="preserve">Single / never married </t>
        </is>
      </c>
      <c r="D110" s="4" t="n"/>
    </row>
    <row r="111">
      <c r="A111" s="225" t="inlineStr">
        <is>
          <t>maritalstat</t>
        </is>
      </c>
      <c r="B111" s="225" t="n">
        <v>2</v>
      </c>
      <c r="C111" s="225" t="inlineStr">
        <is>
          <t>Married</t>
        </is>
      </c>
      <c r="D111" s="4" t="n"/>
    </row>
    <row r="112">
      <c r="A112" s="225" t="inlineStr">
        <is>
          <t>maritalstat</t>
        </is>
      </c>
      <c r="B112" s="225" t="n">
        <v>3</v>
      </c>
      <c r="C112" s="225" t="inlineStr">
        <is>
          <t>Separated</t>
        </is>
      </c>
      <c r="D112" s="4" t="n"/>
    </row>
    <row r="113">
      <c r="A113" s="225" t="inlineStr">
        <is>
          <t>maritalstat</t>
        </is>
      </c>
      <c r="B113" s="225" t="n">
        <v>4</v>
      </c>
      <c r="C113" s="225" t="inlineStr">
        <is>
          <t>Divorced</t>
        </is>
      </c>
      <c r="D113" s="4" t="n"/>
    </row>
    <row r="114">
      <c r="A114" s="225" t="inlineStr">
        <is>
          <t>maritalstat</t>
        </is>
      </c>
      <c r="B114" s="225" t="n">
        <v>5</v>
      </c>
      <c r="C114" s="225" t="inlineStr">
        <is>
          <t>Widowed</t>
        </is>
      </c>
      <c r="D114" s="4" t="n"/>
    </row>
    <row r="115">
      <c r="A115" s="225" t="inlineStr">
        <is>
          <t>maritalstat</t>
        </is>
      </c>
      <c r="B115" s="225" t="n">
        <v>6</v>
      </c>
      <c r="C115" s="225" t="inlineStr">
        <is>
          <t>DON’T KNOW</t>
        </is>
      </c>
      <c r="D115" s="4" t="n"/>
    </row>
    <row r="116">
      <c r="A116" s="225" t="inlineStr">
        <is>
          <t>maritalstat</t>
        </is>
      </c>
      <c r="B116" s="225" t="n">
        <v>7</v>
      </c>
      <c r="C116" s="225" t="inlineStr">
        <is>
          <t xml:space="preserve">REFUSED </t>
        </is>
      </c>
      <c r="D116" s="4" t="n"/>
    </row>
    <row r="117">
      <c r="A117" s="13" t="n"/>
      <c r="B117" s="13" t="n"/>
      <c r="C117" s="13" t="n"/>
      <c r="D117" s="4" t="n"/>
    </row>
    <row r="118">
      <c r="A118" s="225" t="inlineStr">
        <is>
          <t>agegroup</t>
        </is>
      </c>
      <c r="B118" s="225" t="n">
        <v>1</v>
      </c>
      <c r="C118" s="225" t="inlineStr">
        <is>
          <t>Under 18</t>
        </is>
      </c>
      <c r="D118" s="4" t="n"/>
    </row>
    <row r="119">
      <c r="A119" s="225" t="inlineStr">
        <is>
          <t>agegroup</t>
        </is>
      </c>
      <c r="B119" s="225" t="n">
        <v>2</v>
      </c>
      <c r="C119" s="225" t="inlineStr">
        <is>
          <t>18 to 40</t>
        </is>
      </c>
      <c r="D119" s="4" t="n"/>
    </row>
    <row r="120">
      <c r="A120" s="225" t="inlineStr">
        <is>
          <t>agegroup</t>
        </is>
      </c>
      <c r="B120" s="225" t="n">
        <v>3</v>
      </c>
      <c r="C120" s="225" t="inlineStr">
        <is>
          <t>41 to 65</t>
        </is>
      </c>
      <c r="D120" s="4" t="n"/>
    </row>
    <row r="121">
      <c r="A121" s="225" t="inlineStr">
        <is>
          <t>agegroup</t>
        </is>
      </c>
      <c r="B121" s="225" t="n">
        <v>4</v>
      </c>
      <c r="C121" s="225" t="inlineStr">
        <is>
          <t>Over 65</t>
        </is>
      </c>
      <c r="D121" s="4" t="n"/>
    </row>
    <row r="122">
      <c r="A122" s="225" t="inlineStr">
        <is>
          <t>agegroup</t>
        </is>
      </c>
      <c r="B122" s="225" t="n">
        <v>5</v>
      </c>
      <c r="C122" s="225" t="inlineStr">
        <is>
          <t>DON'T KNOW</t>
        </is>
      </c>
      <c r="D122" s="4" t="n"/>
    </row>
    <row r="123">
      <c r="A123" s="225" t="inlineStr">
        <is>
          <t>agegroup</t>
        </is>
      </c>
      <c r="B123" s="225" t="n">
        <v>6</v>
      </c>
      <c r="C123" s="225" t="inlineStr">
        <is>
          <t>REFUSED</t>
        </is>
      </c>
      <c r="D123" s="4" t="n"/>
    </row>
    <row r="124">
      <c r="A124" s="13" t="n"/>
      <c r="B124" s="13" t="n"/>
      <c r="C124" s="13" t="n"/>
      <c r="D124" s="4" t="n"/>
    </row>
    <row r="125">
      <c r="A125" t="inlineStr">
        <is>
          <t>incomesource1</t>
        </is>
      </c>
      <c r="B125" t="n">
        <v>1</v>
      </c>
      <c r="C125" t="inlineStr">
        <is>
          <t>Production and sale of staple crops</t>
        </is>
      </c>
      <c r="D125" s="4" t="n"/>
    </row>
    <row r="126">
      <c r="A126" t="inlineStr">
        <is>
          <t>incomesource1</t>
        </is>
      </c>
      <c r="B126" t="n">
        <v>2</v>
      </c>
      <c r="C126" t="inlineStr">
        <is>
          <t xml:space="preserve">Production and sale of vegetables or fruit </t>
        </is>
      </c>
      <c r="D126" s="4" t="n"/>
    </row>
    <row r="127">
      <c r="A127" t="inlineStr">
        <is>
          <t>incomesource1</t>
        </is>
      </c>
      <c r="B127" t="n">
        <v>3</v>
      </c>
      <c r="C127" t="inlineStr">
        <is>
          <t>Production and sale of cashcrops</t>
        </is>
      </c>
      <c r="D127" s="4" t="n"/>
    </row>
    <row r="128">
      <c r="A128" t="inlineStr">
        <is>
          <t>incomesource1</t>
        </is>
      </c>
      <c r="B128" t="n">
        <v>4</v>
      </c>
      <c r="C128" t="inlineStr">
        <is>
          <t xml:space="preserve">Production and sale of livestock or livestock products </t>
        </is>
      </c>
      <c r="D128" s="4" t="n"/>
    </row>
    <row r="129">
      <c r="A129" t="inlineStr">
        <is>
          <t>incomesource1</t>
        </is>
      </c>
      <c r="B129" t="n">
        <v>5</v>
      </c>
      <c r="C129" t="inlineStr">
        <is>
          <t>Production and sale of honey and bee products</t>
        </is>
      </c>
      <c r="D129" s="4" t="n"/>
    </row>
    <row r="130">
      <c r="A130" t="inlineStr">
        <is>
          <t>incomesource1</t>
        </is>
      </c>
      <c r="B130" t="n">
        <v>6</v>
      </c>
      <c r="C130" t="inlineStr">
        <is>
          <t>Production and sale of fish or aquatic products</t>
        </is>
      </c>
      <c r="D130" s="4" t="n"/>
    </row>
    <row r="131">
      <c r="A131" t="inlineStr">
        <is>
          <t>incomesource1</t>
        </is>
      </c>
      <c r="B131" t="n">
        <v>7</v>
      </c>
      <c r="C131" t="inlineStr">
        <is>
          <t>Collection and sale of natural resources (including forestry or bush products)</t>
        </is>
      </c>
      <c r="D131" s="4" t="n"/>
    </row>
    <row r="132">
      <c r="A132" t="inlineStr">
        <is>
          <t>incomesource1</t>
        </is>
      </c>
      <c r="B132" t="n">
        <v>8</v>
      </c>
      <c r="C132" t="inlineStr">
        <is>
          <t>Agricultural trade EXCLUDING producers (formal or informal)</t>
        </is>
      </c>
      <c r="D132" s="4" t="n"/>
    </row>
    <row r="133">
      <c r="A133" t="inlineStr">
        <is>
          <t>incomesource1</t>
        </is>
      </c>
      <c r="B133" t="n">
        <v>9</v>
      </c>
      <c r="C133" t="inlineStr">
        <is>
          <t xml:space="preserve">Daily wage on farms and other casual employment in agricultural sector </t>
        </is>
      </c>
      <c r="D133" s="4" t="n"/>
    </row>
    <row r="134">
      <c r="A134" t="inlineStr">
        <is>
          <t>incomesource1</t>
        </is>
      </c>
      <c r="B134" t="n">
        <v>10</v>
      </c>
      <c r="C134" t="inlineStr">
        <is>
          <t xml:space="preserve">Stable employment in agricultural sector </t>
        </is>
      </c>
      <c r="D134" s="4" t="n"/>
    </row>
    <row r="135">
      <c r="A135" t="inlineStr">
        <is>
          <t>incomesource1</t>
        </is>
      </c>
      <c r="B135" t="n">
        <v>11</v>
      </c>
      <c r="C135" t="inlineStr">
        <is>
          <t>Non-agricultural self-employed or liberal profession, doctor, architect, lawyer, including restaurant</t>
        </is>
      </c>
      <c r="D135" s="4" t="n"/>
    </row>
    <row r="136">
      <c r="A136" t="inlineStr">
        <is>
          <t>incomesource1</t>
        </is>
      </c>
      <c r="B136" t="n">
        <v>12</v>
      </c>
      <c r="C136" t="inlineStr">
        <is>
          <t>Off-farm daily wages and other non-agricultural casual employment</t>
        </is>
      </c>
      <c r="D136" s="4" t="n"/>
    </row>
    <row r="137">
      <c r="A137" t="inlineStr">
        <is>
          <t>incomesource1</t>
        </is>
      </c>
      <c r="B137" t="n">
        <v>13</v>
      </c>
      <c r="C137" t="inlineStr">
        <is>
          <t>Stable employment in non-agricultural sector</t>
        </is>
      </c>
      <c r="D137" s="4" t="n"/>
    </row>
    <row r="138">
      <c r="A138" t="inlineStr">
        <is>
          <t>incomesource1</t>
        </is>
      </c>
      <c r="B138" t="n">
        <v>14</v>
      </c>
      <c r="C138" t="inlineStr">
        <is>
          <t xml:space="preserve">Public employment </t>
        </is>
      </c>
      <c r="D138" s="4" t="n"/>
    </row>
    <row r="139">
      <c r="A139" t="inlineStr">
        <is>
          <t>incomesource1</t>
        </is>
      </c>
      <c r="B139" t="n">
        <v>15</v>
      </c>
      <c r="C139" t="inlineStr">
        <is>
          <t>Income not derived from work / Charity</t>
        </is>
      </c>
      <c r="D139" s="4" t="n"/>
    </row>
    <row r="140">
      <c r="A140" t="inlineStr">
        <is>
          <t>incomesource1</t>
        </is>
      </c>
      <c r="B140" t="n">
        <v>16</v>
      </c>
      <c r="C140" t="inlineStr">
        <is>
          <t>Income not derived from work / Welfare transfer, pension, humanitarian aid</t>
        </is>
      </c>
      <c r="D140" s="4" t="n"/>
    </row>
    <row r="141">
      <c r="A141" t="inlineStr">
        <is>
          <t>incomesource1</t>
        </is>
      </c>
      <c r="B141" t="n">
        <v>17</v>
      </c>
      <c r="C141" t="inlineStr">
        <is>
          <t>Income not derived from work / Remittances</t>
        </is>
      </c>
      <c r="D141" s="4" t="n"/>
    </row>
    <row r="142">
      <c r="A142" t="inlineStr">
        <is>
          <t>incomesource1</t>
        </is>
      </c>
      <c r="B142" t="n">
        <v>18</v>
      </c>
      <c r="C142" t="inlineStr">
        <is>
          <t xml:space="preserve">Income not derived from work / Income from other rents                                                                                                                                              </t>
        </is>
      </c>
      <c r="D142" s="4" t="n"/>
    </row>
    <row r="143">
      <c r="A143" t="inlineStr">
        <is>
          <t>incomesource1</t>
        </is>
      </c>
      <c r="B143" t="n">
        <v>19</v>
      </c>
      <c r="C143" t="inlineStr">
        <is>
          <t>No income source in the last 3 months and used exclusively savings / debts</t>
        </is>
      </c>
      <c r="D143" s="4" t="n"/>
    </row>
    <row r="144">
      <c r="A144" t="inlineStr">
        <is>
          <t>incomesource1</t>
        </is>
      </c>
      <c r="B144" t="n">
        <v>20</v>
      </c>
      <c r="C144" t="inlineStr">
        <is>
          <t>REFUSED</t>
        </is>
      </c>
      <c r="D144" s="4" t="n"/>
    </row>
    <row r="145">
      <c r="D145" s="4" t="n"/>
    </row>
    <row r="146">
      <c r="A146" t="inlineStr">
        <is>
          <t>gender_inc_1</t>
        </is>
      </c>
      <c r="B146" t="n">
        <v>1</v>
      </c>
      <c r="C146" t="inlineStr">
        <is>
          <t>Male</t>
        </is>
      </c>
      <c r="D146" s="4" t="n"/>
    </row>
    <row r="147">
      <c r="A147" t="inlineStr">
        <is>
          <t>gender_inc_1</t>
        </is>
      </c>
      <c r="B147" t="n">
        <v>2</v>
      </c>
      <c r="C147" t="inlineStr">
        <is>
          <t>Female</t>
        </is>
      </c>
      <c r="D147" s="4" t="n"/>
    </row>
    <row r="148">
      <c r="A148" t="inlineStr">
        <is>
          <t>gender_inc_1</t>
        </is>
      </c>
      <c r="B148" t="n">
        <v>3</v>
      </c>
      <c r="C148" t="inlineStr">
        <is>
          <t>Joint (both male &amp; female)</t>
        </is>
      </c>
      <c r="D148" s="4" t="n"/>
    </row>
    <row r="149">
      <c r="A149" t="inlineStr">
        <is>
          <t>gender_inc_1</t>
        </is>
      </c>
      <c r="B149" t="n">
        <v>4</v>
      </c>
      <c r="C149" t="inlineStr">
        <is>
          <t>DON'T KNOW</t>
        </is>
      </c>
      <c r="D149" s="4" t="n"/>
    </row>
    <row r="150">
      <c r="A150" t="inlineStr">
        <is>
          <t>gender_inc_1</t>
        </is>
      </c>
      <c r="B150" t="n">
        <v>5</v>
      </c>
      <c r="C150" t="inlineStr">
        <is>
          <t>REFUSED</t>
        </is>
      </c>
      <c r="D150" s="4" t="n"/>
    </row>
    <row r="151">
      <c r="D151" s="4" t="n"/>
    </row>
    <row r="152">
      <c r="A152" t="inlineStr">
        <is>
          <t>gender_inc_2</t>
        </is>
      </c>
      <c r="B152" t="n">
        <v>1</v>
      </c>
      <c r="C152" t="inlineStr">
        <is>
          <t>Male household member(s)</t>
        </is>
      </c>
      <c r="D152" s="4" t="n"/>
    </row>
    <row r="153">
      <c r="A153" t="inlineStr">
        <is>
          <t>gender_inc_2</t>
        </is>
      </c>
      <c r="B153" t="n">
        <v>2</v>
      </c>
      <c r="C153" t="inlineStr">
        <is>
          <t>Female household member(s)</t>
        </is>
      </c>
      <c r="D153" s="4" t="n"/>
    </row>
    <row r="154">
      <c r="A154" t="inlineStr">
        <is>
          <t>gender_inc_2</t>
        </is>
      </c>
      <c r="B154" t="n">
        <v>3</v>
      </c>
      <c r="C154" t="inlineStr">
        <is>
          <t>Joint household members (both female &amp; male)</t>
        </is>
      </c>
      <c r="D154" s="4" t="n"/>
    </row>
    <row r="155">
      <c r="A155" t="inlineStr">
        <is>
          <t>gender_inc_2</t>
        </is>
      </c>
      <c r="B155" t="n">
        <v>4</v>
      </c>
      <c r="C155" t="inlineStr">
        <is>
          <t>DON'T KNOW</t>
        </is>
      </c>
      <c r="D155" s="4" t="n"/>
    </row>
    <row r="156">
      <c r="A156" t="inlineStr">
        <is>
          <t>gender_inc_2</t>
        </is>
      </c>
      <c r="B156" t="n">
        <v>5</v>
      </c>
      <c r="C156" t="inlineStr">
        <is>
          <t>REFUSED</t>
        </is>
      </c>
      <c r="D156" s="4" t="n"/>
    </row>
    <row r="157">
      <c r="D157" s="4" t="n"/>
    </row>
    <row r="158">
      <c r="A158" t="inlineStr">
        <is>
          <t>change</t>
        </is>
      </c>
      <c r="B158" t="n">
        <v>1</v>
      </c>
      <c r="C158" t="inlineStr">
        <is>
          <t>A lot more [increased by more than 50%]</t>
        </is>
      </c>
      <c r="D158" s="4" t="n"/>
    </row>
    <row r="159">
      <c r="A159" t="inlineStr">
        <is>
          <t>change</t>
        </is>
      </c>
      <c r="B159" t="n">
        <v>2</v>
      </c>
      <c r="C159" t="inlineStr">
        <is>
          <t>Slightly more</t>
        </is>
      </c>
      <c r="D159" s="4" t="n"/>
    </row>
    <row r="160">
      <c r="A160" t="inlineStr">
        <is>
          <t>change</t>
        </is>
      </c>
      <c r="B160" t="n">
        <v>3</v>
      </c>
      <c r="C160" t="inlineStr">
        <is>
          <t>Same</t>
        </is>
      </c>
      <c r="D160" s="4" t="n"/>
    </row>
    <row r="161">
      <c r="A161" t="inlineStr">
        <is>
          <t>change</t>
        </is>
      </c>
      <c r="B161" t="n">
        <v>4</v>
      </c>
      <c r="C161" t="inlineStr">
        <is>
          <t>Slightly less</t>
        </is>
      </c>
      <c r="D161" s="4" t="n"/>
    </row>
    <row r="162">
      <c r="A162" t="inlineStr">
        <is>
          <t>change</t>
        </is>
      </c>
      <c r="B162" t="n">
        <v>5</v>
      </c>
      <c r="C162" t="inlineStr">
        <is>
          <t xml:space="preserve">A lot less [less than half as much] </t>
        </is>
      </c>
      <c r="D162" s="4" t="n"/>
    </row>
    <row r="163">
      <c r="A163" t="inlineStr">
        <is>
          <t>change</t>
        </is>
      </c>
      <c r="B163" s="223" t="n">
        <v>6</v>
      </c>
      <c r="C163" t="inlineStr">
        <is>
          <t>DON'T KNOW</t>
        </is>
      </c>
      <c r="D163" s="4" t="n"/>
    </row>
    <row r="164">
      <c r="A164" t="inlineStr">
        <is>
          <t>change</t>
        </is>
      </c>
      <c r="B164" s="223" t="n">
        <v>7</v>
      </c>
      <c r="C164" t="inlineStr">
        <is>
          <t>REFUSED</t>
        </is>
      </c>
      <c r="D164" s="4" t="n"/>
    </row>
    <row r="165">
      <c r="D165" s="4" t="n"/>
    </row>
    <row r="166" customFormat="1" s="14">
      <c r="A166" s="224" t="inlineStr">
        <is>
          <t>incomesource2</t>
        </is>
      </c>
      <c r="B166" t="n">
        <v>1</v>
      </c>
      <c r="C166" t="inlineStr">
        <is>
          <t>Production and sale of staple crops</t>
        </is>
      </c>
      <c r="D166" s="5" t="n"/>
    </row>
    <row r="167" customFormat="1" s="14">
      <c r="A167" s="224" t="inlineStr">
        <is>
          <t>incomesource2</t>
        </is>
      </c>
      <c r="B167" t="n">
        <v>2</v>
      </c>
      <c r="C167" t="inlineStr">
        <is>
          <t xml:space="preserve">Production and sale of vegetables or fruit </t>
        </is>
      </c>
      <c r="D167" s="5" t="n"/>
    </row>
    <row r="168" customFormat="1" s="14">
      <c r="A168" s="224" t="inlineStr">
        <is>
          <t>incomesource2</t>
        </is>
      </c>
      <c r="B168" t="n">
        <v>3</v>
      </c>
      <c r="C168" t="inlineStr">
        <is>
          <t>Production and sale of cashcrops</t>
        </is>
      </c>
      <c r="D168" s="5" t="n"/>
    </row>
    <row r="169" customFormat="1" s="14">
      <c r="A169" s="224" t="inlineStr">
        <is>
          <t>incomesource2</t>
        </is>
      </c>
      <c r="B169" t="n">
        <v>4</v>
      </c>
      <c r="C169" t="inlineStr">
        <is>
          <t xml:space="preserve">Production and sale of livestock or livestock products </t>
        </is>
      </c>
      <c r="D169" s="5" t="n"/>
    </row>
    <row r="170" customFormat="1" s="14">
      <c r="A170" s="224" t="inlineStr">
        <is>
          <t>incomesource2</t>
        </is>
      </c>
      <c r="B170" t="n">
        <v>5</v>
      </c>
      <c r="C170" t="inlineStr">
        <is>
          <t>Production and sale of honey and bee products</t>
        </is>
      </c>
      <c r="D170" s="5" t="n"/>
    </row>
    <row r="171" customFormat="1" s="14">
      <c r="A171" s="224" t="inlineStr">
        <is>
          <t>incomesource2</t>
        </is>
      </c>
      <c r="B171" t="n">
        <v>6</v>
      </c>
      <c r="C171" t="inlineStr">
        <is>
          <t>Production and sale of fish or aquatic products</t>
        </is>
      </c>
      <c r="D171" s="5" t="n"/>
    </row>
    <row r="172" customFormat="1" s="14">
      <c r="A172" s="224" t="inlineStr">
        <is>
          <t>incomesource2</t>
        </is>
      </c>
      <c r="B172" t="n">
        <v>7</v>
      </c>
      <c r="C172" t="inlineStr">
        <is>
          <t>Collection and sale of natural resources (including forestry or bush products)</t>
        </is>
      </c>
      <c r="D172" s="5" t="n"/>
    </row>
    <row r="173" customFormat="1" s="14">
      <c r="A173" s="224" t="inlineStr">
        <is>
          <t>incomesource2</t>
        </is>
      </c>
      <c r="B173" t="n">
        <v>8</v>
      </c>
      <c r="C173" t="inlineStr">
        <is>
          <t>Agricultural trade EXCLUDING producers (formal or informal)</t>
        </is>
      </c>
      <c r="D173" s="5" t="n"/>
    </row>
    <row r="174" customFormat="1" s="14">
      <c r="A174" s="224" t="inlineStr">
        <is>
          <t>incomesource2</t>
        </is>
      </c>
      <c r="B174" t="n">
        <v>9</v>
      </c>
      <c r="C174" t="inlineStr">
        <is>
          <t xml:space="preserve">Daily wage on farms and other casual employment in agricultural sector </t>
        </is>
      </c>
      <c r="D174" s="5" t="n"/>
    </row>
    <row r="175" customFormat="1" s="14">
      <c r="A175" s="224" t="inlineStr">
        <is>
          <t>incomesource2</t>
        </is>
      </c>
      <c r="B175" t="n">
        <v>10</v>
      </c>
      <c r="C175" t="inlineStr">
        <is>
          <t xml:space="preserve">Stable employment in agricultural sector </t>
        </is>
      </c>
      <c r="D175" s="5" t="n"/>
    </row>
    <row r="176" customFormat="1" s="14">
      <c r="A176" s="224" t="inlineStr">
        <is>
          <t>incomesource2</t>
        </is>
      </c>
      <c r="B176" t="n">
        <v>11</v>
      </c>
      <c r="C176" t="inlineStr">
        <is>
          <t>Non-agricultural self-employed or liberal profession, doctor, architect, lawyer, including restaurant</t>
        </is>
      </c>
      <c r="D176" s="5" t="n"/>
    </row>
    <row r="177" customFormat="1" s="14">
      <c r="A177" s="224" t="inlineStr">
        <is>
          <t>incomesource2</t>
        </is>
      </c>
      <c r="B177" t="n">
        <v>12</v>
      </c>
      <c r="C177" t="inlineStr">
        <is>
          <t>Off-farm daily wages and other non-agricultural casual employment</t>
        </is>
      </c>
      <c r="D177" s="5" t="n"/>
    </row>
    <row r="178" customFormat="1" s="14">
      <c r="A178" s="224" t="inlineStr">
        <is>
          <t>incomesource2</t>
        </is>
      </c>
      <c r="B178" t="n">
        <v>13</v>
      </c>
      <c r="C178" t="inlineStr">
        <is>
          <t>Stable employment in non-agricultural sector</t>
        </is>
      </c>
      <c r="D178" s="5" t="n"/>
    </row>
    <row r="179" customFormat="1" s="14">
      <c r="A179" s="224" t="inlineStr">
        <is>
          <t>incomesource2</t>
        </is>
      </c>
      <c r="B179" t="n">
        <v>14</v>
      </c>
      <c r="C179" t="inlineStr">
        <is>
          <t xml:space="preserve">Public employment </t>
        </is>
      </c>
      <c r="D179" s="5" t="n"/>
    </row>
    <row r="180" customFormat="1" s="14">
      <c r="A180" s="224" t="inlineStr">
        <is>
          <t>incomesource2</t>
        </is>
      </c>
      <c r="B180" s="224" t="n">
        <v>15</v>
      </c>
      <c r="C180" s="224" t="inlineStr">
        <is>
          <t>Income not derived from work / Charity</t>
        </is>
      </c>
      <c r="D180" s="5" t="n"/>
    </row>
    <row r="181" customFormat="1" s="14">
      <c r="A181" s="224" t="inlineStr">
        <is>
          <t>incomesource2</t>
        </is>
      </c>
      <c r="B181" s="224" t="n">
        <v>16</v>
      </c>
      <c r="C181" s="224" t="inlineStr">
        <is>
          <t>Income not derived from work / Welfare transfer, pension, humanitarian aid</t>
        </is>
      </c>
      <c r="D181" s="5" t="n"/>
    </row>
    <row r="182" customFormat="1" s="14">
      <c r="A182" s="224" t="inlineStr">
        <is>
          <t>incomesource2</t>
        </is>
      </c>
      <c r="B182" s="224" t="n">
        <v>17</v>
      </c>
      <c r="C182" s="224" t="inlineStr">
        <is>
          <t>Income not derived from work / Remittances</t>
        </is>
      </c>
      <c r="D182" s="5" t="n"/>
    </row>
    <row r="183" customFormat="1" s="14">
      <c r="A183" s="224" t="inlineStr">
        <is>
          <t>incomesource2</t>
        </is>
      </c>
      <c r="B183" s="224" t="n">
        <v>18</v>
      </c>
      <c r="C183" s="224" t="inlineStr">
        <is>
          <t>Income not derived from work / Income from other rents</t>
        </is>
      </c>
      <c r="D183" s="5" t="n"/>
    </row>
    <row r="184" customFormat="1" s="14">
      <c r="A184" s="224" t="inlineStr">
        <is>
          <t>incomesource2</t>
        </is>
      </c>
      <c r="B184" s="224" t="n">
        <v>19</v>
      </c>
      <c r="C184" s="224" t="inlineStr">
        <is>
          <t>No second most important source of income</t>
        </is>
      </c>
      <c r="D184" s="5" t="n"/>
    </row>
    <row r="185" customFormat="1" s="14">
      <c r="A185" s="224" t="inlineStr">
        <is>
          <t>incomesource2</t>
        </is>
      </c>
      <c r="B185" s="223" t="n">
        <v>20</v>
      </c>
      <c r="C185" s="224" t="inlineStr">
        <is>
          <t>DON'T KNOW</t>
        </is>
      </c>
      <c r="D185" s="5" t="n"/>
    </row>
    <row r="186" customFormat="1" s="14">
      <c r="A186" s="224" t="inlineStr">
        <is>
          <t>incomesource2</t>
        </is>
      </c>
      <c r="B186" s="223" t="n">
        <v>21</v>
      </c>
      <c r="C186" s="224" t="inlineStr">
        <is>
          <t>REFUSED</t>
        </is>
      </c>
      <c r="D186" s="5" t="n"/>
    </row>
    <row r="187" customFormat="1" s="14">
      <c r="D187" s="5" t="n"/>
    </row>
    <row r="188" customFormat="1" s="14">
      <c r="A188" s="224" t="inlineStr">
        <is>
          <t>incomesource3</t>
        </is>
      </c>
      <c r="B188" t="n">
        <v>1</v>
      </c>
      <c r="C188" t="inlineStr">
        <is>
          <t>Production and sale of staple crops</t>
        </is>
      </c>
      <c r="D188" s="5" t="n"/>
    </row>
    <row r="189" customFormat="1" s="14">
      <c r="A189" s="224" t="inlineStr">
        <is>
          <t>incomesource3</t>
        </is>
      </c>
      <c r="B189" t="n">
        <v>2</v>
      </c>
      <c r="C189" t="inlineStr">
        <is>
          <t xml:space="preserve">Production and sale of vegetables or fruit </t>
        </is>
      </c>
      <c r="D189" s="5" t="n"/>
    </row>
    <row r="190" customFormat="1" s="14">
      <c r="A190" s="224" t="inlineStr">
        <is>
          <t>incomesource3</t>
        </is>
      </c>
      <c r="B190" t="n">
        <v>3</v>
      </c>
      <c r="C190" t="inlineStr">
        <is>
          <t>Production and sale of cashcrops</t>
        </is>
      </c>
      <c r="D190" s="5" t="n"/>
    </row>
    <row r="191" customFormat="1" s="14">
      <c r="A191" s="224" t="inlineStr">
        <is>
          <t>incomesource3</t>
        </is>
      </c>
      <c r="B191" t="n">
        <v>4</v>
      </c>
      <c r="C191" t="inlineStr">
        <is>
          <t xml:space="preserve">Production and sale of livestock or livestock products </t>
        </is>
      </c>
      <c r="D191" s="5" t="n"/>
    </row>
    <row r="192" customFormat="1" s="14">
      <c r="A192" s="224" t="inlineStr">
        <is>
          <t>incomesource3</t>
        </is>
      </c>
      <c r="B192" t="n">
        <v>5</v>
      </c>
      <c r="C192" t="inlineStr">
        <is>
          <t>Production and sale of honey and bee products</t>
        </is>
      </c>
      <c r="D192" s="5" t="n"/>
    </row>
    <row r="193" customFormat="1" s="14">
      <c r="A193" s="224" t="inlineStr">
        <is>
          <t>incomesource3</t>
        </is>
      </c>
      <c r="B193" t="n">
        <v>6</v>
      </c>
      <c r="C193" t="inlineStr">
        <is>
          <t>Production and sale of fish or aquatic products</t>
        </is>
      </c>
      <c r="D193" s="5" t="n"/>
    </row>
    <row r="194" customFormat="1" s="14">
      <c r="A194" s="224" t="inlineStr">
        <is>
          <t>incomesource3</t>
        </is>
      </c>
      <c r="B194" t="n">
        <v>7</v>
      </c>
      <c r="C194" t="inlineStr">
        <is>
          <t>Collection and sale of natural resources (including forestry or bush products)</t>
        </is>
      </c>
      <c r="D194" s="5" t="n"/>
    </row>
    <row r="195" customFormat="1" s="14">
      <c r="A195" s="224" t="inlineStr">
        <is>
          <t>incomesource3</t>
        </is>
      </c>
      <c r="B195" t="n">
        <v>8</v>
      </c>
      <c r="C195" t="inlineStr">
        <is>
          <t>Agricultural trade EXCLUDING producers (formal or informal)</t>
        </is>
      </c>
      <c r="D195" s="5" t="n"/>
    </row>
    <row r="196" customFormat="1" s="14">
      <c r="A196" s="224" t="inlineStr">
        <is>
          <t>incomesource3</t>
        </is>
      </c>
      <c r="B196" t="n">
        <v>9</v>
      </c>
      <c r="C196" t="inlineStr">
        <is>
          <t xml:space="preserve">Daily wage on farms and other casual employment in agricultural sector </t>
        </is>
      </c>
      <c r="D196" s="5" t="n"/>
    </row>
    <row r="197" customFormat="1" s="14">
      <c r="A197" s="224" t="inlineStr">
        <is>
          <t>incomesource3</t>
        </is>
      </c>
      <c r="B197" t="n">
        <v>10</v>
      </c>
      <c r="C197" t="inlineStr">
        <is>
          <t xml:space="preserve">Stable employment in agricultural sector </t>
        </is>
      </c>
      <c r="D197" s="5" t="n"/>
    </row>
    <row r="198" customFormat="1" s="14">
      <c r="A198" s="224" t="inlineStr">
        <is>
          <t>incomesource3</t>
        </is>
      </c>
      <c r="B198" t="n">
        <v>11</v>
      </c>
      <c r="C198" t="inlineStr">
        <is>
          <t>Non-agricultural self-employed or liberal profession, doctor, architect, lawyer, including restaurant</t>
        </is>
      </c>
      <c r="D198" s="5" t="n"/>
    </row>
    <row r="199" customFormat="1" s="14">
      <c r="A199" s="224" t="inlineStr">
        <is>
          <t>incomesource3</t>
        </is>
      </c>
      <c r="B199" t="n">
        <v>12</v>
      </c>
      <c r="C199" t="inlineStr">
        <is>
          <t>Off-farm daily wages and other non-agricultural casual employment</t>
        </is>
      </c>
      <c r="D199" s="5" t="n"/>
    </row>
    <row r="200" customFormat="1" s="14">
      <c r="A200" s="224" t="inlineStr">
        <is>
          <t>incomesource3</t>
        </is>
      </c>
      <c r="B200" t="n">
        <v>13</v>
      </c>
      <c r="C200" t="inlineStr">
        <is>
          <t>Stable employment in non-agricultural sector</t>
        </is>
      </c>
      <c r="D200" s="5" t="n"/>
    </row>
    <row r="201" customFormat="1" s="14">
      <c r="A201" s="224" t="inlineStr">
        <is>
          <t>incomesource3</t>
        </is>
      </c>
      <c r="B201" t="n">
        <v>14</v>
      </c>
      <c r="C201" t="inlineStr">
        <is>
          <t xml:space="preserve">Public employment </t>
        </is>
      </c>
      <c r="D201" s="5" t="n"/>
    </row>
    <row r="202" customFormat="1" s="14">
      <c r="A202" s="224" t="inlineStr">
        <is>
          <t>incomesource3</t>
        </is>
      </c>
      <c r="B202" s="224" t="n">
        <v>15</v>
      </c>
      <c r="C202" s="224" t="inlineStr">
        <is>
          <t>Income not derived from work / Charity</t>
        </is>
      </c>
      <c r="D202" s="5" t="n"/>
    </row>
    <row r="203" customFormat="1" s="14">
      <c r="A203" s="224" t="inlineStr">
        <is>
          <t>incomesource3</t>
        </is>
      </c>
      <c r="B203" s="224" t="n">
        <v>16</v>
      </c>
      <c r="C203" s="224" t="inlineStr">
        <is>
          <t>Income not derived from work / Welfare transfer, pension, humanitarian aid</t>
        </is>
      </c>
      <c r="D203" s="5" t="n"/>
    </row>
    <row r="204" customFormat="1" s="14">
      <c r="A204" s="224" t="inlineStr">
        <is>
          <t>incomesource3</t>
        </is>
      </c>
      <c r="B204" s="224" t="n">
        <v>17</v>
      </c>
      <c r="C204" s="224" t="inlineStr">
        <is>
          <t>Income not derived from work / Remittances</t>
        </is>
      </c>
      <c r="D204" s="5" t="n"/>
    </row>
    <row r="205" customFormat="1" s="14">
      <c r="A205" s="224" t="inlineStr">
        <is>
          <t>incomesource3</t>
        </is>
      </c>
      <c r="B205" s="224" t="n">
        <v>18</v>
      </c>
      <c r="C205" s="224" t="inlineStr">
        <is>
          <t xml:space="preserve">Income not derived from work / Income from other rents                                </t>
        </is>
      </c>
      <c r="D205" s="5" t="n"/>
    </row>
    <row r="206" customFormat="1" s="14">
      <c r="A206" s="224" t="inlineStr">
        <is>
          <t>incomesource3</t>
        </is>
      </c>
      <c r="B206" s="224" t="n">
        <v>19</v>
      </c>
      <c r="C206" s="224" t="inlineStr">
        <is>
          <t>No third most important source of income</t>
        </is>
      </c>
      <c r="D206" s="5" t="n"/>
    </row>
    <row r="207" customFormat="1" s="14">
      <c r="A207" s="224" t="inlineStr">
        <is>
          <t>incomesource3</t>
        </is>
      </c>
      <c r="B207" s="223" t="n">
        <v>20</v>
      </c>
      <c r="C207" s="224" t="inlineStr">
        <is>
          <t>DON'T KNOW</t>
        </is>
      </c>
      <c r="D207" s="5" t="n"/>
    </row>
    <row r="208" customFormat="1" s="14">
      <c r="A208" s="224" t="inlineStr">
        <is>
          <t>incomesource3</t>
        </is>
      </c>
      <c r="B208" s="223" t="n">
        <v>21</v>
      </c>
      <c r="C208" s="224" t="inlineStr">
        <is>
          <t>REFUSED</t>
        </is>
      </c>
      <c r="D208" s="5" t="n"/>
    </row>
    <row r="209" customFormat="1" s="12">
      <c r="D209" s="8" t="n"/>
    </row>
    <row r="210">
      <c r="A210" t="inlineStr">
        <is>
          <t>shock</t>
        </is>
      </c>
      <c r="B210" t="inlineStr">
        <is>
          <t>noshock</t>
        </is>
      </c>
      <c r="C210" t="inlineStr">
        <is>
          <t>No shock</t>
        </is>
      </c>
      <c r="D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row>
    <row r="212">
      <c r="A212" t="inlineStr">
        <is>
          <t>shock</t>
        </is>
      </c>
      <c r="B212" t="inlineStr">
        <is>
          <t>lostemplorwork</t>
        </is>
      </c>
      <c r="C212" t="inlineStr">
        <is>
          <t>Lost employment or working opportunities [not due to illness/accident]</t>
        </is>
      </c>
      <c r="D212" s="4" t="n"/>
    </row>
    <row r="213">
      <c r="A213" t="inlineStr">
        <is>
          <t>shock</t>
        </is>
      </c>
      <c r="B213" t="inlineStr">
        <is>
          <t>otherintrahhshock</t>
        </is>
      </c>
      <c r="C213" t="inlineStr">
        <is>
          <t>Other intra-household shock</t>
        </is>
      </c>
      <c r="D213" s="4" t="n"/>
    </row>
    <row r="214">
      <c r="A214" t="inlineStr">
        <is>
          <t>shock</t>
        </is>
      </c>
      <c r="B214" t="inlineStr">
        <is>
          <t>higherfoodprices</t>
        </is>
      </c>
      <c r="C214" t="inlineStr">
        <is>
          <t>Unusually high food prices</t>
        </is>
      </c>
      <c r="D214" s="4" t="n"/>
    </row>
    <row r="215">
      <c r="A215" t="inlineStr">
        <is>
          <t>shock</t>
        </is>
      </c>
      <c r="B215" t="inlineStr">
        <is>
          <t>higherfuelprices</t>
        </is>
      </c>
      <c r="C215" t="inlineStr">
        <is>
          <t>Unusually high fuel prices or transport prices</t>
        </is>
      </c>
      <c r="D215" s="4" t="n"/>
    </row>
    <row r="216">
      <c r="A216" t="inlineStr">
        <is>
          <t>shock</t>
        </is>
      </c>
      <c r="B216" t="inlineStr">
        <is>
          <t>mvtrestrict</t>
        </is>
      </c>
      <c r="C216" t="inlineStr">
        <is>
          <t>Population movement restrictions [e.g. due to epidemic or infrastructure damage]</t>
        </is>
      </c>
      <c r="D216" s="4" t="n"/>
    </row>
    <row r="217">
      <c r="A217" t="inlineStr">
        <is>
          <t>shock</t>
        </is>
      </c>
      <c r="B217" t="inlineStr">
        <is>
          <t>othereconomicshock</t>
        </is>
      </c>
      <c r="C217" t="inlineStr">
        <is>
          <t xml:space="preserve">Other economic shock </t>
        </is>
      </c>
      <c r="D217" s="4" t="n"/>
    </row>
    <row r="218">
      <c r="A218" t="inlineStr">
        <is>
          <t>shock</t>
        </is>
      </c>
      <c r="B218" t="inlineStr">
        <is>
          <t>pestoutbreak</t>
        </is>
      </c>
      <c r="C218" t="inlineStr">
        <is>
          <t>Pest outbreak</t>
        </is>
      </c>
      <c r="D218" s="4" t="n"/>
    </row>
    <row r="219">
      <c r="A219" t="inlineStr">
        <is>
          <t>shock</t>
        </is>
      </c>
      <c r="B219" t="inlineStr">
        <is>
          <t>plantdisease</t>
        </is>
      </c>
      <c r="C219" t="inlineStr">
        <is>
          <t>Plant disease</t>
        </is>
      </c>
      <c r="D219" s="4" t="n"/>
    </row>
    <row r="220">
      <c r="A220" t="inlineStr">
        <is>
          <t>shock</t>
        </is>
      </c>
      <c r="B220" t="inlineStr">
        <is>
          <t>animaldisease</t>
        </is>
      </c>
      <c r="C220" t="inlineStr">
        <is>
          <t>Animal disease [affecting many animals] or death</t>
        </is>
      </c>
      <c r="D220" s="4" t="n"/>
    </row>
    <row r="221">
      <c r="A221" t="inlineStr">
        <is>
          <t>shock</t>
        </is>
      </c>
      <c r="B221" t="inlineStr">
        <is>
          <t>napasture</t>
        </is>
      </c>
      <c r="C221" t="inlineStr">
        <is>
          <t>Lack of physical access to pasture</t>
        </is>
      </c>
      <c r="D221" s="4" t="n"/>
    </row>
    <row r="222">
      <c r="A222" t="inlineStr">
        <is>
          <t>shock</t>
        </is>
      </c>
      <c r="B222" t="inlineStr">
        <is>
          <t>othercropandlivests</t>
        </is>
      </c>
      <c r="C222" t="inlineStr">
        <is>
          <t>Other crop and livestock shock</t>
        </is>
      </c>
      <c r="D222" s="4" t="n"/>
    </row>
    <row r="223">
      <c r="A223" t="inlineStr">
        <is>
          <t>shock</t>
        </is>
      </c>
      <c r="B223" t="inlineStr">
        <is>
          <t>coldtemporhail</t>
        </is>
      </c>
      <c r="C223" t="inlineStr">
        <is>
          <t>Cold temperatures or hail</t>
        </is>
      </c>
      <c r="D223" s="4" t="n"/>
    </row>
    <row r="224">
      <c r="A224" t="inlineStr">
        <is>
          <t>shock</t>
        </is>
      </c>
      <c r="B224" t="inlineStr">
        <is>
          <t>flood</t>
        </is>
      </c>
      <c r="C224" t="inlineStr">
        <is>
          <t>Flood / riverbank erosion</t>
        </is>
      </c>
      <c r="D224" s="4" t="n"/>
    </row>
    <row r="225">
      <c r="A225" t="inlineStr">
        <is>
          <t>shock</t>
        </is>
      </c>
      <c r="B225" t="inlineStr">
        <is>
          <t>hurricane</t>
        </is>
      </c>
      <c r="C225" t="inlineStr">
        <is>
          <t>Hurricane / cyclone / tornado</t>
        </is>
      </c>
      <c r="D225" s="4" t="n"/>
    </row>
    <row r="226">
      <c r="A226" t="inlineStr">
        <is>
          <t>shock</t>
        </is>
      </c>
      <c r="B226" t="inlineStr">
        <is>
          <t>drought</t>
        </is>
      </c>
      <c r="C226" t="inlineStr">
        <is>
          <t>Drought / heat stress</t>
        </is>
      </c>
      <c r="D226" s="4" t="n"/>
    </row>
    <row r="227">
      <c r="A227" t="inlineStr">
        <is>
          <t>shock</t>
        </is>
      </c>
      <c r="B227" t="inlineStr">
        <is>
          <t>earthquake</t>
        </is>
      </c>
      <c r="C227" t="inlineStr">
        <is>
          <t>Earthquake</t>
        </is>
      </c>
      <c r="D227" s="4" t="n"/>
    </row>
    <row r="228">
      <c r="A228" t="inlineStr">
        <is>
          <t>shock</t>
        </is>
      </c>
      <c r="B228" t="inlineStr">
        <is>
          <t>landslides</t>
        </is>
      </c>
      <c r="C228" t="inlineStr">
        <is>
          <t>Landslides</t>
        </is>
      </c>
      <c r="D228" s="4" t="n"/>
    </row>
    <row r="229">
      <c r="A229" t="inlineStr">
        <is>
          <t>shock</t>
        </is>
      </c>
      <c r="B229" t="inlineStr">
        <is>
          <t>firenatural</t>
        </is>
      </c>
      <c r="C229" t="inlineStr">
        <is>
          <t>Fire from natural disaster</t>
        </is>
      </c>
      <c r="D229" s="4" t="n"/>
    </row>
    <row r="230">
      <c r="A230" t="inlineStr">
        <is>
          <t>shock</t>
        </is>
      </c>
      <c r="B230" t="inlineStr">
        <is>
          <t>othernathazard</t>
        </is>
      </c>
      <c r="C230" t="inlineStr">
        <is>
          <t>Other natural hazard</t>
        </is>
      </c>
      <c r="D230" s="4" t="n"/>
    </row>
    <row r="231">
      <c r="A231" t="inlineStr">
        <is>
          <t>shock</t>
        </is>
      </c>
      <c r="B231" t="inlineStr">
        <is>
          <t>violenceinsecconf</t>
        </is>
      </c>
      <c r="C231" t="inlineStr">
        <is>
          <t>Violence and insecurity / conflict</t>
        </is>
      </c>
      <c r="D231" s="4" t="n"/>
    </row>
    <row r="232">
      <c r="A232" t="inlineStr">
        <is>
          <t>shock</t>
        </is>
      </c>
      <c r="B232" t="inlineStr">
        <is>
          <t>theftofprodassets</t>
        </is>
      </c>
      <c r="C232" t="inlineStr">
        <is>
          <t>Theft of production assets [land / livestock / tools / etc]</t>
        </is>
      </c>
      <c r="D232" s="4" t="n"/>
    </row>
    <row r="233">
      <c r="A233" t="inlineStr">
        <is>
          <t>shock</t>
        </is>
      </c>
      <c r="B233" t="inlineStr">
        <is>
          <t>firemanmade</t>
        </is>
      </c>
      <c r="C233" t="inlineStr">
        <is>
          <t>Fire from man-made disaster</t>
        </is>
      </c>
      <c r="D233" s="4" t="n"/>
    </row>
    <row r="234">
      <c r="A234" t="inlineStr">
        <is>
          <t>shock</t>
        </is>
      </c>
      <c r="B234" t="inlineStr">
        <is>
          <t>othermanmadehazard</t>
        </is>
      </c>
      <c r="C234" t="inlineStr">
        <is>
          <t>Other human-induced hazard</t>
        </is>
      </c>
      <c r="D234" s="4" t="n"/>
    </row>
    <row r="235">
      <c r="A235" t="inlineStr">
        <is>
          <t>shock</t>
        </is>
      </c>
      <c r="B235" t="inlineStr">
        <is>
          <t>dk</t>
        </is>
      </c>
      <c r="C235" t="inlineStr">
        <is>
          <t>DON'T KNOW</t>
        </is>
      </c>
      <c r="D235" s="4" t="n"/>
    </row>
    <row r="236">
      <c r="A236" t="inlineStr">
        <is>
          <t>shock</t>
        </is>
      </c>
      <c r="B236" t="inlineStr">
        <is>
          <t>ref</t>
        </is>
      </c>
      <c r="C236" t="inlineStr">
        <is>
          <t>REFUSED</t>
        </is>
      </c>
      <c r="D236" s="4" t="n"/>
    </row>
    <row r="237">
      <c r="D237" s="4" t="n"/>
    </row>
    <row r="238">
      <c r="A238" t="inlineStr">
        <is>
          <t>covidmeasures</t>
        </is>
      </c>
      <c r="B238" t="inlineStr">
        <is>
          <t>goodstransp</t>
        </is>
      </c>
      <c r="C238" t="inlineStr">
        <is>
          <t>Movement restrictions [sometimes producing product scarcity or price hikes]</t>
        </is>
      </c>
      <c r="D238" s="4" t="n"/>
    </row>
    <row r="239">
      <c r="A239" t="inlineStr">
        <is>
          <t>covidmeasures</t>
        </is>
      </c>
      <c r="B239" t="inlineStr">
        <is>
          <t>marketclosed</t>
        </is>
      </c>
      <c r="C239" t="inlineStr">
        <is>
          <t>Closure of food markets or other businesses</t>
        </is>
      </c>
      <c r="D239" s="4" t="n"/>
    </row>
    <row r="240">
      <c r="A240" t="inlineStr">
        <is>
          <t>covidmeasures</t>
        </is>
      </c>
      <c r="B240" t="inlineStr">
        <is>
          <t>borderclosed</t>
        </is>
      </c>
      <c r="C240" t="inlineStr">
        <is>
          <t>Closure of international borders [affecting the purchase of imported inputs or the sale of goods for export or transhumance]</t>
        </is>
      </c>
      <c r="D240" s="4" t="n"/>
    </row>
    <row r="241">
      <c r="A241" t="inlineStr">
        <is>
          <t>covidmeasures</t>
        </is>
      </c>
      <c r="B241" t="inlineStr">
        <is>
          <t>stayhome</t>
        </is>
      </c>
      <c r="C241" t="inlineStr">
        <is>
          <t>Stay at home order</t>
        </is>
      </c>
      <c r="D241" s="4" t="n"/>
    </row>
    <row r="242">
      <c r="A242" t="inlineStr">
        <is>
          <t>covidmeasures</t>
        </is>
      </c>
      <c r="B242" t="inlineStr">
        <is>
          <t>gatherings</t>
        </is>
      </c>
      <c r="C242" t="inlineStr">
        <is>
          <t>Ban on gatherings</t>
        </is>
      </c>
      <c r="D242" s="4" t="n"/>
    </row>
    <row r="243">
      <c r="A243" t="inlineStr">
        <is>
          <t>covidmeasures</t>
        </is>
      </c>
      <c r="B243" t="inlineStr">
        <is>
          <t>processclosed</t>
        </is>
      </c>
      <c r="C243" t="inlineStr">
        <is>
          <t>Closure of food processors [slaughterhouse / dairy cooperatives / etc] or restaurants</t>
        </is>
      </c>
      <c r="D243" s="4" t="n"/>
    </row>
    <row r="244">
      <c r="A244" t="inlineStr">
        <is>
          <t>covidmeasures</t>
        </is>
      </c>
      <c r="B244" t="inlineStr">
        <is>
          <t>curfew</t>
        </is>
      </c>
      <c r="C244" t="inlineStr">
        <is>
          <t>Curfews</t>
        </is>
      </c>
      <c r="D244" s="4" t="n"/>
    </row>
    <row r="245">
      <c r="A245" t="inlineStr">
        <is>
          <t>covidmeasures</t>
        </is>
      </c>
      <c r="B245" t="inlineStr">
        <is>
          <t>school</t>
        </is>
      </c>
      <c r="C245" t="inlineStr">
        <is>
          <t>Closure of schools</t>
        </is>
      </c>
      <c r="D245" s="4" t="n"/>
    </row>
    <row r="246">
      <c r="A246" t="inlineStr">
        <is>
          <t>covidmeasures</t>
        </is>
      </c>
      <c r="B246" t="inlineStr">
        <is>
          <t>other</t>
        </is>
      </c>
      <c r="C246" t="inlineStr">
        <is>
          <t>Other [specify]</t>
        </is>
      </c>
      <c r="D246" s="4" t="n"/>
    </row>
    <row r="247">
      <c r="A247" t="inlineStr">
        <is>
          <t>covidmeasures</t>
        </is>
      </c>
      <c r="B247" t="inlineStr">
        <is>
          <t>none</t>
        </is>
      </c>
      <c r="C247" t="inlineStr">
        <is>
          <t>Not affected by restrictions</t>
        </is>
      </c>
      <c r="D247" s="4" t="n"/>
    </row>
    <row r="248">
      <c r="A248" t="inlineStr">
        <is>
          <t>covidmeasures</t>
        </is>
      </c>
      <c r="B248" t="inlineStr">
        <is>
          <t>dk</t>
        </is>
      </c>
      <c r="C248" t="inlineStr">
        <is>
          <t>DON'T KNOW</t>
        </is>
      </c>
      <c r="D248" s="4" t="n"/>
    </row>
    <row r="249">
      <c r="A249" t="inlineStr">
        <is>
          <t>covidmeasures</t>
        </is>
      </c>
      <c r="B249" t="inlineStr">
        <is>
          <t>ref</t>
        </is>
      </c>
      <c r="C249" t="inlineStr">
        <is>
          <t>REFUSED</t>
        </is>
      </c>
      <c r="D249" s="4" t="n"/>
    </row>
    <row r="250">
      <c r="D250" s="4" t="n"/>
    </row>
    <row r="251" customFormat="1" s="13">
      <c r="A251" s="224" t="inlineStr">
        <is>
          <t>landsize_unit</t>
        </is>
      </c>
      <c r="B251" s="224" t="n">
        <v>1</v>
      </c>
      <c r="C251" s="224" t="inlineStr">
        <is>
          <t>Acres</t>
        </is>
      </c>
      <c r="D251" s="15" t="n"/>
    </row>
    <row r="252" customFormat="1" s="13">
      <c r="A252" s="224" t="inlineStr">
        <is>
          <t>landsize_unit</t>
        </is>
      </c>
      <c r="B252" s="224" t="n">
        <v>2</v>
      </c>
      <c r="C252" s="224" t="inlineStr">
        <is>
          <t>Hectares</t>
        </is>
      </c>
      <c r="D252" s="15" t="n"/>
    </row>
    <row r="253" customFormat="1" s="13">
      <c r="A253" s="224" t="inlineStr">
        <is>
          <t>landsize_unit</t>
        </is>
      </c>
      <c r="B253" s="224" t="n">
        <v>3</v>
      </c>
      <c r="C253" s="224" t="inlineStr">
        <is>
          <t>Square meters</t>
        </is>
      </c>
      <c r="D253" s="15" t="n"/>
    </row>
    <row r="254" customFormat="1" s="13">
      <c r="A254" s="224" t="inlineStr">
        <is>
          <t>landsize_unit</t>
        </is>
      </c>
      <c r="B254" s="224" t="n">
        <v>4</v>
      </c>
      <c r="C254" s="224" t="inlineStr">
        <is>
          <t>Square feet</t>
        </is>
      </c>
      <c r="D254" s="15" t="n"/>
    </row>
    <row r="255" customFormat="1" s="13">
      <c r="A255" s="224" t="inlineStr">
        <is>
          <t>landsize_unit</t>
        </is>
      </c>
      <c r="B255" s="224" t="n">
        <v>5</v>
      </c>
      <c r="C255" s="226" t="inlineStr">
        <is>
          <t>#local measurement units#</t>
        </is>
      </c>
      <c r="D255" s="15" t="n"/>
    </row>
    <row r="256" customFormat="1" s="13">
      <c r="D256" s="15" t="n"/>
    </row>
    <row r="257" customFormat="1" s="14">
      <c r="A257" s="224" t="inlineStr">
        <is>
          <t>cropcheck</t>
        </is>
      </c>
      <c r="B257" s="224" t="n">
        <v>1</v>
      </c>
      <c r="C257" s="224" t="inlineStr">
        <is>
          <t xml:space="preserve">Don’t usually produce during this season </t>
        </is>
      </c>
      <c r="D257" s="5" t="n"/>
    </row>
    <row r="258" customFormat="1" s="14">
      <c r="A258" s="224" t="inlineStr">
        <is>
          <t>cropcheck</t>
        </is>
      </c>
      <c r="B258" s="224" t="n">
        <v>2</v>
      </c>
      <c r="C258" s="224" t="inlineStr">
        <is>
          <t>Wasn't able to produce (e.g. due to difficulties)</t>
        </is>
      </c>
      <c r="D258" s="5" t="n"/>
    </row>
    <row r="259" customFormat="1" s="13">
      <c r="D259" s="15" t="n"/>
    </row>
    <row r="260" customFormat="1" s="13">
      <c r="A260" s="224" t="inlineStr">
        <is>
          <t>irrigation</t>
        </is>
      </c>
      <c r="B260" s="224" t="n">
        <v>1</v>
      </c>
      <c r="C260" s="224" t="inlineStr">
        <is>
          <t>Rainfed</t>
        </is>
      </c>
      <c r="D260" s="15" t="n"/>
    </row>
    <row r="261" customFormat="1" s="13">
      <c r="A261" s="224" t="inlineStr">
        <is>
          <t>irrigation</t>
        </is>
      </c>
      <c r="B261" s="224" t="n">
        <v>2</v>
      </c>
      <c r="C261" s="224" t="inlineStr">
        <is>
          <t>Groundwater</t>
        </is>
      </c>
      <c r="D261" s="15" t="n"/>
    </row>
    <row r="262" customFormat="1" s="13">
      <c r="A262" s="224" t="inlineStr">
        <is>
          <t>irrigation</t>
        </is>
      </c>
      <c r="B262" s="224" t="n">
        <v>3</v>
      </c>
      <c r="C262" s="224" t="inlineStr">
        <is>
          <t>Natural surface water [river, lake, stream, pond, etc.]</t>
        </is>
      </c>
      <c r="D262" s="15" t="n"/>
    </row>
    <row r="263" customFormat="1" s="13">
      <c r="A263" s="224" t="inlineStr">
        <is>
          <t>irrigation</t>
        </is>
      </c>
      <c r="B263" s="224" t="n">
        <v>4</v>
      </c>
      <c r="C263" s="224" t="inlineStr">
        <is>
          <t>Constructed water point [canal, dam, etc.]</t>
        </is>
      </c>
      <c r="D263" s="15" t="n"/>
    </row>
    <row r="264" customFormat="1" s="13">
      <c r="A264" s="224" t="inlineStr">
        <is>
          <t>irrigation</t>
        </is>
      </c>
      <c r="B264" s="224" t="n">
        <v>5</v>
      </c>
      <c r="C264" s="224" t="inlineStr">
        <is>
          <t>Public water supply system [e.g. tap water]</t>
        </is>
      </c>
      <c r="D264" s="15" t="n"/>
    </row>
    <row r="265" customFormat="1" s="13">
      <c r="A265" s="224" t="inlineStr">
        <is>
          <t>irrigation</t>
        </is>
      </c>
      <c r="B265" s="224" t="n">
        <v>6</v>
      </c>
      <c r="C265" s="224" t="inlineStr">
        <is>
          <t>Other [specify]</t>
        </is>
      </c>
      <c r="D265" s="15" t="n"/>
    </row>
    <row r="266" customFormat="1" s="13">
      <c r="A266" s="224" t="inlineStr">
        <is>
          <t>irrigation</t>
        </is>
      </c>
      <c r="B266" s="224" t="n">
        <v>7</v>
      </c>
      <c r="C266" s="224" t="inlineStr">
        <is>
          <t>DON'T KNOW</t>
        </is>
      </c>
      <c r="D266" s="15" t="n"/>
    </row>
    <row r="267" customFormat="1" s="13">
      <c r="A267" s="224" t="inlineStr">
        <is>
          <t>irrigation</t>
        </is>
      </c>
      <c r="B267" s="224" t="n">
        <v>8</v>
      </c>
      <c r="C267" s="224" t="inlineStr">
        <is>
          <t>REFUSED</t>
        </is>
      </c>
      <c r="D267" s="15" t="n"/>
    </row>
    <row r="268">
      <c r="D268" s="4" t="n"/>
    </row>
    <row r="269" customFormat="1" s="13">
      <c r="A269" s="225" t="inlineStr">
        <is>
          <t>irrigpump</t>
        </is>
      </c>
      <c r="B269" s="225" t="n">
        <v>1</v>
      </c>
      <c r="C269" s="225" t="inlineStr">
        <is>
          <t>No, everything works on gravity</t>
        </is>
      </c>
      <c r="D269" s="15" t="n"/>
    </row>
    <row r="270" customFormat="1" s="13">
      <c r="A270" s="225" t="inlineStr">
        <is>
          <t>irrigpump</t>
        </is>
      </c>
      <c r="B270" s="225" t="n">
        <v>2</v>
      </c>
      <c r="C270" s="225" t="inlineStr">
        <is>
          <t>Yes, there is a communal diesel/gas pump</t>
        </is>
      </c>
      <c r="D270" s="15" t="n"/>
    </row>
    <row r="271" customFormat="1" s="13">
      <c r="A271" s="225" t="inlineStr">
        <is>
          <t>irrigpump</t>
        </is>
      </c>
      <c r="B271" s="225" t="n">
        <v>3</v>
      </c>
      <c r="C271" s="225" t="inlineStr">
        <is>
          <t>Yes, there is a communal manual pump</t>
        </is>
      </c>
      <c r="D271" s="15" t="n"/>
    </row>
    <row r="272" customFormat="1" s="13">
      <c r="A272" s="225" t="inlineStr">
        <is>
          <t>irrigpump</t>
        </is>
      </c>
      <c r="B272" s="225" t="n">
        <v>4</v>
      </c>
      <c r="C272" s="225" t="inlineStr">
        <is>
          <t>Yes, there is a manual pump in my field</t>
        </is>
      </c>
      <c r="D272" s="15" t="n"/>
    </row>
    <row r="273" customFormat="1" s="13">
      <c r="A273" s="225" t="inlineStr">
        <is>
          <t>irrigpump</t>
        </is>
      </c>
      <c r="B273" s="225" t="n">
        <v>5</v>
      </c>
      <c r="C273" s="225" t="inlineStr">
        <is>
          <t>Yes, there is a diesel pump in my field</t>
        </is>
      </c>
      <c r="D273" s="15" t="n"/>
    </row>
    <row r="274" customFormat="1" s="13">
      <c r="A274" s="225" t="inlineStr">
        <is>
          <t>irrigpump</t>
        </is>
      </c>
      <c r="B274" s="225" t="n">
        <v>6</v>
      </c>
      <c r="C274" s="225" t="inlineStr">
        <is>
          <t>DON'T KNOW</t>
        </is>
      </c>
      <c r="D274" s="15" t="n"/>
    </row>
    <row r="275" customFormat="1" s="13">
      <c r="A275" s="225" t="inlineStr">
        <is>
          <t>irrigpump</t>
        </is>
      </c>
      <c r="B275" s="225" t="n">
        <v>7</v>
      </c>
      <c r="C275" s="225" t="inlineStr">
        <is>
          <t>REFUSED</t>
        </is>
      </c>
      <c r="D275" s="15" t="n"/>
    </row>
    <row r="276">
      <c r="D276" s="4" t="n"/>
    </row>
    <row r="277" customFormat="1" s="13">
      <c r="A277" s="225" t="inlineStr">
        <is>
          <t>seedsupply</t>
        </is>
      </c>
      <c r="B277" s="225" t="inlineStr">
        <is>
          <t>ownprod</t>
        </is>
      </c>
      <c r="C277" s="225" t="inlineStr">
        <is>
          <t>Own production</t>
        </is>
      </c>
      <c r="D277" s="15" t="n"/>
    </row>
    <row r="278" customFormat="1" s="13">
      <c r="A278" s="225" t="inlineStr">
        <is>
          <t>seedsupply</t>
        </is>
      </c>
      <c r="B278" s="225" t="inlineStr">
        <is>
          <t>market</t>
        </is>
      </c>
      <c r="C278" s="225" t="inlineStr">
        <is>
          <t>Local market or agro-input shop / dealer</t>
        </is>
      </c>
      <c r="D278" s="15" t="n"/>
    </row>
    <row r="279" customFormat="1" s="13">
      <c r="A279" s="225" t="inlineStr">
        <is>
          <t>seedsupply</t>
        </is>
      </c>
      <c r="B279" s="225" t="inlineStr">
        <is>
          <t>company</t>
        </is>
      </c>
      <c r="C279" s="225" t="inlineStr">
        <is>
          <t>Private seed company</t>
        </is>
      </c>
      <c r="D279" s="15" t="n"/>
    </row>
    <row r="280" customFormat="1" s="13">
      <c r="A280" s="225" t="inlineStr">
        <is>
          <t>seedsupply</t>
        </is>
      </c>
      <c r="B280" s="225" t="inlineStr">
        <is>
          <t>ngo</t>
        </is>
      </c>
      <c r="C280" s="225" t="inlineStr">
        <is>
          <t>NGOs</t>
        </is>
      </c>
      <c r="D280" s="15" t="n"/>
    </row>
    <row r="281" customFormat="1" s="13">
      <c r="A281" s="225" t="inlineStr">
        <is>
          <t>seedsupply</t>
        </is>
      </c>
      <c r="B281" s="225" t="inlineStr">
        <is>
          <t>organized_community</t>
        </is>
      </c>
      <c r="C281" s="225" t="inlineStr">
        <is>
          <t>Community seed banks / farmer networks / farmers' association / etc.</t>
        </is>
      </c>
      <c r="D281" s="15" t="n"/>
    </row>
    <row r="282" customFormat="1" s="13">
      <c r="A282" s="225" t="inlineStr">
        <is>
          <t>seedsupply</t>
        </is>
      </c>
      <c r="B282" s="225" t="inlineStr">
        <is>
          <t>gov</t>
        </is>
      </c>
      <c r="C282" s="225" t="inlineStr">
        <is>
          <t>Government [e.g. MoA]</t>
        </is>
      </c>
      <c r="D282" s="15" t="n"/>
    </row>
    <row r="283" customFormat="1" s="13">
      <c r="A283" s="225" t="inlineStr">
        <is>
          <t>seedsupply</t>
        </is>
      </c>
      <c r="B283" s="225" t="inlineStr">
        <is>
          <t>relatives_friends</t>
        </is>
      </c>
      <c r="C283" s="225" t="inlineStr">
        <is>
          <t>Relatives or friends</t>
        </is>
      </c>
      <c r="D283" s="15" t="n"/>
    </row>
    <row r="284" customFormat="1" s="13">
      <c r="A284" s="225" t="inlineStr">
        <is>
          <t>seedsupply</t>
        </is>
      </c>
      <c r="B284" s="225" t="inlineStr">
        <is>
          <t>other</t>
        </is>
      </c>
      <c r="C284" s="225" t="inlineStr">
        <is>
          <t>Other</t>
        </is>
      </c>
      <c r="D284" s="15" t="n"/>
    </row>
    <row r="285" customFormat="1" s="13">
      <c r="A285" s="225" t="inlineStr">
        <is>
          <t>seedsupply</t>
        </is>
      </c>
      <c r="B285" s="225" t="inlineStr">
        <is>
          <t>dk</t>
        </is>
      </c>
      <c r="C285" s="225" t="inlineStr">
        <is>
          <t>DON'T KNOW</t>
        </is>
      </c>
      <c r="D285" s="15" t="n"/>
    </row>
    <row r="286" customFormat="1" s="13">
      <c r="A286" s="225" t="inlineStr">
        <is>
          <t>seedsupply</t>
        </is>
      </c>
      <c r="B286" s="225" t="inlineStr">
        <is>
          <t>ref</t>
        </is>
      </c>
      <c r="C286" s="225" t="inlineStr">
        <is>
          <t>REFUSED</t>
        </is>
      </c>
      <c r="D286" s="15" t="n"/>
    </row>
    <row r="287">
      <c r="D287" s="4" t="n"/>
    </row>
    <row r="288">
      <c r="A288" s="225" t="inlineStr">
        <is>
          <t>harv_unit</t>
        </is>
      </c>
      <c r="B288" s="225" t="n">
        <v>1</v>
      </c>
      <c r="C288" s="225" t="inlineStr">
        <is>
          <t>Kilograms [kgs]</t>
        </is>
      </c>
      <c r="D288" s="4" t="n"/>
    </row>
    <row r="289">
      <c r="A289" s="225" t="inlineStr">
        <is>
          <t>harv_unit</t>
        </is>
      </c>
      <c r="B289" s="225" t="n">
        <v>2</v>
      </c>
      <c r="C289" s="225" t="inlineStr">
        <is>
          <t>Tonnes</t>
        </is>
      </c>
      <c r="D289" s="4" t="n"/>
    </row>
    <row r="290">
      <c r="A290" s="225" t="inlineStr">
        <is>
          <t>harv_unit</t>
        </is>
      </c>
      <c r="B290" s="225" t="n">
        <v>3</v>
      </c>
      <c r="C290" s="225" t="inlineStr">
        <is>
          <t>Ounces</t>
        </is>
      </c>
      <c r="D290" s="4" t="n"/>
    </row>
    <row r="291">
      <c r="A291" s="225" t="inlineStr">
        <is>
          <t>harv_unit</t>
        </is>
      </c>
      <c r="B291" s="225" t="n">
        <v>4</v>
      </c>
      <c r="C291" s="225" t="inlineStr">
        <is>
          <t>Pounds</t>
        </is>
      </c>
      <c r="D291" s="4" t="n"/>
    </row>
    <row r="292">
      <c r="A292" s="225" t="inlineStr">
        <is>
          <t>harv_unit</t>
        </is>
      </c>
      <c r="B292" s="225" t="n">
        <v>5</v>
      </c>
      <c r="C292" s="225" t="inlineStr">
        <is>
          <t>Bags</t>
        </is>
      </c>
      <c r="D292" s="4" t="n"/>
    </row>
    <row r="293">
      <c r="A293" s="225" t="inlineStr">
        <is>
          <t>harv_unit</t>
        </is>
      </c>
      <c r="B293" s="225" t="n">
        <v>6</v>
      </c>
      <c r="C293" s="225" t="inlineStr">
        <is>
          <t>Boxes</t>
        </is>
      </c>
      <c r="D293" s="4" t="n"/>
    </row>
    <row r="294">
      <c r="A294" s="225" t="inlineStr">
        <is>
          <t>harv_unit</t>
        </is>
      </c>
      <c r="B294" s="225" t="n">
        <v>7</v>
      </c>
      <c r="C294" s="225" t="inlineStr">
        <is>
          <t>Bundles</t>
        </is>
      </c>
      <c r="D294" s="4" t="n"/>
    </row>
    <row r="295">
      <c r="A295" s="225" t="inlineStr">
        <is>
          <t>harv_unit</t>
        </is>
      </c>
      <c r="B295" s="225" t="n">
        <v>8</v>
      </c>
      <c r="C295" s="225" t="inlineStr">
        <is>
          <t>Packets</t>
        </is>
      </c>
      <c r="D295" s="4" t="n"/>
    </row>
    <row r="296">
      <c r="A296" s="225" t="inlineStr">
        <is>
          <t>harv_unit</t>
        </is>
      </c>
      <c r="B296" s="225" t="n">
        <v>9</v>
      </c>
      <c r="C296" s="225" t="inlineStr">
        <is>
          <t>Other [specify]</t>
        </is>
      </c>
      <c r="D296" s="4" t="n"/>
    </row>
    <row r="297">
      <c r="D297" s="4" t="n"/>
    </row>
    <row r="298">
      <c r="A298" s="224" t="inlineStr">
        <is>
          <t>cropproddiff</t>
        </is>
      </c>
      <c r="B298" s="224" t="inlineStr">
        <is>
          <t>plant_disease</t>
        </is>
      </c>
      <c r="C298" s="224" t="inlineStr">
        <is>
          <t xml:space="preserve">Plant disease </t>
        </is>
      </c>
      <c r="D298" s="4" t="n"/>
    </row>
    <row r="299">
      <c r="A299" s="224" t="inlineStr">
        <is>
          <t>cropproddiff</t>
        </is>
      </c>
      <c r="B299" s="224" t="inlineStr">
        <is>
          <t>pest_outbreak</t>
        </is>
      </c>
      <c r="C299" s="224" t="inlineStr">
        <is>
          <t>Pest outbreak [including birds]</t>
        </is>
      </c>
      <c r="D299" s="4" t="n"/>
    </row>
    <row r="300">
      <c r="A300" s="224" t="inlineStr">
        <is>
          <t>cropproddiff</t>
        </is>
      </c>
      <c r="B300" s="224" t="inlineStr">
        <is>
          <t>animal_grazing</t>
        </is>
      </c>
      <c r="C300" s="224" t="inlineStr">
        <is>
          <t>Uncontrolled animal grazing</t>
        </is>
      </c>
      <c r="D300" s="4" t="n"/>
    </row>
    <row r="301">
      <c r="A301" s="224" t="inlineStr">
        <is>
          <t>cropproddiff</t>
        </is>
      </c>
      <c r="B301" s="224" t="inlineStr">
        <is>
          <t>access_plot</t>
        </is>
      </c>
      <c r="C301" s="224" t="inlineStr">
        <is>
          <t>Access to plot</t>
        </is>
      </c>
      <c r="D301" s="4" t="n"/>
    </row>
    <row r="302">
      <c r="A302" s="224" t="inlineStr">
        <is>
          <t>cropproddiff</t>
        </is>
      </c>
      <c r="B302" s="224" t="inlineStr">
        <is>
          <t>access_fertilize</t>
        </is>
      </c>
      <c r="C302" s="224" t="inlineStr">
        <is>
          <t>Access to fertilizer [not available on markets or prices too high]</t>
        </is>
      </c>
      <c r="D302" s="4" t="n"/>
    </row>
    <row r="303">
      <c r="A303" s="224" t="inlineStr">
        <is>
          <t>cropproddiff</t>
        </is>
      </c>
      <c r="B303" s="224" t="inlineStr">
        <is>
          <t>seed_quality</t>
        </is>
      </c>
      <c r="C303" s="224" t="inlineStr">
        <is>
          <t>Access to quality seeds</t>
        </is>
      </c>
      <c r="D303" s="4" t="n"/>
    </row>
    <row r="304">
      <c r="A304" s="224" t="inlineStr">
        <is>
          <t>cropproddiff</t>
        </is>
      </c>
      <c r="B304" s="224" t="inlineStr">
        <is>
          <t>seed_quantity</t>
        </is>
      </c>
      <c r="C304" s="224" t="inlineStr">
        <is>
          <t>Access to enough seeds [not available on markets or prices too high]</t>
        </is>
      </c>
      <c r="D304" s="4" t="n"/>
    </row>
    <row r="305">
      <c r="A305" s="224" t="inlineStr">
        <is>
          <t>cropproddiff</t>
        </is>
      </c>
      <c r="B305" s="224" t="inlineStr">
        <is>
          <t>access_pesticide</t>
        </is>
      </c>
      <c r="C305" s="224" t="inlineStr">
        <is>
          <t>Access to pesticides</t>
        </is>
      </c>
      <c r="D305" s="4" t="n"/>
    </row>
    <row r="306">
      <c r="A306" s="224" t="inlineStr">
        <is>
          <t>cropproddiff</t>
        </is>
      </c>
      <c r="B306" s="224" t="inlineStr">
        <is>
          <t>access_labour</t>
        </is>
      </c>
      <c r="C306" s="224" t="inlineStr">
        <is>
          <t>Access to manpower labour</t>
        </is>
      </c>
      <c r="D306" s="4" t="n"/>
    </row>
    <row r="307">
      <c r="A307" s="224" t="inlineStr">
        <is>
          <t>cropproddiff</t>
        </is>
      </c>
      <c r="B307" s="224" t="inlineStr">
        <is>
          <t>access_machinery</t>
        </is>
      </c>
      <c r="C307" s="224" t="inlineStr">
        <is>
          <t>Access to machinery, tools or animals for ploughing</t>
        </is>
      </c>
      <c r="D307" s="4" t="n"/>
    </row>
    <row r="308">
      <c r="A308" s="224" t="inlineStr">
        <is>
          <t>cropproddiff</t>
        </is>
      </c>
      <c r="B308" s="224" t="inlineStr">
        <is>
          <t>access_fuel</t>
        </is>
      </c>
      <c r="C308" s="224" t="inlineStr">
        <is>
          <t>Access to fuel or electricity to power agricultural equipment</t>
        </is>
      </c>
      <c r="D308" s="4" t="n"/>
    </row>
    <row r="309">
      <c r="A309" s="224" t="inlineStr">
        <is>
          <t>cropproddiff</t>
        </is>
      </c>
      <c r="B309" s="224" t="inlineStr">
        <is>
          <t>soil_erosion</t>
        </is>
      </c>
      <c r="C309" s="224" t="inlineStr">
        <is>
          <t>Soil erosion</t>
        </is>
      </c>
      <c r="D309" s="4" t="n"/>
    </row>
    <row r="310">
      <c r="A310" s="224" t="inlineStr">
        <is>
          <t>cropproddiff</t>
        </is>
      </c>
      <c r="B310" s="224" t="inlineStr">
        <is>
          <t>lack_irrigation</t>
        </is>
      </c>
      <c r="C310" s="224" t="inlineStr">
        <is>
          <t xml:space="preserve">Not enough irrigation or rainfall water </t>
        </is>
      </c>
      <c r="D310" s="4" t="n"/>
    </row>
    <row r="311">
      <c r="A311" s="224" t="inlineStr">
        <is>
          <t>cropproddiff</t>
        </is>
      </c>
      <c r="B311" s="224" t="inlineStr">
        <is>
          <t>excess_water</t>
        </is>
      </c>
      <c r="C311" s="224" t="inlineStr">
        <is>
          <t>Too much irrigation or water</t>
        </is>
      </c>
      <c r="D311" s="4" t="n"/>
    </row>
    <row r="312">
      <c r="A312" s="224" t="inlineStr">
        <is>
          <t>cropproddiff</t>
        </is>
      </c>
      <c r="B312" s="224" t="inlineStr">
        <is>
          <t>access_credit</t>
        </is>
      </c>
      <c r="C312" s="224" t="inlineStr">
        <is>
          <t>Access to credit</t>
        </is>
      </c>
      <c r="D312" s="4" t="n"/>
    </row>
    <row r="313">
      <c r="A313" s="224" t="inlineStr">
        <is>
          <t>cropproddiff</t>
        </is>
      </c>
      <c r="B313" s="224" t="inlineStr">
        <is>
          <t>other</t>
        </is>
      </c>
      <c r="C313" s="224" t="inlineStr">
        <is>
          <t>Other</t>
        </is>
      </c>
      <c r="D313" s="4" t="n"/>
    </row>
    <row r="314">
      <c r="A314" s="224" t="inlineStr">
        <is>
          <t>cropproddiff</t>
        </is>
      </c>
      <c r="B314" s="224" t="inlineStr">
        <is>
          <t>dk</t>
        </is>
      </c>
      <c r="C314" s="224" t="inlineStr">
        <is>
          <t>DON'T KNOW</t>
        </is>
      </c>
      <c r="D314" s="4" t="n"/>
    </row>
    <row r="315">
      <c r="A315" s="224" t="inlineStr">
        <is>
          <t>cropproddiff</t>
        </is>
      </c>
      <c r="B315" s="224" t="inlineStr">
        <is>
          <t>ref</t>
        </is>
      </c>
      <c r="C315" s="224" t="inlineStr">
        <is>
          <t>REFUSED</t>
        </is>
      </c>
      <c r="D315" s="4" t="n"/>
    </row>
    <row r="316">
      <c r="D316" s="4" t="n"/>
    </row>
    <row r="317" customFormat="1" s="13">
      <c r="A317" s="225" t="inlineStr">
        <is>
          <t>storage</t>
        </is>
      </c>
      <c r="B317" s="225" t="n">
        <v>1</v>
      </c>
      <c r="C317" s="225" t="inlineStr">
        <is>
          <t>None</t>
        </is>
      </c>
      <c r="D317" s="15" t="n"/>
    </row>
    <row r="318" customFormat="1" s="13">
      <c r="A318" s="225" t="inlineStr">
        <is>
          <t>storage</t>
        </is>
      </c>
      <c r="B318" s="225" t="n">
        <v>2</v>
      </c>
      <c r="C318" s="225" t="inlineStr">
        <is>
          <t>A little</t>
        </is>
      </c>
      <c r="D318" s="15" t="n"/>
    </row>
    <row r="319" customFormat="1" s="13">
      <c r="A319" s="225" t="inlineStr">
        <is>
          <t>storage</t>
        </is>
      </c>
      <c r="B319" s="225" t="n">
        <v>3</v>
      </c>
      <c r="C319" s="225" t="inlineStr">
        <is>
          <t>An important part of it, but less than half</t>
        </is>
      </c>
      <c r="D319" s="15" t="n"/>
    </row>
    <row r="320" customFormat="1" s="13">
      <c r="A320" s="225" t="inlineStr">
        <is>
          <t>storage</t>
        </is>
      </c>
      <c r="B320" s="225" t="n">
        <v>4</v>
      </c>
      <c r="C320" s="225" t="inlineStr">
        <is>
          <t>Most of it [half or more]</t>
        </is>
      </c>
      <c r="D320" s="15" t="n"/>
    </row>
    <row r="321" customFormat="1" s="13">
      <c r="A321" s="225" t="inlineStr">
        <is>
          <t>storage</t>
        </is>
      </c>
      <c r="B321" s="225" t="n">
        <v>5</v>
      </c>
      <c r="C321" s="225" t="inlineStr">
        <is>
          <t>Almost everything</t>
        </is>
      </c>
      <c r="D321" s="15" t="n"/>
    </row>
    <row r="322" customFormat="1" s="13">
      <c r="A322" s="225" t="inlineStr">
        <is>
          <t>storage</t>
        </is>
      </c>
      <c r="B322" s="225" t="n">
        <v>6</v>
      </c>
      <c r="C322" s="225" t="inlineStr">
        <is>
          <t>Everything</t>
        </is>
      </c>
      <c r="D322" s="15" t="n"/>
    </row>
    <row r="323" customFormat="1" s="13">
      <c r="A323" s="225" t="inlineStr">
        <is>
          <t>storage</t>
        </is>
      </c>
      <c r="B323" s="225" t="n">
        <v>7</v>
      </c>
      <c r="C323" s="225" t="inlineStr">
        <is>
          <t>DON'T KNOW</t>
        </is>
      </c>
      <c r="D323" s="15" t="n"/>
    </row>
    <row r="324">
      <c r="A324" s="225" t="inlineStr">
        <is>
          <t>storage</t>
        </is>
      </c>
      <c r="B324" s="225" t="n">
        <v>8</v>
      </c>
      <c r="C324" s="225" t="inlineStr">
        <is>
          <t>REFUSED</t>
        </is>
      </c>
      <c r="D324" s="15" t="n"/>
      <c r="E324" s="13" t="n"/>
    </row>
    <row r="325">
      <c r="D325" s="4" t="n"/>
    </row>
    <row r="326">
      <c r="A326" t="inlineStr">
        <is>
          <t>cropsalesdiff</t>
        </is>
      </c>
      <c r="B326" t="inlineStr">
        <is>
          <t>marketing_cost</t>
        </is>
      </c>
      <c r="C326" t="inlineStr">
        <is>
          <t>High transportation or other marketing costs</t>
        </is>
      </c>
      <c r="D326" s="4" t="n"/>
    </row>
    <row r="327">
      <c r="A327" t="inlineStr">
        <is>
          <t>cropsalesdiff</t>
        </is>
      </c>
      <c r="B327" t="inlineStr">
        <is>
          <t>damage_losses</t>
        </is>
      </c>
      <c r="C327" t="inlineStr">
        <is>
          <t>Damages and losses due to storage difficulties and/or difficulty accessing the market [e.g. insecurity, poor infrastructure, etc.]</t>
        </is>
      </c>
      <c r="D327" s="4" t="n"/>
    </row>
    <row r="328">
      <c r="A328" t="inlineStr">
        <is>
          <t>cropsalesdiff</t>
        </is>
      </c>
      <c r="B328" t="inlineStr">
        <is>
          <t>low_demand</t>
        </is>
      </c>
      <c r="C328" t="inlineStr">
        <is>
          <t xml:space="preserve">Lack of demand from usual traders or buyers </t>
        </is>
      </c>
      <c r="D328" s="4" t="n"/>
    </row>
    <row r="329">
      <c r="A329" t="inlineStr">
        <is>
          <t>cropsalesdiff</t>
        </is>
      </c>
      <c r="B329" t="inlineStr">
        <is>
          <t>pay_delay</t>
        </is>
      </c>
      <c r="C329" t="inlineStr">
        <is>
          <t>Payment delays from traders / buyers</t>
        </is>
      </c>
      <c r="D329" s="4" t="n"/>
    </row>
    <row r="330">
      <c r="A330" t="inlineStr">
        <is>
          <t>cropsalesdiff</t>
        </is>
      </c>
      <c r="B330" t="inlineStr">
        <is>
          <t>low_price</t>
        </is>
      </c>
      <c r="C330" t="inlineStr">
        <is>
          <t>Low selling prices [e.g. compared to input prices / inflation]</t>
        </is>
      </c>
      <c r="D330" s="4" t="n"/>
    </row>
    <row r="331">
      <c r="A331" t="inlineStr">
        <is>
          <t>cropsalesdiff</t>
        </is>
      </c>
      <c r="B331" t="inlineStr">
        <is>
          <t>processing</t>
        </is>
      </c>
      <c r="C331" t="inlineStr">
        <is>
          <t>Difficulty processing product [lack of processing inputs / equipment / etc]</t>
        </is>
      </c>
      <c r="D331" s="4" t="n"/>
    </row>
    <row r="332">
      <c r="A332" t="inlineStr">
        <is>
          <t>cropsalesdiff</t>
        </is>
      </c>
      <c r="B332" t="inlineStr">
        <is>
          <t>competition</t>
        </is>
      </c>
      <c r="C332" t="inlineStr">
        <is>
          <t>Market flooded with products</t>
        </is>
      </c>
      <c r="D332" s="4" t="n"/>
    </row>
    <row r="333">
      <c r="A333" t="inlineStr">
        <is>
          <t>cropsalesdiff</t>
        </is>
      </c>
      <c r="B333" t="inlineStr">
        <is>
          <t>other</t>
        </is>
      </c>
      <c r="C333" t="inlineStr">
        <is>
          <t>Other</t>
        </is>
      </c>
      <c r="D333" s="4" t="n"/>
    </row>
    <row r="334">
      <c r="A334" t="inlineStr">
        <is>
          <t>cropsalesdiff</t>
        </is>
      </c>
      <c r="B334" t="inlineStr">
        <is>
          <t>dk</t>
        </is>
      </c>
      <c r="C334" t="inlineStr">
        <is>
          <t>DON'T KNOW</t>
        </is>
      </c>
      <c r="D334" s="4" t="n"/>
    </row>
    <row r="335">
      <c r="A335" t="inlineStr">
        <is>
          <t>cropsalesdiff</t>
        </is>
      </c>
      <c r="B335" t="inlineStr">
        <is>
          <t>ref</t>
        </is>
      </c>
      <c r="C335" t="inlineStr">
        <is>
          <t>REFUSED</t>
        </is>
      </c>
      <c r="D335" s="4" t="n"/>
    </row>
    <row r="336">
      <c r="D336" s="4" t="n"/>
    </row>
    <row r="337">
      <c r="A337" t="inlineStr">
        <is>
          <t>lsmain</t>
        </is>
      </c>
      <c r="B337" t="n">
        <v>1</v>
      </c>
      <c r="C337" t="inlineStr">
        <is>
          <t>Cattle [cow / beef / veal / yak / buffalo]</t>
        </is>
      </c>
      <c r="D337" s="4" t="n"/>
    </row>
    <row r="338">
      <c r="A338" t="inlineStr">
        <is>
          <t>lsmain</t>
        </is>
      </c>
      <c r="B338" t="n">
        <v>2</v>
      </c>
      <c r="C338" t="inlineStr">
        <is>
          <t>Goat</t>
        </is>
      </c>
      <c r="D338" s="4" t="n"/>
    </row>
    <row r="339">
      <c r="A339" t="inlineStr">
        <is>
          <t>lsmain</t>
        </is>
      </c>
      <c r="B339" t="n">
        <v>3</v>
      </c>
      <c r="C339" t="inlineStr">
        <is>
          <t>Sheep</t>
        </is>
      </c>
      <c r="D339" s="4" t="n"/>
    </row>
    <row r="340">
      <c r="A340" t="inlineStr">
        <is>
          <t>lsmain</t>
        </is>
      </c>
      <c r="B340" t="n">
        <v>4</v>
      </c>
      <c r="C340" t="inlineStr">
        <is>
          <t>Swine [swine / boar / hog / etc]</t>
        </is>
      </c>
      <c r="D340" s="4" t="n"/>
    </row>
    <row r="341">
      <c r="A341" t="inlineStr">
        <is>
          <t>lsmain</t>
        </is>
      </c>
      <c r="B341" t="n">
        <v>5</v>
      </c>
      <c r="C341" t="inlineStr">
        <is>
          <t>Equine [donkey / horse / etc]</t>
        </is>
      </c>
      <c r="D341" s="4" t="n"/>
    </row>
    <row r="342">
      <c r="A342" t="inlineStr">
        <is>
          <t>lsmain</t>
        </is>
      </c>
      <c r="B342" t="n">
        <v>6</v>
      </c>
      <c r="C342" t="inlineStr">
        <is>
          <t>Small domesticated mammals [rabbits / minks / guinea pigs / etc]</t>
        </is>
      </c>
      <c r="D342" s="4" t="n"/>
    </row>
    <row r="343">
      <c r="A343" t="inlineStr">
        <is>
          <t>lsmain</t>
        </is>
      </c>
      <c r="B343" t="n">
        <v>7</v>
      </c>
      <c r="C343" t="inlineStr">
        <is>
          <t>Poultry [chicken / guineafowl / duck / quail / turkey / etc]</t>
        </is>
      </c>
      <c r="D343" s="4" t="n"/>
    </row>
    <row r="344">
      <c r="A344" t="inlineStr">
        <is>
          <t>lsmain</t>
        </is>
      </c>
      <c r="B344" t="n">
        <v>8</v>
      </c>
      <c r="C344" t="inlineStr">
        <is>
          <t>Camelids</t>
        </is>
      </c>
      <c r="D344" s="4" t="n"/>
    </row>
    <row r="345">
      <c r="A345" t="inlineStr">
        <is>
          <t>lsmain</t>
        </is>
      </c>
      <c r="B345" t="n">
        <v>9</v>
      </c>
      <c r="C345" t="inlineStr">
        <is>
          <t>Other</t>
        </is>
      </c>
      <c r="D345" s="4" t="n"/>
    </row>
    <row r="346">
      <c r="A346" t="inlineStr">
        <is>
          <t>lsmain</t>
        </is>
      </c>
      <c r="B346" s="223" t="n">
        <v>10</v>
      </c>
      <c r="C346" t="inlineStr">
        <is>
          <t>DON'T KNOW</t>
        </is>
      </c>
      <c r="D346" s="4" t="n"/>
    </row>
    <row r="347">
      <c r="A347" t="inlineStr">
        <is>
          <t>lsmain</t>
        </is>
      </c>
      <c r="B347" s="223" t="n">
        <v>11</v>
      </c>
      <c r="C347" t="inlineStr">
        <is>
          <t>REFUSED</t>
        </is>
      </c>
      <c r="D347" s="4" t="n"/>
    </row>
    <row r="348">
      <c r="D348" s="4" t="n"/>
    </row>
    <row r="349">
      <c r="A349" t="inlineStr">
        <is>
          <t>lsnum</t>
        </is>
      </c>
      <c r="B349" t="inlineStr">
        <is>
          <t>no_change</t>
        </is>
      </c>
      <c r="C349" t="inlineStr">
        <is>
          <t>No significant change in livestock number</t>
        </is>
      </c>
      <c r="D349" s="4" t="n"/>
    </row>
    <row r="350">
      <c r="A350" t="inlineStr">
        <is>
          <t>lsnum</t>
        </is>
      </c>
      <c r="B350" t="inlineStr">
        <is>
          <t>inc_less_sales</t>
        </is>
      </c>
      <c r="C350" t="inlineStr">
        <is>
          <t>Did not sell as many</t>
        </is>
      </c>
      <c r="D350" s="4" t="n"/>
    </row>
    <row r="351">
      <c r="A351" t="inlineStr">
        <is>
          <t>lsnum</t>
        </is>
      </c>
      <c r="B351" t="inlineStr">
        <is>
          <t>inc_more_birth</t>
        </is>
      </c>
      <c r="C351" t="inlineStr">
        <is>
          <t>Many more were born</t>
        </is>
      </c>
      <c r="D351" s="4" t="n"/>
    </row>
    <row r="352">
      <c r="A352" t="inlineStr">
        <is>
          <t>lsnum</t>
        </is>
      </c>
      <c r="B352" t="inlineStr">
        <is>
          <t>inc_more_acquired</t>
        </is>
      </c>
      <c r="C352" t="inlineStr">
        <is>
          <t>Purchased or bartered more animals this year</t>
        </is>
      </c>
      <c r="D352" s="4" t="n"/>
    </row>
    <row r="353">
      <c r="A353" t="inlineStr">
        <is>
          <t>lsnum</t>
        </is>
      </c>
      <c r="B353" t="inlineStr">
        <is>
          <t>inc_received_free</t>
        </is>
      </c>
      <c r="C353" t="inlineStr">
        <is>
          <t>Received animals for free [restocking, gift]</t>
        </is>
      </c>
      <c r="D353" s="4" t="n"/>
    </row>
    <row r="354">
      <c r="A354" t="inlineStr">
        <is>
          <t>lsnum</t>
        </is>
      </c>
      <c r="B354" t="inlineStr">
        <is>
          <t>dec_poor_health</t>
        </is>
      </c>
      <c r="C354" t="inlineStr">
        <is>
          <t>Animal death due to malnutrition, drought, lack of feed</t>
        </is>
      </c>
      <c r="D354" s="4" t="n"/>
    </row>
    <row r="355">
      <c r="A355" t="inlineStr">
        <is>
          <t>lsnum</t>
        </is>
      </c>
      <c r="B355" t="inlineStr">
        <is>
          <t>dec_death</t>
        </is>
      </c>
      <c r="C355" t="inlineStr">
        <is>
          <t>Animal death due to other factors [e.g. diseases, parasites, injury]</t>
        </is>
      </c>
      <c r="D355" s="4" t="n"/>
    </row>
    <row r="356">
      <c r="A356" t="inlineStr">
        <is>
          <t>lsnum</t>
        </is>
      </c>
      <c r="B356" t="inlineStr">
        <is>
          <t>dec_sales_good_price</t>
        </is>
      </c>
      <c r="C356" t="inlineStr">
        <is>
          <t>Sold more than usual because of good prices</t>
        </is>
      </c>
      <c r="D356" s="4" t="n"/>
    </row>
    <row r="357">
      <c r="A357" t="inlineStr">
        <is>
          <t>lsnum</t>
        </is>
      </c>
      <c r="B357" t="inlineStr">
        <is>
          <t>dec_sales_distress</t>
        </is>
      </c>
      <c r="C357" t="inlineStr">
        <is>
          <t>Sold more than usual because of distress sales [unable to feed animal, need money urgently for household basic needs even if sales were unsustainable]</t>
        </is>
      </c>
      <c r="D357" s="4" t="n"/>
    </row>
    <row r="358">
      <c r="A358" t="inlineStr">
        <is>
          <t>lsnum</t>
        </is>
      </c>
      <c r="B358" t="inlineStr">
        <is>
          <t>dec_escape_stolen</t>
        </is>
      </c>
      <c r="C358" t="inlineStr">
        <is>
          <t>Animal escaped or was lost or stolen</t>
        </is>
      </c>
      <c r="D358" s="4" t="n"/>
    </row>
    <row r="359">
      <c r="A359" t="inlineStr">
        <is>
          <t>lsnum</t>
        </is>
      </c>
      <c r="B359" t="inlineStr">
        <is>
          <t>dec_consumed</t>
        </is>
      </c>
      <c r="C359" t="inlineStr">
        <is>
          <t>Killed or gave away more animals than usual for household consumption or celebrations [marriage, funerals, etc]</t>
        </is>
      </c>
      <c r="D359" s="4" t="n"/>
    </row>
    <row r="360">
      <c r="A360" t="inlineStr">
        <is>
          <t>lsnum</t>
        </is>
      </c>
      <c r="B360" t="inlineStr">
        <is>
          <t>inc_dec_other</t>
        </is>
      </c>
      <c r="C360" t="inlineStr">
        <is>
          <t>Other</t>
        </is>
      </c>
      <c r="D360" s="4" t="n"/>
    </row>
    <row r="361">
      <c r="A361" t="inlineStr">
        <is>
          <t>lsnum</t>
        </is>
      </c>
      <c r="B361" t="inlineStr">
        <is>
          <t>inc_dec_dk</t>
        </is>
      </c>
      <c r="C361" t="inlineStr">
        <is>
          <t>DON'T KNOW</t>
        </is>
      </c>
      <c r="D361" s="4" t="n"/>
    </row>
    <row r="362" ht="14.25" customHeight="1">
      <c r="A362" t="inlineStr">
        <is>
          <t>lsnum</t>
        </is>
      </c>
      <c r="B362" t="inlineStr">
        <is>
          <t>inc_dec_ref</t>
        </is>
      </c>
      <c r="C362" t="inlineStr">
        <is>
          <t>REFUSED</t>
        </is>
      </c>
      <c r="D362" s="4" t="n"/>
    </row>
    <row r="363" ht="14.25" customHeight="1">
      <c r="D363" s="4" t="n"/>
    </row>
    <row r="364" ht="14.25" customFormat="1" customHeight="1" s="13">
      <c r="A364" s="225" t="inlineStr">
        <is>
          <t>lsfood</t>
        </is>
      </c>
      <c r="B364" s="225" t="inlineStr">
        <is>
          <t>open_pasture</t>
        </is>
      </c>
      <c r="C364" s="225" t="inlineStr">
        <is>
          <t>Open pasture</t>
        </is>
      </c>
      <c r="D364" s="15" t="n"/>
    </row>
    <row r="365" ht="14.25" customFormat="1" customHeight="1" s="13">
      <c r="A365" s="225" t="inlineStr">
        <is>
          <t>lsfood</t>
        </is>
      </c>
      <c r="B365" s="225" t="inlineStr">
        <is>
          <t>common_pasture</t>
        </is>
      </c>
      <c r="C365" s="225" t="inlineStr">
        <is>
          <t>Community-managed pasture land</t>
        </is>
      </c>
      <c r="D365" s="15" t="n"/>
    </row>
    <row r="366" ht="14.25" customFormat="1" customHeight="1" s="13">
      <c r="A366" s="225" t="inlineStr">
        <is>
          <t>lsfood</t>
        </is>
      </c>
      <c r="B366" s="225" t="inlineStr">
        <is>
          <t>self_produced</t>
        </is>
      </c>
      <c r="C366" s="225" t="inlineStr">
        <is>
          <t>Owned or rented field or self-produced fodder</t>
        </is>
      </c>
      <c r="D366" s="15" t="n"/>
    </row>
    <row r="367" ht="14.25" customFormat="1" customHeight="1" s="13">
      <c r="A367" s="225" t="inlineStr">
        <is>
          <t>lsfood</t>
        </is>
      </c>
      <c r="B367" s="225" t="inlineStr">
        <is>
          <t>purchased</t>
        </is>
      </c>
      <c r="C367" s="225" t="inlineStr">
        <is>
          <t>Purchase feed or fodder at the market</t>
        </is>
      </c>
      <c r="D367" s="15" t="n"/>
    </row>
    <row r="368" ht="14.25" customFormat="1" customHeight="1" s="13">
      <c r="A368" s="225" t="inlineStr">
        <is>
          <t>lsfood</t>
        </is>
      </c>
      <c r="B368" s="225" t="inlineStr">
        <is>
          <t>free_dist</t>
        </is>
      </c>
      <c r="C368" s="225" t="inlineStr">
        <is>
          <t>Free distribution</t>
        </is>
      </c>
      <c r="D368" s="15" t="n"/>
    </row>
    <row r="369" ht="14.25" customFormat="1" customHeight="1" s="13">
      <c r="A369" s="225" t="inlineStr">
        <is>
          <t>lsfood</t>
        </is>
      </c>
      <c r="B369" s="225" t="inlineStr">
        <is>
          <t>other</t>
        </is>
      </c>
      <c r="C369" s="225" t="inlineStr">
        <is>
          <t xml:space="preserve">Other </t>
        </is>
      </c>
      <c r="D369" s="15" t="n"/>
    </row>
    <row r="370" ht="14.25" customFormat="1" customHeight="1" s="13">
      <c r="A370" s="225" t="inlineStr">
        <is>
          <t>lsfood</t>
        </is>
      </c>
      <c r="B370" s="225" t="inlineStr">
        <is>
          <t>dk</t>
        </is>
      </c>
      <c r="C370" s="225" t="inlineStr">
        <is>
          <t>DON'T KNOW</t>
        </is>
      </c>
      <c r="D370" s="15" t="n"/>
    </row>
    <row r="371" ht="14.25" customFormat="1" customHeight="1" s="13">
      <c r="A371" s="225" t="inlineStr">
        <is>
          <t>lsfood</t>
        </is>
      </c>
      <c r="B371" s="225" t="inlineStr">
        <is>
          <t>ref</t>
        </is>
      </c>
      <c r="C371" s="225" t="inlineStr">
        <is>
          <t>REFUSED</t>
        </is>
      </c>
      <c r="D371" s="15" t="n"/>
    </row>
    <row r="372" ht="14.25" customHeight="1">
      <c r="D372" s="4" t="n"/>
    </row>
    <row r="373">
      <c r="A373" t="inlineStr">
        <is>
          <t>lsproddiff</t>
        </is>
      </c>
      <c r="B373" t="inlineStr">
        <is>
          <t>feed_purchase</t>
        </is>
      </c>
      <c r="C373" t="inlineStr">
        <is>
          <t>Difficulty to purchase feed [prices or access to market]</t>
        </is>
      </c>
      <c r="D373" s="4" t="n"/>
    </row>
    <row r="374">
      <c r="A374" t="inlineStr">
        <is>
          <t>lsproddiff</t>
        </is>
      </c>
      <c r="B374" t="inlineStr">
        <is>
          <t>access_pasture</t>
        </is>
      </c>
      <c r="C374" t="inlineStr">
        <is>
          <t>Access to pasture</t>
        </is>
      </c>
      <c r="D374" s="4" t="n"/>
    </row>
    <row r="375">
      <c r="A375" t="inlineStr">
        <is>
          <t>lsproddiff</t>
        </is>
      </c>
      <c r="B375" t="inlineStr">
        <is>
          <t>access_water</t>
        </is>
      </c>
      <c r="C375" t="inlineStr">
        <is>
          <t>Access to water</t>
        </is>
      </c>
      <c r="D375" s="4" t="n"/>
    </row>
    <row r="376">
      <c r="A376" t="inlineStr">
        <is>
          <t>lsproddiff</t>
        </is>
      </c>
      <c r="B376" t="inlineStr">
        <is>
          <t>vet_serv</t>
        </is>
      </c>
      <c r="C376" t="inlineStr">
        <is>
          <t>Access to veterinary services [vaccinations, treatments, spraying, advisory etc]</t>
        </is>
      </c>
      <c r="D376" s="4" t="n"/>
    </row>
    <row r="377">
      <c r="A377" t="inlineStr">
        <is>
          <t>lsproddiff</t>
        </is>
      </c>
      <c r="B377" t="inlineStr">
        <is>
          <t>vet_input</t>
        </is>
      </c>
      <c r="C377" t="inlineStr">
        <is>
          <t>Access to veterinary inputs [medicine for animals / tools for animal health / etc]</t>
        </is>
      </c>
      <c r="D377" s="4" t="n"/>
    </row>
    <row r="378">
      <c r="A378" t="inlineStr">
        <is>
          <t>lsproddiff</t>
        </is>
      </c>
      <c r="B378" t="inlineStr">
        <is>
          <t>diseases</t>
        </is>
      </c>
      <c r="C378" t="inlineStr">
        <is>
          <t>Livestock diseases or injury</t>
        </is>
      </c>
      <c r="D378" s="4" t="n"/>
    </row>
    <row r="379">
      <c r="A379" t="inlineStr">
        <is>
          <t>lsproddiff</t>
        </is>
      </c>
      <c r="B379" t="inlineStr">
        <is>
          <t>theft</t>
        </is>
      </c>
      <c r="C379" t="inlineStr">
        <is>
          <t>Livestock theft</t>
        </is>
      </c>
      <c r="D379" s="4" t="n"/>
    </row>
    <row r="380">
      <c r="A380" t="inlineStr">
        <is>
          <t>lsproddiff</t>
        </is>
      </c>
      <c r="B380" t="inlineStr">
        <is>
          <t>access_market</t>
        </is>
      </c>
      <c r="C380" t="inlineStr">
        <is>
          <t>Access to livestock market to buy young animals</t>
        </is>
      </c>
      <c r="D380" s="4" t="n"/>
    </row>
    <row r="381">
      <c r="A381" t="inlineStr">
        <is>
          <t>lsproddiff</t>
        </is>
      </c>
      <c r="B381" t="inlineStr">
        <is>
          <t>access_credit</t>
        </is>
      </c>
      <c r="C381" t="inlineStr">
        <is>
          <t>Access to credit</t>
        </is>
      </c>
      <c r="D381" s="4" t="n"/>
    </row>
    <row r="382">
      <c r="A382" t="inlineStr">
        <is>
          <t>lsproddiff</t>
        </is>
      </c>
      <c r="B382" t="inlineStr">
        <is>
          <t>access_labour</t>
        </is>
      </c>
      <c r="C382" t="inlineStr">
        <is>
          <t>Access to manpower labour</t>
        </is>
      </c>
      <c r="D382" s="4" t="n"/>
    </row>
    <row r="383">
      <c r="A383" t="inlineStr">
        <is>
          <t>lsproddiff</t>
        </is>
      </c>
      <c r="B383" t="inlineStr">
        <is>
          <t>other</t>
        </is>
      </c>
      <c r="C383" t="inlineStr">
        <is>
          <t>Other</t>
        </is>
      </c>
      <c r="D383" s="4" t="n"/>
    </row>
    <row r="384">
      <c r="A384" t="inlineStr">
        <is>
          <t>lsproddiff</t>
        </is>
      </c>
      <c r="B384" t="inlineStr">
        <is>
          <t>dk</t>
        </is>
      </c>
      <c r="C384" t="inlineStr">
        <is>
          <t>DON'T KNOW</t>
        </is>
      </c>
      <c r="D384" s="4" t="n"/>
    </row>
    <row r="385">
      <c r="A385" t="inlineStr">
        <is>
          <t>lsproddiff</t>
        </is>
      </c>
      <c r="B385" t="inlineStr">
        <is>
          <t>ref</t>
        </is>
      </c>
      <c r="C385" t="inlineStr">
        <is>
          <t>REFUSED</t>
        </is>
      </c>
      <c r="D385" s="4" t="n"/>
    </row>
    <row r="386">
      <c r="D386" s="4" t="n"/>
    </row>
    <row r="387">
      <c r="A387" s="225" t="inlineStr">
        <is>
          <t>lsmain2</t>
        </is>
      </c>
      <c r="B387" s="225" t="n">
        <v>1</v>
      </c>
      <c r="C387" s="225" t="inlineStr">
        <is>
          <t>Cattle [cow / beef / veal / yak / buffalo]</t>
        </is>
      </c>
      <c r="D387" s="4" t="n"/>
    </row>
    <row r="388">
      <c r="A388" s="225" t="inlineStr">
        <is>
          <t>lsmain2</t>
        </is>
      </c>
      <c r="B388" s="225" t="n">
        <v>2</v>
      </c>
      <c r="C388" s="225" t="inlineStr">
        <is>
          <t>Goat</t>
        </is>
      </c>
      <c r="D388" s="4" t="n"/>
    </row>
    <row r="389">
      <c r="A389" s="225" t="inlineStr">
        <is>
          <t>lsmain2</t>
        </is>
      </c>
      <c r="B389" s="225" t="n">
        <v>3</v>
      </c>
      <c r="C389" s="225" t="inlineStr">
        <is>
          <t>Sheep</t>
        </is>
      </c>
      <c r="D389" s="4" t="n"/>
    </row>
    <row r="390">
      <c r="A390" s="225" t="inlineStr">
        <is>
          <t>lsmain2</t>
        </is>
      </c>
      <c r="B390" s="225" t="n">
        <v>4</v>
      </c>
      <c r="C390" s="225" t="inlineStr">
        <is>
          <t>Swine [swine / boar / hog / etc]</t>
        </is>
      </c>
      <c r="D390" s="4" t="n"/>
    </row>
    <row r="391">
      <c r="A391" s="225" t="inlineStr">
        <is>
          <t>lsmain2</t>
        </is>
      </c>
      <c r="B391" s="225" t="n">
        <v>5</v>
      </c>
      <c r="C391" s="225" t="inlineStr">
        <is>
          <t>Equine [donkey / horse / etc]</t>
        </is>
      </c>
      <c r="D391" s="4" t="n"/>
    </row>
    <row r="392">
      <c r="A392" s="225" t="inlineStr">
        <is>
          <t>lsmain2</t>
        </is>
      </c>
      <c r="B392" s="225" t="n">
        <v>6</v>
      </c>
      <c r="C392" s="225" t="inlineStr">
        <is>
          <t>Small domesticated mammals [rabbits / minks / guinea pigs / etc]</t>
        </is>
      </c>
      <c r="D392" s="4" t="n"/>
    </row>
    <row r="393">
      <c r="A393" s="225" t="inlineStr">
        <is>
          <t>lsmain2</t>
        </is>
      </c>
      <c r="B393" s="225" t="n">
        <v>7</v>
      </c>
      <c r="C393" s="225" t="inlineStr">
        <is>
          <t>Poultry [chicken / guineafowl / duck / quail / turkey / etc]</t>
        </is>
      </c>
      <c r="D393" s="4" t="n"/>
    </row>
    <row r="394">
      <c r="A394" s="225" t="inlineStr">
        <is>
          <t>lsmain2</t>
        </is>
      </c>
      <c r="B394" s="225" t="n">
        <v>8</v>
      </c>
      <c r="C394" s="225" t="inlineStr">
        <is>
          <t>Camelids</t>
        </is>
      </c>
      <c r="D394" s="4" t="n"/>
    </row>
    <row r="395">
      <c r="A395" s="225" t="inlineStr">
        <is>
          <t>lsmain2</t>
        </is>
      </c>
      <c r="B395" s="225" t="n">
        <v>9</v>
      </c>
      <c r="C395" s="225" t="inlineStr">
        <is>
          <t>Other</t>
        </is>
      </c>
      <c r="D395" s="4" t="n"/>
    </row>
    <row r="396">
      <c r="A396" s="225" t="inlineStr">
        <is>
          <t>lsmain2</t>
        </is>
      </c>
      <c r="B396" s="225" t="n">
        <v>666</v>
      </c>
      <c r="C396" s="225" t="inlineStr">
        <is>
          <t>No other livestock</t>
        </is>
      </c>
      <c r="D396" s="4" t="n"/>
    </row>
    <row r="397">
      <c r="A397" s="225" t="inlineStr">
        <is>
          <t>lsmain2</t>
        </is>
      </c>
      <c r="B397" s="225" t="n">
        <v>10</v>
      </c>
      <c r="C397" s="225" t="inlineStr">
        <is>
          <t>DON'T KNOW</t>
        </is>
      </c>
      <c r="D397" s="4" t="n"/>
    </row>
    <row r="398">
      <c r="A398" s="225" t="inlineStr">
        <is>
          <t>lsmain2</t>
        </is>
      </c>
      <c r="B398" s="225" t="n">
        <v>11</v>
      </c>
      <c r="C398" s="225" t="inlineStr">
        <is>
          <t>REFUSED</t>
        </is>
      </c>
      <c r="D398" s="4" t="n"/>
    </row>
    <row r="399">
      <c r="B399" s="10" t="n"/>
      <c r="D399" s="4" t="n"/>
    </row>
    <row r="400">
      <c r="A400" t="inlineStr">
        <is>
          <t>salesmain</t>
        </is>
      </c>
      <c r="B400" t="n">
        <v>1</v>
      </c>
      <c r="C400" t="inlineStr">
        <is>
          <t>Cattle [cow / beef / veal / yak / buffalo]</t>
        </is>
      </c>
      <c r="D400" s="4" t="n"/>
    </row>
    <row r="401">
      <c r="A401" t="inlineStr">
        <is>
          <t>salesmain</t>
        </is>
      </c>
      <c r="B401" t="n">
        <v>2</v>
      </c>
      <c r="C401" t="inlineStr">
        <is>
          <t>Goat</t>
        </is>
      </c>
      <c r="D401" s="4" t="n"/>
    </row>
    <row r="402">
      <c r="A402" t="inlineStr">
        <is>
          <t>salesmain</t>
        </is>
      </c>
      <c r="B402" t="n">
        <v>3</v>
      </c>
      <c r="C402" t="inlineStr">
        <is>
          <t>Sheep</t>
        </is>
      </c>
      <c r="D402" s="4" t="n"/>
    </row>
    <row r="403">
      <c r="A403" t="inlineStr">
        <is>
          <t>salesmain</t>
        </is>
      </c>
      <c r="B403" t="n">
        <v>4</v>
      </c>
      <c r="C403" s="224" t="inlineStr">
        <is>
          <t>Swine [swine / boar / hog / etc]</t>
        </is>
      </c>
      <c r="D403" s="4" t="n"/>
    </row>
    <row r="404">
      <c r="A404" t="inlineStr">
        <is>
          <t>salesmain</t>
        </is>
      </c>
      <c r="B404" t="n">
        <v>5</v>
      </c>
      <c r="C404" t="inlineStr">
        <is>
          <t>Equine [donkey / horse / etc.]</t>
        </is>
      </c>
      <c r="D404" s="4" t="n"/>
    </row>
    <row r="405">
      <c r="A405" t="inlineStr">
        <is>
          <t>salesmain</t>
        </is>
      </c>
      <c r="B405" t="n">
        <v>6</v>
      </c>
      <c r="C405" t="inlineStr">
        <is>
          <t>Small domesticated mammals [rabbits / minks / guinea pigs / etc]</t>
        </is>
      </c>
      <c r="D405" s="4" t="n"/>
    </row>
    <row r="406">
      <c r="A406" t="inlineStr">
        <is>
          <t>salesmain</t>
        </is>
      </c>
      <c r="B406" t="n">
        <v>7</v>
      </c>
      <c r="C406" t="inlineStr">
        <is>
          <t>Poultry [chicken / guineafowl / duck / quail / turkey / etc.]</t>
        </is>
      </c>
      <c r="D406" s="4" t="n"/>
    </row>
    <row r="407">
      <c r="A407" t="inlineStr">
        <is>
          <t>salesmain</t>
        </is>
      </c>
      <c r="B407" t="n">
        <v>8</v>
      </c>
      <c r="C407" t="inlineStr">
        <is>
          <t>Camelids</t>
        </is>
      </c>
      <c r="D407" s="4" t="n"/>
    </row>
    <row r="408">
      <c r="A408" t="inlineStr">
        <is>
          <t>salesmain</t>
        </is>
      </c>
      <c r="B408" t="n">
        <v>9</v>
      </c>
      <c r="C408" t="inlineStr">
        <is>
          <t>Eggs</t>
        </is>
      </c>
      <c r="D408" s="4" t="n"/>
    </row>
    <row r="409">
      <c r="A409" t="inlineStr">
        <is>
          <t>salesmain</t>
        </is>
      </c>
      <c r="B409" t="n">
        <v>10</v>
      </c>
      <c r="C409" t="inlineStr">
        <is>
          <t>Milk or dairy products</t>
        </is>
      </c>
      <c r="D409" s="4" t="n"/>
    </row>
    <row r="410">
      <c r="A410" t="inlineStr">
        <is>
          <t>salesmain</t>
        </is>
      </c>
      <c r="B410" t="n">
        <v>11</v>
      </c>
      <c r="C410" t="inlineStr">
        <is>
          <t>Skin or leather or wool</t>
        </is>
      </c>
      <c r="D410" s="4" t="n"/>
    </row>
    <row r="411">
      <c r="A411" t="inlineStr">
        <is>
          <t>salesmain</t>
        </is>
      </c>
      <c r="B411" s="223" t="n">
        <v>12</v>
      </c>
      <c r="C411" t="inlineStr">
        <is>
          <t>DON'T KNOW</t>
        </is>
      </c>
      <c r="D411" s="4" t="n"/>
    </row>
    <row r="412">
      <c r="A412" t="inlineStr">
        <is>
          <t>salesmain</t>
        </is>
      </c>
      <c r="B412" s="223" t="n">
        <v>13</v>
      </c>
      <c r="C412" t="inlineStr">
        <is>
          <t>REFUSED</t>
        </is>
      </c>
      <c r="D412" s="4" t="n"/>
    </row>
    <row r="413">
      <c r="D413" s="4" t="n"/>
    </row>
    <row r="414" ht="16" customHeight="1">
      <c r="A414" t="inlineStr">
        <is>
          <t>lssalesdif</t>
        </is>
      </c>
      <c r="B414" t="inlineStr">
        <is>
          <t>marketing_cost</t>
        </is>
      </c>
      <c r="C414" t="inlineStr">
        <is>
          <t>High transportation or other marketing costs</t>
        </is>
      </c>
      <c r="D414" s="4" t="n"/>
    </row>
    <row r="415" ht="16" customHeight="1">
      <c r="A415" t="inlineStr">
        <is>
          <t>lssalesdif</t>
        </is>
      </c>
      <c r="B415" t="inlineStr">
        <is>
          <t>damage_losses</t>
        </is>
      </c>
      <c r="C415" t="inlineStr">
        <is>
          <t xml:space="preserve">Damage and losses during transportation or difficulty accessing the market </t>
        </is>
      </c>
      <c r="D415" s="4" t="n"/>
    </row>
    <row r="416" ht="16" customHeight="1">
      <c r="A416" t="inlineStr">
        <is>
          <t>lssalesdif</t>
        </is>
      </c>
      <c r="B416" t="inlineStr">
        <is>
          <t>low_demand</t>
        </is>
      </c>
      <c r="C416" t="inlineStr">
        <is>
          <t>Lack of demand from usual traders or buyers</t>
        </is>
      </c>
      <c r="D416" s="4" t="n"/>
    </row>
    <row r="417" ht="16" customHeight="1">
      <c r="A417" t="inlineStr">
        <is>
          <t>lssalesdif</t>
        </is>
      </c>
      <c r="B417" t="inlineStr">
        <is>
          <t>pay_delay</t>
        </is>
      </c>
      <c r="C417" t="inlineStr">
        <is>
          <t>Payment delays from traders / buyers</t>
        </is>
      </c>
      <c r="D417" s="4" t="n"/>
    </row>
    <row r="418" ht="16" customHeight="1">
      <c r="A418" t="inlineStr">
        <is>
          <t>lssalesdif</t>
        </is>
      </c>
      <c r="B418" t="inlineStr">
        <is>
          <t>low_price</t>
        </is>
      </c>
      <c r="C418" t="inlineStr">
        <is>
          <t>Low selling prices [e.g. compared to input prices / inflation]</t>
        </is>
      </c>
      <c r="D418" s="4" t="n"/>
    </row>
    <row r="419" ht="16" customHeight="1">
      <c r="A419" t="inlineStr">
        <is>
          <t>lssalesdif</t>
        </is>
      </c>
      <c r="B419" t="inlineStr">
        <is>
          <t>slaughterhouse</t>
        </is>
      </c>
      <c r="C419" t="inlineStr">
        <is>
          <t>Closure of slaughterhouses or difficulties accessing slaughterhouses</t>
        </is>
      </c>
      <c r="D419" s="4" t="n"/>
    </row>
    <row r="420" ht="16" customHeight="1">
      <c r="A420" t="inlineStr">
        <is>
          <t>lssalesdif</t>
        </is>
      </c>
      <c r="B420" t="inlineStr">
        <is>
          <t>processing</t>
        </is>
      </c>
      <c r="C420" t="inlineStr">
        <is>
          <t>Difficulties processing product other than closure of slaughterhouse [lack of access to processing inputs / equipment / etc]</t>
        </is>
      </c>
      <c r="D420" s="4" t="n"/>
    </row>
    <row r="421" ht="16" customHeight="1">
      <c r="A421" t="inlineStr">
        <is>
          <t>lssalesdif</t>
        </is>
      </c>
      <c r="B421" t="inlineStr">
        <is>
          <t>competition</t>
        </is>
      </c>
      <c r="C421" t="inlineStr">
        <is>
          <t>Market flooded with products</t>
        </is>
      </c>
      <c r="D421" s="4" t="n"/>
    </row>
    <row r="422" ht="16" customHeight="1">
      <c r="A422" t="inlineStr">
        <is>
          <t>lssalesdif</t>
        </is>
      </c>
      <c r="B422" t="inlineStr">
        <is>
          <t>other</t>
        </is>
      </c>
      <c r="C422" t="inlineStr">
        <is>
          <t>Other</t>
        </is>
      </c>
      <c r="D422" s="4" t="n"/>
    </row>
    <row r="423" ht="16" customHeight="1">
      <c r="A423" t="inlineStr">
        <is>
          <t>lssalesdif</t>
        </is>
      </c>
      <c r="B423" t="inlineStr">
        <is>
          <t>dk</t>
        </is>
      </c>
      <c r="C423" t="inlineStr">
        <is>
          <t>DON'T KNOW</t>
        </is>
      </c>
      <c r="D423" s="4" t="n"/>
    </row>
    <row r="424" ht="16" customHeight="1">
      <c r="A424" t="inlineStr">
        <is>
          <t>lssalesdif</t>
        </is>
      </c>
      <c r="B424" t="inlineStr">
        <is>
          <t>ref</t>
        </is>
      </c>
      <c r="C424" t="inlineStr">
        <is>
          <t>REFUSED</t>
        </is>
      </c>
      <c r="D424" s="4" t="n"/>
    </row>
    <row r="425" ht="16" customHeight="1">
      <c r="D425" s="4" t="n"/>
    </row>
    <row r="426">
      <c r="A426" t="inlineStr">
        <is>
          <t>fishactivity</t>
        </is>
      </c>
      <c r="B426" t="inlineStr">
        <is>
          <t>coastal</t>
        </is>
      </c>
      <c r="C426" t="inlineStr">
        <is>
          <t>Near coastal, delta, lagoon fishing</t>
        </is>
      </c>
      <c r="D426" s="4" t="n"/>
    </row>
    <row r="427">
      <c r="A427" t="inlineStr">
        <is>
          <t>fishactivity</t>
        </is>
      </c>
      <c r="B427" t="inlineStr">
        <is>
          <t>offshore_sea</t>
        </is>
      </c>
      <c r="C427" t="inlineStr">
        <is>
          <t>Offshore sea fishing</t>
        </is>
      </c>
      <c r="D427" s="4" t="n"/>
    </row>
    <row r="428">
      <c r="A428" t="inlineStr">
        <is>
          <t>fishactivity</t>
        </is>
      </c>
      <c r="B428" t="inlineStr">
        <is>
          <t>freshwater</t>
        </is>
      </c>
      <c r="C428" t="inlineStr">
        <is>
          <t>Freshwater fishing [in lakes, reservoirs, ponds, rivers, or wetlands]</t>
        </is>
      </c>
      <c r="D428" s="4" t="n"/>
    </row>
    <row r="429">
      <c r="A429" t="inlineStr">
        <is>
          <t>fishactivity</t>
        </is>
      </c>
      <c r="B429" t="inlineStr">
        <is>
          <t>aquaculture</t>
        </is>
      </c>
      <c r="C429" t="inlineStr">
        <is>
          <t>Aquaculture</t>
        </is>
      </c>
      <c r="D429" s="4" t="n"/>
    </row>
    <row r="430">
      <c r="A430" t="inlineStr">
        <is>
          <t>fishactivity</t>
        </is>
      </c>
      <c r="B430" t="inlineStr">
        <is>
          <t>dk</t>
        </is>
      </c>
      <c r="C430" t="inlineStr">
        <is>
          <t>DON'T KNOW</t>
        </is>
      </c>
      <c r="D430" s="4" t="n"/>
    </row>
    <row r="431">
      <c r="A431" t="inlineStr">
        <is>
          <t>fishactivity</t>
        </is>
      </c>
      <c r="B431" t="inlineStr">
        <is>
          <t>ref</t>
        </is>
      </c>
      <c r="C431" t="inlineStr">
        <is>
          <t>REFUSED</t>
        </is>
      </c>
      <c r="D431" s="4" t="n"/>
    </row>
    <row r="432">
      <c r="D432" s="4" t="n"/>
    </row>
    <row r="433">
      <c r="A433" t="inlineStr">
        <is>
          <t>fishproddiff</t>
        </is>
      </c>
      <c r="B433" t="inlineStr">
        <is>
          <t>find_fish</t>
        </is>
      </c>
      <c r="C433" t="inlineStr">
        <is>
          <t>Fish is more difficult to find than in previous years in the same season [fishing]</t>
        </is>
      </c>
      <c r="D433" s="4" t="n"/>
    </row>
    <row r="434">
      <c r="A434" t="inlineStr">
        <is>
          <t>fishproddiff</t>
        </is>
      </c>
      <c r="B434" t="inlineStr">
        <is>
          <t>pests</t>
        </is>
      </c>
      <c r="C434" t="inlineStr">
        <is>
          <t>Fish pests and diseases [aquaculture]</t>
        </is>
      </c>
      <c r="D434" s="4" t="n"/>
    </row>
    <row r="435">
      <c r="A435" t="inlineStr">
        <is>
          <t>fishproddiff</t>
        </is>
      </c>
      <c r="B435" t="inlineStr">
        <is>
          <t>access_area</t>
        </is>
      </c>
      <c r="C435" t="inlineStr">
        <is>
          <t>Access to fishing or aquaculture area [e.g. due to weather conditions]</t>
        </is>
      </c>
      <c r="D435" s="4" t="n"/>
    </row>
    <row r="436">
      <c r="A436" t="inlineStr">
        <is>
          <t>fishproddiff</t>
        </is>
      </c>
      <c r="B436" t="inlineStr">
        <is>
          <t>fuel</t>
        </is>
      </c>
      <c r="C436" t="inlineStr">
        <is>
          <t>Access to fuel [prices higher or not available]</t>
        </is>
      </c>
      <c r="D436" s="4" t="n"/>
    </row>
    <row r="437">
      <c r="A437" t="inlineStr">
        <is>
          <t>fishproddiff</t>
        </is>
      </c>
      <c r="B437" t="inlineStr">
        <is>
          <t>input_access</t>
        </is>
      </c>
      <c r="C437" t="inlineStr">
        <is>
          <t>Access to other fishing or culture inputs [prices higher or not available]</t>
        </is>
      </c>
      <c r="D437" s="4" t="n"/>
    </row>
    <row r="438">
      <c r="A438" t="inlineStr">
        <is>
          <t>fishproddiff</t>
        </is>
      </c>
      <c r="B438" t="inlineStr">
        <is>
          <t>labour</t>
        </is>
      </c>
      <c r="C438" t="inlineStr">
        <is>
          <t>Access to labour or crew labour [prices higher or not available]</t>
        </is>
      </c>
      <c r="D438" s="4" t="n"/>
    </row>
    <row r="439">
      <c r="A439" t="inlineStr">
        <is>
          <t>fishproddiff</t>
        </is>
      </c>
      <c r="B439" t="inlineStr">
        <is>
          <t>infrastructure</t>
        </is>
      </c>
      <c r="C439" t="inlineStr">
        <is>
          <t>Damage or destruction of infrastructure [ponds, cages, ports, landing sites]</t>
        </is>
      </c>
      <c r="D439" s="4" t="n"/>
    </row>
    <row r="440">
      <c r="A440" t="inlineStr">
        <is>
          <t>fishproddiff</t>
        </is>
      </c>
      <c r="B440" t="inlineStr">
        <is>
          <t>damage_equip</t>
        </is>
      </c>
      <c r="C440" t="inlineStr">
        <is>
          <t>Damage or destruction of boats or gears</t>
        </is>
      </c>
      <c r="D440" s="4" t="n"/>
    </row>
    <row r="441">
      <c r="A441" t="inlineStr">
        <is>
          <t>fishproddiff</t>
        </is>
      </c>
      <c r="B441" t="inlineStr">
        <is>
          <t>other</t>
        </is>
      </c>
      <c r="C441" t="inlineStr">
        <is>
          <t>Other [specify]</t>
        </is>
      </c>
      <c r="D441" s="4" t="n"/>
    </row>
    <row r="442">
      <c r="A442" t="inlineStr">
        <is>
          <t>fishproddiff</t>
        </is>
      </c>
      <c r="B442" t="inlineStr">
        <is>
          <t>dk</t>
        </is>
      </c>
      <c r="C442" t="inlineStr">
        <is>
          <t>DON'T KNOW</t>
        </is>
      </c>
      <c r="D442" s="4" t="n"/>
    </row>
    <row r="443">
      <c r="A443" t="inlineStr">
        <is>
          <t>fishproddiff</t>
        </is>
      </c>
      <c r="B443" t="inlineStr">
        <is>
          <t>ref</t>
        </is>
      </c>
      <c r="C443" t="inlineStr">
        <is>
          <t>REFUSED</t>
        </is>
      </c>
      <c r="D443" s="4" t="n"/>
    </row>
    <row r="444">
      <c r="D444" s="4" t="n"/>
    </row>
    <row r="445" customFormat="1" s="13">
      <c r="A445" s="225" t="inlineStr">
        <is>
          <t>fishinput</t>
        </is>
      </c>
      <c r="B445" s="225" t="inlineStr">
        <is>
          <t>bait_feed</t>
        </is>
      </c>
      <c r="C445" s="225" t="inlineStr">
        <is>
          <t>Feed or bait</t>
        </is>
      </c>
      <c r="D445" s="15" t="n"/>
    </row>
    <row r="446" customFormat="1" s="13">
      <c r="A446" s="225" t="inlineStr">
        <is>
          <t>fishinput</t>
        </is>
      </c>
      <c r="B446" s="225" t="inlineStr">
        <is>
          <t>fingerling</t>
        </is>
      </c>
      <c r="C446" s="225" t="inlineStr">
        <is>
          <t>Fingerling</t>
        </is>
      </c>
      <c r="D446" s="15" t="n"/>
    </row>
    <row r="447" customFormat="1" s="13">
      <c r="A447" s="225" t="inlineStr">
        <is>
          <t>fishinput</t>
        </is>
      </c>
      <c r="B447" s="225" t="inlineStr">
        <is>
          <t>gear</t>
        </is>
      </c>
      <c r="C447" s="225" t="inlineStr">
        <is>
          <t>Fishing gear [e.g. rods, hooks, nets]</t>
        </is>
      </c>
      <c r="D447" s="15" t="n"/>
    </row>
    <row r="448" customFormat="1" s="13">
      <c r="A448" s="225" t="inlineStr">
        <is>
          <t>fishinput</t>
        </is>
      </c>
      <c r="B448" s="225" t="inlineStr">
        <is>
          <t>ice</t>
        </is>
      </c>
      <c r="C448" s="225" t="inlineStr">
        <is>
          <t>Ice</t>
        </is>
      </c>
      <c r="D448" s="15" t="n"/>
    </row>
    <row r="449" customFormat="1" s="13">
      <c r="A449" s="225" t="inlineStr">
        <is>
          <t>fishinput</t>
        </is>
      </c>
      <c r="B449" s="225" t="inlineStr">
        <is>
          <t>fuel</t>
        </is>
      </c>
      <c r="C449" s="225" t="inlineStr">
        <is>
          <t>Fuel</t>
        </is>
      </c>
      <c r="D449" s="15" t="n"/>
    </row>
    <row r="450" customFormat="1" s="13">
      <c r="A450" s="225" t="inlineStr">
        <is>
          <t>fishinput</t>
        </is>
      </c>
      <c r="B450" s="225" t="inlineStr">
        <is>
          <t>boatrepairs</t>
        </is>
      </c>
      <c r="C450" s="225" t="inlineStr">
        <is>
          <t>Equipment repairs [including boats] or spare parts</t>
        </is>
      </c>
      <c r="D450" s="15" t="n"/>
    </row>
    <row r="451" customFormat="1" s="13">
      <c r="A451" s="225" t="inlineStr">
        <is>
          <t>fishinput</t>
        </is>
      </c>
      <c r="B451" s="225" t="inlineStr">
        <is>
          <t>labour</t>
        </is>
      </c>
      <c r="C451" s="225" t="inlineStr">
        <is>
          <t>Labour</t>
        </is>
      </c>
      <c r="D451" s="15" t="n"/>
    </row>
    <row r="452" customFormat="1" s="13">
      <c r="A452" s="225" t="inlineStr">
        <is>
          <t>fishinput</t>
        </is>
      </c>
      <c r="B452" s="225" t="inlineStr">
        <is>
          <t>other</t>
        </is>
      </c>
      <c r="C452" s="225" t="inlineStr">
        <is>
          <t>Other [specify]</t>
        </is>
      </c>
      <c r="D452" s="15" t="n"/>
    </row>
    <row r="453" customFormat="1" s="13">
      <c r="A453" s="225" t="inlineStr">
        <is>
          <t>fishinput</t>
        </is>
      </c>
      <c r="B453" s="225" t="inlineStr">
        <is>
          <t>dk</t>
        </is>
      </c>
      <c r="C453" s="225" t="inlineStr">
        <is>
          <t>DON'T KNOW</t>
        </is>
      </c>
      <c r="D453" s="15" t="n"/>
    </row>
    <row r="454" customFormat="1" s="13">
      <c r="A454" s="225" t="inlineStr">
        <is>
          <t>fishinput</t>
        </is>
      </c>
      <c r="B454" s="225" t="inlineStr">
        <is>
          <t>ref</t>
        </is>
      </c>
      <c r="C454" s="225" t="inlineStr">
        <is>
          <t>REFUSED</t>
        </is>
      </c>
      <c r="D454" s="15" t="n"/>
    </row>
    <row r="455" customFormat="1" s="13">
      <c r="D455" s="15" t="n"/>
    </row>
    <row r="456">
      <c r="A456" t="inlineStr">
        <is>
          <t>fishsales</t>
        </is>
      </c>
      <c r="B456" t="n">
        <v>1</v>
      </c>
      <c r="C456" t="inlineStr">
        <is>
          <t>Fresh product [any kind, including invertebrates]</t>
        </is>
      </c>
      <c r="D456" s="4" t="n"/>
    </row>
    <row r="457">
      <c r="A457" t="inlineStr">
        <is>
          <t>fishsales</t>
        </is>
      </c>
      <c r="B457" t="n">
        <v>2</v>
      </c>
      <c r="C457" t="inlineStr">
        <is>
          <t>Preserved product [including dry, smoked, fermented, salted]</t>
        </is>
      </c>
      <c r="D457" s="4" t="n"/>
    </row>
    <row r="458">
      <c r="A458" t="inlineStr">
        <is>
          <t>fishsales</t>
        </is>
      </c>
      <c r="B458" t="n">
        <v>3</v>
      </c>
      <c r="C458" t="inlineStr">
        <is>
          <t>Frozen product</t>
        </is>
      </c>
      <c r="D458" s="4" t="n"/>
    </row>
    <row r="459">
      <c r="A459" t="inlineStr">
        <is>
          <t>fishsales</t>
        </is>
      </c>
      <c r="B459" t="n">
        <v>4</v>
      </c>
      <c r="C459" t="inlineStr">
        <is>
          <t>Canned product</t>
        </is>
      </c>
      <c r="D459" s="4" t="n"/>
    </row>
    <row r="460">
      <c r="A460" t="inlineStr">
        <is>
          <t>fishsales</t>
        </is>
      </c>
      <c r="B460" t="n">
        <v>5</v>
      </c>
      <c r="C460" t="inlineStr">
        <is>
          <t>Other [specify]</t>
        </is>
      </c>
      <c r="D460" s="4" t="n"/>
    </row>
    <row r="461">
      <c r="A461" t="inlineStr">
        <is>
          <t>fishsales</t>
        </is>
      </c>
      <c r="B461" s="223" t="n">
        <v>6</v>
      </c>
      <c r="C461" t="inlineStr">
        <is>
          <t>DON'T KNOW</t>
        </is>
      </c>
      <c r="D461" s="4" t="n"/>
    </row>
    <row r="462">
      <c r="A462" t="inlineStr">
        <is>
          <t>fishsales</t>
        </is>
      </c>
      <c r="B462" s="223" t="n">
        <v>7</v>
      </c>
      <c r="C462" t="inlineStr">
        <is>
          <t>REFUSED</t>
        </is>
      </c>
      <c r="D462" s="4" t="n"/>
    </row>
    <row r="463">
      <c r="D463" s="4" t="n"/>
    </row>
    <row r="464">
      <c r="A464" t="inlineStr">
        <is>
          <t>fishsalesdif</t>
        </is>
      </c>
      <c r="B464" t="inlineStr">
        <is>
          <t>marketing_cost</t>
        </is>
      </c>
      <c r="C464" t="inlineStr">
        <is>
          <t>High transportation or other marketing costs</t>
        </is>
      </c>
      <c r="D464" s="4" t="n"/>
      <c r="E464" s="13" t="n"/>
    </row>
    <row r="465">
      <c r="A465" t="inlineStr">
        <is>
          <t>fishsalesdif</t>
        </is>
      </c>
      <c r="B465" t="inlineStr">
        <is>
          <t>damage_losses</t>
        </is>
      </c>
      <c r="C465" t="inlineStr">
        <is>
          <t>Deterioration and losses due to storage difficulties or delays or inability to physically access markets</t>
        </is>
      </c>
      <c r="D465" s="4" t="n"/>
      <c r="E465" s="13" t="n"/>
    </row>
    <row r="466">
      <c r="A466" t="inlineStr">
        <is>
          <t>fishsalesdif</t>
        </is>
      </c>
      <c r="B466" t="inlineStr">
        <is>
          <t>low_demand</t>
        </is>
      </c>
      <c r="C466" t="inlineStr">
        <is>
          <t>Lack of demand from usual buyers/traders</t>
        </is>
      </c>
      <c r="D466" s="4" t="n"/>
      <c r="E466" s="13" t="n"/>
    </row>
    <row r="467">
      <c r="A467" t="inlineStr">
        <is>
          <t>fishsalesdif</t>
        </is>
      </c>
      <c r="B467" t="inlineStr">
        <is>
          <t>pay_delay</t>
        </is>
      </c>
      <c r="C467" t="inlineStr">
        <is>
          <t xml:space="preserve">Payment delays from traders/buyers </t>
        </is>
      </c>
      <c r="D467" s="4" t="n"/>
      <c r="E467" s="13" t="n"/>
    </row>
    <row r="468">
      <c r="A468" t="inlineStr">
        <is>
          <t>fishsalesdif</t>
        </is>
      </c>
      <c r="B468" t="inlineStr">
        <is>
          <t>low_prices</t>
        </is>
      </c>
      <c r="C468" t="inlineStr">
        <is>
          <t>Low selling prices [e.g. compared to input prices / inflation]</t>
        </is>
      </c>
      <c r="D468" s="4" t="n"/>
      <c r="E468" s="13" t="n"/>
    </row>
    <row r="469">
      <c r="A469" t="inlineStr">
        <is>
          <t>fishsalesdif</t>
        </is>
      </c>
      <c r="B469" t="inlineStr">
        <is>
          <t>processing</t>
        </is>
      </c>
      <c r="C469" t="inlineStr">
        <is>
          <t>Difficulties processing product [lack of access to processing inputs / equipment / etc]</t>
        </is>
      </c>
      <c r="D469" s="4" t="n"/>
      <c r="E469" s="13" t="n"/>
    </row>
    <row r="470">
      <c r="A470" t="inlineStr">
        <is>
          <t>fishsalesdif</t>
        </is>
      </c>
      <c r="B470" t="inlineStr">
        <is>
          <t>competition</t>
        </is>
      </c>
      <c r="C470" t="inlineStr">
        <is>
          <t>Market flooded with product</t>
        </is>
      </c>
      <c r="D470" s="4" t="n"/>
      <c r="E470" s="13" t="n"/>
    </row>
    <row r="471">
      <c r="A471" t="inlineStr">
        <is>
          <t>fishsalesdif</t>
        </is>
      </c>
      <c r="B471" t="inlineStr">
        <is>
          <t>other</t>
        </is>
      </c>
      <c r="C471" t="inlineStr">
        <is>
          <t>Other</t>
        </is>
      </c>
      <c r="D471" s="4" t="n"/>
    </row>
    <row r="472">
      <c r="A472" t="inlineStr">
        <is>
          <t>fishsalesdif</t>
        </is>
      </c>
      <c r="B472" t="inlineStr">
        <is>
          <t>dk</t>
        </is>
      </c>
      <c r="C472" t="inlineStr">
        <is>
          <t>DON'T KNOW</t>
        </is>
      </c>
      <c r="D472" s="4" t="n"/>
    </row>
    <row r="473" ht="16" customHeight="1">
      <c r="A473" t="inlineStr">
        <is>
          <t>fishsalesdif</t>
        </is>
      </c>
      <c r="B473" t="inlineStr">
        <is>
          <t>ref</t>
        </is>
      </c>
      <c r="C473" t="inlineStr">
        <is>
          <t>REFUSED</t>
        </is>
      </c>
      <c r="D473" s="4" t="n"/>
    </row>
    <row r="474" ht="16" customHeight="1">
      <c r="D474" s="4" t="n"/>
    </row>
    <row r="475">
      <c r="A475" t="inlineStr">
        <is>
          <t>frequency</t>
        </is>
      </c>
      <c r="B475" t="n">
        <v>1</v>
      </c>
      <c r="C475" t="inlineStr">
        <is>
          <t>Rarely (1-2 times in the past 30 days)</t>
        </is>
      </c>
      <c r="D475" s="4" t="n"/>
    </row>
    <row r="476">
      <c r="A476" t="inlineStr">
        <is>
          <t>frequency</t>
        </is>
      </c>
      <c r="B476" t="n">
        <v>2</v>
      </c>
      <c r="C476" t="inlineStr">
        <is>
          <t>Sometimes (3-10 times in the past 30 days)</t>
        </is>
      </c>
      <c r="D476" s="4" t="n"/>
    </row>
    <row r="477">
      <c r="A477" t="inlineStr">
        <is>
          <t>frequency</t>
        </is>
      </c>
      <c r="B477" t="n">
        <v>3</v>
      </c>
      <c r="C477" t="inlineStr">
        <is>
          <t>Often (more than 10 times in the last 30 days)</t>
        </is>
      </c>
      <c r="D477" s="4" t="n"/>
    </row>
    <row r="478">
      <c r="A478" t="inlineStr">
        <is>
          <t>frequency</t>
        </is>
      </c>
      <c r="B478" t="n">
        <v>4</v>
      </c>
      <c r="C478" t="inlineStr">
        <is>
          <t xml:space="preserve">DON'T KNOW </t>
        </is>
      </c>
      <c r="D478" s="4" t="n"/>
    </row>
    <row r="479">
      <c r="A479" t="inlineStr">
        <is>
          <t>frequency</t>
        </is>
      </c>
      <c r="B479" s="223" t="n">
        <v>5</v>
      </c>
      <c r="C479" t="inlineStr">
        <is>
          <t>REFUSED</t>
        </is>
      </c>
      <c r="D479" s="4" t="n"/>
    </row>
    <row r="480">
      <c r="D480" s="4" t="n"/>
    </row>
    <row r="481">
      <c r="A481" t="inlineStr">
        <is>
          <t>coping</t>
        </is>
      </c>
      <c r="B481" t="n">
        <v>1</v>
      </c>
      <c r="C481" t="inlineStr">
        <is>
          <t>Yes</t>
        </is>
      </c>
      <c r="D481" s="4" t="n"/>
    </row>
    <row r="482">
      <c r="A482" t="inlineStr">
        <is>
          <t>coping</t>
        </is>
      </c>
      <c r="B482" t="n">
        <v>2</v>
      </c>
      <c r="C482" t="inlineStr">
        <is>
          <t>No - because it wasn’t necessary</t>
        </is>
      </c>
      <c r="D482" s="4" t="n"/>
    </row>
    <row r="483">
      <c r="A483" t="inlineStr">
        <is>
          <t>coping</t>
        </is>
      </c>
      <c r="B483" t="n">
        <v>3</v>
      </c>
      <c r="C483" t="inlineStr">
        <is>
          <t>No - because you already sold those assets or did this activity within the last 12 months and you cannot continue to do it</t>
        </is>
      </c>
      <c r="D483" s="4" t="n"/>
    </row>
    <row r="484">
      <c r="A484" t="inlineStr">
        <is>
          <t>coping</t>
        </is>
      </c>
      <c r="B484" t="n">
        <v>4</v>
      </c>
      <c r="C484" t="inlineStr">
        <is>
          <t>Not applicable</t>
        </is>
      </c>
      <c r="D484" s="4" t="n"/>
    </row>
    <row r="485">
      <c r="A485" t="inlineStr">
        <is>
          <t>coping</t>
        </is>
      </c>
      <c r="B485" s="223" t="n">
        <v>5</v>
      </c>
      <c r="C485" t="inlineStr">
        <is>
          <t>DON'T KNOW</t>
        </is>
      </c>
      <c r="D485" s="4" t="n"/>
    </row>
    <row r="486">
      <c r="A486" t="inlineStr">
        <is>
          <t>coping</t>
        </is>
      </c>
      <c r="B486" s="223" t="n">
        <v>6</v>
      </c>
      <c r="C486" t="inlineStr">
        <is>
          <t>REFUSED</t>
        </is>
      </c>
      <c r="D486" s="4" t="n"/>
    </row>
    <row r="487">
      <c r="D487" s="4" t="n"/>
    </row>
    <row r="488">
      <c r="A488" t="inlineStr">
        <is>
          <t>hdds</t>
        </is>
      </c>
      <c r="B488" t="inlineStr">
        <is>
          <t>cereals</t>
        </is>
      </c>
      <c r="C488" t="inlineStr">
        <is>
          <t>Cereals [sorghum / millet / corn / wheat / rice / spaghetti / bread or insert any other locally available grain]</t>
        </is>
      </c>
      <c r="D488" s="4" t="n"/>
    </row>
    <row r="489">
      <c r="A489" t="inlineStr">
        <is>
          <t>hdds</t>
        </is>
      </c>
      <c r="B489" t="inlineStr">
        <is>
          <t>rootstubers</t>
        </is>
      </c>
      <c r="C489" t="inlineStr">
        <is>
          <t>Roots and tubers [white sweet potato / potato / yam / cassava or other tubers]</t>
        </is>
      </c>
      <c r="D489" s="4" t="n"/>
    </row>
    <row r="490">
      <c r="A490" t="inlineStr">
        <is>
          <t>hdds</t>
        </is>
      </c>
      <c r="B490" t="inlineStr">
        <is>
          <t>vegetables</t>
        </is>
      </c>
      <c r="C490" t="inlineStr">
        <is>
          <t>Vegetables [all]</t>
        </is>
      </c>
      <c r="D490" s="4" t="n"/>
    </row>
    <row r="491">
      <c r="A491" t="inlineStr">
        <is>
          <t>hdds</t>
        </is>
      </c>
      <c r="B491" t="inlineStr">
        <is>
          <t>fruits</t>
        </is>
      </c>
      <c r="C491" t="inlineStr">
        <is>
          <t>Fruit [all]</t>
        </is>
      </c>
      <c r="D491" s="4" t="n"/>
    </row>
    <row r="492">
      <c r="A492" t="inlineStr">
        <is>
          <t>hdds</t>
        </is>
      </c>
      <c r="B492" t="inlineStr">
        <is>
          <t>meat</t>
        </is>
      </c>
      <c r="C492" t="inlineStr">
        <is>
          <t>Meat, poultry and offal [beef / pork / lamb /goat / rabbit / wild game / chicken / duck or other birds / liver / kidney / heart / or other organ meats]</t>
        </is>
      </c>
      <c r="D492" s="4" t="n"/>
    </row>
    <row r="493">
      <c r="A493" t="inlineStr">
        <is>
          <t>hdds</t>
        </is>
      </c>
      <c r="B493" t="inlineStr">
        <is>
          <t>eggs</t>
        </is>
      </c>
      <c r="C493" t="inlineStr">
        <is>
          <t>Eggs</t>
        </is>
      </c>
      <c r="D493" s="4" t="n"/>
    </row>
    <row r="494">
      <c r="A494" t="inlineStr">
        <is>
          <t>hdds</t>
        </is>
      </c>
      <c r="B494" t="inlineStr">
        <is>
          <t>fish</t>
        </is>
      </c>
      <c r="C494" t="inlineStr">
        <is>
          <t>Fish or shellfish [fresh or dried fish / other seafood]</t>
        </is>
      </c>
      <c r="D494" s="4" t="n"/>
    </row>
    <row r="495">
      <c r="A495" t="inlineStr">
        <is>
          <t>hdds</t>
        </is>
      </c>
      <c r="B495" t="inlineStr">
        <is>
          <t>legumes</t>
        </is>
      </c>
      <c r="C495" t="inlineStr">
        <is>
          <t>Legumes, nuts and seeds [beans / peas / peanut / lentils / almond / and/or other nuts]</t>
        </is>
      </c>
      <c r="D495" s="4" t="n"/>
    </row>
    <row r="496">
      <c r="A496" t="inlineStr">
        <is>
          <t>hdds</t>
        </is>
      </c>
      <c r="B496" t="inlineStr">
        <is>
          <t>milkdairy</t>
        </is>
      </c>
      <c r="C496" t="inlineStr">
        <is>
          <t>Milk and other dairy products [fresh milk / sour / yogurt / cheese / other dairy products]</t>
        </is>
      </c>
      <c r="D496" s="4" t="n"/>
    </row>
    <row r="497">
      <c r="A497" t="inlineStr">
        <is>
          <t>hdds</t>
        </is>
      </c>
      <c r="B497" t="inlineStr">
        <is>
          <t>oils</t>
        </is>
      </c>
      <c r="C497" t="inlineStr">
        <is>
          <t>Oil/fat / butter [cooking / butter / margarine / fat/oil / other oil]</t>
        </is>
      </c>
      <c r="D497" s="4" t="n"/>
    </row>
    <row r="498">
      <c r="A498" t="inlineStr">
        <is>
          <t>hdds</t>
        </is>
      </c>
      <c r="B498" t="inlineStr">
        <is>
          <t>sugar</t>
        </is>
      </c>
      <c r="C498" t="inlineStr">
        <is>
          <t>Sugar or sugary products [honey / jam / donuts / candy / biscuits / pastries / cakes and other sweet products]</t>
        </is>
      </c>
      <c r="D498" s="4" t="n"/>
    </row>
    <row r="499">
      <c r="A499" t="inlineStr">
        <is>
          <t>hdds</t>
        </is>
      </c>
      <c r="B499" t="inlineStr">
        <is>
          <t>condiments</t>
        </is>
      </c>
      <c r="C499" t="inlineStr">
        <is>
          <t>Condiments [cocoa /salt / garlic / spices / yeast or baking powder / tomato or tomato sauce / meat or fish as a condiment] / coffee / tea</t>
        </is>
      </c>
      <c r="D499" s="4" t="n"/>
    </row>
    <row r="500">
      <c r="D500" s="4" t="n"/>
    </row>
    <row r="501">
      <c r="A501" t="inlineStr">
        <is>
          <t>needs</t>
        </is>
      </c>
      <c r="B501" t="inlineStr">
        <is>
          <t>food</t>
        </is>
      </c>
      <c r="C501" t="inlineStr">
        <is>
          <t>Food</t>
        </is>
      </c>
      <c r="D501" s="4" t="n"/>
    </row>
    <row r="502">
      <c r="A502" t="inlineStr">
        <is>
          <t>needs</t>
        </is>
      </c>
      <c r="B502" t="inlineStr">
        <is>
          <t>cash</t>
        </is>
      </c>
      <c r="C502" t="inlineStr">
        <is>
          <t>Cash</t>
        </is>
      </c>
      <c r="D502" s="4" t="n"/>
    </row>
    <row r="503">
      <c r="A503" t="inlineStr">
        <is>
          <t>needs</t>
        </is>
      </c>
      <c r="B503" t="inlineStr">
        <is>
          <t>vouchers_fair</t>
        </is>
      </c>
      <c r="C503" t="inlineStr">
        <is>
          <t>Vouchers or input trade fairs</t>
        </is>
      </c>
      <c r="D503" s="4" t="n"/>
    </row>
    <row r="504">
      <c r="A504" t="inlineStr">
        <is>
          <t>needs</t>
        </is>
      </c>
      <c r="B504" t="inlineStr">
        <is>
          <t>crop_inputs</t>
        </is>
      </c>
      <c r="C504" t="inlineStr">
        <is>
          <t>Inputs for crop and/or vegetable production [e.g. seeds, fertilizer, tools]</t>
        </is>
      </c>
      <c r="D504" s="4" t="n"/>
    </row>
    <row r="505">
      <c r="A505" t="inlineStr">
        <is>
          <t>needs</t>
        </is>
      </c>
      <c r="B505" t="inlineStr">
        <is>
          <t>crop_infrastructure</t>
        </is>
      </c>
      <c r="C505" t="inlineStr">
        <is>
          <t>Infrastructure for crop and/or vegetable production [e.g. irrigation, canal rehabilitation, pumps]</t>
        </is>
      </c>
      <c r="D505" s="4" t="n"/>
    </row>
    <row r="506">
      <c r="A506" t="inlineStr">
        <is>
          <t>needs</t>
        </is>
      </c>
      <c r="B506" t="inlineStr">
        <is>
          <t>crop_knowledge</t>
        </is>
      </c>
      <c r="C506" t="inlineStr">
        <is>
          <t>Training &amp; technical knowledge/advice for crop production</t>
        </is>
      </c>
      <c r="D506" s="4" t="n"/>
    </row>
    <row r="507">
      <c r="A507" t="inlineStr">
        <is>
          <t>needs</t>
        </is>
      </c>
      <c r="B507" t="inlineStr">
        <is>
          <t>ls_feed</t>
        </is>
      </c>
      <c r="C507" t="inlineStr">
        <is>
          <t>Livestock feed [fodder or supplementary feed]</t>
        </is>
      </c>
      <c r="D507" s="4" t="n"/>
    </row>
    <row r="508">
      <c r="A508" t="inlineStr">
        <is>
          <t>needs</t>
        </is>
      </c>
      <c r="B508" t="inlineStr">
        <is>
          <t>ls_vet_service</t>
        </is>
      </c>
      <c r="C508" t="inlineStr">
        <is>
          <t>Veterinary services [e.g. vaccination, dips, deworming]</t>
        </is>
      </c>
      <c r="D508" s="4" t="n"/>
    </row>
    <row r="509">
      <c r="A509" t="inlineStr">
        <is>
          <t>needs</t>
        </is>
      </c>
      <c r="B509" t="inlineStr">
        <is>
          <t>ls_infrastructure</t>
        </is>
      </c>
      <c r="C509" t="inlineStr">
        <is>
          <t>Infrastructure for livestock [e.g. water points, transhumance corridors, shelter, health points]</t>
        </is>
      </c>
      <c r="D509" s="4" t="n"/>
    </row>
    <row r="510">
      <c r="A510" t="inlineStr">
        <is>
          <t>needs</t>
        </is>
      </c>
      <c r="B510" t="inlineStr">
        <is>
          <t>ls_knowledge</t>
        </is>
      </c>
      <c r="C510" t="inlineStr">
        <is>
          <t>Training &amp; technical knowledge/advice for livestock production</t>
        </is>
      </c>
      <c r="D510" s="4" t="n"/>
    </row>
    <row r="511">
      <c r="A511" t="inlineStr">
        <is>
          <t>needs</t>
        </is>
      </c>
      <c r="B511" t="inlineStr">
        <is>
          <t>fish_inputs</t>
        </is>
      </c>
      <c r="C511" t="inlineStr">
        <is>
          <t>Inputs for fishing or aquaculture production</t>
        </is>
      </c>
      <c r="D511" s="4" t="n"/>
    </row>
    <row r="512">
      <c r="A512" t="inlineStr">
        <is>
          <t>needs</t>
        </is>
      </c>
      <c r="B512" t="inlineStr">
        <is>
          <t>fish_infrastructure</t>
        </is>
      </c>
      <c r="C512" t="inlineStr">
        <is>
          <t>Infrastructure for fisheries or aquaculture production [e.g. rehabilitation of port; repair of ponds]</t>
        </is>
      </c>
      <c r="D512" s="4" t="n"/>
    </row>
    <row r="513">
      <c r="A513" t="inlineStr">
        <is>
          <t>needs</t>
        </is>
      </c>
      <c r="B513" t="inlineStr">
        <is>
          <t>fish_knowledge</t>
        </is>
      </c>
      <c r="C513" t="inlineStr">
        <is>
          <t>Training &amp; technical knowledge/advice for fisheries or aquaculture production</t>
        </is>
      </c>
      <c r="D513" s="4" t="n"/>
    </row>
    <row r="514">
      <c r="A514" t="inlineStr">
        <is>
          <t>needs</t>
        </is>
      </c>
      <c r="B514" t="inlineStr">
        <is>
          <t>env_infra_rehab</t>
        </is>
      </c>
      <c r="C514" t="inlineStr">
        <is>
          <t>Environmental or infrastructure rehabilitation [community-wide]</t>
        </is>
      </c>
      <c r="D514" s="4" t="n"/>
    </row>
    <row r="515">
      <c r="A515" t="inlineStr">
        <is>
          <t>needs</t>
        </is>
      </c>
      <c r="B515" t="inlineStr">
        <is>
          <t>cold_storage</t>
        </is>
      </c>
      <c r="C515" t="inlineStr">
        <is>
          <t>Cold storage</t>
        </is>
      </c>
      <c r="D515" s="4" t="n"/>
    </row>
    <row r="516">
      <c r="A516" t="inlineStr">
        <is>
          <t>needs</t>
        </is>
      </c>
      <c r="B516" t="inlineStr">
        <is>
          <t>marketing_supp</t>
        </is>
      </c>
      <c r="C516" t="inlineStr">
        <is>
          <t>Marketing or sales support [e.g. public procurement]</t>
        </is>
      </c>
      <c r="D516" s="4" t="n"/>
    </row>
    <row r="517">
      <c r="A517" t="inlineStr">
        <is>
          <t>needs</t>
        </is>
      </c>
      <c r="B517" t="inlineStr">
        <is>
          <t>other</t>
        </is>
      </c>
      <c r="C517" t="inlineStr">
        <is>
          <t>Other [specify]</t>
        </is>
      </c>
      <c r="D517" s="4" t="n"/>
    </row>
    <row r="518">
      <c r="A518" t="inlineStr">
        <is>
          <t>needs</t>
        </is>
      </c>
      <c r="B518" t="inlineStr">
        <is>
          <t>dk</t>
        </is>
      </c>
      <c r="C518" t="inlineStr">
        <is>
          <t>DON'T KNOW</t>
        </is>
      </c>
      <c r="D518" s="4" t="n"/>
    </row>
    <row r="519">
      <c r="A519" t="inlineStr">
        <is>
          <t>needs</t>
        </is>
      </c>
      <c r="B519" t="inlineStr">
        <is>
          <t>ref</t>
        </is>
      </c>
      <c r="C519" t="inlineStr">
        <is>
          <t>REFUSED</t>
        </is>
      </c>
      <c r="D519" s="4" t="n"/>
    </row>
    <row r="520">
      <c r="D520" s="4" t="n"/>
    </row>
    <row r="521">
      <c r="A521" t="inlineStr">
        <is>
          <t>needreceived</t>
        </is>
      </c>
      <c r="B521" t="inlineStr">
        <is>
          <t>food</t>
        </is>
      </c>
      <c r="C521" t="inlineStr">
        <is>
          <t>Food</t>
        </is>
      </c>
      <c r="D521" s="4" t="n"/>
    </row>
    <row r="522">
      <c r="A522" t="inlineStr">
        <is>
          <t>needreceived</t>
        </is>
      </c>
      <c r="B522" t="inlineStr">
        <is>
          <t>cash</t>
        </is>
      </c>
      <c r="C522" t="inlineStr">
        <is>
          <t xml:space="preserve">Cash </t>
        </is>
      </c>
      <c r="D522" s="4" t="n"/>
    </row>
    <row r="523">
      <c r="A523" t="inlineStr">
        <is>
          <t>needreceived</t>
        </is>
      </c>
      <c r="B523" t="inlineStr">
        <is>
          <t>vouchers_fair</t>
        </is>
      </c>
      <c r="C523" t="inlineStr">
        <is>
          <t>Vouchers/input trade fairs</t>
        </is>
      </c>
      <c r="D523" s="4" t="n"/>
    </row>
    <row r="524">
      <c r="A524" t="inlineStr">
        <is>
          <t>needreceived</t>
        </is>
      </c>
      <c r="B524" t="inlineStr">
        <is>
          <t>crop_assist</t>
        </is>
      </c>
      <c r="C524" t="inlineStr">
        <is>
          <t>Crop and/or vegetable production assistance</t>
        </is>
      </c>
      <c r="D524" s="4" t="n"/>
    </row>
    <row r="525">
      <c r="A525" t="inlineStr">
        <is>
          <t>needreceived</t>
        </is>
      </c>
      <c r="B525" t="inlineStr">
        <is>
          <t>ls_assist</t>
        </is>
      </c>
      <c r="C525" t="inlineStr">
        <is>
          <t>Livestock assistance</t>
        </is>
      </c>
      <c r="D525" s="4" t="n"/>
    </row>
    <row r="526">
      <c r="A526" t="inlineStr">
        <is>
          <t>needreceived</t>
        </is>
      </c>
      <c r="B526" t="inlineStr">
        <is>
          <t>fish_assist</t>
        </is>
      </c>
      <c r="C526" t="inlineStr">
        <is>
          <t>Fisheries and/or aquaculture assistance</t>
        </is>
      </c>
      <c r="D526" s="4" t="n"/>
    </row>
    <row r="527">
      <c r="A527" t="inlineStr">
        <is>
          <t>needreceived</t>
        </is>
      </c>
      <c r="B527" t="inlineStr">
        <is>
          <t>rehabilitation</t>
        </is>
      </c>
      <c r="C527" t="inlineStr">
        <is>
          <t>Environmental or infrastructure rehabilitation [community-wide]</t>
        </is>
      </c>
      <c r="D527" s="4" t="n"/>
    </row>
    <row r="528">
      <c r="A528" t="inlineStr">
        <is>
          <t>needreceived</t>
        </is>
      </c>
      <c r="B528" t="inlineStr">
        <is>
          <t>sales_support</t>
        </is>
      </c>
      <c r="C528" t="inlineStr">
        <is>
          <t>Marketing or sales support [e.g. public procurement]</t>
        </is>
      </c>
      <c r="D528" s="4" t="n"/>
    </row>
    <row r="529">
      <c r="A529" t="inlineStr">
        <is>
          <t>needreceived</t>
        </is>
      </c>
      <c r="B529" t="inlineStr">
        <is>
          <t>other</t>
        </is>
      </c>
      <c r="C529" t="inlineStr">
        <is>
          <t>Other [specify]</t>
        </is>
      </c>
      <c r="D529" s="4" t="n"/>
    </row>
    <row r="530">
      <c r="A530" t="inlineStr">
        <is>
          <t>needreceived</t>
        </is>
      </c>
      <c r="B530" t="inlineStr">
        <is>
          <t>none</t>
        </is>
      </c>
      <c r="C530" t="inlineStr">
        <is>
          <t>No assistance received</t>
        </is>
      </c>
      <c r="D530" s="4" t="n"/>
    </row>
    <row r="531">
      <c r="A531" t="inlineStr">
        <is>
          <t>needreceived</t>
        </is>
      </c>
      <c r="B531" t="inlineStr">
        <is>
          <t>dk</t>
        </is>
      </c>
      <c r="C531" t="inlineStr">
        <is>
          <t xml:space="preserve">DON'T KNOW </t>
        </is>
      </c>
      <c r="D531" s="4" t="n"/>
    </row>
    <row r="532">
      <c r="A532" t="inlineStr">
        <is>
          <t>needreceived</t>
        </is>
      </c>
      <c r="B532" t="inlineStr">
        <is>
          <t>ref</t>
        </is>
      </c>
      <c r="C532" t="inlineStr">
        <is>
          <t>REFUSED</t>
        </is>
      </c>
      <c r="D532" s="4" t="n"/>
    </row>
    <row r="533">
      <c r="D533" s="4" t="n"/>
    </row>
    <row r="534">
      <c r="A534" t="inlineStr">
        <is>
          <t>assist_quality</t>
        </is>
      </c>
      <c r="B534" t="n">
        <v>1</v>
      </c>
      <c r="C534" t="inlineStr">
        <is>
          <t>Yes</t>
        </is>
      </c>
      <c r="D534" s="4" t="n"/>
    </row>
    <row r="535">
      <c r="A535" t="inlineStr">
        <is>
          <t>assist_quality</t>
        </is>
      </c>
      <c r="B535" t="n">
        <v>2</v>
      </c>
      <c r="C535" t="inlineStr">
        <is>
          <t>No - not received on time</t>
        </is>
      </c>
      <c r="D535" s="4" t="n"/>
    </row>
    <row r="536">
      <c r="A536" t="inlineStr">
        <is>
          <t>assist_quality</t>
        </is>
      </c>
      <c r="B536" t="n">
        <v>3</v>
      </c>
      <c r="C536" t="inlineStr">
        <is>
          <t>No - did not meet my needs</t>
        </is>
      </c>
      <c r="D536" s="4" t="n"/>
    </row>
    <row r="537">
      <c r="A537" t="inlineStr">
        <is>
          <t>assist_quality</t>
        </is>
      </c>
      <c r="B537" t="n">
        <v>4</v>
      </c>
      <c r="C537" t="inlineStr">
        <is>
          <t>No - quantity was not sufficient</t>
        </is>
      </c>
      <c r="D537" s="4" t="n"/>
    </row>
    <row r="538">
      <c r="A538" t="inlineStr">
        <is>
          <t>assist_quality</t>
        </is>
      </c>
      <c r="B538" t="n">
        <v>5</v>
      </c>
      <c r="C538" t="inlineStr">
        <is>
          <t>No - there was a problem with the provider</t>
        </is>
      </c>
      <c r="D538" s="4" t="n"/>
    </row>
    <row r="539">
      <c r="A539" t="inlineStr">
        <is>
          <t>assist_quality</t>
        </is>
      </c>
      <c r="B539" t="n">
        <v>6</v>
      </c>
      <c r="C539" t="inlineStr">
        <is>
          <t>No - there was a malfunction of the in-kind assistance provided [e.g. poor quality tools]</t>
        </is>
      </c>
      <c r="D539" s="4" t="n"/>
    </row>
    <row r="540">
      <c r="A540" t="inlineStr">
        <is>
          <t>assist_quality</t>
        </is>
      </c>
      <c r="B540" t="n">
        <v>7</v>
      </c>
      <c r="C540" t="inlineStr">
        <is>
          <t>DON'T KNOW</t>
        </is>
      </c>
      <c r="D540" s="4" t="n"/>
    </row>
    <row r="541">
      <c r="A541" t="inlineStr">
        <is>
          <t>assist_quality</t>
        </is>
      </c>
      <c r="B541" t="n">
        <v>8</v>
      </c>
      <c r="C541" t="inlineStr">
        <is>
          <t>REFUSED</t>
        </is>
      </c>
      <c r="D541" s="4" t="n"/>
    </row>
    <row r="542">
      <c r="D542" s="4" t="n"/>
    </row>
    <row r="543">
      <c r="A543" t="inlineStr">
        <is>
          <t>provider</t>
        </is>
      </c>
      <c r="B543" t="inlineStr">
        <is>
          <t>fao</t>
        </is>
      </c>
      <c r="C543" t="inlineStr">
        <is>
          <t>FAO</t>
        </is>
      </c>
      <c r="D543" s="4" t="n"/>
    </row>
    <row r="544">
      <c r="A544" t="inlineStr">
        <is>
          <t>provider</t>
        </is>
      </c>
      <c r="B544" t="inlineStr">
        <is>
          <t>wfp</t>
        </is>
      </c>
      <c r="C544" t="inlineStr">
        <is>
          <t>WFP</t>
        </is>
      </c>
      <c r="D544" s="4" t="n"/>
    </row>
    <row r="545">
      <c r="A545" t="inlineStr">
        <is>
          <t>provider</t>
        </is>
      </c>
      <c r="B545" t="inlineStr">
        <is>
          <t>otherun</t>
        </is>
      </c>
      <c r="C545" t="inlineStr">
        <is>
          <t>Other UN agencies</t>
        </is>
      </c>
      <c r="D545" s="4" t="n"/>
    </row>
    <row r="546">
      <c r="A546" t="inlineStr">
        <is>
          <t>provider</t>
        </is>
      </c>
      <c r="B546" t="inlineStr">
        <is>
          <t>gov</t>
        </is>
      </c>
      <c r="C546" t="inlineStr">
        <is>
          <t>Government</t>
        </is>
      </c>
      <c r="D546" s="4" t="n"/>
    </row>
    <row r="547">
      <c r="A547" t="inlineStr">
        <is>
          <t>provider</t>
        </is>
      </c>
      <c r="B547" t="inlineStr">
        <is>
          <t>ngo</t>
        </is>
      </c>
      <c r="C547" t="inlineStr">
        <is>
          <t>Non-governmental/local organization</t>
        </is>
      </c>
      <c r="D547" s="4" t="n"/>
    </row>
    <row r="548">
      <c r="A548" t="inlineStr">
        <is>
          <t>provider</t>
        </is>
      </c>
      <c r="B548" t="inlineStr">
        <is>
          <t>dk</t>
        </is>
      </c>
      <c r="C548" t="inlineStr">
        <is>
          <t>DON'T KNOW</t>
        </is>
      </c>
      <c r="D548" s="4" t="n"/>
    </row>
    <row r="549">
      <c r="A549" t="inlineStr">
        <is>
          <t>provider</t>
        </is>
      </c>
      <c r="B549" t="inlineStr">
        <is>
          <t>ref</t>
        </is>
      </c>
      <c r="C549" t="inlineStr">
        <is>
          <t>REFUSED</t>
        </is>
      </c>
      <c r="D549" s="4" t="n"/>
    </row>
    <row r="550">
      <c r="D550" s="4" t="n"/>
    </row>
    <row r="551">
      <c r="A551" t="inlineStr">
        <is>
          <t>week</t>
        </is>
      </c>
      <c r="B551" t="inlineStr">
        <is>
          <t>mon</t>
        </is>
      </c>
      <c r="C551" t="inlineStr">
        <is>
          <t>Monday</t>
        </is>
      </c>
      <c r="D551" s="4" t="n"/>
    </row>
    <row r="552">
      <c r="A552" t="inlineStr">
        <is>
          <t>week</t>
        </is>
      </c>
      <c r="B552" t="inlineStr">
        <is>
          <t>tues</t>
        </is>
      </c>
      <c r="C552" t="inlineStr">
        <is>
          <t>Tuesday</t>
        </is>
      </c>
      <c r="D552" s="4" t="n"/>
    </row>
    <row r="553">
      <c r="A553" t="inlineStr">
        <is>
          <t>week</t>
        </is>
      </c>
      <c r="B553" t="inlineStr">
        <is>
          <t>wed</t>
        </is>
      </c>
      <c r="C553" t="inlineStr">
        <is>
          <t>Wednesday</t>
        </is>
      </c>
      <c r="D553" s="4" t="n"/>
    </row>
    <row r="554">
      <c r="A554" t="inlineStr">
        <is>
          <t>week</t>
        </is>
      </c>
      <c r="B554" t="inlineStr">
        <is>
          <t>thurs</t>
        </is>
      </c>
      <c r="C554" t="inlineStr">
        <is>
          <t>Thursday</t>
        </is>
      </c>
      <c r="D554" s="4" t="n"/>
    </row>
    <row r="555">
      <c r="A555" t="inlineStr">
        <is>
          <t>week</t>
        </is>
      </c>
      <c r="B555" t="inlineStr">
        <is>
          <t>fri</t>
        </is>
      </c>
      <c r="C555" t="inlineStr">
        <is>
          <t>Friday</t>
        </is>
      </c>
      <c r="D555" s="4" t="n"/>
    </row>
    <row r="556">
      <c r="A556" t="inlineStr">
        <is>
          <t>week</t>
        </is>
      </c>
      <c r="B556" t="inlineStr">
        <is>
          <t>sat</t>
        </is>
      </c>
      <c r="C556" t="inlineStr">
        <is>
          <t>Saturday</t>
        </is>
      </c>
      <c r="D556" s="4" t="n"/>
    </row>
    <row r="557">
      <c r="A557" t="inlineStr">
        <is>
          <t>week</t>
        </is>
      </c>
      <c r="B557" t="inlineStr">
        <is>
          <t>sun</t>
        </is>
      </c>
      <c r="C557" t="inlineStr">
        <is>
          <t>Sunday</t>
        </is>
      </c>
      <c r="D557" s="4" t="n"/>
    </row>
    <row r="558">
      <c r="D558" s="4" t="n"/>
    </row>
    <row r="559">
      <c r="A559" t="inlineStr">
        <is>
          <t>time</t>
        </is>
      </c>
      <c r="B559" t="inlineStr">
        <is>
          <t>morn</t>
        </is>
      </c>
      <c r="C559" t="inlineStr">
        <is>
          <t>Mornings</t>
        </is>
      </c>
      <c r="D559" s="4" t="n"/>
    </row>
    <row r="560">
      <c r="A560" t="inlineStr">
        <is>
          <t>time</t>
        </is>
      </c>
      <c r="B560" t="inlineStr">
        <is>
          <t>aft</t>
        </is>
      </c>
      <c r="C560" t="inlineStr">
        <is>
          <t>Afternoons</t>
        </is>
      </c>
      <c r="D560" s="4" t="n"/>
    </row>
    <row r="561">
      <c r="A561" t="inlineStr">
        <is>
          <t>time</t>
        </is>
      </c>
      <c r="B561" t="inlineStr">
        <is>
          <t>eve</t>
        </is>
      </c>
      <c r="C561" t="inlineStr">
        <is>
          <t>Evenings</t>
        </is>
      </c>
      <c r="D561" s="4" t="n"/>
    </row>
    <row r="562">
      <c r="D562" s="4" t="n"/>
    </row>
    <row r="564">
      <c r="A564" s="11" t="n"/>
      <c r="B564" s="11" t="n"/>
      <c r="C564" s="11" t="n"/>
      <c r="D564" s="7" t="n"/>
      <c r="E564" s="11" t="n"/>
    </row>
    <row r="566">
      <c r="A566" t="inlineStr">
        <is>
          <t>crop</t>
        </is>
      </c>
      <c r="B566" t="inlineStr">
        <is>
          <t>2.2</t>
        </is>
      </c>
      <c r="C566" t="inlineStr">
        <is>
          <t>Potatoe</t>
        </is>
      </c>
    </row>
    <row r="567">
      <c r="A567" t="inlineStr">
        <is>
          <t>crop</t>
        </is>
      </c>
      <c r="B567" t="inlineStr">
        <is>
          <t>2.3</t>
        </is>
      </c>
      <c r="C567" t="inlineStr">
        <is>
          <t>Sweet Potatoes</t>
        </is>
      </c>
    </row>
    <row r="568">
      <c r="A568" t="inlineStr">
        <is>
          <t>crop</t>
        </is>
      </c>
      <c r="B568" t="inlineStr">
        <is>
          <t>2.5</t>
        </is>
      </c>
      <c r="C568" t="inlineStr">
        <is>
          <t>Carrots</t>
        </is>
      </c>
    </row>
    <row r="569">
      <c r="A569" t="inlineStr">
        <is>
          <t>crop</t>
        </is>
      </c>
      <c r="B569" t="inlineStr">
        <is>
          <t>3.3</t>
        </is>
      </c>
      <c r="C569" t="inlineStr">
        <is>
          <t>Peas</t>
        </is>
      </c>
    </row>
    <row r="570">
      <c r="A570" t="inlineStr">
        <is>
          <t>crop</t>
        </is>
      </c>
      <c r="B570" t="inlineStr">
        <is>
          <t>3.6</t>
        </is>
      </c>
      <c r="C570" t="inlineStr">
        <is>
          <t>Fava beans</t>
        </is>
      </c>
    </row>
    <row r="571">
      <c r="A571" t="inlineStr">
        <is>
          <t>crop</t>
        </is>
      </c>
      <c r="B571" t="inlineStr">
        <is>
          <t>4.3</t>
        </is>
      </c>
      <c r="C571" t="inlineStr">
        <is>
          <t>Spinach-Amaranth</t>
        </is>
      </c>
    </row>
    <row r="572">
      <c r="A572" t="inlineStr">
        <is>
          <t>crop</t>
        </is>
      </c>
      <c r="B572" t="inlineStr">
        <is>
          <t>4.7</t>
        </is>
      </c>
      <c r="C572" t="inlineStr">
        <is>
          <t>Sorrel Hibiscus / Rosselle</t>
        </is>
      </c>
    </row>
    <row r="573">
      <c r="A573" t="inlineStr">
        <is>
          <t>crop</t>
        </is>
      </c>
      <c r="B573" t="inlineStr">
        <is>
          <t>5.2</t>
        </is>
      </c>
      <c r="C573" t="inlineStr">
        <is>
          <t>Cucumber</t>
        </is>
      </c>
    </row>
    <row r="574">
      <c r="A574" t="inlineStr">
        <is>
          <t>crop</t>
        </is>
      </c>
      <c r="B574" t="inlineStr">
        <is>
          <t>5.6</t>
        </is>
      </c>
      <c r="C574" t="inlineStr">
        <is>
          <t>Okra</t>
        </is>
      </c>
    </row>
    <row r="575">
      <c r="A575" t="inlineStr">
        <is>
          <t>crop</t>
        </is>
      </c>
      <c r="B575" t="inlineStr">
        <is>
          <t>5.9</t>
        </is>
      </c>
      <c r="C575" t="inlineStr">
        <is>
          <t>Haricot</t>
        </is>
      </c>
    </row>
    <row r="576">
      <c r="A576" t="inlineStr">
        <is>
          <t>crop</t>
        </is>
      </c>
      <c r="B576" t="inlineStr">
        <is>
          <t>1.1</t>
        </is>
      </c>
      <c r="C576" t="inlineStr">
        <is>
          <t>Rice</t>
        </is>
      </c>
    </row>
    <row r="577">
      <c r="A577" t="inlineStr">
        <is>
          <t>crop</t>
        </is>
      </c>
      <c r="B577" t="inlineStr">
        <is>
          <t>1.2</t>
        </is>
      </c>
      <c r="C577" t="inlineStr">
        <is>
          <t>Wheat</t>
        </is>
      </c>
    </row>
    <row r="578">
      <c r="A578" t="inlineStr">
        <is>
          <t>crop</t>
        </is>
      </c>
      <c r="B578" t="inlineStr">
        <is>
          <t>1.3</t>
        </is>
      </c>
      <c r="C578" t="inlineStr">
        <is>
          <t>Millet</t>
        </is>
      </c>
    </row>
    <row r="579">
      <c r="A579" t="inlineStr">
        <is>
          <t>crop</t>
        </is>
      </c>
      <c r="B579" t="inlineStr">
        <is>
          <t>1.4</t>
        </is>
      </c>
      <c r="C579" t="inlineStr">
        <is>
          <t>Sorghum</t>
        </is>
      </c>
    </row>
    <row r="580">
      <c r="A580" t="inlineStr">
        <is>
          <t>crop</t>
        </is>
      </c>
      <c r="B580" t="inlineStr">
        <is>
          <t>1.5</t>
        </is>
      </c>
      <c r="C580" t="inlineStr">
        <is>
          <t>Maize</t>
        </is>
      </c>
    </row>
    <row r="581">
      <c r="A581" t="inlineStr">
        <is>
          <t>crop</t>
        </is>
      </c>
      <c r="B581" t="inlineStr">
        <is>
          <t>1.6</t>
        </is>
      </c>
      <c r="C581" t="inlineStr">
        <is>
          <t>Barley</t>
        </is>
      </c>
    </row>
    <row r="582">
      <c r="A582" t="inlineStr">
        <is>
          <t>crop</t>
        </is>
      </c>
      <c r="B582" t="inlineStr">
        <is>
          <t>1.99</t>
        </is>
      </c>
      <c r="C582" t="inlineStr">
        <is>
          <t>Other Cereal</t>
        </is>
      </c>
    </row>
    <row r="583">
      <c r="A583" t="inlineStr">
        <is>
          <t>crop</t>
        </is>
      </c>
      <c r="B583" t="inlineStr">
        <is>
          <t>2.1</t>
        </is>
      </c>
      <c r="C583" t="inlineStr">
        <is>
          <t>Cassava</t>
        </is>
      </c>
    </row>
    <row r="584">
      <c r="A584" t="inlineStr">
        <is>
          <t>crop</t>
        </is>
      </c>
      <c r="B584" t="inlineStr">
        <is>
          <t>2.4</t>
        </is>
      </c>
      <c r="C584" t="inlineStr">
        <is>
          <t>Yams</t>
        </is>
      </c>
    </row>
    <row r="585">
      <c r="A585" t="inlineStr">
        <is>
          <t>crop</t>
        </is>
      </c>
      <c r="B585" t="inlineStr">
        <is>
          <t>2.6</t>
        </is>
      </c>
      <c r="C585" t="inlineStr">
        <is>
          <t>Cocoyam</t>
        </is>
      </c>
    </row>
    <row r="586">
      <c r="A586" t="inlineStr">
        <is>
          <t>crop</t>
        </is>
      </c>
      <c r="B586" t="inlineStr">
        <is>
          <t>2.99</t>
        </is>
      </c>
      <c r="C586" t="inlineStr">
        <is>
          <t>Other tubers</t>
        </is>
      </c>
    </row>
    <row r="587">
      <c r="A587" t="inlineStr">
        <is>
          <t>crop</t>
        </is>
      </c>
      <c r="B587" t="inlineStr">
        <is>
          <t>3.1</t>
        </is>
      </c>
      <c r="C587" t="inlineStr">
        <is>
          <t>Beans</t>
        </is>
      </c>
    </row>
    <row r="588">
      <c r="A588" t="inlineStr">
        <is>
          <t>crop</t>
        </is>
      </c>
      <c r="B588" t="inlineStr">
        <is>
          <t>3.2</t>
        </is>
      </c>
      <c r="C588" t="inlineStr">
        <is>
          <t>Lentils</t>
        </is>
      </c>
    </row>
    <row r="589">
      <c r="A589" t="inlineStr">
        <is>
          <t>crop</t>
        </is>
      </c>
      <c r="B589" t="inlineStr">
        <is>
          <t>3.4</t>
        </is>
      </c>
      <c r="C589" t="inlineStr">
        <is>
          <t>Soybeans</t>
        </is>
      </c>
    </row>
    <row r="590">
      <c r="A590" t="inlineStr">
        <is>
          <t>crop</t>
        </is>
      </c>
      <c r="B590" t="inlineStr">
        <is>
          <t>3.5</t>
        </is>
      </c>
      <c r="C590" t="inlineStr">
        <is>
          <t>Chickpeas</t>
        </is>
      </c>
    </row>
    <row r="591">
      <c r="A591" t="inlineStr">
        <is>
          <t>crop</t>
        </is>
      </c>
      <c r="B591" t="inlineStr">
        <is>
          <t>3.7</t>
        </is>
      </c>
      <c r="C591" t="inlineStr">
        <is>
          <t>Broad beans</t>
        </is>
      </c>
    </row>
    <row r="592">
      <c r="A592" t="inlineStr">
        <is>
          <t>crop</t>
        </is>
      </c>
      <c r="B592" t="inlineStr">
        <is>
          <t>3.99</t>
        </is>
      </c>
      <c r="C592" t="inlineStr">
        <is>
          <t>Other pulses</t>
        </is>
      </c>
    </row>
    <row r="593">
      <c r="A593" t="inlineStr">
        <is>
          <t>crop</t>
        </is>
      </c>
      <c r="B593" t="inlineStr">
        <is>
          <t>4.1</t>
        </is>
      </c>
      <c r="C593" t="inlineStr">
        <is>
          <t>Cabbage</t>
        </is>
      </c>
    </row>
    <row r="594">
      <c r="A594" t="inlineStr">
        <is>
          <t>crop</t>
        </is>
      </c>
      <c r="B594" t="inlineStr">
        <is>
          <t>4.101</t>
        </is>
      </c>
      <c r="C594" t="inlineStr">
        <is>
          <t>Cauliflower</t>
        </is>
      </c>
    </row>
    <row r="595">
      <c r="A595" t="inlineStr">
        <is>
          <t>crop</t>
        </is>
      </c>
      <c r="B595" t="inlineStr">
        <is>
          <t>4.2</t>
        </is>
      </c>
      <c r="C595" t="inlineStr">
        <is>
          <t>Lettuce</t>
        </is>
      </c>
    </row>
    <row r="596">
      <c r="A596" t="inlineStr">
        <is>
          <t>crop</t>
        </is>
      </c>
      <c r="B596" t="inlineStr">
        <is>
          <t>4.4</t>
        </is>
      </c>
      <c r="C596" t="inlineStr">
        <is>
          <t>Cassava leaves</t>
        </is>
      </c>
    </row>
    <row r="597">
      <c r="A597" t="inlineStr">
        <is>
          <t>crop</t>
        </is>
      </c>
      <c r="B597" t="inlineStr">
        <is>
          <t>4.5</t>
        </is>
      </c>
      <c r="C597" t="inlineStr">
        <is>
          <t>Potatoe leaves</t>
        </is>
      </c>
    </row>
    <row r="598">
      <c r="A598" t="inlineStr">
        <is>
          <t>crop</t>
        </is>
      </c>
      <c r="B598" t="inlineStr">
        <is>
          <t>4.6</t>
        </is>
      </c>
      <c r="C598" t="inlineStr">
        <is>
          <t>Moringa</t>
        </is>
      </c>
    </row>
    <row r="599">
      <c r="A599" t="inlineStr">
        <is>
          <t>crop</t>
        </is>
      </c>
      <c r="B599" t="inlineStr">
        <is>
          <t>4.9</t>
        </is>
      </c>
      <c r="C599" t="inlineStr">
        <is>
          <t>Green salad herbs (thyme, parsley, mint, rocca, other)</t>
        </is>
      </c>
    </row>
    <row r="600">
      <c r="A600" t="inlineStr">
        <is>
          <t>crop</t>
        </is>
      </c>
      <c r="B600" t="inlineStr">
        <is>
          <t>4.99</t>
        </is>
      </c>
      <c r="C600" t="inlineStr">
        <is>
          <t>Other leafy vegetables</t>
        </is>
      </c>
    </row>
    <row r="601">
      <c r="A601" t="inlineStr">
        <is>
          <t>crop</t>
        </is>
      </c>
      <c r="B601" t="inlineStr">
        <is>
          <t>5.1</t>
        </is>
      </c>
      <c r="C601" t="inlineStr">
        <is>
          <t>Tomatoes</t>
        </is>
      </c>
    </row>
    <row r="602">
      <c r="A602" t="inlineStr">
        <is>
          <t>crop</t>
        </is>
      </c>
      <c r="B602" t="inlineStr">
        <is>
          <t>5.101</t>
        </is>
      </c>
      <c r="C602" t="inlineStr">
        <is>
          <t>Green peas</t>
        </is>
      </c>
    </row>
    <row r="603">
      <c r="A603" t="inlineStr">
        <is>
          <t>crop</t>
        </is>
      </c>
      <c r="B603" t="inlineStr">
        <is>
          <t>5.11</t>
        </is>
      </c>
      <c r="C603" t="inlineStr">
        <is>
          <t>Fava beans green</t>
        </is>
      </c>
    </row>
    <row r="604">
      <c r="A604" t="inlineStr">
        <is>
          <t>crop</t>
        </is>
      </c>
      <c r="B604" t="inlineStr">
        <is>
          <t>5.3</t>
        </is>
      </c>
      <c r="C604" t="inlineStr">
        <is>
          <t>Pumpkin</t>
        </is>
      </c>
    </row>
    <row r="605">
      <c r="A605" t="inlineStr">
        <is>
          <t>crop</t>
        </is>
      </c>
      <c r="B605" t="inlineStr">
        <is>
          <t>5.4</t>
        </is>
      </c>
      <c r="C605" t="inlineStr">
        <is>
          <t>Eggplant/aubergine</t>
        </is>
      </c>
    </row>
    <row r="606">
      <c r="A606" t="inlineStr">
        <is>
          <t>crop</t>
        </is>
      </c>
      <c r="B606" t="inlineStr">
        <is>
          <t>5.5</t>
        </is>
      </c>
      <c r="C606" t="inlineStr">
        <is>
          <t>Zucchini</t>
        </is>
      </c>
    </row>
    <row r="607">
      <c r="A607" t="inlineStr">
        <is>
          <t>crop</t>
        </is>
      </c>
      <c r="B607" t="inlineStr">
        <is>
          <t>5.7</t>
        </is>
      </c>
      <c r="C607" t="inlineStr">
        <is>
          <t>Bell pepper</t>
        </is>
      </c>
    </row>
    <row r="608">
      <c r="A608" t="inlineStr">
        <is>
          <t>crop</t>
        </is>
      </c>
      <c r="B608" t="inlineStr">
        <is>
          <t>5.8</t>
        </is>
      </c>
      <c r="C608" t="inlineStr">
        <is>
          <t>Onions</t>
        </is>
      </c>
    </row>
    <row r="609">
      <c r="A609" t="inlineStr">
        <is>
          <t>crop</t>
        </is>
      </c>
      <c r="B609" t="inlineStr">
        <is>
          <t>5.99</t>
        </is>
      </c>
      <c r="C609" t="inlineStr">
        <is>
          <t>Other non leafy vegs</t>
        </is>
      </c>
    </row>
    <row r="610">
      <c r="A610" t="inlineStr">
        <is>
          <t>crop</t>
        </is>
      </c>
      <c r="B610" t="inlineStr">
        <is>
          <t>6.1</t>
        </is>
      </c>
      <c r="C610" t="inlineStr">
        <is>
          <t>Orange</t>
        </is>
      </c>
    </row>
    <row r="611">
      <c r="A611" t="inlineStr">
        <is>
          <t>crop</t>
        </is>
      </c>
      <c r="B611" t="inlineStr">
        <is>
          <t>6.2</t>
        </is>
      </c>
      <c r="C611" t="inlineStr">
        <is>
          <t>Lemon</t>
        </is>
      </c>
    </row>
    <row r="612">
      <c r="A612" t="inlineStr">
        <is>
          <t>crop</t>
        </is>
      </c>
      <c r="B612" t="inlineStr">
        <is>
          <t>6.3</t>
        </is>
      </c>
      <c r="C612" t="inlineStr">
        <is>
          <t>Grapefruit</t>
        </is>
      </c>
    </row>
    <row r="613">
      <c r="A613" t="inlineStr">
        <is>
          <t>crop</t>
        </is>
      </c>
      <c r="B613" t="inlineStr">
        <is>
          <t>6.4</t>
        </is>
      </c>
      <c r="C613" t="inlineStr">
        <is>
          <t>Mandarins/clementines</t>
        </is>
      </c>
    </row>
    <row r="614">
      <c r="A614" t="inlineStr">
        <is>
          <t>crop</t>
        </is>
      </c>
      <c r="B614" t="inlineStr">
        <is>
          <t>6.99</t>
        </is>
      </c>
      <c r="C614" t="inlineStr">
        <is>
          <t>Other citrus fruit</t>
        </is>
      </c>
    </row>
    <row r="615">
      <c r="A615" t="inlineStr">
        <is>
          <t>crop</t>
        </is>
      </c>
      <c r="B615" t="inlineStr">
        <is>
          <t>7.1</t>
        </is>
      </c>
      <c r="C615" t="inlineStr">
        <is>
          <t>Sweet Banana</t>
        </is>
      </c>
    </row>
    <row r="616">
      <c r="A616" t="inlineStr">
        <is>
          <t>crop</t>
        </is>
      </c>
      <c r="B616" t="inlineStr">
        <is>
          <t>7.101</t>
        </is>
      </c>
      <c r="C616" t="inlineStr">
        <is>
          <t>Figs</t>
        </is>
      </c>
    </row>
    <row r="617">
      <c r="A617" t="inlineStr">
        <is>
          <t>crop</t>
        </is>
      </c>
      <c r="B617" t="inlineStr">
        <is>
          <t>7.11</t>
        </is>
      </c>
      <c r="C617" t="inlineStr">
        <is>
          <t>Grapes</t>
        </is>
      </c>
    </row>
    <row r="618">
      <c r="A618" t="inlineStr">
        <is>
          <t>crop</t>
        </is>
      </c>
      <c r="B618" t="inlineStr">
        <is>
          <t>7.12</t>
        </is>
      </c>
      <c r="C618" t="inlineStr">
        <is>
          <t>Olives</t>
        </is>
      </c>
    </row>
    <row r="619">
      <c r="A619" t="inlineStr">
        <is>
          <t>crop</t>
        </is>
      </c>
      <c r="B619" t="inlineStr">
        <is>
          <t>7.13</t>
        </is>
      </c>
      <c r="C619" t="inlineStr">
        <is>
          <t>Apple</t>
        </is>
      </c>
    </row>
    <row r="620">
      <c r="A620" t="inlineStr">
        <is>
          <t>crop</t>
        </is>
      </c>
      <c r="B620" t="inlineStr">
        <is>
          <t>7.14</t>
        </is>
      </c>
      <c r="C620" t="inlineStr">
        <is>
          <t>Apricot</t>
        </is>
      </c>
    </row>
    <row r="621">
      <c r="A621" t="inlineStr">
        <is>
          <t>crop</t>
        </is>
      </c>
      <c r="B621" t="inlineStr">
        <is>
          <t>7.15</t>
        </is>
      </c>
      <c r="C621" t="inlineStr">
        <is>
          <t>Cherries</t>
        </is>
      </c>
    </row>
    <row r="622">
      <c r="A622" t="inlineStr">
        <is>
          <t>crop</t>
        </is>
      </c>
      <c r="B622" t="inlineStr">
        <is>
          <t>7.16</t>
        </is>
      </c>
      <c r="C622" t="inlineStr">
        <is>
          <t>Peach/nectarine</t>
        </is>
      </c>
    </row>
    <row r="623">
      <c r="A623" t="inlineStr">
        <is>
          <t>crop</t>
        </is>
      </c>
      <c r="B623" t="inlineStr">
        <is>
          <t>7.17</t>
        </is>
      </c>
      <c r="C623" t="inlineStr">
        <is>
          <t>Strawberries</t>
        </is>
      </c>
    </row>
    <row r="624">
      <c r="A624" t="inlineStr">
        <is>
          <t>crop</t>
        </is>
      </c>
      <c r="B624" t="inlineStr">
        <is>
          <t>7.18</t>
        </is>
      </c>
      <c r="C624" t="inlineStr">
        <is>
          <t>Melon (Cantaloupe)</t>
        </is>
      </c>
    </row>
    <row r="625">
      <c r="A625" t="inlineStr">
        <is>
          <t>crop</t>
        </is>
      </c>
      <c r="B625" t="inlineStr">
        <is>
          <t>7.2</t>
        </is>
      </c>
      <c r="C625" t="inlineStr">
        <is>
          <t>Plantains</t>
        </is>
      </c>
    </row>
    <row r="626">
      <c r="A626" t="inlineStr">
        <is>
          <t>crop</t>
        </is>
      </c>
      <c r="B626" t="inlineStr">
        <is>
          <t>7.3</t>
        </is>
      </c>
      <c r="C626" t="inlineStr">
        <is>
          <t>Papaya</t>
        </is>
      </c>
    </row>
    <row r="627">
      <c r="A627" t="inlineStr">
        <is>
          <t>crop</t>
        </is>
      </c>
      <c r="B627" t="inlineStr">
        <is>
          <t>7.4</t>
        </is>
      </c>
      <c r="C627" t="inlineStr">
        <is>
          <t>Mango</t>
        </is>
      </c>
    </row>
    <row r="628">
      <c r="A628" t="inlineStr">
        <is>
          <t>crop</t>
        </is>
      </c>
      <c r="B628" t="inlineStr">
        <is>
          <t>7.5</t>
        </is>
      </c>
      <c r="C628" t="inlineStr">
        <is>
          <t>Guava</t>
        </is>
      </c>
    </row>
    <row r="629">
      <c r="A629" t="inlineStr">
        <is>
          <t>crop</t>
        </is>
      </c>
      <c r="B629" t="inlineStr">
        <is>
          <t>7.6</t>
        </is>
      </c>
      <c r="C629" t="inlineStr">
        <is>
          <t>Pineapple</t>
        </is>
      </c>
    </row>
    <row r="630">
      <c r="A630" t="inlineStr">
        <is>
          <t>crop</t>
        </is>
      </c>
      <c r="B630" t="inlineStr">
        <is>
          <t>7.7</t>
        </is>
      </c>
      <c r="C630" t="inlineStr">
        <is>
          <t>Avocado</t>
        </is>
      </c>
    </row>
    <row r="631">
      <c r="A631" t="inlineStr">
        <is>
          <t>crop</t>
        </is>
      </c>
      <c r="B631" t="inlineStr">
        <is>
          <t>7.8</t>
        </is>
      </c>
      <c r="C631" t="inlineStr">
        <is>
          <t>Water Melon</t>
        </is>
      </c>
    </row>
    <row r="632">
      <c r="A632" t="inlineStr">
        <is>
          <t>crop</t>
        </is>
      </c>
      <c r="B632" t="inlineStr">
        <is>
          <t>7.9</t>
        </is>
      </c>
      <c r="C632" t="inlineStr">
        <is>
          <t>Dates</t>
        </is>
      </c>
    </row>
    <row r="633">
      <c r="A633" t="inlineStr">
        <is>
          <t>crop</t>
        </is>
      </c>
      <c r="B633" t="inlineStr">
        <is>
          <t>7.99</t>
        </is>
      </c>
      <c r="C633" t="inlineStr">
        <is>
          <t>Other fruit</t>
        </is>
      </c>
    </row>
    <row r="634">
      <c r="A634" t="inlineStr">
        <is>
          <t>crop</t>
        </is>
      </c>
      <c r="B634" t="inlineStr">
        <is>
          <t>8.1</t>
        </is>
      </c>
      <c r="C634" t="inlineStr">
        <is>
          <t>Coconuts</t>
        </is>
      </c>
    </row>
    <row r="635">
      <c r="A635" t="inlineStr">
        <is>
          <t>crop</t>
        </is>
      </c>
      <c r="B635" t="inlineStr">
        <is>
          <t>8.2</t>
        </is>
      </c>
      <c r="C635" t="inlineStr">
        <is>
          <t>Groundnut/peanut</t>
        </is>
      </c>
    </row>
    <row r="636">
      <c r="A636" t="inlineStr">
        <is>
          <t>crop</t>
        </is>
      </c>
      <c r="B636" t="inlineStr">
        <is>
          <t>8.3</t>
        </is>
      </c>
      <c r="C636" t="inlineStr">
        <is>
          <t>Cashew Nut</t>
        </is>
      </c>
    </row>
    <row r="637">
      <c r="A637" t="inlineStr">
        <is>
          <t>crop</t>
        </is>
      </c>
      <c r="B637" t="inlineStr">
        <is>
          <t>8.4</t>
        </is>
      </c>
      <c r="C637" t="inlineStr">
        <is>
          <t>Kola Nut</t>
        </is>
      </c>
    </row>
    <row r="638">
      <c r="A638" t="inlineStr">
        <is>
          <t>crop</t>
        </is>
      </c>
      <c r="B638" t="inlineStr">
        <is>
          <t>8.5</t>
        </is>
      </c>
      <c r="C638" t="inlineStr">
        <is>
          <t>Sesame</t>
        </is>
      </c>
    </row>
    <row r="639">
      <c r="A639" t="inlineStr">
        <is>
          <t>crop</t>
        </is>
      </c>
      <c r="B639" t="inlineStr">
        <is>
          <t>8.6</t>
        </is>
      </c>
      <c r="C639" t="inlineStr">
        <is>
          <t>Bambara nut</t>
        </is>
      </c>
    </row>
    <row r="640">
      <c r="A640" t="inlineStr">
        <is>
          <t>crop</t>
        </is>
      </c>
      <c r="B640" t="inlineStr">
        <is>
          <t>8.7</t>
        </is>
      </c>
      <c r="C640" t="inlineStr">
        <is>
          <t>Almond</t>
        </is>
      </c>
    </row>
    <row r="641">
      <c r="A641" t="inlineStr">
        <is>
          <t>crop</t>
        </is>
      </c>
      <c r="B641" t="inlineStr">
        <is>
          <t>8.8</t>
        </is>
      </c>
      <c r="C641" t="inlineStr">
        <is>
          <t>Walnut</t>
        </is>
      </c>
    </row>
    <row r="642">
      <c r="A642" t="inlineStr">
        <is>
          <t>crop</t>
        </is>
      </c>
      <c r="B642" t="inlineStr">
        <is>
          <t>8.99</t>
        </is>
      </c>
      <c r="C642" t="inlineStr">
        <is>
          <t>Other nuts</t>
        </is>
      </c>
    </row>
    <row r="643">
      <c r="A643" t="inlineStr">
        <is>
          <t>crop</t>
        </is>
      </c>
      <c r="B643" t="inlineStr">
        <is>
          <t>9.1</t>
        </is>
      </c>
      <c r="C643" t="inlineStr">
        <is>
          <t>Cocoa</t>
        </is>
      </c>
    </row>
    <row r="644">
      <c r="A644" t="inlineStr">
        <is>
          <t>crop</t>
        </is>
      </c>
      <c r="B644" t="inlineStr">
        <is>
          <t>9.2</t>
        </is>
      </c>
      <c r="C644" t="inlineStr">
        <is>
          <t>Coffee</t>
        </is>
      </c>
    </row>
    <row r="645">
      <c r="A645" t="inlineStr">
        <is>
          <t>crop</t>
        </is>
      </c>
      <c r="B645" t="inlineStr">
        <is>
          <t>9.3</t>
        </is>
      </c>
      <c r="C645" t="inlineStr">
        <is>
          <t>Tea</t>
        </is>
      </c>
    </row>
    <row r="646">
      <c r="A646" t="inlineStr">
        <is>
          <t>crop</t>
        </is>
      </c>
      <c r="B646" t="inlineStr">
        <is>
          <t>9.4</t>
        </is>
      </c>
      <c r="C646" t="inlineStr">
        <is>
          <t>Sugarcane</t>
        </is>
      </c>
    </row>
    <row r="647">
      <c r="A647" t="inlineStr">
        <is>
          <t>crop</t>
        </is>
      </c>
      <c r="B647" t="inlineStr">
        <is>
          <t>9.5</t>
        </is>
      </c>
      <c r="C647" t="inlineStr">
        <is>
          <t>Sunflower</t>
        </is>
      </c>
    </row>
    <row r="648">
      <c r="A648" t="inlineStr">
        <is>
          <t>crop</t>
        </is>
      </c>
      <c r="B648" t="inlineStr">
        <is>
          <t>9.99</t>
        </is>
      </c>
      <c r="C648" t="inlineStr">
        <is>
          <t>Other food cash crop</t>
        </is>
      </c>
    </row>
    <row r="649">
      <c r="A649" t="inlineStr">
        <is>
          <t>crop</t>
        </is>
      </c>
      <c r="B649" t="inlineStr">
        <is>
          <t>10.1</t>
        </is>
      </c>
      <c r="C649" t="inlineStr">
        <is>
          <t>Cotton</t>
        </is>
      </c>
    </row>
    <row r="650">
      <c r="A650" t="inlineStr">
        <is>
          <t>crop</t>
        </is>
      </c>
      <c r="B650" t="inlineStr">
        <is>
          <t>10.2</t>
        </is>
      </c>
      <c r="C650" t="inlineStr">
        <is>
          <t>Rubber</t>
        </is>
      </c>
    </row>
    <row r="651">
      <c r="A651" t="inlineStr">
        <is>
          <t>crop</t>
        </is>
      </c>
      <c r="B651" t="inlineStr">
        <is>
          <t>10.3</t>
        </is>
      </c>
      <c r="C651" t="inlineStr">
        <is>
          <t>Jute</t>
        </is>
      </c>
    </row>
    <row r="652">
      <c r="A652" t="inlineStr">
        <is>
          <t>crop</t>
        </is>
      </c>
      <c r="B652" t="inlineStr">
        <is>
          <t>10.4</t>
        </is>
      </c>
      <c r="C652" t="inlineStr">
        <is>
          <t>Fodder</t>
        </is>
      </c>
    </row>
    <row r="653">
      <c r="A653" t="inlineStr">
        <is>
          <t>crop</t>
        </is>
      </c>
      <c r="B653" t="inlineStr">
        <is>
          <t>10.5</t>
        </is>
      </c>
      <c r="C653" t="inlineStr">
        <is>
          <t>Tobacco</t>
        </is>
      </c>
    </row>
    <row r="654">
      <c r="A654" t="inlineStr">
        <is>
          <t>crop</t>
        </is>
      </c>
      <c r="B654" t="inlineStr">
        <is>
          <t>10.6</t>
        </is>
      </c>
      <c r="C654" t="inlineStr">
        <is>
          <t>Qat</t>
        </is>
      </c>
    </row>
    <row r="655">
      <c r="A655" t="inlineStr">
        <is>
          <t>crop</t>
        </is>
      </c>
      <c r="B655" t="inlineStr">
        <is>
          <t>10.99</t>
        </is>
      </c>
      <c r="C655" t="inlineStr">
        <is>
          <t>Other non-food cash crop</t>
        </is>
      </c>
    </row>
    <row r="656">
      <c r="A656" t="inlineStr">
        <is>
          <t>crop</t>
        </is>
      </c>
      <c r="B656" t="inlineStr">
        <is>
          <t>777</t>
        </is>
      </c>
      <c r="C656" t="inlineStr">
        <is>
          <t>No crop production</t>
        </is>
      </c>
    </row>
    <row r="657">
      <c r="A657" t="inlineStr">
        <is>
          <t>crop</t>
        </is>
      </c>
      <c r="B657" t="inlineStr">
        <is>
          <t>888</t>
        </is>
      </c>
      <c r="C657" t="inlineStr">
        <is>
          <t>Don't know</t>
        </is>
      </c>
    </row>
    <row r="658">
      <c r="A658" t="inlineStr">
        <is>
          <t>crop</t>
        </is>
      </c>
      <c r="B658" t="inlineStr">
        <is>
          <t>999</t>
        </is>
      </c>
      <c r="C658" t="inlineStr">
        <is>
          <t>Refused</t>
        </is>
      </c>
    </row>
    <row r="660">
      <c r="A660" t="inlineStr">
        <is>
          <t>crop2</t>
        </is>
      </c>
      <c r="B660" t="inlineStr">
        <is>
          <t>2.2</t>
        </is>
      </c>
      <c r="C660" t="inlineStr">
        <is>
          <t>Potatoe</t>
        </is>
      </c>
    </row>
    <row r="661">
      <c r="A661" t="inlineStr">
        <is>
          <t>crop2</t>
        </is>
      </c>
      <c r="B661" t="inlineStr">
        <is>
          <t>2.3</t>
        </is>
      </c>
      <c r="C661" t="inlineStr">
        <is>
          <t>Sweet Potatoes</t>
        </is>
      </c>
    </row>
    <row r="662">
      <c r="A662" t="inlineStr">
        <is>
          <t>crop2</t>
        </is>
      </c>
      <c r="B662" t="inlineStr">
        <is>
          <t>2.5</t>
        </is>
      </c>
      <c r="C662" t="inlineStr">
        <is>
          <t>Carrots</t>
        </is>
      </c>
    </row>
    <row r="663">
      <c r="A663" t="inlineStr">
        <is>
          <t>crop2</t>
        </is>
      </c>
      <c r="B663" t="inlineStr">
        <is>
          <t>3.3</t>
        </is>
      </c>
      <c r="C663" t="inlineStr">
        <is>
          <t>Peas</t>
        </is>
      </c>
    </row>
    <row r="664">
      <c r="A664" t="inlineStr">
        <is>
          <t>crop2</t>
        </is>
      </c>
      <c r="B664" t="inlineStr">
        <is>
          <t>3.6</t>
        </is>
      </c>
      <c r="C664" t="inlineStr">
        <is>
          <t>Fava beans</t>
        </is>
      </c>
    </row>
    <row r="665">
      <c r="A665" t="inlineStr">
        <is>
          <t>crop2</t>
        </is>
      </c>
      <c r="B665" t="inlineStr">
        <is>
          <t>4.3</t>
        </is>
      </c>
      <c r="C665" t="inlineStr">
        <is>
          <t>Spinach-Amaranth</t>
        </is>
      </c>
    </row>
    <row r="666">
      <c r="A666" t="inlineStr">
        <is>
          <t>crop2</t>
        </is>
      </c>
      <c r="B666" t="inlineStr">
        <is>
          <t>4.7</t>
        </is>
      </c>
      <c r="C666" t="inlineStr">
        <is>
          <t>Sorrel Hibiscus / Rosselle</t>
        </is>
      </c>
    </row>
    <row r="667">
      <c r="A667" t="inlineStr">
        <is>
          <t>crop2</t>
        </is>
      </c>
      <c r="B667" t="inlineStr">
        <is>
          <t>5.2</t>
        </is>
      </c>
      <c r="C667" t="inlineStr">
        <is>
          <t>Cucumber</t>
        </is>
      </c>
    </row>
    <row r="668">
      <c r="A668" t="inlineStr">
        <is>
          <t>crop2</t>
        </is>
      </c>
      <c r="B668" t="inlineStr">
        <is>
          <t>5.6</t>
        </is>
      </c>
      <c r="C668" t="inlineStr">
        <is>
          <t>Okra</t>
        </is>
      </c>
    </row>
    <row r="669">
      <c r="A669" t="inlineStr">
        <is>
          <t>crop2</t>
        </is>
      </c>
      <c r="B669" t="inlineStr">
        <is>
          <t>5.9</t>
        </is>
      </c>
      <c r="C669" t="inlineStr">
        <is>
          <t>Haricot</t>
        </is>
      </c>
    </row>
    <row r="670">
      <c r="A670" t="inlineStr">
        <is>
          <t>crop2</t>
        </is>
      </c>
      <c r="B670" t="inlineStr">
        <is>
          <t>1.1</t>
        </is>
      </c>
      <c r="C670" t="inlineStr">
        <is>
          <t>Rice</t>
        </is>
      </c>
    </row>
    <row r="671">
      <c r="A671" t="inlineStr">
        <is>
          <t>crop2</t>
        </is>
      </c>
      <c r="B671" t="inlineStr">
        <is>
          <t>1.2</t>
        </is>
      </c>
      <c r="C671" t="inlineStr">
        <is>
          <t>Wheat</t>
        </is>
      </c>
    </row>
    <row r="672">
      <c r="A672" t="inlineStr">
        <is>
          <t>crop2</t>
        </is>
      </c>
      <c r="B672" t="inlineStr">
        <is>
          <t>1.3</t>
        </is>
      </c>
      <c r="C672" t="inlineStr">
        <is>
          <t>Millet</t>
        </is>
      </c>
    </row>
    <row r="673">
      <c r="A673" t="inlineStr">
        <is>
          <t>crop2</t>
        </is>
      </c>
      <c r="B673" t="inlineStr">
        <is>
          <t>1.4</t>
        </is>
      </c>
      <c r="C673" t="inlineStr">
        <is>
          <t>Sorghum</t>
        </is>
      </c>
    </row>
    <row r="674">
      <c r="A674" t="inlineStr">
        <is>
          <t>crop2</t>
        </is>
      </c>
      <c r="B674" t="inlineStr">
        <is>
          <t>1.5</t>
        </is>
      </c>
      <c r="C674" t="inlineStr">
        <is>
          <t>Maize</t>
        </is>
      </c>
    </row>
    <row r="675">
      <c r="A675" t="inlineStr">
        <is>
          <t>crop2</t>
        </is>
      </c>
      <c r="B675" t="inlineStr">
        <is>
          <t>1.6</t>
        </is>
      </c>
      <c r="C675" t="inlineStr">
        <is>
          <t>Barley</t>
        </is>
      </c>
    </row>
    <row r="676">
      <c r="A676" t="inlineStr">
        <is>
          <t>crop2</t>
        </is>
      </c>
      <c r="B676" t="inlineStr">
        <is>
          <t>1.99</t>
        </is>
      </c>
      <c r="C676" t="inlineStr">
        <is>
          <t>Other Cereal</t>
        </is>
      </c>
    </row>
    <row r="677">
      <c r="A677" t="inlineStr">
        <is>
          <t>crop2</t>
        </is>
      </c>
      <c r="B677" t="inlineStr">
        <is>
          <t>2.1</t>
        </is>
      </c>
      <c r="C677" t="inlineStr">
        <is>
          <t>Cassava</t>
        </is>
      </c>
    </row>
    <row r="678">
      <c r="A678" t="inlineStr">
        <is>
          <t>crop2</t>
        </is>
      </c>
      <c r="B678" t="inlineStr">
        <is>
          <t>2.4</t>
        </is>
      </c>
      <c r="C678" t="inlineStr">
        <is>
          <t>Yams</t>
        </is>
      </c>
    </row>
    <row r="679">
      <c r="A679" t="inlineStr">
        <is>
          <t>crop2</t>
        </is>
      </c>
      <c r="B679" t="inlineStr">
        <is>
          <t>2.6</t>
        </is>
      </c>
      <c r="C679" t="inlineStr">
        <is>
          <t>Cocoyam</t>
        </is>
      </c>
    </row>
    <row r="680">
      <c r="A680" t="inlineStr">
        <is>
          <t>crop2</t>
        </is>
      </c>
      <c r="B680" t="inlineStr">
        <is>
          <t>2.99</t>
        </is>
      </c>
      <c r="C680" t="inlineStr">
        <is>
          <t>Other tubers</t>
        </is>
      </c>
    </row>
    <row r="681">
      <c r="A681" t="inlineStr">
        <is>
          <t>crop2</t>
        </is>
      </c>
      <c r="B681" t="inlineStr">
        <is>
          <t>3.1</t>
        </is>
      </c>
      <c r="C681" t="inlineStr">
        <is>
          <t>Beans</t>
        </is>
      </c>
    </row>
    <row r="682">
      <c r="A682" t="inlineStr">
        <is>
          <t>crop2</t>
        </is>
      </c>
      <c r="B682" t="inlineStr">
        <is>
          <t>3.2</t>
        </is>
      </c>
      <c r="C682" t="inlineStr">
        <is>
          <t>Lentils</t>
        </is>
      </c>
    </row>
    <row r="683">
      <c r="A683" t="inlineStr">
        <is>
          <t>crop2</t>
        </is>
      </c>
      <c r="B683" t="inlineStr">
        <is>
          <t>3.4</t>
        </is>
      </c>
      <c r="C683" t="inlineStr">
        <is>
          <t>Soybeans</t>
        </is>
      </c>
    </row>
    <row r="684">
      <c r="A684" t="inlineStr">
        <is>
          <t>crop2</t>
        </is>
      </c>
      <c r="B684" t="inlineStr">
        <is>
          <t>3.5</t>
        </is>
      </c>
      <c r="C684" t="inlineStr">
        <is>
          <t>Chickpeas</t>
        </is>
      </c>
    </row>
    <row r="685">
      <c r="A685" t="inlineStr">
        <is>
          <t>crop2</t>
        </is>
      </c>
      <c r="B685" t="inlineStr">
        <is>
          <t>3.7</t>
        </is>
      </c>
      <c r="C685" t="inlineStr">
        <is>
          <t>Broad beans</t>
        </is>
      </c>
    </row>
    <row r="686">
      <c r="A686" t="inlineStr">
        <is>
          <t>crop2</t>
        </is>
      </c>
      <c r="B686" t="inlineStr">
        <is>
          <t>3.99</t>
        </is>
      </c>
      <c r="C686" t="inlineStr">
        <is>
          <t>Other pulses</t>
        </is>
      </c>
    </row>
    <row r="687">
      <c r="A687" t="inlineStr">
        <is>
          <t>crop2</t>
        </is>
      </c>
      <c r="B687" t="inlineStr">
        <is>
          <t>4.1</t>
        </is>
      </c>
      <c r="C687" t="inlineStr">
        <is>
          <t>Cabbage</t>
        </is>
      </c>
    </row>
    <row r="688">
      <c r="A688" t="inlineStr">
        <is>
          <t>crop2</t>
        </is>
      </c>
      <c r="B688" t="inlineStr">
        <is>
          <t>4.101</t>
        </is>
      </c>
      <c r="C688" t="inlineStr">
        <is>
          <t>Cauliflower</t>
        </is>
      </c>
    </row>
    <row r="689">
      <c r="A689" t="inlineStr">
        <is>
          <t>crop2</t>
        </is>
      </c>
      <c r="B689" t="inlineStr">
        <is>
          <t>4.2</t>
        </is>
      </c>
      <c r="C689" t="inlineStr">
        <is>
          <t>Lettuce</t>
        </is>
      </c>
    </row>
    <row r="690">
      <c r="A690" t="inlineStr">
        <is>
          <t>crop2</t>
        </is>
      </c>
      <c r="B690" t="inlineStr">
        <is>
          <t>4.4</t>
        </is>
      </c>
      <c r="C690" t="inlineStr">
        <is>
          <t>Cassava leaves</t>
        </is>
      </c>
    </row>
    <row r="691">
      <c r="A691" t="inlineStr">
        <is>
          <t>crop2</t>
        </is>
      </c>
      <c r="B691" t="inlineStr">
        <is>
          <t>4.5</t>
        </is>
      </c>
      <c r="C691" t="inlineStr">
        <is>
          <t>Potatoe leaves</t>
        </is>
      </c>
    </row>
    <row r="692">
      <c r="A692" t="inlineStr">
        <is>
          <t>crop2</t>
        </is>
      </c>
      <c r="B692" t="inlineStr">
        <is>
          <t>4.6</t>
        </is>
      </c>
      <c r="C692" t="inlineStr">
        <is>
          <t>Moringa</t>
        </is>
      </c>
    </row>
    <row r="693">
      <c r="A693" t="inlineStr">
        <is>
          <t>crop2</t>
        </is>
      </c>
      <c r="B693" t="inlineStr">
        <is>
          <t>4.9</t>
        </is>
      </c>
      <c r="C693" t="inlineStr">
        <is>
          <t>Green salad herbs (thyme, parsley, mint, rocca, other)</t>
        </is>
      </c>
    </row>
    <row r="694">
      <c r="A694" t="inlineStr">
        <is>
          <t>crop2</t>
        </is>
      </c>
      <c r="B694" t="inlineStr">
        <is>
          <t>4.99</t>
        </is>
      </c>
      <c r="C694" t="inlineStr">
        <is>
          <t>Other leafy vegetables</t>
        </is>
      </c>
    </row>
    <row r="695">
      <c r="A695" t="inlineStr">
        <is>
          <t>crop2</t>
        </is>
      </c>
      <c r="B695" t="inlineStr">
        <is>
          <t>5.1</t>
        </is>
      </c>
      <c r="C695" t="inlineStr">
        <is>
          <t>Tomatoes</t>
        </is>
      </c>
    </row>
    <row r="696">
      <c r="A696" t="inlineStr">
        <is>
          <t>crop2</t>
        </is>
      </c>
      <c r="B696" t="inlineStr">
        <is>
          <t>5.101</t>
        </is>
      </c>
      <c r="C696" t="inlineStr">
        <is>
          <t>Green peas</t>
        </is>
      </c>
    </row>
    <row r="697">
      <c r="A697" t="inlineStr">
        <is>
          <t>crop2</t>
        </is>
      </c>
      <c r="B697" t="inlineStr">
        <is>
          <t>5.11</t>
        </is>
      </c>
      <c r="C697" t="inlineStr">
        <is>
          <t>Fava beans green</t>
        </is>
      </c>
    </row>
    <row r="698">
      <c r="A698" t="inlineStr">
        <is>
          <t>crop2</t>
        </is>
      </c>
      <c r="B698" t="inlineStr">
        <is>
          <t>5.3</t>
        </is>
      </c>
      <c r="C698" t="inlineStr">
        <is>
          <t>Pumpkin</t>
        </is>
      </c>
    </row>
    <row r="699">
      <c r="A699" t="inlineStr">
        <is>
          <t>crop2</t>
        </is>
      </c>
      <c r="B699" t="inlineStr">
        <is>
          <t>5.4</t>
        </is>
      </c>
      <c r="C699" t="inlineStr">
        <is>
          <t>Eggplant/aubergine</t>
        </is>
      </c>
    </row>
    <row r="700">
      <c r="A700" t="inlineStr">
        <is>
          <t>crop2</t>
        </is>
      </c>
      <c r="B700" t="inlineStr">
        <is>
          <t>5.5</t>
        </is>
      </c>
      <c r="C700" t="inlineStr">
        <is>
          <t>Zucchini</t>
        </is>
      </c>
    </row>
    <row r="701">
      <c r="A701" t="inlineStr">
        <is>
          <t>crop2</t>
        </is>
      </c>
      <c r="B701" t="inlineStr">
        <is>
          <t>5.7</t>
        </is>
      </c>
      <c r="C701" t="inlineStr">
        <is>
          <t>Bell pepper</t>
        </is>
      </c>
    </row>
    <row r="702">
      <c r="A702" t="inlineStr">
        <is>
          <t>crop2</t>
        </is>
      </c>
      <c r="B702" t="inlineStr">
        <is>
          <t>5.8</t>
        </is>
      </c>
      <c r="C702" t="inlineStr">
        <is>
          <t>Onions</t>
        </is>
      </c>
    </row>
    <row r="703">
      <c r="A703" t="inlineStr">
        <is>
          <t>crop2</t>
        </is>
      </c>
      <c r="B703" t="inlineStr">
        <is>
          <t>5.99</t>
        </is>
      </c>
      <c r="C703" t="inlineStr">
        <is>
          <t>Other non leafy vegs</t>
        </is>
      </c>
    </row>
    <row r="704">
      <c r="A704" t="inlineStr">
        <is>
          <t>crop2</t>
        </is>
      </c>
      <c r="B704" t="inlineStr">
        <is>
          <t>6.1</t>
        </is>
      </c>
      <c r="C704" t="inlineStr">
        <is>
          <t>Orange</t>
        </is>
      </c>
    </row>
    <row r="705">
      <c r="A705" t="inlineStr">
        <is>
          <t>crop2</t>
        </is>
      </c>
      <c r="B705" t="inlineStr">
        <is>
          <t>6.2</t>
        </is>
      </c>
      <c r="C705" t="inlineStr">
        <is>
          <t>Lemon</t>
        </is>
      </c>
    </row>
    <row r="706">
      <c r="A706" t="inlineStr">
        <is>
          <t>crop2</t>
        </is>
      </c>
      <c r="B706" t="inlineStr">
        <is>
          <t>6.3</t>
        </is>
      </c>
      <c r="C706" t="inlineStr">
        <is>
          <t>Grapefruit</t>
        </is>
      </c>
    </row>
    <row r="707">
      <c r="A707" t="inlineStr">
        <is>
          <t>crop2</t>
        </is>
      </c>
      <c r="B707" t="inlineStr">
        <is>
          <t>6.4</t>
        </is>
      </c>
      <c r="C707" t="inlineStr">
        <is>
          <t>Mandarins/clementines</t>
        </is>
      </c>
    </row>
    <row r="708">
      <c r="A708" t="inlineStr">
        <is>
          <t>crop2</t>
        </is>
      </c>
      <c r="B708" t="inlineStr">
        <is>
          <t>6.99</t>
        </is>
      </c>
      <c r="C708" t="inlineStr">
        <is>
          <t>Other citrus fruit</t>
        </is>
      </c>
    </row>
    <row r="709">
      <c r="A709" t="inlineStr">
        <is>
          <t>crop2</t>
        </is>
      </c>
      <c r="B709" t="inlineStr">
        <is>
          <t>7.1</t>
        </is>
      </c>
      <c r="C709" t="inlineStr">
        <is>
          <t>Sweet Banana</t>
        </is>
      </c>
    </row>
    <row r="710">
      <c r="A710" t="inlineStr">
        <is>
          <t>crop2</t>
        </is>
      </c>
      <c r="B710" t="inlineStr">
        <is>
          <t>7.101</t>
        </is>
      </c>
      <c r="C710" t="inlineStr">
        <is>
          <t>Figs</t>
        </is>
      </c>
    </row>
    <row r="711">
      <c r="A711" t="inlineStr">
        <is>
          <t>crop2</t>
        </is>
      </c>
      <c r="B711" t="inlineStr">
        <is>
          <t>7.11</t>
        </is>
      </c>
      <c r="C711" t="inlineStr">
        <is>
          <t>Grapes</t>
        </is>
      </c>
    </row>
    <row r="712">
      <c r="A712" t="inlineStr">
        <is>
          <t>crop2</t>
        </is>
      </c>
      <c r="B712" t="inlineStr">
        <is>
          <t>7.12</t>
        </is>
      </c>
      <c r="C712" t="inlineStr">
        <is>
          <t>Olives</t>
        </is>
      </c>
    </row>
    <row r="713">
      <c r="A713" t="inlineStr">
        <is>
          <t>crop2</t>
        </is>
      </c>
      <c r="B713" t="inlineStr">
        <is>
          <t>7.13</t>
        </is>
      </c>
      <c r="C713" t="inlineStr">
        <is>
          <t>Apple</t>
        </is>
      </c>
    </row>
    <row r="714">
      <c r="A714" t="inlineStr">
        <is>
          <t>crop2</t>
        </is>
      </c>
      <c r="B714" t="inlineStr">
        <is>
          <t>7.14</t>
        </is>
      </c>
      <c r="C714" t="inlineStr">
        <is>
          <t>Apricot</t>
        </is>
      </c>
    </row>
    <row r="715">
      <c r="A715" t="inlineStr">
        <is>
          <t>crop2</t>
        </is>
      </c>
      <c r="B715" t="inlineStr">
        <is>
          <t>7.15</t>
        </is>
      </c>
      <c r="C715" t="inlineStr">
        <is>
          <t>Cherries</t>
        </is>
      </c>
    </row>
    <row r="716">
      <c r="A716" t="inlineStr">
        <is>
          <t>crop2</t>
        </is>
      </c>
      <c r="B716" t="inlineStr">
        <is>
          <t>7.16</t>
        </is>
      </c>
      <c r="C716" t="inlineStr">
        <is>
          <t>Peach/nectarine</t>
        </is>
      </c>
    </row>
    <row r="717">
      <c r="A717" t="inlineStr">
        <is>
          <t>crop2</t>
        </is>
      </c>
      <c r="B717" t="inlineStr">
        <is>
          <t>7.17</t>
        </is>
      </c>
      <c r="C717" t="inlineStr">
        <is>
          <t>Strawberries</t>
        </is>
      </c>
    </row>
    <row r="718">
      <c r="A718" t="inlineStr">
        <is>
          <t>crop2</t>
        </is>
      </c>
      <c r="B718" t="inlineStr">
        <is>
          <t>7.18</t>
        </is>
      </c>
      <c r="C718" t="inlineStr">
        <is>
          <t>Melon (Cantaloupe)</t>
        </is>
      </c>
    </row>
    <row r="719">
      <c r="A719" t="inlineStr">
        <is>
          <t>crop2</t>
        </is>
      </c>
      <c r="B719" t="inlineStr">
        <is>
          <t>7.2</t>
        </is>
      </c>
      <c r="C719" t="inlineStr">
        <is>
          <t>Plantains</t>
        </is>
      </c>
    </row>
    <row r="720">
      <c r="A720" t="inlineStr">
        <is>
          <t>crop2</t>
        </is>
      </c>
      <c r="B720" t="inlineStr">
        <is>
          <t>7.3</t>
        </is>
      </c>
      <c r="C720" t="inlineStr">
        <is>
          <t>Papaya</t>
        </is>
      </c>
    </row>
    <row r="721">
      <c r="A721" t="inlineStr">
        <is>
          <t>crop2</t>
        </is>
      </c>
      <c r="B721" t="inlineStr">
        <is>
          <t>7.4</t>
        </is>
      </c>
      <c r="C721" t="inlineStr">
        <is>
          <t>Mango</t>
        </is>
      </c>
    </row>
    <row r="722">
      <c r="A722" t="inlineStr">
        <is>
          <t>crop2</t>
        </is>
      </c>
      <c r="B722" t="inlineStr">
        <is>
          <t>7.5</t>
        </is>
      </c>
      <c r="C722" t="inlineStr">
        <is>
          <t>Guava</t>
        </is>
      </c>
    </row>
    <row r="723">
      <c r="A723" t="inlineStr">
        <is>
          <t>crop2</t>
        </is>
      </c>
      <c r="B723" t="inlineStr">
        <is>
          <t>7.6</t>
        </is>
      </c>
      <c r="C723" t="inlineStr">
        <is>
          <t>Pineapple</t>
        </is>
      </c>
    </row>
    <row r="724">
      <c r="A724" t="inlineStr">
        <is>
          <t>crop2</t>
        </is>
      </c>
      <c r="B724" t="inlineStr">
        <is>
          <t>7.7</t>
        </is>
      </c>
      <c r="C724" t="inlineStr">
        <is>
          <t>Avocado</t>
        </is>
      </c>
    </row>
    <row r="725">
      <c r="A725" t="inlineStr">
        <is>
          <t>crop2</t>
        </is>
      </c>
      <c r="B725" t="inlineStr">
        <is>
          <t>7.8</t>
        </is>
      </c>
      <c r="C725" t="inlineStr">
        <is>
          <t>Water Melon</t>
        </is>
      </c>
    </row>
    <row r="726">
      <c r="A726" t="inlineStr">
        <is>
          <t>crop2</t>
        </is>
      </c>
      <c r="B726" t="inlineStr">
        <is>
          <t>7.9</t>
        </is>
      </c>
      <c r="C726" t="inlineStr">
        <is>
          <t>Dates</t>
        </is>
      </c>
    </row>
    <row r="727">
      <c r="A727" t="inlineStr">
        <is>
          <t>crop2</t>
        </is>
      </c>
      <c r="B727" t="inlineStr">
        <is>
          <t>7.99</t>
        </is>
      </c>
      <c r="C727" t="inlineStr">
        <is>
          <t>Other fruit</t>
        </is>
      </c>
    </row>
    <row r="728">
      <c r="A728" t="inlineStr">
        <is>
          <t>crop2</t>
        </is>
      </c>
      <c r="B728" t="inlineStr">
        <is>
          <t>8.1</t>
        </is>
      </c>
      <c r="C728" t="inlineStr">
        <is>
          <t>Coconuts</t>
        </is>
      </c>
    </row>
    <row r="729">
      <c r="A729" t="inlineStr">
        <is>
          <t>crop2</t>
        </is>
      </c>
      <c r="B729" t="inlineStr">
        <is>
          <t>8.2</t>
        </is>
      </c>
      <c r="C729" t="inlineStr">
        <is>
          <t>Groundnut/peanut</t>
        </is>
      </c>
    </row>
    <row r="730">
      <c r="A730" t="inlineStr">
        <is>
          <t>crop2</t>
        </is>
      </c>
      <c r="B730" t="inlineStr">
        <is>
          <t>8.3</t>
        </is>
      </c>
      <c r="C730" t="inlineStr">
        <is>
          <t>Cashew Nut</t>
        </is>
      </c>
    </row>
    <row r="731">
      <c r="A731" t="inlineStr">
        <is>
          <t>crop2</t>
        </is>
      </c>
      <c r="B731" t="inlineStr">
        <is>
          <t>8.4</t>
        </is>
      </c>
      <c r="C731" t="inlineStr">
        <is>
          <t>Kola Nut</t>
        </is>
      </c>
    </row>
    <row r="732">
      <c r="A732" t="inlineStr">
        <is>
          <t>crop2</t>
        </is>
      </c>
      <c r="B732" t="inlineStr">
        <is>
          <t>8.5</t>
        </is>
      </c>
      <c r="C732" t="inlineStr">
        <is>
          <t>Sesame</t>
        </is>
      </c>
    </row>
    <row r="733">
      <c r="A733" t="inlineStr">
        <is>
          <t>crop2</t>
        </is>
      </c>
      <c r="B733" t="inlineStr">
        <is>
          <t>8.6</t>
        </is>
      </c>
      <c r="C733" t="inlineStr">
        <is>
          <t>Bambara nut</t>
        </is>
      </c>
    </row>
    <row r="734">
      <c r="A734" t="inlineStr">
        <is>
          <t>crop2</t>
        </is>
      </c>
      <c r="B734" t="inlineStr">
        <is>
          <t>8.7</t>
        </is>
      </c>
      <c r="C734" t="inlineStr">
        <is>
          <t>Almond</t>
        </is>
      </c>
    </row>
    <row r="735">
      <c r="A735" t="inlineStr">
        <is>
          <t>crop2</t>
        </is>
      </c>
      <c r="B735" t="inlineStr">
        <is>
          <t>8.8</t>
        </is>
      </c>
      <c r="C735" t="inlineStr">
        <is>
          <t>Walnut</t>
        </is>
      </c>
    </row>
    <row r="736">
      <c r="A736" t="inlineStr">
        <is>
          <t>crop2</t>
        </is>
      </c>
      <c r="B736" t="inlineStr">
        <is>
          <t>8.99</t>
        </is>
      </c>
      <c r="C736" t="inlineStr">
        <is>
          <t>Other nuts</t>
        </is>
      </c>
    </row>
    <row r="737">
      <c r="A737" t="inlineStr">
        <is>
          <t>crop2</t>
        </is>
      </c>
      <c r="B737" t="inlineStr">
        <is>
          <t>9.1</t>
        </is>
      </c>
      <c r="C737" t="inlineStr">
        <is>
          <t>Cocoa</t>
        </is>
      </c>
    </row>
    <row r="738">
      <c r="A738" t="inlineStr">
        <is>
          <t>crop2</t>
        </is>
      </c>
      <c r="B738" t="inlineStr">
        <is>
          <t>9.2</t>
        </is>
      </c>
      <c r="C738" t="inlineStr">
        <is>
          <t>Coffee</t>
        </is>
      </c>
    </row>
    <row r="739">
      <c r="A739" t="inlineStr">
        <is>
          <t>crop2</t>
        </is>
      </c>
      <c r="B739" t="inlineStr">
        <is>
          <t>9.3</t>
        </is>
      </c>
      <c r="C739" t="inlineStr">
        <is>
          <t>Tea</t>
        </is>
      </c>
    </row>
    <row r="740">
      <c r="A740" t="inlineStr">
        <is>
          <t>crop2</t>
        </is>
      </c>
      <c r="B740" t="inlineStr">
        <is>
          <t>9.4</t>
        </is>
      </c>
      <c r="C740" t="inlineStr">
        <is>
          <t>Sugarcane</t>
        </is>
      </c>
    </row>
    <row r="741">
      <c r="A741" t="inlineStr">
        <is>
          <t>crop2</t>
        </is>
      </c>
      <c r="B741" t="inlineStr">
        <is>
          <t>9.5</t>
        </is>
      </c>
      <c r="C741" t="inlineStr">
        <is>
          <t>Sunflower</t>
        </is>
      </c>
    </row>
    <row r="742">
      <c r="A742" t="inlineStr">
        <is>
          <t>crop2</t>
        </is>
      </c>
      <c r="B742" t="inlineStr">
        <is>
          <t>9.99</t>
        </is>
      </c>
      <c r="C742" t="inlineStr">
        <is>
          <t>Other food cash crop</t>
        </is>
      </c>
    </row>
    <row r="743">
      <c r="A743" t="inlineStr">
        <is>
          <t>crop2</t>
        </is>
      </c>
      <c r="B743" t="inlineStr">
        <is>
          <t>10.1</t>
        </is>
      </c>
      <c r="C743" t="inlineStr">
        <is>
          <t>Cotton</t>
        </is>
      </c>
    </row>
    <row r="744">
      <c r="A744" t="inlineStr">
        <is>
          <t>crop2</t>
        </is>
      </c>
      <c r="B744" t="inlineStr">
        <is>
          <t>10.2</t>
        </is>
      </c>
      <c r="C744" t="inlineStr">
        <is>
          <t>Rubber</t>
        </is>
      </c>
    </row>
    <row r="745">
      <c r="A745" t="inlineStr">
        <is>
          <t>crop2</t>
        </is>
      </c>
      <c r="B745" t="inlineStr">
        <is>
          <t>10.3</t>
        </is>
      </c>
      <c r="C745" t="inlineStr">
        <is>
          <t>Jute</t>
        </is>
      </c>
    </row>
    <row r="746">
      <c r="A746" t="inlineStr">
        <is>
          <t>crop2</t>
        </is>
      </c>
      <c r="B746" t="inlineStr">
        <is>
          <t>10.4</t>
        </is>
      </c>
      <c r="C746" t="inlineStr">
        <is>
          <t>Fodder</t>
        </is>
      </c>
    </row>
    <row r="747">
      <c r="A747" t="inlineStr">
        <is>
          <t>crop2</t>
        </is>
      </c>
      <c r="B747" t="inlineStr">
        <is>
          <t>10.5</t>
        </is>
      </c>
      <c r="C747" t="inlineStr">
        <is>
          <t>Tobacco</t>
        </is>
      </c>
    </row>
    <row r="748">
      <c r="A748" t="inlineStr">
        <is>
          <t>crop2</t>
        </is>
      </c>
      <c r="B748" t="inlineStr">
        <is>
          <t>10.6</t>
        </is>
      </c>
      <c r="C748" t="inlineStr">
        <is>
          <t>Qat</t>
        </is>
      </c>
    </row>
    <row r="749">
      <c r="A749" t="inlineStr">
        <is>
          <t>crop2</t>
        </is>
      </c>
      <c r="B749" t="inlineStr">
        <is>
          <t>10.99</t>
        </is>
      </c>
      <c r="C749" t="inlineStr">
        <is>
          <t>Other non-food cash crop</t>
        </is>
      </c>
    </row>
    <row r="750">
      <c r="A750" t="inlineStr">
        <is>
          <t>crop2</t>
        </is>
      </c>
      <c r="B750" t="inlineStr">
        <is>
          <t>666</t>
        </is>
      </c>
      <c r="C750" t="inlineStr">
        <is>
          <t>No other crop</t>
        </is>
      </c>
    </row>
    <row r="751">
      <c r="A751" t="inlineStr">
        <is>
          <t>crop2</t>
        </is>
      </c>
      <c r="B751" t="inlineStr">
        <is>
          <t>888</t>
        </is>
      </c>
      <c r="C751" t="inlineStr">
        <is>
          <t>Don't know</t>
        </is>
      </c>
    </row>
    <row r="752">
      <c r="A752" t="inlineStr">
        <is>
          <t>crop2</t>
        </is>
      </c>
      <c r="B752" t="inlineStr">
        <is>
          <t>999</t>
        </is>
      </c>
      <c r="C752" t="inlineStr">
        <is>
          <t>Refused</t>
        </is>
      </c>
    </row>
    <row r="754">
      <c r="A754" t="inlineStr">
        <is>
          <t>crop3</t>
        </is>
      </c>
      <c r="B754" t="inlineStr">
        <is>
          <t>2.2</t>
        </is>
      </c>
      <c r="C754" t="inlineStr">
        <is>
          <t>Potatoe</t>
        </is>
      </c>
    </row>
    <row r="755">
      <c r="A755" t="inlineStr">
        <is>
          <t>crop3</t>
        </is>
      </c>
      <c r="B755" t="inlineStr">
        <is>
          <t>2.3</t>
        </is>
      </c>
      <c r="C755" t="inlineStr">
        <is>
          <t>Sweet Potatoes</t>
        </is>
      </c>
    </row>
    <row r="756">
      <c r="A756" t="inlineStr">
        <is>
          <t>crop3</t>
        </is>
      </c>
      <c r="B756" t="inlineStr">
        <is>
          <t>2.5</t>
        </is>
      </c>
      <c r="C756" t="inlineStr">
        <is>
          <t>Carrots</t>
        </is>
      </c>
    </row>
    <row r="757">
      <c r="A757" t="inlineStr">
        <is>
          <t>crop3</t>
        </is>
      </c>
      <c r="B757" t="inlineStr">
        <is>
          <t>3.3</t>
        </is>
      </c>
      <c r="C757" t="inlineStr">
        <is>
          <t>Peas</t>
        </is>
      </c>
    </row>
    <row r="758">
      <c r="A758" t="inlineStr">
        <is>
          <t>crop3</t>
        </is>
      </c>
      <c r="B758" t="inlineStr">
        <is>
          <t>3.6</t>
        </is>
      </c>
      <c r="C758" t="inlineStr">
        <is>
          <t>Fava beans</t>
        </is>
      </c>
    </row>
    <row r="759">
      <c r="A759" t="inlineStr">
        <is>
          <t>crop3</t>
        </is>
      </c>
      <c r="B759" t="inlineStr">
        <is>
          <t>4.3</t>
        </is>
      </c>
      <c r="C759" t="inlineStr">
        <is>
          <t>Spinach-Amaranth</t>
        </is>
      </c>
    </row>
    <row r="760">
      <c r="A760" t="inlineStr">
        <is>
          <t>crop3</t>
        </is>
      </c>
      <c r="B760" t="inlineStr">
        <is>
          <t>4.7</t>
        </is>
      </c>
      <c r="C760" t="inlineStr">
        <is>
          <t>Sorrel Hibiscus / Rosselle</t>
        </is>
      </c>
    </row>
    <row r="761">
      <c r="A761" t="inlineStr">
        <is>
          <t>crop3</t>
        </is>
      </c>
      <c r="B761" t="inlineStr">
        <is>
          <t>5.2</t>
        </is>
      </c>
      <c r="C761" t="inlineStr">
        <is>
          <t>Cucumber</t>
        </is>
      </c>
    </row>
    <row r="762">
      <c r="A762" t="inlineStr">
        <is>
          <t>crop3</t>
        </is>
      </c>
      <c r="B762" t="inlineStr">
        <is>
          <t>5.6</t>
        </is>
      </c>
      <c r="C762" t="inlineStr">
        <is>
          <t>Okra</t>
        </is>
      </c>
    </row>
    <row r="763">
      <c r="A763" t="inlineStr">
        <is>
          <t>crop3</t>
        </is>
      </c>
      <c r="B763" t="inlineStr">
        <is>
          <t>5.9</t>
        </is>
      </c>
      <c r="C763" t="inlineStr">
        <is>
          <t>Haricot</t>
        </is>
      </c>
    </row>
    <row r="764">
      <c r="A764" t="inlineStr">
        <is>
          <t>crop3</t>
        </is>
      </c>
      <c r="B764" t="inlineStr">
        <is>
          <t>1.1</t>
        </is>
      </c>
      <c r="C764" t="inlineStr">
        <is>
          <t>Rice</t>
        </is>
      </c>
    </row>
    <row r="765">
      <c r="A765" t="inlineStr">
        <is>
          <t>crop3</t>
        </is>
      </c>
      <c r="B765" t="inlineStr">
        <is>
          <t>1.2</t>
        </is>
      </c>
      <c r="C765" t="inlineStr">
        <is>
          <t>Wheat</t>
        </is>
      </c>
    </row>
    <row r="766">
      <c r="A766" t="inlineStr">
        <is>
          <t>crop3</t>
        </is>
      </c>
      <c r="B766" t="inlineStr">
        <is>
          <t>1.3</t>
        </is>
      </c>
      <c r="C766" t="inlineStr">
        <is>
          <t>Millet</t>
        </is>
      </c>
    </row>
    <row r="767">
      <c r="A767" t="inlineStr">
        <is>
          <t>crop3</t>
        </is>
      </c>
      <c r="B767" t="inlineStr">
        <is>
          <t>1.4</t>
        </is>
      </c>
      <c r="C767" t="inlineStr">
        <is>
          <t>Sorghum</t>
        </is>
      </c>
    </row>
    <row r="768">
      <c r="A768" t="inlineStr">
        <is>
          <t>crop3</t>
        </is>
      </c>
      <c r="B768" t="inlineStr">
        <is>
          <t>1.5</t>
        </is>
      </c>
      <c r="C768" t="inlineStr">
        <is>
          <t>Maize</t>
        </is>
      </c>
    </row>
    <row r="769">
      <c r="A769" t="inlineStr">
        <is>
          <t>crop3</t>
        </is>
      </c>
      <c r="B769" t="inlineStr">
        <is>
          <t>1.6</t>
        </is>
      </c>
      <c r="C769" t="inlineStr">
        <is>
          <t>Barley</t>
        </is>
      </c>
    </row>
    <row r="770">
      <c r="A770" t="inlineStr">
        <is>
          <t>crop3</t>
        </is>
      </c>
      <c r="B770" t="inlineStr">
        <is>
          <t>1.99</t>
        </is>
      </c>
      <c r="C770" t="inlineStr">
        <is>
          <t>Other Cereal</t>
        </is>
      </c>
    </row>
    <row r="771">
      <c r="A771" t="inlineStr">
        <is>
          <t>crop3</t>
        </is>
      </c>
      <c r="B771" t="inlineStr">
        <is>
          <t>2.1</t>
        </is>
      </c>
      <c r="C771" t="inlineStr">
        <is>
          <t>Cassava</t>
        </is>
      </c>
    </row>
    <row r="772">
      <c r="A772" t="inlineStr">
        <is>
          <t>crop3</t>
        </is>
      </c>
      <c r="B772" t="inlineStr">
        <is>
          <t>2.4</t>
        </is>
      </c>
      <c r="C772" t="inlineStr">
        <is>
          <t>Yams</t>
        </is>
      </c>
    </row>
    <row r="773">
      <c r="A773" t="inlineStr">
        <is>
          <t>crop3</t>
        </is>
      </c>
      <c r="B773" t="inlineStr">
        <is>
          <t>2.6</t>
        </is>
      </c>
      <c r="C773" t="inlineStr">
        <is>
          <t>Cocoyam</t>
        </is>
      </c>
    </row>
    <row r="774">
      <c r="A774" t="inlineStr">
        <is>
          <t>crop3</t>
        </is>
      </c>
      <c r="B774" t="inlineStr">
        <is>
          <t>2.99</t>
        </is>
      </c>
      <c r="C774" t="inlineStr">
        <is>
          <t>Other tubers</t>
        </is>
      </c>
    </row>
    <row r="775">
      <c r="A775" t="inlineStr">
        <is>
          <t>crop3</t>
        </is>
      </c>
      <c r="B775" t="inlineStr">
        <is>
          <t>3.1</t>
        </is>
      </c>
      <c r="C775" t="inlineStr">
        <is>
          <t>Beans</t>
        </is>
      </c>
    </row>
    <row r="776">
      <c r="A776" t="inlineStr">
        <is>
          <t>crop3</t>
        </is>
      </c>
      <c r="B776" t="inlineStr">
        <is>
          <t>3.2</t>
        </is>
      </c>
      <c r="C776" t="inlineStr">
        <is>
          <t>Lentils</t>
        </is>
      </c>
    </row>
    <row r="777">
      <c r="A777" t="inlineStr">
        <is>
          <t>crop3</t>
        </is>
      </c>
      <c r="B777" t="inlineStr">
        <is>
          <t>3.4</t>
        </is>
      </c>
      <c r="C777" t="inlineStr">
        <is>
          <t>Soybeans</t>
        </is>
      </c>
    </row>
    <row r="778">
      <c r="A778" t="inlineStr">
        <is>
          <t>crop3</t>
        </is>
      </c>
      <c r="B778" t="inlineStr">
        <is>
          <t>3.5</t>
        </is>
      </c>
      <c r="C778" t="inlineStr">
        <is>
          <t>Chickpeas</t>
        </is>
      </c>
    </row>
    <row r="779">
      <c r="A779" t="inlineStr">
        <is>
          <t>crop3</t>
        </is>
      </c>
      <c r="B779" t="inlineStr">
        <is>
          <t>3.7</t>
        </is>
      </c>
      <c r="C779" t="inlineStr">
        <is>
          <t>Broad beans</t>
        </is>
      </c>
    </row>
    <row r="780">
      <c r="A780" t="inlineStr">
        <is>
          <t>crop3</t>
        </is>
      </c>
      <c r="B780" t="inlineStr">
        <is>
          <t>3.99</t>
        </is>
      </c>
      <c r="C780" t="inlineStr">
        <is>
          <t>Other pulses</t>
        </is>
      </c>
    </row>
    <row r="781">
      <c r="A781" t="inlineStr">
        <is>
          <t>crop3</t>
        </is>
      </c>
      <c r="B781" t="inlineStr">
        <is>
          <t>4.1</t>
        </is>
      </c>
      <c r="C781" t="inlineStr">
        <is>
          <t>Cabbage</t>
        </is>
      </c>
    </row>
    <row r="782">
      <c r="A782" t="inlineStr">
        <is>
          <t>crop3</t>
        </is>
      </c>
      <c r="B782" t="inlineStr">
        <is>
          <t>4.101</t>
        </is>
      </c>
      <c r="C782" t="inlineStr">
        <is>
          <t>Cauliflower</t>
        </is>
      </c>
    </row>
    <row r="783">
      <c r="A783" t="inlineStr">
        <is>
          <t>crop3</t>
        </is>
      </c>
      <c r="B783" t="inlineStr">
        <is>
          <t>4.2</t>
        </is>
      </c>
      <c r="C783" t="inlineStr">
        <is>
          <t>Lettuce</t>
        </is>
      </c>
    </row>
    <row r="784">
      <c r="A784" t="inlineStr">
        <is>
          <t>crop3</t>
        </is>
      </c>
      <c r="B784" t="inlineStr">
        <is>
          <t>4.4</t>
        </is>
      </c>
      <c r="C784" t="inlineStr">
        <is>
          <t>Cassava leaves</t>
        </is>
      </c>
    </row>
    <row r="785">
      <c r="A785" t="inlineStr">
        <is>
          <t>crop3</t>
        </is>
      </c>
      <c r="B785" t="inlineStr">
        <is>
          <t>4.5</t>
        </is>
      </c>
      <c r="C785" t="inlineStr">
        <is>
          <t>Potatoe leaves</t>
        </is>
      </c>
    </row>
    <row r="786">
      <c r="A786" t="inlineStr">
        <is>
          <t>crop3</t>
        </is>
      </c>
      <c r="B786" t="inlineStr">
        <is>
          <t>4.6</t>
        </is>
      </c>
      <c r="C786" t="inlineStr">
        <is>
          <t>Moringa</t>
        </is>
      </c>
    </row>
    <row r="787">
      <c r="A787" t="inlineStr">
        <is>
          <t>crop3</t>
        </is>
      </c>
      <c r="B787" t="inlineStr">
        <is>
          <t>4.9</t>
        </is>
      </c>
      <c r="C787" t="inlineStr">
        <is>
          <t>Green salad herbs (thyme, parsley, mint, rocca, other)</t>
        </is>
      </c>
    </row>
    <row r="788">
      <c r="A788" t="inlineStr">
        <is>
          <t>crop3</t>
        </is>
      </c>
      <c r="B788" t="inlineStr">
        <is>
          <t>4.99</t>
        </is>
      </c>
      <c r="C788" t="inlineStr">
        <is>
          <t>Other leafy vegetables</t>
        </is>
      </c>
    </row>
    <row r="789">
      <c r="A789" t="inlineStr">
        <is>
          <t>crop3</t>
        </is>
      </c>
      <c r="B789" t="inlineStr">
        <is>
          <t>5.1</t>
        </is>
      </c>
      <c r="C789" t="inlineStr">
        <is>
          <t>Tomatoes</t>
        </is>
      </c>
    </row>
    <row r="790">
      <c r="A790" t="inlineStr">
        <is>
          <t>crop3</t>
        </is>
      </c>
      <c r="B790" t="inlineStr">
        <is>
          <t>5.101</t>
        </is>
      </c>
      <c r="C790" t="inlineStr">
        <is>
          <t>Green peas</t>
        </is>
      </c>
    </row>
    <row r="791">
      <c r="A791" t="inlineStr">
        <is>
          <t>crop3</t>
        </is>
      </c>
      <c r="B791" t="inlineStr">
        <is>
          <t>5.11</t>
        </is>
      </c>
      <c r="C791" t="inlineStr">
        <is>
          <t>Fava beans green</t>
        </is>
      </c>
    </row>
    <row r="792">
      <c r="A792" t="inlineStr">
        <is>
          <t>crop3</t>
        </is>
      </c>
      <c r="B792" t="inlineStr">
        <is>
          <t>5.3</t>
        </is>
      </c>
      <c r="C792" t="inlineStr">
        <is>
          <t>Pumpkin</t>
        </is>
      </c>
    </row>
    <row r="793">
      <c r="A793" t="inlineStr">
        <is>
          <t>crop3</t>
        </is>
      </c>
      <c r="B793" t="inlineStr">
        <is>
          <t>5.4</t>
        </is>
      </c>
      <c r="C793" t="inlineStr">
        <is>
          <t>Eggplant/aubergine</t>
        </is>
      </c>
    </row>
    <row r="794">
      <c r="A794" t="inlineStr">
        <is>
          <t>crop3</t>
        </is>
      </c>
      <c r="B794" t="inlineStr">
        <is>
          <t>5.5</t>
        </is>
      </c>
      <c r="C794" t="inlineStr">
        <is>
          <t>Zucchini</t>
        </is>
      </c>
    </row>
    <row r="795">
      <c r="A795" t="inlineStr">
        <is>
          <t>crop3</t>
        </is>
      </c>
      <c r="B795" t="inlineStr">
        <is>
          <t>5.7</t>
        </is>
      </c>
      <c r="C795" t="inlineStr">
        <is>
          <t>Bell pepper</t>
        </is>
      </c>
    </row>
    <row r="796">
      <c r="A796" t="inlineStr">
        <is>
          <t>crop3</t>
        </is>
      </c>
      <c r="B796" t="inlineStr">
        <is>
          <t>5.8</t>
        </is>
      </c>
      <c r="C796" t="inlineStr">
        <is>
          <t>Onions</t>
        </is>
      </c>
    </row>
    <row r="797">
      <c r="A797" t="inlineStr">
        <is>
          <t>crop3</t>
        </is>
      </c>
      <c r="B797" t="inlineStr">
        <is>
          <t>5.99</t>
        </is>
      </c>
      <c r="C797" t="inlineStr">
        <is>
          <t>Other non leafy vegs</t>
        </is>
      </c>
    </row>
    <row r="798">
      <c r="A798" t="inlineStr">
        <is>
          <t>crop3</t>
        </is>
      </c>
      <c r="B798" t="inlineStr">
        <is>
          <t>6.1</t>
        </is>
      </c>
      <c r="C798" t="inlineStr">
        <is>
          <t>Orange</t>
        </is>
      </c>
    </row>
    <row r="799">
      <c r="A799" t="inlineStr">
        <is>
          <t>crop3</t>
        </is>
      </c>
      <c r="B799" t="inlineStr">
        <is>
          <t>6.2</t>
        </is>
      </c>
      <c r="C799" t="inlineStr">
        <is>
          <t>Lemon</t>
        </is>
      </c>
    </row>
    <row r="800">
      <c r="A800" t="inlineStr">
        <is>
          <t>crop3</t>
        </is>
      </c>
      <c r="B800" t="inlineStr">
        <is>
          <t>6.3</t>
        </is>
      </c>
      <c r="C800" t="inlineStr">
        <is>
          <t>Grapefruit</t>
        </is>
      </c>
    </row>
    <row r="801">
      <c r="A801" t="inlineStr">
        <is>
          <t>crop3</t>
        </is>
      </c>
      <c r="B801" t="inlineStr">
        <is>
          <t>6.4</t>
        </is>
      </c>
      <c r="C801" t="inlineStr">
        <is>
          <t>Mandarins/clementines</t>
        </is>
      </c>
    </row>
    <row r="802">
      <c r="A802" t="inlineStr">
        <is>
          <t>crop3</t>
        </is>
      </c>
      <c r="B802" t="inlineStr">
        <is>
          <t>6.99</t>
        </is>
      </c>
      <c r="C802" t="inlineStr">
        <is>
          <t>Other citrus fruit</t>
        </is>
      </c>
    </row>
    <row r="803">
      <c r="A803" t="inlineStr">
        <is>
          <t>crop3</t>
        </is>
      </c>
      <c r="B803" t="inlineStr">
        <is>
          <t>7.1</t>
        </is>
      </c>
      <c r="C803" t="inlineStr">
        <is>
          <t>Sweet Banana</t>
        </is>
      </c>
    </row>
    <row r="804">
      <c r="A804" t="inlineStr">
        <is>
          <t>crop3</t>
        </is>
      </c>
      <c r="B804" t="inlineStr">
        <is>
          <t>7.101</t>
        </is>
      </c>
      <c r="C804" t="inlineStr">
        <is>
          <t>Figs</t>
        </is>
      </c>
    </row>
    <row r="805">
      <c r="A805" t="inlineStr">
        <is>
          <t>crop3</t>
        </is>
      </c>
      <c r="B805" t="inlineStr">
        <is>
          <t>7.11</t>
        </is>
      </c>
      <c r="C805" t="inlineStr">
        <is>
          <t>Grapes</t>
        </is>
      </c>
    </row>
    <row r="806">
      <c r="A806" t="inlineStr">
        <is>
          <t>crop3</t>
        </is>
      </c>
      <c r="B806" t="inlineStr">
        <is>
          <t>7.12</t>
        </is>
      </c>
      <c r="C806" t="inlineStr">
        <is>
          <t>Olives</t>
        </is>
      </c>
    </row>
    <row r="807">
      <c r="A807" t="inlineStr">
        <is>
          <t>crop3</t>
        </is>
      </c>
      <c r="B807" t="inlineStr">
        <is>
          <t>7.13</t>
        </is>
      </c>
      <c r="C807" t="inlineStr">
        <is>
          <t>Apple</t>
        </is>
      </c>
    </row>
    <row r="808">
      <c r="A808" t="inlineStr">
        <is>
          <t>crop3</t>
        </is>
      </c>
      <c r="B808" t="inlineStr">
        <is>
          <t>7.14</t>
        </is>
      </c>
      <c r="C808" t="inlineStr">
        <is>
          <t>Apricot</t>
        </is>
      </c>
    </row>
    <row r="809">
      <c r="A809" t="inlineStr">
        <is>
          <t>crop3</t>
        </is>
      </c>
      <c r="B809" t="inlineStr">
        <is>
          <t>7.15</t>
        </is>
      </c>
      <c r="C809" t="inlineStr">
        <is>
          <t>Cherries</t>
        </is>
      </c>
    </row>
    <row r="810">
      <c r="A810" t="inlineStr">
        <is>
          <t>crop3</t>
        </is>
      </c>
      <c r="B810" t="inlineStr">
        <is>
          <t>7.16</t>
        </is>
      </c>
      <c r="C810" t="inlineStr">
        <is>
          <t>Peach/nectarine</t>
        </is>
      </c>
    </row>
    <row r="811">
      <c r="A811" t="inlineStr">
        <is>
          <t>crop3</t>
        </is>
      </c>
      <c r="B811" t="inlineStr">
        <is>
          <t>7.17</t>
        </is>
      </c>
      <c r="C811" t="inlineStr">
        <is>
          <t>Strawberries</t>
        </is>
      </c>
    </row>
    <row r="812">
      <c r="A812" t="inlineStr">
        <is>
          <t>crop3</t>
        </is>
      </c>
      <c r="B812" t="inlineStr">
        <is>
          <t>7.18</t>
        </is>
      </c>
      <c r="C812" t="inlineStr">
        <is>
          <t>Melon (Cantaloupe)</t>
        </is>
      </c>
    </row>
    <row r="813">
      <c r="A813" t="inlineStr">
        <is>
          <t>crop3</t>
        </is>
      </c>
      <c r="B813" t="inlineStr">
        <is>
          <t>7.2</t>
        </is>
      </c>
      <c r="C813" t="inlineStr">
        <is>
          <t>Plantains</t>
        </is>
      </c>
    </row>
    <row r="814">
      <c r="A814" t="inlineStr">
        <is>
          <t>crop3</t>
        </is>
      </c>
      <c r="B814" t="inlineStr">
        <is>
          <t>7.3</t>
        </is>
      </c>
      <c r="C814" t="inlineStr">
        <is>
          <t>Papaya</t>
        </is>
      </c>
    </row>
    <row r="815">
      <c r="A815" t="inlineStr">
        <is>
          <t>crop3</t>
        </is>
      </c>
      <c r="B815" t="inlineStr">
        <is>
          <t>7.4</t>
        </is>
      </c>
      <c r="C815" t="inlineStr">
        <is>
          <t>Mango</t>
        </is>
      </c>
    </row>
    <row r="816">
      <c r="A816" t="inlineStr">
        <is>
          <t>crop3</t>
        </is>
      </c>
      <c r="B816" t="inlineStr">
        <is>
          <t>7.5</t>
        </is>
      </c>
      <c r="C816" t="inlineStr">
        <is>
          <t>Guava</t>
        </is>
      </c>
    </row>
    <row r="817">
      <c r="A817" t="inlineStr">
        <is>
          <t>crop3</t>
        </is>
      </c>
      <c r="B817" t="inlineStr">
        <is>
          <t>7.6</t>
        </is>
      </c>
      <c r="C817" t="inlineStr">
        <is>
          <t>Pineapple</t>
        </is>
      </c>
    </row>
    <row r="818">
      <c r="A818" t="inlineStr">
        <is>
          <t>crop3</t>
        </is>
      </c>
      <c r="B818" t="inlineStr">
        <is>
          <t>7.7</t>
        </is>
      </c>
      <c r="C818" t="inlineStr">
        <is>
          <t>Avocado</t>
        </is>
      </c>
    </row>
    <row r="819">
      <c r="A819" t="inlineStr">
        <is>
          <t>crop3</t>
        </is>
      </c>
      <c r="B819" t="inlineStr">
        <is>
          <t>7.8</t>
        </is>
      </c>
      <c r="C819" t="inlineStr">
        <is>
          <t>Water Melon</t>
        </is>
      </c>
    </row>
    <row r="820">
      <c r="A820" t="inlineStr">
        <is>
          <t>crop3</t>
        </is>
      </c>
      <c r="B820" t="inlineStr">
        <is>
          <t>7.9</t>
        </is>
      </c>
      <c r="C820" t="inlineStr">
        <is>
          <t>Dates</t>
        </is>
      </c>
    </row>
    <row r="821">
      <c r="A821" t="inlineStr">
        <is>
          <t>crop3</t>
        </is>
      </c>
      <c r="B821" t="inlineStr">
        <is>
          <t>7.99</t>
        </is>
      </c>
      <c r="C821" t="inlineStr">
        <is>
          <t>Other fruit</t>
        </is>
      </c>
    </row>
    <row r="822">
      <c r="A822" t="inlineStr">
        <is>
          <t>crop3</t>
        </is>
      </c>
      <c r="B822" t="inlineStr">
        <is>
          <t>8.1</t>
        </is>
      </c>
      <c r="C822" t="inlineStr">
        <is>
          <t>Coconuts</t>
        </is>
      </c>
    </row>
    <row r="823">
      <c r="A823" t="inlineStr">
        <is>
          <t>crop3</t>
        </is>
      </c>
      <c r="B823" t="inlineStr">
        <is>
          <t>8.2</t>
        </is>
      </c>
      <c r="C823" t="inlineStr">
        <is>
          <t>Groundnut/peanut</t>
        </is>
      </c>
    </row>
    <row r="824">
      <c r="A824" t="inlineStr">
        <is>
          <t>crop3</t>
        </is>
      </c>
      <c r="B824" t="inlineStr">
        <is>
          <t>8.3</t>
        </is>
      </c>
      <c r="C824" t="inlineStr">
        <is>
          <t>Cashew Nut</t>
        </is>
      </c>
    </row>
    <row r="825">
      <c r="A825" t="inlineStr">
        <is>
          <t>crop3</t>
        </is>
      </c>
      <c r="B825" t="inlineStr">
        <is>
          <t>8.4</t>
        </is>
      </c>
      <c r="C825" t="inlineStr">
        <is>
          <t>Kola Nut</t>
        </is>
      </c>
    </row>
    <row r="826">
      <c r="A826" t="inlineStr">
        <is>
          <t>crop3</t>
        </is>
      </c>
      <c r="B826" t="inlineStr">
        <is>
          <t>8.5</t>
        </is>
      </c>
      <c r="C826" t="inlineStr">
        <is>
          <t>Sesame</t>
        </is>
      </c>
    </row>
    <row r="827">
      <c r="A827" t="inlineStr">
        <is>
          <t>crop3</t>
        </is>
      </c>
      <c r="B827" t="inlineStr">
        <is>
          <t>8.6</t>
        </is>
      </c>
      <c r="C827" t="inlineStr">
        <is>
          <t>Bambara nut</t>
        </is>
      </c>
    </row>
    <row r="828">
      <c r="A828" t="inlineStr">
        <is>
          <t>crop3</t>
        </is>
      </c>
      <c r="B828" t="inlineStr">
        <is>
          <t>8.7</t>
        </is>
      </c>
      <c r="C828" t="inlineStr">
        <is>
          <t>Almond</t>
        </is>
      </c>
    </row>
    <row r="829">
      <c r="A829" t="inlineStr">
        <is>
          <t>crop3</t>
        </is>
      </c>
      <c r="B829" t="inlineStr">
        <is>
          <t>8.8</t>
        </is>
      </c>
      <c r="C829" t="inlineStr">
        <is>
          <t>Walnut</t>
        </is>
      </c>
    </row>
    <row r="830">
      <c r="A830" t="inlineStr">
        <is>
          <t>crop3</t>
        </is>
      </c>
      <c r="B830" t="inlineStr">
        <is>
          <t>8.99</t>
        </is>
      </c>
      <c r="C830" t="inlineStr">
        <is>
          <t>Other nuts</t>
        </is>
      </c>
    </row>
    <row r="831">
      <c r="A831" t="inlineStr">
        <is>
          <t>crop3</t>
        </is>
      </c>
      <c r="B831" t="inlineStr">
        <is>
          <t>9.1</t>
        </is>
      </c>
      <c r="C831" t="inlineStr">
        <is>
          <t>Cocoa</t>
        </is>
      </c>
    </row>
    <row r="832">
      <c r="A832" t="inlineStr">
        <is>
          <t>crop3</t>
        </is>
      </c>
      <c r="B832" t="inlineStr">
        <is>
          <t>9.2</t>
        </is>
      </c>
      <c r="C832" t="inlineStr">
        <is>
          <t>Coffee</t>
        </is>
      </c>
    </row>
    <row r="833">
      <c r="A833" t="inlineStr">
        <is>
          <t>crop3</t>
        </is>
      </c>
      <c r="B833" t="inlineStr">
        <is>
          <t>9.3</t>
        </is>
      </c>
      <c r="C833" t="inlineStr">
        <is>
          <t>Tea</t>
        </is>
      </c>
    </row>
    <row r="834">
      <c r="A834" t="inlineStr">
        <is>
          <t>crop3</t>
        </is>
      </c>
      <c r="B834" t="inlineStr">
        <is>
          <t>9.4</t>
        </is>
      </c>
      <c r="C834" t="inlineStr">
        <is>
          <t>Sugarcane</t>
        </is>
      </c>
    </row>
    <row r="835">
      <c r="A835" t="inlineStr">
        <is>
          <t>crop3</t>
        </is>
      </c>
      <c r="B835" t="inlineStr">
        <is>
          <t>9.5</t>
        </is>
      </c>
      <c r="C835" t="inlineStr">
        <is>
          <t>Sunflower</t>
        </is>
      </c>
    </row>
    <row r="836">
      <c r="A836" t="inlineStr">
        <is>
          <t>crop3</t>
        </is>
      </c>
      <c r="B836" t="inlineStr">
        <is>
          <t>9.99</t>
        </is>
      </c>
      <c r="C836" t="inlineStr">
        <is>
          <t>Other food cash crop</t>
        </is>
      </c>
    </row>
    <row r="837">
      <c r="A837" t="inlineStr">
        <is>
          <t>crop3</t>
        </is>
      </c>
      <c r="B837" t="inlineStr">
        <is>
          <t>10.1</t>
        </is>
      </c>
      <c r="C837" t="inlineStr">
        <is>
          <t>Cotton</t>
        </is>
      </c>
    </row>
    <row r="838">
      <c r="A838" t="inlineStr">
        <is>
          <t>crop3</t>
        </is>
      </c>
      <c r="B838" t="inlineStr">
        <is>
          <t>10.2</t>
        </is>
      </c>
      <c r="C838" t="inlineStr">
        <is>
          <t>Rubber</t>
        </is>
      </c>
    </row>
    <row r="839">
      <c r="A839" t="inlineStr">
        <is>
          <t>crop3</t>
        </is>
      </c>
      <c r="B839" t="inlineStr">
        <is>
          <t>10.3</t>
        </is>
      </c>
      <c r="C839" t="inlineStr">
        <is>
          <t>Jute</t>
        </is>
      </c>
    </row>
    <row r="840">
      <c r="A840" t="inlineStr">
        <is>
          <t>crop3</t>
        </is>
      </c>
      <c r="B840" t="inlineStr">
        <is>
          <t>10.4</t>
        </is>
      </c>
      <c r="C840" t="inlineStr">
        <is>
          <t>Fodder</t>
        </is>
      </c>
    </row>
    <row r="841">
      <c r="A841" t="inlineStr">
        <is>
          <t>crop3</t>
        </is>
      </c>
      <c r="B841" t="inlineStr">
        <is>
          <t>10.5</t>
        </is>
      </c>
      <c r="C841" t="inlineStr">
        <is>
          <t>Tobacco</t>
        </is>
      </c>
    </row>
    <row r="842">
      <c r="A842" t="inlineStr">
        <is>
          <t>crop3</t>
        </is>
      </c>
      <c r="B842" t="inlineStr">
        <is>
          <t>10.6</t>
        </is>
      </c>
      <c r="C842" t="inlineStr">
        <is>
          <t>Qat</t>
        </is>
      </c>
    </row>
    <row r="843">
      <c r="A843" t="inlineStr">
        <is>
          <t>crop3</t>
        </is>
      </c>
      <c r="B843" t="inlineStr">
        <is>
          <t>10.99</t>
        </is>
      </c>
      <c r="C843" t="inlineStr">
        <is>
          <t>Other non-food cash crop</t>
        </is>
      </c>
    </row>
    <row r="844">
      <c r="A844" t="inlineStr">
        <is>
          <t>crop3</t>
        </is>
      </c>
      <c r="B844" t="inlineStr">
        <is>
          <t>888</t>
        </is>
      </c>
      <c r="C844" t="inlineStr">
        <is>
          <t>Don't know</t>
        </is>
      </c>
    </row>
    <row r="845">
      <c r="A845" t="inlineStr">
        <is>
          <t>crop3</t>
        </is>
      </c>
      <c r="B845" t="inlineStr">
        <is>
          <t>999</t>
        </is>
      </c>
      <c r="C845" t="inlineStr">
        <is>
          <t>Refused</t>
        </is>
      </c>
    </row>
    <row r="847">
      <c r="A847" t="inlineStr">
        <is>
          <t>admin1</t>
        </is>
      </c>
      <c r="B847" t="inlineStr">
        <is>
          <t>GT01</t>
        </is>
      </c>
      <c r="C847" t="inlineStr">
        <is>
          <t>Guatemala Department</t>
        </is>
      </c>
    </row>
    <row r="848">
      <c r="A848" t="inlineStr">
        <is>
          <t>admin1</t>
        </is>
      </c>
      <c r="B848" t="inlineStr">
        <is>
          <t>GT02</t>
        </is>
      </c>
      <c r="C848" t="inlineStr">
        <is>
          <t>El Progreso</t>
        </is>
      </c>
    </row>
    <row r="849">
      <c r="A849" t="inlineStr">
        <is>
          <t>admin1</t>
        </is>
      </c>
      <c r="B849" t="inlineStr">
        <is>
          <t>GT03</t>
        </is>
      </c>
      <c r="C849" t="inlineStr">
        <is>
          <t>Sacatepéquez</t>
        </is>
      </c>
    </row>
    <row r="850">
      <c r="A850" t="inlineStr">
        <is>
          <t>admin1</t>
        </is>
      </c>
      <c r="B850" t="inlineStr">
        <is>
          <t>GT04</t>
        </is>
      </c>
      <c r="C850" t="inlineStr">
        <is>
          <t>Chimaltenango</t>
        </is>
      </c>
    </row>
    <row r="851">
      <c r="A851" t="inlineStr">
        <is>
          <t>admin1</t>
        </is>
      </c>
      <c r="B851" t="inlineStr">
        <is>
          <t>GT05</t>
        </is>
      </c>
      <c r="C851" t="inlineStr">
        <is>
          <t>Escuintla</t>
        </is>
      </c>
    </row>
    <row r="852">
      <c r="A852" t="inlineStr">
        <is>
          <t>admin1</t>
        </is>
      </c>
      <c r="B852" t="inlineStr">
        <is>
          <t>GT06</t>
        </is>
      </c>
      <c r="C852" t="inlineStr">
        <is>
          <t>Santa Rosa</t>
        </is>
      </c>
    </row>
    <row r="853">
      <c r="A853" t="inlineStr">
        <is>
          <t>admin1</t>
        </is>
      </c>
      <c r="B853" t="inlineStr">
        <is>
          <t>GT07</t>
        </is>
      </c>
      <c r="C853" t="inlineStr">
        <is>
          <t>Sololá</t>
        </is>
      </c>
    </row>
    <row r="854">
      <c r="A854" t="inlineStr">
        <is>
          <t>admin1</t>
        </is>
      </c>
      <c r="B854" t="inlineStr">
        <is>
          <t>GT08</t>
        </is>
      </c>
      <c r="C854" t="inlineStr">
        <is>
          <t>Totonicapán</t>
        </is>
      </c>
    </row>
    <row r="855">
      <c r="A855" t="inlineStr">
        <is>
          <t>admin1</t>
        </is>
      </c>
      <c r="B855" t="inlineStr">
        <is>
          <t>GT09</t>
        </is>
      </c>
      <c r="C855" t="inlineStr">
        <is>
          <t>Quetzaltenango</t>
        </is>
      </c>
    </row>
    <row r="856">
      <c r="A856" t="inlineStr">
        <is>
          <t>admin1</t>
        </is>
      </c>
      <c r="B856" t="inlineStr">
        <is>
          <t>GT10</t>
        </is>
      </c>
      <c r="C856" t="inlineStr">
        <is>
          <t>Suchitepéquez</t>
        </is>
      </c>
    </row>
    <row r="857">
      <c r="A857" t="inlineStr">
        <is>
          <t>admin1</t>
        </is>
      </c>
      <c r="B857" t="inlineStr">
        <is>
          <t>GT11</t>
        </is>
      </c>
      <c r="C857" t="inlineStr">
        <is>
          <t>Retalhuleu</t>
        </is>
      </c>
    </row>
    <row r="858">
      <c r="A858" t="inlineStr">
        <is>
          <t>admin1</t>
        </is>
      </c>
      <c r="B858" t="inlineStr">
        <is>
          <t>GT12</t>
        </is>
      </c>
      <c r="C858" t="inlineStr">
        <is>
          <t>San Marcos</t>
        </is>
      </c>
    </row>
    <row r="859">
      <c r="A859" t="inlineStr">
        <is>
          <t>admin1</t>
        </is>
      </c>
      <c r="B859" t="inlineStr">
        <is>
          <t>GT13</t>
        </is>
      </c>
      <c r="C859" t="inlineStr">
        <is>
          <t>Huehuetenango</t>
        </is>
      </c>
    </row>
    <row r="860">
      <c r="A860" t="inlineStr">
        <is>
          <t>admin1</t>
        </is>
      </c>
      <c r="B860" t="inlineStr">
        <is>
          <t>GT14</t>
        </is>
      </c>
      <c r="C860" t="inlineStr">
        <is>
          <t>Quiché</t>
        </is>
      </c>
    </row>
    <row r="861">
      <c r="A861" t="inlineStr">
        <is>
          <t>admin1</t>
        </is>
      </c>
      <c r="B861" t="inlineStr">
        <is>
          <t>GT15</t>
        </is>
      </c>
      <c r="C861" t="inlineStr">
        <is>
          <t>Baja Verapaz</t>
        </is>
      </c>
    </row>
    <row r="862">
      <c r="A862" t="inlineStr">
        <is>
          <t>admin1</t>
        </is>
      </c>
      <c r="B862" t="inlineStr">
        <is>
          <t>GT16</t>
        </is>
      </c>
      <c r="C862" t="inlineStr">
        <is>
          <t>Alta Verapaz</t>
        </is>
      </c>
    </row>
    <row r="863">
      <c r="A863" t="inlineStr">
        <is>
          <t>admin1</t>
        </is>
      </c>
      <c r="B863" t="inlineStr">
        <is>
          <t>GT17</t>
        </is>
      </c>
      <c r="C863" t="inlineStr">
        <is>
          <t>Petén</t>
        </is>
      </c>
    </row>
    <row r="864">
      <c r="A864" t="inlineStr">
        <is>
          <t>admin1</t>
        </is>
      </c>
      <c r="B864" t="inlineStr">
        <is>
          <t>GT18</t>
        </is>
      </c>
      <c r="C864" t="inlineStr">
        <is>
          <t>Izabal</t>
        </is>
      </c>
    </row>
    <row r="865">
      <c r="A865" t="inlineStr">
        <is>
          <t>admin1</t>
        </is>
      </c>
      <c r="B865" t="inlineStr">
        <is>
          <t>GT19</t>
        </is>
      </c>
      <c r="C865" t="inlineStr">
        <is>
          <t>Zacapa</t>
        </is>
      </c>
    </row>
    <row r="866">
      <c r="A866" t="inlineStr">
        <is>
          <t>admin1</t>
        </is>
      </c>
      <c r="B866" t="inlineStr">
        <is>
          <t>GT20</t>
        </is>
      </c>
      <c r="C866" t="inlineStr">
        <is>
          <t>Chiquimula</t>
        </is>
      </c>
    </row>
    <row r="867">
      <c r="A867" t="inlineStr">
        <is>
          <t>admin1</t>
        </is>
      </c>
      <c r="B867" t="inlineStr">
        <is>
          <t>GT21</t>
        </is>
      </c>
      <c r="C867" t="inlineStr">
        <is>
          <t>Jalapa</t>
        </is>
      </c>
    </row>
    <row r="868">
      <c r="A868" t="inlineStr">
        <is>
          <t>admin1</t>
        </is>
      </c>
      <c r="B868" t="inlineStr">
        <is>
          <t>GT22</t>
        </is>
      </c>
      <c r="C868" t="inlineStr">
        <is>
          <t>Jutiapa</t>
        </is>
      </c>
    </row>
    <row r="870">
      <c r="A870" t="inlineStr">
        <is>
          <t>admin2</t>
        </is>
      </c>
      <c r="B870" t="inlineStr">
        <is>
          <t>GT0100</t>
        </is>
      </c>
      <c r="C870" t="inlineStr">
        <is>
          <t>Lago De Amatitlan</t>
        </is>
      </c>
      <c r="E870" t="inlineStr">
        <is>
          <t>GT01</t>
        </is>
      </c>
    </row>
    <row r="871">
      <c r="A871" t="inlineStr">
        <is>
          <t>admin2</t>
        </is>
      </c>
      <c r="B871" t="inlineStr">
        <is>
          <t>GT0101</t>
        </is>
      </c>
      <c r="C871" t="inlineStr">
        <is>
          <t>Guatemala City</t>
        </is>
      </c>
      <c r="E871" t="inlineStr">
        <is>
          <t>GT01</t>
        </is>
      </c>
    </row>
    <row r="872">
      <c r="A872" t="inlineStr">
        <is>
          <t>admin2</t>
        </is>
      </c>
      <c r="B872" t="inlineStr">
        <is>
          <t>GT0102</t>
        </is>
      </c>
      <c r="C872" t="inlineStr">
        <is>
          <t>Santa Catarina Pinula</t>
        </is>
      </c>
      <c r="E872" t="inlineStr">
        <is>
          <t>GT01</t>
        </is>
      </c>
    </row>
    <row r="873">
      <c r="A873" t="inlineStr">
        <is>
          <t>admin2</t>
        </is>
      </c>
      <c r="B873" t="inlineStr">
        <is>
          <t>GT0103</t>
        </is>
      </c>
      <c r="C873" t="inlineStr">
        <is>
          <t>San José Pinula</t>
        </is>
      </c>
      <c r="E873" t="inlineStr">
        <is>
          <t>GT01</t>
        </is>
      </c>
    </row>
    <row r="874">
      <c r="A874" t="inlineStr">
        <is>
          <t>admin2</t>
        </is>
      </c>
      <c r="B874" t="inlineStr">
        <is>
          <t>GT0104</t>
        </is>
      </c>
      <c r="C874" t="inlineStr">
        <is>
          <t>San José del Golfo</t>
        </is>
      </c>
      <c r="E874" t="inlineStr">
        <is>
          <t>GT01</t>
        </is>
      </c>
    </row>
    <row r="875">
      <c r="A875" t="inlineStr">
        <is>
          <t>admin2</t>
        </is>
      </c>
      <c r="B875" t="inlineStr">
        <is>
          <t>GT0105</t>
        </is>
      </c>
      <c r="C875" t="inlineStr">
        <is>
          <t>Palencia</t>
        </is>
      </c>
      <c r="E875" t="inlineStr">
        <is>
          <t>GT01</t>
        </is>
      </c>
    </row>
    <row r="876">
      <c r="A876" t="inlineStr">
        <is>
          <t>admin2</t>
        </is>
      </c>
      <c r="B876" t="inlineStr">
        <is>
          <t>GT0106</t>
        </is>
      </c>
      <c r="C876" t="inlineStr">
        <is>
          <t>Chinautla</t>
        </is>
      </c>
      <c r="E876" t="inlineStr">
        <is>
          <t>GT01</t>
        </is>
      </c>
    </row>
    <row r="877">
      <c r="A877" t="inlineStr">
        <is>
          <t>admin2</t>
        </is>
      </c>
      <c r="B877" t="inlineStr">
        <is>
          <t>GT0107</t>
        </is>
      </c>
      <c r="C877" t="inlineStr">
        <is>
          <t>San Pedro Ayampuc</t>
        </is>
      </c>
      <c r="E877" t="inlineStr">
        <is>
          <t>GT01</t>
        </is>
      </c>
    </row>
    <row r="878">
      <c r="A878" t="inlineStr">
        <is>
          <t>admin2</t>
        </is>
      </c>
      <c r="B878" t="inlineStr">
        <is>
          <t>GT0108</t>
        </is>
      </c>
      <c r="C878" t="inlineStr">
        <is>
          <t>Mixco</t>
        </is>
      </c>
      <c r="E878" t="inlineStr">
        <is>
          <t>GT01</t>
        </is>
      </c>
    </row>
    <row r="879">
      <c r="A879" t="inlineStr">
        <is>
          <t>admin2</t>
        </is>
      </c>
      <c r="B879" t="inlineStr">
        <is>
          <t>GT0109</t>
        </is>
      </c>
      <c r="C879" t="inlineStr">
        <is>
          <t>San Pedro Sacatepéquez</t>
        </is>
      </c>
      <c r="E879" t="inlineStr">
        <is>
          <t>GT01</t>
        </is>
      </c>
    </row>
    <row r="880">
      <c r="A880" t="inlineStr">
        <is>
          <t>admin2</t>
        </is>
      </c>
      <c r="B880" t="inlineStr">
        <is>
          <t>GT0110</t>
        </is>
      </c>
      <c r="C880" t="inlineStr">
        <is>
          <t>San Juan Sacatepéquez</t>
        </is>
      </c>
      <c r="E880" t="inlineStr">
        <is>
          <t>GT01</t>
        </is>
      </c>
    </row>
    <row r="881">
      <c r="A881" t="inlineStr">
        <is>
          <t>admin2</t>
        </is>
      </c>
      <c r="B881" t="inlineStr">
        <is>
          <t>GT0111</t>
        </is>
      </c>
      <c r="C881" t="inlineStr">
        <is>
          <t>San Raimundo</t>
        </is>
      </c>
      <c r="E881" t="inlineStr">
        <is>
          <t>GT01</t>
        </is>
      </c>
    </row>
    <row r="882">
      <c r="A882" t="inlineStr">
        <is>
          <t>admin2</t>
        </is>
      </c>
      <c r="B882" t="inlineStr">
        <is>
          <t>GT0112</t>
        </is>
      </c>
      <c r="C882" t="inlineStr">
        <is>
          <t>Chuarrancho</t>
        </is>
      </c>
      <c r="E882" t="inlineStr">
        <is>
          <t>GT01</t>
        </is>
      </c>
    </row>
    <row r="883">
      <c r="A883" t="inlineStr">
        <is>
          <t>admin2</t>
        </is>
      </c>
      <c r="B883" t="inlineStr">
        <is>
          <t>GT0113</t>
        </is>
      </c>
      <c r="C883" t="inlineStr">
        <is>
          <t>Fraijanes</t>
        </is>
      </c>
      <c r="E883" t="inlineStr">
        <is>
          <t>GT01</t>
        </is>
      </c>
    </row>
    <row r="884">
      <c r="A884" t="inlineStr">
        <is>
          <t>admin2</t>
        </is>
      </c>
      <c r="B884" t="inlineStr">
        <is>
          <t>GT0114</t>
        </is>
      </c>
      <c r="C884" t="inlineStr">
        <is>
          <t>Amatitlán</t>
        </is>
      </c>
      <c r="E884" t="inlineStr">
        <is>
          <t>GT01</t>
        </is>
      </c>
    </row>
    <row r="885">
      <c r="A885" t="inlineStr">
        <is>
          <t>admin2</t>
        </is>
      </c>
      <c r="B885" t="inlineStr">
        <is>
          <t>GT0115</t>
        </is>
      </c>
      <c r="C885" t="inlineStr">
        <is>
          <t>Villa Nueva</t>
        </is>
      </c>
      <c r="E885" t="inlineStr">
        <is>
          <t>GT01</t>
        </is>
      </c>
    </row>
    <row r="886">
      <c r="A886" t="inlineStr">
        <is>
          <t>admin2</t>
        </is>
      </c>
      <c r="B886" t="inlineStr">
        <is>
          <t>GT0116</t>
        </is>
      </c>
      <c r="C886" t="inlineStr">
        <is>
          <t>Villa Canales</t>
        </is>
      </c>
      <c r="E886" t="inlineStr">
        <is>
          <t>GT01</t>
        </is>
      </c>
    </row>
    <row r="887">
      <c r="A887" t="inlineStr">
        <is>
          <t>admin2</t>
        </is>
      </c>
      <c r="B887" t="inlineStr">
        <is>
          <t>GT0117</t>
        </is>
      </c>
      <c r="C887" t="inlineStr">
        <is>
          <t>Petapa</t>
        </is>
      </c>
      <c r="E887" t="inlineStr">
        <is>
          <t>GT01</t>
        </is>
      </c>
    </row>
    <row r="888">
      <c r="A888" t="inlineStr">
        <is>
          <t>admin2</t>
        </is>
      </c>
      <c r="B888" t="inlineStr">
        <is>
          <t>GT0201</t>
        </is>
      </c>
      <c r="C888" t="inlineStr">
        <is>
          <t>Guastatoya</t>
        </is>
      </c>
      <c r="E888" t="inlineStr">
        <is>
          <t>GT02</t>
        </is>
      </c>
    </row>
    <row r="889">
      <c r="A889" t="inlineStr">
        <is>
          <t>admin2</t>
        </is>
      </c>
      <c r="B889" t="inlineStr">
        <is>
          <t>GT0202</t>
        </is>
      </c>
      <c r="C889" t="inlineStr">
        <is>
          <t>Morazán</t>
        </is>
      </c>
      <c r="E889" t="inlineStr">
        <is>
          <t>GT02</t>
        </is>
      </c>
    </row>
    <row r="890">
      <c r="A890" t="inlineStr">
        <is>
          <t>admin2</t>
        </is>
      </c>
      <c r="B890" t="inlineStr">
        <is>
          <t>GT0203</t>
        </is>
      </c>
      <c r="C890" t="inlineStr">
        <is>
          <t>San Agustín Acasaguastlán</t>
        </is>
      </c>
      <c r="E890" t="inlineStr">
        <is>
          <t>GT02</t>
        </is>
      </c>
    </row>
    <row r="891">
      <c r="A891" t="inlineStr">
        <is>
          <t>admin2</t>
        </is>
      </c>
      <c r="B891" t="inlineStr">
        <is>
          <t>GT0204</t>
        </is>
      </c>
      <c r="C891" t="inlineStr">
        <is>
          <t>San Cristóbal Acasaguastlán</t>
        </is>
      </c>
      <c r="E891" t="inlineStr">
        <is>
          <t>GT02</t>
        </is>
      </c>
    </row>
    <row r="892">
      <c r="A892" t="inlineStr">
        <is>
          <t>admin2</t>
        </is>
      </c>
      <c r="B892" t="inlineStr">
        <is>
          <t>GT0205</t>
        </is>
      </c>
      <c r="C892" t="inlineStr">
        <is>
          <t>El Jícaro</t>
        </is>
      </c>
      <c r="E892" t="inlineStr">
        <is>
          <t>GT02</t>
        </is>
      </c>
    </row>
    <row r="893">
      <c r="A893" t="inlineStr">
        <is>
          <t>admin2</t>
        </is>
      </c>
      <c r="B893" t="inlineStr">
        <is>
          <t>GT0206</t>
        </is>
      </c>
      <c r="C893" t="inlineStr">
        <is>
          <t>Sanarate</t>
        </is>
      </c>
      <c r="E893" t="inlineStr">
        <is>
          <t>GT02</t>
        </is>
      </c>
    </row>
    <row r="894">
      <c r="A894" t="inlineStr">
        <is>
          <t>admin2</t>
        </is>
      </c>
      <c r="B894" t="inlineStr">
        <is>
          <t>GT0207</t>
        </is>
      </c>
      <c r="C894" t="inlineStr">
        <is>
          <t>Sansare</t>
        </is>
      </c>
      <c r="E894" t="inlineStr">
        <is>
          <t>GT02</t>
        </is>
      </c>
    </row>
    <row r="895">
      <c r="A895" t="inlineStr">
        <is>
          <t>admin2</t>
        </is>
      </c>
      <c r="B895" t="inlineStr">
        <is>
          <t>GT0208</t>
        </is>
      </c>
      <c r="C895" t="inlineStr">
        <is>
          <t>San Antonio La Paz</t>
        </is>
      </c>
      <c r="E895" t="inlineStr">
        <is>
          <t>GT02</t>
        </is>
      </c>
    </row>
    <row r="896">
      <c r="A896" t="inlineStr">
        <is>
          <t>admin2</t>
        </is>
      </c>
      <c r="B896" t="inlineStr">
        <is>
          <t>GT0301</t>
        </is>
      </c>
      <c r="C896" t="inlineStr">
        <is>
          <t>Antigua Guatemala</t>
        </is>
      </c>
      <c r="E896" t="inlineStr">
        <is>
          <t>GT03</t>
        </is>
      </c>
    </row>
    <row r="897">
      <c r="A897" t="inlineStr">
        <is>
          <t>admin2</t>
        </is>
      </c>
      <c r="B897" t="inlineStr">
        <is>
          <t>GT0302</t>
        </is>
      </c>
      <c r="C897" t="inlineStr">
        <is>
          <t>Jocotenango</t>
        </is>
      </c>
      <c r="E897" t="inlineStr">
        <is>
          <t>GT03</t>
        </is>
      </c>
    </row>
    <row r="898">
      <c r="A898" t="inlineStr">
        <is>
          <t>admin2</t>
        </is>
      </c>
      <c r="B898" t="inlineStr">
        <is>
          <t>GT0303</t>
        </is>
      </c>
      <c r="C898" t="inlineStr">
        <is>
          <t>Pastores</t>
        </is>
      </c>
      <c r="E898" t="inlineStr">
        <is>
          <t>GT03</t>
        </is>
      </c>
    </row>
    <row r="899">
      <c r="A899" t="inlineStr">
        <is>
          <t>admin2</t>
        </is>
      </c>
      <c r="B899" t="inlineStr">
        <is>
          <t>GT0304</t>
        </is>
      </c>
      <c r="C899" t="inlineStr">
        <is>
          <t>Sumpango</t>
        </is>
      </c>
      <c r="E899" t="inlineStr">
        <is>
          <t>GT03</t>
        </is>
      </c>
    </row>
    <row r="900">
      <c r="A900" t="inlineStr">
        <is>
          <t>admin2</t>
        </is>
      </c>
      <c r="B900" t="inlineStr">
        <is>
          <t>GT0305</t>
        </is>
      </c>
      <c r="C900" t="inlineStr">
        <is>
          <t>Santo Domingo Xenacoj</t>
        </is>
      </c>
      <c r="E900" t="inlineStr">
        <is>
          <t>GT03</t>
        </is>
      </c>
    </row>
    <row r="901">
      <c r="A901" t="inlineStr">
        <is>
          <t>admin2</t>
        </is>
      </c>
      <c r="B901" t="inlineStr">
        <is>
          <t>GT0306</t>
        </is>
      </c>
      <c r="C901" t="inlineStr">
        <is>
          <t>Santiago Sacatepéquez</t>
        </is>
      </c>
      <c r="E901" t="inlineStr">
        <is>
          <t>GT03</t>
        </is>
      </c>
    </row>
    <row r="902">
      <c r="A902" t="inlineStr">
        <is>
          <t>admin2</t>
        </is>
      </c>
      <c r="B902" t="inlineStr">
        <is>
          <t>GT0307</t>
        </is>
      </c>
      <c r="C902" t="inlineStr">
        <is>
          <t>San Bartolomé Milpas Altas</t>
        </is>
      </c>
      <c r="E902" t="inlineStr">
        <is>
          <t>GT03</t>
        </is>
      </c>
    </row>
    <row r="903">
      <c r="A903" t="inlineStr">
        <is>
          <t>admin2</t>
        </is>
      </c>
      <c r="B903" t="inlineStr">
        <is>
          <t>GT0308</t>
        </is>
      </c>
      <c r="C903" t="inlineStr">
        <is>
          <t>San Lucas Sacatepéquez</t>
        </is>
      </c>
      <c r="E903" t="inlineStr">
        <is>
          <t>GT03</t>
        </is>
      </c>
    </row>
    <row r="904">
      <c r="A904" t="inlineStr">
        <is>
          <t>admin2</t>
        </is>
      </c>
      <c r="B904" t="inlineStr">
        <is>
          <t>GT0309</t>
        </is>
      </c>
      <c r="C904" t="inlineStr">
        <is>
          <t>Santa Lucía Milpas Altas</t>
        </is>
      </c>
      <c r="E904" t="inlineStr">
        <is>
          <t>GT03</t>
        </is>
      </c>
    </row>
    <row r="905">
      <c r="A905" t="inlineStr">
        <is>
          <t>admin2</t>
        </is>
      </c>
      <c r="B905" t="inlineStr">
        <is>
          <t>GT0310</t>
        </is>
      </c>
      <c r="C905" t="inlineStr">
        <is>
          <t>Magdalena Milpas Altas</t>
        </is>
      </c>
      <c r="E905" t="inlineStr">
        <is>
          <t>GT03</t>
        </is>
      </c>
    </row>
    <row r="906">
      <c r="A906" t="inlineStr">
        <is>
          <t>admin2</t>
        </is>
      </c>
      <c r="B906" t="inlineStr">
        <is>
          <t>GT0311</t>
        </is>
      </c>
      <c r="C906" t="inlineStr">
        <is>
          <t>Santa María de Jesús</t>
        </is>
      </c>
      <c r="E906" t="inlineStr">
        <is>
          <t>GT03</t>
        </is>
      </c>
    </row>
    <row r="907">
      <c r="A907" t="inlineStr">
        <is>
          <t>admin2</t>
        </is>
      </c>
      <c r="B907" t="inlineStr">
        <is>
          <t>GT0312</t>
        </is>
      </c>
      <c r="C907" t="inlineStr">
        <is>
          <t>Ciudad Vieja</t>
        </is>
      </c>
      <c r="E907" t="inlineStr">
        <is>
          <t>GT03</t>
        </is>
      </c>
    </row>
    <row r="908">
      <c r="A908" t="inlineStr">
        <is>
          <t>admin2</t>
        </is>
      </c>
      <c r="B908" t="inlineStr">
        <is>
          <t>GT0313</t>
        </is>
      </c>
      <c r="C908" t="inlineStr">
        <is>
          <t>San Miguel Dueñas</t>
        </is>
      </c>
      <c r="E908" t="inlineStr">
        <is>
          <t>GT03</t>
        </is>
      </c>
    </row>
    <row r="909">
      <c r="A909" t="inlineStr">
        <is>
          <t>admin2</t>
        </is>
      </c>
      <c r="B909" t="inlineStr">
        <is>
          <t>GT0314</t>
        </is>
      </c>
      <c r="C909" t="inlineStr">
        <is>
          <t>Alotenango</t>
        </is>
      </c>
      <c r="E909" t="inlineStr">
        <is>
          <t>GT03</t>
        </is>
      </c>
    </row>
    <row r="910">
      <c r="A910" t="inlineStr">
        <is>
          <t>admin2</t>
        </is>
      </c>
      <c r="B910" t="inlineStr">
        <is>
          <t>GT0315</t>
        </is>
      </c>
      <c r="C910" t="inlineStr">
        <is>
          <t>San Antonio Aguas Calientes</t>
        </is>
      </c>
      <c r="E910" t="inlineStr">
        <is>
          <t>GT03</t>
        </is>
      </c>
    </row>
    <row r="911">
      <c r="A911" t="inlineStr">
        <is>
          <t>admin2</t>
        </is>
      </c>
      <c r="B911" t="inlineStr">
        <is>
          <t>GT0316</t>
        </is>
      </c>
      <c r="C911" t="inlineStr">
        <is>
          <t>Santa Catarina Barahona</t>
        </is>
      </c>
      <c r="E911" t="inlineStr">
        <is>
          <t>GT03</t>
        </is>
      </c>
    </row>
    <row r="912">
      <c r="A912" t="inlineStr">
        <is>
          <t>admin2</t>
        </is>
      </c>
      <c r="B912" t="inlineStr">
        <is>
          <t>GT0401</t>
        </is>
      </c>
      <c r="C912" t="inlineStr">
        <is>
          <t>Chimaltenango</t>
        </is>
      </c>
      <c r="E912" t="inlineStr">
        <is>
          <t>GT04</t>
        </is>
      </c>
    </row>
    <row r="913">
      <c r="A913" t="inlineStr">
        <is>
          <t>admin2</t>
        </is>
      </c>
      <c r="B913" t="inlineStr">
        <is>
          <t>GT0402</t>
        </is>
      </c>
      <c r="C913" t="inlineStr">
        <is>
          <t>San José Poaquil</t>
        </is>
      </c>
      <c r="E913" t="inlineStr">
        <is>
          <t>GT04</t>
        </is>
      </c>
    </row>
    <row r="914">
      <c r="A914" t="inlineStr">
        <is>
          <t>admin2</t>
        </is>
      </c>
      <c r="B914" t="inlineStr">
        <is>
          <t>GT0403</t>
        </is>
      </c>
      <c r="C914" t="inlineStr">
        <is>
          <t>San Martín Jilotepeque</t>
        </is>
      </c>
      <c r="E914" t="inlineStr">
        <is>
          <t>GT04</t>
        </is>
      </c>
    </row>
    <row r="915">
      <c r="A915" t="inlineStr">
        <is>
          <t>admin2</t>
        </is>
      </c>
      <c r="B915" t="inlineStr">
        <is>
          <t>GT0404</t>
        </is>
      </c>
      <c r="C915" t="inlineStr">
        <is>
          <t>Comalapa</t>
        </is>
      </c>
      <c r="E915" t="inlineStr">
        <is>
          <t>GT04</t>
        </is>
      </c>
    </row>
    <row r="916">
      <c r="A916" t="inlineStr">
        <is>
          <t>admin2</t>
        </is>
      </c>
      <c r="B916" t="inlineStr">
        <is>
          <t>GT0405</t>
        </is>
      </c>
      <c r="C916" t="inlineStr">
        <is>
          <t>Santa Apolonia</t>
        </is>
      </c>
      <c r="E916" t="inlineStr">
        <is>
          <t>GT04</t>
        </is>
      </c>
    </row>
    <row r="917">
      <c r="A917" t="inlineStr">
        <is>
          <t>admin2</t>
        </is>
      </c>
      <c r="B917" t="inlineStr">
        <is>
          <t>GT0406</t>
        </is>
      </c>
      <c r="C917" t="inlineStr">
        <is>
          <t>Tecpán Guatemala</t>
        </is>
      </c>
      <c r="E917" t="inlineStr">
        <is>
          <t>GT04</t>
        </is>
      </c>
    </row>
    <row r="918">
      <c r="A918" t="inlineStr">
        <is>
          <t>admin2</t>
        </is>
      </c>
      <c r="B918" t="inlineStr">
        <is>
          <t>GT0407</t>
        </is>
      </c>
      <c r="C918" t="inlineStr">
        <is>
          <t>Patzún</t>
        </is>
      </c>
      <c r="E918" t="inlineStr">
        <is>
          <t>GT04</t>
        </is>
      </c>
    </row>
    <row r="919">
      <c r="A919" t="inlineStr">
        <is>
          <t>admin2</t>
        </is>
      </c>
      <c r="B919" t="inlineStr">
        <is>
          <t>GT0408</t>
        </is>
      </c>
      <c r="C919" t="inlineStr">
        <is>
          <t>Pochuta</t>
        </is>
      </c>
      <c r="E919" t="inlineStr">
        <is>
          <t>GT04</t>
        </is>
      </c>
    </row>
    <row r="920">
      <c r="A920" t="inlineStr">
        <is>
          <t>admin2</t>
        </is>
      </c>
      <c r="B920" t="inlineStr">
        <is>
          <t>GT0409</t>
        </is>
      </c>
      <c r="C920" t="inlineStr">
        <is>
          <t>Patzicía</t>
        </is>
      </c>
      <c r="E920" t="inlineStr">
        <is>
          <t>GT04</t>
        </is>
      </c>
    </row>
    <row r="921">
      <c r="A921" t="inlineStr">
        <is>
          <t>admin2</t>
        </is>
      </c>
      <c r="B921" t="inlineStr">
        <is>
          <t>GT0410</t>
        </is>
      </c>
      <c r="C921" t="inlineStr">
        <is>
          <t>Santa Cruz Balanyá</t>
        </is>
      </c>
      <c r="E921" t="inlineStr">
        <is>
          <t>GT04</t>
        </is>
      </c>
    </row>
    <row r="922">
      <c r="A922" t="inlineStr">
        <is>
          <t>admin2</t>
        </is>
      </c>
      <c r="B922" t="inlineStr">
        <is>
          <t>GT0411</t>
        </is>
      </c>
      <c r="C922" t="inlineStr">
        <is>
          <t>Acatenango</t>
        </is>
      </c>
      <c r="E922" t="inlineStr">
        <is>
          <t>GT04</t>
        </is>
      </c>
    </row>
    <row r="923">
      <c r="A923" t="inlineStr">
        <is>
          <t>admin2</t>
        </is>
      </c>
      <c r="B923" t="inlineStr">
        <is>
          <t>GT0412</t>
        </is>
      </c>
      <c r="C923" t="inlineStr">
        <is>
          <t>Yepocapa</t>
        </is>
      </c>
      <c r="E923" t="inlineStr">
        <is>
          <t>GT04</t>
        </is>
      </c>
    </row>
    <row r="924">
      <c r="A924" t="inlineStr">
        <is>
          <t>admin2</t>
        </is>
      </c>
      <c r="B924" t="inlineStr">
        <is>
          <t>GT0413</t>
        </is>
      </c>
      <c r="C924" t="inlineStr">
        <is>
          <t>San Andrés Itzapa</t>
        </is>
      </c>
      <c r="E924" t="inlineStr">
        <is>
          <t>GT04</t>
        </is>
      </c>
    </row>
    <row r="925">
      <c r="A925" t="inlineStr">
        <is>
          <t>admin2</t>
        </is>
      </c>
      <c r="B925" t="inlineStr">
        <is>
          <t>GT0414</t>
        </is>
      </c>
      <c r="C925" t="inlineStr">
        <is>
          <t>Parramos</t>
        </is>
      </c>
      <c r="E925" t="inlineStr">
        <is>
          <t>GT04</t>
        </is>
      </c>
    </row>
    <row r="926">
      <c r="A926" t="inlineStr">
        <is>
          <t>admin2</t>
        </is>
      </c>
      <c r="B926" t="inlineStr">
        <is>
          <t>GT0415</t>
        </is>
      </c>
      <c r="C926" t="inlineStr">
        <is>
          <t>Zaragoza</t>
        </is>
      </c>
      <c r="E926" t="inlineStr">
        <is>
          <t>GT04</t>
        </is>
      </c>
    </row>
    <row r="927">
      <c r="A927" t="inlineStr">
        <is>
          <t>admin2</t>
        </is>
      </c>
      <c r="B927" t="inlineStr">
        <is>
          <t>GT0416</t>
        </is>
      </c>
      <c r="C927" t="inlineStr">
        <is>
          <t>El Tejar</t>
        </is>
      </c>
      <c r="E927" t="inlineStr">
        <is>
          <t>GT04</t>
        </is>
      </c>
    </row>
    <row r="928">
      <c r="A928" t="inlineStr">
        <is>
          <t>admin2</t>
        </is>
      </c>
      <c r="B928" t="inlineStr">
        <is>
          <t>GT0501</t>
        </is>
      </c>
      <c r="C928" t="inlineStr">
        <is>
          <t>Escuintla</t>
        </is>
      </c>
      <c r="E928" t="inlineStr">
        <is>
          <t>GT05</t>
        </is>
      </c>
    </row>
    <row r="929">
      <c r="A929" t="inlineStr">
        <is>
          <t>admin2</t>
        </is>
      </c>
      <c r="B929" t="inlineStr">
        <is>
          <t>GT0502</t>
        </is>
      </c>
      <c r="C929" t="inlineStr">
        <is>
          <t>Santa Lucía Cotzumalguapa</t>
        </is>
      </c>
      <c r="E929" t="inlineStr">
        <is>
          <t>GT05</t>
        </is>
      </c>
    </row>
    <row r="930">
      <c r="A930" t="inlineStr">
        <is>
          <t>admin2</t>
        </is>
      </c>
      <c r="B930" t="inlineStr">
        <is>
          <t>GT0503</t>
        </is>
      </c>
      <c r="C930" t="inlineStr">
        <is>
          <t>La Democracia</t>
        </is>
      </c>
      <c r="E930" t="inlineStr">
        <is>
          <t>GT05</t>
        </is>
      </c>
    </row>
    <row r="931">
      <c r="A931" t="inlineStr">
        <is>
          <t>admin2</t>
        </is>
      </c>
      <c r="B931" t="inlineStr">
        <is>
          <t>GT0504</t>
        </is>
      </c>
      <c r="C931" t="inlineStr">
        <is>
          <t>Siquinalá</t>
        </is>
      </c>
      <c r="E931" t="inlineStr">
        <is>
          <t>GT05</t>
        </is>
      </c>
    </row>
    <row r="932">
      <c r="A932" t="inlineStr">
        <is>
          <t>admin2</t>
        </is>
      </c>
      <c r="B932" t="inlineStr">
        <is>
          <t>GT0505</t>
        </is>
      </c>
      <c r="C932" t="inlineStr">
        <is>
          <t>Masagua</t>
        </is>
      </c>
      <c r="E932" t="inlineStr">
        <is>
          <t>GT05</t>
        </is>
      </c>
    </row>
    <row r="933">
      <c r="A933" t="inlineStr">
        <is>
          <t>admin2</t>
        </is>
      </c>
      <c r="B933" t="inlineStr">
        <is>
          <t>GT0506</t>
        </is>
      </c>
      <c r="C933" t="inlineStr">
        <is>
          <t>Tiquisate</t>
        </is>
      </c>
      <c r="E933" t="inlineStr">
        <is>
          <t>GT05</t>
        </is>
      </c>
    </row>
    <row r="934">
      <c r="A934" t="inlineStr">
        <is>
          <t>admin2</t>
        </is>
      </c>
      <c r="B934" t="inlineStr">
        <is>
          <t>GT0507</t>
        </is>
      </c>
      <c r="C934" t="inlineStr">
        <is>
          <t>La Gomera</t>
        </is>
      </c>
      <c r="E934" t="inlineStr">
        <is>
          <t>GT05</t>
        </is>
      </c>
    </row>
    <row r="935">
      <c r="A935" t="inlineStr">
        <is>
          <t>admin2</t>
        </is>
      </c>
      <c r="B935" t="inlineStr">
        <is>
          <t>GT0508</t>
        </is>
      </c>
      <c r="C935" t="inlineStr">
        <is>
          <t>Guanagazapa</t>
        </is>
      </c>
      <c r="E935" t="inlineStr">
        <is>
          <t>GT05</t>
        </is>
      </c>
    </row>
    <row r="936">
      <c r="A936" t="inlineStr">
        <is>
          <t>admin2</t>
        </is>
      </c>
      <c r="B936" t="inlineStr">
        <is>
          <t>GT0509</t>
        </is>
      </c>
      <c r="C936" t="inlineStr">
        <is>
          <t>San José</t>
        </is>
      </c>
      <c r="E936" t="inlineStr">
        <is>
          <t>GT05</t>
        </is>
      </c>
    </row>
    <row r="937">
      <c r="A937" t="inlineStr">
        <is>
          <t>admin2</t>
        </is>
      </c>
      <c r="B937" t="inlineStr">
        <is>
          <t>GT0510</t>
        </is>
      </c>
      <c r="C937" t="inlineStr">
        <is>
          <t>Iztapa</t>
        </is>
      </c>
      <c r="E937" t="inlineStr">
        <is>
          <t>GT05</t>
        </is>
      </c>
    </row>
    <row r="938">
      <c r="A938" t="inlineStr">
        <is>
          <t>admin2</t>
        </is>
      </c>
      <c r="B938" t="inlineStr">
        <is>
          <t>GT0511</t>
        </is>
      </c>
      <c r="C938" t="inlineStr">
        <is>
          <t>Palín</t>
        </is>
      </c>
      <c r="E938" t="inlineStr">
        <is>
          <t>GT05</t>
        </is>
      </c>
    </row>
    <row r="939">
      <c r="A939" t="inlineStr">
        <is>
          <t>admin2</t>
        </is>
      </c>
      <c r="B939" t="inlineStr">
        <is>
          <t>GT0512</t>
        </is>
      </c>
      <c r="C939" t="inlineStr">
        <is>
          <t>San Vicente Pacaya</t>
        </is>
      </c>
      <c r="E939" t="inlineStr">
        <is>
          <t>GT05</t>
        </is>
      </c>
    </row>
    <row r="940">
      <c r="A940" t="inlineStr">
        <is>
          <t>admin2</t>
        </is>
      </c>
      <c r="B940" t="inlineStr">
        <is>
          <t>GT0513</t>
        </is>
      </c>
      <c r="C940" t="inlineStr">
        <is>
          <t>Nueva Concepción</t>
        </is>
      </c>
      <c r="E940" t="inlineStr">
        <is>
          <t>GT05</t>
        </is>
      </c>
    </row>
    <row r="941">
      <c r="A941" t="inlineStr">
        <is>
          <t>admin2</t>
        </is>
      </c>
      <c r="B941" t="inlineStr">
        <is>
          <t>GT0514</t>
        </is>
      </c>
      <c r="C941" t="inlineStr">
        <is>
          <t>Sipacate</t>
        </is>
      </c>
      <c r="E941" t="inlineStr">
        <is>
          <t>GT05</t>
        </is>
      </c>
    </row>
    <row r="942">
      <c r="A942" t="inlineStr">
        <is>
          <t>admin2</t>
        </is>
      </c>
      <c r="B942" t="inlineStr">
        <is>
          <t>GT0601</t>
        </is>
      </c>
      <c r="C942" t="inlineStr">
        <is>
          <t>Cuilapa</t>
        </is>
      </c>
      <c r="E942" t="inlineStr">
        <is>
          <t>GT06</t>
        </is>
      </c>
    </row>
    <row r="943">
      <c r="A943" t="inlineStr">
        <is>
          <t>admin2</t>
        </is>
      </c>
      <c r="B943" t="inlineStr">
        <is>
          <t>GT0602</t>
        </is>
      </c>
      <c r="C943" t="inlineStr">
        <is>
          <t>Barberena</t>
        </is>
      </c>
      <c r="E943" t="inlineStr">
        <is>
          <t>GT06</t>
        </is>
      </c>
    </row>
    <row r="944">
      <c r="A944" t="inlineStr">
        <is>
          <t>admin2</t>
        </is>
      </c>
      <c r="B944" t="inlineStr">
        <is>
          <t>GT0603</t>
        </is>
      </c>
      <c r="C944" t="inlineStr">
        <is>
          <t>Santa Rosa de Lima</t>
        </is>
      </c>
      <c r="E944" t="inlineStr">
        <is>
          <t>GT06</t>
        </is>
      </c>
    </row>
    <row r="945">
      <c r="A945" t="inlineStr">
        <is>
          <t>admin2</t>
        </is>
      </c>
      <c r="B945" t="inlineStr">
        <is>
          <t>GT0604</t>
        </is>
      </c>
      <c r="C945" t="inlineStr">
        <is>
          <t>Casillas</t>
        </is>
      </c>
      <c r="E945" t="inlineStr">
        <is>
          <t>GT06</t>
        </is>
      </c>
    </row>
    <row r="946">
      <c r="A946" t="inlineStr">
        <is>
          <t>admin2</t>
        </is>
      </c>
      <c r="B946" t="inlineStr">
        <is>
          <t>GT0605</t>
        </is>
      </c>
      <c r="C946" t="inlineStr">
        <is>
          <t>San Rafael Las Flores</t>
        </is>
      </c>
      <c r="E946" t="inlineStr">
        <is>
          <t>GT06</t>
        </is>
      </c>
    </row>
    <row r="947">
      <c r="A947" t="inlineStr">
        <is>
          <t>admin2</t>
        </is>
      </c>
      <c r="B947" t="inlineStr">
        <is>
          <t>GT0606</t>
        </is>
      </c>
      <c r="C947" t="inlineStr">
        <is>
          <t>Oratorio</t>
        </is>
      </c>
      <c r="E947" t="inlineStr">
        <is>
          <t>GT06</t>
        </is>
      </c>
    </row>
    <row r="948">
      <c r="A948" t="inlineStr">
        <is>
          <t>admin2</t>
        </is>
      </c>
      <c r="B948" t="inlineStr">
        <is>
          <t>GT0607</t>
        </is>
      </c>
      <c r="C948" t="inlineStr">
        <is>
          <t>San Juan Tecuaco</t>
        </is>
      </c>
      <c r="E948" t="inlineStr">
        <is>
          <t>GT06</t>
        </is>
      </c>
    </row>
    <row r="949">
      <c r="A949" t="inlineStr">
        <is>
          <t>admin2</t>
        </is>
      </c>
      <c r="B949" t="inlineStr">
        <is>
          <t>GT0608</t>
        </is>
      </c>
      <c r="C949" t="inlineStr">
        <is>
          <t>Chiquimulilla</t>
        </is>
      </c>
      <c r="E949" t="inlineStr">
        <is>
          <t>GT06</t>
        </is>
      </c>
    </row>
    <row r="950">
      <c r="A950" t="inlineStr">
        <is>
          <t>admin2</t>
        </is>
      </c>
      <c r="B950" t="inlineStr">
        <is>
          <t>GT0609</t>
        </is>
      </c>
      <c r="C950" t="inlineStr">
        <is>
          <t>Taxisco</t>
        </is>
      </c>
      <c r="E950" t="inlineStr">
        <is>
          <t>GT06</t>
        </is>
      </c>
    </row>
    <row r="951">
      <c r="A951" t="inlineStr">
        <is>
          <t>admin2</t>
        </is>
      </c>
      <c r="B951" t="inlineStr">
        <is>
          <t>GT0610</t>
        </is>
      </c>
      <c r="C951" t="inlineStr">
        <is>
          <t>Santa María Ixhuatán</t>
        </is>
      </c>
      <c r="E951" t="inlineStr">
        <is>
          <t>GT06</t>
        </is>
      </c>
    </row>
    <row r="952">
      <c r="A952" t="inlineStr">
        <is>
          <t>admin2</t>
        </is>
      </c>
      <c r="B952" t="inlineStr">
        <is>
          <t>GT0611</t>
        </is>
      </c>
      <c r="C952" t="inlineStr">
        <is>
          <t>Guazacapán</t>
        </is>
      </c>
      <c r="E952" t="inlineStr">
        <is>
          <t>GT06</t>
        </is>
      </c>
    </row>
    <row r="953">
      <c r="A953" t="inlineStr">
        <is>
          <t>admin2</t>
        </is>
      </c>
      <c r="B953" t="inlineStr">
        <is>
          <t>GT0612</t>
        </is>
      </c>
      <c r="C953" t="inlineStr">
        <is>
          <t>Santa Cruz Naranjo</t>
        </is>
      </c>
      <c r="E953" t="inlineStr">
        <is>
          <t>GT06</t>
        </is>
      </c>
    </row>
    <row r="954">
      <c r="A954" t="inlineStr">
        <is>
          <t>admin2</t>
        </is>
      </c>
      <c r="B954" t="inlineStr">
        <is>
          <t>GT0613</t>
        </is>
      </c>
      <c r="C954" t="inlineStr">
        <is>
          <t>Pueblo Nuevo Viñas</t>
        </is>
      </c>
      <c r="E954" t="inlineStr">
        <is>
          <t>GT06</t>
        </is>
      </c>
    </row>
    <row r="955">
      <c r="A955" t="inlineStr">
        <is>
          <t>admin2</t>
        </is>
      </c>
      <c r="B955" t="inlineStr">
        <is>
          <t>GT0614</t>
        </is>
      </c>
      <c r="C955" t="inlineStr">
        <is>
          <t>Nueva Santa Rosa</t>
        </is>
      </c>
      <c r="E955" t="inlineStr">
        <is>
          <t>GT06</t>
        </is>
      </c>
    </row>
    <row r="956">
      <c r="A956" t="inlineStr">
        <is>
          <t>admin2</t>
        </is>
      </c>
      <c r="B956" t="inlineStr">
        <is>
          <t>GT0700</t>
        </is>
      </c>
      <c r="C956" t="inlineStr">
        <is>
          <t>Lago De Atitlan</t>
        </is>
      </c>
      <c r="E956" t="inlineStr">
        <is>
          <t>GT07</t>
        </is>
      </c>
    </row>
    <row r="957">
      <c r="A957" t="inlineStr">
        <is>
          <t>admin2</t>
        </is>
      </c>
      <c r="B957" t="inlineStr">
        <is>
          <t>GT0701</t>
        </is>
      </c>
      <c r="C957" t="inlineStr">
        <is>
          <t>Sololá</t>
        </is>
      </c>
      <c r="E957" t="inlineStr">
        <is>
          <t>GT07</t>
        </is>
      </c>
    </row>
    <row r="958">
      <c r="A958" t="inlineStr">
        <is>
          <t>admin2</t>
        </is>
      </c>
      <c r="B958" t="inlineStr">
        <is>
          <t>GT0702</t>
        </is>
      </c>
      <c r="C958" t="inlineStr">
        <is>
          <t>San José Chacayá</t>
        </is>
      </c>
      <c r="E958" t="inlineStr">
        <is>
          <t>GT07</t>
        </is>
      </c>
    </row>
    <row r="959">
      <c r="A959" t="inlineStr">
        <is>
          <t>admin2</t>
        </is>
      </c>
      <c r="B959" t="inlineStr">
        <is>
          <t>GT0703</t>
        </is>
      </c>
      <c r="C959" t="inlineStr">
        <is>
          <t>Santa María Visitación</t>
        </is>
      </c>
      <c r="E959" t="inlineStr">
        <is>
          <t>GT07</t>
        </is>
      </c>
    </row>
    <row r="960">
      <c r="A960" t="inlineStr">
        <is>
          <t>admin2</t>
        </is>
      </c>
      <c r="B960" t="inlineStr">
        <is>
          <t>GT0704</t>
        </is>
      </c>
      <c r="C960" t="inlineStr">
        <is>
          <t>Santa Lucía Utatlán</t>
        </is>
      </c>
      <c r="E960" t="inlineStr">
        <is>
          <t>GT07</t>
        </is>
      </c>
    </row>
    <row r="961">
      <c r="A961" t="inlineStr">
        <is>
          <t>admin2</t>
        </is>
      </c>
      <c r="B961" t="inlineStr">
        <is>
          <t>GT0705</t>
        </is>
      </c>
      <c r="C961" t="inlineStr">
        <is>
          <t>Nahualá</t>
        </is>
      </c>
      <c r="E961" t="inlineStr">
        <is>
          <t>GT07</t>
        </is>
      </c>
    </row>
    <row r="962">
      <c r="A962" t="inlineStr">
        <is>
          <t>admin2</t>
        </is>
      </c>
      <c r="B962" t="inlineStr">
        <is>
          <t>GT0706</t>
        </is>
      </c>
      <c r="C962" t="inlineStr">
        <is>
          <t>Santa Catarina Ixtahuacán</t>
        </is>
      </c>
      <c r="E962" t="inlineStr">
        <is>
          <t>GT07</t>
        </is>
      </c>
    </row>
    <row r="963">
      <c r="A963" t="inlineStr">
        <is>
          <t>admin2</t>
        </is>
      </c>
      <c r="B963" t="inlineStr">
        <is>
          <t>GT0707</t>
        </is>
      </c>
      <c r="C963" t="inlineStr">
        <is>
          <t>Santa Clara La Laguna</t>
        </is>
      </c>
      <c r="E963" t="inlineStr">
        <is>
          <t>GT07</t>
        </is>
      </c>
    </row>
    <row r="964">
      <c r="A964" t="inlineStr">
        <is>
          <t>admin2</t>
        </is>
      </c>
      <c r="B964" t="inlineStr">
        <is>
          <t>GT0708</t>
        </is>
      </c>
      <c r="C964" t="inlineStr">
        <is>
          <t>Concepción</t>
        </is>
      </c>
      <c r="E964" t="inlineStr">
        <is>
          <t>GT07</t>
        </is>
      </c>
    </row>
    <row r="965">
      <c r="A965" t="inlineStr">
        <is>
          <t>admin2</t>
        </is>
      </c>
      <c r="B965" t="inlineStr">
        <is>
          <t>GT0709</t>
        </is>
      </c>
      <c r="C965" t="inlineStr">
        <is>
          <t>San Andrés Semetabaj</t>
        </is>
      </c>
      <c r="E965" t="inlineStr">
        <is>
          <t>GT07</t>
        </is>
      </c>
    </row>
    <row r="966">
      <c r="A966" t="inlineStr">
        <is>
          <t>admin2</t>
        </is>
      </c>
      <c r="B966" t="inlineStr">
        <is>
          <t>GT0710</t>
        </is>
      </c>
      <c r="C966" t="inlineStr">
        <is>
          <t>Panajachel</t>
        </is>
      </c>
      <c r="E966" t="inlineStr">
        <is>
          <t>GT07</t>
        </is>
      </c>
    </row>
    <row r="967">
      <c r="A967" t="inlineStr">
        <is>
          <t>admin2</t>
        </is>
      </c>
      <c r="B967" t="inlineStr">
        <is>
          <t>GT0711</t>
        </is>
      </c>
      <c r="C967" t="inlineStr">
        <is>
          <t>Santa Catarina Palopó</t>
        </is>
      </c>
      <c r="E967" t="inlineStr">
        <is>
          <t>GT07</t>
        </is>
      </c>
    </row>
    <row r="968">
      <c r="A968" t="inlineStr">
        <is>
          <t>admin2</t>
        </is>
      </c>
      <c r="B968" t="inlineStr">
        <is>
          <t>GT0712</t>
        </is>
      </c>
      <c r="C968" t="inlineStr">
        <is>
          <t>San Antonio Palopó</t>
        </is>
      </c>
      <c r="E968" t="inlineStr">
        <is>
          <t>GT07</t>
        </is>
      </c>
    </row>
    <row r="969">
      <c r="A969" t="inlineStr">
        <is>
          <t>admin2</t>
        </is>
      </c>
      <c r="B969" t="inlineStr">
        <is>
          <t>GT0713</t>
        </is>
      </c>
      <c r="C969" t="inlineStr">
        <is>
          <t>San Lucas Tolimán</t>
        </is>
      </c>
      <c r="E969" t="inlineStr">
        <is>
          <t>GT07</t>
        </is>
      </c>
    </row>
    <row r="970">
      <c r="A970" t="inlineStr">
        <is>
          <t>admin2</t>
        </is>
      </c>
      <c r="B970" t="inlineStr">
        <is>
          <t>GT0714</t>
        </is>
      </c>
      <c r="C970" t="inlineStr">
        <is>
          <t>Santa Cruz La Laguna</t>
        </is>
      </c>
      <c r="E970" t="inlineStr">
        <is>
          <t>GT07</t>
        </is>
      </c>
    </row>
    <row r="971">
      <c r="A971" t="inlineStr">
        <is>
          <t>admin2</t>
        </is>
      </c>
      <c r="B971" t="inlineStr">
        <is>
          <t>GT0715</t>
        </is>
      </c>
      <c r="C971" t="inlineStr">
        <is>
          <t>San Pablo La Laguna</t>
        </is>
      </c>
      <c r="E971" t="inlineStr">
        <is>
          <t>GT07</t>
        </is>
      </c>
    </row>
    <row r="972">
      <c r="A972" t="inlineStr">
        <is>
          <t>admin2</t>
        </is>
      </c>
      <c r="B972" t="inlineStr">
        <is>
          <t>GT0716</t>
        </is>
      </c>
      <c r="C972" t="inlineStr">
        <is>
          <t>San Marcos La Laguna</t>
        </is>
      </c>
      <c r="E972" t="inlineStr">
        <is>
          <t>GT07</t>
        </is>
      </c>
    </row>
    <row r="973">
      <c r="A973" t="inlineStr">
        <is>
          <t>admin2</t>
        </is>
      </c>
      <c r="B973" t="inlineStr">
        <is>
          <t>GT0717</t>
        </is>
      </c>
      <c r="C973" t="inlineStr">
        <is>
          <t>San Juan La Laguna</t>
        </is>
      </c>
      <c r="E973" t="inlineStr">
        <is>
          <t>GT07</t>
        </is>
      </c>
    </row>
    <row r="974">
      <c r="A974" t="inlineStr">
        <is>
          <t>admin2</t>
        </is>
      </c>
      <c r="B974" t="inlineStr">
        <is>
          <t>GT0718</t>
        </is>
      </c>
      <c r="C974" t="inlineStr">
        <is>
          <t>San Pedro La Laguna</t>
        </is>
      </c>
      <c r="E974" t="inlineStr">
        <is>
          <t>GT07</t>
        </is>
      </c>
    </row>
    <row r="975">
      <c r="A975" t="inlineStr">
        <is>
          <t>admin2</t>
        </is>
      </c>
      <c r="B975" t="inlineStr">
        <is>
          <t>GT0719</t>
        </is>
      </c>
      <c r="C975" t="inlineStr">
        <is>
          <t>Santiago Atitlán</t>
        </is>
      </c>
      <c r="E975" t="inlineStr">
        <is>
          <t>GT07</t>
        </is>
      </c>
    </row>
    <row r="976">
      <c r="A976" t="inlineStr">
        <is>
          <t>admin2</t>
        </is>
      </c>
      <c r="B976" t="inlineStr">
        <is>
          <t>GT0801</t>
        </is>
      </c>
      <c r="C976" t="inlineStr">
        <is>
          <t>Totonicapán</t>
        </is>
      </c>
      <c r="E976" t="inlineStr">
        <is>
          <t>GT08</t>
        </is>
      </c>
    </row>
    <row r="977">
      <c r="A977" t="inlineStr">
        <is>
          <t>admin2</t>
        </is>
      </c>
      <c r="B977" t="inlineStr">
        <is>
          <t>GT0802</t>
        </is>
      </c>
      <c r="C977" t="inlineStr">
        <is>
          <t>San Cristóbal Totonicapán</t>
        </is>
      </c>
      <c r="E977" t="inlineStr">
        <is>
          <t>GT08</t>
        </is>
      </c>
    </row>
    <row r="978">
      <c r="A978" t="inlineStr">
        <is>
          <t>admin2</t>
        </is>
      </c>
      <c r="B978" t="inlineStr">
        <is>
          <t>GT0803</t>
        </is>
      </c>
      <c r="C978" t="inlineStr">
        <is>
          <t>San Francisco El Alto</t>
        </is>
      </c>
      <c r="E978" t="inlineStr">
        <is>
          <t>GT08</t>
        </is>
      </c>
    </row>
    <row r="979">
      <c r="A979" t="inlineStr">
        <is>
          <t>admin2</t>
        </is>
      </c>
      <c r="B979" t="inlineStr">
        <is>
          <t>GT0804</t>
        </is>
      </c>
      <c r="C979" t="inlineStr">
        <is>
          <t>San Andrés Xecul</t>
        </is>
      </c>
      <c r="E979" t="inlineStr">
        <is>
          <t>GT08</t>
        </is>
      </c>
    </row>
    <row r="980">
      <c r="A980" t="inlineStr">
        <is>
          <t>admin2</t>
        </is>
      </c>
      <c r="B980" t="inlineStr">
        <is>
          <t>GT0805</t>
        </is>
      </c>
      <c r="C980" t="inlineStr">
        <is>
          <t>Momostenango</t>
        </is>
      </c>
      <c r="E980" t="inlineStr">
        <is>
          <t>GT08</t>
        </is>
      </c>
    </row>
    <row r="981">
      <c r="A981" t="inlineStr">
        <is>
          <t>admin2</t>
        </is>
      </c>
      <c r="B981" t="inlineStr">
        <is>
          <t>GT0806</t>
        </is>
      </c>
      <c r="C981" t="inlineStr">
        <is>
          <t>Santa María Chiquimula</t>
        </is>
      </c>
      <c r="E981" t="inlineStr">
        <is>
          <t>GT08</t>
        </is>
      </c>
    </row>
    <row r="982">
      <c r="A982" t="inlineStr">
        <is>
          <t>admin2</t>
        </is>
      </c>
      <c r="B982" t="inlineStr">
        <is>
          <t>GT0807</t>
        </is>
      </c>
      <c r="C982" t="inlineStr">
        <is>
          <t>Santa Lucía La Reforma</t>
        </is>
      </c>
      <c r="E982" t="inlineStr">
        <is>
          <t>GT08</t>
        </is>
      </c>
    </row>
    <row r="983">
      <c r="A983" t="inlineStr">
        <is>
          <t>admin2</t>
        </is>
      </c>
      <c r="B983" t="inlineStr">
        <is>
          <t>GT0808</t>
        </is>
      </c>
      <c r="C983" t="inlineStr">
        <is>
          <t>San Bartolo</t>
        </is>
      </c>
      <c r="E983" t="inlineStr">
        <is>
          <t>GT08</t>
        </is>
      </c>
    </row>
    <row r="984">
      <c r="A984" t="inlineStr">
        <is>
          <t>admin2</t>
        </is>
      </c>
      <c r="B984" t="inlineStr">
        <is>
          <t>GT0901</t>
        </is>
      </c>
      <c r="C984" t="inlineStr">
        <is>
          <t>Quetzaltenango</t>
        </is>
      </c>
      <c r="E984" t="inlineStr">
        <is>
          <t>GT09</t>
        </is>
      </c>
    </row>
    <row r="985">
      <c r="A985" t="inlineStr">
        <is>
          <t>admin2</t>
        </is>
      </c>
      <c r="B985" t="inlineStr">
        <is>
          <t>GT0902</t>
        </is>
      </c>
      <c r="C985" t="inlineStr">
        <is>
          <t>Salcajá</t>
        </is>
      </c>
      <c r="E985" t="inlineStr">
        <is>
          <t>GT09</t>
        </is>
      </c>
    </row>
    <row r="986">
      <c r="A986" t="inlineStr">
        <is>
          <t>admin2</t>
        </is>
      </c>
      <c r="B986" t="inlineStr">
        <is>
          <t>GT0903</t>
        </is>
      </c>
      <c r="C986" t="inlineStr">
        <is>
          <t>Olintepeque</t>
        </is>
      </c>
      <c r="E986" t="inlineStr">
        <is>
          <t>GT09</t>
        </is>
      </c>
    </row>
    <row r="987">
      <c r="A987" t="inlineStr">
        <is>
          <t>admin2</t>
        </is>
      </c>
      <c r="B987" t="inlineStr">
        <is>
          <t>GT0904</t>
        </is>
      </c>
      <c r="C987" t="inlineStr">
        <is>
          <t>San Carlos Sija</t>
        </is>
      </c>
      <c r="E987" t="inlineStr">
        <is>
          <t>GT09</t>
        </is>
      </c>
    </row>
    <row r="988">
      <c r="A988" t="inlineStr">
        <is>
          <t>admin2</t>
        </is>
      </c>
      <c r="B988" t="inlineStr">
        <is>
          <t>GT0905</t>
        </is>
      </c>
      <c r="C988" t="inlineStr">
        <is>
          <t>Sibilia</t>
        </is>
      </c>
      <c r="E988" t="inlineStr">
        <is>
          <t>GT09</t>
        </is>
      </c>
    </row>
    <row r="989">
      <c r="A989" t="inlineStr">
        <is>
          <t>admin2</t>
        </is>
      </c>
      <c r="B989" t="inlineStr">
        <is>
          <t>GT0906</t>
        </is>
      </c>
      <c r="C989" t="inlineStr">
        <is>
          <t>Cabricán</t>
        </is>
      </c>
      <c r="E989" t="inlineStr">
        <is>
          <t>GT09</t>
        </is>
      </c>
    </row>
    <row r="990">
      <c r="A990" t="inlineStr">
        <is>
          <t>admin2</t>
        </is>
      </c>
      <c r="B990" t="inlineStr">
        <is>
          <t>GT0907</t>
        </is>
      </c>
      <c r="C990" t="inlineStr">
        <is>
          <t>Cajolá</t>
        </is>
      </c>
      <c r="E990" t="inlineStr">
        <is>
          <t>GT09</t>
        </is>
      </c>
    </row>
    <row r="991">
      <c r="A991" t="inlineStr">
        <is>
          <t>admin2</t>
        </is>
      </c>
      <c r="B991" t="inlineStr">
        <is>
          <t>GT0908</t>
        </is>
      </c>
      <c r="C991" t="inlineStr">
        <is>
          <t>San Miguel Sigüila</t>
        </is>
      </c>
      <c r="E991" t="inlineStr">
        <is>
          <t>GT09</t>
        </is>
      </c>
    </row>
    <row r="992">
      <c r="A992" t="inlineStr">
        <is>
          <t>admin2</t>
        </is>
      </c>
      <c r="B992" t="inlineStr">
        <is>
          <t>GT0909</t>
        </is>
      </c>
      <c r="C992" t="inlineStr">
        <is>
          <t>Ostuncalco</t>
        </is>
      </c>
      <c r="E992" t="inlineStr">
        <is>
          <t>GT09</t>
        </is>
      </c>
    </row>
    <row r="993">
      <c r="A993" t="inlineStr">
        <is>
          <t>admin2</t>
        </is>
      </c>
      <c r="B993" t="inlineStr">
        <is>
          <t>GT0910</t>
        </is>
      </c>
      <c r="C993" t="inlineStr">
        <is>
          <t>San Mateo</t>
        </is>
      </c>
      <c r="E993" t="inlineStr">
        <is>
          <t>GT09</t>
        </is>
      </c>
    </row>
    <row r="994">
      <c r="A994" t="inlineStr">
        <is>
          <t>admin2</t>
        </is>
      </c>
      <c r="B994" t="inlineStr">
        <is>
          <t>GT0911</t>
        </is>
      </c>
      <c r="C994" t="inlineStr">
        <is>
          <t>Concepción Chiquirichapa</t>
        </is>
      </c>
      <c r="E994" t="inlineStr">
        <is>
          <t>GT09</t>
        </is>
      </c>
    </row>
    <row r="995">
      <c r="A995" t="inlineStr">
        <is>
          <t>admin2</t>
        </is>
      </c>
      <c r="B995" t="inlineStr">
        <is>
          <t>GT0912</t>
        </is>
      </c>
      <c r="C995" t="inlineStr">
        <is>
          <t>San Martín Sacatepéquez</t>
        </is>
      </c>
      <c r="E995" t="inlineStr">
        <is>
          <t>GT09</t>
        </is>
      </c>
    </row>
    <row r="996">
      <c r="A996" t="inlineStr">
        <is>
          <t>admin2</t>
        </is>
      </c>
      <c r="B996" t="inlineStr">
        <is>
          <t>GT0913</t>
        </is>
      </c>
      <c r="C996" t="inlineStr">
        <is>
          <t>Almolonga</t>
        </is>
      </c>
      <c r="E996" t="inlineStr">
        <is>
          <t>GT09</t>
        </is>
      </c>
    </row>
    <row r="997">
      <c r="A997" t="inlineStr">
        <is>
          <t>admin2</t>
        </is>
      </c>
      <c r="B997" t="inlineStr">
        <is>
          <t>GT0914</t>
        </is>
      </c>
      <c r="C997" t="inlineStr">
        <is>
          <t>Cantel</t>
        </is>
      </c>
      <c r="E997" t="inlineStr">
        <is>
          <t>GT09</t>
        </is>
      </c>
    </row>
    <row r="998">
      <c r="A998" t="inlineStr">
        <is>
          <t>admin2</t>
        </is>
      </c>
      <c r="B998" t="inlineStr">
        <is>
          <t>GT0915</t>
        </is>
      </c>
      <c r="C998" t="inlineStr">
        <is>
          <t>Huitán</t>
        </is>
      </c>
      <c r="E998" t="inlineStr">
        <is>
          <t>GT09</t>
        </is>
      </c>
    </row>
    <row r="999">
      <c r="A999" t="inlineStr">
        <is>
          <t>admin2</t>
        </is>
      </c>
      <c r="B999" t="inlineStr">
        <is>
          <t>GT0916</t>
        </is>
      </c>
      <c r="C999" t="inlineStr">
        <is>
          <t>Zunil</t>
        </is>
      </c>
      <c r="E999" t="inlineStr">
        <is>
          <t>GT09</t>
        </is>
      </c>
    </row>
    <row r="1000">
      <c r="A1000" t="inlineStr">
        <is>
          <t>admin2</t>
        </is>
      </c>
      <c r="B1000" t="inlineStr">
        <is>
          <t>GT0917</t>
        </is>
      </c>
      <c r="C1000" t="inlineStr">
        <is>
          <t>Colomba</t>
        </is>
      </c>
      <c r="E1000" t="inlineStr">
        <is>
          <t>GT09</t>
        </is>
      </c>
    </row>
    <row r="1001">
      <c r="A1001" t="inlineStr">
        <is>
          <t>admin2</t>
        </is>
      </c>
      <c r="B1001" t="inlineStr">
        <is>
          <t>GT0918</t>
        </is>
      </c>
      <c r="C1001" t="inlineStr">
        <is>
          <t>San Francisco La Unión</t>
        </is>
      </c>
      <c r="E1001" t="inlineStr">
        <is>
          <t>GT09</t>
        </is>
      </c>
    </row>
    <row r="1002">
      <c r="A1002" t="inlineStr">
        <is>
          <t>admin2</t>
        </is>
      </c>
      <c r="B1002" t="inlineStr">
        <is>
          <t>GT0919</t>
        </is>
      </c>
      <c r="C1002" t="inlineStr">
        <is>
          <t>El Palmar</t>
        </is>
      </c>
      <c r="E1002" t="inlineStr">
        <is>
          <t>GT09</t>
        </is>
      </c>
    </row>
    <row r="1003">
      <c r="A1003" t="inlineStr">
        <is>
          <t>admin2</t>
        </is>
      </c>
      <c r="B1003" t="inlineStr">
        <is>
          <t>GT0920</t>
        </is>
      </c>
      <c r="C1003" t="inlineStr">
        <is>
          <t>Coatepeque</t>
        </is>
      </c>
      <c r="E1003" t="inlineStr">
        <is>
          <t>GT09</t>
        </is>
      </c>
    </row>
    <row r="1004">
      <c r="A1004" t="inlineStr">
        <is>
          <t>admin2</t>
        </is>
      </c>
      <c r="B1004" t="inlineStr">
        <is>
          <t>GT0921</t>
        </is>
      </c>
      <c r="C1004" t="inlineStr">
        <is>
          <t>Génova</t>
        </is>
      </c>
      <c r="E1004" t="inlineStr">
        <is>
          <t>GT09</t>
        </is>
      </c>
    </row>
    <row r="1005">
      <c r="A1005" t="inlineStr">
        <is>
          <t>admin2</t>
        </is>
      </c>
      <c r="B1005" t="inlineStr">
        <is>
          <t>GT0922</t>
        </is>
      </c>
      <c r="C1005" t="inlineStr">
        <is>
          <t>Flores Costa Cuca</t>
        </is>
      </c>
      <c r="E1005" t="inlineStr">
        <is>
          <t>GT09</t>
        </is>
      </c>
    </row>
    <row r="1006">
      <c r="A1006" t="inlineStr">
        <is>
          <t>admin2</t>
        </is>
      </c>
      <c r="B1006" t="inlineStr">
        <is>
          <t>GT0923</t>
        </is>
      </c>
      <c r="C1006" t="inlineStr">
        <is>
          <t>La Esperanza</t>
        </is>
      </c>
      <c r="E1006" t="inlineStr">
        <is>
          <t>GT09</t>
        </is>
      </c>
    </row>
    <row r="1007">
      <c r="A1007" t="inlineStr">
        <is>
          <t>admin2</t>
        </is>
      </c>
      <c r="B1007" t="inlineStr">
        <is>
          <t>GT0924</t>
        </is>
      </c>
      <c r="C1007" t="inlineStr">
        <is>
          <t>Palestina de Los Altos</t>
        </is>
      </c>
      <c r="E1007" t="inlineStr">
        <is>
          <t>GT09</t>
        </is>
      </c>
    </row>
    <row r="1008">
      <c r="A1008" t="inlineStr">
        <is>
          <t>admin2</t>
        </is>
      </c>
      <c r="B1008" t="inlineStr">
        <is>
          <t>GT1001</t>
        </is>
      </c>
      <c r="C1008" t="inlineStr">
        <is>
          <t>Mazatenango</t>
        </is>
      </c>
      <c r="E1008" t="inlineStr">
        <is>
          <t>GT10</t>
        </is>
      </c>
    </row>
    <row r="1009">
      <c r="A1009" t="inlineStr">
        <is>
          <t>admin2</t>
        </is>
      </c>
      <c r="B1009" t="inlineStr">
        <is>
          <t>GT1002</t>
        </is>
      </c>
      <c r="C1009" t="inlineStr">
        <is>
          <t>Cuyotenango</t>
        </is>
      </c>
      <c r="E1009" t="inlineStr">
        <is>
          <t>GT10</t>
        </is>
      </c>
    </row>
    <row r="1010">
      <c r="A1010" t="inlineStr">
        <is>
          <t>admin2</t>
        </is>
      </c>
      <c r="B1010" t="inlineStr">
        <is>
          <t>GT1003</t>
        </is>
      </c>
      <c r="C1010" t="inlineStr">
        <is>
          <t>San Francisco Zapotitlán</t>
        </is>
      </c>
      <c r="E1010" t="inlineStr">
        <is>
          <t>GT10</t>
        </is>
      </c>
    </row>
    <row r="1011">
      <c r="A1011" t="inlineStr">
        <is>
          <t>admin2</t>
        </is>
      </c>
      <c r="B1011" t="inlineStr">
        <is>
          <t>GT1004</t>
        </is>
      </c>
      <c r="C1011" t="inlineStr">
        <is>
          <t>San Bernardino</t>
        </is>
      </c>
      <c r="E1011" t="inlineStr">
        <is>
          <t>GT10</t>
        </is>
      </c>
    </row>
    <row r="1012">
      <c r="A1012" t="inlineStr">
        <is>
          <t>admin2</t>
        </is>
      </c>
      <c r="B1012" t="inlineStr">
        <is>
          <t>GT1005</t>
        </is>
      </c>
      <c r="C1012" t="inlineStr">
        <is>
          <t>San José El Ídolo</t>
        </is>
      </c>
      <c r="E1012" t="inlineStr">
        <is>
          <t>GT10</t>
        </is>
      </c>
    </row>
    <row r="1013">
      <c r="A1013" t="inlineStr">
        <is>
          <t>admin2</t>
        </is>
      </c>
      <c r="B1013" t="inlineStr">
        <is>
          <t>GT1006</t>
        </is>
      </c>
      <c r="C1013" t="inlineStr">
        <is>
          <t>Santo Domingo Suchitepéquez</t>
        </is>
      </c>
      <c r="E1013" t="inlineStr">
        <is>
          <t>GT10</t>
        </is>
      </c>
    </row>
    <row r="1014">
      <c r="A1014" t="inlineStr">
        <is>
          <t>admin2</t>
        </is>
      </c>
      <c r="B1014" t="inlineStr">
        <is>
          <t>GT1007</t>
        </is>
      </c>
      <c r="C1014" t="inlineStr">
        <is>
          <t>San Lorenzo</t>
        </is>
      </c>
      <c r="E1014" t="inlineStr">
        <is>
          <t>GT10</t>
        </is>
      </c>
    </row>
    <row r="1015">
      <c r="A1015" t="inlineStr">
        <is>
          <t>admin2</t>
        </is>
      </c>
      <c r="B1015" t="inlineStr">
        <is>
          <t>GT1008</t>
        </is>
      </c>
      <c r="C1015" t="inlineStr">
        <is>
          <t>Samayac</t>
        </is>
      </c>
      <c r="E1015" t="inlineStr">
        <is>
          <t>GT10</t>
        </is>
      </c>
    </row>
    <row r="1016">
      <c r="A1016" t="inlineStr">
        <is>
          <t>admin2</t>
        </is>
      </c>
      <c r="B1016" t="inlineStr">
        <is>
          <t>GT1009</t>
        </is>
      </c>
      <c r="C1016" t="inlineStr">
        <is>
          <t>San Pablo Jocopilas</t>
        </is>
      </c>
      <c r="E1016" t="inlineStr">
        <is>
          <t>GT10</t>
        </is>
      </c>
    </row>
    <row r="1017">
      <c r="A1017" t="inlineStr">
        <is>
          <t>admin2</t>
        </is>
      </c>
      <c r="B1017" t="inlineStr">
        <is>
          <t>GT1010</t>
        </is>
      </c>
      <c r="C1017" t="inlineStr">
        <is>
          <t>San Antonio Suchitepéquez</t>
        </is>
      </c>
      <c r="E1017" t="inlineStr">
        <is>
          <t>GT10</t>
        </is>
      </c>
    </row>
    <row r="1018">
      <c r="A1018" t="inlineStr">
        <is>
          <t>admin2</t>
        </is>
      </c>
      <c r="B1018" t="inlineStr">
        <is>
          <t>GT1011</t>
        </is>
      </c>
      <c r="C1018" t="inlineStr">
        <is>
          <t>San Miguel Panán</t>
        </is>
      </c>
      <c r="E1018" t="inlineStr">
        <is>
          <t>GT10</t>
        </is>
      </c>
    </row>
    <row r="1019">
      <c r="A1019" t="inlineStr">
        <is>
          <t>admin2</t>
        </is>
      </c>
      <c r="B1019" t="inlineStr">
        <is>
          <t>GT1012</t>
        </is>
      </c>
      <c r="C1019" t="inlineStr">
        <is>
          <t>San Gabriel</t>
        </is>
      </c>
      <c r="E1019" t="inlineStr">
        <is>
          <t>GT10</t>
        </is>
      </c>
    </row>
    <row r="1020">
      <c r="A1020" t="inlineStr">
        <is>
          <t>admin2</t>
        </is>
      </c>
      <c r="B1020" t="inlineStr">
        <is>
          <t>GT1013</t>
        </is>
      </c>
      <c r="C1020" t="inlineStr">
        <is>
          <t>Chicacao</t>
        </is>
      </c>
      <c r="E1020" t="inlineStr">
        <is>
          <t>GT10</t>
        </is>
      </c>
    </row>
    <row r="1021">
      <c r="A1021" t="inlineStr">
        <is>
          <t>admin2</t>
        </is>
      </c>
      <c r="B1021" t="inlineStr">
        <is>
          <t>GT1014</t>
        </is>
      </c>
      <c r="C1021" t="inlineStr">
        <is>
          <t>Patulul</t>
        </is>
      </c>
      <c r="E1021" t="inlineStr">
        <is>
          <t>GT10</t>
        </is>
      </c>
    </row>
    <row r="1022">
      <c r="A1022" t="inlineStr">
        <is>
          <t>admin2</t>
        </is>
      </c>
      <c r="B1022" t="inlineStr">
        <is>
          <t>GT1015</t>
        </is>
      </c>
      <c r="C1022" t="inlineStr">
        <is>
          <t>Santa Bárbara</t>
        </is>
      </c>
      <c r="E1022" t="inlineStr">
        <is>
          <t>GT10</t>
        </is>
      </c>
    </row>
    <row r="1023">
      <c r="A1023" t="inlineStr">
        <is>
          <t>admin2</t>
        </is>
      </c>
      <c r="B1023" t="inlineStr">
        <is>
          <t>GT1016</t>
        </is>
      </c>
      <c r="C1023" t="inlineStr">
        <is>
          <t>San Juan Bautista</t>
        </is>
      </c>
      <c r="E1023" t="inlineStr">
        <is>
          <t>GT10</t>
        </is>
      </c>
    </row>
    <row r="1024">
      <c r="A1024" t="inlineStr">
        <is>
          <t>admin2</t>
        </is>
      </c>
      <c r="B1024" t="inlineStr">
        <is>
          <t>GT1017</t>
        </is>
      </c>
      <c r="C1024" t="inlineStr">
        <is>
          <t>Santo Tomás La Unión</t>
        </is>
      </c>
      <c r="E1024" t="inlineStr">
        <is>
          <t>GT10</t>
        </is>
      </c>
    </row>
    <row r="1025">
      <c r="A1025" t="inlineStr">
        <is>
          <t>admin2</t>
        </is>
      </c>
      <c r="B1025" t="inlineStr">
        <is>
          <t>GT1018</t>
        </is>
      </c>
      <c r="C1025" t="inlineStr">
        <is>
          <t>Zunilito</t>
        </is>
      </c>
      <c r="E1025" t="inlineStr">
        <is>
          <t>GT10</t>
        </is>
      </c>
    </row>
    <row r="1026">
      <c r="A1026" t="inlineStr">
        <is>
          <t>admin2</t>
        </is>
      </c>
      <c r="B1026" t="inlineStr">
        <is>
          <t>GT1019</t>
        </is>
      </c>
      <c r="C1026" t="inlineStr">
        <is>
          <t>Pueblo Nuevo</t>
        </is>
      </c>
      <c r="E1026" t="inlineStr">
        <is>
          <t>GT10</t>
        </is>
      </c>
    </row>
    <row r="1027">
      <c r="A1027" t="inlineStr">
        <is>
          <t>admin2</t>
        </is>
      </c>
      <c r="B1027" t="inlineStr">
        <is>
          <t>GT1020</t>
        </is>
      </c>
      <c r="C1027" t="inlineStr">
        <is>
          <t>Río Bravo</t>
        </is>
      </c>
      <c r="E1027" t="inlineStr">
        <is>
          <t>GT10</t>
        </is>
      </c>
    </row>
    <row r="1028">
      <c r="A1028" t="inlineStr">
        <is>
          <t>admin2</t>
        </is>
      </c>
      <c r="B1028" t="inlineStr">
        <is>
          <t>GT1021</t>
        </is>
      </c>
      <c r="C1028" t="inlineStr">
        <is>
          <t>San José La Máquina</t>
        </is>
      </c>
      <c r="E1028" t="inlineStr">
        <is>
          <t>GT10</t>
        </is>
      </c>
    </row>
    <row r="1029">
      <c r="A1029" t="inlineStr">
        <is>
          <t>admin2</t>
        </is>
      </c>
      <c r="B1029" t="inlineStr">
        <is>
          <t>GT1101</t>
        </is>
      </c>
      <c r="C1029" t="inlineStr">
        <is>
          <t>Retalhuleu</t>
        </is>
      </c>
      <c r="E1029" t="inlineStr">
        <is>
          <t>GT11</t>
        </is>
      </c>
    </row>
    <row r="1030">
      <c r="A1030" t="inlineStr">
        <is>
          <t>admin2</t>
        </is>
      </c>
      <c r="B1030" t="inlineStr">
        <is>
          <t>GT1102</t>
        </is>
      </c>
      <c r="C1030" t="inlineStr">
        <is>
          <t>San Sebastián</t>
        </is>
      </c>
      <c r="E1030" t="inlineStr">
        <is>
          <t>GT11</t>
        </is>
      </c>
    </row>
    <row r="1031">
      <c r="A1031" t="inlineStr">
        <is>
          <t>admin2</t>
        </is>
      </c>
      <c r="B1031" t="inlineStr">
        <is>
          <t>GT1103</t>
        </is>
      </c>
      <c r="C1031" t="inlineStr">
        <is>
          <t>Santa Cruz Muluá</t>
        </is>
      </c>
      <c r="E1031" t="inlineStr">
        <is>
          <t>GT11</t>
        </is>
      </c>
    </row>
    <row r="1032">
      <c r="A1032" t="inlineStr">
        <is>
          <t>admin2</t>
        </is>
      </c>
      <c r="B1032" t="inlineStr">
        <is>
          <t>GT1104</t>
        </is>
      </c>
      <c r="C1032" t="inlineStr">
        <is>
          <t>San Martín Zapotitlán</t>
        </is>
      </c>
      <c r="E1032" t="inlineStr">
        <is>
          <t>GT11</t>
        </is>
      </c>
    </row>
    <row r="1033">
      <c r="A1033" t="inlineStr">
        <is>
          <t>admin2</t>
        </is>
      </c>
      <c r="B1033" t="inlineStr">
        <is>
          <t>GT1105</t>
        </is>
      </c>
      <c r="C1033" t="inlineStr">
        <is>
          <t>San Felipe</t>
        </is>
      </c>
      <c r="E1033" t="inlineStr">
        <is>
          <t>GT11</t>
        </is>
      </c>
    </row>
    <row r="1034">
      <c r="A1034" t="inlineStr">
        <is>
          <t>admin2</t>
        </is>
      </c>
      <c r="B1034" t="inlineStr">
        <is>
          <t>GT1106</t>
        </is>
      </c>
      <c r="C1034" t="inlineStr">
        <is>
          <t>San Andrés Villa Seca</t>
        </is>
      </c>
      <c r="E1034" t="inlineStr">
        <is>
          <t>GT11</t>
        </is>
      </c>
    </row>
    <row r="1035">
      <c r="A1035" t="inlineStr">
        <is>
          <t>admin2</t>
        </is>
      </c>
      <c r="B1035" t="inlineStr">
        <is>
          <t>GT1107</t>
        </is>
      </c>
      <c r="C1035" t="inlineStr">
        <is>
          <t>Champerico</t>
        </is>
      </c>
      <c r="E1035" t="inlineStr">
        <is>
          <t>GT11</t>
        </is>
      </c>
    </row>
    <row r="1036">
      <c r="A1036" t="inlineStr">
        <is>
          <t>admin2</t>
        </is>
      </c>
      <c r="B1036" t="inlineStr">
        <is>
          <t>GT1108</t>
        </is>
      </c>
      <c r="C1036" t="inlineStr">
        <is>
          <t>Nuevo San Carlos</t>
        </is>
      </c>
      <c r="E1036" t="inlineStr">
        <is>
          <t>GT11</t>
        </is>
      </c>
    </row>
    <row r="1037">
      <c r="A1037" t="inlineStr">
        <is>
          <t>admin2</t>
        </is>
      </c>
      <c r="B1037" t="inlineStr">
        <is>
          <t>GT1109</t>
        </is>
      </c>
      <c r="C1037" t="inlineStr">
        <is>
          <t>El Asintal</t>
        </is>
      </c>
      <c r="E1037" t="inlineStr">
        <is>
          <t>GT11</t>
        </is>
      </c>
    </row>
    <row r="1038">
      <c r="A1038" t="inlineStr">
        <is>
          <t>admin2</t>
        </is>
      </c>
      <c r="B1038" t="inlineStr">
        <is>
          <t>GT1201</t>
        </is>
      </c>
      <c r="C1038" t="inlineStr">
        <is>
          <t>San Marcos</t>
        </is>
      </c>
      <c r="E1038" t="inlineStr">
        <is>
          <t>GT12</t>
        </is>
      </c>
    </row>
    <row r="1039">
      <c r="A1039" t="inlineStr">
        <is>
          <t>admin2</t>
        </is>
      </c>
      <c r="B1039" t="inlineStr">
        <is>
          <t>GT1202</t>
        </is>
      </c>
      <c r="C1039" t="inlineStr">
        <is>
          <t>San Pedro Sacatepéquez</t>
        </is>
      </c>
      <c r="E1039" t="inlineStr">
        <is>
          <t>GT12</t>
        </is>
      </c>
    </row>
    <row r="1040">
      <c r="A1040" t="inlineStr">
        <is>
          <t>admin2</t>
        </is>
      </c>
      <c r="B1040" t="inlineStr">
        <is>
          <t>GT1203</t>
        </is>
      </c>
      <c r="C1040" t="inlineStr">
        <is>
          <t>San Antonio Sacatepéquez</t>
        </is>
      </c>
      <c r="E1040" t="inlineStr">
        <is>
          <t>GT12</t>
        </is>
      </c>
    </row>
    <row r="1041">
      <c r="A1041" t="inlineStr">
        <is>
          <t>admin2</t>
        </is>
      </c>
      <c r="B1041" t="inlineStr">
        <is>
          <t>GT1204</t>
        </is>
      </c>
      <c r="C1041" t="inlineStr">
        <is>
          <t>Comitancillo</t>
        </is>
      </c>
      <c r="E1041" t="inlineStr">
        <is>
          <t>GT12</t>
        </is>
      </c>
    </row>
    <row r="1042">
      <c r="A1042" t="inlineStr">
        <is>
          <t>admin2</t>
        </is>
      </c>
      <c r="B1042" t="inlineStr">
        <is>
          <t>GT1205</t>
        </is>
      </c>
      <c r="C1042" t="inlineStr">
        <is>
          <t>San Miguel Ixtahuacán</t>
        </is>
      </c>
      <c r="E1042" t="inlineStr">
        <is>
          <t>GT12</t>
        </is>
      </c>
    </row>
    <row r="1043">
      <c r="A1043" t="inlineStr">
        <is>
          <t>admin2</t>
        </is>
      </c>
      <c r="B1043" t="inlineStr">
        <is>
          <t>GT1206</t>
        </is>
      </c>
      <c r="C1043" t="inlineStr">
        <is>
          <t>Concepción Tutuapa</t>
        </is>
      </c>
      <c r="E1043" t="inlineStr">
        <is>
          <t>GT12</t>
        </is>
      </c>
    </row>
    <row r="1044">
      <c r="A1044" t="inlineStr">
        <is>
          <t>admin2</t>
        </is>
      </c>
      <c r="B1044" t="inlineStr">
        <is>
          <t>GT1207</t>
        </is>
      </c>
      <c r="C1044" t="inlineStr">
        <is>
          <t>Tacaná</t>
        </is>
      </c>
      <c r="E1044" t="inlineStr">
        <is>
          <t>GT12</t>
        </is>
      </c>
    </row>
    <row r="1045">
      <c r="A1045" t="inlineStr">
        <is>
          <t>admin2</t>
        </is>
      </c>
      <c r="B1045" t="inlineStr">
        <is>
          <t>GT1208</t>
        </is>
      </c>
      <c r="C1045" t="inlineStr">
        <is>
          <t>Sibinal</t>
        </is>
      </c>
      <c r="E1045" t="inlineStr">
        <is>
          <t>GT12</t>
        </is>
      </c>
    </row>
    <row r="1046">
      <c r="A1046" t="inlineStr">
        <is>
          <t>admin2</t>
        </is>
      </c>
      <c r="B1046" t="inlineStr">
        <is>
          <t>GT1209</t>
        </is>
      </c>
      <c r="C1046" t="inlineStr">
        <is>
          <t>Tajumulco</t>
        </is>
      </c>
      <c r="E1046" t="inlineStr">
        <is>
          <t>GT12</t>
        </is>
      </c>
    </row>
    <row r="1047">
      <c r="A1047" t="inlineStr">
        <is>
          <t>admin2</t>
        </is>
      </c>
      <c r="B1047" t="inlineStr">
        <is>
          <t>GT1210</t>
        </is>
      </c>
      <c r="C1047" t="inlineStr">
        <is>
          <t>Tejutla</t>
        </is>
      </c>
      <c r="E1047" t="inlineStr">
        <is>
          <t>GT12</t>
        </is>
      </c>
    </row>
    <row r="1048">
      <c r="A1048" t="inlineStr">
        <is>
          <t>admin2</t>
        </is>
      </c>
      <c r="B1048" t="inlineStr">
        <is>
          <t>GT1211</t>
        </is>
      </c>
      <c r="C1048" t="inlineStr">
        <is>
          <t>San Rafael Pie de la Cuesta</t>
        </is>
      </c>
      <c r="E1048" t="inlineStr">
        <is>
          <t>GT12</t>
        </is>
      </c>
    </row>
    <row r="1049">
      <c r="A1049" t="inlineStr">
        <is>
          <t>admin2</t>
        </is>
      </c>
      <c r="B1049" t="inlineStr">
        <is>
          <t>GT1212</t>
        </is>
      </c>
      <c r="C1049" t="inlineStr">
        <is>
          <t>Nuevo Progreso</t>
        </is>
      </c>
      <c r="E1049" t="inlineStr">
        <is>
          <t>GT12</t>
        </is>
      </c>
    </row>
    <row r="1050">
      <c r="A1050" t="inlineStr">
        <is>
          <t>admin2</t>
        </is>
      </c>
      <c r="B1050" t="inlineStr">
        <is>
          <t>GT1213</t>
        </is>
      </c>
      <c r="C1050" t="inlineStr">
        <is>
          <t>El Tumbador</t>
        </is>
      </c>
      <c r="E1050" t="inlineStr">
        <is>
          <t>GT12</t>
        </is>
      </c>
    </row>
    <row r="1051">
      <c r="A1051" t="inlineStr">
        <is>
          <t>admin2</t>
        </is>
      </c>
      <c r="B1051" t="inlineStr">
        <is>
          <t>GT1214</t>
        </is>
      </c>
      <c r="C1051" t="inlineStr">
        <is>
          <t>El Rodeo</t>
        </is>
      </c>
      <c r="E1051" t="inlineStr">
        <is>
          <t>GT12</t>
        </is>
      </c>
    </row>
    <row r="1052">
      <c r="A1052" t="inlineStr">
        <is>
          <t>admin2</t>
        </is>
      </c>
      <c r="B1052" t="inlineStr">
        <is>
          <t>GT1215</t>
        </is>
      </c>
      <c r="C1052" t="inlineStr">
        <is>
          <t>Malacatán</t>
        </is>
      </c>
      <c r="E1052" t="inlineStr">
        <is>
          <t>GT12</t>
        </is>
      </c>
    </row>
    <row r="1053">
      <c r="A1053" t="inlineStr">
        <is>
          <t>admin2</t>
        </is>
      </c>
      <c r="B1053" t="inlineStr">
        <is>
          <t>GT1216</t>
        </is>
      </c>
      <c r="C1053" t="inlineStr">
        <is>
          <t>Catarina</t>
        </is>
      </c>
      <c r="E1053" t="inlineStr">
        <is>
          <t>GT12</t>
        </is>
      </c>
    </row>
    <row r="1054">
      <c r="A1054" t="inlineStr">
        <is>
          <t>admin2</t>
        </is>
      </c>
      <c r="B1054" t="inlineStr">
        <is>
          <t>GT1217</t>
        </is>
      </c>
      <c r="C1054" t="inlineStr">
        <is>
          <t>Ayutla</t>
        </is>
      </c>
      <c r="E1054" t="inlineStr">
        <is>
          <t>GT12</t>
        </is>
      </c>
    </row>
    <row r="1055">
      <c r="A1055" t="inlineStr">
        <is>
          <t>admin2</t>
        </is>
      </c>
      <c r="B1055" t="inlineStr">
        <is>
          <t>GT1218</t>
        </is>
      </c>
      <c r="C1055" t="inlineStr">
        <is>
          <t>Ocós</t>
        </is>
      </c>
      <c r="E1055" t="inlineStr">
        <is>
          <t>GT12</t>
        </is>
      </c>
    </row>
    <row r="1056">
      <c r="A1056" t="inlineStr">
        <is>
          <t>admin2</t>
        </is>
      </c>
      <c r="B1056" t="inlineStr">
        <is>
          <t>GT1219</t>
        </is>
      </c>
      <c r="C1056" t="inlineStr">
        <is>
          <t>San Pablo</t>
        </is>
      </c>
      <c r="E1056" t="inlineStr">
        <is>
          <t>GT12</t>
        </is>
      </c>
    </row>
    <row r="1057">
      <c r="A1057" t="inlineStr">
        <is>
          <t>admin2</t>
        </is>
      </c>
      <c r="B1057" t="inlineStr">
        <is>
          <t>GT1220</t>
        </is>
      </c>
      <c r="C1057" t="inlineStr">
        <is>
          <t>El Quetzal</t>
        </is>
      </c>
      <c r="E1057" t="inlineStr">
        <is>
          <t>GT12</t>
        </is>
      </c>
    </row>
    <row r="1058">
      <c r="A1058" t="inlineStr">
        <is>
          <t>admin2</t>
        </is>
      </c>
      <c r="B1058" t="inlineStr">
        <is>
          <t>GT1221</t>
        </is>
      </c>
      <c r="C1058" t="inlineStr">
        <is>
          <t>La Reforma</t>
        </is>
      </c>
      <c r="E1058" t="inlineStr">
        <is>
          <t>GT12</t>
        </is>
      </c>
    </row>
    <row r="1059">
      <c r="A1059" t="inlineStr">
        <is>
          <t>admin2</t>
        </is>
      </c>
      <c r="B1059" t="inlineStr">
        <is>
          <t>GT1222</t>
        </is>
      </c>
      <c r="C1059" t="inlineStr">
        <is>
          <t>Pajapita</t>
        </is>
      </c>
      <c r="E1059" t="inlineStr">
        <is>
          <t>GT12</t>
        </is>
      </c>
    </row>
    <row r="1060">
      <c r="A1060" t="inlineStr">
        <is>
          <t>admin2</t>
        </is>
      </c>
      <c r="B1060" t="inlineStr">
        <is>
          <t>GT1223</t>
        </is>
      </c>
      <c r="C1060" t="inlineStr">
        <is>
          <t>Ixchiguán</t>
        </is>
      </c>
      <c r="E1060" t="inlineStr">
        <is>
          <t>GT12</t>
        </is>
      </c>
    </row>
    <row r="1061">
      <c r="A1061" t="inlineStr">
        <is>
          <t>admin2</t>
        </is>
      </c>
      <c r="B1061" t="inlineStr">
        <is>
          <t>GT1224</t>
        </is>
      </c>
      <c r="C1061" t="inlineStr">
        <is>
          <t>San José Ojetenam</t>
        </is>
      </c>
      <c r="E1061" t="inlineStr">
        <is>
          <t>GT12</t>
        </is>
      </c>
    </row>
    <row r="1062">
      <c r="A1062" t="inlineStr">
        <is>
          <t>admin2</t>
        </is>
      </c>
      <c r="B1062" t="inlineStr">
        <is>
          <t>GT1225</t>
        </is>
      </c>
      <c r="C1062" t="inlineStr">
        <is>
          <t>San Cristóbal Cucho</t>
        </is>
      </c>
      <c r="E1062" t="inlineStr">
        <is>
          <t>GT12</t>
        </is>
      </c>
    </row>
    <row r="1063">
      <c r="A1063" t="inlineStr">
        <is>
          <t>admin2</t>
        </is>
      </c>
      <c r="B1063" t="inlineStr">
        <is>
          <t>GT1226</t>
        </is>
      </c>
      <c r="C1063" t="inlineStr">
        <is>
          <t>Sipacapa</t>
        </is>
      </c>
      <c r="E1063" t="inlineStr">
        <is>
          <t>GT12</t>
        </is>
      </c>
    </row>
    <row r="1064">
      <c r="A1064" t="inlineStr">
        <is>
          <t>admin2</t>
        </is>
      </c>
      <c r="B1064" t="inlineStr">
        <is>
          <t>GT1227</t>
        </is>
      </c>
      <c r="C1064" t="inlineStr">
        <is>
          <t>Esquipulas Palo Gordo</t>
        </is>
      </c>
      <c r="E1064" t="inlineStr">
        <is>
          <t>GT12</t>
        </is>
      </c>
    </row>
    <row r="1065">
      <c r="A1065" t="inlineStr">
        <is>
          <t>admin2</t>
        </is>
      </c>
      <c r="B1065" t="inlineStr">
        <is>
          <t>GT1228</t>
        </is>
      </c>
      <c r="C1065" t="inlineStr">
        <is>
          <t>Río Blanco</t>
        </is>
      </c>
      <c r="E1065" t="inlineStr">
        <is>
          <t>GT12</t>
        </is>
      </c>
    </row>
    <row r="1066">
      <c r="A1066" t="inlineStr">
        <is>
          <t>admin2</t>
        </is>
      </c>
      <c r="B1066" t="inlineStr">
        <is>
          <t>GT1229</t>
        </is>
      </c>
      <c r="C1066" t="inlineStr">
        <is>
          <t>San Lorenzo</t>
        </is>
      </c>
      <c r="E1066" t="inlineStr">
        <is>
          <t>GT12</t>
        </is>
      </c>
    </row>
    <row r="1067">
      <c r="A1067" t="inlineStr">
        <is>
          <t>admin2</t>
        </is>
      </c>
      <c r="B1067" t="inlineStr">
        <is>
          <t>GT1230</t>
        </is>
      </c>
      <c r="C1067" t="inlineStr">
        <is>
          <t>La Blanca</t>
        </is>
      </c>
      <c r="E1067" t="inlineStr">
        <is>
          <t>GT12</t>
        </is>
      </c>
    </row>
    <row r="1068">
      <c r="A1068" t="inlineStr">
        <is>
          <t>admin2</t>
        </is>
      </c>
      <c r="B1068" t="inlineStr">
        <is>
          <t>GT1301</t>
        </is>
      </c>
      <c r="C1068" t="inlineStr">
        <is>
          <t>Huehuetenango</t>
        </is>
      </c>
      <c r="E1068" t="inlineStr">
        <is>
          <t>GT13</t>
        </is>
      </c>
    </row>
    <row r="1069">
      <c r="A1069" t="inlineStr">
        <is>
          <t>admin2</t>
        </is>
      </c>
      <c r="B1069" t="inlineStr">
        <is>
          <t>GT1302</t>
        </is>
      </c>
      <c r="C1069" t="inlineStr">
        <is>
          <t>Chiantla</t>
        </is>
      </c>
      <c r="E1069" t="inlineStr">
        <is>
          <t>GT13</t>
        </is>
      </c>
    </row>
    <row r="1070">
      <c r="A1070" t="inlineStr">
        <is>
          <t>admin2</t>
        </is>
      </c>
      <c r="B1070" t="inlineStr">
        <is>
          <t>GT1303</t>
        </is>
      </c>
      <c r="C1070" t="inlineStr">
        <is>
          <t>Malacatancito</t>
        </is>
      </c>
      <c r="E1070" t="inlineStr">
        <is>
          <t>GT13</t>
        </is>
      </c>
    </row>
    <row r="1071">
      <c r="A1071" t="inlineStr">
        <is>
          <t>admin2</t>
        </is>
      </c>
      <c r="B1071" t="inlineStr">
        <is>
          <t>GT1304</t>
        </is>
      </c>
      <c r="C1071" t="inlineStr">
        <is>
          <t>Cuilco</t>
        </is>
      </c>
      <c r="E1071" t="inlineStr">
        <is>
          <t>GT13</t>
        </is>
      </c>
    </row>
    <row r="1072">
      <c r="A1072" t="inlineStr">
        <is>
          <t>admin2</t>
        </is>
      </c>
      <c r="B1072" t="inlineStr">
        <is>
          <t>GT1305</t>
        </is>
      </c>
      <c r="C1072" t="inlineStr">
        <is>
          <t>Nentón</t>
        </is>
      </c>
      <c r="E1072" t="inlineStr">
        <is>
          <t>GT13</t>
        </is>
      </c>
    </row>
    <row r="1073">
      <c r="A1073" t="inlineStr">
        <is>
          <t>admin2</t>
        </is>
      </c>
      <c r="B1073" t="inlineStr">
        <is>
          <t>GT1306</t>
        </is>
      </c>
      <c r="C1073" t="inlineStr">
        <is>
          <t>San Pedro Necta</t>
        </is>
      </c>
      <c r="E1073" t="inlineStr">
        <is>
          <t>GT13</t>
        </is>
      </c>
    </row>
    <row r="1074">
      <c r="A1074" t="inlineStr">
        <is>
          <t>admin2</t>
        </is>
      </c>
      <c r="B1074" t="inlineStr">
        <is>
          <t>GT1307</t>
        </is>
      </c>
      <c r="C1074" t="inlineStr">
        <is>
          <t>Jacaltenango</t>
        </is>
      </c>
      <c r="E1074" t="inlineStr">
        <is>
          <t>GT13</t>
        </is>
      </c>
    </row>
    <row r="1075">
      <c r="A1075" t="inlineStr">
        <is>
          <t>admin2</t>
        </is>
      </c>
      <c r="B1075" t="inlineStr">
        <is>
          <t>GT1308</t>
        </is>
      </c>
      <c r="C1075" t="inlineStr">
        <is>
          <t>Soloma</t>
        </is>
      </c>
      <c r="E1075" t="inlineStr">
        <is>
          <t>GT13</t>
        </is>
      </c>
    </row>
    <row r="1076">
      <c r="A1076" t="inlineStr">
        <is>
          <t>admin2</t>
        </is>
      </c>
      <c r="B1076" t="inlineStr">
        <is>
          <t>GT1309</t>
        </is>
      </c>
      <c r="C1076" t="inlineStr">
        <is>
          <t>Ixtahuacán</t>
        </is>
      </c>
      <c r="E1076" t="inlineStr">
        <is>
          <t>GT13</t>
        </is>
      </c>
    </row>
    <row r="1077">
      <c r="A1077" t="inlineStr">
        <is>
          <t>admin2</t>
        </is>
      </c>
      <c r="B1077" t="inlineStr">
        <is>
          <t>GT1310</t>
        </is>
      </c>
      <c r="C1077" t="inlineStr">
        <is>
          <t>Santa Bárbara</t>
        </is>
      </c>
      <c r="E1077" t="inlineStr">
        <is>
          <t>GT13</t>
        </is>
      </c>
    </row>
    <row r="1078">
      <c r="A1078" t="inlineStr">
        <is>
          <t>admin2</t>
        </is>
      </c>
      <c r="B1078" t="inlineStr">
        <is>
          <t>GT1311</t>
        </is>
      </c>
      <c r="C1078" t="inlineStr">
        <is>
          <t>La Libertad</t>
        </is>
      </c>
      <c r="E1078" t="inlineStr">
        <is>
          <t>GT13</t>
        </is>
      </c>
    </row>
    <row r="1079">
      <c r="A1079" t="inlineStr">
        <is>
          <t>admin2</t>
        </is>
      </c>
      <c r="B1079" t="inlineStr">
        <is>
          <t>GT1312</t>
        </is>
      </c>
      <c r="C1079" t="inlineStr">
        <is>
          <t>La Democracia</t>
        </is>
      </c>
      <c r="E1079" t="inlineStr">
        <is>
          <t>GT13</t>
        </is>
      </c>
    </row>
    <row r="1080">
      <c r="A1080" t="inlineStr">
        <is>
          <t>admin2</t>
        </is>
      </c>
      <c r="B1080" t="inlineStr">
        <is>
          <t>GT1313</t>
        </is>
      </c>
      <c r="C1080" t="inlineStr">
        <is>
          <t>San Miguel Acatán</t>
        </is>
      </c>
      <c r="E1080" t="inlineStr">
        <is>
          <t>GT13</t>
        </is>
      </c>
    </row>
    <row r="1081">
      <c r="A1081" t="inlineStr">
        <is>
          <t>admin2</t>
        </is>
      </c>
      <c r="B1081" t="inlineStr">
        <is>
          <t>GT1314</t>
        </is>
      </c>
      <c r="C1081" t="inlineStr">
        <is>
          <t>San Rafael La Independencia</t>
        </is>
      </c>
      <c r="E1081" t="inlineStr">
        <is>
          <t>GT13</t>
        </is>
      </c>
    </row>
    <row r="1082">
      <c r="A1082" t="inlineStr">
        <is>
          <t>admin2</t>
        </is>
      </c>
      <c r="B1082" t="inlineStr">
        <is>
          <t>GT1315</t>
        </is>
      </c>
      <c r="C1082" t="inlineStr">
        <is>
          <t>Todos Santos Cuchumatán</t>
        </is>
      </c>
      <c r="E1082" t="inlineStr">
        <is>
          <t>GT13</t>
        </is>
      </c>
    </row>
    <row r="1083">
      <c r="A1083" t="inlineStr">
        <is>
          <t>admin2</t>
        </is>
      </c>
      <c r="B1083" t="inlineStr">
        <is>
          <t>GT1316</t>
        </is>
      </c>
      <c r="C1083" t="inlineStr">
        <is>
          <t>San Juan Atitán</t>
        </is>
      </c>
      <c r="E1083" t="inlineStr">
        <is>
          <t>GT13</t>
        </is>
      </c>
    </row>
    <row r="1084">
      <c r="A1084" t="inlineStr">
        <is>
          <t>admin2</t>
        </is>
      </c>
      <c r="B1084" t="inlineStr">
        <is>
          <t>GT1317</t>
        </is>
      </c>
      <c r="C1084" t="inlineStr">
        <is>
          <t>Santa Eulalia</t>
        </is>
      </c>
      <c r="E1084" t="inlineStr">
        <is>
          <t>GT13</t>
        </is>
      </c>
    </row>
    <row r="1085">
      <c r="A1085" t="inlineStr">
        <is>
          <t>admin2</t>
        </is>
      </c>
      <c r="B1085" t="inlineStr">
        <is>
          <t>GT1318</t>
        </is>
      </c>
      <c r="C1085" t="inlineStr">
        <is>
          <t>San Mateo Ixtatán</t>
        </is>
      </c>
      <c r="E1085" t="inlineStr">
        <is>
          <t>GT13</t>
        </is>
      </c>
    </row>
    <row r="1086">
      <c r="A1086" t="inlineStr">
        <is>
          <t>admin2</t>
        </is>
      </c>
      <c r="B1086" t="inlineStr">
        <is>
          <t>GT1319</t>
        </is>
      </c>
      <c r="C1086" t="inlineStr">
        <is>
          <t>Colotenango</t>
        </is>
      </c>
      <c r="E1086" t="inlineStr">
        <is>
          <t>GT13</t>
        </is>
      </c>
    </row>
    <row r="1087">
      <c r="A1087" t="inlineStr">
        <is>
          <t>admin2</t>
        </is>
      </c>
      <c r="B1087" t="inlineStr">
        <is>
          <t>GT1320</t>
        </is>
      </c>
      <c r="C1087" t="inlineStr">
        <is>
          <t>San Sebastián Huehuetenango</t>
        </is>
      </c>
      <c r="E1087" t="inlineStr">
        <is>
          <t>GT13</t>
        </is>
      </c>
    </row>
    <row r="1088">
      <c r="A1088" t="inlineStr">
        <is>
          <t>admin2</t>
        </is>
      </c>
      <c r="B1088" t="inlineStr">
        <is>
          <t>GT1321</t>
        </is>
      </c>
      <c r="C1088" t="inlineStr">
        <is>
          <t>Tectitán</t>
        </is>
      </c>
      <c r="E1088" t="inlineStr">
        <is>
          <t>GT13</t>
        </is>
      </c>
    </row>
    <row r="1089">
      <c r="A1089" t="inlineStr">
        <is>
          <t>admin2</t>
        </is>
      </c>
      <c r="B1089" t="inlineStr">
        <is>
          <t>GT1322</t>
        </is>
      </c>
      <c r="C1089" t="inlineStr">
        <is>
          <t>Concepción Huista</t>
        </is>
      </c>
      <c r="E1089" t="inlineStr">
        <is>
          <t>GT13</t>
        </is>
      </c>
    </row>
    <row r="1090">
      <c r="A1090" t="inlineStr">
        <is>
          <t>admin2</t>
        </is>
      </c>
      <c r="B1090" t="inlineStr">
        <is>
          <t>GT1323</t>
        </is>
      </c>
      <c r="C1090" t="inlineStr">
        <is>
          <t>San Juan Ixcoy</t>
        </is>
      </c>
      <c r="E1090" t="inlineStr">
        <is>
          <t>GT13</t>
        </is>
      </c>
    </row>
    <row r="1091">
      <c r="A1091" t="inlineStr">
        <is>
          <t>admin2</t>
        </is>
      </c>
      <c r="B1091" t="inlineStr">
        <is>
          <t>GT1324</t>
        </is>
      </c>
      <c r="C1091" t="inlineStr">
        <is>
          <t>San Antonio Huista</t>
        </is>
      </c>
      <c r="E1091" t="inlineStr">
        <is>
          <t>GT13</t>
        </is>
      </c>
    </row>
    <row r="1092">
      <c r="A1092" t="inlineStr">
        <is>
          <t>admin2</t>
        </is>
      </c>
      <c r="B1092" t="inlineStr">
        <is>
          <t>GT1325</t>
        </is>
      </c>
      <c r="C1092" t="inlineStr">
        <is>
          <t>San Sebastián Coatán</t>
        </is>
      </c>
      <c r="E1092" t="inlineStr">
        <is>
          <t>GT13</t>
        </is>
      </c>
    </row>
    <row r="1093">
      <c r="A1093" t="inlineStr">
        <is>
          <t>admin2</t>
        </is>
      </c>
      <c r="B1093" t="inlineStr">
        <is>
          <t>GT1326</t>
        </is>
      </c>
      <c r="C1093" t="inlineStr">
        <is>
          <t>Barillas</t>
        </is>
      </c>
      <c r="E1093" t="inlineStr">
        <is>
          <t>GT13</t>
        </is>
      </c>
    </row>
    <row r="1094">
      <c r="A1094" t="inlineStr">
        <is>
          <t>admin2</t>
        </is>
      </c>
      <c r="B1094" t="inlineStr">
        <is>
          <t>GT1327</t>
        </is>
      </c>
      <c r="C1094" t="inlineStr">
        <is>
          <t>Aguacatán</t>
        </is>
      </c>
      <c r="E1094" t="inlineStr">
        <is>
          <t>GT13</t>
        </is>
      </c>
    </row>
    <row r="1095">
      <c r="A1095" t="inlineStr">
        <is>
          <t>admin2</t>
        </is>
      </c>
      <c r="B1095" t="inlineStr">
        <is>
          <t>GT1328</t>
        </is>
      </c>
      <c r="C1095" t="inlineStr">
        <is>
          <t>San Rafael Petzal</t>
        </is>
      </c>
      <c r="E1095" t="inlineStr">
        <is>
          <t>GT13</t>
        </is>
      </c>
    </row>
    <row r="1096">
      <c r="A1096" t="inlineStr">
        <is>
          <t>admin2</t>
        </is>
      </c>
      <c r="B1096" t="inlineStr">
        <is>
          <t>GT1329</t>
        </is>
      </c>
      <c r="C1096" t="inlineStr">
        <is>
          <t>San Gaspar Ixchil</t>
        </is>
      </c>
      <c r="E1096" t="inlineStr">
        <is>
          <t>GT13</t>
        </is>
      </c>
    </row>
    <row r="1097">
      <c r="A1097" t="inlineStr">
        <is>
          <t>admin2</t>
        </is>
      </c>
      <c r="B1097" t="inlineStr">
        <is>
          <t>GT1330</t>
        </is>
      </c>
      <c r="C1097" t="inlineStr">
        <is>
          <t>Santiago Chimaltenango</t>
        </is>
      </c>
      <c r="E1097" t="inlineStr">
        <is>
          <t>GT13</t>
        </is>
      </c>
    </row>
    <row r="1098">
      <c r="A1098" t="inlineStr">
        <is>
          <t>admin2</t>
        </is>
      </c>
      <c r="B1098" t="inlineStr">
        <is>
          <t>GT1331</t>
        </is>
      </c>
      <c r="C1098" t="inlineStr">
        <is>
          <t>Santa Ana Huista</t>
        </is>
      </c>
      <c r="E1098" t="inlineStr">
        <is>
          <t>GT13</t>
        </is>
      </c>
    </row>
    <row r="1099">
      <c r="A1099" t="inlineStr">
        <is>
          <t>admin2</t>
        </is>
      </c>
      <c r="B1099" t="inlineStr">
        <is>
          <t>GT1332</t>
        </is>
      </c>
      <c r="C1099" t="inlineStr">
        <is>
          <t>Unión Cantinil</t>
        </is>
      </c>
      <c r="E1099" t="inlineStr">
        <is>
          <t>GT13</t>
        </is>
      </c>
    </row>
    <row r="1100">
      <c r="A1100" t="inlineStr">
        <is>
          <t>admin2</t>
        </is>
      </c>
      <c r="B1100" t="inlineStr">
        <is>
          <t>GT1333</t>
        </is>
      </c>
      <c r="C1100" t="inlineStr">
        <is>
          <t>Petatán</t>
        </is>
      </c>
      <c r="E1100" t="inlineStr">
        <is>
          <t>GT13</t>
        </is>
      </c>
    </row>
    <row r="1101">
      <c r="A1101" t="inlineStr">
        <is>
          <t>admin2</t>
        </is>
      </c>
      <c r="B1101" t="inlineStr">
        <is>
          <t>GT1401</t>
        </is>
      </c>
      <c r="C1101" t="inlineStr">
        <is>
          <t>Santa Cruz del Quiché</t>
        </is>
      </c>
      <c r="E1101" t="inlineStr">
        <is>
          <t>GT14</t>
        </is>
      </c>
    </row>
    <row r="1102">
      <c r="A1102" t="inlineStr">
        <is>
          <t>admin2</t>
        </is>
      </c>
      <c r="B1102" t="inlineStr">
        <is>
          <t>GT1402</t>
        </is>
      </c>
      <c r="C1102" t="inlineStr">
        <is>
          <t>Chiché</t>
        </is>
      </c>
      <c r="E1102" t="inlineStr">
        <is>
          <t>GT14</t>
        </is>
      </c>
    </row>
    <row r="1103">
      <c r="A1103" t="inlineStr">
        <is>
          <t>admin2</t>
        </is>
      </c>
      <c r="B1103" t="inlineStr">
        <is>
          <t>GT1403</t>
        </is>
      </c>
      <c r="C1103" t="inlineStr">
        <is>
          <t>Chinique</t>
        </is>
      </c>
      <c r="E1103" t="inlineStr">
        <is>
          <t>GT14</t>
        </is>
      </c>
    </row>
    <row r="1104">
      <c r="A1104" t="inlineStr">
        <is>
          <t>admin2</t>
        </is>
      </c>
      <c r="B1104" t="inlineStr">
        <is>
          <t>GT1404</t>
        </is>
      </c>
      <c r="C1104" t="inlineStr">
        <is>
          <t>Zacualpa</t>
        </is>
      </c>
      <c r="E1104" t="inlineStr">
        <is>
          <t>GT14</t>
        </is>
      </c>
    </row>
    <row r="1105">
      <c r="A1105" t="inlineStr">
        <is>
          <t>admin2</t>
        </is>
      </c>
      <c r="B1105" t="inlineStr">
        <is>
          <t>GT1405</t>
        </is>
      </c>
      <c r="C1105" t="inlineStr">
        <is>
          <t>Chajul</t>
        </is>
      </c>
      <c r="E1105" t="inlineStr">
        <is>
          <t>GT14</t>
        </is>
      </c>
    </row>
    <row r="1106">
      <c r="A1106" t="inlineStr">
        <is>
          <t>admin2</t>
        </is>
      </c>
      <c r="B1106" t="inlineStr">
        <is>
          <t>GT1406</t>
        </is>
      </c>
      <c r="C1106" t="inlineStr">
        <is>
          <t>Chichicastenango</t>
        </is>
      </c>
      <c r="E1106" t="inlineStr">
        <is>
          <t>GT14</t>
        </is>
      </c>
    </row>
    <row r="1107">
      <c r="A1107" t="inlineStr">
        <is>
          <t>admin2</t>
        </is>
      </c>
      <c r="B1107" t="inlineStr">
        <is>
          <t>GT1407</t>
        </is>
      </c>
      <c r="C1107" t="inlineStr">
        <is>
          <t>Patzité</t>
        </is>
      </c>
      <c r="E1107" t="inlineStr">
        <is>
          <t>GT14</t>
        </is>
      </c>
    </row>
    <row r="1108">
      <c r="A1108" t="inlineStr">
        <is>
          <t>admin2</t>
        </is>
      </c>
      <c r="B1108" t="inlineStr">
        <is>
          <t>GT1408</t>
        </is>
      </c>
      <c r="C1108" t="inlineStr">
        <is>
          <t>San Antonio Ilotenango</t>
        </is>
      </c>
      <c r="E1108" t="inlineStr">
        <is>
          <t>GT14</t>
        </is>
      </c>
    </row>
    <row r="1109">
      <c r="A1109" t="inlineStr">
        <is>
          <t>admin2</t>
        </is>
      </c>
      <c r="B1109" t="inlineStr">
        <is>
          <t>GT1409</t>
        </is>
      </c>
      <c r="C1109" t="inlineStr">
        <is>
          <t>San Pedro Jocopilas</t>
        </is>
      </c>
      <c r="E1109" t="inlineStr">
        <is>
          <t>GT14</t>
        </is>
      </c>
    </row>
    <row r="1110">
      <c r="A1110" t="inlineStr">
        <is>
          <t>admin2</t>
        </is>
      </c>
      <c r="B1110" t="inlineStr">
        <is>
          <t>GT1410</t>
        </is>
      </c>
      <c r="C1110" t="inlineStr">
        <is>
          <t>Cunén</t>
        </is>
      </c>
      <c r="E1110" t="inlineStr">
        <is>
          <t>GT14</t>
        </is>
      </c>
    </row>
    <row r="1111">
      <c r="A1111" t="inlineStr">
        <is>
          <t>admin2</t>
        </is>
      </c>
      <c r="B1111" t="inlineStr">
        <is>
          <t>GT1411</t>
        </is>
      </c>
      <c r="C1111" t="inlineStr">
        <is>
          <t>San Juan Cotzal</t>
        </is>
      </c>
      <c r="E1111" t="inlineStr">
        <is>
          <t>GT14</t>
        </is>
      </c>
    </row>
    <row r="1112">
      <c r="A1112" t="inlineStr">
        <is>
          <t>admin2</t>
        </is>
      </c>
      <c r="B1112" t="inlineStr">
        <is>
          <t>GT1412</t>
        </is>
      </c>
      <c r="C1112" t="inlineStr">
        <is>
          <t>Joyabaj</t>
        </is>
      </c>
      <c r="E1112" t="inlineStr">
        <is>
          <t>GT14</t>
        </is>
      </c>
    </row>
    <row r="1113">
      <c r="A1113" t="inlineStr">
        <is>
          <t>admin2</t>
        </is>
      </c>
      <c r="B1113" t="inlineStr">
        <is>
          <t>GT1413</t>
        </is>
      </c>
      <c r="C1113" t="inlineStr">
        <is>
          <t>Nebaj</t>
        </is>
      </c>
      <c r="E1113" t="inlineStr">
        <is>
          <t>GT14</t>
        </is>
      </c>
    </row>
    <row r="1114">
      <c r="A1114" t="inlineStr">
        <is>
          <t>admin2</t>
        </is>
      </c>
      <c r="B1114" t="inlineStr">
        <is>
          <t>GT1414</t>
        </is>
      </c>
      <c r="C1114" t="inlineStr">
        <is>
          <t>San Andrés Sajcabajá</t>
        </is>
      </c>
      <c r="E1114" t="inlineStr">
        <is>
          <t>GT14</t>
        </is>
      </c>
    </row>
    <row r="1115">
      <c r="A1115" t="inlineStr">
        <is>
          <t>admin2</t>
        </is>
      </c>
      <c r="B1115" t="inlineStr">
        <is>
          <t>GT1415</t>
        </is>
      </c>
      <c r="C1115" t="inlineStr">
        <is>
          <t>Uspantán</t>
        </is>
      </c>
      <c r="E1115" t="inlineStr">
        <is>
          <t>GT14</t>
        </is>
      </c>
    </row>
    <row r="1116">
      <c r="A1116" t="inlineStr">
        <is>
          <t>admin2</t>
        </is>
      </c>
      <c r="B1116" t="inlineStr">
        <is>
          <t>GT1416</t>
        </is>
      </c>
      <c r="C1116" t="inlineStr">
        <is>
          <t>Sacapulas</t>
        </is>
      </c>
      <c r="E1116" t="inlineStr">
        <is>
          <t>GT14</t>
        </is>
      </c>
    </row>
    <row r="1117">
      <c r="A1117" t="inlineStr">
        <is>
          <t>admin2</t>
        </is>
      </c>
      <c r="B1117" t="inlineStr">
        <is>
          <t>GT1417</t>
        </is>
      </c>
      <c r="C1117" t="inlineStr">
        <is>
          <t>San Bartolomé Jocotenango</t>
        </is>
      </c>
      <c r="E1117" t="inlineStr">
        <is>
          <t>GT14</t>
        </is>
      </c>
    </row>
    <row r="1118">
      <c r="A1118" t="inlineStr">
        <is>
          <t>admin2</t>
        </is>
      </c>
      <c r="B1118" t="inlineStr">
        <is>
          <t>GT1418</t>
        </is>
      </c>
      <c r="C1118" t="inlineStr">
        <is>
          <t>Canillá</t>
        </is>
      </c>
      <c r="E1118" t="inlineStr">
        <is>
          <t>GT14</t>
        </is>
      </c>
    </row>
    <row r="1119">
      <c r="A1119" t="inlineStr">
        <is>
          <t>admin2</t>
        </is>
      </c>
      <c r="B1119" t="inlineStr">
        <is>
          <t>GT1419</t>
        </is>
      </c>
      <c r="C1119" t="inlineStr">
        <is>
          <t>Chicamán</t>
        </is>
      </c>
      <c r="E1119" t="inlineStr">
        <is>
          <t>GT14</t>
        </is>
      </c>
    </row>
    <row r="1120">
      <c r="A1120" t="inlineStr">
        <is>
          <t>admin2</t>
        </is>
      </c>
      <c r="B1120" t="inlineStr">
        <is>
          <t>GT1420</t>
        </is>
      </c>
      <c r="C1120" t="inlineStr">
        <is>
          <t>Ixcán</t>
        </is>
      </c>
      <c r="E1120" t="inlineStr">
        <is>
          <t>GT14</t>
        </is>
      </c>
    </row>
    <row r="1121">
      <c r="A1121" t="inlineStr">
        <is>
          <t>admin2</t>
        </is>
      </c>
      <c r="B1121" t="inlineStr">
        <is>
          <t>GT1421</t>
        </is>
      </c>
      <c r="C1121" t="inlineStr">
        <is>
          <t>Pachalum</t>
        </is>
      </c>
      <c r="E1121" t="inlineStr">
        <is>
          <t>GT14</t>
        </is>
      </c>
    </row>
    <row r="1122">
      <c r="A1122" t="inlineStr">
        <is>
          <t>admin2</t>
        </is>
      </c>
      <c r="B1122" t="inlineStr">
        <is>
          <t>GT1501</t>
        </is>
      </c>
      <c r="C1122" t="inlineStr">
        <is>
          <t>Salamá</t>
        </is>
      </c>
      <c r="E1122" t="inlineStr">
        <is>
          <t>GT15</t>
        </is>
      </c>
    </row>
    <row r="1123">
      <c r="A1123" t="inlineStr">
        <is>
          <t>admin2</t>
        </is>
      </c>
      <c r="B1123" t="inlineStr">
        <is>
          <t>GT1502</t>
        </is>
      </c>
      <c r="C1123" t="inlineStr">
        <is>
          <t>San Miguel Chicaj</t>
        </is>
      </c>
      <c r="E1123" t="inlineStr">
        <is>
          <t>GT15</t>
        </is>
      </c>
    </row>
    <row r="1124">
      <c r="A1124" t="inlineStr">
        <is>
          <t>admin2</t>
        </is>
      </c>
      <c r="B1124" t="inlineStr">
        <is>
          <t>GT1503</t>
        </is>
      </c>
      <c r="C1124" t="inlineStr">
        <is>
          <t>Rabinal</t>
        </is>
      </c>
      <c r="E1124" t="inlineStr">
        <is>
          <t>GT15</t>
        </is>
      </c>
    </row>
    <row r="1125">
      <c r="A1125" t="inlineStr">
        <is>
          <t>admin2</t>
        </is>
      </c>
      <c r="B1125" t="inlineStr">
        <is>
          <t>GT1504</t>
        </is>
      </c>
      <c r="C1125" t="inlineStr">
        <is>
          <t>Cubulco</t>
        </is>
      </c>
      <c r="E1125" t="inlineStr">
        <is>
          <t>GT15</t>
        </is>
      </c>
    </row>
    <row r="1126">
      <c r="A1126" t="inlineStr">
        <is>
          <t>admin2</t>
        </is>
      </c>
      <c r="B1126" t="inlineStr">
        <is>
          <t>GT1505</t>
        </is>
      </c>
      <c r="C1126" t="inlineStr">
        <is>
          <t>Granados</t>
        </is>
      </c>
      <c r="E1126" t="inlineStr">
        <is>
          <t>GT15</t>
        </is>
      </c>
    </row>
    <row r="1127">
      <c r="A1127" t="inlineStr">
        <is>
          <t>admin2</t>
        </is>
      </c>
      <c r="B1127" t="inlineStr">
        <is>
          <t>GT1506</t>
        </is>
      </c>
      <c r="C1127" t="inlineStr">
        <is>
          <t>El Chol</t>
        </is>
      </c>
      <c r="E1127" t="inlineStr">
        <is>
          <t>GT15</t>
        </is>
      </c>
    </row>
    <row r="1128">
      <c r="A1128" t="inlineStr">
        <is>
          <t>admin2</t>
        </is>
      </c>
      <c r="B1128" t="inlineStr">
        <is>
          <t>GT1507</t>
        </is>
      </c>
      <c r="C1128" t="inlineStr">
        <is>
          <t>San Jerónimo</t>
        </is>
      </c>
      <c r="E1128" t="inlineStr">
        <is>
          <t>GT15</t>
        </is>
      </c>
    </row>
    <row r="1129">
      <c r="A1129" t="inlineStr">
        <is>
          <t>admin2</t>
        </is>
      </c>
      <c r="B1129" t="inlineStr">
        <is>
          <t>GT1508</t>
        </is>
      </c>
      <c r="C1129" t="inlineStr">
        <is>
          <t>Purulhá</t>
        </is>
      </c>
      <c r="E1129" t="inlineStr">
        <is>
          <t>GT15</t>
        </is>
      </c>
    </row>
    <row r="1130">
      <c r="A1130" t="inlineStr">
        <is>
          <t>admin2</t>
        </is>
      </c>
      <c r="B1130" t="inlineStr">
        <is>
          <t>GT1601</t>
        </is>
      </c>
      <c r="C1130" t="inlineStr">
        <is>
          <t>Cobán</t>
        </is>
      </c>
      <c r="E1130" t="inlineStr">
        <is>
          <t>GT16</t>
        </is>
      </c>
    </row>
    <row r="1131">
      <c r="A1131" t="inlineStr">
        <is>
          <t>admin2</t>
        </is>
      </c>
      <c r="B1131" t="inlineStr">
        <is>
          <t>GT1602</t>
        </is>
      </c>
      <c r="C1131" t="inlineStr">
        <is>
          <t>Santa Cruz Verapaz</t>
        </is>
      </c>
      <c r="E1131" t="inlineStr">
        <is>
          <t>GT16</t>
        </is>
      </c>
    </row>
    <row r="1132">
      <c r="A1132" t="inlineStr">
        <is>
          <t>admin2</t>
        </is>
      </c>
      <c r="B1132" t="inlineStr">
        <is>
          <t>GT1603</t>
        </is>
      </c>
      <c r="C1132" t="inlineStr">
        <is>
          <t>San Cristóbal Verapaz</t>
        </is>
      </c>
      <c r="E1132" t="inlineStr">
        <is>
          <t>GT16</t>
        </is>
      </c>
    </row>
    <row r="1133">
      <c r="A1133" t="inlineStr">
        <is>
          <t>admin2</t>
        </is>
      </c>
      <c r="B1133" t="inlineStr">
        <is>
          <t>GT1604</t>
        </is>
      </c>
      <c r="C1133" t="inlineStr">
        <is>
          <t>Tactic</t>
        </is>
      </c>
      <c r="E1133" t="inlineStr">
        <is>
          <t>GT16</t>
        </is>
      </c>
    </row>
    <row r="1134">
      <c r="A1134" t="inlineStr">
        <is>
          <t>admin2</t>
        </is>
      </c>
      <c r="B1134" t="inlineStr">
        <is>
          <t>GT1605</t>
        </is>
      </c>
      <c r="C1134" t="inlineStr">
        <is>
          <t>Tamahú</t>
        </is>
      </c>
      <c r="E1134" t="inlineStr">
        <is>
          <t>GT16</t>
        </is>
      </c>
    </row>
    <row r="1135">
      <c r="A1135" t="inlineStr">
        <is>
          <t>admin2</t>
        </is>
      </c>
      <c r="B1135" t="inlineStr">
        <is>
          <t>GT1606</t>
        </is>
      </c>
      <c r="C1135" t="inlineStr">
        <is>
          <t>Tucurú</t>
        </is>
      </c>
      <c r="E1135" t="inlineStr">
        <is>
          <t>GT16</t>
        </is>
      </c>
    </row>
    <row r="1136">
      <c r="A1136" t="inlineStr">
        <is>
          <t>admin2</t>
        </is>
      </c>
      <c r="B1136" t="inlineStr">
        <is>
          <t>GT1607</t>
        </is>
      </c>
      <c r="C1136" t="inlineStr">
        <is>
          <t>Panzós</t>
        </is>
      </c>
      <c r="E1136" t="inlineStr">
        <is>
          <t>GT16</t>
        </is>
      </c>
    </row>
    <row r="1137">
      <c r="A1137" t="inlineStr">
        <is>
          <t>admin2</t>
        </is>
      </c>
      <c r="B1137" t="inlineStr">
        <is>
          <t>GT1608</t>
        </is>
      </c>
      <c r="C1137" t="inlineStr">
        <is>
          <t>Senahú</t>
        </is>
      </c>
      <c r="E1137" t="inlineStr">
        <is>
          <t>GT16</t>
        </is>
      </c>
    </row>
    <row r="1138">
      <c r="A1138" t="inlineStr">
        <is>
          <t>admin2</t>
        </is>
      </c>
      <c r="B1138" t="inlineStr">
        <is>
          <t>GT1609</t>
        </is>
      </c>
      <c r="C1138" t="inlineStr">
        <is>
          <t>San Pedro Carchá</t>
        </is>
      </c>
      <c r="E1138" t="inlineStr">
        <is>
          <t>GT16</t>
        </is>
      </c>
    </row>
    <row r="1139">
      <c r="A1139" t="inlineStr">
        <is>
          <t>admin2</t>
        </is>
      </c>
      <c r="B1139" t="inlineStr">
        <is>
          <t>GT1610</t>
        </is>
      </c>
      <c r="C1139" t="inlineStr">
        <is>
          <t>San Juan Chamelco</t>
        </is>
      </c>
      <c r="E1139" t="inlineStr">
        <is>
          <t>GT16</t>
        </is>
      </c>
    </row>
    <row r="1140">
      <c r="A1140" t="inlineStr">
        <is>
          <t>admin2</t>
        </is>
      </c>
      <c r="B1140" t="inlineStr">
        <is>
          <t>GT1611</t>
        </is>
      </c>
      <c r="C1140" t="inlineStr">
        <is>
          <t>Lanquín</t>
        </is>
      </c>
      <c r="E1140" t="inlineStr">
        <is>
          <t>GT16</t>
        </is>
      </c>
    </row>
    <row r="1141">
      <c r="A1141" t="inlineStr">
        <is>
          <t>admin2</t>
        </is>
      </c>
      <c r="B1141" t="inlineStr">
        <is>
          <t>GT1612</t>
        </is>
      </c>
      <c r="C1141" t="inlineStr">
        <is>
          <t>Cahabón</t>
        </is>
      </c>
      <c r="E1141" t="inlineStr">
        <is>
          <t>GT16</t>
        </is>
      </c>
    </row>
    <row r="1142">
      <c r="A1142" t="inlineStr">
        <is>
          <t>admin2</t>
        </is>
      </c>
      <c r="B1142" t="inlineStr">
        <is>
          <t>GT1613</t>
        </is>
      </c>
      <c r="C1142" t="inlineStr">
        <is>
          <t>Chisec</t>
        </is>
      </c>
      <c r="E1142" t="inlineStr">
        <is>
          <t>GT16</t>
        </is>
      </c>
    </row>
    <row r="1143">
      <c r="A1143" t="inlineStr">
        <is>
          <t>admin2</t>
        </is>
      </c>
      <c r="B1143" t="inlineStr">
        <is>
          <t>GT1614</t>
        </is>
      </c>
      <c r="C1143" t="inlineStr">
        <is>
          <t>Chahal</t>
        </is>
      </c>
      <c r="E1143" t="inlineStr">
        <is>
          <t>GT16</t>
        </is>
      </c>
    </row>
    <row r="1144">
      <c r="A1144" t="inlineStr">
        <is>
          <t>admin2</t>
        </is>
      </c>
      <c r="B1144" t="inlineStr">
        <is>
          <t>GT1615</t>
        </is>
      </c>
      <c r="C1144" t="inlineStr">
        <is>
          <t>Fray Bartolomé de Las Casas</t>
        </is>
      </c>
      <c r="E1144" t="inlineStr">
        <is>
          <t>GT16</t>
        </is>
      </c>
    </row>
    <row r="1145">
      <c r="A1145" t="inlineStr">
        <is>
          <t>admin2</t>
        </is>
      </c>
      <c r="B1145" t="inlineStr">
        <is>
          <t>GT1616</t>
        </is>
      </c>
      <c r="C1145" t="inlineStr">
        <is>
          <t>Santa Catalina La Tinta</t>
        </is>
      </c>
      <c r="E1145" t="inlineStr">
        <is>
          <t>GT16</t>
        </is>
      </c>
    </row>
    <row r="1146">
      <c r="A1146" t="inlineStr">
        <is>
          <t>admin2</t>
        </is>
      </c>
      <c r="B1146" t="inlineStr">
        <is>
          <t>GT1617</t>
        </is>
      </c>
      <c r="C1146" t="inlineStr">
        <is>
          <t>Raxruhá</t>
        </is>
      </c>
      <c r="E1146" t="inlineStr">
        <is>
          <t>GT16</t>
        </is>
      </c>
    </row>
    <row r="1147">
      <c r="A1147" t="inlineStr">
        <is>
          <t>admin2</t>
        </is>
      </c>
      <c r="B1147" t="inlineStr">
        <is>
          <t>GT1701</t>
        </is>
      </c>
      <c r="C1147" t="inlineStr">
        <is>
          <t>Flores</t>
        </is>
      </c>
      <c r="E1147" t="inlineStr">
        <is>
          <t>GT17</t>
        </is>
      </c>
    </row>
    <row r="1148">
      <c r="A1148" t="inlineStr">
        <is>
          <t>admin2</t>
        </is>
      </c>
      <c r="B1148" t="inlineStr">
        <is>
          <t>GT1702</t>
        </is>
      </c>
      <c r="C1148" t="inlineStr">
        <is>
          <t>San José</t>
        </is>
      </c>
      <c r="E1148" t="inlineStr">
        <is>
          <t>GT17</t>
        </is>
      </c>
    </row>
    <row r="1149">
      <c r="A1149" t="inlineStr">
        <is>
          <t>admin2</t>
        </is>
      </c>
      <c r="B1149" t="inlineStr">
        <is>
          <t>GT1703</t>
        </is>
      </c>
      <c r="C1149" t="inlineStr">
        <is>
          <t>San Benito</t>
        </is>
      </c>
      <c r="E1149" t="inlineStr">
        <is>
          <t>GT17</t>
        </is>
      </c>
    </row>
    <row r="1150">
      <c r="A1150" t="inlineStr">
        <is>
          <t>admin2</t>
        </is>
      </c>
      <c r="B1150" t="inlineStr">
        <is>
          <t>GT1704</t>
        </is>
      </c>
      <c r="C1150" t="inlineStr">
        <is>
          <t>San Andrés</t>
        </is>
      </c>
      <c r="E1150" t="inlineStr">
        <is>
          <t>GT17</t>
        </is>
      </c>
    </row>
    <row r="1151">
      <c r="A1151" t="inlineStr">
        <is>
          <t>admin2</t>
        </is>
      </c>
      <c r="B1151" t="inlineStr">
        <is>
          <t>GT1705</t>
        </is>
      </c>
      <c r="C1151" t="inlineStr">
        <is>
          <t>La Libertad</t>
        </is>
      </c>
      <c r="E1151" t="inlineStr">
        <is>
          <t>GT17</t>
        </is>
      </c>
    </row>
    <row r="1152">
      <c r="A1152" t="inlineStr">
        <is>
          <t>admin2</t>
        </is>
      </c>
      <c r="B1152" t="inlineStr">
        <is>
          <t>GT1706</t>
        </is>
      </c>
      <c r="C1152" t="inlineStr">
        <is>
          <t>San Francisco</t>
        </is>
      </c>
      <c r="E1152" t="inlineStr">
        <is>
          <t>GT17</t>
        </is>
      </c>
    </row>
    <row r="1153">
      <c r="A1153" t="inlineStr">
        <is>
          <t>admin2</t>
        </is>
      </c>
      <c r="B1153" t="inlineStr">
        <is>
          <t>GT1707</t>
        </is>
      </c>
      <c r="C1153" t="inlineStr">
        <is>
          <t>Santa Ana</t>
        </is>
      </c>
      <c r="E1153" t="inlineStr">
        <is>
          <t>GT17</t>
        </is>
      </c>
    </row>
    <row r="1154">
      <c r="A1154" t="inlineStr">
        <is>
          <t>admin2</t>
        </is>
      </c>
      <c r="B1154" t="inlineStr">
        <is>
          <t>GT1708</t>
        </is>
      </c>
      <c r="C1154" t="inlineStr">
        <is>
          <t>Dolores</t>
        </is>
      </c>
      <c r="E1154" t="inlineStr">
        <is>
          <t>GT17</t>
        </is>
      </c>
    </row>
    <row r="1155">
      <c r="A1155" t="inlineStr">
        <is>
          <t>admin2</t>
        </is>
      </c>
      <c r="B1155" t="inlineStr">
        <is>
          <t>GT1709</t>
        </is>
      </c>
      <c r="C1155" t="inlineStr">
        <is>
          <t>San Luis</t>
        </is>
      </c>
      <c r="E1155" t="inlineStr">
        <is>
          <t>GT17</t>
        </is>
      </c>
    </row>
    <row r="1156">
      <c r="A1156" t="inlineStr">
        <is>
          <t>admin2</t>
        </is>
      </c>
      <c r="B1156" t="inlineStr">
        <is>
          <t>GT1710</t>
        </is>
      </c>
      <c r="C1156" t="inlineStr">
        <is>
          <t>Sayaxché</t>
        </is>
      </c>
      <c r="E1156" t="inlineStr">
        <is>
          <t>GT17</t>
        </is>
      </c>
    </row>
    <row r="1157">
      <c r="A1157" t="inlineStr">
        <is>
          <t>admin2</t>
        </is>
      </c>
      <c r="B1157" t="inlineStr">
        <is>
          <t>GT1711</t>
        </is>
      </c>
      <c r="C1157" t="inlineStr">
        <is>
          <t>Melchor de Mencos</t>
        </is>
      </c>
      <c r="E1157" t="inlineStr">
        <is>
          <t>GT17</t>
        </is>
      </c>
    </row>
    <row r="1158">
      <c r="A1158" t="inlineStr">
        <is>
          <t>admin2</t>
        </is>
      </c>
      <c r="B1158" t="inlineStr">
        <is>
          <t>GT1712</t>
        </is>
      </c>
      <c r="C1158" t="inlineStr">
        <is>
          <t>Poptún</t>
        </is>
      </c>
      <c r="E1158" t="inlineStr">
        <is>
          <t>GT17</t>
        </is>
      </c>
    </row>
    <row r="1159">
      <c r="A1159" t="inlineStr">
        <is>
          <t>admin2</t>
        </is>
      </c>
      <c r="B1159" t="inlineStr">
        <is>
          <t>GT1713</t>
        </is>
      </c>
      <c r="C1159" t="inlineStr">
        <is>
          <t>Las Cruces</t>
        </is>
      </c>
      <c r="E1159" t="inlineStr">
        <is>
          <t>GT17</t>
        </is>
      </c>
    </row>
    <row r="1160">
      <c r="A1160" t="inlineStr">
        <is>
          <t>admin2</t>
        </is>
      </c>
      <c r="B1160" t="inlineStr">
        <is>
          <t>GT1714</t>
        </is>
      </c>
      <c r="C1160" t="inlineStr">
        <is>
          <t>El Chal</t>
        </is>
      </c>
      <c r="E1160" t="inlineStr">
        <is>
          <t>GT17</t>
        </is>
      </c>
    </row>
    <row r="1161">
      <c r="A1161" t="inlineStr">
        <is>
          <t>admin2</t>
        </is>
      </c>
      <c r="B1161" t="inlineStr">
        <is>
          <t>GT1801</t>
        </is>
      </c>
      <c r="C1161" t="inlineStr">
        <is>
          <t>Puerto Barrios</t>
        </is>
      </c>
      <c r="E1161" t="inlineStr">
        <is>
          <t>GT18</t>
        </is>
      </c>
    </row>
    <row r="1162">
      <c r="A1162" t="inlineStr">
        <is>
          <t>admin2</t>
        </is>
      </c>
      <c r="B1162" t="inlineStr">
        <is>
          <t>GT1802</t>
        </is>
      </c>
      <c r="C1162" t="inlineStr">
        <is>
          <t>Lívingston</t>
        </is>
      </c>
      <c r="E1162" t="inlineStr">
        <is>
          <t>GT18</t>
        </is>
      </c>
    </row>
    <row r="1163">
      <c r="A1163" t="inlineStr">
        <is>
          <t>admin2</t>
        </is>
      </c>
      <c r="B1163" t="inlineStr">
        <is>
          <t>GT1803</t>
        </is>
      </c>
      <c r="C1163" t="inlineStr">
        <is>
          <t>El Estor</t>
        </is>
      </c>
      <c r="E1163" t="inlineStr">
        <is>
          <t>GT18</t>
        </is>
      </c>
    </row>
    <row r="1164">
      <c r="A1164" t="inlineStr">
        <is>
          <t>admin2</t>
        </is>
      </c>
      <c r="B1164" t="inlineStr">
        <is>
          <t>GT1804</t>
        </is>
      </c>
      <c r="C1164" t="inlineStr">
        <is>
          <t>Morales</t>
        </is>
      </c>
      <c r="E1164" t="inlineStr">
        <is>
          <t>GT18</t>
        </is>
      </c>
    </row>
    <row r="1165">
      <c r="A1165" t="inlineStr">
        <is>
          <t>admin2</t>
        </is>
      </c>
      <c r="B1165" t="inlineStr">
        <is>
          <t>GT1805</t>
        </is>
      </c>
      <c r="C1165" t="inlineStr">
        <is>
          <t>Los Amates</t>
        </is>
      </c>
      <c r="E1165" t="inlineStr">
        <is>
          <t>GT18</t>
        </is>
      </c>
    </row>
    <row r="1166">
      <c r="A1166" t="inlineStr">
        <is>
          <t>admin2</t>
        </is>
      </c>
      <c r="B1166" t="inlineStr">
        <is>
          <t>GT1901</t>
        </is>
      </c>
      <c r="C1166" t="inlineStr">
        <is>
          <t>Zacapa</t>
        </is>
      </c>
      <c r="E1166" t="inlineStr">
        <is>
          <t>GT19</t>
        </is>
      </c>
    </row>
    <row r="1167">
      <c r="A1167" t="inlineStr">
        <is>
          <t>admin2</t>
        </is>
      </c>
      <c r="B1167" t="inlineStr">
        <is>
          <t>GT1902</t>
        </is>
      </c>
      <c r="C1167" t="inlineStr">
        <is>
          <t>Estanzuela</t>
        </is>
      </c>
      <c r="E1167" t="inlineStr">
        <is>
          <t>GT19</t>
        </is>
      </c>
    </row>
    <row r="1168">
      <c r="A1168" t="inlineStr">
        <is>
          <t>admin2</t>
        </is>
      </c>
      <c r="B1168" t="inlineStr">
        <is>
          <t>GT1903</t>
        </is>
      </c>
      <c r="C1168" t="inlineStr">
        <is>
          <t>Río Hondo</t>
        </is>
      </c>
      <c r="E1168" t="inlineStr">
        <is>
          <t>GT19</t>
        </is>
      </c>
    </row>
    <row r="1169">
      <c r="A1169" t="inlineStr">
        <is>
          <t>admin2</t>
        </is>
      </c>
      <c r="B1169" t="inlineStr">
        <is>
          <t>GT1904</t>
        </is>
      </c>
      <c r="C1169" t="inlineStr">
        <is>
          <t>Gualán</t>
        </is>
      </c>
      <c r="E1169" t="inlineStr">
        <is>
          <t>GT19</t>
        </is>
      </c>
    </row>
    <row r="1170">
      <c r="A1170" t="inlineStr">
        <is>
          <t>admin2</t>
        </is>
      </c>
      <c r="B1170" t="inlineStr">
        <is>
          <t>GT1905</t>
        </is>
      </c>
      <c r="C1170" t="inlineStr">
        <is>
          <t>Teculután</t>
        </is>
      </c>
      <c r="E1170" t="inlineStr">
        <is>
          <t>GT19</t>
        </is>
      </c>
    </row>
    <row r="1171">
      <c r="A1171" t="inlineStr">
        <is>
          <t>admin2</t>
        </is>
      </c>
      <c r="B1171" t="inlineStr">
        <is>
          <t>GT1906</t>
        </is>
      </c>
      <c r="C1171" t="inlineStr">
        <is>
          <t>Usumatlán</t>
        </is>
      </c>
      <c r="E1171" t="inlineStr">
        <is>
          <t>GT19</t>
        </is>
      </c>
    </row>
    <row r="1172">
      <c r="A1172" t="inlineStr">
        <is>
          <t>admin2</t>
        </is>
      </c>
      <c r="B1172" t="inlineStr">
        <is>
          <t>GT1907</t>
        </is>
      </c>
      <c r="C1172" t="inlineStr">
        <is>
          <t>Cabañas</t>
        </is>
      </c>
      <c r="E1172" t="inlineStr">
        <is>
          <t>GT19</t>
        </is>
      </c>
    </row>
    <row r="1173">
      <c r="A1173" t="inlineStr">
        <is>
          <t>admin2</t>
        </is>
      </c>
      <c r="B1173" t="inlineStr">
        <is>
          <t>GT1908</t>
        </is>
      </c>
      <c r="C1173" t="inlineStr">
        <is>
          <t>San Diego</t>
        </is>
      </c>
      <c r="E1173" t="inlineStr">
        <is>
          <t>GT19</t>
        </is>
      </c>
    </row>
    <row r="1174">
      <c r="A1174" t="inlineStr">
        <is>
          <t>admin2</t>
        </is>
      </c>
      <c r="B1174" t="inlineStr">
        <is>
          <t>GT1909</t>
        </is>
      </c>
      <c r="C1174" t="inlineStr">
        <is>
          <t>La Unión</t>
        </is>
      </c>
      <c r="E1174" t="inlineStr">
        <is>
          <t>GT19</t>
        </is>
      </c>
    </row>
    <row r="1175">
      <c r="A1175" t="inlineStr">
        <is>
          <t>admin2</t>
        </is>
      </c>
      <c r="B1175" t="inlineStr">
        <is>
          <t>GT1910</t>
        </is>
      </c>
      <c r="C1175" t="inlineStr">
        <is>
          <t>Huité</t>
        </is>
      </c>
      <c r="E1175" t="inlineStr">
        <is>
          <t>GT19</t>
        </is>
      </c>
    </row>
    <row r="1176">
      <c r="A1176" t="inlineStr">
        <is>
          <t>admin2</t>
        </is>
      </c>
      <c r="B1176" t="inlineStr">
        <is>
          <t>GT1911</t>
        </is>
      </c>
      <c r="C1176" t="inlineStr">
        <is>
          <t>San Jorge</t>
        </is>
      </c>
      <c r="E1176" t="inlineStr">
        <is>
          <t>GT19</t>
        </is>
      </c>
    </row>
    <row r="1177">
      <c r="A1177" t="inlineStr">
        <is>
          <t>admin2</t>
        </is>
      </c>
      <c r="B1177" t="inlineStr">
        <is>
          <t>GT2001</t>
        </is>
      </c>
      <c r="C1177" t="inlineStr">
        <is>
          <t>Chiquimula</t>
        </is>
      </c>
      <c r="E1177" t="inlineStr">
        <is>
          <t>GT20</t>
        </is>
      </c>
    </row>
    <row r="1178">
      <c r="A1178" t="inlineStr">
        <is>
          <t>admin2</t>
        </is>
      </c>
      <c r="B1178" t="inlineStr">
        <is>
          <t>GT2002</t>
        </is>
      </c>
      <c r="C1178" t="inlineStr">
        <is>
          <t>San José La Arada</t>
        </is>
      </c>
      <c r="E1178" t="inlineStr">
        <is>
          <t>GT20</t>
        </is>
      </c>
    </row>
    <row r="1179">
      <c r="A1179" t="inlineStr">
        <is>
          <t>admin2</t>
        </is>
      </c>
      <c r="B1179" t="inlineStr">
        <is>
          <t>GT2003</t>
        </is>
      </c>
      <c r="C1179" t="inlineStr">
        <is>
          <t>San Juan Ermita</t>
        </is>
      </c>
      <c r="E1179" t="inlineStr">
        <is>
          <t>GT20</t>
        </is>
      </c>
    </row>
    <row r="1180">
      <c r="A1180" t="inlineStr">
        <is>
          <t>admin2</t>
        </is>
      </c>
      <c r="B1180" t="inlineStr">
        <is>
          <t>GT2004</t>
        </is>
      </c>
      <c r="C1180" t="inlineStr">
        <is>
          <t>Jocotán</t>
        </is>
      </c>
      <c r="E1180" t="inlineStr">
        <is>
          <t>GT20</t>
        </is>
      </c>
    </row>
    <row r="1181">
      <c r="A1181" t="inlineStr">
        <is>
          <t>admin2</t>
        </is>
      </c>
      <c r="B1181" t="inlineStr">
        <is>
          <t>GT2005</t>
        </is>
      </c>
      <c r="C1181" t="inlineStr">
        <is>
          <t>Camotán</t>
        </is>
      </c>
      <c r="E1181" t="inlineStr">
        <is>
          <t>GT20</t>
        </is>
      </c>
    </row>
    <row r="1182">
      <c r="A1182" t="inlineStr">
        <is>
          <t>admin2</t>
        </is>
      </c>
      <c r="B1182" t="inlineStr">
        <is>
          <t>GT2006</t>
        </is>
      </c>
      <c r="C1182" t="inlineStr">
        <is>
          <t>Olopa</t>
        </is>
      </c>
      <c r="E1182" t="inlineStr">
        <is>
          <t>GT20</t>
        </is>
      </c>
    </row>
    <row r="1183">
      <c r="A1183" t="inlineStr">
        <is>
          <t>admin2</t>
        </is>
      </c>
      <c r="B1183" t="inlineStr">
        <is>
          <t>GT2007</t>
        </is>
      </c>
      <c r="C1183" t="inlineStr">
        <is>
          <t>Esquipulas</t>
        </is>
      </c>
      <c r="E1183" t="inlineStr">
        <is>
          <t>GT20</t>
        </is>
      </c>
    </row>
    <row r="1184">
      <c r="A1184" t="inlineStr">
        <is>
          <t>admin2</t>
        </is>
      </c>
      <c r="B1184" t="inlineStr">
        <is>
          <t>GT2008</t>
        </is>
      </c>
      <c r="C1184" t="inlineStr">
        <is>
          <t>Concepción Las Minas</t>
        </is>
      </c>
      <c r="E1184" t="inlineStr">
        <is>
          <t>GT20</t>
        </is>
      </c>
    </row>
    <row r="1185">
      <c r="A1185" t="inlineStr">
        <is>
          <t>admin2</t>
        </is>
      </c>
      <c r="B1185" t="inlineStr">
        <is>
          <t>GT2009</t>
        </is>
      </c>
      <c r="C1185" t="inlineStr">
        <is>
          <t>Quezaltepeque</t>
        </is>
      </c>
      <c r="E1185" t="inlineStr">
        <is>
          <t>GT20</t>
        </is>
      </c>
    </row>
    <row r="1186">
      <c r="A1186" t="inlineStr">
        <is>
          <t>admin2</t>
        </is>
      </c>
      <c r="B1186" t="inlineStr">
        <is>
          <t>GT2010</t>
        </is>
      </c>
      <c r="C1186" t="inlineStr">
        <is>
          <t>San Jacinto</t>
        </is>
      </c>
      <c r="E1186" t="inlineStr">
        <is>
          <t>GT20</t>
        </is>
      </c>
    </row>
    <row r="1187">
      <c r="A1187" t="inlineStr">
        <is>
          <t>admin2</t>
        </is>
      </c>
      <c r="B1187" t="inlineStr">
        <is>
          <t>GT2011</t>
        </is>
      </c>
      <c r="C1187" t="inlineStr">
        <is>
          <t>Ipala</t>
        </is>
      </c>
      <c r="E1187" t="inlineStr">
        <is>
          <t>GT20</t>
        </is>
      </c>
    </row>
    <row r="1188">
      <c r="A1188" t="inlineStr">
        <is>
          <t>admin2</t>
        </is>
      </c>
      <c r="B1188" t="inlineStr">
        <is>
          <t>GT2101</t>
        </is>
      </c>
      <c r="C1188" t="inlineStr">
        <is>
          <t>Jalapa</t>
        </is>
      </c>
      <c r="E1188" t="inlineStr">
        <is>
          <t>GT21</t>
        </is>
      </c>
    </row>
    <row r="1189">
      <c r="A1189" t="inlineStr">
        <is>
          <t>admin2</t>
        </is>
      </c>
      <c r="B1189" t="inlineStr">
        <is>
          <t>GT2102</t>
        </is>
      </c>
      <c r="C1189" t="inlineStr">
        <is>
          <t>San Pedro Pinula</t>
        </is>
      </c>
      <c r="E1189" t="inlineStr">
        <is>
          <t>GT21</t>
        </is>
      </c>
    </row>
    <row r="1190">
      <c r="A1190" t="inlineStr">
        <is>
          <t>admin2</t>
        </is>
      </c>
      <c r="B1190" t="inlineStr">
        <is>
          <t>GT2103</t>
        </is>
      </c>
      <c r="C1190" t="inlineStr">
        <is>
          <t>San Luis Jilotepeque</t>
        </is>
      </c>
      <c r="E1190" t="inlineStr">
        <is>
          <t>GT21</t>
        </is>
      </c>
    </row>
    <row r="1191">
      <c r="A1191" t="inlineStr">
        <is>
          <t>admin2</t>
        </is>
      </c>
      <c r="B1191" t="inlineStr">
        <is>
          <t>GT2104</t>
        </is>
      </c>
      <c r="C1191" t="inlineStr">
        <is>
          <t>San Manuel Chaparrón</t>
        </is>
      </c>
      <c r="E1191" t="inlineStr">
        <is>
          <t>GT21</t>
        </is>
      </c>
    </row>
    <row r="1192">
      <c r="A1192" t="inlineStr">
        <is>
          <t>admin2</t>
        </is>
      </c>
      <c r="B1192" t="inlineStr">
        <is>
          <t>GT2105</t>
        </is>
      </c>
      <c r="C1192" t="inlineStr">
        <is>
          <t>San Carlos Alzatate</t>
        </is>
      </c>
      <c r="E1192" t="inlineStr">
        <is>
          <t>GT21</t>
        </is>
      </c>
    </row>
    <row r="1193">
      <c r="A1193" t="inlineStr">
        <is>
          <t>admin2</t>
        </is>
      </c>
      <c r="B1193" t="inlineStr">
        <is>
          <t>GT2106</t>
        </is>
      </c>
      <c r="C1193" t="inlineStr">
        <is>
          <t>Monjas</t>
        </is>
      </c>
      <c r="E1193" t="inlineStr">
        <is>
          <t>GT21</t>
        </is>
      </c>
    </row>
    <row r="1194">
      <c r="A1194" t="inlineStr">
        <is>
          <t>admin2</t>
        </is>
      </c>
      <c r="B1194" t="inlineStr">
        <is>
          <t>GT2107</t>
        </is>
      </c>
      <c r="C1194" t="inlineStr">
        <is>
          <t>Mataquescuintla</t>
        </is>
      </c>
      <c r="E1194" t="inlineStr">
        <is>
          <t>GT21</t>
        </is>
      </c>
    </row>
    <row r="1195">
      <c r="A1195" t="inlineStr">
        <is>
          <t>admin2</t>
        </is>
      </c>
      <c r="B1195" t="inlineStr">
        <is>
          <t>GT2201</t>
        </is>
      </c>
      <c r="C1195" t="inlineStr">
        <is>
          <t>Jutiapa</t>
        </is>
      </c>
      <c r="E1195" t="inlineStr">
        <is>
          <t>GT22</t>
        </is>
      </c>
    </row>
    <row r="1196">
      <c r="A1196" t="inlineStr">
        <is>
          <t>admin2</t>
        </is>
      </c>
      <c r="B1196" t="inlineStr">
        <is>
          <t>GT2202</t>
        </is>
      </c>
      <c r="C1196" t="inlineStr">
        <is>
          <t>El Progreso</t>
        </is>
      </c>
      <c r="E1196" t="inlineStr">
        <is>
          <t>GT22</t>
        </is>
      </c>
    </row>
    <row r="1197">
      <c r="A1197" t="inlineStr">
        <is>
          <t>admin2</t>
        </is>
      </c>
      <c r="B1197" t="inlineStr">
        <is>
          <t>GT2203</t>
        </is>
      </c>
      <c r="C1197" t="inlineStr">
        <is>
          <t>Santa Catarina Mita</t>
        </is>
      </c>
      <c r="E1197" t="inlineStr">
        <is>
          <t>GT22</t>
        </is>
      </c>
    </row>
    <row r="1198">
      <c r="A1198" t="inlineStr">
        <is>
          <t>admin2</t>
        </is>
      </c>
      <c r="B1198" t="inlineStr">
        <is>
          <t>GT2204</t>
        </is>
      </c>
      <c r="C1198" t="inlineStr">
        <is>
          <t>Agua Blanca</t>
        </is>
      </c>
      <c r="E1198" t="inlineStr">
        <is>
          <t>GT22</t>
        </is>
      </c>
    </row>
    <row r="1199">
      <c r="A1199" t="inlineStr">
        <is>
          <t>admin2</t>
        </is>
      </c>
      <c r="B1199" t="inlineStr">
        <is>
          <t>GT2205</t>
        </is>
      </c>
      <c r="C1199" t="inlineStr">
        <is>
          <t>Asunción Mita</t>
        </is>
      </c>
      <c r="E1199" t="inlineStr">
        <is>
          <t>GT22</t>
        </is>
      </c>
    </row>
    <row r="1200">
      <c r="A1200" t="inlineStr">
        <is>
          <t>admin2</t>
        </is>
      </c>
      <c r="B1200" t="inlineStr">
        <is>
          <t>GT2206</t>
        </is>
      </c>
      <c r="C1200" t="inlineStr">
        <is>
          <t>Yupiltepeque</t>
        </is>
      </c>
      <c r="E1200" t="inlineStr">
        <is>
          <t>GT22</t>
        </is>
      </c>
    </row>
    <row r="1201">
      <c r="A1201" t="inlineStr">
        <is>
          <t>admin2</t>
        </is>
      </c>
      <c r="B1201" t="inlineStr">
        <is>
          <t>GT2207</t>
        </is>
      </c>
      <c r="C1201" t="inlineStr">
        <is>
          <t>Atescatempa</t>
        </is>
      </c>
      <c r="E1201" t="inlineStr">
        <is>
          <t>GT22</t>
        </is>
      </c>
    </row>
    <row r="1202">
      <c r="A1202" t="inlineStr">
        <is>
          <t>admin2</t>
        </is>
      </c>
      <c r="B1202" t="inlineStr">
        <is>
          <t>GT2208</t>
        </is>
      </c>
      <c r="C1202" t="inlineStr">
        <is>
          <t>Jerez</t>
        </is>
      </c>
      <c r="E1202" t="inlineStr">
        <is>
          <t>GT22</t>
        </is>
      </c>
    </row>
    <row r="1203">
      <c r="A1203" t="inlineStr">
        <is>
          <t>admin2</t>
        </is>
      </c>
      <c r="B1203" t="inlineStr">
        <is>
          <t>GT2209</t>
        </is>
      </c>
      <c r="C1203" t="inlineStr">
        <is>
          <t>El Adelanto</t>
        </is>
      </c>
      <c r="E1203" t="inlineStr">
        <is>
          <t>GT22</t>
        </is>
      </c>
    </row>
    <row r="1204">
      <c r="A1204" t="inlineStr">
        <is>
          <t>admin2</t>
        </is>
      </c>
      <c r="B1204" t="inlineStr">
        <is>
          <t>GT2210</t>
        </is>
      </c>
      <c r="C1204" t="inlineStr">
        <is>
          <t>Zapotitlán</t>
        </is>
      </c>
      <c r="E1204" t="inlineStr">
        <is>
          <t>GT22</t>
        </is>
      </c>
    </row>
    <row r="1205">
      <c r="A1205" t="inlineStr">
        <is>
          <t>admin2</t>
        </is>
      </c>
      <c r="B1205" t="inlineStr">
        <is>
          <t>GT2211</t>
        </is>
      </c>
      <c r="C1205" t="inlineStr">
        <is>
          <t>Comapa</t>
        </is>
      </c>
      <c r="E1205" t="inlineStr">
        <is>
          <t>GT22</t>
        </is>
      </c>
    </row>
    <row r="1206">
      <c r="A1206" t="inlineStr">
        <is>
          <t>admin2</t>
        </is>
      </c>
      <c r="B1206" t="inlineStr">
        <is>
          <t>GT2212</t>
        </is>
      </c>
      <c r="C1206" t="inlineStr">
        <is>
          <t>Jalpatagua</t>
        </is>
      </c>
      <c r="E1206" t="inlineStr">
        <is>
          <t>GT22</t>
        </is>
      </c>
    </row>
    <row r="1207">
      <c r="A1207" t="inlineStr">
        <is>
          <t>admin2</t>
        </is>
      </c>
      <c r="B1207" t="inlineStr">
        <is>
          <t>GT2213</t>
        </is>
      </c>
      <c r="C1207" t="inlineStr">
        <is>
          <t>Conguaco</t>
        </is>
      </c>
      <c r="E1207" t="inlineStr">
        <is>
          <t>GT22</t>
        </is>
      </c>
    </row>
    <row r="1208">
      <c r="A1208" t="inlineStr">
        <is>
          <t>admin2</t>
        </is>
      </c>
      <c r="B1208" t="inlineStr">
        <is>
          <t>GT2214</t>
        </is>
      </c>
      <c r="C1208" t="inlineStr">
        <is>
          <t>Moyuta</t>
        </is>
      </c>
      <c r="E1208" t="inlineStr">
        <is>
          <t>GT22</t>
        </is>
      </c>
    </row>
    <row r="1209">
      <c r="A1209" t="inlineStr">
        <is>
          <t>admin2</t>
        </is>
      </c>
      <c r="B1209" t="inlineStr">
        <is>
          <t>GT2215</t>
        </is>
      </c>
      <c r="C1209" t="inlineStr">
        <is>
          <t>Pasaco</t>
        </is>
      </c>
      <c r="E1209" t="inlineStr">
        <is>
          <t>GT22</t>
        </is>
      </c>
    </row>
    <row r="1210">
      <c r="A1210" t="inlineStr">
        <is>
          <t>admin2</t>
        </is>
      </c>
      <c r="B1210" t="inlineStr">
        <is>
          <t>GT2216</t>
        </is>
      </c>
      <c r="C1210" t="inlineStr">
        <is>
          <t>San José Acatempa</t>
        </is>
      </c>
      <c r="E1210" t="inlineStr">
        <is>
          <t>GT22</t>
        </is>
      </c>
    </row>
    <row r="1211">
      <c r="A1211" t="inlineStr">
        <is>
          <t>admin2</t>
        </is>
      </c>
      <c r="B1211" t="inlineStr">
        <is>
          <t>GT2217</t>
        </is>
      </c>
      <c r="C1211" t="inlineStr">
        <is>
          <t>Quesada</t>
        </is>
      </c>
      <c r="E1211" t="inlineStr">
        <is>
          <t>GT22</t>
        </is>
      </c>
    </row>
  </sheetData>
  <sheetProtection selectLockedCells="0" selectUnlockedCells="0" algorithmName="SHA-512" sheet="1" objects="0" insertRows="0" insertHyperlinks="1" autoFilter="1" scenarios="0" formatColumns="0" deleteColumns="0" insertColumns="0" pivotTables="1" deleteRows="0" formatCells="0" saltValue="BDE9fwVLxKAYwOyoCs3xQg==" formatRows="0" sort="1" spinCount="100000" hashValue="lnX0Opwj7UG5hZ9wf27bbRl31nQKQUV5q2pzsDBxWCMA0qo8cmE6mI/clfEohT/VKIpLKnVLMSxlfGS5Iewgqw=="/>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28.1640625" customWidth="1" style="3" min="1" max="4"/>
    <col width="8.8320312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tabSelected="1" workbookViewId="0">
      <pane ySplit="3" topLeftCell="A4" activePane="bottomLeft" state="frozen"/>
      <selection pane="bottomLeft" activeCell="C45" sqref="C45"/>
    </sheetView>
  </sheetViews>
  <sheetFormatPr baseColWidth="10" defaultColWidth="10.83203125" defaultRowHeight="15"/>
  <cols>
    <col width="10.83203125" customWidth="1" style="143" min="1" max="2"/>
    <col width="15.1640625" customWidth="1" style="157" min="3" max="3"/>
    <col width="10.83203125" customWidth="1" style="158" min="4" max="4"/>
    <col width="28.6640625" customWidth="1" style="159" min="5" max="5"/>
    <col width="10.83203125" customWidth="1" style="143" min="6" max="16384"/>
  </cols>
  <sheetData>
    <row r="2">
      <c r="C2" s="144" t="n"/>
      <c r="D2" s="145" t="n"/>
      <c r="E2" s="146" t="n"/>
    </row>
    <row r="3" ht="32" customHeight="1">
      <c r="B3" s="147" t="n"/>
      <c r="C3" s="148" t="inlineStr">
        <is>
          <t xml:space="preserve">Select top 10 crops </t>
        </is>
      </c>
      <c r="D3" s="149" t="inlineStr">
        <is>
          <t>Dataset code</t>
        </is>
      </c>
      <c r="E3" s="150" t="inlineStr">
        <is>
          <t>Label (EN)</t>
        </is>
      </c>
    </row>
    <row r="4" ht="16" customHeight="1">
      <c r="B4" s="147" t="n"/>
      <c r="C4" s="9" t="n"/>
      <c r="D4" s="151" t="inlineStr">
        <is>
          <t>1.1</t>
        </is>
      </c>
      <c r="E4" s="152" t="inlineStr">
        <is>
          <t>Rice</t>
        </is>
      </c>
    </row>
    <row r="5" ht="16" customHeight="1">
      <c r="B5" s="147" t="n"/>
      <c r="C5" s="9" t="n"/>
      <c r="D5" s="151" t="inlineStr">
        <is>
          <t>1.2</t>
        </is>
      </c>
      <c r="E5" s="152" t="inlineStr">
        <is>
          <t>Wheat</t>
        </is>
      </c>
    </row>
    <row r="6" ht="16" customHeight="1">
      <c r="B6" s="147" t="n"/>
      <c r="C6" s="9" t="n"/>
      <c r="D6" s="151" t="inlineStr">
        <is>
          <t>1.3</t>
        </is>
      </c>
      <c r="E6" s="152" t="inlineStr">
        <is>
          <t>Millet</t>
        </is>
      </c>
    </row>
    <row r="7" ht="16" customHeight="1">
      <c r="B7" s="147" t="n"/>
      <c r="C7" s="9" t="n"/>
      <c r="D7" s="151" t="inlineStr">
        <is>
          <t>1.4</t>
        </is>
      </c>
      <c r="E7" s="152" t="inlineStr">
        <is>
          <t>Sorghum</t>
        </is>
      </c>
    </row>
    <row r="8" ht="16" customHeight="1">
      <c r="B8" s="147" t="n"/>
      <c r="C8" s="9" t="n"/>
      <c r="D8" s="151" t="inlineStr">
        <is>
          <t>1.5</t>
        </is>
      </c>
      <c r="E8" s="152" t="inlineStr">
        <is>
          <t>Maize</t>
        </is>
      </c>
    </row>
    <row r="9" ht="16" customHeight="1">
      <c r="B9" s="147" t="n"/>
      <c r="C9" s="9" t="n"/>
      <c r="D9" s="151" t="inlineStr">
        <is>
          <t>1.6</t>
        </is>
      </c>
      <c r="E9" s="152" t="inlineStr">
        <is>
          <t>Barley</t>
        </is>
      </c>
    </row>
    <row r="10" ht="16" customHeight="1">
      <c r="B10" s="147" t="n"/>
      <c r="C10" s="190" t="n"/>
      <c r="D10" s="151" t="inlineStr">
        <is>
          <t>1.99</t>
        </is>
      </c>
      <c r="E10" s="153" t="inlineStr">
        <is>
          <t>Other Cereal</t>
        </is>
      </c>
    </row>
    <row r="11" ht="16" customHeight="1">
      <c r="B11" s="147" t="n"/>
      <c r="C11" s="9" t="n"/>
      <c r="D11" s="151" t="inlineStr">
        <is>
          <t>2.1</t>
        </is>
      </c>
      <c r="E11" s="152" t="inlineStr">
        <is>
          <t>Cassava</t>
        </is>
      </c>
    </row>
    <row r="12" ht="16" customHeight="1">
      <c r="B12" s="147" t="n"/>
      <c r="C12" s="9" t="inlineStr">
        <is>
          <t>x</t>
        </is>
      </c>
      <c r="D12" s="151" t="inlineStr">
        <is>
          <t>2.2</t>
        </is>
      </c>
      <c r="E12" s="152" t="inlineStr">
        <is>
          <t>Potatoe</t>
        </is>
      </c>
    </row>
    <row r="13" ht="16" customHeight="1">
      <c r="B13" s="147" t="n"/>
      <c r="C13" s="9" t="inlineStr">
        <is>
          <t>x</t>
        </is>
      </c>
      <c r="D13" s="151" t="inlineStr">
        <is>
          <t>2.3</t>
        </is>
      </c>
      <c r="E13" s="152" t="inlineStr">
        <is>
          <t>Sweet Potatoes</t>
        </is>
      </c>
    </row>
    <row r="14" ht="16" customHeight="1">
      <c r="B14" s="147" t="n"/>
      <c r="C14" s="9" t="n"/>
      <c r="D14" s="151" t="inlineStr">
        <is>
          <t>2.4</t>
        </is>
      </c>
      <c r="E14" s="152" t="inlineStr">
        <is>
          <t>Yams</t>
        </is>
      </c>
    </row>
    <row r="15" ht="16" customHeight="1">
      <c r="B15" s="147" t="n"/>
      <c r="C15" s="9" t="inlineStr">
        <is>
          <t>x</t>
        </is>
      </c>
      <c r="D15" s="151" t="inlineStr">
        <is>
          <t>2.5</t>
        </is>
      </c>
      <c r="E15" s="152" t="inlineStr">
        <is>
          <t>Carrots</t>
        </is>
      </c>
    </row>
    <row r="16" ht="16" customHeight="1">
      <c r="B16" s="147" t="n"/>
      <c r="C16" s="9" t="n"/>
      <c r="D16" s="151" t="inlineStr">
        <is>
          <t>2.6</t>
        </is>
      </c>
      <c r="E16" s="152" t="inlineStr">
        <is>
          <t>Cocoyam</t>
        </is>
      </c>
    </row>
    <row r="17" ht="16" customHeight="1">
      <c r="B17" s="147" t="n"/>
      <c r="C17" s="190" t="n"/>
      <c r="D17" s="151" t="inlineStr">
        <is>
          <t>2.99</t>
        </is>
      </c>
      <c r="E17" s="153" t="inlineStr">
        <is>
          <t>Other tubers</t>
        </is>
      </c>
    </row>
    <row r="18" ht="16" customHeight="1">
      <c r="B18" s="147" t="n"/>
      <c r="C18" s="9" t="n"/>
      <c r="D18" s="151" t="inlineStr">
        <is>
          <t>3.1</t>
        </is>
      </c>
      <c r="E18" s="152" t="inlineStr">
        <is>
          <t>Beans</t>
        </is>
      </c>
    </row>
    <row r="19" ht="16" customHeight="1">
      <c r="B19" s="147" t="n"/>
      <c r="C19" s="9" t="n"/>
      <c r="D19" s="151" t="inlineStr">
        <is>
          <t>3.2</t>
        </is>
      </c>
      <c r="E19" s="152" t="inlineStr">
        <is>
          <t>Lentils</t>
        </is>
      </c>
    </row>
    <row r="20" ht="16" customHeight="1">
      <c r="B20" s="147" t="n"/>
      <c r="C20" s="9" t="inlineStr">
        <is>
          <t>x</t>
        </is>
      </c>
      <c r="D20" s="151" t="inlineStr">
        <is>
          <t>3.3</t>
        </is>
      </c>
      <c r="E20" s="152" t="inlineStr">
        <is>
          <t>Peas</t>
        </is>
      </c>
    </row>
    <row r="21" ht="16" customHeight="1">
      <c r="B21" s="147" t="n"/>
      <c r="C21" s="9" t="n"/>
      <c r="D21" s="151" t="inlineStr">
        <is>
          <t>3.4</t>
        </is>
      </c>
      <c r="E21" s="152" t="inlineStr">
        <is>
          <t>Soybeans</t>
        </is>
      </c>
    </row>
    <row r="22" ht="16" customHeight="1">
      <c r="B22" s="147" t="n"/>
      <c r="C22" s="9" t="n"/>
      <c r="D22" s="151" t="inlineStr">
        <is>
          <t>3.5</t>
        </is>
      </c>
      <c r="E22" s="152" t="inlineStr">
        <is>
          <t>Chickpeas</t>
        </is>
      </c>
    </row>
    <row r="23" ht="16" customHeight="1">
      <c r="B23" s="147" t="n"/>
      <c r="C23" s="9" t="inlineStr">
        <is>
          <t>x</t>
        </is>
      </c>
      <c r="D23" s="151" t="inlineStr">
        <is>
          <t>3.6</t>
        </is>
      </c>
      <c r="E23" s="152" t="inlineStr">
        <is>
          <t>Fava beans</t>
        </is>
      </c>
    </row>
    <row r="24" ht="16" customHeight="1">
      <c r="B24" s="147" t="n"/>
      <c r="C24" s="9" t="n"/>
      <c r="D24" s="151" t="inlineStr">
        <is>
          <t>3.7</t>
        </is>
      </c>
      <c r="E24" s="152" t="inlineStr">
        <is>
          <t>Broad beans</t>
        </is>
      </c>
    </row>
    <row r="25" ht="16" customHeight="1">
      <c r="B25" s="147" t="n"/>
      <c r="C25" s="190" t="n"/>
      <c r="D25" s="151" t="inlineStr">
        <is>
          <t>3.99</t>
        </is>
      </c>
      <c r="E25" s="153" t="inlineStr">
        <is>
          <t>Other pulses</t>
        </is>
      </c>
    </row>
    <row r="26" ht="16" customHeight="1">
      <c r="B26" s="147" t="n"/>
      <c r="C26" s="9" t="n"/>
      <c r="D26" s="151" t="inlineStr">
        <is>
          <t>4.1</t>
        </is>
      </c>
      <c r="E26" s="152" t="inlineStr">
        <is>
          <t>Cabbage</t>
        </is>
      </c>
    </row>
    <row r="27" ht="16" customHeight="1">
      <c r="B27" s="147" t="n"/>
      <c r="C27" s="9" t="n"/>
      <c r="D27" s="151" t="inlineStr">
        <is>
          <t>4.2</t>
        </is>
      </c>
      <c r="E27" s="152" t="inlineStr">
        <is>
          <t>Lettuce</t>
        </is>
      </c>
    </row>
    <row r="28" ht="16" customHeight="1">
      <c r="B28" s="147" t="n"/>
      <c r="C28" s="9" t="inlineStr">
        <is>
          <t>x</t>
        </is>
      </c>
      <c r="D28" s="151" t="inlineStr">
        <is>
          <t>4.3</t>
        </is>
      </c>
      <c r="E28" s="152" t="inlineStr">
        <is>
          <t>Spinach-Amaranth</t>
        </is>
      </c>
    </row>
    <row r="29" ht="16" customHeight="1">
      <c r="B29" s="147" t="n"/>
      <c r="C29" s="9" t="n"/>
      <c r="D29" s="151" t="inlineStr">
        <is>
          <t>4.4</t>
        </is>
      </c>
      <c r="E29" s="152" t="inlineStr">
        <is>
          <t>Cassava leaves</t>
        </is>
      </c>
    </row>
    <row r="30" ht="16" customHeight="1">
      <c r="B30" s="147" t="n"/>
      <c r="C30" s="9" t="n"/>
      <c r="D30" s="151" t="inlineStr">
        <is>
          <t>4.5</t>
        </is>
      </c>
      <c r="E30" s="152" t="inlineStr">
        <is>
          <t>Potatoe leaves</t>
        </is>
      </c>
    </row>
    <row r="31" ht="16" customHeight="1">
      <c r="B31" s="147" t="n"/>
      <c r="C31" s="9" t="n"/>
      <c r="D31" s="151" t="inlineStr">
        <is>
          <t>4.6</t>
        </is>
      </c>
      <c r="E31" s="152" t="inlineStr">
        <is>
          <t>Moringa</t>
        </is>
      </c>
    </row>
    <row r="32" ht="16" customHeight="1">
      <c r="B32" s="147" t="n"/>
      <c r="C32" s="9" t="inlineStr">
        <is>
          <t>x</t>
        </is>
      </c>
      <c r="D32" s="151" t="inlineStr">
        <is>
          <t>4.7</t>
        </is>
      </c>
      <c r="E32" s="152" t="inlineStr">
        <is>
          <t>Sorrel Hibiscus / Rosselle</t>
        </is>
      </c>
    </row>
    <row r="33" ht="32" customHeight="1">
      <c r="B33" s="147" t="n"/>
      <c r="C33" s="9" t="n"/>
      <c r="D33" s="151" t="inlineStr">
        <is>
          <t>4.9</t>
        </is>
      </c>
      <c r="E33" s="152" t="inlineStr">
        <is>
          <t>Green salad herbs (thyme, parsley, mint, rocca, other)</t>
        </is>
      </c>
    </row>
    <row r="34" ht="16" customHeight="1">
      <c r="B34" s="147" t="n"/>
      <c r="C34" s="9" t="n"/>
      <c r="D34" s="151" t="inlineStr">
        <is>
          <t>4.101</t>
        </is>
      </c>
      <c r="E34" s="152" t="inlineStr">
        <is>
          <t>Cauliflower</t>
        </is>
      </c>
    </row>
    <row r="35" ht="16" customHeight="1">
      <c r="B35" s="147" t="n"/>
      <c r="C35" s="190" t="n"/>
      <c r="D35" s="151" t="inlineStr">
        <is>
          <t>4.99</t>
        </is>
      </c>
      <c r="E35" s="153" t="inlineStr">
        <is>
          <t>Other leafy vegetables</t>
        </is>
      </c>
    </row>
    <row r="36" ht="16" customHeight="1">
      <c r="B36" s="147" t="n"/>
      <c r="C36" s="9" t="n"/>
      <c r="D36" s="151" t="inlineStr">
        <is>
          <t>5.1</t>
        </is>
      </c>
      <c r="E36" s="152" t="inlineStr">
        <is>
          <t>Tomatoes</t>
        </is>
      </c>
    </row>
    <row r="37" ht="16" customHeight="1">
      <c r="B37" s="147" t="n"/>
      <c r="C37" s="9" t="inlineStr">
        <is>
          <t>x</t>
        </is>
      </c>
      <c r="D37" s="151" t="inlineStr">
        <is>
          <t>5.2</t>
        </is>
      </c>
      <c r="E37" s="152" t="inlineStr">
        <is>
          <t>Cucumber</t>
        </is>
      </c>
    </row>
    <row r="38" ht="16" customHeight="1">
      <c r="B38" s="147" t="n"/>
      <c r="C38" s="9" t="n"/>
      <c r="D38" s="151" t="inlineStr">
        <is>
          <t>5.3</t>
        </is>
      </c>
      <c r="E38" s="152" t="inlineStr">
        <is>
          <t>Pumpkin</t>
        </is>
      </c>
    </row>
    <row r="39" ht="16" customHeight="1">
      <c r="B39" s="147" t="n"/>
      <c r="C39" s="9" t="n"/>
      <c r="D39" s="151" t="inlineStr">
        <is>
          <t>5.4</t>
        </is>
      </c>
      <c r="E39" s="152" t="inlineStr">
        <is>
          <t>Eggplant/aubergine</t>
        </is>
      </c>
    </row>
    <row r="40" ht="16" customHeight="1">
      <c r="B40" s="147" t="n"/>
      <c r="C40" s="9" t="n"/>
      <c r="D40" s="151" t="inlineStr">
        <is>
          <t>5.5</t>
        </is>
      </c>
      <c r="E40" s="152" t="inlineStr">
        <is>
          <t>Zucchini</t>
        </is>
      </c>
    </row>
    <row r="41" ht="16" customHeight="1">
      <c r="B41" s="147" t="n"/>
      <c r="C41" s="9" t="inlineStr">
        <is>
          <t>x</t>
        </is>
      </c>
      <c r="D41" s="151" t="inlineStr">
        <is>
          <t>5.6</t>
        </is>
      </c>
      <c r="E41" s="152" t="inlineStr">
        <is>
          <t>Okra</t>
        </is>
      </c>
    </row>
    <row r="42" ht="16" customHeight="1">
      <c r="B42" s="147" t="n"/>
      <c r="C42" s="9" t="n"/>
      <c r="D42" s="151" t="inlineStr">
        <is>
          <t>5.7</t>
        </is>
      </c>
      <c r="E42" s="152" t="inlineStr">
        <is>
          <t>Bell pepper</t>
        </is>
      </c>
    </row>
    <row r="43" ht="16" customHeight="1">
      <c r="B43" s="147" t="n"/>
      <c r="C43" s="9" t="n"/>
      <c r="D43" s="151" t="inlineStr">
        <is>
          <t>5.8</t>
        </is>
      </c>
      <c r="E43" s="152" t="inlineStr">
        <is>
          <t>Onions</t>
        </is>
      </c>
    </row>
    <row r="44" ht="16" customHeight="1">
      <c r="B44" s="147" t="n"/>
      <c r="C44" s="9" t="inlineStr">
        <is>
          <t>x</t>
        </is>
      </c>
      <c r="D44" s="151" t="inlineStr">
        <is>
          <t>5.9</t>
        </is>
      </c>
      <c r="E44" s="152" t="inlineStr">
        <is>
          <t>Haricot</t>
        </is>
      </c>
    </row>
    <row r="45" ht="16" customHeight="1">
      <c r="B45" s="147" t="n"/>
      <c r="C45" s="9" t="n"/>
      <c r="D45" s="151" t="inlineStr">
        <is>
          <t>5.101</t>
        </is>
      </c>
      <c r="E45" s="152" t="inlineStr">
        <is>
          <t>Green peas</t>
        </is>
      </c>
    </row>
    <row r="46" ht="16" customHeight="1">
      <c r="B46" s="147" t="n"/>
      <c r="C46" s="9" t="n"/>
      <c r="D46" s="151" t="inlineStr">
        <is>
          <t>5.11</t>
        </is>
      </c>
      <c r="E46" s="152" t="inlineStr">
        <is>
          <t>Fava beans green</t>
        </is>
      </c>
    </row>
    <row r="47" ht="16" customHeight="1">
      <c r="B47" s="147" t="n"/>
      <c r="C47" s="190" t="n"/>
      <c r="D47" s="151" t="inlineStr">
        <is>
          <t>5.99</t>
        </is>
      </c>
      <c r="E47" s="153" t="inlineStr">
        <is>
          <t>Other non leafy vegs</t>
        </is>
      </c>
    </row>
    <row r="48" ht="16" customHeight="1">
      <c r="B48" s="147" t="n"/>
      <c r="C48" s="9" t="n"/>
      <c r="D48" s="151" t="inlineStr">
        <is>
          <t>6.1</t>
        </is>
      </c>
      <c r="E48" s="152" t="inlineStr">
        <is>
          <t>Orange</t>
        </is>
      </c>
    </row>
    <row r="49" ht="16" customHeight="1">
      <c r="B49" s="147" t="n"/>
      <c r="C49" s="9" t="n"/>
      <c r="D49" s="151" t="inlineStr">
        <is>
          <t>6.2</t>
        </is>
      </c>
      <c r="E49" s="152" t="inlineStr">
        <is>
          <t>Lemon</t>
        </is>
      </c>
    </row>
    <row r="50" ht="16" customHeight="1">
      <c r="B50" s="147" t="n"/>
      <c r="C50" s="9" t="n"/>
      <c r="D50" s="151" t="inlineStr">
        <is>
          <t>6.3</t>
        </is>
      </c>
      <c r="E50" s="152" t="inlineStr">
        <is>
          <t>Grapefruit</t>
        </is>
      </c>
    </row>
    <row r="51" ht="16" customHeight="1">
      <c r="B51" s="147" t="n"/>
      <c r="C51" s="9" t="n"/>
      <c r="D51" s="151" t="inlineStr">
        <is>
          <t>6.4</t>
        </is>
      </c>
      <c r="E51" s="152" t="inlineStr">
        <is>
          <t>Mandarins/clementines</t>
        </is>
      </c>
    </row>
    <row r="52" ht="16" customHeight="1">
      <c r="B52" s="147" t="n"/>
      <c r="C52" s="190" t="n"/>
      <c r="D52" s="151" t="inlineStr">
        <is>
          <t>6.99</t>
        </is>
      </c>
      <c r="E52" s="153" t="inlineStr">
        <is>
          <t>Other citrus fruit</t>
        </is>
      </c>
    </row>
    <row r="53" ht="16" customHeight="1">
      <c r="B53" s="147" t="n"/>
      <c r="C53" s="9" t="n"/>
      <c r="D53" s="151" t="inlineStr">
        <is>
          <t>7.1</t>
        </is>
      </c>
      <c r="E53" s="152" t="inlineStr">
        <is>
          <t>Sweet Banana</t>
        </is>
      </c>
    </row>
    <row r="54" ht="16" customHeight="1">
      <c r="B54" s="147" t="n"/>
      <c r="C54" s="9" t="n"/>
      <c r="D54" s="151" t="inlineStr">
        <is>
          <t>7.2</t>
        </is>
      </c>
      <c r="E54" s="152" t="inlineStr">
        <is>
          <t>Plantains</t>
        </is>
      </c>
    </row>
    <row r="55" ht="16" customHeight="1">
      <c r="B55" s="147" t="n"/>
      <c r="C55" s="9" t="n"/>
      <c r="D55" s="151" t="inlineStr">
        <is>
          <t>7.3</t>
        </is>
      </c>
      <c r="E55" s="152" t="inlineStr">
        <is>
          <t>Papaya</t>
        </is>
      </c>
    </row>
    <row r="56" ht="16" customHeight="1">
      <c r="B56" s="147" t="n"/>
      <c r="C56" s="9" t="n"/>
      <c r="D56" s="151" t="inlineStr">
        <is>
          <t>7.4</t>
        </is>
      </c>
      <c r="E56" s="152" t="inlineStr">
        <is>
          <t>Mango</t>
        </is>
      </c>
    </row>
    <row r="57" ht="16" customHeight="1">
      <c r="B57" s="147" t="n"/>
      <c r="C57" s="9" t="n"/>
      <c r="D57" s="151" t="inlineStr">
        <is>
          <t>7.5</t>
        </is>
      </c>
      <c r="E57" s="152" t="inlineStr">
        <is>
          <t>Guava</t>
        </is>
      </c>
    </row>
    <row r="58" ht="16" customHeight="1">
      <c r="B58" s="147" t="n"/>
      <c r="C58" s="9" t="n"/>
      <c r="D58" s="151" t="inlineStr">
        <is>
          <t>7.6</t>
        </is>
      </c>
      <c r="E58" s="152" t="inlineStr">
        <is>
          <t>Pineapple</t>
        </is>
      </c>
    </row>
    <row r="59" ht="16" customHeight="1">
      <c r="B59" s="147" t="n"/>
      <c r="C59" s="9" t="n"/>
      <c r="D59" s="151" t="inlineStr">
        <is>
          <t>7.7</t>
        </is>
      </c>
      <c r="E59" s="152" t="inlineStr">
        <is>
          <t>Avocado</t>
        </is>
      </c>
    </row>
    <row r="60" ht="16" customHeight="1">
      <c r="B60" s="147" t="n"/>
      <c r="C60" s="9" t="n"/>
      <c r="D60" s="151" t="inlineStr">
        <is>
          <t>7.8</t>
        </is>
      </c>
      <c r="E60" s="152" t="inlineStr">
        <is>
          <t>Water Melon</t>
        </is>
      </c>
    </row>
    <row r="61" ht="16" customHeight="1">
      <c r="B61" s="147" t="n"/>
      <c r="C61" s="9" t="n"/>
      <c r="D61" s="151" t="inlineStr">
        <is>
          <t>7.9</t>
        </is>
      </c>
      <c r="E61" s="152" t="inlineStr">
        <is>
          <t>Dates</t>
        </is>
      </c>
    </row>
    <row r="62" ht="16" customHeight="1">
      <c r="B62" s="147" t="n"/>
      <c r="C62" s="9" t="n"/>
      <c r="D62" s="151" t="inlineStr">
        <is>
          <t>7.101</t>
        </is>
      </c>
      <c r="E62" s="152" t="inlineStr">
        <is>
          <t>Figs</t>
        </is>
      </c>
    </row>
    <row r="63" ht="16" customHeight="1">
      <c r="B63" s="147" t="n"/>
      <c r="C63" s="9" t="n"/>
      <c r="D63" s="151" t="inlineStr">
        <is>
          <t>7.11</t>
        </is>
      </c>
      <c r="E63" s="152" t="inlineStr">
        <is>
          <t>Grapes</t>
        </is>
      </c>
    </row>
    <row r="64" ht="16" customHeight="1">
      <c r="B64" s="147" t="n"/>
      <c r="C64" s="9" t="n"/>
      <c r="D64" s="151" t="inlineStr">
        <is>
          <t>7.12</t>
        </is>
      </c>
      <c r="E64" s="152" t="inlineStr">
        <is>
          <t>Olives</t>
        </is>
      </c>
    </row>
    <row r="65" ht="16" customHeight="1">
      <c r="B65" s="147" t="n"/>
      <c r="C65" s="9" t="n"/>
      <c r="D65" s="151" t="inlineStr">
        <is>
          <t>7.13</t>
        </is>
      </c>
      <c r="E65" s="152" t="inlineStr">
        <is>
          <t>Apple</t>
        </is>
      </c>
    </row>
    <row r="66" ht="16" customHeight="1">
      <c r="B66" s="147" t="n"/>
      <c r="C66" s="9" t="n"/>
      <c r="D66" s="151" t="inlineStr">
        <is>
          <t>7.14</t>
        </is>
      </c>
      <c r="E66" s="152" t="inlineStr">
        <is>
          <t>Apricot</t>
        </is>
      </c>
    </row>
    <row r="67" ht="16" customHeight="1">
      <c r="B67" s="147" t="n"/>
      <c r="C67" s="9" t="n"/>
      <c r="D67" s="151" t="inlineStr">
        <is>
          <t>7.15</t>
        </is>
      </c>
      <c r="E67" s="152" t="inlineStr">
        <is>
          <t>Cherries</t>
        </is>
      </c>
    </row>
    <row r="68" ht="16" customHeight="1">
      <c r="B68" s="147" t="n"/>
      <c r="C68" s="9" t="n"/>
      <c r="D68" s="151" t="inlineStr">
        <is>
          <t>7.16</t>
        </is>
      </c>
      <c r="E68" s="152" t="inlineStr">
        <is>
          <t>Peach/nectarine</t>
        </is>
      </c>
    </row>
    <row r="69" ht="16" customHeight="1">
      <c r="B69" s="147" t="n"/>
      <c r="C69" s="9" t="n"/>
      <c r="D69" s="151" t="inlineStr">
        <is>
          <t>7.17</t>
        </is>
      </c>
      <c r="E69" s="152" t="inlineStr">
        <is>
          <t>Strawberries</t>
        </is>
      </c>
    </row>
    <row r="70" ht="16" customHeight="1">
      <c r="B70" s="147" t="n"/>
      <c r="C70" s="9" t="n"/>
      <c r="D70" s="151" t="inlineStr">
        <is>
          <t>7.18</t>
        </is>
      </c>
      <c r="E70" s="152" t="inlineStr">
        <is>
          <t>Melon (Cantaloupe)</t>
        </is>
      </c>
    </row>
    <row r="71" ht="16" customHeight="1">
      <c r="B71" s="147" t="n"/>
      <c r="C71" s="190" t="n"/>
      <c r="D71" s="151" t="inlineStr">
        <is>
          <t>7.99</t>
        </is>
      </c>
      <c r="E71" s="153" t="inlineStr">
        <is>
          <t>Other fruit</t>
        </is>
      </c>
    </row>
    <row r="72" ht="16" customHeight="1">
      <c r="B72" s="147" t="n"/>
      <c r="C72" s="9" t="n"/>
      <c r="D72" s="151" t="inlineStr">
        <is>
          <t>8.1</t>
        </is>
      </c>
      <c r="E72" s="152" t="inlineStr">
        <is>
          <t>Coconuts</t>
        </is>
      </c>
    </row>
    <row r="73" ht="16" customHeight="1">
      <c r="B73" s="147" t="n"/>
      <c r="C73" s="9" t="n"/>
      <c r="D73" s="151" t="inlineStr">
        <is>
          <t>8.2</t>
        </is>
      </c>
      <c r="E73" s="152" t="inlineStr">
        <is>
          <t>Groundnut/peanut</t>
        </is>
      </c>
    </row>
    <row r="74" ht="16" customHeight="1">
      <c r="B74" s="147" t="n"/>
      <c r="C74" s="9" t="n"/>
      <c r="D74" s="151" t="inlineStr">
        <is>
          <t>8.3</t>
        </is>
      </c>
      <c r="E74" s="152" t="inlineStr">
        <is>
          <t>Cashew Nut</t>
        </is>
      </c>
    </row>
    <row r="75" ht="16" customHeight="1">
      <c r="B75" s="147" t="n"/>
      <c r="C75" s="9" t="n"/>
      <c r="D75" s="151" t="inlineStr">
        <is>
          <t>8.4</t>
        </is>
      </c>
      <c r="E75" s="152" t="inlineStr">
        <is>
          <t>Kola Nut</t>
        </is>
      </c>
    </row>
    <row r="76" ht="16" customHeight="1">
      <c r="B76" s="147" t="n"/>
      <c r="C76" s="9" t="n"/>
      <c r="D76" s="151" t="inlineStr">
        <is>
          <t>8.5</t>
        </is>
      </c>
      <c r="E76" s="152" t="inlineStr">
        <is>
          <t>Sesame</t>
        </is>
      </c>
    </row>
    <row r="77" ht="16" customHeight="1">
      <c r="B77" s="147" t="n"/>
      <c r="C77" s="9" t="n"/>
      <c r="D77" s="151" t="inlineStr">
        <is>
          <t>8.6</t>
        </is>
      </c>
      <c r="E77" s="152" t="inlineStr">
        <is>
          <t>Bambara nut</t>
        </is>
      </c>
    </row>
    <row r="78" ht="16" customHeight="1">
      <c r="B78" s="147" t="n"/>
      <c r="C78" s="9" t="n"/>
      <c r="D78" s="151" t="inlineStr">
        <is>
          <t>8.7</t>
        </is>
      </c>
      <c r="E78" s="152" t="inlineStr">
        <is>
          <t>Almond</t>
        </is>
      </c>
    </row>
    <row r="79" ht="16" customHeight="1">
      <c r="B79" s="147" t="n"/>
      <c r="C79" s="9" t="n"/>
      <c r="D79" s="151" t="inlineStr">
        <is>
          <t>8.8</t>
        </is>
      </c>
      <c r="E79" s="152" t="inlineStr">
        <is>
          <t>Walnut</t>
        </is>
      </c>
    </row>
    <row r="80" ht="16" customHeight="1">
      <c r="B80" s="147" t="n"/>
      <c r="C80" s="190" t="n"/>
      <c r="D80" s="151" t="inlineStr">
        <is>
          <t>8.99</t>
        </is>
      </c>
      <c r="E80" s="153" t="inlineStr">
        <is>
          <t>Other nuts</t>
        </is>
      </c>
    </row>
    <row r="81" ht="16" customHeight="1">
      <c r="B81" s="147" t="n"/>
      <c r="C81" s="9" t="n"/>
      <c r="D81" s="151" t="inlineStr">
        <is>
          <t>9.1</t>
        </is>
      </c>
      <c r="E81" s="152" t="inlineStr">
        <is>
          <t>Cocoa</t>
        </is>
      </c>
    </row>
    <row r="82" ht="16" customHeight="1">
      <c r="B82" s="147" t="n"/>
      <c r="C82" s="9" t="n"/>
      <c r="D82" s="151" t="inlineStr">
        <is>
          <t>9.2</t>
        </is>
      </c>
      <c r="E82" s="152" t="inlineStr">
        <is>
          <t>Coffee</t>
        </is>
      </c>
    </row>
    <row r="83" ht="16" customHeight="1">
      <c r="B83" s="147" t="n"/>
      <c r="C83" s="9" t="n"/>
      <c r="D83" s="151" t="inlineStr">
        <is>
          <t>9.3</t>
        </is>
      </c>
      <c r="E83" s="152" t="inlineStr">
        <is>
          <t>Tea</t>
        </is>
      </c>
    </row>
    <row r="84" ht="16" customHeight="1">
      <c r="B84" s="147" t="n"/>
      <c r="C84" s="9" t="n"/>
      <c r="D84" s="151" t="inlineStr">
        <is>
          <t>9.4</t>
        </is>
      </c>
      <c r="E84" s="152" t="inlineStr">
        <is>
          <t>Sugarcane</t>
        </is>
      </c>
    </row>
    <row r="85" ht="16" customHeight="1">
      <c r="B85" s="147" t="n"/>
      <c r="C85" s="9" t="n"/>
      <c r="D85" s="151" t="inlineStr">
        <is>
          <t>9.5</t>
        </is>
      </c>
      <c r="E85" s="152" t="inlineStr">
        <is>
          <t>Sunflower</t>
        </is>
      </c>
    </row>
    <row r="86" ht="16" customHeight="1">
      <c r="B86" s="147" t="n"/>
      <c r="C86" s="190" t="n"/>
      <c r="D86" s="151" t="inlineStr">
        <is>
          <t>9.99</t>
        </is>
      </c>
      <c r="E86" s="153" t="inlineStr">
        <is>
          <t>Other food cash crop</t>
        </is>
      </c>
    </row>
    <row r="87" ht="16" customHeight="1">
      <c r="B87" s="147" t="n"/>
      <c r="C87" s="9" t="n"/>
      <c r="D87" s="151" t="inlineStr">
        <is>
          <t>10.1</t>
        </is>
      </c>
      <c r="E87" s="152" t="inlineStr">
        <is>
          <t>Cotton</t>
        </is>
      </c>
    </row>
    <row r="88" ht="16" customHeight="1">
      <c r="B88" s="147" t="n"/>
      <c r="C88" s="9" t="n"/>
      <c r="D88" s="151" t="inlineStr">
        <is>
          <t>10.2</t>
        </is>
      </c>
      <c r="E88" s="152" t="inlineStr">
        <is>
          <t>Rubber</t>
        </is>
      </c>
    </row>
    <row r="89" ht="16" customHeight="1">
      <c r="B89" s="147" t="n"/>
      <c r="C89" s="9" t="n"/>
      <c r="D89" s="151" t="inlineStr">
        <is>
          <t>10.3</t>
        </is>
      </c>
      <c r="E89" s="152" t="inlineStr">
        <is>
          <t>Jute</t>
        </is>
      </c>
    </row>
    <row r="90" ht="16" customHeight="1">
      <c r="B90" s="147" t="n"/>
      <c r="C90" s="9" t="n"/>
      <c r="D90" s="151" t="inlineStr">
        <is>
          <t>10.4</t>
        </is>
      </c>
      <c r="E90" s="152" t="inlineStr">
        <is>
          <t>Fodder</t>
        </is>
      </c>
    </row>
    <row r="91" ht="16" customHeight="1">
      <c r="B91" s="147" t="n"/>
      <c r="C91" s="9" t="n"/>
      <c r="D91" s="151" t="inlineStr">
        <is>
          <t>10.5</t>
        </is>
      </c>
      <c r="E91" s="152" t="inlineStr">
        <is>
          <t>Tobacco</t>
        </is>
      </c>
    </row>
    <row r="92" ht="16" customHeight="1">
      <c r="B92" s="147" t="n"/>
      <c r="C92" s="9" t="n"/>
      <c r="D92" s="151" t="inlineStr">
        <is>
          <t>10.6</t>
        </is>
      </c>
      <c r="E92" s="152" t="inlineStr">
        <is>
          <t>Qat</t>
        </is>
      </c>
    </row>
    <row r="93" ht="16" customHeight="1">
      <c r="B93" s="147" t="n"/>
      <c r="C93" s="190" t="n"/>
      <c r="D93" s="151" t="inlineStr">
        <is>
          <t>10.99</t>
        </is>
      </c>
      <c r="E93" s="153" t="inlineStr">
        <is>
          <t>Other non-food cash crop</t>
        </is>
      </c>
    </row>
    <row r="94">
      <c r="C94" s="154" t="n"/>
      <c r="D94" s="155" t="n"/>
      <c r="E94" s="156"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B5" zoomScale="112" zoomScaleNormal="80" workbookViewId="0">
      <selection activeCell="D15" sqref="D15"/>
    </sheetView>
  </sheetViews>
  <sheetFormatPr baseColWidth="10" defaultColWidth="10.83203125" defaultRowHeight="16"/>
  <cols>
    <col width="10.83203125" customWidth="1" style="16" min="1" max="1"/>
    <col width="8.83203125" customWidth="1" style="16" min="2" max="2"/>
    <col width="27.6640625" customWidth="1" style="16" min="3" max="3"/>
    <col width="20.83203125" customWidth="1" style="16" min="4" max="4"/>
    <col width="46.5" customWidth="1" style="42" min="5" max="5"/>
    <col width="20.83203125" customWidth="1" style="16" min="6" max="6"/>
    <col width="10.83203125" customWidth="1" style="16" min="7" max="16384"/>
  </cols>
  <sheetData>
    <row r="1" ht="17" customHeight="1" thickBot="1">
      <c r="C1" s="17" t="n"/>
      <c r="D1" s="17" t="n"/>
      <c r="E1" s="38" t="n"/>
      <c r="F1" s="17" t="n"/>
    </row>
    <row r="2" ht="17" customFormat="1" customHeight="1" s="42" thickBot="1">
      <c r="A2" s="62" t="n"/>
      <c r="B2" s="63" t="n"/>
      <c r="C2" s="64" t="inlineStr">
        <is>
          <t xml:space="preserve">Original </t>
        </is>
      </c>
      <c r="D2" s="65" t="inlineStr">
        <is>
          <t>Replacement</t>
        </is>
      </c>
      <c r="E2" s="39" t="inlineStr">
        <is>
          <t>Comment</t>
        </is>
      </c>
      <c r="F2" s="66" t="inlineStr">
        <is>
          <t>Example</t>
        </is>
      </c>
      <c r="G2" s="67" t="n"/>
    </row>
    <row r="3" ht="62.5" customHeight="1">
      <c r="A3" s="18" t="n"/>
      <c r="B3" s="256" t="inlineStr">
        <is>
          <t>FOR CORE QUESTIONS    .
(Mandatory to fill out)    .</t>
        </is>
      </c>
      <c r="C3" s="48" t="inlineStr">
        <is>
          <t>phone number</t>
        </is>
      </c>
      <c r="D3" s="235" t="inlineStr">
        <is>
          <t>71775566</t>
        </is>
      </c>
      <c r="E3" s="184" t="inlineStr">
        <is>
          <t>Type a phone number from your country in typical format, e.g. 77******* [please use exactly the number of characters that are found in a phone number].</t>
        </is>
      </c>
      <c r="F3" s="68" t="inlineStr">
        <is>
          <t>070******</t>
        </is>
      </c>
      <c r="G3" s="19" t="n"/>
    </row>
    <row r="4" ht="31.75" customHeight="1">
      <c r="A4" s="18" t="n"/>
      <c r="B4" s="257" t="n"/>
      <c r="C4" s="30" t="inlineStr">
        <is>
          <t>age</t>
        </is>
      </c>
      <c r="D4" s="183" t="n">
        <v>18</v>
      </c>
      <c r="E4" s="185" t="inlineStr">
        <is>
          <t>Minimum age of respondent (recommend 18 years old)</t>
        </is>
      </c>
      <c r="F4" s="69" t="n">
        <v>18</v>
      </c>
      <c r="G4" s="19" t="n"/>
    </row>
    <row r="5" ht="43.5" customHeight="1">
      <c r="A5" s="18" t="n"/>
      <c r="B5" s="257" t="n"/>
      <c r="C5" s="31" t="inlineStr">
        <is>
          <t>ADMIN1</t>
        </is>
      </c>
      <c r="D5" s="236" t="inlineStr">
        <is>
          <t>Governorate</t>
        </is>
      </c>
      <c r="E5" s="185" t="inlineStr">
        <is>
          <t>The first subdivision of the country, after national level; region; province; governorate; etc. Only one word should be inputted - Do not include spaces.</t>
        </is>
      </c>
      <c r="F5" s="20" t="inlineStr">
        <is>
          <t>region</t>
        </is>
      </c>
      <c r="G5" s="19" t="n"/>
    </row>
    <row r="6" ht="48" customHeight="1">
      <c r="A6" s="18" t="n"/>
      <c r="B6" s="257" t="n"/>
      <c r="C6" s="32" t="inlineStr">
        <is>
          <t>ADMIN2</t>
        </is>
      </c>
      <c r="D6" s="236" t="inlineStr">
        <is>
          <t>District</t>
        </is>
      </c>
      <c r="E6" s="186" t="inlineStr">
        <is>
          <t>The second subdivision of the country; district; municipality; LGA; etc. Only one word should be inputted - Do not include spaces.</t>
        </is>
      </c>
      <c r="F6" s="21" t="inlineStr">
        <is>
          <t>district</t>
        </is>
      </c>
      <c r="G6" s="19" t="n"/>
    </row>
    <row r="7" ht="80" customFormat="1" customHeight="1" s="208">
      <c r="A7" s="203" t="n"/>
      <c r="B7" s="257" t="n"/>
      <c r="C7" s="204" t="inlineStr">
        <is>
          <t>reference year</t>
        </is>
      </c>
      <c r="D7" s="230" t="inlineStr">
        <is>
          <t>last year</t>
        </is>
      </c>
      <c r="E7" s="20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6" t="inlineStr">
        <is>
          <t>a normal year</t>
        </is>
      </c>
      <c r="G7" s="207" t="n"/>
    </row>
    <row r="8" ht="80" customHeight="1">
      <c r="A8" s="18" t="n"/>
      <c r="B8" s="257" t="n"/>
      <c r="C8" s="32" t="inlineStr">
        <is>
          <t>season</t>
        </is>
      </c>
      <c r="D8" s="236" t="inlineStr">
        <is>
          <t>ongoing season</t>
        </is>
      </c>
      <c r="E8" s="187"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31" t="n"/>
    </row>
    <row r="9" ht="96" customHeight="1">
      <c r="A9" s="18" t="n"/>
      <c r="B9" s="257" t="n"/>
      <c r="C9" s="32" t="inlineStr">
        <is>
          <t>season phase</t>
        </is>
      </c>
      <c r="D9" s="232" t="inlineStr">
        <is>
          <t>Land preparation</t>
        </is>
      </c>
      <c r="E9" s="18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 customFormat="1" customHeight="1" s="208">
      <c r="A10" s="203" t="n"/>
      <c r="B10" s="257" t="n"/>
      <c r="C10" s="216" t="inlineStr">
        <is>
          <t>local measurement unit</t>
        </is>
      </c>
      <c r="D10" s="29" t="n"/>
      <c r="E10" s="24" t="inlineStr">
        <is>
          <t xml:space="preserve">Specify the local measurement unit for land size, other than acres, hectares, square meters and square feet. If no other unit of measurement is needed, keep this cell blank. </t>
        </is>
      </c>
      <c r="F10" s="214" t="inlineStr">
        <is>
          <t>Jeribs</t>
        </is>
      </c>
      <c r="G10" s="207" t="n"/>
    </row>
    <row r="11" ht="50.25" customFormat="1" customHeight="1" s="208" thickBot="1">
      <c r="A11" s="203" t="n"/>
      <c r="B11" s="258" t="n"/>
      <c r="C11" s="217" t="inlineStr">
        <is>
          <t>local measurement unit conversion</t>
        </is>
      </c>
      <c r="D11" s="233" t="n"/>
      <c r="E11" s="23" t="inlineStr">
        <is>
          <t xml:space="preserve">Include the conversion of the local measurement unit to hectares. In other words, how many local measurement units are in 1 ha. </t>
        </is>
      </c>
      <c r="F11" s="215" t="n">
        <v>0.2</v>
      </c>
      <c r="G11" s="207" t="n"/>
    </row>
    <row r="12" ht="32" customHeight="1">
      <c r="A12" s="18" t="n"/>
      <c r="B12" s="240" t="inlineStr">
        <is>
          <t>FOR OPTIONAL QUESTIONS    .
(Fill out if applicable)    .</t>
        </is>
      </c>
      <c r="C12" s="33" t="inlineStr">
        <is>
          <t>currency</t>
        </is>
      </c>
      <c r="D12" s="237" t="inlineStr">
        <is>
          <t>USD</t>
        </is>
      </c>
      <c r="E12" s="40" t="inlineStr">
        <is>
          <t xml:space="preserve">The name of the main currency used nationally; USD; Naira; Rial; Pesos; etc. </t>
        </is>
      </c>
      <c r="F12" s="20" t="inlineStr">
        <is>
          <t>Naira</t>
        </is>
      </c>
      <c r="G12" s="19" t="n"/>
    </row>
    <row r="13" ht="112" customHeight="1">
      <c r="A13" s="18" t="n"/>
      <c r="B13" s="257" t="n"/>
      <c r="C13" s="139" t="inlineStr">
        <is>
          <t>MIN AMOUNT</t>
        </is>
      </c>
      <c r="D13" s="234" t="n">
        <v>10</v>
      </c>
      <c r="E13" s="14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 customHeight="1">
      <c r="A14" s="18" t="n"/>
      <c r="B14" s="257" t="n"/>
      <c r="C14" s="139" t="inlineStr">
        <is>
          <t>THRESHOLD</t>
        </is>
      </c>
      <c r="D14" s="234" t="n">
        <v>1000000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32" customHeight="1">
      <c r="A15" s="18" t="n"/>
      <c r="B15" s="257" t="n"/>
      <c r="C15" s="61" t="inlineStr">
        <is>
          <t>local vegetables</t>
        </is>
      </c>
      <c r="D15" s="236" t="inlineStr">
        <is>
          <t>Potato</t>
        </is>
      </c>
      <c r="E15" s="24" t="inlineStr">
        <is>
          <t>Input some common local vegetables [to be used as examples in the food consumption score indicator].</t>
        </is>
      </c>
      <c r="F15" s="22" t="inlineStr">
        <is>
          <t>eggplants, zucchini, cauliflower</t>
        </is>
      </c>
      <c r="G15" s="19" t="n"/>
    </row>
    <row r="16" ht="33" customHeight="1" thickBot="1">
      <c r="A16" s="18" t="n"/>
      <c r="B16" s="258" t="n"/>
      <c r="C16" s="138" t="inlineStr">
        <is>
          <t>local fruits</t>
        </is>
      </c>
      <c r="D16" s="238" t="inlineStr">
        <is>
          <t>Apples</t>
        </is>
      </c>
      <c r="E16" s="25" t="inlineStr">
        <is>
          <t>Input some common local fruits [to be used as examples in the food consumption score indicator].</t>
        </is>
      </c>
      <c r="F16" s="142" t="inlineStr">
        <is>
          <t>apples, bananas, oranges</t>
        </is>
      </c>
      <c r="G16" s="19" t="n"/>
    </row>
    <row r="17" ht="5.5" customFormat="1" customHeight="1" s="60" thickBot="1">
      <c r="A17" s="54" t="n"/>
      <c r="B17" s="55" t="n"/>
      <c r="C17" s="56" t="n"/>
      <c r="D17" s="141" t="n"/>
      <c r="E17" s="57" t="n"/>
      <c r="F17" s="58" t="n"/>
      <c r="G17" s="59" t="n"/>
    </row>
    <row r="18" ht="160" customHeight="1">
      <c r="A18" s="18" t="n"/>
      <c r="B18" s="259" t="inlineStr">
        <is>
          <t>FILL OUT FOR QUESTIONNAIRE DURATION ESTIMATION    .</t>
        </is>
      </c>
      <c r="C18" s="49" t="inlineStr">
        <is>
          <t>Expected percentage of respondents cultivating crops</t>
        </is>
      </c>
      <c r="D18" s="260"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60" customHeight="1">
      <c r="A19" s="18" t="n"/>
      <c r="B19" s="257" t="n"/>
      <c r="C19" s="34" t="inlineStr">
        <is>
          <t>Expected percentage of respondents raising livestock</t>
        </is>
      </c>
      <c r="D19" s="261"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58" t="n"/>
      <c r="C20" s="35" t="inlineStr">
        <is>
          <t>Expected percentage of respondents involved in fishery</t>
        </is>
      </c>
      <c r="D20" s="262"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TuJoTWts+weDzmqRgBxRHQ==" formatRows="1" sort="1" spinCount="100000" hashValue="HDbMtU4Jlh9HWHGdk0LayFfVJStngmavgwcVKMKWc5VZrrpztmDjYI1oHTcDjIn3M/ll6/9HZ5Z2AvinCdU0yg=="/>
  <mergeCells count="3">
    <mergeCell ref="B12:B16"/>
    <mergeCell ref="B18:B20"/>
    <mergeCell ref="B3:B11"/>
  </mergeCells>
  <dataValidations count="2">
    <dataValidation sqref="D9" showErrorMessage="1" showInputMessage="1" allowBlank="1" type="list">
      <formula1>"Not yet in season,Land preparation,Planting,Early growing,Growing,Maturing,Harvesting,Recently finished"</formula1>
    </dataValidation>
    <dataValidation sqref="D7" showErrorMessage="1" showInputMessage="1" allowBlank="1"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2024-05-14T12:22:29Z</dcterms:modified>
  <cp:lastModifiedBy>Ibrahim Ali Ahmad</cp:lastModifiedBy>
</cp:coreProperties>
</file>