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HTI/R5/"/>
    </mc:Choice>
  </mc:AlternateContent>
  <xr:revisionPtr revIDLastSave="0" documentId="8_{C9BE8FFA-87E5-EB40-94C8-DA5ADA242926}" xr6:coauthVersionLast="47" xr6:coauthVersionMax="47" xr10:uidLastSave="{00000000-0000-0000-0000-000000000000}"/>
  <bookViews>
    <workbookView xWindow="0" yWindow="500" windowWidth="33600" windowHeight="19580" activeTab="4" xr2:uid="{00000000-000D-0000-FFFF-FFFF00000000}"/>
  </bookViews>
  <sheets>
    <sheet name="survey" sheetId="1" r:id="rId1"/>
    <sheet name="New Durations" sheetId="2" state="hidden" r:id="rId2"/>
    <sheet name="Crop list" sheetId="3" r:id="rId3"/>
    <sheet name="Additional information" sheetId="4" state="hidden" r:id="rId4"/>
    <sheet name="Admin 2 info" sheetId="5" r:id="rId5"/>
  </sheets>
  <externalReferences>
    <externalReference r:id="rId6"/>
  </externalReferences>
  <definedNames>
    <definedName name="_xlnm._FilterDatabase" localSheetId="2" hidden="1">'Crop list'!$C$3:$F$93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4" l="1"/>
  <c r="D18" i="4"/>
  <c r="D17" i="4"/>
  <c r="D4" i="3" a="1"/>
  <c r="D80" i="3" s="1"/>
  <c r="AB207" i="1"/>
  <c r="AA207" i="1"/>
  <c r="I207" i="1"/>
  <c r="G207" i="1"/>
  <c r="E207" i="1"/>
  <c r="AA206" i="1"/>
  <c r="AB206" i="1" s="1"/>
  <c r="I206" i="1"/>
  <c r="G206" i="1"/>
  <c r="E206" i="1"/>
  <c r="AB205" i="1"/>
  <c r="AA205" i="1"/>
  <c r="AB204" i="1"/>
  <c r="AA204" i="1"/>
  <c r="I204" i="1"/>
  <c r="G204" i="1"/>
  <c r="E204" i="1"/>
  <c r="AB203" i="1"/>
  <c r="AA203" i="1"/>
  <c r="I203" i="1"/>
  <c r="G203" i="1"/>
  <c r="E203" i="1"/>
  <c r="AA202" i="1"/>
  <c r="AB202" i="1" s="1"/>
  <c r="I202" i="1"/>
  <c r="G202" i="1"/>
  <c r="E202" i="1"/>
  <c r="AB201" i="1"/>
  <c r="AA201" i="1"/>
  <c r="AB200" i="1"/>
  <c r="AA200" i="1"/>
  <c r="AB199" i="1"/>
  <c r="AA199" i="1"/>
  <c r="I199" i="1"/>
  <c r="G199" i="1"/>
  <c r="E199" i="1"/>
  <c r="AA198" i="1"/>
  <c r="AB198" i="1" s="1"/>
  <c r="I198" i="1"/>
  <c r="G198" i="1"/>
  <c r="E198" i="1"/>
  <c r="AB197" i="1"/>
  <c r="AA197" i="1"/>
  <c r="AB196" i="1"/>
  <c r="AA196" i="1"/>
  <c r="I196" i="1"/>
  <c r="G196" i="1"/>
  <c r="E196" i="1"/>
  <c r="AB195" i="1"/>
  <c r="AA195" i="1"/>
  <c r="I195" i="1"/>
  <c r="G195" i="1"/>
  <c r="E195" i="1"/>
  <c r="A195" i="1"/>
  <c r="A196" i="1" s="1"/>
  <c r="A198" i="1" s="1"/>
  <c r="A199" i="1" s="1"/>
  <c r="I194" i="1"/>
  <c r="G194" i="1"/>
  <c r="E194" i="1"/>
  <c r="I193" i="1"/>
  <c r="G193" i="1"/>
  <c r="E193" i="1"/>
  <c r="AB192" i="1"/>
  <c r="AA192" i="1"/>
  <c r="AB191" i="1"/>
  <c r="AA191" i="1"/>
  <c r="I191" i="1"/>
  <c r="G191" i="1"/>
  <c r="E191" i="1"/>
  <c r="AB190" i="1"/>
  <c r="AA190" i="1"/>
  <c r="I190" i="1"/>
  <c r="G190" i="1"/>
  <c r="E190" i="1"/>
  <c r="AB189" i="1"/>
  <c r="AA189" i="1"/>
  <c r="I189" i="1"/>
  <c r="G189" i="1"/>
  <c r="E189" i="1"/>
  <c r="AB188" i="1"/>
  <c r="AA188" i="1"/>
  <c r="I188" i="1"/>
  <c r="G188" i="1"/>
  <c r="E188" i="1"/>
  <c r="AB187" i="1"/>
  <c r="AA187" i="1"/>
  <c r="I187" i="1"/>
  <c r="G187" i="1"/>
  <c r="E187" i="1"/>
  <c r="AB186" i="1"/>
  <c r="AA186" i="1"/>
  <c r="I186" i="1"/>
  <c r="G186" i="1"/>
  <c r="E186" i="1"/>
  <c r="AB185" i="1"/>
  <c r="AA185" i="1"/>
  <c r="I185" i="1"/>
  <c r="G185" i="1"/>
  <c r="E185" i="1"/>
  <c r="AB184" i="1"/>
  <c r="AA184" i="1"/>
  <c r="I184" i="1"/>
  <c r="G184" i="1"/>
  <c r="E184" i="1"/>
  <c r="AB183" i="1"/>
  <c r="AA183" i="1"/>
  <c r="I183" i="1"/>
  <c r="G183" i="1"/>
  <c r="E183" i="1"/>
  <c r="AB182" i="1"/>
  <c r="AA182" i="1"/>
  <c r="I182" i="1"/>
  <c r="G182" i="1"/>
  <c r="E182" i="1"/>
  <c r="AA181" i="1"/>
  <c r="AB181" i="1" s="1"/>
  <c r="I181" i="1"/>
  <c r="G181" i="1"/>
  <c r="E181" i="1"/>
  <c r="AA180" i="1"/>
  <c r="AB180" i="1" s="1"/>
  <c r="I180" i="1"/>
  <c r="G180" i="1"/>
  <c r="E180" i="1"/>
  <c r="AB179" i="1"/>
  <c r="AA179" i="1"/>
  <c r="I179" i="1"/>
  <c r="G179" i="1"/>
  <c r="E179" i="1"/>
  <c r="A179" i="1"/>
  <c r="A180" i="1" s="1"/>
  <c r="A181" i="1" s="1"/>
  <c r="A182" i="1" s="1"/>
  <c r="A183" i="1" s="1"/>
  <c r="A184" i="1" s="1"/>
  <c r="A185" i="1" s="1"/>
  <c r="A186" i="1" s="1"/>
  <c r="A187" i="1" s="1"/>
  <c r="A188" i="1" s="1"/>
  <c r="A189" i="1" s="1"/>
  <c r="A190" i="1" s="1"/>
  <c r="AB178" i="1"/>
  <c r="AA178" i="1"/>
  <c r="I178" i="1"/>
  <c r="G178" i="1"/>
  <c r="E178" i="1"/>
  <c r="AB177" i="1"/>
  <c r="AA177" i="1"/>
  <c r="I177" i="1"/>
  <c r="G177" i="1"/>
  <c r="E177" i="1"/>
  <c r="A177" i="1"/>
  <c r="A178" i="1" s="1"/>
  <c r="AB176" i="1"/>
  <c r="AA176" i="1"/>
  <c r="I176" i="1"/>
  <c r="G176" i="1"/>
  <c r="E176" i="1"/>
  <c r="A176" i="1"/>
  <c r="AB175" i="1"/>
  <c r="AA175" i="1"/>
  <c r="I175" i="1"/>
  <c r="G175" i="1"/>
  <c r="E175" i="1"/>
  <c r="A175" i="1"/>
  <c r="AB174" i="1"/>
  <c r="AA174" i="1"/>
  <c r="I174" i="1"/>
  <c r="G174" i="1"/>
  <c r="AB173" i="1"/>
  <c r="AA173" i="1"/>
  <c r="I173" i="1"/>
  <c r="G173" i="1"/>
  <c r="E173" i="1"/>
  <c r="AB172" i="1"/>
  <c r="AA172" i="1"/>
  <c r="I172" i="1"/>
  <c r="G172" i="1"/>
  <c r="E172" i="1"/>
  <c r="AB171" i="1"/>
  <c r="AA171" i="1"/>
  <c r="I171" i="1"/>
  <c r="G171" i="1"/>
  <c r="E171" i="1"/>
  <c r="AB170" i="1"/>
  <c r="AA170" i="1"/>
  <c r="I170" i="1"/>
  <c r="G170" i="1"/>
  <c r="E170" i="1"/>
  <c r="AB169" i="1"/>
  <c r="AA169" i="1"/>
  <c r="I169" i="1"/>
  <c r="G169" i="1"/>
  <c r="E169" i="1"/>
  <c r="AA168" i="1"/>
  <c r="AB168" i="1" s="1"/>
  <c r="I168" i="1"/>
  <c r="G168" i="1"/>
  <c r="E168" i="1"/>
  <c r="AB167" i="1"/>
  <c r="AA167" i="1"/>
  <c r="I167" i="1"/>
  <c r="G167" i="1"/>
  <c r="E167" i="1"/>
  <c r="AA166" i="1"/>
  <c r="AB166" i="1" s="1"/>
  <c r="I166" i="1"/>
  <c r="G166" i="1"/>
  <c r="E166" i="1"/>
  <c r="AA165" i="1"/>
  <c r="AB165" i="1" s="1"/>
  <c r="I165" i="1"/>
  <c r="G165" i="1"/>
  <c r="E165" i="1"/>
  <c r="AB164" i="1"/>
  <c r="AA164" i="1"/>
  <c r="I164" i="1"/>
  <c r="G164" i="1"/>
  <c r="E164" i="1"/>
  <c r="AA163" i="1"/>
  <c r="AB163" i="1" s="1"/>
  <c r="I163" i="1"/>
  <c r="G163" i="1"/>
  <c r="E163" i="1"/>
  <c r="AB162" i="1"/>
  <c r="AA162" i="1"/>
  <c r="I162" i="1"/>
  <c r="G162" i="1"/>
  <c r="E162" i="1"/>
  <c r="AB161" i="1"/>
  <c r="AA161" i="1"/>
  <c r="I161" i="1"/>
  <c r="G161" i="1"/>
  <c r="E161" i="1"/>
  <c r="AA160" i="1"/>
  <c r="AB160" i="1" s="1"/>
  <c r="I160" i="1"/>
  <c r="G160" i="1"/>
  <c r="E160" i="1"/>
  <c r="AB159" i="1"/>
  <c r="AA159" i="1"/>
  <c r="I159" i="1"/>
  <c r="G159" i="1"/>
  <c r="E159" i="1"/>
  <c r="AA158" i="1"/>
  <c r="AB158" i="1" s="1"/>
  <c r="I158" i="1"/>
  <c r="G158" i="1"/>
  <c r="E158" i="1"/>
  <c r="AA157" i="1"/>
  <c r="AB157" i="1" s="1"/>
  <c r="I157" i="1"/>
  <c r="G157" i="1"/>
  <c r="E157" i="1"/>
  <c r="AB156" i="1"/>
  <c r="AA156" i="1"/>
  <c r="AB155" i="1"/>
  <c r="AA155" i="1"/>
  <c r="S155" i="1"/>
  <c r="S154" i="1"/>
  <c r="AA154" i="1" s="1"/>
  <c r="AB154" i="1" s="1"/>
  <c r="I154" i="1"/>
  <c r="G154" i="1"/>
  <c r="E154" i="1"/>
  <c r="AB153" i="1"/>
  <c r="AA153" i="1"/>
  <c r="S153" i="1"/>
  <c r="AA152" i="1"/>
  <c r="AB152" i="1" s="1"/>
  <c r="S152" i="1"/>
  <c r="I152" i="1"/>
  <c r="G152" i="1"/>
  <c r="E152" i="1"/>
  <c r="S151" i="1"/>
  <c r="AA151" i="1" s="1"/>
  <c r="AB151" i="1" s="1"/>
  <c r="I151" i="1"/>
  <c r="G151" i="1"/>
  <c r="E151" i="1"/>
  <c r="A151" i="1"/>
  <c r="A152" i="1" s="1"/>
  <c r="A154" i="1" s="1"/>
  <c r="A157" i="1" s="1"/>
  <c r="A158" i="1" s="1"/>
  <c r="A159" i="1" s="1"/>
  <c r="A160" i="1" s="1"/>
  <c r="A161" i="1" s="1"/>
  <c r="A162" i="1" s="1"/>
  <c r="A163" i="1" s="1"/>
  <c r="A164" i="1" s="1"/>
  <c r="A165" i="1" s="1"/>
  <c r="A166" i="1" s="1"/>
  <c r="A167" i="1" s="1"/>
  <c r="A168" i="1" s="1"/>
  <c r="A169" i="1" s="1"/>
  <c r="A170" i="1" s="1"/>
  <c r="A171" i="1" s="1"/>
  <c r="A172" i="1" s="1"/>
  <c r="A173" i="1" s="1"/>
  <c r="A174" i="1" s="1"/>
  <c r="AB150" i="1"/>
  <c r="AA150" i="1"/>
  <c r="S150" i="1"/>
  <c r="S149" i="1"/>
  <c r="AA149" i="1" s="1"/>
  <c r="AB149" i="1" s="1"/>
  <c r="I149" i="1"/>
  <c r="G149" i="1"/>
  <c r="E149" i="1"/>
  <c r="A149" i="1"/>
  <c r="AB148" i="1"/>
  <c r="AA148" i="1"/>
  <c r="AB147" i="1"/>
  <c r="AA147" i="1"/>
  <c r="S147" i="1"/>
  <c r="S146" i="1"/>
  <c r="AA146" i="1" s="1"/>
  <c r="AB146" i="1" s="1"/>
  <c r="I146" i="1"/>
  <c r="G146" i="1"/>
  <c r="E146" i="1"/>
  <c r="S145" i="1"/>
  <c r="AA145" i="1" s="1"/>
  <c r="AB145" i="1" s="1"/>
  <c r="I145" i="1"/>
  <c r="G145" i="1"/>
  <c r="E145" i="1"/>
  <c r="AB144" i="1"/>
  <c r="AA144" i="1"/>
  <c r="S144" i="1"/>
  <c r="AA143" i="1"/>
  <c r="AB143" i="1" s="1"/>
  <c r="S143" i="1"/>
  <c r="I143" i="1"/>
  <c r="G143" i="1"/>
  <c r="E143" i="1"/>
  <c r="AB142" i="1"/>
  <c r="AA142" i="1"/>
  <c r="S142" i="1"/>
  <c r="S141" i="1"/>
  <c r="AA141" i="1" s="1"/>
  <c r="AB141" i="1" s="1"/>
  <c r="I141" i="1"/>
  <c r="G141" i="1"/>
  <c r="E141" i="1"/>
  <c r="AB140" i="1"/>
  <c r="AA140" i="1"/>
  <c r="S140" i="1"/>
  <c r="AA139" i="1"/>
  <c r="AB139" i="1" s="1"/>
  <c r="S139" i="1"/>
  <c r="I139" i="1"/>
  <c r="G139" i="1"/>
  <c r="E139" i="1"/>
  <c r="AB138" i="1"/>
  <c r="AA138" i="1"/>
  <c r="AB137" i="1"/>
  <c r="AA137" i="1"/>
  <c r="S137" i="1"/>
  <c r="AA136" i="1"/>
  <c r="AB136" i="1" s="1"/>
  <c r="S136" i="1"/>
  <c r="I136" i="1"/>
  <c r="G136" i="1"/>
  <c r="E136" i="1"/>
  <c r="AB135" i="1"/>
  <c r="AA135" i="1"/>
  <c r="S135" i="1"/>
  <c r="S134" i="1"/>
  <c r="AA134" i="1" s="1"/>
  <c r="AB134" i="1" s="1"/>
  <c r="I134" i="1"/>
  <c r="G134" i="1"/>
  <c r="E134" i="1"/>
  <c r="S133" i="1"/>
  <c r="AA133" i="1" s="1"/>
  <c r="AB133" i="1" s="1"/>
  <c r="I133" i="1"/>
  <c r="G133" i="1"/>
  <c r="E133" i="1"/>
  <c r="AB132" i="1"/>
  <c r="AA132" i="1"/>
  <c r="S132" i="1"/>
  <c r="AA131" i="1"/>
  <c r="AB131" i="1" s="1"/>
  <c r="S131" i="1"/>
  <c r="I131" i="1"/>
  <c r="G131" i="1"/>
  <c r="E131" i="1"/>
  <c r="A131" i="1"/>
  <c r="A133" i="1" s="1"/>
  <c r="A134" i="1" s="1"/>
  <c r="A136" i="1" s="1"/>
  <c r="A139" i="1" s="1"/>
  <c r="A141" i="1" s="1"/>
  <c r="A143" i="1" s="1"/>
  <c r="A145" i="1" s="1"/>
  <c r="A146" i="1" s="1"/>
  <c r="AB130" i="1"/>
  <c r="AA130" i="1"/>
  <c r="AB129" i="1"/>
  <c r="AA129" i="1"/>
  <c r="S129" i="1"/>
  <c r="AA128" i="1"/>
  <c r="AB128" i="1" s="1"/>
  <c r="S128" i="1"/>
  <c r="I128" i="1"/>
  <c r="G128" i="1"/>
  <c r="E128" i="1"/>
  <c r="A128" i="1"/>
  <c r="AA127" i="1"/>
  <c r="AB127" i="1" s="1"/>
  <c r="S127" i="1"/>
  <c r="I127" i="1"/>
  <c r="G127" i="1"/>
  <c r="E127" i="1"/>
  <c r="A127" i="1"/>
  <c r="AB126" i="1"/>
  <c r="AA126" i="1"/>
  <c r="S126" i="1"/>
  <c r="S125" i="1"/>
  <c r="AA125" i="1" s="1"/>
  <c r="AB125" i="1" s="1"/>
  <c r="I125" i="1"/>
  <c r="G125" i="1"/>
  <c r="E125" i="1"/>
  <c r="AA124" i="1"/>
  <c r="AB124" i="1" s="1"/>
  <c r="S124" i="1"/>
  <c r="I124" i="1"/>
  <c r="G124" i="1"/>
  <c r="E124" i="1"/>
  <c r="AB123" i="1"/>
  <c r="AA123" i="1"/>
  <c r="S123" i="1"/>
  <c r="I123" i="1"/>
  <c r="G123" i="1"/>
  <c r="E123" i="1"/>
  <c r="AB122" i="1"/>
  <c r="AA122" i="1"/>
  <c r="S122" i="1"/>
  <c r="S121" i="1"/>
  <c r="AA121" i="1" s="1"/>
  <c r="AB121" i="1" s="1"/>
  <c r="I121" i="1"/>
  <c r="G121" i="1"/>
  <c r="E121" i="1"/>
  <c r="AB120" i="1"/>
  <c r="AA120" i="1"/>
  <c r="S120" i="1"/>
  <c r="S119" i="1"/>
  <c r="AA119" i="1" s="1"/>
  <c r="AB119" i="1" s="1"/>
  <c r="I119" i="1"/>
  <c r="G119" i="1"/>
  <c r="E119" i="1"/>
  <c r="AB118" i="1"/>
  <c r="AA118" i="1"/>
  <c r="AB117" i="1"/>
  <c r="AA117" i="1"/>
  <c r="S117" i="1"/>
  <c r="AB116" i="1"/>
  <c r="AA116" i="1"/>
  <c r="S116" i="1"/>
  <c r="I116" i="1"/>
  <c r="G116" i="1"/>
  <c r="E116" i="1"/>
  <c r="AB115" i="1"/>
  <c r="AA115" i="1"/>
  <c r="S115" i="1"/>
  <c r="S114" i="1"/>
  <c r="AA114" i="1" s="1"/>
  <c r="AB114" i="1" s="1"/>
  <c r="I114" i="1"/>
  <c r="G114" i="1"/>
  <c r="E114" i="1"/>
  <c r="S113" i="1"/>
  <c r="AA113" i="1" s="1"/>
  <c r="AB113" i="1" s="1"/>
  <c r="I113" i="1"/>
  <c r="G113" i="1"/>
  <c r="E113" i="1"/>
  <c r="A113" i="1"/>
  <c r="A114" i="1" s="1"/>
  <c r="A116" i="1" s="1"/>
  <c r="A119" i="1" s="1"/>
  <c r="A121" i="1" s="1"/>
  <c r="A123" i="1" s="1"/>
  <c r="A124" i="1" s="1"/>
  <c r="AB112" i="1"/>
  <c r="AA112" i="1"/>
  <c r="S112" i="1"/>
  <c r="AA111" i="1"/>
  <c r="AB111" i="1" s="1"/>
  <c r="S111" i="1"/>
  <c r="I111" i="1"/>
  <c r="G111" i="1"/>
  <c r="E111" i="1"/>
  <c r="AB110" i="1"/>
  <c r="AA110" i="1"/>
  <c r="AB109" i="1"/>
  <c r="AA109" i="1"/>
  <c r="S109" i="1"/>
  <c r="AB108" i="1"/>
  <c r="AA108" i="1"/>
  <c r="S108" i="1"/>
  <c r="I108" i="1"/>
  <c r="G108" i="1"/>
  <c r="E108" i="1"/>
  <c r="A108" i="1"/>
  <c r="AB107" i="1"/>
  <c r="AA107" i="1"/>
  <c r="S107" i="1"/>
  <c r="AB106" i="1"/>
  <c r="AA106" i="1"/>
  <c r="S106" i="1"/>
  <c r="I106" i="1"/>
  <c r="G106" i="1"/>
  <c r="E106" i="1"/>
  <c r="A106" i="1"/>
  <c r="S105" i="1"/>
  <c r="Y105" i="1" s="1"/>
  <c r="Z105" i="1" s="1"/>
  <c r="G105" i="1"/>
  <c r="E105" i="1"/>
  <c r="A105" i="1"/>
  <c r="AA104" i="1"/>
  <c r="AB104" i="1" s="1"/>
  <c r="S104" i="1"/>
  <c r="I104" i="1"/>
  <c r="G104" i="1"/>
  <c r="E104" i="1"/>
  <c r="AB103" i="1"/>
  <c r="AA103" i="1"/>
  <c r="S103" i="1"/>
  <c r="I103" i="1"/>
  <c r="G103" i="1"/>
  <c r="E103" i="1"/>
  <c r="S102" i="1"/>
  <c r="AA102" i="1" s="1"/>
  <c r="AB102" i="1" s="1"/>
  <c r="I102" i="1"/>
  <c r="G102" i="1"/>
  <c r="E102" i="1"/>
  <c r="A102" i="1"/>
  <c r="A104" i="1" s="1"/>
  <c r="AB101" i="1"/>
  <c r="AA101" i="1"/>
  <c r="S101" i="1"/>
  <c r="S100" i="1"/>
  <c r="AA100" i="1" s="1"/>
  <c r="AB100" i="1" s="1"/>
  <c r="I100" i="1"/>
  <c r="G100" i="1"/>
  <c r="E100" i="1"/>
  <c r="AB99" i="1"/>
  <c r="AA99" i="1"/>
  <c r="S99" i="1"/>
  <c r="S98" i="1"/>
  <c r="AA98" i="1" s="1"/>
  <c r="AB98" i="1" s="1"/>
  <c r="I98" i="1"/>
  <c r="G98" i="1"/>
  <c r="E98" i="1"/>
  <c r="S97" i="1"/>
  <c r="AA97" i="1" s="1"/>
  <c r="AB97" i="1" s="1"/>
  <c r="I97" i="1"/>
  <c r="G97" i="1"/>
  <c r="E97" i="1"/>
  <c r="A97" i="1"/>
  <c r="A100" i="1" s="1"/>
  <c r="AB96" i="1"/>
  <c r="AA96" i="1"/>
  <c r="S96" i="1"/>
  <c r="S95" i="1"/>
  <c r="AA95" i="1" s="1"/>
  <c r="AB95" i="1" s="1"/>
  <c r="I95" i="1"/>
  <c r="G95" i="1"/>
  <c r="E95" i="1"/>
  <c r="S94" i="1"/>
  <c r="AA94" i="1" s="1"/>
  <c r="AB94" i="1" s="1"/>
  <c r="I94" i="1"/>
  <c r="G94" i="1"/>
  <c r="E94" i="1"/>
  <c r="AB93" i="1"/>
  <c r="AA93" i="1"/>
  <c r="S93" i="1"/>
  <c r="AA92" i="1"/>
  <c r="AB92" i="1" s="1"/>
  <c r="S92" i="1"/>
  <c r="I92" i="1"/>
  <c r="G92" i="1"/>
  <c r="E92" i="1"/>
  <c r="A92" i="1"/>
  <c r="AB91" i="1"/>
  <c r="AA91" i="1"/>
  <c r="AB90" i="1"/>
  <c r="AA90" i="1"/>
  <c r="S90" i="1"/>
  <c r="I90" i="1"/>
  <c r="G90" i="1"/>
  <c r="E90" i="1"/>
  <c r="S89" i="1"/>
  <c r="AA89" i="1" s="1"/>
  <c r="AB89" i="1" s="1"/>
  <c r="I89" i="1"/>
  <c r="G89" i="1"/>
  <c r="E89" i="1"/>
  <c r="A89" i="1"/>
  <c r="I88" i="1"/>
  <c r="G88" i="1"/>
  <c r="E88" i="1"/>
  <c r="I87" i="1"/>
  <c r="G87" i="1"/>
  <c r="E87" i="1"/>
  <c r="AB86" i="1"/>
  <c r="AA86" i="1"/>
  <c r="S86" i="1"/>
  <c r="I86" i="1"/>
  <c r="G86" i="1"/>
  <c r="E86" i="1"/>
  <c r="AA85" i="1"/>
  <c r="AB85" i="1" s="1"/>
  <c r="S85" i="1"/>
  <c r="I85" i="1"/>
  <c r="G85" i="1"/>
  <c r="E85" i="1"/>
  <c r="A85" i="1"/>
  <c r="AB84" i="1"/>
  <c r="AA84" i="1"/>
  <c r="S84" i="1"/>
  <c r="AA83" i="1"/>
  <c r="AB83" i="1" s="1"/>
  <c r="S83" i="1"/>
  <c r="I83" i="1"/>
  <c r="G83" i="1"/>
  <c r="E83" i="1"/>
  <c r="AA82" i="1"/>
  <c r="AB82" i="1" s="1"/>
  <c r="S82" i="1"/>
  <c r="I82" i="1"/>
  <c r="G82" i="1"/>
  <c r="E82" i="1"/>
  <c r="S81" i="1"/>
  <c r="AA81" i="1" s="1"/>
  <c r="AB81" i="1" s="1"/>
  <c r="I81" i="1"/>
  <c r="G81" i="1"/>
  <c r="E81" i="1"/>
  <c r="AA80" i="1"/>
  <c r="AB80" i="1" s="1"/>
  <c r="S80" i="1"/>
  <c r="I80" i="1"/>
  <c r="G80" i="1"/>
  <c r="E80" i="1"/>
  <c r="AB79" i="1"/>
  <c r="AA79" i="1"/>
  <c r="S79" i="1"/>
  <c r="S78" i="1"/>
  <c r="AA78" i="1" s="1"/>
  <c r="AB78" i="1" s="1"/>
  <c r="I78" i="1"/>
  <c r="G78" i="1"/>
  <c r="E78" i="1"/>
  <c r="A78" i="1"/>
  <c r="A80" i="1" s="1"/>
  <c r="AB77" i="1"/>
  <c r="AA77" i="1"/>
  <c r="S77" i="1"/>
  <c r="AB76" i="1"/>
  <c r="AA76" i="1"/>
  <c r="S76" i="1"/>
  <c r="I76" i="1"/>
  <c r="G76" i="1"/>
  <c r="E76" i="1"/>
  <c r="A76" i="1"/>
  <c r="AB75" i="1"/>
  <c r="AA75" i="1"/>
  <c r="S75" i="1"/>
  <c r="I75" i="1"/>
  <c r="G75" i="1"/>
  <c r="E75" i="1"/>
  <c r="AB74" i="1"/>
  <c r="AA74" i="1"/>
  <c r="S74" i="1"/>
  <c r="AA73" i="1"/>
  <c r="AB73" i="1" s="1"/>
  <c r="S73" i="1"/>
  <c r="I73" i="1"/>
  <c r="G73" i="1"/>
  <c r="E73" i="1"/>
  <c r="S72" i="1"/>
  <c r="AA72" i="1" s="1"/>
  <c r="AB72" i="1" s="1"/>
  <c r="I72" i="1"/>
  <c r="G72" i="1"/>
  <c r="E72" i="1"/>
  <c r="AA71" i="1"/>
  <c r="AB71" i="1" s="1"/>
  <c r="S71" i="1"/>
  <c r="I71" i="1"/>
  <c r="G71" i="1"/>
  <c r="E71" i="1"/>
  <c r="S70" i="1"/>
  <c r="AA70" i="1" s="1"/>
  <c r="AB70" i="1" s="1"/>
  <c r="I70" i="1"/>
  <c r="G70" i="1"/>
  <c r="E70" i="1"/>
  <c r="A70" i="1"/>
  <c r="AB69" i="1"/>
  <c r="AA69" i="1"/>
  <c r="S69" i="1"/>
  <c r="AA68" i="1"/>
  <c r="AB68" i="1" s="1"/>
  <c r="S68" i="1"/>
  <c r="I68" i="1"/>
  <c r="G68" i="1"/>
  <c r="E68" i="1"/>
  <c r="A68" i="1"/>
  <c r="AB67" i="1"/>
  <c r="AA67" i="1"/>
  <c r="S67" i="1"/>
  <c r="AB66" i="1"/>
  <c r="S66" i="1"/>
  <c r="AA66" i="1" s="1"/>
  <c r="I66" i="1"/>
  <c r="G66" i="1"/>
  <c r="E66" i="1"/>
  <c r="AB65" i="1"/>
  <c r="AA65" i="1"/>
  <c r="S65" i="1"/>
  <c r="I65" i="1"/>
  <c r="G65" i="1"/>
  <c r="E65" i="1"/>
  <c r="AB64" i="1"/>
  <c r="S64" i="1"/>
  <c r="AA64" i="1" s="1"/>
  <c r="I64" i="1"/>
  <c r="G64" i="1"/>
  <c r="E64" i="1"/>
  <c r="AB63" i="1"/>
  <c r="AA63" i="1"/>
  <c r="S63" i="1"/>
  <c r="S62" i="1"/>
  <c r="AA62" i="1" s="1"/>
  <c r="AB62" i="1" s="1"/>
  <c r="I62" i="1"/>
  <c r="G62" i="1"/>
  <c r="E62" i="1"/>
  <c r="AB61" i="1"/>
  <c r="AA61" i="1"/>
  <c r="S61" i="1"/>
  <c r="I61" i="1"/>
  <c r="G61" i="1"/>
  <c r="E61" i="1"/>
  <c r="AA60" i="1"/>
  <c r="AB60" i="1" s="1"/>
  <c r="S60" i="1"/>
  <c r="I60" i="1"/>
  <c r="G60" i="1"/>
  <c r="E60" i="1"/>
  <c r="S59" i="1"/>
  <c r="AA59" i="1" s="1"/>
  <c r="AB59" i="1" s="1"/>
  <c r="I59" i="1"/>
  <c r="G59" i="1"/>
  <c r="E59" i="1"/>
  <c r="A59" i="1"/>
  <c r="AB58" i="1"/>
  <c r="AA58" i="1"/>
  <c r="S58" i="1"/>
  <c r="AB57" i="1"/>
  <c r="AA57" i="1"/>
  <c r="AB56" i="1"/>
  <c r="S56" i="1"/>
  <c r="AA56" i="1" s="1"/>
  <c r="I56" i="1"/>
  <c r="G56" i="1"/>
  <c r="E56" i="1"/>
  <c r="E55" i="1"/>
  <c r="AB54" i="1"/>
  <c r="AA54" i="1"/>
  <c r="S54" i="1"/>
  <c r="I54" i="1"/>
  <c r="G54" i="1"/>
  <c r="E54" i="1"/>
  <c r="I53" i="1"/>
  <c r="G53" i="1"/>
  <c r="E53" i="1"/>
  <c r="AB52" i="1"/>
  <c r="S52" i="1"/>
  <c r="AA52" i="1" s="1"/>
  <c r="I52" i="1"/>
  <c r="G52" i="1"/>
  <c r="E52" i="1"/>
  <c r="A52" i="1"/>
  <c r="A54" i="1" s="1"/>
  <c r="A56" i="1" s="1"/>
  <c r="AB51" i="1"/>
  <c r="AA51" i="1"/>
  <c r="S51" i="1"/>
  <c r="I51" i="1"/>
  <c r="G51" i="1"/>
  <c r="E51" i="1"/>
  <c r="S50" i="1"/>
  <c r="AA50" i="1" s="1"/>
  <c r="AB50" i="1" s="1"/>
  <c r="I50" i="1"/>
  <c r="G50" i="1"/>
  <c r="E50" i="1"/>
  <c r="AA49" i="1"/>
  <c r="AB49" i="1" s="1"/>
  <c r="S49" i="1"/>
  <c r="I49" i="1"/>
  <c r="G49" i="1"/>
  <c r="E49" i="1"/>
  <c r="AB48" i="1"/>
  <c r="AA48" i="1"/>
  <c r="S48" i="1"/>
  <c r="I48" i="1"/>
  <c r="G48" i="1"/>
  <c r="E48" i="1"/>
  <c r="AA47" i="1"/>
  <c r="AB47" i="1" s="1"/>
  <c r="S47" i="1"/>
  <c r="I47" i="1"/>
  <c r="G47" i="1"/>
  <c r="E47" i="1"/>
  <c r="AB46" i="1"/>
  <c r="AA46" i="1"/>
  <c r="S46" i="1"/>
  <c r="AA45" i="1"/>
  <c r="AB45" i="1" s="1"/>
  <c r="S45" i="1"/>
  <c r="I45" i="1"/>
  <c r="G45" i="1"/>
  <c r="E45" i="1"/>
  <c r="A45" i="1"/>
  <c r="A47" i="1" s="1"/>
  <c r="AB44" i="1"/>
  <c r="AA44" i="1"/>
  <c r="I44" i="1"/>
  <c r="G44" i="1"/>
  <c r="E44" i="1"/>
  <c r="A44" i="1"/>
  <c r="AB43" i="1"/>
  <c r="AA43" i="1"/>
  <c r="S43" i="1"/>
  <c r="AB42" i="1"/>
  <c r="AA42" i="1"/>
  <c r="AB41" i="1"/>
  <c r="AA41" i="1"/>
  <c r="S41" i="1"/>
  <c r="S40" i="1"/>
  <c r="AA40" i="1" s="1"/>
  <c r="AB40" i="1" s="1"/>
  <c r="I40" i="1"/>
  <c r="G40" i="1"/>
  <c r="E40" i="1"/>
  <c r="I39" i="1"/>
  <c r="G39" i="1"/>
  <c r="E39" i="1"/>
  <c r="I38" i="1"/>
  <c r="G38" i="1"/>
  <c r="AA37" i="1"/>
  <c r="AB37" i="1" s="1"/>
  <c r="S37" i="1"/>
  <c r="I37" i="1"/>
  <c r="G37" i="1"/>
  <c r="E37" i="1"/>
  <c r="A37" i="1"/>
  <c r="S36" i="1"/>
  <c r="AA36" i="1" s="1"/>
  <c r="AB36" i="1" s="1"/>
  <c r="I36" i="1"/>
  <c r="G36" i="1"/>
  <c r="E36" i="1"/>
  <c r="AB35" i="1"/>
  <c r="AA35" i="1"/>
  <c r="S35" i="1"/>
  <c r="AB34" i="1"/>
  <c r="AA34" i="1"/>
  <c r="S34" i="1"/>
  <c r="I34" i="1"/>
  <c r="G34" i="1"/>
  <c r="E34" i="1"/>
  <c r="AB33" i="1"/>
  <c r="AA33" i="1"/>
  <c r="S33" i="1"/>
  <c r="I33" i="1"/>
  <c r="G33" i="1"/>
  <c r="E33" i="1"/>
  <c r="AB32" i="1"/>
  <c r="AA32" i="1"/>
  <c r="S32" i="1"/>
  <c r="I32" i="1"/>
  <c r="G32" i="1"/>
  <c r="E32" i="1"/>
  <c r="AB31" i="1"/>
  <c r="S31" i="1"/>
  <c r="AA31" i="1" s="1"/>
  <c r="I31" i="1"/>
  <c r="G31" i="1"/>
  <c r="E31" i="1"/>
  <c r="AB30" i="1"/>
  <c r="AA30" i="1"/>
  <c r="S30" i="1"/>
  <c r="I30" i="1"/>
  <c r="G30" i="1"/>
  <c r="E30" i="1"/>
  <c r="AB29" i="1"/>
  <c r="S29" i="1"/>
  <c r="AA29" i="1" s="1"/>
  <c r="I29" i="1"/>
  <c r="G29" i="1"/>
  <c r="E29" i="1"/>
  <c r="AB28" i="1"/>
  <c r="S28" i="1"/>
  <c r="AA28" i="1" s="1"/>
  <c r="I28" i="1"/>
  <c r="G28" i="1"/>
  <c r="E28" i="1"/>
  <c r="AB27" i="1"/>
  <c r="AA27" i="1"/>
  <c r="S27" i="1"/>
  <c r="I27" i="1"/>
  <c r="G27" i="1"/>
  <c r="E27" i="1"/>
  <c r="AB26" i="1"/>
  <c r="AA26" i="1"/>
  <c r="S26" i="1"/>
  <c r="AA25" i="1"/>
  <c r="AB25" i="1" s="1"/>
  <c r="S25" i="1"/>
  <c r="I25" i="1"/>
  <c r="G25" i="1"/>
  <c r="E25" i="1"/>
  <c r="A25" i="1"/>
  <c r="AA24" i="1"/>
  <c r="AB24" i="1" s="1"/>
  <c r="S24" i="1"/>
  <c r="I24" i="1"/>
  <c r="G24" i="1"/>
  <c r="E24" i="1"/>
  <c r="AA23" i="1"/>
  <c r="AB23" i="1" s="1"/>
  <c r="S23" i="1"/>
  <c r="I23" i="1"/>
  <c r="G23" i="1"/>
  <c r="E23" i="1"/>
  <c r="AA22" i="1"/>
  <c r="AB22" i="1" s="1"/>
  <c r="S22" i="1"/>
  <c r="I22" i="1"/>
  <c r="G22" i="1"/>
  <c r="E22" i="1"/>
  <c r="AB21" i="1"/>
  <c r="AA21" i="1"/>
  <c r="AB20" i="1"/>
  <c r="AA20" i="1"/>
  <c r="I20" i="1"/>
  <c r="G20" i="1"/>
  <c r="E20" i="1"/>
  <c r="AB19" i="1"/>
  <c r="AA19" i="1"/>
  <c r="I19" i="1"/>
  <c r="G19" i="1"/>
  <c r="E19" i="1"/>
  <c r="AB18" i="1"/>
  <c r="AA18" i="1"/>
  <c r="I18" i="1"/>
  <c r="G18" i="1"/>
  <c r="E18" i="1"/>
  <c r="AB17" i="1"/>
  <c r="AA17" i="1"/>
  <c r="I17" i="1"/>
  <c r="G17" i="1"/>
  <c r="E17" i="1"/>
  <c r="AB16" i="1"/>
  <c r="AA16" i="1"/>
  <c r="I16" i="1"/>
  <c r="G16" i="1"/>
  <c r="E16" i="1"/>
  <c r="I15" i="1"/>
  <c r="G15" i="1"/>
  <c r="E15" i="1"/>
  <c r="AB14" i="1"/>
  <c r="AA14" i="1"/>
  <c r="I14" i="1"/>
  <c r="G14" i="1"/>
  <c r="E14" i="1"/>
  <c r="AB13" i="1"/>
  <c r="AA13" i="1"/>
  <c r="I13" i="1"/>
  <c r="G13" i="1"/>
  <c r="E13" i="1"/>
  <c r="AB12" i="1"/>
  <c r="AA12" i="1"/>
  <c r="I12" i="1"/>
  <c r="G12" i="1"/>
  <c r="E12" i="1"/>
  <c r="AB11" i="1"/>
  <c r="AA11" i="1"/>
  <c r="I11" i="1"/>
  <c r="G11" i="1"/>
  <c r="E11" i="1"/>
  <c r="AB10" i="1"/>
  <c r="AA10" i="1"/>
  <c r="I10" i="1"/>
  <c r="G10" i="1"/>
  <c r="E10" i="1"/>
  <c r="AB9" i="1"/>
  <c r="AA9" i="1"/>
  <c r="I9" i="1"/>
  <c r="G9" i="1"/>
  <c r="E9" i="1"/>
  <c r="AB8" i="1"/>
  <c r="AA8" i="1"/>
  <c r="I8" i="1"/>
  <c r="G8" i="1"/>
  <c r="E8" i="1"/>
  <c r="AB7" i="1"/>
  <c r="AA7" i="1"/>
  <c r="I7" i="1"/>
  <c r="G7" i="1"/>
  <c r="E7" i="1"/>
  <c r="AA6" i="1"/>
  <c r="AB6" i="1" s="1"/>
  <c r="I6" i="1"/>
  <c r="G6" i="1"/>
  <c r="E6" i="1"/>
  <c r="AB5" i="1"/>
  <c r="AA5" i="1"/>
  <c r="I5" i="1"/>
  <c r="G5" i="1"/>
  <c r="E5" i="1"/>
  <c r="AB4" i="1"/>
  <c r="AA4" i="1"/>
  <c r="AB210" i="1" l="1"/>
  <c r="AA210" i="1"/>
  <c r="AA211" i="1"/>
  <c r="D17" i="3"/>
  <c r="D33" i="3"/>
  <c r="D49" i="3"/>
  <c r="D65" i="3"/>
  <c r="D81" i="3"/>
  <c r="AA212" i="1"/>
  <c r="D18" i="3"/>
  <c r="D34" i="3"/>
  <c r="D50" i="3"/>
  <c r="D66" i="3"/>
  <c r="D82" i="3"/>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D10" i="3"/>
  <c r="D26" i="3"/>
  <c r="D42" i="3"/>
  <c r="D58" i="3"/>
  <c r="D74" i="3"/>
  <c r="D90" i="3"/>
  <c r="D11" i="3"/>
  <c r="D27" i="3"/>
  <c r="D43" i="3"/>
  <c r="D59" i="3"/>
  <c r="D75" i="3"/>
  <c r="D91" i="3"/>
  <c r="D12" i="3"/>
  <c r="D28" i="3"/>
  <c r="D44" i="3"/>
  <c r="D60" i="3"/>
  <c r="D76" i="3"/>
  <c r="D92" i="3"/>
  <c r="D13" i="3"/>
  <c r="D29" i="3"/>
  <c r="D45" i="3"/>
  <c r="D61" i="3"/>
  <c r="D77" i="3"/>
  <c r="D93" i="3"/>
  <c r="D14" i="3"/>
  <c r="D30" i="3"/>
  <c r="D46" i="3"/>
  <c r="D62" i="3"/>
  <c r="D78" i="3"/>
  <c r="D15" i="3"/>
  <c r="D31" i="3"/>
  <c r="D47" i="3"/>
  <c r="D63" i="3"/>
  <c r="D79" i="3"/>
  <c r="D16" i="3"/>
  <c r="D32" i="3"/>
  <c r="D48" i="3"/>
  <c r="D64" i="3"/>
</calcChain>
</file>

<file path=xl/sharedStrings.xml><?xml version="1.0" encoding="utf-8"?>
<sst xmlns="http://schemas.openxmlformats.org/spreadsheetml/2006/main" count="3546" uniqueCount="1770">
  <si>
    <t>GeoPoll Submission Form</t>
  </si>
  <si>
    <t>FAO - Household Questionnaire</t>
  </si>
  <si>
    <t>Additional notes</t>
  </si>
  <si>
    <t>Q #</t>
  </si>
  <si>
    <t>Q Name</t>
  </si>
  <si>
    <t>Suggested Qname</t>
  </si>
  <si>
    <t>English</t>
  </si>
  <si>
    <t>Length</t>
  </si>
  <si>
    <t>French</t>
  </si>
  <si>
    <t>Creole</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</si>
  <si>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</si>
  <si>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</si>
  <si>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</si>
  <si>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</si>
  <si>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</si>
  <si>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</si>
  <si>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</si>
  <si>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</si>
  <si>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</si>
  <si>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</si>
  <si>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</si>
  <si>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</si>
  <si>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</si>
  <si>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</si>
  <si>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</si>
  <si>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</si>
  <si>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</si>
  <si>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</si>
  <si>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</si>
  <si>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</si>
  <si>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</si>
  <si>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</si>
  <si>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 xml:space="preserve">Saisir le numéro de téléphone que vous chercher à contacter: </t>
  </si>
  <si>
    <t>Antre ID fwaye a, si aplikab:</t>
  </si>
  <si>
    <t>Any Response = calldispo</t>
  </si>
  <si>
    <t>yes</t>
  </si>
  <si>
    <t>calldispo</t>
  </si>
  <si>
    <t>Phone number: #CATI_MOBILENUMBER#
1)Someone answers
2)Answering machine
3)No answer
4)Hang up or refusal
5)Call back
6)Under review
7)Disconnected</t>
  </si>
  <si>
    <t>Numéro de téléphone: #CATI_MOBILENUMBER#
1)Quelqu’un répond
2)Répondeur
3)Pas de réponse
4)Raccroche/Refuse
5)Doit être rappelé
6)À l’étude
7)Déconnecté</t>
  </si>
  <si>
    <t>Nimewo Telefòn: #CATI_MOBILENUMBER#
1)Yon moun reponn
2)Repondè otomatik
3)Okenn repons
4)Rakwoche oswa refize
5)Tounen rele
6)Nan revizyon
7)Dekonekte</t>
  </si>
  <si>
    <t>Single Choice</t>
  </si>
  <si>
    <t>Form Type - Buttons</t>
  </si>
  <si>
    <t>1 = resp_language
2 = AnsweringMachine
3 = NoAnswer
4 = Refusal
5 = WhenCallBack
6 = UnderReview
7 = Disconnected</t>
  </si>
  <si>
    <t>AnsweringMachine</t>
  </si>
  <si>
    <t>calldispo_answeringmachine</t>
  </si>
  <si>
    <t>Reached an answering machine.</t>
  </si>
  <si>
    <t>L'appel a abouti sur un répondeur/une messagerie.</t>
  </si>
  <si>
    <t>Ou tonbe sou yon repondè otomatik.</t>
  </si>
  <si>
    <t>End Poll AnsweringMachine</t>
  </si>
  <si>
    <t>NoAnswer</t>
  </si>
  <si>
    <t>calldispo_noanswer</t>
  </si>
  <si>
    <t>Phone rang and no one answered.</t>
  </si>
  <si>
    <t>Le téléphone a sonné et personne n'a répondu.</t>
  </si>
  <si>
    <t>Telefòn nan sonnen epi pèsòn pa reponn.</t>
  </si>
  <si>
    <t>End Poll NoAnswer</t>
  </si>
  <si>
    <t>UnderReview</t>
  </si>
  <si>
    <t>calldispo_underreview</t>
  </si>
  <si>
    <t>Case needs review by a supervisor.</t>
  </si>
  <si>
    <t>Le cas doit être examiné par un superviseur.</t>
  </si>
  <si>
    <t>Dosye a bezwen revizyon yon sipèvizè.</t>
  </si>
  <si>
    <t>End Poll UnderReview</t>
  </si>
  <si>
    <t>Disconnected</t>
  </si>
  <si>
    <t>calldispo_disconnected</t>
  </si>
  <si>
    <t>Phone was disconnected or out of service.</t>
  </si>
  <si>
    <t>Le téléphone est déconnecté ou hors service.</t>
  </si>
  <si>
    <t>Telefòn nan dekonekte oswa li pa an sèvis.</t>
  </si>
  <si>
    <t>End Poll Disconnected</t>
  </si>
  <si>
    <t>resp_language</t>
  </si>
  <si>
    <t>Which language do you wish to proceed with?
[OPERATOR: READ ANSWER CHOICES. SINGLE RESPONSE.]
1)English
2)Creole</t>
  </si>
  <si>
    <t>Quelle langue souhaitez-vous utiliser?
[OPÉRATEUR/OPÉRATRICE: LIRE LES CHOIX, RÉPONSE UNIQUE]
1)Français
2)Creole</t>
  </si>
  <si>
    <t>Nan ki lang ou swete kontinye?
[OPERATÈ: LI CHWA REPONS YO. YON SÈL REPONS.]
1)Anglè
2)Kreyòl Ayisyen</t>
  </si>
  <si>
    <t>1 = introduction [English]
2 = introduction [languages &amp; add more if needed]</t>
  </si>
  <si>
    <t>For any response, go to introduction</t>
  </si>
  <si>
    <t>French, Creole</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</si>
  <si>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</si>
  <si>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</si>
  <si>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25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</si>
  <si>
    <t>Bonjou mesye/madam, non mwen se #OPERATOR#, epi m ap rele apati Ajans Sondaj GeoPoll la nan non Òganizasyon Nasyonzini pou Alimantasyon ak Agrikilti a (FAO). N ap fè yon sondaj sou  aktivite jeneratris d revni ak kapasite fwaye yo pou jwenn manje nan zòn ou an. Mwen ta renmen poze w kèk kesyon sou fwaye w.
Sondaj la jeneralman pran 25 minit pou ranpli l. Tout enfòmasyon ou bay yo pral rete sanpousan konfidansyèl, yo sèlman itilize yo pou objektif sondaj la epi yo p ap montre lòt moun enfòmasyon sa yo. Yo p ap kolekte okenn enfòmasyon ki idantifye w. Patisipasyon volontè ou nan rezilta entèvyou sa a NAN OKENN FASON P AP lye ak chans pèsonèl ou genyen pou resevwa nenpòt asistans. Li volontè epi ou ka chwazi pou pa reponn kèk oswa tout kesyon yo si ou vle. Sepandan, nou espere ou pral patisipe paske opinyon ou yo enpòtan.
Ou pral resevwa #TOPUP#! kredi pou kominikasyon kòm yon ankourajman pou patisipasyon w nan sondaj la.
Tanpri sonje yo ka anrejistre apèl sa a pou rezon kalite.
Èske ou genyen nenpòt kesyon?
[OPERATÈ: REPONN KESYON PATISIPAN AN, SI GENYEN.]
1)KONTINYE</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</si>
  <si>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</si>
  <si>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</si>
  <si>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</si>
  <si>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</si>
  <si>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</si>
  <si>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</si>
  <si>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 xml:space="preserve">Souhaitez-vous participer à cette enquête?
[OPÉRATEUR/OPÉRATRICE: RÉPONSE UNIQUE]
1)Oui
2)Pas maintenant, mais à un autre moment de la semaine 
3)Non </t>
  </si>
  <si>
    <t>Èske ou enterese pou patisipe nan sondaj sa a?
[OPERATÈ: YON SÈL REPONS]
1)Wi
2)Pa kounyeya men yon lòt lè nan semèn nan
3)Non</t>
  </si>
  <si>
    <t>StartRecording</t>
  </si>
  <si>
    <t>1 = [id_panel OR resp_firstname]
2 = WhenCallBack
3 = resp_refusalwhy</t>
  </si>
  <si>
    <t>if Agree = 1, go to id_panel 
if Agree = 2, go to WhenCallBack
if Agree = 3, go to resp_refusalwhy</t>
  </si>
  <si>
    <t xml:space="preserve">It is highly recommended to include the question id_panel if a panelist approach is used. </t>
  </si>
  <si>
    <t>id_panel</t>
  </si>
  <si>
    <t>Have you or any member of your household received a call on behalf of FAO regarding this topic in the past two years?
[OPERATOR: SINGLE RESPONSE.]
1)YES
2)NO
3)DON'T KNOW</t>
  </si>
  <si>
    <t>Est-ce que vous ou un membre de votre ménage avez reçu un appel pour le compte de la FAO sur ce sujet au cours des deux dernières années?
1)Oui
2)Non
3)NE SAIT PAS</t>
  </si>
  <si>
    <t>Eske ou menm oswa yon lòt moun lakay ou te resevwa yon apèl nan non FAO sou sijè sa a nan 2 lane ki sot pase yo?
[OPERATÈ: YON SÈL REPONS]
1)WI
2)NON
3)PA KONNEN</t>
  </si>
  <si>
    <t>1-3 = resp_firstname</t>
  </si>
  <si>
    <t>For any response, go to resp_firstname</t>
  </si>
  <si>
    <t>resp_refusalwhy</t>
  </si>
  <si>
    <t>Please let us know why you have REFUSED to take the survey.
[OPERATOR: SINGLE RESPONSE]
1)Not interested
2)Do not want to be recorded
3)Other [specify]</t>
  </si>
  <si>
    <t xml:space="preserve">Pourriez-vous m'indiquer pourquoi vous refusez de répondre à l'enquête.
[OPÉRATEUR/OPÉRATRICE: RÉPONSE UNIQUE]
1)Pas intéressé
2)Ne veut pas être enregistré
3)Autre [préciser] </t>
  </si>
  <si>
    <t>Tanpri fè nou konnen poukisa ou TE REFIZE fè sondaj la.
[OPERATÈ: YON SÈL REPONS]
1)Mwen pa enterese
2)Mwen pa vle yo anrejistre m
3)Lòt [presize]</t>
  </si>
  <si>
    <t>Open Ended - Single Choice</t>
  </si>
  <si>
    <t>Form Type - RadioList</t>
  </si>
  <si>
    <t>Any Response = Refusal</t>
  </si>
  <si>
    <t>For any response, go to Refusal</t>
  </si>
  <si>
    <t>WhenCallBack</t>
  </si>
  <si>
    <t>resp_whencallback</t>
  </si>
  <si>
    <t>When would it be a good time to call you back?
[RECORD HH/MM/DD/MM OF CALLBACK]</t>
  </si>
  <si>
    <t>À quel moment pourrais-je vous rappeler?
[ENREGISTRER HH/MM/JJ/MM DU RAPPEL]</t>
  </si>
  <si>
    <t>Kilè ki t ap yon bon moman pou tounen rele w?
[ANREJISTREMAN HH/MM/DD/MM RAPÈL]</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</si>
  <si>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</si>
  <si>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</si>
  <si>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</si>
  <si>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</si>
  <si>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</si>
  <si>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</si>
  <si>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Merci, nous vous rappellerons à {WhenCallBack}. Merci encore et bonne journée!
[OPÉRATEUR/OPÉRATRICE: SAISIR LES DONNÉES D'APPEL CI-DESSOUS, LE NOM DE LA PERSONNE À LAQUELLE VOUS AVEZ PARLÉ ET CE QU'ELLE A DIT]</t>
  </si>
  <si>
    <t>Mèsi, n ap tounen rele w nan {WhenCallBack} ou te mande a. Mèsi ankò epi pase yon bèl jounen!
[OPERATÈ: ANTRE NÒT APÈL LA ANBA A, AVÈK KILÈS OU TE PALE AK SA YO TE DI]</t>
  </si>
  <si>
    <t>Any Response = End poll callback</t>
  </si>
  <si>
    <t>Ineligible</t>
  </si>
  <si>
    <t>You are ineligible for this survey. Thank you for your time and please look out for future surveys!</t>
  </si>
  <si>
    <t>Vous êtes inéligible pour participer à cette enquête. Merci pour votre temps et renseignez-vous sur les prochains sondages!</t>
  </si>
  <si>
    <t>Ou pa elijib pou sondaj sa a. Mèsi pou tan w epi rete tann.</t>
  </si>
  <si>
    <t>End Poll Ineligible</t>
  </si>
  <si>
    <t>Refusal</t>
  </si>
  <si>
    <t>NA </t>
  </si>
  <si>
    <t>Thank you for your time, you will be removed from today's survey.</t>
  </si>
  <si>
    <t>Merci pour votre temps. Vous allez être retiré de l'enquête d'aujourd'hui.</t>
  </si>
  <si>
    <t>Mèsi pou tan w, yo pral retire w nan sondaj jodi a.</t>
  </si>
  <si>
    <t>End poll declined</t>
  </si>
  <si>
    <t>B. GENERAL INFORMATION &amp; ELIGIBILITY CRITERIA</t>
  </si>
  <si>
    <t>resp_firstname</t>
  </si>
  <si>
    <t>What is your first name?
[OPERATOR: RECORD THE RESPONDENT'S FIRST NAME. ENTER 999 FOR REFUSED.]</t>
  </si>
  <si>
    <t>Quel est votre prénom?
[OPÉRATEUR/OPÉRATRICE: SAISIR LE PRÉNOM DE LA PERSONNE INTÉRROGÉE. SAISIR  999 POUR REFUSÉ.]</t>
  </si>
  <si>
    <t>Ki prenon w?
[OPERATÈ: ANREJISTRE PRENON PATISIPAN AN. ANTRE 999 POU REFIZE.]</t>
  </si>
  <si>
    <t>Any Response = resp_lastname</t>
  </si>
  <si>
    <t>For any response, go to resp_lastname</t>
  </si>
  <si>
    <t>resp_lastname</t>
  </si>
  <si>
    <t>What is your last name? 
[OPERATOR: RECORD THE RESPONDENT'S LAST NAME. ENTER 999 FOR REFUSED.]</t>
  </si>
  <si>
    <t>Quel est votre nom de famille?
[OPÉRATEUR/OPÉRATRICE: SAISIR LE NOM DE FAMILLE DE LA PERSONNE INTÉRROGÉE. SAISIR  999 POUR REFUSÉ.]</t>
  </si>
  <si>
    <t>Ki non fanmi w? 
[OPERATÈ: ANREJISTRE NON FANMI PATISIPAN AN. ANTRE 999 POU REFIZE.]</t>
  </si>
  <si>
    <t>Any Response = resp_age</t>
  </si>
  <si>
    <t>For any response, go to resp_age</t>
  </si>
  <si>
    <t>resp_age</t>
  </si>
  <si>
    <t>How old are you? 
[OPERATOR: RECORD AGE IN NUMBER OF YEARS. ROUND UP TO NEAREST WHOLE NUMBER. IF THE RESPONDENT GIVES BIRTH YEAR, REPEAT THE QUESTION. ENTER 00 FOR DON'T KNOW.]</t>
  </si>
  <si>
    <t>Quel âge avez-vous [en années]?
[OPÉRATEUR/OPÉRATRICE: SAISIR L'ÂGE EN ANNÉES. ARRONDIR AU NOMBRE ENTIER LE PLUS PROCHE. SI LE RÉPONDANT DONNE SON ANNÉE DE NAISSANCE, RÉPÉTER LA QUESTION. SAISIR 00 POUR "NE SAIT PAS".]</t>
  </si>
  <si>
    <t>Ki laj ou? 
[OPERATÈ: ANREJISTRE LAJ LI AK CHIF ANE YO. AWONDI L JISKA NONM ANTYE KI PIPRE A. SI PATISIPAN AN BAY ANE NESANS LI, REPETE KESYON AN, ANTRE 00 POU PA KONNEN.]</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</si>
  <si>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</si>
  <si>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</si>
  <si>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</si>
  <si>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</si>
  <si>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</si>
  <si>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Quel est le sexe du répondant?  
[OPÉRATEUR/OPÉRATRICE: NE PAS POSER CETTE QUESTION À VOIX HAUTE. ÉCOUTER LA VOIX ET DÉTERMINER LE SEXE.]
1)Homme
2)Femme
3)NE SAIT PAS
4)REFUSÉ</t>
  </si>
  <si>
    <t>Ki sèks patisipan an?
[OPERATÈ: PA POZE KESYON SA A. KOUTE EPI TCHEKE KAZYE KI APWOPRIYE A.]
1)Gason
2)Fi
3)PA KONNEN
4)REFIZE</t>
  </si>
  <si>
    <t>1-4 = phone_number_conf</t>
  </si>
  <si>
    <t>For any response, go to phone_number_conf</t>
  </si>
  <si>
    <t>phone_number_conf</t>
  </si>
  <si>
    <t>Is the phone number I am calling you on yours or a household members?
[OPERATOR: SINGLE RESPONSE.]
1)YES
2)NO
3)DON'T KNOW
4)REFUSED</t>
  </si>
  <si>
    <t>Le numéro de téléphone sur lequel je vous appelle est-il le vôtre ou celui d'un membre de votre famille?
[OPÉRATEUR/OPÉRATRICE: RÉPONSE UNIQUE.]
1)Oui
2)Non
3)NE SAIT PAS
4)REFUSÉ</t>
  </si>
  <si>
    <t>Èske nimewo telefòn m ap rele w sou li a se pou ou oswa se pou yon manm nan fwaye ou an?
[OPERATÈ: YON SÈL REPONS.]
1)WI
2)NON
3)PA KONNEN
4)REFIZE</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</si>
  <si>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</si>
  <si>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</si>
  <si>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</si>
  <si>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</si>
  <si>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</si>
  <si>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</si>
  <si>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Quel est votre numéro de téléphone?
[OPÉRATEUR/OPÉRATRICE: SAISIR LE NUMERO.]</t>
  </si>
  <si>
    <t>Ki nimewo telefòn ou?
[OPERATÈ: ANREJISTRE NIMEWO LI BAY LA]</t>
  </si>
  <si>
    <t>Any Response = contact_2</t>
  </si>
  <si>
    <t>For any response, go to contact_2</t>
  </si>
  <si>
    <t>contact_2</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</si>
  <si>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</si>
  <si>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</si>
  <si>
    <t>Èske ou ka ban m yon lòt nimewo telefòn ki pou ou, ki pou yon pwòch ou oswa pou yon zanmi ke mwen ka kontakte w sou li?
[OPERATÈ: YON SÈL REPONS.]
1)WI - pou mwen 
2) WI - yon lòt manm nan kay la 
3) WI - yon zanmi oswa yon fanmi [ki pa moun nan kay la]
4)NON
5)PA KONNEN
6)REFIZE</t>
  </si>
  <si>
    <t>1-3 = phone_number_2
4-6 = hh_admin1</t>
  </si>
  <si>
    <t>if contact_2 = 1-3, go to phone_number_2
if contact_2 = 4-6, go to contact_3</t>
  </si>
  <si>
    <t>phone_number_2</t>
  </si>
  <si>
    <t>What is the additional phone number?
[OPERATOR: RECORD THE NUMBER GIVEN]</t>
  </si>
  <si>
    <t>Quel est cet autre numéro de téléphone?
[OPÉRATEUR/OPÉRATRICE: SAISIR LE NUMERO.]</t>
  </si>
  <si>
    <t>Ki lòt nimewo telefòn nan?
[OPERATÈ: ANREJISTRE NIMEWO TELEFÒN LI BAY LA]</t>
  </si>
  <si>
    <t>Any Response = contact_2_name</t>
  </si>
  <si>
    <t>For any response, go to contact_2_name</t>
  </si>
  <si>
    <t>contact_2_name</t>
  </si>
  <si>
    <t>What is the name of the contact?
[OPERATOR: RECORD THE NAME OF THE CONTACT FOR THE PHONE NUMBER.]</t>
  </si>
  <si>
    <t>Quel est le nom du contact associé à ce numéro de téléphone?
[OPÉRATEUR/OPÉRATRICE: SAISIR LENOM DU CONTACT POUR CE NUMERO DE TÉLÉPHONE.]</t>
  </si>
  <si>
    <t>Ki non kontak la?
[OPERATÈ: ANREJISTRE NON KONTAK LA]</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</si>
  <si>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</si>
  <si>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</si>
  <si>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</si>
  <si>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</si>
  <si>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Èske ou ka ban m yon lòt nimewo telefòn ki pou ou, ki pou yon pwòch ou oswa pou yon zanmi ke mwen ka kontakte w sou li?
[OPERATÈ: YON SÈL REPONS.]
1)WI - pou mwen
2) WI - yon lòt manm nan kay la 
3) WI - yon zanmi oswa yon fanmi [ki pa moun nan kay la]
4)NON
5)PA KONNEN
6)REFIZE</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</si>
  <si>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</si>
  <si>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</si>
  <si>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</si>
  <si>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</si>
  <si>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</si>
  <si>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</si>
  <si>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</si>
  <si>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</si>
  <si>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</si>
  <si>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</si>
  <si>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</si>
  <si>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Département does your household reside?
[OPERATOR: SINGLE SELECTION.]
[HINT: HOUSEHOLD CONSISTS OF ALL MEMBERS LIVING TOGETHER, SHARING RESOURCES &amp; EATING FROM THE SAME POT.]
1)ARTIBONITE
2)CENTRE
3)GRANDE'ANSE
4)NIPPES
5)NORTH
6)NORTH-EAST
7)NORTH-WEST
8)SOUTH
9)SOUTH-EAST
10)WEST
11)DON'T KNOW
12)REFUSED </t>
  </si>
  <si>
    <t>Actuellement, dans quel Département votre ménage vit-il?
[OPÉRATEUR/OPÉRATRICE: RÉPONSE UNIQUE.]
[NOTE: LE MÉNAGE EST COMPOSÉ DE TOUTES LES PERSONNES VIVANT ENSEMBLE, METTANT EN COMMUN LEURS RESSOURCES ET PARTAGEANT LEURS REPAS.]
1)ADMIN1
2)NE SAIT PAS
3)REFUSÉ</t>
  </si>
  <si>
    <t>Nan ki DEPATMAN kay oswa menaj (fwaye) ou rete a ye?
[OPERATÈ: YON SÈL REPONS.]
[ENDIS: YON MENAJ SE KOTE TOUT MANM YON FANMI AP VI ANSANM, PATAJE RESOUS YO EPI MANJE MENM REPA YO]
1)ARTIBONITE
2)CENTRE
3)GRANDE'ANSE
4)NIPPES
5)NO
6)NODES
7)NODWES
8)SID
9)SIDES
10)LWES
11)PA KONNEN
12)PA VLE REPONN</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</si>
  <si>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</si>
  <si>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</si>
  <si>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</si>
  <si>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</si>
  <si>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Currently, in which Commune does your household reside?
[OPERATOR: SINGLE RESPONSE.]
1)ANSE ROUGE
2)DESDUNES
3)DESSALINES
4)ENNERY
5)GONAIVES
6)GRANDE SALINE
7)GROS MORNE
8)LA CHAPELLE
9)L'ESTERE
10)MARMELADE
11)PETITE RIVIERE DE L'ARTIBONITE
12)SAINT-MARC
13)SAINT-MICHEL DE L'ATTALAYE
14)TERRE NEUVE
15)VERRETTES
16)DON'T KNOW
17)REFUSED</t>
  </si>
  <si>
    <t>Actuellement, dans quel Commune votre ménage vit-il?
[OPÉRATEUR/OPÉRATRICE: RÉPONSE UNIQUE.]
1)ADMIN2
2)NE SAIT PAS
3)REFUSÉ</t>
  </si>
  <si>
    <t>Nan ki KOMINN kay oswa menaj ou rete a ye?
[OPERATÈ: YON SÈL REPONS.]
1)ANSE ROUGE
2)DESDUNES
3)DESSALINES
4)ENNERY
5)GONAIVES
6)GRANDE SALINE
7)GROS MORNE
8)LA CHAPELLE
9)L'ESTERE
10)MARMELADE
11)PETITE RIVIERE DE L'ARTIBONITE
12)SAINT-MARC
13)SAINT-MICHEL DE L'ATTALAYE
14)TERRE NEUVE
15)VERRETTES
16) PA KONNEN
17) PA VLE REPONN</t>
  </si>
  <si>
    <t>Form Type - Buttons
IsDemographic - ADM2</t>
  </si>
  <si>
    <t>1 =  hh_agricactivity
2-3 = Ineligible</t>
  </si>
  <si>
    <t>o_hh_ruralurban</t>
  </si>
  <si>
    <t>Currently, in which section does your household reside?
[OPERATOR: SINGLE RESPONSE.] 
1)Urban
2)Rural
3)DON'T KNOW
4)REFUSED</t>
  </si>
  <si>
    <t>Actuellement, dans quelle section votre ménage réside-t-il ?
[OPÉRATEUR : RÉPONSE UNIQUE]. 
1)Urbaine
2)Rurale
3)NE SAIT PAS
4)REFUS</t>
  </si>
  <si>
    <t>Kounye a, nan ki lokalite kay ou ye?
[OPERATÈ: YON SÈL REPONS.] 
1)Nan Vil
2)Andeyò
3)PA KONNEN
4)REFIZE</t>
  </si>
  <si>
    <t>1-2 = quotareached
3-4 = Ineligible</t>
  </si>
  <si>
    <t>quotareached</t>
  </si>
  <si>
    <t>[OPERATOR: DO NOT READ. ANSWER QUESTION BELOW.]
THIS RESPONDENT REPORTED THEY LIVE IN:
{ADM1}
{ADM2}
1)THE GOAL FOR THIS LOCATION HAS BEEN ACHIEVED - END SURVEY
2)THE GOAL FOR THIS LOCATION IS OPEN - CONTINUE SURVEY</t>
  </si>
  <si>
    <t>[OPÉRATEUR/OPÉRATRICE: NE PAS LIRE. RÉPONDRE À LA QUESTION CI-DESSOUS.]
CE RÉPONDANT DIT VIVRE À:
{ADM1}
{ADM2}
1)L'OBJECTIF DANS CETTE ZONE A ÉTÉ ATTEINT - FIN DU SONDAGE
2)L'OBJECTIF DANS CETTE ZONE N'EST PAS ENCORE ATTEINT - CONTINUER LE SONDAGE</t>
  </si>
  <si>
    <t>[OPERATÈ: PA FÈ LEKTI. REPONN KESYON KI ANBA A.]
PATISIPAN SA A TE DEKLARE L AP VIV NAN:
{ADM1}
{ADM2}
{ADM3}
1)TE ATENN OBJEKTIF POU KOTE SA A - SONDAJ LA FINI
2)OBJEKTIF POU KOTE SA A LOUVRI - KONTINYE SONDAJ LA</t>
  </si>
  <si>
    <t>1 = End Poll Quota Reached
2 = hh_agricactivity</t>
  </si>
  <si>
    <t>If the quota has not been reached, continue the questionnaire. If it has, end of survey.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</si>
  <si>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</si>
  <si>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</si>
  <si>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</si>
  <si>
    <t>Èske gen moun nan fanmi w k' ap fè pwodiksyon agrikòl oswa volay pou fanmi an konsome oswa pou vann pendan dènye 12 mwa sa yo, nou ka konsidere manm fanmi an ki soti pou transimans [transhumance]?
[OPERATÈ: YON SÈL REPONS. SA SE KESYON PRENSIPAL POU SELEKSYON AN. PATISIPAN AN PRAL OBLIJE REPONN. PA BLIYE CHÈCHE PLIS ENFÒMASYON SOU TRANSIMANS LAN (moman bet yo deplase pou ale chache manje byen lwen)]
[TI KONSÈY: FWAYE GENYEN TOUT MANM K AP VIV ANSANM, KI PATAJE RESOUS AK MANJE NAN MENM SOUS LA.]
1)Wi - pwodiksyon agrikòl
2)Wi - elvaj bètay
3)Wi - alafwa pwodiksyon agrikòl ak elvaj bètay
4)Non
5)PA KONNEN
6)REFIZE</t>
  </si>
  <si>
    <t>1-4 = resp_id or hh_fish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</si>
  <si>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</si>
  <si>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</si>
  <si>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</si>
  <si>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</si>
  <si>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Êtes-vous le chef de ménage?
[OPÉRATEUR/OPÉRATRICE: RÉPONSE UNIQUE.]
1)Oui
2)Non
3)NE SAIT PAS
4)REFUSÉ</t>
  </si>
  <si>
    <t>Èske ou se chef fanmi an?
[OPERATÈ: YON SÈL REPONS.]
1)WI
2)NON
3)PA KONNEN
4)REFIZE</t>
  </si>
  <si>
    <t>1 = hh_education 
2-4 = hh_gender</t>
  </si>
  <si>
    <t>if resp_id = 1, go to hh_education. 
Otherwise, go to hh_gender.</t>
  </si>
  <si>
    <t>hh_gender</t>
  </si>
  <si>
    <t>Is the head of your household male or female?
[OPERATOR: SINGLE RESPONSE.]
1)Male 
2)Female
3)DON'T KNOW
4)REFUSED</t>
  </si>
  <si>
    <t>Le chef de votre ménage est-il un homme ou une femme?
[OPÉRATEUR/OPÉRATRICE: RÉPONSE UNIQUE.]
1)Homme
2)Femme
3)NE SAIT PAS
4)REFUSÉ</t>
  </si>
  <si>
    <t>Èske chèf fanmi  an se yon gason oswa se yon fi?
[OPERATÈ: YON SÈL REPONS.]
1)Gason
2)Fi
3)PA KONNEN
4)REFIZE</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</si>
  <si>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</si>
  <si>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</si>
  <si>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</si>
  <si>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</si>
  <si>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</si>
  <si>
    <t>Ki nivo edikasyon chèf fwaye a?
[OPERATÈ: YON SÈL REPONS.]
1)Okenn oswa pa te fini lekòl primè
2)Te fini lekòl primè [6-1+G1983 zan]
3)Te fini lekòl segondè [13-18 zan]
4)Te fini edikasyon siperyè [Inivèsite / Fakilte] diplòm
5)Edikasyon relijye oswa edikasyon enfòmèl sèlman
6)PA KONNEN
7)REFIZE</t>
  </si>
  <si>
    <t>1-7 = hh_wealth</t>
  </si>
  <si>
    <t>if hh_education = 1-7, go to o_hh_training</t>
  </si>
  <si>
    <t>o_hh_training</t>
  </si>
  <si>
    <t>Have you or any member of your household participated in any training [extension training or vocational training] in the past 12 months? 
[OPERATOR: SINGLE RESPONSE.]
1)YES
2)NO
3)DON'T KNOW
4)REFUSED</t>
  </si>
  <si>
    <t>Avez-vous, vous ou un membre de votre ménage, participé à une formation [formation à la vulgarisation ou formation professionnelle] au cours des 12 derniers mois ? 
[OPÉRATEUR : UNE SEULE RÉPONSE].
1)OUI
2)NON
3)NE SAIT PAS
4)REFUS</t>
  </si>
  <si>
    <t>Èske oumenm oswa nenpòt moun lakay ou te resevwa fòmasyon ekstansyon agrikol oswa fòmasyon travay nan 12 mwa ki sot pase yo?
[OPERATÈ: YON SÈL REPONS.]
1)WI
2)NON
3)PA KONNEN
4)REFIZE</t>
  </si>
  <si>
    <t>if o_hh_training =1-4, go to hh_wealth_water</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</si>
  <si>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</si>
  <si>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</si>
  <si>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</si>
  <si>
    <t>Ki kote dlo w ap bwè a soti?
[OPERATÈ: YON SÈL REPONS]
1)Wobinè prive 
2)Wobinè piblik
3)Pwi pwoteje
4)Dlo nan boutèy
5)Lòt sous ki san danje
6)Rivyè
7)Pwi ki pa pwoteje
8)Dlo sous
9)Dlo kanal oswa dlo ki soti nan lòt sifas
10)Lòt sous ki danjre
11)PA KONNEN
12)REFIZE</t>
  </si>
  <si>
    <t xml:space="preserve">
1-12 = [income_main OR other optional question]</t>
  </si>
  <si>
    <t>For any response, go to o_hh_wealth_electricity</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</si>
  <si>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</si>
  <si>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o_hh_wealth_electricity</t>
  </si>
  <si>
    <t>Is electricity the main source of energy for cooking or lighting in the household?
[OPERATOR: SINGLE RESPONSE.]
1)Yes
2)No
3)DON'T KNOW
4)REFUSED</t>
  </si>
  <si>
    <t>L’électricité est-elle la principale source d’énergie utilisée par le ménage pour la cuisine ou l’éclairage?
[OPÉRATEUR/OPÉRATRICE: RÉPONSE UNIQUE.]
1)Oui
2)Non
3)NE SAIT PAS
4)REFUSÉ</t>
  </si>
  <si>
    <t>Èske elektrisite se sous prensipal eneji pou fe manje ou pou klere kay fanmi an?
[OPERATÈ: YON SÈL REPONS.]
1)WI
2)NON
3)PA KONNEN
4)REFIZE</t>
  </si>
  <si>
    <t xml:space="preserve">
1-8 = [income_main OR other optional question]</t>
  </si>
  <si>
    <t>For any response, go to o_hh_access</t>
  </si>
  <si>
    <t>o_hh_access</t>
  </si>
  <si>
    <t xml:space="preserve">o_hh_access_
1) o_hh_access_market
2) o_hh_access_health
3) o_hh_access_school 
4) o_hh_access_transp
</t>
  </si>
  <si>
    <t>How many minutes do you have to walk from your household to get to the nearest: 
[OPERATOR: NUMERIC RESPONSE ONLY. READ OUT EACH OPTION AND RECORD IN MINUTES]
1)Nearest market [to buy or sell food]
2)Nearest health clinic or hospital
3)Nearest school 
4)Nearest spot where you can take transportation means [car/ taxi/ bus]</t>
  </si>
  <si>
    <t>En combien de minutes devez-vous marcher depuis votre domicile pour vous rendre à l'établissement le plus proche : 
[OPÉRATEUR : RÉPONSE NUMÉRIQUE UNIQUEMENT. LISEZ CHAQUE OPTION ET NOTEZ EN MINUTES]
1) Le marché le plus proche [pour acheter ou vendre de la nourriture].
2) Le dispensaire ou l'hôpital le plus proche
3) L'école la plus proche 
4) L'endroit le plus proche où vous pouvez prendre un moyen de transport [voiture/ taxi/ bus].</t>
  </si>
  <si>
    <t>Konbyen minit ou gen pou w mache pou w soti lakay ou pou w ale nan kote sa yo ki pi pwòch ou:
[OPERATÈ: REPONS NUMERIC SÈLMAN. LI CHAK OPTION AK REGISTRE NAN MINIT]
1) Mache (pou achte oswa vann manje)
2) Klinik sante oswa lopital
3) Lekòl
4) Transpò piblik (tap-tap, taksi, moto elatriye)</t>
  </si>
  <si>
    <t>For any response, go to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</si>
  <si>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</si>
  <si>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</si>
  <si>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</si>
  <si>
    <t>Konbyen moun ki nan fanmi an ?
[Operatè/operatez: ENREJISTRE KANTITE MOUN KI NAN MENAJ LA. ENTRE 88 POU "PA KONNEN" AK 99 POU "REFIZE".] [KONSEY: POU FE PATI YON FANMI FOK TOUT MOUN AP VIV ANSANM, YO METE ANSANM RESOUS E YO MANJE ANSANM]</t>
  </si>
  <si>
    <t>1-50 = hh_asset_prod
88-88 = hh_asset_prod
99-99 = hh_asset_prod</t>
  </si>
  <si>
    <t>For any response, go to o_hh_dep</t>
  </si>
  <si>
    <t>o_hh_dep</t>
  </si>
  <si>
    <t xml:space="preserve">How many people in the household, including you, are of working age, meaning 15 to 64 years old?
</t>
  </si>
  <si>
    <t>Combien de personnes dans le ménage, y compris vous, sont en âge de travailler, c'est-à-dire âgées de 15 à 64 ans ?</t>
  </si>
  <si>
    <t>Konbyen moun nan kay la, ou ladann tou, ki genyen ant 15 a 64 lane?
[Operatè/operatez: ENTRE 88 POU "PA KONNEN" AK 99 POU "REFIZE"]</t>
  </si>
  <si>
    <t>For any response, go to o_hh_asset</t>
  </si>
  <si>
    <t>NB! Put condition that the number inserted cannot be larger than hh_size</t>
  </si>
  <si>
    <t>o_hh_asset</t>
  </si>
  <si>
    <t>hh_asset_prod_
1) hh_asset_cart
2) hh_asset_boat
2) hh_asset_radio
3) hh_asset_tv
4) hh_asset_fridge
5) hh_asset_bike
6) hh_asset_moto
7) hh_asset_car
8) hh_asset_dk
9) hh_asset_ref</t>
  </si>
  <si>
    <t>Does your household own any of the following  assets? 
[OPERATOR: MULTIPLE RESPONSES POSSIBLE. READ ANSWER OPTIONS OUT LOUD.]
1) Cart
2) Boat/canoe
3) Radio
4) Television
5) Refrigerator
6) Bicyle
7) Motorcycle
8) Car/truck
9) DON'T KNOW
10) REFUSED</t>
  </si>
  <si>
    <t xml:space="preserve">Votre ménage possède-t-il l'un des actifs suivants?
[OPÉRATEUR / OPÉRATRICE : PLUSIEURS RÉPONSES POSSIBLES. LIRE LES OPTIONS DE RÉPONSE À HAUTE VOIX.]
1)Chariot [tiré par un animal]
2)Bateau/barque
3)Radio
4)Télévision
5)Refrigerateur
6)Bicyclette 
7)Motocycle
8)Voiture/camion 
9)NE SAIT PAS
10)REFUSÉ
</t>
  </si>
  <si>
    <t>Èske fanmi an genyen bagay sa yo?
[OPERATÈ: PLIZYÈ REPONS.]
1)Charyot (kabwet)
2)Bato/Ti bato
3)Radyo
4)Televizyon
5)Frijidè
6)Bisiklèt
7)Motosiklèt
8)Machin/Kamyon
9)PA KONNEN
10)REFIZE</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</si>
  <si>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</si>
  <si>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</si>
  <si>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</si>
  <si>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</si>
  <si>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For any response, go to o_hh_asset_num</t>
  </si>
  <si>
    <t>o_hh_asset_num</t>
  </si>
  <si>
    <t>How many #o_hh_asset# do you have?
[OPERATOR: RECORD NUMBER GIVEN. ENTER 88 FOR DON'T KNOW &amp; 99 FOR REFUSED.]</t>
  </si>
  <si>
    <t>Combien de #o_hh_asset# avez-vous ?
[OPÉRATEUR : INDIQUEZ LE NOMBRE. SAISISSEZ 88 SI VOUS NE SAVEZ PAS ET 99 SI VOUS REFUSEZ DE RÉPONDRE.]</t>
  </si>
  <si>
    <t>Konbyen #o_hh_asset# ou genyen? 
[Operatè/operatez: ENTRE 88 POU "PA KONNEN" AK 99 POU "REFIZE"]</t>
  </si>
  <si>
    <t>For any response, go to o_hh_asset_agr</t>
  </si>
  <si>
    <t>Follow up question on the selected assets</t>
  </si>
  <si>
    <t>o_hh_asset_agr</t>
  </si>
  <si>
    <t>hh_asset_agr_
1) hh_asset_agr_wheel
2) hh_asset_agr_axe
3) hh_asset_agr_shov
4) hh_asset_agr_hoe
5) hh_asset_agr_rake
6) hh_asset_agr_plo
7) hh_asset_agr_proc
8) hh_asset_agr_mach
9) hh_asset_agr_none
10) hh_asset_agr_dk
11) hh_asset_agr_ref</t>
  </si>
  <si>
    <t>Do you or any member of your household own any of the following transportation assets? 
[OPERATOR: MULTIPLE RESPONSES POSSIBLE. READ ANSWER OPTIONS OUT LOUD.]
1)Wheelbarrow
2)Pick axe with handle
3)Shovel with handle
4)Hoe with handle
5)Rake with handle
6)Plough
7) Processing assets [e.g. grinding/crushing machine, mill, oil press]
8)Farm machinery [e.g. tractor, plough, sickle, etc.]
9)None of the above
10)Don't know
11)REFUSED</t>
  </si>
  <si>
    <t>Est-ce que vous ou un membre de votre foyer possédez l'un des actifs de transport suivants ?
[OPÉRATEUR : RÉPONSES MULTIPLES POSSIBLES. LIRE LES OPTIONS DE RÉPONSE À VOIX HAUTE.]
Brouette
Pioche avec manche
Pelle avec manche
Houe avec manche
Râteau avec manche
Charrue
Actifs de traitement [par exemple, une machine de broyage, un moulin, une presse à huile]
Machines agricoles [par exemple, un tracteur, une charrue, une faucille, etc.]
Aucun des éléments ci-dessus
Je ne sais pas
REFUSÉ"</t>
  </si>
  <si>
    <t>Èske fanmi an genyen bagay sa yo?
[OPERATÈ: PLIZYÈ REPONS POSIB. LI OPSYON YO BYEN Fò]
1)Brouèt
2)Pioch ak manch
3)Pèl ak manch
4)Wou ak manch
5)Rato ak manch
6)Chari
7)Pwosesis byen [egzanp ékrazan/ moulen/ laprès lwil oliv]
8)Traktè
9)Okenn
10)PA KONNEN
11)REFIZE</t>
  </si>
  <si>
    <t>Form Type - Checklist
9,10,11 = IsNone</t>
  </si>
  <si>
    <t>1-11 = hh_maritalstat</t>
  </si>
  <si>
    <t>1)hh_asset_transp_bici
2)hh_asset_transp_cart
3)hh_asset_transp_boatmotor
4)hh_asset_transp_boatnomotor
5)hh_asset_transp_motorbike
6)hh_asset_transp_car
7)hh_asset_transp_van
8)hh_asset_transp_other
9)hh_asset_transp_none
10)hh_asset_transp_dk
11)hh_asset_transp_ref</t>
  </si>
  <si>
    <t>For any response, go to income_main</t>
  </si>
  <si>
    <t xml:space="preserve">This wealth indicator may be useful to Identify poor households in middle income countries. It could be interesting for F2F surveys, to be used as baseline reference for follow-up surveys. </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</si>
  <si>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</si>
  <si>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</si>
  <si>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</si>
  <si>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</si>
  <si>
    <t>Ki sous revni prensipal fanmi w genyen pandan 3 dènye mwa sa yo?
[OPERATÈ: YON SÈL REPONS. TA DWE EVITE OPSYON REFIZE A TOUT TAN SA POSIB.]
1)Pwodiksyon ak lavant pwodwi debaz
2)Pwodiksyon ak lavant legim oswa fwi 
3)Pwodiksyon ak lavant kilti komèsyal
4)Pwodiksyon ak lavant betay ak pwodwi betay 
5)Pwodiksyon ak lavant myel [pwodwi apikol]
6)Pwodiksyon ak lavant pwason 
7)Koleksyon ak lavant pwodwi forestye ak pwodwi fèy 
8)Komès agrikilti enfòmèl/fòmèl PA KONTE pwodiktè yo
9)Salè chak jou nan fèm ak nan lòt anplwa abityèl nan sektè agrikòl la 
10)Anplwa estab nan sektè agrikilti 
11)Pwofesyon endepandan ki pa agrikòl oswa pwofesyon liberal / doktè / achitèk / avoka / ki gen ladan restoran/ chofè taksi / bòs chapant
12)Salè chak jou deyò fèm ak lòt anplwa abityèl ki pa agrikòl
13)Anplwa estab nan sektè ki pa agrikòl
14)Anplwa piblik 
15)Revni ki pa soti nan travay / Charite
16)Revni ki pa soti nan travay / Transfè èd sosyal / pansyon / èd imanitè
17)Revni ki pa soti nan travay / Transfè lajan
18)Revni ki pa soti nan travay / Revni ki soti nan lòt lwaye
19)Okenn sous revni nan 3 dènye mwa sa yo epi n ap itilize sèlman epay/dèt yo
20)REFIZE</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</si>
  <si>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</si>
  <si>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</si>
  <si>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income_main_amount
if options #19-20 selected, go to shock</t>
  </si>
  <si>
    <t>income_main_crop_check</t>
  </si>
  <si>
    <t xml:space="preserve">Are the crops sold also produced by you or anyone in your household?
[OPERATOR: SINGLE RESPONSE.]
1)YES
2)NO
3)DON'T KNOW
4)REFUSED </t>
  </si>
  <si>
    <t>Les cultures vendues sont-elles également produites par vous ou quelqu'un de votre ménage?
[OPÉRATEUR/OPÉRATRICE: RÉPONSE UNIQUE.]
1)Oui
2)Non
3)NE SAIT PAS
4)REFUSÉ</t>
  </si>
  <si>
    <t>Èske pwodwi ou vann yo se oumenm oswa yon moun nan fanmi an  ki te pwodwi yo?
[OPERATÈ: YON SÈL REPONS.]
1)WI
2)NON
3)PA KONNEN
4)REFIZE</t>
  </si>
  <si>
    <t>1-4 = income_main_comp OR optional question</t>
  </si>
  <si>
    <t>if income_main_crop_check = 1-4, go to income_main_amount</t>
  </si>
  <si>
    <t>income_main_ls_check</t>
  </si>
  <si>
    <t xml:space="preserve">Are the livestock or livestock products sold also produced by you or anyone in your household?
[OPERATOR: SINGLE RESPONSE.]
1)YES
2)NO
3)DON'T KNOW
4)REFUSED </t>
  </si>
  <si>
    <t xml:space="preserve">Le bétail ou les produits du bétail vendus sont-ils également produits par vous ou quelqu'un de votre ménage?
[OPÉRATEUR/OPÉRATRICE: RÉPONSE UNIQUE.]
1)Oui
2)Non
3)NE SAIT PAS
4)REFUSÉ
</t>
  </si>
  <si>
    <t>Èske betay ak pwodwi betay ou vann yo se oumenm ki pwodwi yo oswa yon lòt moun nan fanmi w?
[OPERATÈ: YON SÈL REPONS.]
1)WI
2)NON
3)PA KONNEN
4)REFIZE</t>
  </si>
  <si>
    <t>if income_main_ls_check = 1-4, go to income_main_amount</t>
  </si>
  <si>
    <t>income_main_fish_check</t>
  </si>
  <si>
    <t xml:space="preserve">Are the fish or aquatic products sold also captured/harvested by you or anyone in your household?
[OPERATOR: SINGLE RESPONSE.]
1)YES
2)NO
3)DON'T KNOW
4)REFUSED </t>
  </si>
  <si>
    <t>Le poisson ou les produits aquatiques vendus sont-ils également capturés/récoltés par vous ou un membre de votre ménage?
[OPÉRATEUR/OPÉRATRICE: RÉPONSE UNIQUE.]
1)Oui
2)Non
3)NE SAIT PAS
4)REFUSÉ</t>
  </si>
  <si>
    <t>Èske pwodwi pwason w vann yo se oumenm ki pwodwi yo oswa yon lòt moun nan fanmi w  ? 
[OPERATÈ: YON SÈL REPONS.]
1)WI
2)NON
3)PA KONNEN
4)REFIZE</t>
  </si>
  <si>
    <t>if income_main_fish_check = 1-4, go to income_main_amount</t>
  </si>
  <si>
    <t>income_main_amount</t>
  </si>
  <si>
    <t>How much was earned [in gourdes] from your main income source, {income_main}, in the past 3 months ?
[OPERATOR: MAKE SURE THE INFORMATION IS RECORDED IN THE CORRECT CURRENCY. ENTER 8888888 FOR DON'T KNOW AND 9999999 FOR REFUSED.]</t>
  </si>
  <si>
    <t>Quelle somme [en gourdes] a rapporté votre principale source de revenus, {income_main}, au cours des trois derniers mois?
[OPÉRATEUR/OPÉRATRICE: VÉRIFIER QUE LA RÉPONSE EST ENREGISTRÉE DANS LA BONNE DEVISE. SAISIR 8888888 POUR «NE SAIT PAS» ET 9999999 POUR «REFUSÉ».]</t>
  </si>
  <si>
    <t>Konbyen lajan w te antre [an Goud] nan sous revni prensipal ou an, {income_main}, nan 3 dènye mwa yo ?
[OPERATÈ: VERIFYE OUTLINERS YO PLIZYÈ FWA EPI ASIRE KE ENFÒMASYON YO ANREJISTRE NAN DEVIZ KI KÒRÈK LA. ANTRE 8888888 POU PA KONNEN EPI 9999999 POU REFIZE.]</t>
  </si>
  <si>
    <t>0 - 375000 = income_main_comp OR optional question
375000 - 600000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</si>
  <si>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income_main_gender.</t>
  </si>
  <si>
    <t>We recommend using this pair of questions together.</t>
  </si>
  <si>
    <t>income_main_amount_conf</t>
  </si>
  <si>
    <t>Can you confirm the amount of income you just stated is correct?
[OPERATOR: IF THE AMOUNT EARNED FROM THIS INCOME SOURCE OVER THE PAST 3 MONTH IS INDEED OVER 375000, CLICK ON CONTINUE. OTHERWISE, GO BACK AND CHANGE THE AMOUNT ENTERED.]
1)CONTINUE</t>
  </si>
  <si>
    <t>Pouvez-vous confirmer que le montant que vous venez de déclarer est correct?
[OPÉRATEUR/OPÉRATRICE: SI LE MONTANT ISSU DE CETTE SOURCE DE REVENU AU COURS DES TROIS DERNIERS MOIS EST SUPÉRIEUR AU 375000, CLIQUER SUR CONTINUER. SINON, REVENIR EN ARRIÈRE ET MODIFIER LE MONTANT SAISI.]
1)CONTINUER</t>
  </si>
  <si>
    <t>Èske ou ka konfime montan lajan w  fèk deklare a kòrèk?
[OPERATÈ: SI MONTAN KI ANTRE NAN SOUS REVNI SA A PANDAN 3 DÈNYE MWA SA YO REYÈLMAN PIPLIS PASE 375000, KLIKE SOU KONTINYE. OTREMAN, RETOUNEN EPI CHANJE MONTAN KI TE ANTRE A.]
1)KONTINYE</t>
  </si>
  <si>
    <t>1 = income_main_comp OR optional question</t>
  </si>
  <si>
    <t>if income_main_amount_conf = 1, go to income_main_gender</t>
  </si>
  <si>
    <t>income_main_gender</t>
  </si>
  <si>
    <t>What is the gender of the household member[s] generating income from this source? 
[OPERATOR: SINGLE RESPONSE.]
1)Male
2)Female
3)Joint [both male &amp; female]
4)DON'T KNOW
5)REFUSED</t>
  </si>
  <si>
    <t>Quel est le sexe du ou des membres du ménage qui génèrent des revenus de cette source? 
[OPÉRATEUR/OPÉRATRICE: RÉPONSE UNIQUE].
1)Homme
2)Femme
3)Mixte [homme et femme]
4)NE SAIT PAS
5)REFUSÉ</t>
  </si>
  <si>
    <t>Èske moun ki fe  lajan nan fanmi an se  {income_main} gason oswa fi? 
[OPERATÈ: YON SÈL REPONS.]
1)Gason
2)Fi
3)Melanje [gason ak fi]
4)PA KONNEN
5)REFIZE</t>
  </si>
  <si>
    <t>1-5 = [income_main_comp OR optional question]</t>
  </si>
  <si>
    <t>if income_main_gender = 1-5, go to income_main_comp</t>
  </si>
  <si>
    <t>income_main_comp</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</si>
  <si>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</si>
  <si>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{income_main}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</si>
  <si>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Èske kantite lajan fanmi an  {income_main} te chanje pandan 3 dènye mwa sa yo parapò ak menm peryòd la nan ane ki sot pase a?
[OPERATÈ: YON SÈL REPONS.]
1)Vrèman anpil [te ogmante avèk plis pase 50%]
2)Lejèman piplis
3)Menm nan
4)Lejèman mwens
5)Vrèman mwens [mwens pase mwatye nan montan an]
6)PA KONNEN
7)REFIZE</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</si>
  <si>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</si>
  <si>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</si>
  <si>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</si>
  <si>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</si>
  <si>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</si>
  <si>
    <t>Ki dezyèm sous pou fè   lajan ki plis enpòtan pou fanmi an pandan 3 dènye mwa sa yo?
[OPERATÈ: YON SÈL REPONS. TA DWE EVITE OPSYON PA KONNEN AK OPSYON REFIZE A TOUT TAN SA POSIB.]
1)Pwodiksyon ak lavant pwodwi debaz
2)Pwodiksyon ak lavant legim oswa fwi 
3)Pwodiksyon ak lavant kilti komèsyal
4)Pwodiksyon ak lavant betay ak pwodwi betay 
5)Pwodiksyon ak lavant myel [pwodwi apikol]
6)Pwodiksyon ak lavant pwason 
7)Koleksyon ak lavant pwodwi forestye ak pwodwi fèy 
8)Komès agrikilti enfòmèl/fòmèl PA KONTE pwodiktè yo
9)Salè chak jou nan fèm ak nan lòt anplwa abityèl nan sektè agrikòl la 
10)Anplwa estab nan sektè agrikilti 
11)Pwofesyon endepandan ki pa agrikòl oswa pwofesyon liberal / doktè / achitèk / avoka / ki gen ladan restoran / chofè taksi / bòs chapant
12)Salè chak jou deyò fèm ak lòt anplwa abityèl ki pa agrikòl
13)Anplwa estab nan sektè ki pa agrikòl
14)Anplwa piblik 
15)Revni ki pa soti nan travay / Charite
16)Revni ki pa soti nan travay / Transfè èd sosyal / pansyon / èd imanitè
17)Revni ki pa soti nan travay / Transfè lajan
18)Revni ki pa soti nan travay / Revni ki soti nan lòt lwaye
19)Okenn sous revni nan 3 dènye mwa sa yo epi n ap itilize sèlman epay/dèt yo
20)PA KONNEN
21)REFIZE</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</si>
  <si>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</si>
  <si>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</si>
  <si>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income_sec_amount
if options #19-21 selected, go to shock</t>
  </si>
  <si>
    <t>income_sec_crop_check</t>
  </si>
  <si>
    <t>Èske pwodwi ou vann yo se oumenm oswa yon moun nan fanmi wki te pwodwi yo?
[OPERATÈ: YON SÈL REPONS.]
1)WI
2)NON
3)PA KONNEN
4)REFIZE</t>
  </si>
  <si>
    <t>1-4 = income_sec_comp OR optional question</t>
  </si>
  <si>
    <t>if income_sec_crop_check = 1-4, go to  income_sec_amount</t>
  </si>
  <si>
    <t>income_sec_ls_check</t>
  </si>
  <si>
    <t>Èske betay ak pwodwi betay ou vann yo se oumenm ki pwodwi yo oswa yon lòt moun nan fwaye w? 
[OPERATÈ: YON SÈL REPONS.]
1)WI
2)NON
3)PA KONNEN
4)REFIZE</t>
  </si>
  <si>
    <t>if income_sec_ls_check = 1-4, go to  income_sec_amount</t>
  </si>
  <si>
    <t>income_sec_fish_check</t>
  </si>
  <si>
    <t>Èske pwodwi pwason ou vann yo se oumenm ki pwodwi yo oswa yon lòt moun nan fwaye w? 
[OPERATÈ: YON SÈL REPONS.]
1)WI
2)NON
3)PA KONNEN
4)REFIZE</t>
  </si>
  <si>
    <t>if income_sec_fish_check = 1-4, go to  income_sec_amount</t>
  </si>
  <si>
    <t>income_sec_amount</t>
  </si>
  <si>
    <t>How much was earned [in gourdes] from your second main income source, {income_sec}, in the past 3 months ?
[OPERATOR: MAKE SURE THE INFORMATION IS RECORDED IN THE CORRECT CURRENCY. ENTER 8888888 FOR DON'T KNOW AND 9999999 FOR REFUSED.]</t>
  </si>
  <si>
    <t>Quelle somme [en gourdes] a rapporté votre deuxième principale source de revenu, {income_sec}, au cours des trois derniers mois?
[OPÉRATEUR/OPÉRATRICE: VÉRIFIER QUE LA RÉPONSE EST ENREGISTRÉE DANS LA BONNE DEVISE. SAISIR 8888888 POUR «NE SAIT PAS» ET 9999999 POUR «REFUSÉ».]</t>
  </si>
  <si>
    <t>Konbyen lajan ou te antre [an Goud] nan dezyèm sous revni ou an, {income_sec}, nan 3 dènye mwa yo ?
[OPERATÈ: VERIFYE OUTLINERS YO PLIZYÈ FWA EPI ASIRE KE ENFÒMASYON YO ANREJISTRE NAN DEVIZ KI KÒRÈK LA.]</t>
  </si>
  <si>
    <t>0 - 375000 = income_sec_comp or optional question
375000 - 600000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</si>
  <si>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</si>
  <si>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</si>
  <si>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Èske ou ka konfime montan revni ou fèk deklare a kòrèk?
[OPERATÈ: SI MONTAN KI ANTRE NAN SOUS REVNI SA A PANDAN 3 DÈNYE MWA SA YO REYÈLMAN PIPLIS PASE 375000, KLIKE SOU KONTINYE. OTREMAN, RETOUNEN EPI CHANJE MONTAN KI TE ANTRE A.]
1)KONTINYE</t>
  </si>
  <si>
    <t>1 = income_sec_comp or optional question</t>
  </si>
  <si>
    <t>if income_sec_amount_conf = 1, go to income_sec_comp</t>
  </si>
  <si>
    <t>income_sec_comp</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</si>
  <si>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</si>
  <si>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{income_sec}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</si>
  <si>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Èske kantite lajan fanmi  an  {income_sec} te chanje pandan 3 dènye mwa sa yo parapò ak menm peryòd la nan ane ki sot pase a?
[OPERATÈ: YON SÈL REPONS.]
1)Vrèman anpil [te ogmante avèk plis pase 50%]
2)Lejèman piplis
3)Menm nan
4)Lejèman mwens
5)Vrèman mwens [mwens pase mwatye nan montan an]
6)PA KONNEN
7)REFIZE</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</si>
  <si>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</si>
  <si>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</si>
  <si>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</si>
  <si>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</si>
  <si>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</si>
  <si>
    <t>Ki twazyèm sous kòb ki plis enpòtan pou fanmi  an pandan 3 dènye mwa sa yo?
[OPERATÈ: YON SÈL REPONS. OPSYON PA KONNEN AK OPSYON REFIZE A TA DWE RA/PA EVITE TOUT TAN SA POSIB.]
1)Pwodiksyon ak lavant pwodwi debaz
2)Pwodiksyon ak lavant legim oswa fwi 
3)Pwodiksyon ak lavant kilti komèsyal
4)Pwodiksyon ak lavant betay ak pwodwi betay 
5)Pwodiksyon ak lavant myel [pwodwi apikol]
6)Pwodiksyon ak lavant pwason 
7)Koleksyon ak lavant pwodwi forestye ak pwodwi fèy 
8)Komès agrikilti enfòmèl/fòmèl PA KONTE pwodiktè yo
9)Salè chak jou nan fèm ak nan lòt anplwa abityèl nan sektè agrikòl la 
10)Anplwa estab nan sektè agrikilti 
11)Pwofesyon endepandan ki pa agrikòl oswa pwofesyon liberal / doktè / achitèk / avoka / ki gen ladan restoran/chofè taksi / bòs chapant
12)Salè chak jou deyò fèm ak lòt anplwa abityèl ki pa agrikòl
13)Anplwa estab nan sektè ki pa agrikòl
14)Anplwa piblik 
15)Revni ki pa soti nan travay / Charite
16)Revni ki pa soti nan travay / Transfè èd sosyal / pansyon / èd imanitè
17)Revni ki pa soti nan travay / Transfè lajan
18)Revni ki pa soti nan travay / Revni ki soti nan lòt lwaye
19)Okenn sous revni nan 3 dènye mwa sa yo epi n ap itilize sèlman epay/dèt yo
20)PA KONNEN
21)REFIZE</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</si>
  <si>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</si>
  <si>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</si>
  <si>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if options #19-21 selected, go to shock</t>
  </si>
  <si>
    <t>income_third_crop_check</t>
  </si>
  <si>
    <t>Èske pwodwi ou vann yo se oumenm oswa yon moun nan fwaye w ki te pwodwi yo?
[OPERATÈ: YON SÈL REPONS.]
1)WI
2)NON
3)PA KONNEN
4)REFIZE</t>
  </si>
  <si>
    <t>1-4 = income_third_comp OR optional question</t>
  </si>
  <si>
    <t>if income_third_crop_check = 1-4, go to income_third_comp</t>
  </si>
  <si>
    <t>income_third_ls_check</t>
  </si>
  <si>
    <t>Èske bèt ak pwodwi bet ou vann yo se oumenm ki pwodwi yo oswa yon lòt moun nan fwaye w? 
[OPERATÈ: YON SÈL REPONS.]
1)WI
2)NON
3)PA KONNEN
4)REFIZE</t>
  </si>
  <si>
    <t>if income_third_ls_check = 1-4, go to income_third_comp</t>
  </si>
  <si>
    <t>income_third_fish_check</t>
  </si>
  <si>
    <t>Èske pwodwi pwason ou vann yo se oumenm ki pwodwi yo oswa yon lòt moun nan fanmi  w? 
[OPERATÈ: YON SÈL REPONS.]
1)WI
2)NON
3)PA KONNEN
4)REFIZE</t>
  </si>
  <si>
    <t>if income_third_fish_check = 1-4, go to income_third_comp</t>
  </si>
  <si>
    <t>income_third_comp</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</si>
  <si>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</si>
  <si>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Le revenu de votre ménage provenant de {income_third} a-t-il changé au cours des trois derniers mois par rapport à la même période de l'année dernière? 
[OPÉRATEUR/OPÉRATRICE: RÉPONSE UNIQUE.]
1)Très supérieur [augmentation de plus de 50%]
2)Légèrement supérieur
3)Identique
5)Légèrement inférieur
5)Très inférieur [moins de la moitié]
6)NE SAIT PAS
7)REFUSÉ</t>
  </si>
  <si>
    <t>Èske kantite lajan  fanmi w fè  {income_third} te chanje pandan 3 dènye mwa sa yo parapò ak menm peryòd la nan ane ki sot pase a?
[OPERATÈ: YON SÈL REPONS.]
1)Vrèman anpil [te ogmante avèk plis pase 50%]
2)Lejèman piplis
3)Menm nan
4)Lejèman mwens
5)Vrèman mwens [mwens pase mwatye nan montan an]
6)PA KONNEN
7)REFIZE</t>
  </si>
  <si>
    <t>1-7= shock</t>
  </si>
  <si>
    <t>if income_third_comp = 1-7, go to o_income_remittances</t>
  </si>
  <si>
    <t>o_income_remittances</t>
  </si>
  <si>
    <t xml:space="preserve">Do you or any member of your household receive remittances? 
[OPERATOR: SINGLE RESPONSE]
1)YES
2)NO
3)DON'T KNOW
4)REFUSED </t>
  </si>
  <si>
    <t>Est-ce que vous ou un membre de votre foyer recevez des remises ?
[OPÉRATEUR : RÉPONSE UNIQUE]
1)OUI
2)NON
3)JE NE SAIS PAS
4)REFUSÉ</t>
  </si>
  <si>
    <t>Eske yon moun lakay ou oswa ou menm konn jwenn transfè lajan ?
[OPERATÈ: YON SÈL REPONS.]
1)WI
2)NON
3)PA KONNEN
4)REFIZE</t>
  </si>
  <si>
    <t>For any response, go to o_income_farmlabor</t>
  </si>
  <si>
    <t>o_income_farmlabor</t>
  </si>
  <si>
    <t>Has anyone in your household received income as an agricultural worker in someone else's fields, in cash or in kind, during the last 12 months?
[OPERATOR: SINGLE RESPONSE]
1)Yes - paid in cash
2)Yes - paid in kind ]bags of harvested products]
3)Yes - in kind and in cash
4)No
5)DON'T KNOW
6)REFUSED</t>
  </si>
  <si>
    <t>Est-ce que quelqu'un dans votre foyer a reçu un revenu en tant que travailleur agricole dans les champs d'une autre personne, en espèces ou en nature, au cours des 12 derniers mois ?
[OPÉRATEUR : UNE SEULE RÉPONSE]
1)Oui - payé en espèces
2)Oui - payé en nature [sacs de produits récoltés]
3)Oui - en nature et en espèces
4)Non
5)NE SAIT PAS
6)REFUSÉ</t>
  </si>
  <si>
    <t>Èske  gen moun nan fanmi w ki te resevwa lajan  antanke yon travayè agrikòl nan chan yon lòt moun, ak lajan kach oswa an espès, pandan 12 dènye mwa sa yo?
[OPERATÈ: YON SÈL REPONS]
1)Wi - peye ak lajan kach
2)Wi - peye an espès ]sak pwodwi ki rekòlte]
3)Wi - an espès ak lajan kach
4)Non
5)PA KONNEN
6)REFIZE</t>
  </si>
  <si>
    <t>For any response, go to o_income_farm_importance</t>
  </si>
  <si>
    <t>o_income_farm_importance</t>
  </si>
  <si>
    <t>What share does this income represent in the total annual income of your household?
[OPERATOR: SINGLE RESPONSE]
1)A small part [less than 20%]
2)An important part [between 20 and 50%]
3)A significant part [between 50 and 80%]
4)Almost all of the annual income [more than 80%]
5)DON'T KNOW
6)REFUSED</t>
  </si>
  <si>
    <t>Quelle part représente ce revenu dans le revenu annuel total de votre foyer ?
[OPÉRATEUR : UNE SEULE RÉPONSE]
1)Une petite part [moins de 20 %]
2)Une part importante [entre 20 et 50 %]
3)Une part significative [entre 50 et 80 %]
4)Presque la totalité du revenu annuel [plus de 80 %]
5)NE SAIT PAS
6)REFUSÉ</t>
  </si>
  <si>
    <t>Kisa revni sa a reprezante nan sa fanmi an rantre pandan tout ane a?
[OPERATÈ: YON SÈL REPONS]
1)Yon ti pati [mwens pase 20%]
2)Yon pati ki enpòtan [ant 20 ak 50%]
3)Yon gwo pati [ant 50 ak 80%]
4)Prèske tout revni anyèl la [plis pase 80%]
5)PA KONNEN
6)REFIZE</t>
  </si>
  <si>
    <t>For any response,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</si>
  <si>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</si>
  <si>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</si>
  <si>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</si>
  <si>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</si>
  <si>
    <t>Èske fanmiw  te fè fas ak  katastwòf natirèl an patikilye oswa  gen  kriz ki  te afekte kominote w oswa fanmi w ki te afekte kapasite w pou jwenn yon revni ak/oswa pou pwodwi manje pou konsomasyon pèsonèl ou nan 3 dènye mwa sa yo?
[OPERATÈ: SELEKSYONE CHÒK KI ENPÒTAN KE FWAYE W TE FÈ FAS AK YO A. PLIZYÈ REPONS POSIB. PALE DE CHOK EKONOMIK, CHÒK NAN PWODIKSYON AK NAN BETAY, CHÒK ANNDAN FWAYE A, DANJE NATIRÈL AK DANJE LÈZÒM KREYE.]
1)Okenn chòk
2)Maladi oswa aksidan oswa lanmò manm nan fwaye a yo [maladi moun k ap soutni fanmi an / depans medikal ki pa abityèl / depans pou fineray / lanmò moun k ap soutni fanmi]
3)Te pèdi travay oswa opòtinite pou travay [pa akòz maladi oswa aksidan]
4)Lòt chòk anndan fwaye a
5)Pi wo pase pri abityèl manje yo
6)Pi wo pase pri abityèl gaz oswa pri transpò
7)Restriksyon sou mouvman popilasyon an[tankou restriksyon pou covid / ensekirite / domaj nan enfrastikti / elatriye.]
8)Lòt chòk ekonomik
9)Envazyon nan ensèk nuizib
10)Maladi nan plant
11)Maladi animal ki afekte anpil animal oswa lanmò animal yo 
12)Mank aksè fizik nan patiraj [akoz konfli / domaj nan enfrastrikti / restriksyon pou COVID-19]
13)Chòk nan lòt pwodwi ak chòk nan betay
14)Tanperati ki frèt oswa lagrèl
15)Inondasyon / ewozyon nan riv flèv la
16)Ouragan / siklòn / tònad
17)Sechrès / estrès chalè
18)Tranblemanntè
19)Glisman teren
20)Dife ki soti nan katastwòf natirèl
21)Lòt danje natirèl
22)Vyolans ak ensekirite / konfli
23)Vòl byen  pou pwodiksyon [tè / betay / zouti / elatriye]
24)Dife ki soti nan katastwòp natirèl lèzòm kreye
25)Lòt danje lèzòm kreye
26)PA KONNEN
27)REFIZE</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</si>
  <si>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</si>
  <si>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</si>
  <si>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</si>
  <si>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 26 or 27, go to crp_intro. If shock = 2-25 go to o_shock_main</t>
  </si>
  <si>
    <t>o_shock_main</t>
  </si>
  <si>
    <t xml:space="preserve">o_shock_main_
2)o_shock_main_sicknessordeathofhh
3) o_shock_main_lostemplorwork
4) o_shock_main_otherintrahhshock
5) o_shock_main_higherfoodprices
6) o_shock_main_higherfuelprices
7) o_shock_main_mvtrestrict
8) o_shock_main_othereconomicshock
9) o_shock_main_pestoutbreak
10) o_shock_main_plantdisease
11) o_shock_main_animaldisease
12) o_shock_main_napasture
13) o_shock_main_othercropandlivests
14) o_shock_main_coldtemporhail
15) o_shock_main__flood
16) o_shock_main_hurricane
17) o_shock_main_drought
18) o_shock_main_earthquake
19) o_shock_main_landslides
20) o_shock_main_firenatural
21) o_shock_main_othernathazard
22) o_shock_main_violenceinsecconf
23) o_shock_main_theftofprodassets
24) o_shock_main_firemanmade
25) o_shock_main_othermanmadehazard
</t>
  </si>
  <si>
    <t xml:space="preserve">Which of these shocks had the most severe impact on your household's ability to raise an income and/or to produce food for self consumption?
[OPERATOR: SINGLE RESPONSE]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conflict+E96
23)Theft of production assets [land / livestock / tools / etc]
24)Fire from human-induced disaster
25)Other human-induced hazard
</t>
  </si>
  <si>
    <t xml:space="preserve">Parmi ces chocs, lequel a eu l'impact le plus sévère sur la capacité de votre foyer à générer un revenu et/ou à produire de la nourriture pour la consommation personnelle ?
[OPÉRATEUR/OPÉRATRICE: RÉPONSE UNIQUE.]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t>
  </si>
  <si>
    <t>Kiyès nan sa ou sot site yo ki te afekte pi plis kapasite w pou jwenn yon revni ak/oswa pou pwodwi pou manje pou pwòp tèt ?
[OPERATÈ: YON SÈL REPONS]
1)Maladi oswa aksidan oswa lanmò manm nan fwaye a yo [maladi moun k ap soutni fanmi an / depans medikal ki pa abityèl / depans pou fineray / lanmò moun k ap soutni fanmi]
2)Te pèdi travay oswa opòtinite pou travay [pa akòz maladi oswa aksidan]
3)Lòt chòk anndan fwaye a
4)Pi wo pase pri abityèl manje yo
5)Pi wo pase pri abityèl gaz oswa pri transpò
6)Restriksyon sou mouvman popilasyon an[tankou restriksyon pou covid / ensekirite / domaj nan enfrastikti / elatriye.]
7)Lòt chòk ekonomik
8)Envazyon nan ensèk nuizib
9)Maladi nan plant
10)Maladi animal ki afekte anpil animal oswa lanmò animal yo 
11)Mank aksè fizik nan patiraj [akoz konfli / domaj nan enfrastrikti / restriksyon pou COVID-19]
12)Chòk nan lòt pwodwi ak chòk nan betay
13)Tanperati ki frèt oswa lagrèl
14)Inondasyon / ewozyon nan riv flèv la
15)Ouragan / siklòn / tònad
16)Sechrès / estrès chalè
17)Tranblemanntè
18)Glisman teren
19)Dife ki soti nan katastwòf natirèl
20)Lòt danje natirèl
21)Vyolans ak ensekirite / konfli
22)Vòl byen byen pou pwodiksyon [tè / betay / zouti / elatriye]
23)Dife ki soti nan katastwòp natirèl lèzòm kreye
24)Lòt danje lèzòm kreye
25)REFIZE</t>
  </si>
  <si>
    <t>For any response, go to crp_intro</t>
  </si>
  <si>
    <t>Display only the shocks selected in shock</t>
  </si>
  <si>
    <t>D. CROP PRODUCTION</t>
  </si>
  <si>
    <t>crp_intro</t>
  </si>
  <si>
    <t>We will now ask you some questions about crop production which apply to you and anyone in your household that is involved in crop production or sales. All questions refer to the crops grown during current season.
1)CONTINUE</t>
  </si>
  <si>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actuelle. 
1)CONTINUER</t>
  </si>
  <si>
    <t>Kounye a nou pral poze w kèk kesyon sou pwodiksyon agrikòl ki aplike avè w epi avèk tout moun nan fanmi w ki enplike nan pwodiksyon agrikòl oswa lavant pwodwi agrikòl. Tout kesyon yo pale sou pwodwi ki kiltive pandan sezon sa.
1)KONTINYE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</si>
  <si>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</si>
  <si>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</si>
  <si>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</si>
  <si>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</si>
  <si>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</si>
  <si>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Quelle superficie totale pouvez-vous cultiver?
[OPÉRATEUR/OPÉRATRICE: SAISIR LA TAILLE TOTALE DU TERRAIN SIGNALÉE PAR LE RÉPONDANT. ENTRER 8888888 POUR «NE SAIT PAS» ET 9999999 POUR «REFUSÉ» . L'UNITÉ DE MESURE SERA PRÉCISÉE À LA QUESTION SUIVANTE].</t>
  </si>
  <si>
    <t>Ki pi plis [dimansyon] tè w  kiltive?
[OPERATÈ: ANREJISTRE DIMANSYON TÈ ANTOU PATISIPAN AN TE BAY LA. EKRI 8888888 POU PA KONNEN EPI 9999999 POU REFIZE. INITE MEZI A PRAL PRESIZE NAN KESYON SWIV LA.]</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</si>
  <si>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</si>
  <si>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</si>
  <si>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</si>
  <si>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5)Tile
</t>
  </si>
  <si>
    <t>Unité de mesure des terrains cultivés:
 [OPÉRATEUR/OPÉRATRICE: RÉPONSE UNIQUE.]
1)Acres
2)Hectares
3)Mètres carrés
4)Pieds carrés
5)Carré</t>
  </si>
  <si>
    <t xml:space="preserve">Inite mezi pou dimansyon tè: 
[OPERATÈ: PA FÈ LEKTI. YON SÈL REPONS.]
1)Kawo
2)Ekta
3)Mèt kare
4)Pye kare
5)Ti kawo
</t>
  </si>
  <si>
    <t>1-5 = crp_main</t>
  </si>
  <si>
    <t>if crp_landsize_unit = 1-5, go to crp_main</t>
  </si>
  <si>
    <t>crp_main</t>
  </si>
  <si>
    <t>What has been the main crop that your household has grown for food and income generation in the ongoing season , if any? 
 [OPERATOR: SINGLE RESPONSE. "NO CROP PRODUCTION" IS IN LAST OPTIONS AT THE END.] 
1)Maize
2)Sweet Potatoes
3)Yams
4)Beans
5)Eggplant/aubergine
6)Plantains
7)Mango
8)Groundnut/peanut
9)Sugarcane
10)Rice
11)Wheat
12)Millet
13)Sorghum
14)Barley
15)Other Cereal
16)Cassava
17)Potatoe
18)Carrots
19)Cocoyam
20)Other tubers
21)Lentils
22)Peas
23)Soybeans
24)Chickpeas
25)Fava beans
26)Broad beans
27)Other pulses
28)Cabbage
29)Lettuce
30)Spinach-Amaranth
31)Cassava leaves
32)Potatoe leaves
33)Moringa
34)Sorrel Hibiscus / Rosselle
35)Green salad herbs [thyme, parsley, mint, rocca, other]
36)Cauliflower
37)Other leafy vegetables
38)Tomatoes
39)Cucumber
40)Pumpkin
41)Zucchini
42)Okra
43)Bell pepper
44)Onions
45)Haricot
46)Green peas
47)Fava beans green
48)Other non leafy vegs
49)Orange
50)Lemon
51)Grapefruit
52)Mandarins/clementines
53)Other citrus fruit
54)Sweet Banana
55)Papaya
56)Guava
57)Pineapple
58)Avocado
59)Water Melon
60)Dates
61)Figs
62)Grapes
63)Olives
64)Apple
65)Apricot
66)Cherries
67)Peach/nectarine
68)Strawberries
69)Melon [Cantaloupe]
70)Other fruit
71)Coconuts
72)Cashew Nut
73)Kola Nut
74)Sesame
75)Bambara nut
76)Almond
77)Walnut
78)Other nuts
79)Cocoa
80)Coffee
81)Tea
82)Sunflower
83)Other food cash crop
84)Cotton
85)Rubber
86)Jute
87)Fodder
88)Tobacco
89)Qat
90)Other non-food cash crop</t>
  </si>
  <si>
    <t>Quelle a été la principale culture pratiquée par votre ménage pour se nourrir et générer des revenus pendant la la saison actuelle, si applicable? 
 [OPÉRATEUR/OPÉRATRICE: RÉPONSE UNIQUE. «AUCUNE PRODUCTION VÉGÉTALE» EST PARMI LES DERNIÈRES OPTIONS, À LA FIN DE LA LISTE.] 
1)Maïs
2)Patates douces
3)Ignames
4)Haricots
5)Aubergines/aubergines
6)Banane plantain
7)Mangue
8)Arachide / cacahuète
9)Canne à sucre
10)Riz
11)Blé
12)Mil
13)Sorgho
14)Orge
15)Autres céréales
16)Manioc
17)Pommes de terre
18)Carottes
19)Chou caraïbe
20)Autres tubercules
21)Lentilles
22)Pois
23)Soja
24)Pois chiches
25)Fève
26)Fève large
27)Autres légumineuses
28)Choux
29)Laitue
30)Epinards-Amaranthe
31)Feuilles de manioc
32)Feuilles de pomme de terre
33)Moringa
34)Oseille Hibiscus / Rosselle
35)Herbes aromatiques [thym, persil, menthe, rocca, autres]
36)Choux-fleur
37)Autres légumes à feuilles
38)Tomates
39)Concombre
40)Citrouille
41)Courgettes
42)Okra
43)Poivrons
44)Oignons
45)Haricot 
46)Petit pois
47)Pois fève
48)Autres légumes non feuillus
49)Orange
50)Citron
51)Pamplemousse
52)Tangerine/clémentine
53)Autres agrumes
54)Banane douce
55)Papaye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80)Café
81)Thé
82)Tournesol
83)Autres cultures vivrières de rente
84)Coton
85)Caoutchouc
86)Jute
87)Fourrage
88)Tabac
89)Qat
90)Autre culture de rente non alimentaire</t>
  </si>
  <si>
    <t>Ki pwodwi fanmiw w toujou  kiltive pou manje ak pou pwodwi revni nan sezon sa, si genyen?
[OPERATÈ: YON SÈL REPONS. "OKENN PWODIKSYON AGRIKÒL" NAN DÈNYE OPSYON YO KI NAN FEN AN.] 
1)Diri
2)Mayi
3)Patat
4)Yanm
5)Ariko
6)Obèjin
7)Bannann
8)Mango
9)Arachid/pistach
10)Kann
11)Ble
12)Pitimi
13)Sògo
14)Lòj
15)lòt Sereyal
16)Manyòk
17)Pòmdetè
18)Kawòt
19)Kokoyam
20)Lòt tibèkil
21)Lantiy
22)Pwa
23)Grenn soja
24)Pwa chich
25)Fèv
26)Fèv [Broad beans]
27)Lòt legim
28)Chou
29)Leti
30)Zepina-Amarant
31)Fèy manyòk
32)Fèy pòmdetè
33)Morenga
34)Sorrel Ibiskis / Rosselle
35)Zèb salad vèt [diten / pèsi / mant / rocca / lòt]
36)Chouflè
37)Lòt legim ki gen fèy
38)Tomat
39)Kòkonm
40)Sitwouy
41)Koujèt
42)Gonbo
43)Pwavwon
44)Zonyon
45)Ariko
46)Pwa vèt
47)Fèv vèt
48)Lòt legim ki pa gen fèy
49)Zoranj
50)Sitwon
51)Chadèk
52)Mandarin/klemantin
53)Lòt agrim
54)Fig Mi
55)Papay
56)Gwayav
57)Anana
58)Zaboka
59)Melon
60)Dat
61)Fig
62)Rezen
63)Oliv
64)Pòm
65)Abriko
66)Seriz
67)Pwa/nektarin
68)Frèz
69)Melon [Kantaloup]
70)Lòt fwi
71)Kokoye
72)Nwa Kajou
73)Nwa Kola
74)Sezam
75)Grenn Bambara
76)Zamannan
77)Nwazèt
78)Lòt nwa
79)Koko
80)Kafe
81)Dite
82)Tounsòl
83)Lòt legim pwodiksyon alimantè
84)Koton
85)Kawotchou
86)Jit
87)Fouraj
88)Tabak
89)Kat
90)Lòt legim ki pa pwodwi agrikòl
91)Okenn pwodwi agrikòl
92)PA KONNEN
93)REFIZE</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</si>
  <si>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</si>
  <si>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</si>
  <si>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</si>
  <si>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</si>
  <si>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</si>
  <si>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Why did you not produce any crops in the current season?
[OPERATOR: SINGLE RESPONSE.]
1)Don’t usually produce during this season 
2)Wasn't able to produce [e.g. due to difficulties]</t>
  </si>
  <si>
    <t>Pourquoi n'avez-vous pas produit de cultures pendant la saison actuelle?
[OPÉRATEUR/OPÉRATRICE: RÉPONSE UNIQUE.]
1)Ne produit habituellement pas pendant cette saison 
2)N'a pas été en mesure de produire [en raison de difficultés, par ex.]</t>
  </si>
  <si>
    <t>Poukisa ou pa te fè okenn pwodiksyon agrikòl nan sezon sa?
[OPERATÈ: YON SÈL REPONS]
1)Pa jeneralman pwodwi pandan sezon sa a
2)Pa te kapab pwodwi [sètadi akoz difikilte]</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</si>
  <si>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</si>
  <si>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</si>
  <si>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</si>
  <si>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</si>
  <si>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</si>
  <si>
    <t>Ki prensipal sous dlo ou tilize pou pwodiksyon {crp_main}? 
[OPERATÈ: YON SÈL REPONS.]
1)Dlo lapli [okenn sistèm irigasyon]
2)Dlo anba tè [pa egzanp dlo pi]
3)Dlo ki soti nan [rivye lak/ wiso/etan]
4)Irigasyon atifisyel  [soti nan kanal/baraj]
5)Sistem piblik pou pran dlo [pa egzanp dlo wobinet]
6)Lòt [presize]
7)PA KONNEN
8)REFIZE</t>
  </si>
  <si>
    <t>1-8 = crp_area_change OR optional question</t>
  </si>
  <si>
    <t>if crp_irrig_source = 1-8, go to crp_area_change</t>
  </si>
  <si>
    <t>crp_area_change</t>
  </si>
  <si>
    <t>How did the area planted for {crp_main} from the current season compare to last year?
[OPERATOR: SINGLE RESPONSE.]
1)A lot more [increased by more than 50%]
2)Slightly more
3)Same
4)Slightly less
5)A lot less [less than half as much]
6)DON'T KNOW
7)REFUSED</t>
  </si>
  <si>
    <t>Comment estimez-vous la superficie plantée de {crp_main} pour la saison actuelle par rapport à l'année dernière?
[OPÉRATEUR/OPÉRATRICE: RÉPONSE UNIQUE.]
1)Très supérieure [augmentation de plus de 50%]
2)Légèrement supérieure
3)Identique
5)Légèrement inférieure
5)Très inférieure [moins de la moitié]
6)NE SAIT PAS
7)REFUSÉ</t>
  </si>
  <si>
    <t>Kijan ou te plante nan espas la pou {crp_main} soti nan sezon sa parapò ak yon ane ki sot pase a?
[OPERATÈ: YON SÈL REPONS.]
1)Vrèman anpil [ogmante avèk plis pase 50%]
2)Lejèman plis
3)Menm nan
4)Lejèman mwens
5)Vrèman mwens [mwens pase mwatye antou]
6)PA KONNEN
7)REFIZE</t>
  </si>
  <si>
    <t>1-7 = crp_harv_change</t>
  </si>
  <si>
    <t>if crp_area_change = 1-7, go to o_crp_already_harv</t>
  </si>
  <si>
    <t>o_crp_already_harv</t>
  </si>
  <si>
    <t>Did you already harvest or start harvesting this season's {crp_main}? 
[OPERATOR: SINGLE RESPONSE.]
1) No - did not start harvesting yet
2) Yes - started harvesting (but did not finish)
3) Yes - finished harvesting
4) Don't know
5) Refused</t>
  </si>
  <si>
    <t>Aviez-vous déjà récolté ou commencé à récolter {crp_main} de cette saison ?
[OPÉRATEUR : UNE SEULE RÉPONSE.]
Non - n'a pas encore commencé la récolte
Oui - a commencé la récolte (mais n'a pas encore fini)
Oui - a fini la récolte
Je ne sais pas
Refusé"</t>
  </si>
  <si>
    <t xml:space="preserve">Èske w te deja rekòlte oswa te kòmanse rekòlte {crp_main} sezon sa a?
[OPERATÈ: YON SÈL REPONS.]
1) Non - poko kòmanse rekòlte
2) Wi - te kòmanse rekòlte (men li pa fini)
3) Wi - rekòt fini
4) PA KONNEN
5) REFIZE 
</t>
  </si>
  <si>
    <t>For any response, go to crp_harv_change</t>
  </si>
  <si>
    <t>crp_harv_change</t>
  </si>
  <si>
    <t>How does the expected harvest of {crp_main} in the current season compare to last year? 
[OPERATOR: SINGLE RESPONSE.]
1)A lot more [increased by more than 50%]
2)Slightly more
3)Same
4)Slightly less
5)A lot less [less than half as much]
6)DON'T KNOW
7)REFUSED</t>
  </si>
  <si>
    <t>Comment estimez-vous la récolte attendue de {crp_main} pour la saison actuelle par rapport à l'année dernière?
[OPÉRATEUR/OPÉRATRICE: RÉPONSE UNIQUE.]
1)Très supérieure [augmentation de plus de 50%]
2)Légèrement supérieure
3)Identique
5)Légèrement inférieure
5)Très inférieure [moins de la moitié]
6)NE SAIT PAS
7)REFUSÉ</t>
  </si>
  <si>
    <t>Kijan rekot {crp_main} a ye osinon rekot {crp_main} ki pral vini pou sezon aktyèl an konpare ak rekòt la pou menm peryòd ane pase a? 
[OPERATÈ: YON SÈL REPONS.]
1)Vrèman piplis [ogmante avèk plis pase 50%]
2)Lejèman piplis
3)Menm nan
4)Lejèman mwens
5)Vrèman mwens [mwens pase mwatye antou]
6)PA KONNEN
7)REFIZE</t>
  </si>
  <si>
    <t>1-7 = crp_proddif OR crp_harv_vol</t>
  </si>
  <si>
    <t xml:space="preserve">if crp_harv_change = 1-7, go to crp_proddif </t>
  </si>
  <si>
    <t>crp_proddif</t>
  </si>
  <si>
    <t>Has your household faced any significant difficulty in terms of crop production in the ongoing season ?
[OPERATOR: SINGLE RESPONSE.]
1)YES
2)NO
3)DON'T KNOW
4)REFUSED</t>
  </si>
  <si>
    <t>Votre ménage a-t-il rencontré d'importantes difficultés en matière de production végétale au cours de $season FR$ ?
[OPÉRATEUR/OPÉRATRICE: RÉPONSE UNIQUE.]
1)Oui
2)Non
3)NE SAIT PAS
4)REFUSÉ</t>
  </si>
  <si>
    <t>1 = crp_proddif_2
2-4 = [crp_salesmain or optional question]</t>
  </si>
  <si>
    <t>if crp_proddif = 1, go to crp_proddif_2 ; 
if crp_proddif = 2-4, go to [crp_storage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</si>
  <si>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</si>
  <si>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</si>
  <si>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the current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</si>
  <si>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Quelles difficultés votre ménage a-t-il rencontrées dans la production végétale au cours de la saison actuelle?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</si>
  <si>
    <t>Ki difikilte fwaye w la te rankontre nan pwodiksyon agrikòl nan sezon sa? 
[OPERATÈ: PLIZYÈ REPONS POSIB. SELEKSYON OPSYON (YO)KI PLIS MACHE AK ENFÒMASYON PATISIPAN YO TE BAY LA.] 
1)Maladi plant 
2)Envazyon bet nwizib [tankou zwazo] 
3)Patiraj ki te gen bet yo pat byen kontwole  
4)Akse ak espas te a  
5)Akse ak angre [pa disponib sou mache yo oswa pri yo twò wo] 
6)Akse pou jwenn bon kalite semans 
7)Aksè nan ase semans [pa disponib sou mache yo oswa pri yo twò wo] 
8)Aksè nan ensektisid  
9)Aksè nan mendèv oswa nan pèsonèl 
10)Aksè nan machin / zouti oswa animal pou raboure 
11)Aksè ak gaz osinon kouran pou fè ekipman agrikòl yo mache 
12)Ewozyon tè 
13)Dlo irigasyon osinon lapli ki pa tonbe ase 
14)Dlo irigasyon osinon lapli te tonble twop 
15)Akse ak kredi 
16)Lòt 
17)PA KONNEN 
18)REFIZE</t>
  </si>
  <si>
    <t xml:space="preserve">Select All That Apply </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</si>
  <si>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</si>
  <si>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</si>
  <si>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</si>
  <si>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crp_storage</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</si>
  <si>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</si>
  <si>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</si>
  <si>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</si>
  <si>
    <t xml:space="preserve">Ane ki sot pase a, ki kantite nan stok {crp_main} ou pedu [akoz parazit, pouriti, limon, etc] lew finn fe rekot? 
[OPERATÈ/OPERATEZ : YON SÈL REPONS] 
1)Anyen 
2)Yon ti kal 
3)Yon gwo kantite/men li te mwens ke mwatye 
4)Yon gwo kantite [mwatye osinon plis ke sa]
5)Preskte tout 
6)Tout 
7)PA KONNEN 
8)REFIZE </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</si>
  <si>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</si>
  <si>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</si>
  <si>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t>
  </si>
  <si>
    <t>D. CROP MARKETING</t>
  </si>
  <si>
    <t>crp_salesmain</t>
  </si>
  <si>
    <t>What has been the main crop that you have sold over the last 3 months?
[OPERATOR: "No crop sold in the last 3 months" APPEARS AT THE END OF THE LIST OF OPTIONS. SELECT ALL CROPS LISTED BY THE RESPONDENT.]
1)Maize
2)Sweet Potatoes
3)Yams
4)Beans
5)Eggplant/aubergine
6)Plantains
7)Mango
8)Groundnut/peanut
9)Sugarcane
10)Rice
11)Wheat
12)Millet
13)Sorghum
14)Barley
15)Other Cereal
16)Cassava
17)Potatoe
18)Carrots
19)Cocoyam
20)Other tubers
21)Lentils
22)Peas
23)Soybeans
24)Chickpeas
25)Fava beans
26)Broad beans
27)Other pulses
28)Cabbage
29)Lettuce
30)Spinach-Amaranth
31)Cassava leaves
32)Potatoe leaves
33)Moringa
34)Sorrel Hibiscus / Rosselle
35)Green salad herbs [thyme, parsley, mint, rocca, other]
36)Cauliflower
37)Other leafy vegetables
38)Tomatoes
39)Cucumber
40)Pumpkin
41)Zucchini
42)Okra
43)Bell pepper
44)Onions
45)Haricot
46)Green peas
47)Fava beans green
48)Other non leafy vegs
49)Orange
50)Lemon
51)Grapefruit
52)Mandarins/clementines
53)Other citrus fruit
54)Sweet Banana
55)Papaya
56)Guava
57)Pineapple
58)Avocado
59)Water Melon
60)Dates
61)Figs
62)Grapes
63)Olives
64)Apple
65)Apricot
66)Cherries
67)Peach/nectarine
68)Strawberries
69)Melon [Cantaloupe]
70)Other fruit
71)Coconuts
72)Cashew Nut
73)Kola Nut
74)Sesame
75)Bambara nut
76)Almond
77)Walnut
78)Other nuts
79)Cocoa
80)Coffee
81)Tea
82)Sunflower
83)Other food cash crop
84)Cotton
85)Rubber
86)Jute
87)Fodder
88)Tobacco
89)Qat
90)Other non-food cash crop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</si>
  <si>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1)Maïs
2)Patates douces
3)Ignames
4)Haricots
5)Aubergines/aubergines
6)Banane plantain
7)Mangue
8)Arachide / cacahuète
9)Canne à sucre
10)Riz
11)Blé
12)Mil
13)Sorgho
14)Orge
15)Autres céréales
16)Manioc
17)Pommes de terre
18)Carottes
19)Chou caraïbe
20)Autres tubercules
21)Lentilles
22)Pois
23)Soja
24)Pois chiches
25)Fève
26)Fève large
27)Autres légumineuses
28)Choux
29)Laitue
30)Epinards-Amaranthe
31)Feuilles de manioc
32)Feuilles de pomme de terre
33)Moringa
34)Oseille Hibiscus / Rosselle
35)Herbes aromatiques [thym, persil, menthe, rocca, autres]
36)Choux-fleur
37)Autres légumes à feuilles
38)Tomates
39)Concombre
40)Citrouille
41)Courgettes
42)Okra
43)Poivrons
44)Oignons
45)Haricot 
46)Petit pois
47)Pois fève
48)Autres légumes non feuillus
49)Orange
50)Citron
51)Pamplemousse
52)Tangerine/clémentine
53)Autres agrumes
54)Banane douce
55)Papaye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80)Café
81)Thé
82)Tournesol
83)Autres cultures vivrières de rente
84)Coton
85)Caoutchouc
86)Jute
87)Fourrage
88)Tabac
89)Qat
90)Autre culture de rente non alimentaire
92)NE SAIT PAS
93)REFUSÉ</t>
  </si>
  <si>
    <t>Ki pwodwi agrikòl ou te vann pandan 3 dènye mwa sa yo?
[OPERATÈ: "Pa te vann okenn pwodwi agrikòl pandan 3 dènye mwa sa yo" LI PREZANTE NAN LIS OPSYON YO. SELEKSYONE TOUT PWODWI AGRIKÒL PATISIPAN AN SITE.] 
1)Diri
2)Mayi
3)Patat
4)Yanm
5)Ariko
6)Obèjin
7)Bannann
8)Mango
9)Arachid/pistach
10)Kann
11)Ble
12)Pitimi
13)Sògo
14)Lòj
15)lòt Sereyal
16)Manyòk
17)Pòmdetè
18)Kawòt
19)Kokoyam
20)Lòt tibèkil
21)Lantiy
22)Pwa
23)Grenn soja
24)Pwa chich
25)Fèv
26)Fèv [Broad beans]
27)Lòt legim
28)Chou
29)Leti
30)Zepina-Amarant
31)Fèy manyòk
32)Fèy pòmdetè
33)Morenga
34)Sorrel Ibiskis / Rosselle
35)Zèb salad vèt [diten / pèsi / mant / rocca / lòt]
36)Chouflè
37)Lòt legim ki gen fèy
38)Tomat
39)Kòkonm
40)Sitwouy
41)Koujèt
42)Gonbo
43)Pwavwon
44)Zonyon
45)Ariko
46)Pwa vèt
47)Fèv vèt
48)Lòt legim ki pa gen fèy
49)Zoranj
50)Sitwon
51)Chadèk
52)Mandarin/klemantin
53)Lòt agrim
54)Fig Mi
55)Papay
56)Gwayav
57)Anana
58)Zaboka
59)Melon
60)Dat
61)Fig
62)Rezen
63)Oliv
64)Pòm
65)Abriko
66)Seriz
67)Pwa/nektarin
68)Frèz
69)Melon [Kantaloup]
70)Lòt fwi
71)Kokoye
72)Nwa Kajou
73)Nwa Kola
74)Sezam
75)Grenn Bambara
76)Zamannan
77)Nwazèt
78)Lòt nwa
79)Koko
80)Kafe
81)Dite
82)Tounsòl
83)Lòt legim pwodiksyon alimantè
84)Koton
85)Kawotchou
86)Jit
87)Fouraj
88)Tabak
89)Kat
90)Lòt legim ki pa pwodwi agrikòl
91)PA KONNEN
92)REFIZE</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</si>
  <si>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</si>
  <si>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</si>
  <si>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</si>
  <si>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</si>
  <si>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</si>
  <si>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</si>
  <si>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Au cours des trois derniers mois, votre ménage a-t-il rencontré d'importantes difficultés pour vendre ses récoltes de {crp_salesmain}?
[OPÉRATEUR/OPÉRATRICE: RÉPONSE UNIQUE.]
1)Oui
2)Non
3)NE SAIT PAS
4)REFUSÉ</t>
  </si>
  <si>
    <t>Èske fanmi w te rankontre  difikilte nan dènye 3 mwa sa yo pou nou vann {crp_salesmain} nou an?
[OPERATÈ: YON SÈL REPONS.]
1)WI
2)NON
3)PA KONNEN
4)REFIZE</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</si>
  <si>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</si>
  <si>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</si>
  <si>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</si>
  <si>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</si>
  <si>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</si>
  <si>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</si>
  <si>
    <t xml:space="preserve">Ki difikilte fanmi an te rankontre nan dènye 3 mwa sa yo lè nou t ap vann  {crp_salesmain} nou an? 
[OPERATÈ: PLIZYÈ REPONS POSIB. SELEKSYONE OPSYON (YO)KI PI BYEN APWOPRIYE AK ENFÒMASYON PATISIPAN AN TE BAY YO.] 
1)Frè transpò ki wo oswa frè maketin 
2)Domaj/pert koze akoz pa gen espas stokaj [egzanp. akse ak mache/ ensekirite/ pwoblem wout osinon enfrastrikti etc.]
3)Kantite machandiz Komesan ak kliyan ki abitye achte yo diminye 
4)Reta peman negosyan / ak moun kap achte osinon kliyan 
5)Feb pri lavant [tankou parapò ak pri antre yo / enflasyone] 
6)Difikilte pou trete pwodwi [mank antre tretman / ekipman / elatriye] 
7)Mache foul [anpil konpetisyon pou pwodwi]
8)Lòt 
9)PA KONNEN   
10)REFIZE </t>
  </si>
  <si>
    <t>Form Type - Checklist
9,10 = IsNone</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</si>
  <si>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</si>
  <si>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</si>
  <si>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</si>
  <si>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</si>
  <si>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</si>
  <si>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5)Légèrement inférieur
5)Très inférieur [moins de la moitié]
6)NE SAIT PAS
7)REFUSÉ</t>
  </si>
  <si>
    <t>Kijan pri pwodi aktyèl  fanmi an ye {crp_salesmain}  parapò ak pri an mwayèn nan menm peryòd nan yon ane ki sot pase yo? 
[OPERATÈ: YON SÈL REPONS. ENSISTE SOU PWODWI PRENSIPAL KI MANSYONE A.]
1)Vrèman piplis [ogmante avèk plis pase 50%]
2)Lejèman piplis
3)Menm nan
4)Lejèman mwens
5)Vrèman mwens [mwens pase mwatye antou]
6)PA KONNEN
7)REFIZE</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</si>
  <si>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</si>
  <si>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</si>
  <si>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</si>
  <si>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</si>
  <si>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</si>
  <si>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Nous allons maintenant vous poser quelques questions sur la production animale. Ces questions s'appliquent à vous et à toute personne de votre ménage impliquée dans la production ou la vente de bétail. 
1)CONTINUER</t>
  </si>
  <si>
    <t>Kounyeya nou pral poze w kèk kesyon sou pwodiksyon betay ki aplike avè w ak tout moun nan fanmi w ki enplike nan pwodiksyon oswa nan vann bèt.
1)KONTINYE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</si>
  <si>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</si>
  <si>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</si>
  <si>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</si>
  <si>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</si>
  <si>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</si>
  <si>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</si>
  <si>
    <t>Ki bèt fanmiw gade ( elve )pou manje oswa pou pwodwi revni nan dènye 12 mwa sa yo?
[OPERATÈ: YON SÈL REPONS. MANDE ENFÒMASYON SOU ANIMAL KI PLIS ENPÒTAN AN SÈLMAN.] [TI KONSÈY: PA BLIYE POU MANDE ENFÒMASYON SOU TRANSIMANS (TRANSHUMANCE)- DEPLASE BETAY SOTI NAN YON PATIRAJ POU ALE NAN YON LÒT.]
1)Boven [vach / bèf / towo / yak / bif]
2)Kabrit
3)Mouton
4)Pòsin [kochon / sangliye / pò / elatriye]
5)Ekin [bourik / cheval / elatriye]
6)Ti mamifè ki domestike [lapen / vison / kòchon deng / elatriye]
7)Volay [poulè / pentad / kana / kay / kòdenn / elatriye]
8)Kamelid
9)Lòt
10)PA KONNEN
11)REFIZE</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</si>
  <si>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</si>
  <si>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</si>
  <si>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</si>
  <si>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</si>
  <si>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</si>
  <si>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Combien de {ls_main} possédiez-vous à la même periode il y a un an?
[OPÉRATEUR/OPÉRATRICE: SAISIR LE NOMBRE D'ANIMAUX. ENTREZ 88888 POUR «NE SAIT PAS» ET 99999 POUR «REFUSÉ».]</t>
  </si>
  <si>
    <t>Ki kantite {ls_main} ou te genyen nan menm peryòd la ane pase?
[OPERATÈ: ANREJISTRE KANTITE ANIMAL YO. ANTRE 88888 POU PA KONNEN EPI 99999 POU REFIZE.]</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</si>
  <si>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</si>
  <si>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</si>
  <si>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</si>
  <si>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</si>
  <si>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Combien de {ls_main} avez-vous maintenant ?
[OPÉRATEUR/OPÉRATRICE: SAISIR LE NOMBRE D'ANIMAUX. ENTREZ 88888 POUR «NE SAIT PAS» ET 99999 POUR «REFUSÉ».]</t>
  </si>
  <si>
    <t>Ki kantite {ls_main} ou genyen kounyeya?
[OPERATÈ: ANREJISTRE KANTITE ANIMAL YO. ANTRE 88888 POU PA KONNEN EPI 99999 POU REFIZE.]</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</si>
  <si>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</si>
  <si>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</si>
  <si>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</si>
  <si>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</si>
  <si>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</si>
  <si>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ou volés
11)Davantage d'animaux abattus ou donnés pour la consommation du ménage ou pour des cérémonies [mariage / funérailles / etc.]
12)Autre
13)NE SAIT PAS
14)REFUSÉ</t>
  </si>
  <si>
    <t xml:space="preserve">Poukisa kantite bèt yo  chanje? 
[OPERATÈ: PLIZYÈ REPONS POSIB.]  
1)Pa gen gwo chanjman nan kantite bèt yo 
2)Pa te vann anpil 
3)Gen plis ti bet ki fet  
4)Te achte oswa te echanje plis animal ane sa a 
5)Te resevwa animal gratis [restokaj / kado] 
6)Animal yo te mouri akoz nitrisyon/ pwnblem sechres/ yo pat jwenn manje 
7)Bet yo mouri nan lòt kòz [maladi/ parazit/ yo blese] 
8)Te vann plis pase dabitid akoz bon pri 
9)Te vann plis pase dabitid akoz lavant destrès [pa anmezi pou nouri animal yo / bezwen plis lajan an ijans pou bezwen debaz fwaye a menm si lavant lan pa te dirab]
10)Bet yo te pati oswa yo te pèdi oswa yo te vole yo 
11)Te touye oswa bay plis bet pase dabitid pou konsomasyon fwaye a oswa pou selebrasyon [maryaj / fineray / elatriye] 
12)Lòt 
13)PA KONNEN 
14)REFIZE </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</si>
  <si>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</si>
  <si>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</si>
  <si>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</si>
  <si>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t>
  </si>
  <si>
    <t>ls_proddif</t>
  </si>
  <si>
    <t>Has your household faced any significant difficulty with livestock production over the last 3 months?
[OPERATOR: SINGLE RESPONSE.]
1)YES 
2)NO
3)DON'T KNOW
4)REFUSED</t>
  </si>
  <si>
    <t>Votre ménage a-t-il rencontré d'importantes difficultés en matière d'élevage au cours des trois derniers mois?
[OPÉRATEUR/OPÉRATRICE: RÉPONSE UNIQUE.]
1)OUI
2)NON
3)NE SAIT PAS
4)REFUSÉ</t>
  </si>
  <si>
    <t>Èske fanmi w te rankontre  anpil difikilte nan gade  bèt pandan 3 dènye mwa sa yo?
[OPERATÈ: YON SÈL REPONS.]
1)WI 
2)NON
3)PA KONNEN
4)REFIZE</t>
  </si>
  <si>
    <t>1=ls_proddif_2
2-4= [ls_salesmain OR optional question]</t>
  </si>
  <si>
    <t>if ls_proddif = 1, go to ls_proddif_2 ; 
if ls_proddif = 2-4, go to ls_salesmain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</si>
  <si>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</si>
  <si>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</si>
  <si>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</si>
  <si>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</si>
  <si>
    <t>Ki difikilte fanmi  an te rankontre nan gade  bèt  nan 3 dènye mwa sa yo?
[OPERATÈ: PLIZYÈ REPONS POSIB. SELEKSYON OPSYON KI PI BYEN APWOPRIYE AK ENFÒMASYON PATISIPAN YO TE BAY LA.]
1)Difikilte pou achte manje [pri oswa aksè nan mache]
2)Aksè nan patiraj
3)Aksè nan dlo
4)Aksè nan sèvis veterinè
5)Aksè nan entran veterinè [medikaman pou animal yo / zouti pou sante animal / elatriye]
6)Maladi oswa lanmò pami betay yo
7)Vòl betay yo
8)Aksè nan mache betay la pou achte jèn animal
9)Aksè nan kredi
10)Mendèv twò chè oswa pa gen ase revni pou anplwaye mendèv
11)Lòt
12)PA KONNEN
13)REFIZE</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</si>
  <si>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</si>
  <si>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</si>
  <si>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</si>
  <si>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</si>
  <si>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</si>
  <si>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</si>
  <si>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</si>
  <si>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</si>
  <si>
    <t>Ki prensipal bèt   oswa pwodwi betay fanmi an te vann nan 3 dènye mwa sa yo?
[OPERATÈ: YON SÈL REPONS. ENSISTE SOU PWODWI PRENSIPAL LA.]
1)Boven [vach / bèf / towo / yak / bif]
2)Kabrit
3)Mouton
4)Pòsin [kochon / sangliye / pò / elatriye]
5)Ekin [bourik / cheval / elatriye]
6)Ti mamifè ki domestike [lapen / vison / kòchon deng / elatriye]
7)Volay [poulè / pentad / kana / kay / kòdenn / elatriye]
8)Kamelid
9)Ze
10)Lèt oswa pwodwi abaz lèt
11)Po oswa kwi oswa lèn
12)PA KONNEN
13)REFIZE</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</si>
  <si>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</si>
  <si>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Form Type - Buttons
IsDemographic</t>
  </si>
  <si>
    <t>1-11 = ls_salesdif
12-13 = fish_intro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</si>
  <si>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</si>
  <si>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</si>
  <si>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</si>
  <si>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Votre ménage a-t-il rencontré d'importantes difficultés pour vendre ses {ls_salesmain} au cours des trois derniers mois ?
[OPÉRATEUR/OPÉRATRICE: RÉPONSE UNIQUE.]
1)Oui
2)Non
3)NE SAIT PAS
4)REFUSÉ</t>
  </si>
  <si>
    <t>Èske fanmi w te rankontre  difikilte nan 3 dènye mwa sa yo pou vann {ls_salesmain} ?
[OPERATÈ: YON SÈL REPONS.]
1)WI
2)NON
3)PA KONNEN
4)REFIZE</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</si>
  <si>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</si>
  <si>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</si>
  <si>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</si>
  <si>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</si>
  <si>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</si>
  <si>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</si>
  <si>
    <t xml:space="preserve">Ki difikilte fanmi w  te rankontre nan dènye 3 mwa sa yo lè nou t ap vann  {ls_salesmain} ? 
[OPERATÈ: PLIZYÈ REPONS POSIB. SELEKSYONE OPSYON (YO)KI PI BYEN APWOPRIYE AK ENFÒMASYON PATISIPAN AN TE BAY YO.] 
1)Frè transpò ki wo oswa frè maketin 
2)Machandiz pedi osinon pwoblem transpo osinon pwoblem pou rive nan mache 
3)Pa gen anpil demand bo kote komesan yo osinon kliyan ki abitye achte yo. 
4)Reta peman negosyan/ak moun kap achte osinon kliyan 
5)Fèb pri lavant [tankou parapò ak pri antre yo/enflasyone] 
6)Fèmti labatwa oswa difikilte pou jwenn aksè nan labatwa 
7)Difikilte pou trete pwodwi ki diferan de fèmti labatwa [mank aksè nan antre tretman / ekipman / elatriye] 
8)Mache foul [anpil konpetisyon pou menm  pwodwi a] 
9)Lòt 
10)PA KONNEN 
11)REFIZE </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</si>
  <si>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</si>
  <si>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</si>
  <si>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</si>
  <si>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</si>
  <si>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</si>
  <si>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</si>
  <si>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5)Légèrement inférieur
5)Très inférieur [moins de la moitié]
6)NE SAIT PAS
7)REFUSÉ</t>
  </si>
  <si>
    <t>Kijan pri aktyèl pwodwi {ls_salesmain} fanmi  an ye parapò ak pri an mwayèn nan menm peryòd nan ane ki sot pase a? 
[OPERATÈ: YON SÈL REPONS. ENSISTE SOU PWODWI PRENSIPAL KI MANSYONE A.]
1)Vrèman piplis [ogmante avèk plis pase 50%]
2)Lejèman piplis
3)Menm nan
4)Lejèman mwens
5)Vrèman mwens [mwens pase mwatye antou]
6)PA KONNEN
7)REFIZE</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</si>
  <si>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</si>
  <si>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</si>
  <si>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</si>
  <si>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</si>
  <si>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or harvest of fish and aquatic products.
1)CONTINUE</t>
  </si>
  <si>
    <t>Nous allons maintenant vous poser quelques questions sur la pêche et la production aquacole. Ces questions s'appliquent à vous et à toute personne de votre foyer impliquée dans la capture, l'élevage ou la récolte de poissons et de produits aquatiques.
1)CONTINUER</t>
  </si>
  <si>
    <t>Kounye a nou pral poze w kèk kesyon sou pwodiksyon pwason ak pwodiksyon akwakilti ki aplike avèk ou epi avèk nenpòt moun nan fanmi w ki enplike nan pwodiksyon oswa lavant pwason/aqwakilti.
1)KONTINYE</t>
  </si>
  <si>
    <t>Send if "income_main_fish_check" "Equals" "YES" Or "income_sec_fish_check" "Equals" "YES Or "income_third_fish_check" "Equals" "YES" Or "hh_fish" "Equals" "YES" if not satisfied go to "fies"</t>
  </si>
  <si>
    <t>1 = fish_main</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</si>
  <si>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</si>
  <si>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</si>
  <si>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</si>
  <si>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</si>
  <si>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</si>
  <si>
    <t>Ki tip aktivite (pwason) fanmi w jeneralman pratike?
[OPERATÈ: PLIZYÈ REPONS POSIB.]
1)Lapèch nan kot bo lanme
2)Lapèch nan gran lanmè
3)Lapèch nan dlo fre [tankou nan lak / etan / rivyè]
4)Akwakilti
5)PA KONNEN
6)REFIZE</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</si>
  <si>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</si>
  <si>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</si>
  <si>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</si>
  <si>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</si>
  <si>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</si>
  <si>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</si>
  <si>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5)Légèrement inférieure
5)Très inférieure [moins de la moitié]
6)NE SAIT PAS
7)REFUSÉ</t>
  </si>
  <si>
    <t>Kijan pwodiksyon pwason  an ye / kenbe nan 3 dènye mwa sa yo parapò ak menm peryòd nan ane pase a?
[OPERATÈ: YON SÈL REPONS.]
1)Vrèman piplis [ogmante avèk plis pase 50%]
2)Lejèman piplis
3)Menm nan
4)Lejèman mwens
5)Vrèman mwens [mwens pase mwatye antou]
6)PA KONNEN
7)REFIZE</t>
  </si>
  <si>
    <t>1-7 = fish_proddif</t>
  </si>
  <si>
    <t>if fish_change = 1-7, go to fish_proddif</t>
  </si>
  <si>
    <t>fish_proddif</t>
  </si>
  <si>
    <t>Has your household faced any significant difficulty with fish catch / harvest / farming in the last 3 months?
[OPERATOR: SINGLE RESPONSE.]
1)YES
2)NO
3)DON'T KNOW
4)REFUSED</t>
  </si>
  <si>
    <t>Votre ménage a-t-il rencontré d’importantes difficultés avec la pêche / la récolte / l'élevage au cours des 3 derniers mois?
[OPÉRATEUR/OPÉRATRICE: RÉPONSE UNIQUE.]
1)OUI
2)NON
3)NE SAIT PAS
4)REFUSÉ</t>
  </si>
  <si>
    <t>Èske fanmi  an te rankontre  difikilte avèk pwodiksyon pwason ak pwodiksyon akwakilti nan dènye 3 mwa sa yo?
[OPERATÈ: YON SÈL REPONS.]
1)WI
2)NON
3)PA KONNEN
4)REFIZE</t>
  </si>
  <si>
    <t>1=fish_proddif_2
2-4= [fish_salesmain OR optional question]</t>
  </si>
  <si>
    <t xml:space="preserve">if fish_proddif = 1, go to fish_proddif_2 ; 
if fish_proddif = 2-4, go to fish_salesmain </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</si>
  <si>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</si>
  <si>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</si>
  <si>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</si>
  <si>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</si>
  <si>
    <t xml:space="preserve">Èske fanmi an te rankontre  difikilte nan peche pwason  nan dènye 3 mwa sa yo? 
[OPERATÈ/OPERATEZ : PLIZYÈ REPONS POSIB. SELEKSYONE OPSYON (YO)KI PLIS APWOPRIYE AK ENFÒMASYON PATISIPAN AN TE BAY LA.]
1)Li plis difisil pou jwenn pwason  nan ane pase a nan menm sezon an 
2)Parazit ak maladi pwason [akwakilti]
3)Aksè ak zone pou la peche egzanp. move kondisyon metyowolojik ou sekirite  
4)Akse a gaz [two cher/pa disponib] 
5)Aksè ak materyèl lapèch  oswa lòt entran [pri yo pi wo oswa pa disponib] 
6)Mendèv la twò chè oswa revni an pase ase pou anplwaye/pa gen mendev 
7)Domaj/enfrastrikti etwi  
8)Domaj/bato detwi/materyel peche yo detwi 
9)Lòt [presize] 
10)PA KONNEN 
11)REFIZE </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</si>
  <si>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</si>
  <si>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</si>
  <si>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 xml:space="preserve">If fish_proddif_2 = 1-11, go to fish_salesmain </t>
  </si>
  <si>
    <t>F. FISHERIES MARKETING</t>
  </si>
  <si>
    <t>fish_salesmain</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</si>
  <si>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</si>
  <si>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</si>
  <si>
    <t>Kisa ki te prensipal pwodwi pwason fanmi  an te vann nan 3 dènye mwa sa yo?
[OPERATÈ: YON SÈL REPONS.]
1)Pwason fre [nenpòt tip]
2)Pwason sèch [nenpòt tip]
3)Pwason fime
4)Fwidmè [nenpòt tip]
5)Lòt [presize]
6)PA KONNEN
7)REFIZE</t>
  </si>
  <si>
    <t>Send if "income_main" "Equals" "Production and sale of fish or aquatic products" Or "income_sec" "Equals" "Production and sale of fish or aquatic products" Or "income_third" "Equals" "Production and sale of fish or aquatic products" if not satisfied go to "fies"</t>
  </si>
  <si>
    <t>Form Type - RadioList
IsDemographic</t>
  </si>
  <si>
    <t>1-5 = fish_salesdif
6-7 = fies</t>
  </si>
  <si>
    <t>If either income_main or income_sec or income_third = "Production and sale of fish or aquatic products", then this section will be asked to respondents.
Otherwise, skip to fies.
if fish_salesmain = 1-5, go to fish_salesdif
if fish_salesmain = 6-7, go to fies</t>
  </si>
  <si>
    <t>fish_salesdif</t>
  </si>
  <si>
    <t>Has your household faced any significant difficulty marketing / selling your {fish_salesmain} in the last 3 months?
[OPERATOR: SINGLE RESPONSE]
1)YES
2)NO
3)DON'T KNOW
4)REFUSED</t>
  </si>
  <si>
    <t>Votre ménage a-t-il rencontré d'importantes difficultés pour commercialiser / vendre ses {fish_salesmain} au cours des trois derniers mois?
[OPÉRATEUR/OPÉRATRICE: RÉPONSE UNIQUE.]
1)OUI
2)NON
3)NE SAIT PAS
4)REFUSÉ</t>
  </si>
  <si>
    <t>Èske fanmi w te rankontre  difikilte nan 3 dènye mwa sa yo pou vann {fish_salesmain} nou an?
[OPERATÈ: YON SÈL REPONS]
1)WI
2)NON
3)PA KONNEN
4)REFIZE</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</si>
  <si>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</si>
  <si>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</si>
  <si>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</si>
  <si>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</si>
  <si>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</si>
  <si>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</si>
  <si>
    <t>Ki difikilte fanmi w te rankontre nan 3 dènye mwa sa yo pou vann {fish_salesmain} nou an?
[OPERATÈ: PLIZYÈ REPONS POSIB. SELEKSYONE OPSYON (YO)KI PLIS APWOPRIYE AK ENFÒMASYON PATISIPAN AN TE BAY LA.]
1)Frè transpò ki wo oswa frè maketin
2)Domaj ak pèt akoz difikilte oswa reta oswa mank kapasite pou jwenn aksè fizikman nan mache yo pou jwenn aksè nan mache yo
3)Komèsan jeneral oswa kliyan lokal yo pa achte menm kantite abityèl la / reta nan peman
4) Reta peman negosyan / ak moun kap achte osinon kliyan
5)Fèb pri lavant [tankou parapò ak pri antre yo / enflasyone]
6)Difikilte pou trete pwodwi [mank aksè nan antre tretman / ekipman / elatriye]
7)Mache foul [anpil konpetisyon pou pwodwi]
8)Lòt
9)PA KONNEN
10)REFIZE</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</si>
  <si>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</si>
  <si>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</si>
  <si>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</si>
  <si>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</si>
  <si>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</si>
  <si>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5)Inférieur
5)Très inférieur [moins de la moitié]
6)NE SAIT PAS
7)REFUSÉ</t>
  </si>
  <si>
    <t>Kijan aktyèl pri {fish_salesmain} fanmi an vann parapò ak pri an mwayèn nan menm peryòd nan ane ki sot pase a?
[OPERATÈ: YON SÈL REPONS. ENSISTE SOU PRENSIPAL PWODWI A KI MANSYONE A.]
1)Vrèman piplis [ogmante avèk plis pase 50%]
2)Lejèman piplis
3)Menm nan
4)Lejèman mwens
5)Vrèman mwens [mwens pase mwatye antou]
6)PA KONNEN
7)REFIZE</t>
  </si>
  <si>
    <t>1-7 = fies_intro</t>
  </si>
  <si>
    <t>if fish_salesprice =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</si>
  <si>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</si>
  <si>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</si>
  <si>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</si>
  <si>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</si>
  <si>
    <t>Kounyeya mwen ta renmen poze w kèk kesyon sou konsomasyon alimantè, itilizasyon alimantè ak mekanis adaptasyon yo. Asire ou fè referans ak peryòd tan ki kòrèk la pou chak kesyon. Premye  kesyon yo fè referans ak manm nan fwaye w  pandan dènye 30 jou yo. 
[OPERATÈ: YON SÈL REPONS]
1)PWOCHEN</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</si>
  <si>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</si>
  <si>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</si>
  <si>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</si>
  <si>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</si>
  <si>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</si>
  <si>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Au cours de ces 30 derniers jours, vous ou un membre de votre ménage avez-vous été inquiet[e]s de ne pas avoir suffisamment de nourriture par manque d’argent ou d’autres ressources?
[OPÉRATEUR/OPÉRATRICE: RÉPONSE UNIQUE.]
1)OUI
2)NON
3)NE SAIT PAS
4)REFUSÉ</t>
  </si>
  <si>
    <t>Pandan dènye 30 jou ki sot pase, èske te gen yon lè ou te ka pa gen ase manje pou ou mange paske ou pat gen ase lajan oswa resous?
[OPERATÈ: YON SÈL REPONS]
1)WI
2)NON
3)PA KONNEN
4)REFIZE</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</si>
  <si>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</si>
  <si>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</si>
  <si>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</si>
  <si>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</si>
  <si>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Au cours des 30 derniers jours, vous ou un autre membre de votre ménage n'avez-vous pas pu manger une nourriture saine det nutritive par manque d’argent ou d’autres ressources?
[OPÉRATEUR/OPÉRATRICE: RÉPONSE UNIQUE.]
1)OUI
2)NON
3)NE SAIT PAS
4)REFUSÉ</t>
  </si>
  <si>
    <t>Pandan dènye 30 jou ki sot pase yo, èske te gen yon lè ou pat kapab manje manje sen ak nourisan paske ou pat gen ase lajan oswa lòt resous?
[OPERATÈ: YON SÈL REPONS]
1)WI
2)NON
3)PA KONNEN
4)REFIZE</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</si>
  <si>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</si>
  <si>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</si>
  <si>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</si>
  <si>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</si>
  <si>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Au cours des 30 derniers jours, vous ou un autre membre de votre ménage avez-vous mangé une nourriture peu variée par manque d’argent ou d’autres ressources?
[OPÉRATEUR/OPÉRATRICE: RÉPONSE UNIQUE.]
1)OUI
2)NON
3)NE SAIT PAS
4)REFUSÉ</t>
  </si>
  <si>
    <t>Pandan dènye 30 jou ki sot pase yo,  èske te gen yon lè ou te manje kèk kalite manje sèlman paske ou pat gen ase lajan oswa lòt resous?
[OPERATÈ: YON SÈL REPONS]
1)WI
2)NON
3)PA KONNEN
4)REFIZE</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</si>
  <si>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</si>
  <si>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</si>
  <si>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</si>
  <si>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</si>
  <si>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Au cours des 30 derniers jours, vous ou un autre membre de votre ménage avez-vous dû sauter un repas par manque d’argent ou d’autres ressources?
[OPÉRATEUR/OPÉRATRICE: RÉPONSE UNIQUE.]
1)OUI
2)NON
3)NE SAIT PAS
4)REFUSÉ</t>
  </si>
  <si>
    <t>Pandan dènye 30 jou ki sot pase yo, èske te gen yon lè ou te oblije sote yon repa paske pat gen ase lajan oswa lòt resous pou jwenn manje
[OPERATÈ: YON SÈL REPONS]
1)WI
2)NON
3)PA KONNEN
4)REFIZE</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</si>
  <si>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</si>
  <si>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</si>
  <si>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</si>
  <si>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</si>
  <si>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</si>
  <si>
    <t>Pandan dènye 30 jou ki sot pase yo, èske te gen yon lè ou te manje mwens pase sa ou panse ou ta dwe manje paske pat gen ase lajan oswa lòt resous?
[OPERATÈ: YON SÈL REPONS]
1)WI
2)NON
3)PA KONNEN
4)REFIZE</t>
  </si>
  <si>
    <t>1-4 = fies_ranout</t>
  </si>
  <si>
    <t>if fies_ateless = 1-4, go to fies_ranout</t>
  </si>
  <si>
    <t>fies_ranout</t>
  </si>
  <si>
    <t>In the past 30 days, was there ever no food to eat of any kind in your house because of lack of resources to get food?
[OPERATOR: SINGLE RESPONSE]
1)YES
2)NO
3)DON'T KNOW
4)REFUSED</t>
  </si>
  <si>
    <t>Au cours des 30 derniers jours, n'y avait-il aucun aliment à manger, de quelque nature que ce soit, dans votre foyer, en raison du manque de ressources pour se procurer de la nourriture?
[OPÉRATEUR/OPÉRATRICE: RÉPONSE UNIQUE.]
1)OUI
2)NON
3)NE SAIT PAS
4)REFUSÉ</t>
  </si>
  <si>
    <t>Pandan dènye 30 jou ki sot pase yo, èske te gen yon lè lakay ou te vin ret san manje paske pat gen ase lajan oswa lòt resous?
[OPERATÈ: YON SÈL REPONS]
1)WI
2)NON
3)PA KONNEN
4)REFIZE</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</si>
  <si>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</si>
  <si>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</si>
  <si>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</si>
  <si>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</si>
  <si>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Combien de fois cela s'est-il produit?
[OPÉRATEUR/OPÉRATRICE: RÉPONSE UNIQUE]
1)Rarement [1 ou 2 fois au cours des 30 derniers jours]
2)Parfois [entre 3 et 10 fois au cours des 30 derniers jours]
3)Souvent [plus de 10 fois au cours des 30 derniers jours]
4)NE SAIT PAS
5)REFUSÉ</t>
  </si>
  <si>
    <t>Konbyen fwa sa te rive?
[OPERATÈ: YON SÈL REPONS]
1)Raman [1-2 fwa nan 30 dènye jou yo]
2)Pafwa [3-10 fwa nan dènye 30 jou yo]
3)Souvan [plis pase 10 fwa nan dènye 30 jou yo]
4)PA KONNEN
5)REFIZE</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</si>
  <si>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</si>
  <si>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</si>
  <si>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</si>
  <si>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</si>
  <si>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Au cours des 30 derniers jours, etiez-vous ou un membre de votre ménage obligé de dormir affamé le soir parce qu'il n'y avait pas assez de nourriture ?
[OPÉRATEUR/OPÉRATRICE: RÉPONSE UNIQUE.]
1)OUI
2)NON
3)NE SAIT PAS
4)REFUSÉ</t>
  </si>
  <si>
    <t>Pandan dènye 30 jou ki sot pase yo toujou, èske te gen yon lè ou  te grangou men ou pat manje paske pat gen ase lajan oswa resous pou manje?
[OPERATÈ: YON SÈL REPONS]
1)WI
2)NON
3)PA KONNEN
4)REFIZE</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</si>
  <si>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</si>
  <si>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</si>
  <si>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</si>
  <si>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</si>
  <si>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</si>
  <si>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</si>
  <si>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</si>
  <si>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Au cours des 30 derniers jours, avez-vous ou un membre de votre ménage passé un jour et une nuit entière sans rien manger parce qu'il n'y avait pas assez de nourriture?
[OPÉRATEUR/OPÉRATRICE: RÉPONSE UNIQUE.]
1)OUI
2)NON
3)NE SAIT PAS
4)REFUSÉ</t>
  </si>
  <si>
    <t>Pandan dènye 30 jou yo, èske te gen de lè ou pat manje pandan tout yon jounen paske ou pat gen ase lajan oswa lòt resous?
[OPERATÈ: YON SÈL REPONS]
1)WI
2)NON
3)PA KONNEN
4)REFIZE</t>
  </si>
  <si>
    <t>1=fies_whlday_hhs
2-4 = [lcsi_intro OR hdds]</t>
  </si>
  <si>
    <t xml:space="preserve">if fies_whlday = 1, go to fies_whlday_hhs. Otherwise, go to lcsi_intro </t>
  </si>
  <si>
    <t>fies_whlday_hhs</t>
  </si>
  <si>
    <t>1-5 = [lcsi_intro OR hdds]</t>
  </si>
  <si>
    <t xml:space="preserve">if fies_whlday_hhs = 1-5, go to lcsi_intro </t>
  </si>
  <si>
    <t>lcsi_intro</t>
  </si>
  <si>
    <t>Now I would like to ask you another set of questions on coping strategies, referring to the past 30 days.
[OPERATOR: SINGLE RESPONSE]
1)NEXT</t>
  </si>
  <si>
    <t>Je voudrais maintenant vous poser une autre série de questions sur les stratégies d'adaptation que vous avez mises en place au cours des 30 derniers jours.
[OPÉRATEUR/OPÉRATRICE: RÉPONSE UNIQUE]
1)CONTINUER</t>
  </si>
  <si>
    <t>Kounyeya mwen ta renmen poze w kesyon sou yèm seri kesyon sou estrateji adaptasyon yo, ki konsène 30 dènye jou sa yo.
[OPERATÈ: YON SÈL REPONS]
1)PWOCHEN</t>
  </si>
  <si>
    <t>1 = [next question]</t>
  </si>
  <si>
    <t>For any response go to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</si>
  <si>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</si>
  <si>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</si>
  <si>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</si>
  <si>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</si>
  <si>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</si>
  <si>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yon moun nan fanmi ou te oblije vann byen/materyèl nan kay [radyo, mèb, televizyon, bijou, elatriye] paske yo pa te genyen ase manje oswa lajan? 
[OPERATÈ: YON SÈL REPONS]
1)Wi
2)Non - paske li pa te nesesè
3)Non - paske ou te vann achte byen sa yo oswa ou te fè aktivite sa nan lespas 12 mwa epi ou pa ka kontinye fè l
4)Pa aplikab
5)PA KONNEN
6)REFIZE</t>
  </si>
  <si>
    <t>1-6 = [next question]</t>
  </si>
  <si>
    <t>For any response go to cs_stress_eat_elsewhere</t>
  </si>
  <si>
    <t>cs_stress_eat_elsewhere</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</si>
  <si>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</si>
  <si>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</si>
  <si>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voye manm  nan fanmi an  manje lòt kote paske pa te genyen ase manje oswa lajan?
[OPERATÈ: YON SÈL REPONS]
1)Wi
2)Non - paske li pa te nesesè
3)Non - paske ou te vann achte byen sa yo oswa ou te fè aktivite sa nan lespas 12 mwa epi ou pa ka kontinye fè l
4)Pa aplikab
5)PA KONNEN
6)REFIZE</t>
  </si>
  <si>
    <t>For any response, go to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</si>
  <si>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</si>
  <si>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</si>
  <si>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</si>
  <si>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achte manje sou kredi oswa te prete manje paske pa te genyen ase manje oswa lajan?
[OPERATÈ: YON SÈL REPONS]
1)Wi
2)Non - paske li pa te nesesè
3)Non - paske ou te deja vann byen sa yo oswa ou te fè aktivite sa nan lespas 12 mwa epi ou pa ka kontinye fè l
4)Pa aplikab
5)PA KONNEN
6)REFIZE</t>
  </si>
  <si>
    <t>For any response, go to cs_stress_sold_more_animals</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</si>
  <si>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</si>
  <si>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</si>
  <si>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</si>
  <si>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yon moun nan fanmi  w te oblije vann plis bèt  pase sa li te dwe vann paske pa te genyen ase manje oswa lajan?
[OPERATÈ: YON SÈL REPONS]
1)Wi
2)Non - paske li pa te nesesè
3)Non - paske ou te deja vann byen sa yo oswa ou te fè aktivite sa nan lespas 12 mwa epi ou pa ka kontinye fè l
4)Pa aplikab
5)PA KONNEN
6)REFIZE</t>
  </si>
  <si>
    <t>For any response, go to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</si>
  <si>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</si>
  <si>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</si>
  <si>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</si>
  <si>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vann byen ki pwodiktif oswa mwayen transpò [machin pou koud, bourèt, bisiklèt, machin, elatriye] paske pa te genyen ase manje oswa lajan?
[OPERATÈ: YON SÈL REPONS]
1)Wi
2)Non - paske li pa te nesesè
3)Non - paske ou te deja vann byen sa yo oswa ou te fè aktivite sa nan lespas 12 mwa epi ou pa ka kontinye fè l
4)Pa aplikab
5)PA KONNEN
6)REFIZE</t>
  </si>
  <si>
    <t>For any response, go to cs_crisis_no_school</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</si>
  <si>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</si>
  <si>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</si>
  <si>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retirer les enfants de l'école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</si>
  <si>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retire timoun lekòl paske pa te genyen ase manje oswa lajan?
[OPERATÈ: YON SÈL REPONS]
1)Wi
2)Non - paske li pa te nesesè
3)Non - paske ou te deja vann byen sa yo oswa ou te fè aktivite sa nan lespas 12 mwa epi ou pa ka kontinye fè l
4)Pa aplikab
5)PA KONNEN
6)REFIZE</t>
  </si>
  <si>
    <t>For any response, go to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</si>
  <si>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</si>
  <si>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</si>
  <si>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</si>
  <si>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redwi nan depans sou sante yo [ki gen ladan medikaman]paske pa te genyen ase manje oswa lajan?
[OPERATÈ: YON SÈL REPONS]
1)Wi
2)Non - paske li pa te nesesè
3)Non - paske ou te deja vann byen sa yo oswa ou te fè aktivite sa nan lespas 12 mwa epi ou pa ka kontinye fè l
4)Pa aplikab
5)PA KONNEN
6)REFIZE</t>
  </si>
  <si>
    <t>For any response, go to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</si>
  <si>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</si>
  <si>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</si>
  <si>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</si>
  <si>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mande paske pa te genyen ase manje oswa lajan?
[OPERATÈ: YON SÈL REPONS]
1)Wi
2)Non - paske li pa te nesesè
3)Non - paske ou te deja vann byen sa yo oswa ou te fè aktivite sa nan lespas 12 mwa epi ou pa ka kontinye fè l
4)Pa aplikab
5)PA KONNEN
6)REFIZE</t>
  </si>
  <si>
    <t>For any response, go to cs_emergency_illegal</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</si>
  <si>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</si>
  <si>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</si>
  <si>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</si>
  <si>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fanmiw  w te oblije angaje nan aktivite ilegal oswa aktivite ki bese valè moun pou genyen yon revni paske pa te genyen ase manje oswa lajan?
[OPERATÈ: YON SÈL REPONS]
1)Wi
2)Non - paske li pa te nesesè
3)Non - paske ou te deja vann byen sa yo oswa ou te fè aktivite sa nan lespas 12 mwa epi ou pa ka kontinye fè l
4)Pa aplikab
5)PA KONNEN
6)REFIZE</t>
  </si>
  <si>
    <t>For any response, go to cs_emergency_hh_migration</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</si>
  <si>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</si>
  <si>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</si>
  <si>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</si>
  <si>
    <t>Pandan 30 dènye jou sa yo, èske  moun nan fanmi w te oblije emigre/kite lakay a paske pa te genyen ase manje oswa lajan?
[OPERATÈ: YON SÈL REPONS]
1)Wi
2)Non - paske li pa te nesesè
3)Non - paske ou te deja vann byen sa yo oswa ou te fè aktivite sa nan lespas 12 mwa epi ou pa ka kontinye fè l
4)Pa aplikab
5)PA KONNEN
6)REFIZE</t>
  </si>
  <si>
    <t>For any response go to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</si>
  <si>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</si>
  <si>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</si>
  <si>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</si>
  <si>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</si>
  <si>
    <t>Kounyeya mwen ta renmen poze w kesyon sou 3yèm seri kesyon sou konsomasyon alimantè, ki refere ak 24 èdtan yè yo. Tanpri dekri manje (repa ak ti goute)ke oumenm oswa nenpòt moun nan fanmiw te manje oswa te bwè lakay nou yè (nan 24 èdtan yè yo: dejne, manje midi, dine ak ti goute).
[OPERATÈ: SELEKSYONE TOUT GWOUP MANJE KI TE KONSOME NAN 24 ÈDTAN YÈ YO JAN PATISIPAN AN REPONN NAN. PLIZYÈ REPONS POSIB.]
1)Cereyal [sògo / pitimi / mayi / ble / diri / espageti / pen oswa antre nenpòt grenn ki disponib nan lokalite a]
2)rasin ak tibèkil [patat blan / pòmdetè / yanm / manyòk oswa lòt tibèkil]
3)Legim [tout]
4)Fwi [tout]
5)Vyann / volay ak abat [bèf / kochon / mouton / kabrit / lapen / jibye sovaj / poulè / kana / fwa / ren / kè / oswa lòt vyann ògàn]
6)Ze
7)Pwason oswa kristase [pwason fre oswa pwason sèch]
8)Legim / grenn ak nwa [ariko / pwa / pistach / lantiy / zanmann / lòt grenn]
9)Lèt ak lòt pwodwi abaz lèt [lèt fre / asid / yogout / fwomaj / lòt pwodwi abaz lèt]
10)Lwil ak grès [kizin / bè / magarin / grès / lwil / lòt lwil]
11)Sik ak pwodwi abaz sikre [myèl / konfiti / benyè / sirèt / chokola / biswit / sikreri / gato ak lòt pwodwi ki dous]
12)Asezònman [kokoye / sèl / lay / epis / levi / poud patisri / tomat owa sòs tomat / vyann oswa pwason kòm asezònman] ak kafe / dite</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</si>
  <si>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</si>
  <si>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</si>
  <si>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</si>
  <si>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</si>
  <si>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</si>
  <si>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</si>
  <si>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</si>
  <si>
    <t>[OPERATÈ: SONJE POU MANDE POU TI GOUTE TOU, MANJE ESPESYAL YO BAY TIMOUN OSWA FANM ANSENT, ENGREDYAN NAN PLA MELANJE. ALAFEN MANDE POU GWOUP MANJE KI MANSYONE YO.
SI OU TE DEJA MANDE YO, KLIKE SOU KONTINYE. OTREMAN, RETOUNEN POU ASIRE KE TOUT GWOUP MANJE KI KONSOME PANDAN 24 ÈDTAN YÈ YO TE SELEKSYONE.]
1)KONTINYE</t>
  </si>
  <si>
    <t>1 = need or next question</t>
  </si>
  <si>
    <t>if hdds_confirmation = 1, go to need or optional question</t>
  </si>
  <si>
    <t>fcs_intro</t>
  </si>
  <si>
    <t xml:space="preserve">Now I would like to ask you about the foods and drinks your household ate or drank in the last 7 days during the day and at night [breakfast, lunch, dinner, snacks]. 
1)CONTINUE
</t>
  </si>
  <si>
    <t>Je voudrais maintenant vous interroger sur les aliments et les boissons consommés dans votre ménage au cours des 7 derniers jours pendant la journée et la nuit [petit-déjeuner, déjeuner, dîner, collations].
1)CONTINUER</t>
  </si>
  <si>
    <t>Need translation</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</si>
  <si>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</si>
  <si>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</si>
  <si>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</si>
  <si>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</si>
  <si>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</si>
  <si>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</si>
  <si>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</si>
  <si>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</si>
  <si>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</si>
  <si>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</si>
  <si>
    <t>0-7 = fcs_vegetables_days</t>
  </si>
  <si>
    <t>For any response, go to fcs_vegetables_days</t>
  </si>
  <si>
    <t>fcs_vegetables_days</t>
  </si>
  <si>
    <t>How many days over the last 7 days, did members of your household eat vegetables or leaves such as Tomates, aubergines, oignons, carote and/or other leaves/vegetables?
[OPERATOR: RECORD NUMBER OF DAYS 0 - 7] 
[HINT: IF CONSUMED ONLY IN SMALL QUANTITY, DO NOT INCLUDE.]</t>
  </si>
  <si>
    <t>Combien de fois [en nombre de jours] au cours des 7 derniers jours, les membres de votre foyer ont-ils mangé des légumes ou des feuilles tels que des $local vegetables FR$ et/ou d'autres feuilles/légumes?
[OPÉRATEUR/OPÉRATRICE: SAISIR LE NOMBRE DE JOURS DE 0 À 7.]
[CONSEIL : SI CONSOMMÉ UNIQUEMENT EN PETITE QUANTITÉ, NE PAS INCLURE.]</t>
  </si>
  <si>
    <t>0-7 = fcs_fruit_days</t>
  </si>
  <si>
    <t>For any response, go to fcs_fruit_days</t>
  </si>
  <si>
    <t>fcs_fruit_days</t>
  </si>
  <si>
    <t>How many days over the last 7 days, did members of your household eat fruit such as Mangue, pastèque, oranges, papaye and/or other fruits?
[OPERATOR: RECORD NUMBER OF DAYS 0 - 7]
[HINT: IF CONSUMED ONLY IN SMALL QUANTITY, DO NOT INCLUDE.]</t>
  </si>
  <si>
    <t>Combien de fois [en nombre de jours] au cours des 7 derniers jours, les membres de votre foyer ont-ils mangé des fruits tels que des $local fruits FR$ et/ou d'autres fruits?
[OPÉRATEUR/OPÉRATRICE: SAISIR LE NOMBRE DE JOURS DE 0 À 7.]
[CONSEIL : SI CONSOMMÉ UNIQUEMENT EN PETITE QUANTITÉ, NE PAS INCLURE.]</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</si>
  <si>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</si>
  <si>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</si>
  <si>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</si>
  <si>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</si>
  <si>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</si>
  <si>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</si>
  <si>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</si>
  <si>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</si>
  <si>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</si>
  <si>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</si>
  <si>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</si>
  <si>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</si>
  <si>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</si>
  <si>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</si>
  <si>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</si>
  <si>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</si>
  <si>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</si>
  <si>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</si>
  <si>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</si>
  <si>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</si>
  <si>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</si>
  <si>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</si>
  <si>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</si>
  <si>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</si>
  <si>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</si>
  <si>
    <t>0-7 = rcsi_intro</t>
  </si>
  <si>
    <t>For any response, go to o_hh_association</t>
  </si>
  <si>
    <t>H. NEEDS ASSISTANCE</t>
  </si>
  <si>
    <t>o_hh_association</t>
  </si>
  <si>
    <t>How many associations/cooperations/churches/unions are you our any member of your household part of that can help you in case of need? 
[OPERATOR: INSERT "0" IF THEY ARE NOT PART OF OR CANNOT RELY ON ANY, INSERT "99" IF DON'T KNOW AND "88" IF REFUSED.]</t>
  </si>
  <si>
    <t xml:space="preserve">De combien d'associations/coopérations/églises/unions faites-vous partie, vous ou un membre de votre foyer, qui peuvent vous aider en cas de besoin ?
[OPÉRATEUR/OPÉRATRICE: ENTREZ "0" S'ILS NE FONT PAS PARTIE, ENTREZ "99" POUR "NE SAIT PAS" ET "88" POUR «REFUSÉ»]  </t>
  </si>
  <si>
    <t>Nan konbyen asosyasyon/kowoperasyon/legliz/inyon ou ye oswa yon manm lakay ou fè pati ki ka ede w nan moman ou bezwen?
[OPERATÈ: ANTRE "0" si okenn, "88" POU REFIZE EPI "99" POU PA KONNEN.]</t>
  </si>
  <si>
    <t>For any response go to o_hh_friends</t>
  </si>
  <si>
    <t>o_hh_friends</t>
  </si>
  <si>
    <t>How many friends or relatives outside of your household can you or your household rely on in case of need? 
[OPERATOR: INSERT "0" IF THEY ARE NOT PART OF OR CANNOT RELY ON ANY, INSERT "99" IF DON'T KNOW AND "88" IF REFUSED.]</t>
  </si>
  <si>
    <t xml:space="preserve">Sur combien d'amis ou de parents en dehors de votre foyer pouvez-vous compter en cas de besoin ?
[OPÉRATEUR/OPÉRATRICE: ENTREZ "0" S'ILS NE FONT PAS PARTIE, ENTREZ "99" POUR "NE SAIT PAS" ET "88" POUR «REFUSÉ»]  </t>
  </si>
  <si>
    <t>Sou konbyen zanmi oswa fanmi andeyò lakay ou ka konte sou yo lè ou bezwen?
[OPERATÈ: ANTRE "0" si yo pa ka konte sou pèsonn, "88" POU REFIZE EPI "99" POU PA KONNEN.]</t>
  </si>
  <si>
    <t>For any response, go to need</t>
  </si>
  <si>
    <t>need</t>
  </si>
  <si>
    <t>Does your household need assistance for agricultural activities [including crop, livestock and fisheries/aquaculture activities] over the next 3 to 6 months?
[OPERATOR: SINGLE RESPONSE.]
1)YES
2)NO
3)DON'T KNOW
4)REFUSED</t>
  </si>
  <si>
    <t>Votre ménage aura-t-il besoin d'aide pour soutenir son activité agricole [cultures, élevage et pêche/aquaculture] au cours des 3 à 6 prochains mois ?  
[OPÉRATEUR/OPÉRATRICE: RÉPONSE UNIQUE.]
1)OUI
2)NON
3)NE SAIT PAS
4)REFUSÉ</t>
  </si>
  <si>
    <t>Èske fanmi w bezwen asistans pou aktivite agrikol yo [kilti, elvaj, peche, akwakilti] pandan pwochen 3 a 6 mwa sa yo? 
[OPERATÈ: YON SÈL REPONS.]
1)WI
2)NON
3)PA KONNEN
4)REFIZE</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</si>
  <si>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</si>
  <si>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</si>
  <si>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households involved in agricultural production [crop, livestock and/or fish].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</si>
  <si>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</si>
  <si>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</si>
  <si>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</si>
  <si>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</si>
  <si>
    <t>Ki pi gwo bezwen fanmi w genyen pou asistans nan pwochen 3 a 6 mwa sa yo?
[OPERATÈ: PLIZYÈ REPONS. PA LI OPSYON YO SI POSIB.]
1)Manje 
2)Lajan kach 
3)Bon dacha/fwa pou ka achte entran  
4)Antre pou pwodiksyon agrikòl [egzanp semans, pestisid, zouti]  
5)Enfrastrikti pou pwodiksyon agrikòl [pa egzanp, irigasyon, reyabilitasyon kanal, ponp] 
6)Fòmasyon ak konsèy teknik pou pwodiksyon agrikòl 
7)Manje pou bèt [foujè oswa manje konplemantè] 
8) Sèvis veterinè [egzanp vaksinasyon, plonje] 
9) Enfrastrikti pou bèt [egzanp pwen dlo, koridò transhumans, abri, pwen sante] 
10)Fòmasyon ak konsèy teknik pou pwodiksyon bèt 
11) Materyel pou pwodiksyon pwason oswa akwakilti 
12)Enfrastrikti pou lapèch oswa akwakilti [pa egzanp, reyabilitasyon pò a, redevlopman letan] 
13)Fòmasyon ak konsèy teknik pou lapèch oswa akwakilti 
14)Reyabilitasyon anviwònman oswa enfrastrikti [nan tout kominote a] 
15)Depo nan frijidè 
16)Sipò pou maketing oswa lavant [egzanp akizisyon piblik] 
17)Lòt [presize] 
18)PA KONNEN 
19)REFIZE</t>
  </si>
  <si>
    <t xml:space="preserve">Open Ended - Select All That Apply </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</si>
  <si>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</si>
  <si>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</si>
  <si>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</si>
  <si>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</si>
  <si>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</si>
  <si>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</si>
  <si>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</si>
  <si>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</si>
  <si>
    <t xml:space="preserve">Eske fanmiw te fanmi w te jwenn asistans pandan 3 a 6 mwa sa yo, si wi ki sa li te ye? 
[OPERATÈ/Operatez : PLIZYÈ REPONS.  LI OPSYON YO SI POSIB.] 
1)Manje 
2)Lajan kach 
3)Bon dacha/fwa pou ka achte entran 
4)Sipò pou pwodiksyon agrikòl
5)Sipò pou bèt
6)Sipò pou lapèch ak/oswa akwakilti
7)Reyabilitasyon anviwònman oswa enfrastrikti [nan nivo kominote] 
8)Ede remonte komes/vann [egzanp akonpayeman pou ka jwenn kontra ak gwo kliyan] 
9)Lòt [presize] 
10)Anyen 
11)PA KONNEN 
12)REFIZE </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</si>
  <si>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</si>
  <si>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</si>
  <si>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</si>
  <si>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</si>
  <si>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</si>
  <si>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</si>
  <si>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</si>
  <si>
    <t>Eskew satisfe de kalite ed ou resevwa?
[OPERATÈ: YON SEL REPONS. KALITE ASISTANS, SI LI ASE POU LI REPONN AK DIFIKILTE PWODIKSYON OU VANT]
1)Wi 
2)Non- m pa jwenn li nan moman kem bezwen li an 
3)Non- li pa reponn ak bezwenm yo 
4)Non- kantite m jwenn nan pa sifi 
5)Non- Te gen yon pwoblem ak moun ki te bay li a. 
6)Non- sa pat byen pase le yo te bay materyel yo (egzanp, kalite zouti yo pat bon) 
7) PA KONNEN
8) REFIZE</t>
  </si>
  <si>
    <t>1-8 = [callback or optional question]</t>
  </si>
  <si>
    <t xml:space="preserve">if assistance_quality = 1-8, go to callback </t>
  </si>
  <si>
    <t>I. CLOSING</t>
  </si>
  <si>
    <t>callback</t>
  </si>
  <si>
    <t>Your answers will help us to understand and respond to your community needs. May we call you back again in a few months?
[OPERATOR: SINGLE RESPONSE.]
1)YES
2)NO</t>
  </si>
  <si>
    <t>Vos réponses nous aideront à comprendre les besoins de votre communauté et à y répondre. Pouvons-nous vous rappeler dans quelques mois?
[OPÉRATEUR/OPÉRATRICE: RÉPONSE UNIQUE.]
1)OUI
2)NON</t>
  </si>
  <si>
    <t>Repons ou yo pral ede nou konprann epi reponn ak bezwen kominotè ou yo. Èske nou ka tounen rele w nan kèk mwa?
[OPERATÈ: YON SÈL REPONS.]
1)WI
2)NON</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</si>
  <si>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</si>
  <si>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</si>
  <si>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</si>
  <si>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</si>
  <si>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</si>
  <si>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Pour les prochains entretiens, quel[s] jour[s] puis-je vous appeler?
[OPÉRATEUR/OPÉRATRICE: PLUSIEURS RÉPONSES POSSIBLES.]
1)Lundi
2)Mardi
3)Mercredi
4)Jeudi
5)Vendredi
6)Samedi
7)Dimanche</t>
  </si>
  <si>
    <t>Pou entèvyou alavni yo, ki jou mwen ka rele w?
[OPERATÈ: PLIZYÈ REPONS POSIB.]
1)Lendi
2)Madi
3)Mèkredi
4)Jedi
5)Vandredi
6)Samdi
7)Dimanch</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</si>
  <si>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</si>
  <si>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</si>
  <si>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</si>
  <si>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</si>
  <si>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</si>
  <si>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Pour les prochains entretiens, à quel[s] moment[s] de la journée puis-je vous appeler?
[OPÉRATEUR/OPÉRATRICE: PLUSIEURS RÉPONSES POSSIBLES.]
1)Le matin
2)L'après-midi
3)Le soir</t>
  </si>
  <si>
    <t>Pou entèvyou alavni yo, a kilè mwen ka rele w?
[OPERATÈ: PLIZYÈ REPONS POSIB.]
1)Maten
2)Aprèmidi
3)Aswè</t>
  </si>
  <si>
    <t>1-3 = language2</t>
  </si>
  <si>
    <t>if future_int_time = 1-3, go to language2</t>
  </si>
  <si>
    <t>language2</t>
  </si>
  <si>
    <t>Select the language that was mostly used to complete the interview.
[OPERATOR: SINGLE RESPONSE.]
1)English
2)other languages [consistent with resp_language]</t>
  </si>
  <si>
    <t>Sélectionner la langue qui a été principalement utilisée pour réaliser l'entretien.
[OPÉRATEUR/OPÉRATRICE: RÉPONSE UNIQUE.]
1)Français
2)Autre langue [cohérente avec resp_languague].</t>
  </si>
  <si>
    <t>Seleksyone lang ki te plis itilize pou fè entèvyou a.
[OPERATÈ: YON SÈL REPONS.]
1)Anglè
2)Kreyòl Ayisyen</t>
  </si>
  <si>
    <t>1-2 = closeout</t>
  </si>
  <si>
    <t>closeout</t>
  </si>
  <si>
    <t>Thank you for your time. The interview has come to an end. You will receive your #TOPUP# airtime credit on this phone within the next 2 days.</t>
  </si>
  <si>
    <t>Merci de nous avoir accordé votre temps. L'entretien est terminé. Vous recevrez votre crédit téléphonique #TOPUP# sur ce téléphone dans les deux prochains jours.</t>
  </si>
  <si>
    <t>Mèsi pou tan w. Entèvyou an rive nan fen an. Ou pral resevwa kredi #TOPUP# pou kominikasyon sou telefòn sa a nan 2 jou k ap vini yo.</t>
  </si>
  <si>
    <t xml:space="preserve">AVERAGE ESTIMATED DURATION </t>
  </si>
  <si>
    <t>DURÉE MOYENNE ESTIMÉE</t>
  </si>
  <si>
    <t>AVERAGE ESTIMATED DURATION (without fisheries section)</t>
  </si>
  <si>
    <t>DURÉE MOYENNE ESTIMÉE (sans questions sur la pêche)</t>
  </si>
  <si>
    <t>AVERAGE ESTIMATED DURATION (without fisheries section or panel)</t>
  </si>
  <si>
    <t>DURÉE MOYENNE ESTIMÉE (sans questions sur la pêche ni sur panel)</t>
  </si>
  <si>
    <t>question</t>
  </si>
  <si>
    <t>duration</t>
  </si>
  <si>
    <t>responded %</t>
  </si>
  <si>
    <t>weighted time</t>
  </si>
  <si>
    <t>agree</t>
  </si>
  <si>
    <t>hh_milieu</t>
  </si>
  <si>
    <t>hh_wealth_toilet</t>
  </si>
  <si>
    <t>hh_wealthwall</t>
  </si>
  <si>
    <t>hh_reprwomen</t>
  </si>
  <si>
    <t>income_third_amount</t>
  </si>
  <si>
    <t>income_third_amount_conf</t>
  </si>
  <si>
    <t>covid_policy</t>
  </si>
  <si>
    <t>wagecompar</t>
  </si>
  <si>
    <t>hh_explanation</t>
  </si>
  <si>
    <t>crp_landsize</t>
  </si>
  <si>
    <t>crp_landsmall</t>
  </si>
  <si>
    <t>crp_landmedium</t>
  </si>
  <si>
    <t>crp_irrigation</t>
  </si>
  <si>
    <t>crp_seed_supply</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</si>
  <si>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</si>
  <si>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</si>
  <si>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</si>
  <si>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</si>
  <si>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</si>
  <si>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</si>
  <si>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</si>
  <si>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</si>
  <si>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</si>
  <si>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</si>
  <si>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</si>
  <si>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</si>
  <si>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</si>
  <si>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</si>
  <si>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</si>
  <si>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</si>
  <si>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</si>
  <si>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</si>
  <si>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</si>
  <si>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fish_inputdif</t>
  </si>
  <si>
    <t>fish_salesdif_1</t>
  </si>
  <si>
    <t>fies</t>
  </si>
  <si>
    <t>copingstrategies</t>
  </si>
  <si>
    <t>cs_stress_spent_savings</t>
  </si>
  <si>
    <t>cs_stress_borrowed_money</t>
  </si>
  <si>
    <t>cs_crisis_sold_productive_asset</t>
  </si>
  <si>
    <t>cs_crisis_consumed_seed_stocks</t>
  </si>
  <si>
    <t>cs_emergency_sold_house</t>
  </si>
  <si>
    <t>cs_emergency_sold_last_female</t>
  </si>
  <si>
    <t>cs_emergency_sold_till</t>
  </si>
  <si>
    <t>food_exp</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</si>
  <si>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</si>
  <si>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</si>
  <si>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</si>
  <si>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</si>
  <si>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</si>
  <si>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</si>
  <si>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</si>
  <si>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</si>
  <si>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</si>
  <si>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</si>
  <si>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</si>
  <si>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</si>
  <si>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</si>
  <si>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</si>
  <si>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</si>
  <si>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</si>
  <si>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hh_wealth_light</t>
  </si>
  <si>
    <t>cs_crisis_decr_agric_input_exp</t>
  </si>
  <si>
    <t>covid_assistance</t>
  </si>
  <si>
    <t>what_covid_assistance</t>
  </si>
  <si>
    <t>ruralurban</t>
  </si>
  <si>
    <t>formal_informal</t>
  </si>
  <si>
    <t>hh_residencetype</t>
  </si>
  <si>
    <t>hhsize04</t>
  </si>
  <si>
    <t>hhdisability</t>
  </si>
  <si>
    <t>hh_age</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</si>
  <si>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</si>
  <si>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</si>
  <si>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</si>
  <si>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</si>
  <si>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</si>
  <si>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</si>
  <si>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</si>
  <si>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</si>
  <si>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</si>
  <si>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</si>
  <si>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</si>
  <si>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</si>
  <si>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</si>
  <si>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</si>
  <si>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</si>
  <si>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</si>
  <si>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</si>
  <si>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</si>
  <si>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</si>
  <si>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</si>
  <si>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</si>
  <si>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</si>
  <si>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</si>
  <si>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</si>
  <si>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</si>
  <si>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</si>
  <si>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</si>
  <si>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</si>
  <si>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</si>
  <si>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</si>
  <si>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</si>
  <si>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</si>
  <si>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</si>
  <si>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</si>
  <si>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</si>
  <si>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</si>
  <si>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</si>
  <si>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</si>
  <si>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</si>
  <si>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</si>
  <si>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</si>
  <si>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</si>
  <si>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</si>
  <si>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</si>
  <si>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</si>
  <si>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</si>
  <si>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 xml:space="preserve">Select top 10 crops </t>
  </si>
  <si>
    <t>GeoPoll code</t>
  </si>
  <si>
    <t>Dataset code</t>
  </si>
  <si>
    <t>Label (EN)</t>
  </si>
  <si>
    <t>Label (FR)</t>
  </si>
  <si>
    <t>x</t>
  </si>
  <si>
    <t>1.1</t>
  </si>
  <si>
    <t>Rice</t>
  </si>
  <si>
    <t>Riz</t>
  </si>
  <si>
    <t>1.2</t>
  </si>
  <si>
    <t>Wheat</t>
  </si>
  <si>
    <t>Blé</t>
  </si>
  <si>
    <t>1.3</t>
  </si>
  <si>
    <t>Millet</t>
  </si>
  <si>
    <t>Mil</t>
  </si>
  <si>
    <t>1.4</t>
  </si>
  <si>
    <t>Sorghum</t>
  </si>
  <si>
    <t>Sorgho</t>
  </si>
  <si>
    <t>1.5</t>
  </si>
  <si>
    <t>Maize</t>
  </si>
  <si>
    <t>Maïs</t>
  </si>
  <si>
    <t>1.6</t>
  </si>
  <si>
    <t>Barley</t>
  </si>
  <si>
    <t>Orge</t>
  </si>
  <si>
    <t>1.99</t>
  </si>
  <si>
    <t>Other Cereal</t>
  </si>
  <si>
    <t>Autres céréales</t>
  </si>
  <si>
    <t>2.1</t>
  </si>
  <si>
    <t>Cassava</t>
  </si>
  <si>
    <t>Manioc</t>
  </si>
  <si>
    <t>2.2</t>
  </si>
  <si>
    <t>Potatoe</t>
  </si>
  <si>
    <t>Pommes de terre</t>
  </si>
  <si>
    <t>2.3</t>
  </si>
  <si>
    <t>Sweet Potatoes</t>
  </si>
  <si>
    <t>Patates douces</t>
  </si>
  <si>
    <t>2.4</t>
  </si>
  <si>
    <t>Yams</t>
  </si>
  <si>
    <t>Ignames</t>
  </si>
  <si>
    <t>2.5</t>
  </si>
  <si>
    <t>Carrots</t>
  </si>
  <si>
    <t>Carottes</t>
  </si>
  <si>
    <t>2.6</t>
  </si>
  <si>
    <t>Cocoyam</t>
  </si>
  <si>
    <t>Chou caraïbe</t>
  </si>
  <si>
    <t>2.99</t>
  </si>
  <si>
    <t>Other tubers</t>
  </si>
  <si>
    <t>Autres tubercules</t>
  </si>
  <si>
    <t>3.1</t>
  </si>
  <si>
    <t>Beans</t>
  </si>
  <si>
    <t>Haricots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</si>
  <si>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</si>
  <si>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</si>
  <si>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</si>
  <si>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</si>
  <si>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</si>
  <si>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</si>
  <si>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</si>
  <si>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</si>
  <si>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</si>
  <si>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</si>
  <si>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</si>
  <si>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</si>
  <si>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</si>
  <si>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</si>
  <si>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</si>
  <si>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</si>
  <si>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</si>
  <si>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</si>
  <si>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</si>
  <si>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</si>
  <si>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</si>
  <si>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</si>
  <si>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</si>
  <si>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</si>
  <si>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</si>
  <si>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</si>
  <si>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</si>
  <si>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</si>
  <si>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</si>
  <si>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</si>
  <si>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</si>
  <si>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</si>
  <si>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</si>
  <si>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</si>
  <si>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</si>
  <si>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</si>
  <si>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</si>
  <si>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</si>
  <si>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</si>
  <si>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</si>
  <si>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</si>
  <si>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</si>
  <si>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</si>
  <si>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</si>
  <si>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4.101</t>
  </si>
  <si>
    <t>Cauliflower</t>
  </si>
  <si>
    <t>Choux-fleur</t>
  </si>
  <si>
    <t>4.99</t>
  </si>
  <si>
    <t>Other leafy vegetables</t>
  </si>
  <si>
    <t>Autres légumes à feuilles</t>
  </si>
  <si>
    <t>5.1</t>
  </si>
  <si>
    <t>Tomatoes</t>
  </si>
  <si>
    <t>Tomates</t>
  </si>
  <si>
    <t>5.2</t>
  </si>
  <si>
    <t>Cucumber</t>
  </si>
  <si>
    <t>Concombre</t>
  </si>
  <si>
    <t>5.3</t>
  </si>
  <si>
    <t>Pumpkin</t>
  </si>
  <si>
    <t>Citrouille</t>
  </si>
  <si>
    <t>5.4</t>
  </si>
  <si>
    <t>Eggplant/aubergine</t>
  </si>
  <si>
    <t>Aubergines/aubergines</t>
  </si>
  <si>
    <t>5.5</t>
  </si>
  <si>
    <t>Zucchini</t>
  </si>
  <si>
    <t>Courgettes</t>
  </si>
  <si>
    <t>5.6</t>
  </si>
  <si>
    <t>Okra</t>
  </si>
  <si>
    <t>5.7</t>
  </si>
  <si>
    <t>Bell pepper</t>
  </si>
  <si>
    <t>Poivrons</t>
  </si>
  <si>
    <t>5.8</t>
  </si>
  <si>
    <t>Onions</t>
  </si>
  <si>
    <t>Oignons</t>
  </si>
  <si>
    <t>5.9</t>
  </si>
  <si>
    <t>Haricot</t>
  </si>
  <si>
    <t xml:space="preserve">Haricot </t>
  </si>
  <si>
    <t>5.101</t>
  </si>
  <si>
    <t>Green peas</t>
  </si>
  <si>
    <t>Petit pois</t>
  </si>
  <si>
    <t>5.11</t>
  </si>
  <si>
    <t>Fava beans green</t>
  </si>
  <si>
    <t>Pois fève</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</si>
  <si>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</si>
  <si>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</si>
  <si>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</si>
  <si>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</si>
  <si>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</si>
  <si>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</si>
  <si>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</si>
  <si>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</si>
  <si>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</si>
  <si>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</si>
  <si>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</si>
  <si>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</si>
  <si>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</si>
  <si>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</si>
  <si>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</si>
  <si>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</si>
  <si>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</si>
  <si>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</si>
  <si>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</si>
  <si>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</si>
  <si>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</si>
  <si>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</si>
  <si>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</si>
  <si>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</si>
  <si>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</si>
  <si>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</si>
  <si>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</si>
  <si>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</si>
  <si>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</si>
  <si>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</si>
  <si>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</si>
  <si>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</si>
  <si>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</si>
  <si>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</si>
  <si>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</si>
  <si>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</si>
  <si>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</si>
  <si>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</si>
  <si>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</si>
  <si>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</si>
  <si>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</si>
  <si>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</si>
  <si>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</si>
  <si>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</si>
  <si>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</si>
  <si>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</si>
  <si>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</si>
  <si>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</si>
  <si>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</si>
  <si>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</si>
  <si>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</si>
  <si>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</si>
  <si>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</si>
  <si>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</si>
  <si>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</si>
  <si>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</si>
  <si>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</si>
  <si>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</si>
  <si>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</si>
  <si>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</si>
  <si>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</si>
  <si>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</si>
  <si>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</si>
  <si>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</si>
  <si>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</si>
  <si>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</si>
  <si>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</si>
  <si>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</si>
  <si>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</si>
  <si>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</si>
  <si>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7.99</t>
  </si>
  <si>
    <t>Other fruit</t>
  </si>
  <si>
    <t>Autres fruits</t>
  </si>
  <si>
    <t>8.1</t>
  </si>
  <si>
    <t>Coconuts</t>
  </si>
  <si>
    <t>Noix de coco</t>
  </si>
  <si>
    <t>8.2</t>
  </si>
  <si>
    <t>Groundnut/peanut</t>
  </si>
  <si>
    <t>Arachide / cacahuète</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</si>
  <si>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</si>
  <si>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</si>
  <si>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</si>
  <si>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</si>
  <si>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</si>
  <si>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</si>
  <si>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</si>
  <si>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</si>
  <si>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</si>
  <si>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</si>
  <si>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</si>
  <si>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</si>
  <si>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</si>
  <si>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</si>
  <si>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</si>
  <si>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</si>
  <si>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</si>
  <si>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</si>
  <si>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</si>
  <si>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</si>
  <si>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</si>
  <si>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</si>
  <si>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</si>
  <si>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</si>
  <si>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</si>
  <si>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</si>
  <si>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</si>
  <si>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</si>
  <si>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</si>
  <si>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</si>
  <si>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</si>
  <si>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</si>
  <si>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</si>
  <si>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</si>
  <si>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</si>
  <si>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</si>
  <si>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</si>
  <si>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</si>
  <si>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</si>
  <si>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10.1</t>
  </si>
  <si>
    <t>Cotton</t>
  </si>
  <si>
    <t>Coton</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</si>
  <si>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</si>
  <si>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</si>
  <si>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</si>
  <si>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</si>
  <si>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</si>
  <si>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</si>
  <si>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</si>
  <si>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</si>
  <si>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</si>
  <si>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</si>
  <si>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</si>
  <si>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</si>
  <si>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</si>
  <si>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</si>
  <si>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</si>
  <si>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</si>
  <si>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Original</t>
  </si>
  <si>
    <t>Replacement (EN)</t>
  </si>
  <si>
    <t>Replacement (FR)</t>
  </si>
  <si>
    <t>Remplacement Creole</t>
  </si>
  <si>
    <t>Comment (EN)</t>
  </si>
  <si>
    <t>Commentaire (FR)</t>
  </si>
  <si>
    <t>Examples (EN)</t>
  </si>
  <si>
    <t>Exemples (FR)</t>
  </si>
  <si>
    <t>FOR CORE QUESTIONS    .
(Mandatory to fill out)    .</t>
  </si>
  <si>
    <t>ADMIN1</t>
  </si>
  <si>
    <t>Department</t>
  </si>
  <si>
    <t>Département</t>
  </si>
  <si>
    <t>Depatman</t>
  </si>
  <si>
    <t>The first subdivision of the country, after national level; region; province; governorate; etc.</t>
  </si>
  <si>
    <t xml:space="preserve">La première subdivision du pays, après le niveau national ; par exemple, région ; province ; gouvernorat ; etc. </t>
  </si>
  <si>
    <t>region</t>
  </si>
  <si>
    <t>ADMIN2</t>
  </si>
  <si>
    <t>Commune</t>
  </si>
  <si>
    <t>Kominn</t>
  </si>
  <si>
    <t>The second subdivision of the country; district; municipality; LGA; etc.</t>
  </si>
  <si>
    <t xml:space="preserve">La deuxième subdivision du pays ; par exemple, district, municipalité, LGA, etc. </t>
  </si>
  <si>
    <t>district</t>
  </si>
  <si>
    <t>reference year</t>
  </si>
  <si>
    <t>last year</t>
  </si>
  <si>
    <t>l'année dernière</t>
  </si>
  <si>
    <t>ane ki sot pase a</t>
  </si>
  <si>
    <t xml:space="preserve">Comparison questions will need need a reference year. Select whether you want to use "last year" or "a normal year" as a baseline. A "normal year" should refers to an average year from the past 5 years - make sure to train the enumerators accordingly. </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</si>
  <si>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</si>
  <si>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a normal year</t>
  </si>
  <si>
    <t xml:space="preserve">une année normale </t>
  </si>
  <si>
    <t>season</t>
  </si>
  <si>
    <t xml:space="preserve">the ongoing season </t>
  </si>
  <si>
    <t>la saison actuelle</t>
  </si>
  <si>
    <t>sezon sa</t>
  </si>
  <si>
    <t>Name the crop season(s) of interest if there are several cropping seasons in the country (e.g. Meher and Belg in Ethiopia, rainy season / flood-recession cropping / irrigated dry season in the Sahel). You can refer to the “last season” or “ongoing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</si>
  <si>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</si>
  <si>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wet season</t>
  </si>
  <si>
    <t>saison des pluies</t>
  </si>
  <si>
    <t>season phase</t>
  </si>
  <si>
    <t>expected</t>
  </si>
  <si>
    <t>Proche de la récolte</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</si>
  <si>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</si>
  <si>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</si>
  <si>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Harvesting</t>
  </si>
  <si>
    <t>Récolte</t>
  </si>
  <si>
    <t>local measurement unit</t>
  </si>
  <si>
    <t>Tile</t>
  </si>
  <si>
    <t>Carreau</t>
  </si>
  <si>
    <t>Ti kawo</t>
  </si>
  <si>
    <t xml:space="preserve">Specify the local measurement unit for land size, other than acres, hectares, square meters and square feet. If no other unit of measurement is needed, keep this cell blank. </t>
  </si>
  <si>
    <t xml:space="preserve">Indiquez l'unité utilisée localement pour mesurer la taille des terrains, autre que les acres, les hectares, les mètres carrés et les pieds carrés. Si aucune autre unité de mesure n'est nécessaire, garder cette cellule vide. </t>
  </si>
  <si>
    <t>Jeribs</t>
  </si>
  <si>
    <t>local measurement unit conversion</t>
  </si>
  <si>
    <t xml:space="preserve">Include the conversion of the local measurement unit to hectares. In other words, how many local measurement units are in 1 ha. </t>
  </si>
  <si>
    <t xml:space="preserve">Indiquez la conversion de l'unité de mesure locale en hectares. En d'autres termes, indiquez combien d'unités de mesure locales y a-t-il dans 1 ha. </t>
  </si>
  <si>
    <t>FOR OPTIONAL QUESTIONS    .
(Fill out if applicable)    .</t>
  </si>
  <si>
    <t>currency</t>
  </si>
  <si>
    <t>gourdes</t>
  </si>
  <si>
    <t>goud</t>
  </si>
  <si>
    <t xml:space="preserve">The name of the main currency used nationally; USD; Naira; Rial; Pesos; etc. </t>
  </si>
  <si>
    <t xml:space="preserve">Nom de la principale devise utilisée au niveau national; par exemple,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</si>
  <si>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</si>
  <si>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</si>
  <si>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</si>
  <si>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</si>
  <si>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</si>
  <si>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</si>
  <si>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</si>
  <si>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</si>
  <si>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</si>
  <si>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</si>
  <si>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local vegetables</t>
  </si>
  <si>
    <t>Tomatoes, eggplants, onions, carrots</t>
  </si>
  <si>
    <t>Tomates, aubergines, oignons, carote</t>
  </si>
  <si>
    <t>Input some common local vegetables [to be used as examples in the food consumption score indicator].</t>
  </si>
  <si>
    <t>Saisissez quelques légumes locaux courants [à utiliser comme exemples dans l'indicateur de score de consommation alimentaire].</t>
  </si>
  <si>
    <t>eggplants, zucchini, cauliflower</t>
  </si>
  <si>
    <t>aubergines, courgettes, choux-fleurs</t>
  </si>
  <si>
    <t>local fruits</t>
  </si>
  <si>
    <t>Mango, watermelon, oranges, papaya</t>
  </si>
  <si>
    <t>Mangue, pastèque, oranges, papaye</t>
  </si>
  <si>
    <t>Input some common local fruits [to be used as examples in the food consumption score indicator].</t>
  </si>
  <si>
    <t>Indiquez quelques fruits locaux courants [à utiliser comme exemples dans l'indicateur de score de consommation alimentaire].</t>
  </si>
  <si>
    <t>apples, bananas, oranges</t>
  </si>
  <si>
    <t>pommes, bananes,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</si>
  <si>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</si>
  <si>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</si>
  <si>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</si>
  <si>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</si>
  <si>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</si>
  <si>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</si>
  <si>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</si>
  <si>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</si>
  <si>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</si>
  <si>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</si>
  <si>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adm2_name_local</t>
  </si>
  <si>
    <t>adm2_pcode</t>
  </si>
  <si>
    <t>adm1_pcode</t>
  </si>
  <si>
    <t>adm0_name</t>
  </si>
  <si>
    <t>adm0_ISO3</t>
  </si>
  <si>
    <t>Verrettes</t>
  </si>
  <si>
    <t xml:space="preserve"> </t>
  </si>
  <si>
    <t>HT0532</t>
  </si>
  <si>
    <t>Artibonite</t>
  </si>
  <si>
    <t>HT05</t>
  </si>
  <si>
    <t>Haiti</t>
  </si>
  <si>
    <t>HTI</t>
  </si>
  <si>
    <t>Vallieres</t>
  </si>
  <si>
    <t>HT0441</t>
  </si>
  <si>
    <t>North-East</t>
  </si>
  <si>
    <t>HT04</t>
  </si>
  <si>
    <t>Trou du Nord</t>
  </si>
  <si>
    <t>HT0431</t>
  </si>
  <si>
    <t>Torbeck</t>
  </si>
  <si>
    <t>HT0712</t>
  </si>
  <si>
    <t>South</t>
  </si>
  <si>
    <t>HT07</t>
  </si>
  <si>
    <t>Tiburon</t>
  </si>
  <si>
    <t>HT0753</t>
  </si>
  <si>
    <t>Thomonde</t>
  </si>
  <si>
    <t>HT0613</t>
  </si>
  <si>
    <t>Centre</t>
  </si>
  <si>
    <t>HT06</t>
  </si>
  <si>
    <t>Thomazeau</t>
  </si>
  <si>
    <t>HT0132</t>
  </si>
  <si>
    <t>West</t>
  </si>
  <si>
    <t>HT01</t>
  </si>
  <si>
    <t>Thomassique</t>
  </si>
  <si>
    <t>HT0642</t>
  </si>
  <si>
    <t>Thiotte</t>
  </si>
  <si>
    <t>HT0233</t>
  </si>
  <si>
    <t>South-East</t>
  </si>
  <si>
    <t>HT02</t>
  </si>
  <si>
    <t>Terrier Rouge</t>
  </si>
  <si>
    <t>HT0433</t>
  </si>
  <si>
    <t>Terre Neuve</t>
  </si>
  <si>
    <t>HT0522</t>
  </si>
  <si>
    <t>Tabarre</t>
  </si>
  <si>
    <t>HT0118</t>
  </si>
  <si>
    <t>Savanette</t>
  </si>
  <si>
    <t>HT0633</t>
  </si>
  <si>
    <t>Saut d'Eau</t>
  </si>
  <si>
    <t>HT0622</t>
  </si>
  <si>
    <t>Sainte Suzanne</t>
  </si>
  <si>
    <t>HT0432</t>
  </si>
  <si>
    <t>Saint Louis du Sud</t>
  </si>
  <si>
    <t>HT0732</t>
  </si>
  <si>
    <t>Saint Jean du Sud</t>
  </si>
  <si>
    <t>HT0722</t>
  </si>
  <si>
    <t>Saint-Raphael</t>
  </si>
  <si>
    <t>HT0341</t>
  </si>
  <si>
    <t>North</t>
  </si>
  <si>
    <t>HT03</t>
  </si>
  <si>
    <t>Saint-Michel de l'Attalaye</t>
  </si>
  <si>
    <t>HT0551</t>
  </si>
  <si>
    <t>Saint-Marc</t>
  </si>
  <si>
    <t>HT0531</t>
  </si>
  <si>
    <t>Saint-Louis du Nord</t>
  </si>
  <si>
    <t>HT0921</t>
  </si>
  <si>
    <t>North-West</t>
  </si>
  <si>
    <t>HT09</t>
  </si>
  <si>
    <t>Roseaux</t>
  </si>
  <si>
    <t>HT0832</t>
  </si>
  <si>
    <t>Grande'Anse</t>
  </si>
  <si>
    <t>HT08</t>
  </si>
  <si>
    <t>Roche a Bateau</t>
  </si>
  <si>
    <t>HT0743</t>
  </si>
  <si>
    <t>Ranquitte</t>
  </si>
  <si>
    <t>HT0343</t>
  </si>
  <si>
    <t>Quartier Morin</t>
  </si>
  <si>
    <t>HT0312</t>
  </si>
  <si>
    <t>Port-Salut</t>
  </si>
  <si>
    <t>HT0721</t>
  </si>
  <si>
    <t>Port-Margot</t>
  </si>
  <si>
    <t>HT0352</t>
  </si>
  <si>
    <t>Port-de-Paix</t>
  </si>
  <si>
    <t>HT0911</t>
  </si>
  <si>
    <t>Port-au-Prince</t>
  </si>
  <si>
    <t>HT0111</t>
  </si>
  <si>
    <t>Port-a-Piment</t>
  </si>
  <si>
    <t>HT0742</t>
  </si>
  <si>
    <t>Pointe a Raquette</t>
  </si>
  <si>
    <t>HT0152</t>
  </si>
  <si>
    <t>Plaisance du Sud</t>
  </si>
  <si>
    <t>HT1025</t>
  </si>
  <si>
    <t>Nippes</t>
  </si>
  <si>
    <t>HT10</t>
  </si>
  <si>
    <t>Plaisance</t>
  </si>
  <si>
    <t>HT0371</t>
  </si>
  <si>
    <t>Plaine du Nord</t>
  </si>
  <si>
    <t>HT0322</t>
  </si>
  <si>
    <t>Pilate</t>
  </si>
  <si>
    <t>HT0372</t>
  </si>
  <si>
    <t>Pignon</t>
  </si>
  <si>
    <t>HT0344</t>
  </si>
  <si>
    <t>Petite Riviere de Nippes</t>
  </si>
  <si>
    <t>HT1012</t>
  </si>
  <si>
    <t>Petite Riviere de l'Artibonite</t>
  </si>
  <si>
    <t>HT0542</t>
  </si>
  <si>
    <t>Petit Trou de Nippes</t>
  </si>
  <si>
    <t>HT1022</t>
  </si>
  <si>
    <t>Petit-Goave</t>
  </si>
  <si>
    <t>HT0122</t>
  </si>
  <si>
    <t>Petion-Ville</t>
  </si>
  <si>
    <t>HT0114</t>
  </si>
  <si>
    <t>Pestel</t>
  </si>
  <si>
    <t>HT0834</t>
  </si>
  <si>
    <t>Perches</t>
  </si>
  <si>
    <t>HT0413</t>
  </si>
  <si>
    <t>Paillant</t>
  </si>
  <si>
    <t>HT1014</t>
  </si>
  <si>
    <t>Ouanaminthe</t>
  </si>
  <si>
    <t>HT0421</t>
  </si>
  <si>
    <t>Moron</t>
  </si>
  <si>
    <t>HT0814</t>
  </si>
  <si>
    <t>Mont-Organise</t>
  </si>
  <si>
    <t>HT0423</t>
  </si>
  <si>
    <t>Mombin Crochu</t>
  </si>
  <si>
    <t>HT0443</t>
  </si>
  <si>
    <t>Mole Saint Nicolas</t>
  </si>
  <si>
    <t>HT0931</t>
  </si>
  <si>
    <t>Mirebalais</t>
  </si>
  <si>
    <t>HT0621</t>
  </si>
  <si>
    <t>Miragoane</t>
  </si>
  <si>
    <t>HT1011</t>
  </si>
  <si>
    <t>Milot</t>
  </si>
  <si>
    <t>HT0323</t>
  </si>
  <si>
    <t>Marmelade</t>
  </si>
  <si>
    <t>HT0552</t>
  </si>
  <si>
    <t>Marigot</t>
  </si>
  <si>
    <t>HT0212</t>
  </si>
  <si>
    <t>Maniche</t>
  </si>
  <si>
    <t>HT0715</t>
  </si>
  <si>
    <t>Maissade</t>
  </si>
  <si>
    <t>HT0612</t>
  </si>
  <si>
    <t>Limonade</t>
  </si>
  <si>
    <t>HT0313</t>
  </si>
  <si>
    <t>Limbe</t>
  </si>
  <si>
    <t>HT0361</t>
  </si>
  <si>
    <t>Les Irois</t>
  </si>
  <si>
    <t>HT0823</t>
  </si>
  <si>
    <t>Les Cayes</t>
  </si>
  <si>
    <t>HT0711</t>
  </si>
  <si>
    <t>Les Anglais</t>
  </si>
  <si>
    <t>HT0752</t>
  </si>
  <si>
    <t>Leogane</t>
  </si>
  <si>
    <t>HT0121</t>
  </si>
  <si>
    <t>Lascahobas</t>
  </si>
  <si>
    <t>HT0631</t>
  </si>
  <si>
    <t>La Victoire</t>
  </si>
  <si>
    <t>HT0345</t>
  </si>
  <si>
    <t>La Vallee</t>
  </si>
  <si>
    <t>HT0214</t>
  </si>
  <si>
    <t>La Tortue</t>
  </si>
  <si>
    <t>HT0912</t>
  </si>
  <si>
    <t>La Chapelle</t>
  </si>
  <si>
    <t>HT0533</t>
  </si>
  <si>
    <t>L'Estere</t>
  </si>
  <si>
    <t>HT0513</t>
  </si>
  <si>
    <t>L'Asile</t>
  </si>
  <si>
    <t>HT1023</t>
  </si>
  <si>
    <t>Kenscoff</t>
  </si>
  <si>
    <t>HT0115</t>
  </si>
  <si>
    <t>Jeremie</t>
  </si>
  <si>
    <t>HT0811</t>
  </si>
  <si>
    <t>Jean Rabel</t>
  </si>
  <si>
    <t>HT0934</t>
  </si>
  <si>
    <t>Jacmel</t>
  </si>
  <si>
    <t>HT0211</t>
  </si>
  <si>
    <t>Ile a Vache</t>
  </si>
  <si>
    <t>HT0716</t>
  </si>
  <si>
    <t>Hinche</t>
  </si>
  <si>
    <t>HT0611</t>
  </si>
  <si>
    <t>Gros Morne</t>
  </si>
  <si>
    <t>HT0521</t>
  </si>
  <si>
    <t>Gressier</t>
  </si>
  <si>
    <t>HT0116</t>
  </si>
  <si>
    <t>Grande Saline</t>
  </si>
  <si>
    <t>HT0543</t>
  </si>
  <si>
    <t>Grande Riviere Du Nord</t>
  </si>
  <si>
    <t>HT0331</t>
  </si>
  <si>
    <t>Grand Gosier</t>
  </si>
  <si>
    <t>HT0232</t>
  </si>
  <si>
    <t>Grand-Goave</t>
  </si>
  <si>
    <t>HT0123</t>
  </si>
  <si>
    <t>Grand-Boucan</t>
  </si>
  <si>
    <t>HT1032</t>
  </si>
  <si>
    <t>Gonaives</t>
  </si>
  <si>
    <t>HT0511</t>
  </si>
  <si>
    <t>Ganthier</t>
  </si>
  <si>
    <t>HT0133</t>
  </si>
  <si>
    <t>Fort-Liberte</t>
  </si>
  <si>
    <t>HT0411</t>
  </si>
  <si>
    <t>Fonds des Negres</t>
  </si>
  <si>
    <t>HT1013</t>
  </si>
  <si>
    <t>Fonds-Verrettes</t>
  </si>
  <si>
    <t>HT0135</t>
  </si>
  <si>
    <t>Ferrier</t>
  </si>
  <si>
    <t>HT0412</t>
  </si>
  <si>
    <t>Ennery</t>
  </si>
  <si>
    <t>HT0512</t>
  </si>
  <si>
    <t>Dondon</t>
  </si>
  <si>
    <t>HT0342</t>
  </si>
  <si>
    <t>Dessalines</t>
  </si>
  <si>
    <t>HT0541</t>
  </si>
  <si>
    <t>Desdunes</t>
  </si>
  <si>
    <t>HT0544</t>
  </si>
  <si>
    <t>Delmas</t>
  </si>
  <si>
    <t>HT0112</t>
  </si>
  <si>
    <t>Dame Marie</t>
  </si>
  <si>
    <t>HT0822</t>
  </si>
  <si>
    <t>Croix-Des-Bouquets</t>
  </si>
  <si>
    <t>HT0131</t>
  </si>
  <si>
    <t>Cotes de Fer</t>
  </si>
  <si>
    <t>HT0222</t>
  </si>
  <si>
    <t>Coteaux</t>
  </si>
  <si>
    <t>HT0741</t>
  </si>
  <si>
    <t>Cornillon / Grand Bois</t>
  </si>
  <si>
    <t>HT0134</t>
  </si>
  <si>
    <t>Corail</t>
  </si>
  <si>
    <t>HT0831</t>
  </si>
  <si>
    <t>Cite Soleil</t>
  </si>
  <si>
    <t>HT0117</t>
  </si>
  <si>
    <t>Chardonnieres</t>
  </si>
  <si>
    <t>HT0751</t>
  </si>
  <si>
    <t>Chantal</t>
  </si>
  <si>
    <t>HT0713</t>
  </si>
  <si>
    <t>Chamsolme</t>
  </si>
  <si>
    <t>HT0914</t>
  </si>
  <si>
    <t>Chambellan</t>
  </si>
  <si>
    <t>HT0815</t>
  </si>
  <si>
    <t>Cerca La Source</t>
  </si>
  <si>
    <t>HT0641</t>
  </si>
  <si>
    <t>Cerca Carvajal</t>
  </si>
  <si>
    <t>HT0614</t>
  </si>
  <si>
    <t>Cayes-Jacmel</t>
  </si>
  <si>
    <t>HT0213</t>
  </si>
  <si>
    <t>Cavaillon</t>
  </si>
  <si>
    <t>HT0733</t>
  </si>
  <si>
    <t>Carrefour</t>
  </si>
  <si>
    <t>HT0113</t>
  </si>
  <si>
    <t>Carice</t>
  </si>
  <si>
    <t>HT0442</t>
  </si>
  <si>
    <t>Caracol</t>
  </si>
  <si>
    <t>HT0434</t>
  </si>
  <si>
    <t>Capotille</t>
  </si>
  <si>
    <t>HT0422</t>
  </si>
  <si>
    <t>Cap-Haitien</t>
  </si>
  <si>
    <t>HT0311</t>
  </si>
  <si>
    <t>Camp-Perrin</t>
  </si>
  <si>
    <t>HT0714</t>
  </si>
  <si>
    <t>Cabaret</t>
  </si>
  <si>
    <t>HT0142</t>
  </si>
  <si>
    <t>Boucan Carre</t>
  </si>
  <si>
    <t>HT0623</t>
  </si>
  <si>
    <t>Borgne</t>
  </si>
  <si>
    <t>HT0351</t>
  </si>
  <si>
    <t>Bonbon</t>
  </si>
  <si>
    <t>HT0813</t>
  </si>
  <si>
    <t>Bombardopolis</t>
  </si>
  <si>
    <t>HT0933</t>
  </si>
  <si>
    <t>Belle Anse</t>
  </si>
  <si>
    <t>HT0231</t>
  </si>
  <si>
    <t>Belladere</t>
  </si>
  <si>
    <t>HT0632</t>
  </si>
  <si>
    <t>Beaumont</t>
  </si>
  <si>
    <t>HT0833</t>
  </si>
  <si>
    <t>Bassin Bleu</t>
  </si>
  <si>
    <t>HT0913</t>
  </si>
  <si>
    <t>Bas Limbe</t>
  </si>
  <si>
    <t>HT0362</t>
  </si>
  <si>
    <t>Baraderes</t>
  </si>
  <si>
    <t>HT1031</t>
  </si>
  <si>
    <t>Bainet</t>
  </si>
  <si>
    <t>HT0221</t>
  </si>
  <si>
    <t>Baie de Henne</t>
  </si>
  <si>
    <t>HT0932</t>
  </si>
  <si>
    <t>Bahon</t>
  </si>
  <si>
    <t>HT0332</t>
  </si>
  <si>
    <t>Arniquet</t>
  </si>
  <si>
    <t>HT0723</t>
  </si>
  <si>
    <t>Arnaud</t>
  </si>
  <si>
    <t>HT1024</t>
  </si>
  <si>
    <t>Arcahaie</t>
  </si>
  <si>
    <t>HT0141</t>
  </si>
  <si>
    <t>Aquin</t>
  </si>
  <si>
    <t>HT0731</t>
  </si>
  <si>
    <t>Anse Rouge</t>
  </si>
  <si>
    <t>HT0523</t>
  </si>
  <si>
    <t>Anse d'Hainault</t>
  </si>
  <si>
    <t>HT0821</t>
  </si>
  <si>
    <t>Anse a Galets</t>
  </si>
  <si>
    <t>HT0151</t>
  </si>
  <si>
    <t>Anse-a-Veau</t>
  </si>
  <si>
    <t>HT1021</t>
  </si>
  <si>
    <t>Anse-a-Pitre</t>
  </si>
  <si>
    <t>HT0234</t>
  </si>
  <si>
    <t>Anse-a-Foleur</t>
  </si>
  <si>
    <t>HT0922</t>
  </si>
  <si>
    <t>Acul du Nord</t>
  </si>
  <si>
    <t>HT0321</t>
  </si>
  <si>
    <t>Abricots</t>
  </si>
  <si>
    <t>HT0812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</si>
</sst>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0" x14ac:knownFonts="1">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2"/>
      <name val="Calibri (Body)"/>
    </font>
    <font>
      <sz val="11"/>
      <name val="Calibri (Body)"/>
    </font>
    <font>
      <b/>
      <sz val="12"/>
      <name val="Calibri (Body)"/>
    </font>
    <font>
      <sz val="14"/>
      <name val="Calibri"/>
      <family val="2"/>
      <scheme val="minor"/>
    </font>
    <font>
      <i/>
      <sz val="10.5"/>
      <name val="Calibri"/>
      <family val="2"/>
    </font>
    <font>
      <sz val="12"/>
      <color rgb="FF000000"/>
      <name val="Calibri"/>
      <family val="2"/>
    </font>
    <font>
      <sz val="12"/>
      <color rgb="FF375623"/>
      <name val="Calibri"/>
      <family val="2"/>
      <scheme val="minor"/>
    </font>
    <font>
      <sz val="14"/>
      <color theme="1"/>
      <name val="Calibri"/>
      <family val="2"/>
      <scheme val="minor"/>
    </font>
    <font>
      <sz val="14"/>
      <name val="Calibri"/>
      <family val="2"/>
    </font>
    <font>
      <b/>
      <sz val="11"/>
      <name val="Calibri"/>
      <family val="2"/>
    </font>
  </fonts>
  <fills count="16">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FFFF00"/>
        <bgColor indexed="64"/>
      </patternFill>
    </fill>
    <fill>
      <patternFill patternType="solid">
        <fgColor theme="2" tint="-9.9978637043366805E-2"/>
        <bgColor indexed="64"/>
      </patternFill>
    </fill>
  </fills>
  <borders count="8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medium">
        <color indexed="64"/>
      </left>
      <right/>
      <top style="thin">
        <color auto="1"/>
      </top>
      <bottom/>
      <diagonal/>
    </border>
    <border>
      <left/>
      <right style="thin">
        <color auto="1"/>
      </right>
      <top/>
      <bottom style="thin">
        <color auto="1"/>
      </bottom>
      <diagonal/>
    </border>
    <border>
      <left/>
      <right/>
      <top style="thin">
        <color auto="1"/>
      </top>
      <bottom/>
      <diagonal/>
    </border>
    <border>
      <left/>
      <right/>
      <top/>
      <bottom style="thin">
        <color theme="1"/>
      </bottom>
      <diagonal/>
    </border>
    <border>
      <left/>
      <right/>
      <top style="thin">
        <color theme="1"/>
      </top>
      <bottom style="thin">
        <color theme="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34">
    <xf numFmtId="0" fontId="0"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8"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3" fillId="0" borderId="0"/>
    <xf numFmtId="0" fontId="3" fillId="0" borderId="0"/>
    <xf numFmtId="0" fontId="7" fillId="8" borderId="21"/>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9" fontId="2" fillId="0" borderId="0"/>
    <xf numFmtId="0" fontId="2" fillId="0" borderId="0"/>
  </cellStyleXfs>
  <cellXfs count="646">
    <xf numFmtId="0" fontId="0" fillId="0" borderId="0" xfId="0"/>
    <xf numFmtId="0" fontId="0" fillId="0" borderId="22" xfId="0" applyBorder="1"/>
    <xf numFmtId="0" fontId="5" fillId="0" borderId="22" xfId="0" applyFont="1" applyBorder="1" applyAlignment="1">
      <alignment horizontal="center" vertical="center"/>
    </xf>
    <xf numFmtId="0" fontId="0" fillId="0" borderId="23" xfId="0" applyBorder="1"/>
    <xf numFmtId="0" fontId="5" fillId="0" borderId="25" xfId="0" applyFont="1" applyBorder="1" applyAlignment="1">
      <alignment horizontal="center" vertical="center"/>
    </xf>
    <xf numFmtId="0" fontId="0" fillId="0" borderId="25" xfId="0" applyBorder="1"/>
    <xf numFmtId="0" fontId="5" fillId="0" borderId="26" xfId="0" applyFont="1" applyBorder="1" applyAlignment="1">
      <alignment horizontal="center" vertical="center"/>
    </xf>
    <xf numFmtId="0" fontId="0" fillId="0" borderId="26" xfId="0" applyBorder="1"/>
    <xf numFmtId="0" fontId="5" fillId="0" borderId="1" xfId="0" applyFont="1" applyBorder="1"/>
    <xf numFmtId="0" fontId="6" fillId="0" borderId="35" xfId="3" applyFont="1" applyBorder="1" applyAlignment="1" applyProtection="1">
      <alignment horizontal="left" vertical="center" wrapText="1"/>
      <protection locked="0"/>
    </xf>
    <xf numFmtId="0" fontId="6" fillId="0" borderId="36" xfId="3" applyFont="1" applyBorder="1" applyAlignment="1" applyProtection="1">
      <alignment horizontal="left" vertical="center" wrapText="1"/>
      <protection locked="0"/>
    </xf>
    <xf numFmtId="0" fontId="6" fillId="0" borderId="36" xfId="5" applyFont="1" applyBorder="1" applyAlignment="1" applyProtection="1">
      <alignment horizontal="left" vertical="center" wrapText="1"/>
      <protection locked="0"/>
    </xf>
    <xf numFmtId="0" fontId="11" fillId="9" borderId="36" xfId="3" applyFont="1" applyFill="1" applyBorder="1" applyAlignment="1" applyProtection="1">
      <alignment horizontal="left" vertical="center" wrapText="1"/>
      <protection locked="0"/>
    </xf>
    <xf numFmtId="0" fontId="6" fillId="0" borderId="37" xfId="3" applyFont="1" applyBorder="1" applyAlignment="1" applyProtection="1">
      <alignment horizontal="left" vertical="center" wrapText="1"/>
      <protection locked="0"/>
    </xf>
    <xf numFmtId="0" fontId="6" fillId="6" borderId="8" xfId="2" applyFont="1" applyFill="1" applyBorder="1" applyAlignment="1" applyProtection="1">
      <alignment horizontal="center" vertical="center"/>
      <protection locked="0"/>
    </xf>
    <xf numFmtId="0" fontId="6" fillId="6" borderId="3" xfId="2" applyFont="1" applyFill="1" applyBorder="1" applyAlignment="1" applyProtection="1">
      <alignment horizontal="center" vertical="center" wrapText="1"/>
      <protection locked="0"/>
    </xf>
    <xf numFmtId="0" fontId="6" fillId="6" borderId="3" xfId="0" applyFont="1" applyFill="1" applyBorder="1" applyAlignment="1" applyProtection="1">
      <alignment horizontal="center" vertical="center" wrapText="1"/>
      <protection locked="0"/>
    </xf>
    <xf numFmtId="0" fontId="6" fillId="6" borderId="1" xfId="0" applyFont="1" applyFill="1" applyBorder="1" applyAlignment="1" applyProtection="1">
      <alignment horizontal="left" vertical="center" wrapText="1"/>
      <protection locked="0"/>
    </xf>
    <xf numFmtId="0" fontId="6" fillId="6" borderId="1" xfId="2" applyFont="1" applyFill="1" applyBorder="1" applyAlignment="1" applyProtection="1">
      <alignment horizontal="center" vertical="center" wrapText="1"/>
      <protection locked="0"/>
    </xf>
    <xf numFmtId="0" fontId="6" fillId="6" borderId="1" xfId="0" applyFont="1" applyFill="1" applyBorder="1" applyAlignment="1" applyProtection="1">
      <alignment horizontal="center" vertical="center" wrapText="1"/>
      <protection locked="0"/>
    </xf>
    <xf numFmtId="0" fontId="6" fillId="6" borderId="1" xfId="3" applyFont="1" applyFill="1" applyBorder="1" applyAlignment="1" applyProtection="1">
      <alignment horizontal="left" vertical="center" wrapText="1"/>
      <protection locked="0"/>
    </xf>
    <xf numFmtId="0" fontId="6" fillId="0" borderId="34" xfId="3" applyFont="1" applyBorder="1" applyAlignment="1" applyProtection="1">
      <alignment horizontal="left" vertical="center" wrapText="1"/>
      <protection locked="0"/>
    </xf>
    <xf numFmtId="0" fontId="6" fillId="10" borderId="17" xfId="0" applyFont="1" applyFill="1" applyBorder="1" applyAlignment="1" applyProtection="1">
      <alignment horizontal="left" vertical="center" wrapText="1"/>
      <protection locked="0"/>
    </xf>
    <xf numFmtId="0" fontId="6" fillId="6" borderId="14" xfId="3" applyFont="1" applyFill="1" applyBorder="1" applyAlignment="1" applyProtection="1">
      <alignment horizontal="left" vertical="center" wrapText="1"/>
      <protection locked="0"/>
    </xf>
    <xf numFmtId="0" fontId="11" fillId="7" borderId="14" xfId="0" applyFont="1" applyFill="1" applyBorder="1" applyAlignment="1" applyProtection="1">
      <alignment horizontal="left" vertical="center" wrapText="1"/>
      <protection locked="0"/>
    </xf>
    <xf numFmtId="0" fontId="6" fillId="6" borderId="3" xfId="3" applyFont="1" applyFill="1" applyBorder="1" applyAlignment="1" applyProtection="1">
      <alignment horizontal="center" vertical="center" wrapText="1"/>
      <protection locked="0"/>
    </xf>
    <xf numFmtId="0" fontId="6" fillId="6" borderId="17" xfId="3" applyFont="1" applyFill="1" applyBorder="1" applyAlignment="1" applyProtection="1">
      <alignment horizontal="left" vertical="center" wrapText="1"/>
      <protection locked="0"/>
    </xf>
    <xf numFmtId="0" fontId="6" fillId="7" borderId="17" xfId="0" applyFont="1" applyFill="1" applyBorder="1" applyAlignment="1" applyProtection="1">
      <alignment horizontal="left" vertical="center" wrapText="1"/>
      <protection locked="0"/>
    </xf>
    <xf numFmtId="0" fontId="6" fillId="6" borderId="1" xfId="3" applyFont="1" applyFill="1" applyBorder="1" applyAlignment="1" applyProtection="1">
      <alignment horizontal="center" vertical="center" wrapText="1"/>
      <protection locked="0"/>
    </xf>
    <xf numFmtId="0" fontId="6" fillId="6" borderId="1" xfId="3" applyFont="1" applyFill="1" applyBorder="1" applyAlignment="1" applyProtection="1">
      <alignment vertical="center" wrapText="1"/>
      <protection locked="0"/>
    </xf>
    <xf numFmtId="0" fontId="6" fillId="6" borderId="15" xfId="3" applyFont="1" applyFill="1" applyBorder="1" applyAlignment="1" applyProtection="1">
      <alignment horizontal="left" vertical="center" wrapText="1"/>
      <protection locked="0"/>
    </xf>
    <xf numFmtId="0" fontId="6" fillId="9" borderId="14" xfId="0" applyFont="1" applyFill="1" applyBorder="1" applyAlignment="1" applyProtection="1">
      <alignment horizontal="left" vertical="center" wrapText="1"/>
      <protection locked="0"/>
    </xf>
    <xf numFmtId="0" fontId="6" fillId="9" borderId="20" xfId="3" applyFont="1" applyFill="1" applyBorder="1" applyAlignment="1" applyProtection="1">
      <alignment horizontal="left" vertical="center" wrapText="1"/>
      <protection locked="0"/>
    </xf>
    <xf numFmtId="0" fontId="6" fillId="0" borderId="8" xfId="2" applyFont="1" applyBorder="1" applyAlignment="1" applyProtection="1">
      <alignment horizontal="center" vertical="center"/>
      <protection locked="0"/>
    </xf>
    <xf numFmtId="0" fontId="6" fillId="0" borderId="1" xfId="0" applyFont="1" applyBorder="1" applyAlignment="1" applyProtection="1">
      <alignment horizontal="left" vertical="center" wrapText="1"/>
      <protection locked="0"/>
    </xf>
    <xf numFmtId="0" fontId="6" fillId="0" borderId="1" xfId="2"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21" fillId="0" borderId="1" xfId="0" applyFont="1" applyBorder="1"/>
    <xf numFmtId="0" fontId="8" fillId="12" borderId="1" xfId="7" applyFont="1" applyFill="1" applyBorder="1" applyAlignment="1" applyProtection="1">
      <alignment horizontal="center" vertical="center"/>
      <protection locked="0"/>
    </xf>
    <xf numFmtId="0" fontId="6" fillId="0" borderId="49" xfId="3" applyFont="1" applyBorder="1" applyAlignment="1" applyProtection="1">
      <alignment horizontal="left" vertical="center" wrapText="1"/>
      <protection locked="0"/>
    </xf>
    <xf numFmtId="0" fontId="6" fillId="6" borderId="48" xfId="3" applyFont="1" applyFill="1" applyBorder="1" applyAlignment="1" applyProtection="1">
      <alignment vertical="center" wrapText="1"/>
      <protection locked="0"/>
    </xf>
    <xf numFmtId="0" fontId="6" fillId="6" borderId="7" xfId="2" applyFont="1" applyFill="1" applyBorder="1" applyAlignment="1" applyProtection="1">
      <alignment horizontal="center" vertical="center"/>
      <protection locked="0"/>
    </xf>
    <xf numFmtId="0" fontId="6" fillId="0" borderId="14" xfId="2" applyFont="1" applyBorder="1" applyAlignment="1" applyProtection="1">
      <alignment horizontal="left" vertical="center" wrapText="1"/>
      <protection locked="0"/>
    </xf>
    <xf numFmtId="0" fontId="6" fillId="9" borderId="14" xfId="3" applyFont="1" applyFill="1" applyBorder="1" applyAlignment="1" applyProtection="1">
      <alignment horizontal="left" vertical="center" wrapText="1"/>
      <protection locked="0"/>
    </xf>
    <xf numFmtId="0" fontId="6" fillId="6" borderId="17" xfId="3"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6" fillId="9" borderId="14" xfId="3" applyFont="1" applyFill="1" applyBorder="1" applyAlignment="1" applyProtection="1">
      <alignment vertical="center" wrapText="1"/>
      <protection locked="0"/>
    </xf>
    <xf numFmtId="0" fontId="6" fillId="0" borderId="49" xfId="3" applyFont="1" applyBorder="1" applyAlignment="1" applyProtection="1">
      <alignment horizontal="left" vertical="center"/>
      <protection locked="0"/>
    </xf>
    <xf numFmtId="0" fontId="24" fillId="4" borderId="36" xfId="3" applyFont="1" applyFill="1" applyBorder="1" applyAlignment="1" applyProtection="1">
      <alignment horizontal="left" vertical="center" wrapText="1"/>
      <protection locked="0"/>
    </xf>
    <xf numFmtId="0" fontId="11" fillId="0" borderId="36" xfId="3" applyFont="1" applyBorder="1" applyAlignment="1" applyProtection="1">
      <alignment horizontal="left" vertical="center" wrapText="1"/>
      <protection locked="0"/>
    </xf>
    <xf numFmtId="0" fontId="24" fillId="4" borderId="7" xfId="2" applyFont="1" applyFill="1" applyBorder="1" applyAlignment="1" applyProtection="1">
      <alignment horizontal="center" vertical="center"/>
      <protection locked="0"/>
    </xf>
    <xf numFmtId="0" fontId="26" fillId="4" borderId="3" xfId="2" applyFont="1" applyFill="1" applyBorder="1" applyAlignment="1" applyProtection="1">
      <alignment horizontal="center" vertical="center" wrapText="1"/>
      <protection locked="0"/>
    </xf>
    <xf numFmtId="0" fontId="26" fillId="4" borderId="3" xfId="3" applyFont="1" applyFill="1" applyBorder="1" applyAlignment="1" applyProtection="1">
      <alignment horizontal="center" vertical="center" wrapText="1"/>
      <protection locked="0"/>
    </xf>
    <xf numFmtId="0" fontId="26" fillId="4" borderId="17" xfId="3" applyFont="1" applyFill="1" applyBorder="1" applyAlignment="1" applyProtection="1">
      <alignment horizontal="left" vertical="center" wrapText="1"/>
      <protection locked="0"/>
    </xf>
    <xf numFmtId="49" fontId="26" fillId="4" borderId="57" xfId="0" applyNumberFormat="1" applyFont="1" applyFill="1" applyBorder="1" applyAlignment="1" applyProtection="1">
      <alignment vertical="center" wrapText="1"/>
      <protection locked="0"/>
    </xf>
    <xf numFmtId="0" fontId="26" fillId="4" borderId="3" xfId="3" applyFont="1" applyFill="1" applyBorder="1" applyAlignment="1" applyProtection="1">
      <alignment horizontal="left" vertical="center" wrapText="1"/>
      <protection locked="0"/>
    </xf>
    <xf numFmtId="0" fontId="24" fillId="4" borderId="3" xfId="3" applyFont="1" applyFill="1" applyBorder="1" applyAlignment="1" applyProtection="1">
      <alignment horizontal="left" vertical="center" wrapText="1"/>
      <protection locked="0"/>
    </xf>
    <xf numFmtId="0" fontId="6" fillId="0" borderId="1" xfId="3" applyFont="1" applyBorder="1" applyAlignment="1" applyProtection="1">
      <alignment horizontal="left" vertical="center" wrapText="1"/>
      <protection locked="0"/>
    </xf>
    <xf numFmtId="0" fontId="6" fillId="0" borderId="17" xfId="3" applyFont="1" applyBorder="1" applyAlignment="1" applyProtection="1">
      <alignment horizontal="center" vertical="center" wrapText="1"/>
      <protection locked="0"/>
    </xf>
    <xf numFmtId="0" fontId="6" fillId="0" borderId="14" xfId="3" applyFont="1" applyBorder="1" applyAlignment="1" applyProtection="1">
      <alignment horizontal="center" vertical="center" wrapText="1"/>
      <protection locked="0"/>
    </xf>
    <xf numFmtId="0" fontId="6" fillId="0" borderId="14" xfId="5" applyFont="1" applyBorder="1" applyAlignment="1" applyProtection="1">
      <alignment horizontal="center" vertical="center" wrapText="1"/>
      <protection locked="0"/>
    </xf>
    <xf numFmtId="0" fontId="11" fillId="0" borderId="14" xfId="3" applyFont="1" applyBorder="1" applyAlignment="1" applyProtection="1">
      <alignment horizontal="left" vertical="center" wrapText="1"/>
      <protection locked="0"/>
    </xf>
    <xf numFmtId="0" fontId="6" fillId="0" borderId="14" xfId="3" applyFont="1" applyBorder="1" applyAlignment="1" applyProtection="1">
      <alignment horizontal="left" vertical="center" wrapText="1"/>
      <protection locked="0"/>
    </xf>
    <xf numFmtId="0" fontId="6" fillId="0" borderId="15" xfId="3" applyFont="1" applyBorder="1" applyAlignment="1" applyProtection="1">
      <alignment horizontal="center" vertical="center" wrapText="1"/>
      <protection locked="0"/>
    </xf>
    <xf numFmtId="0" fontId="6" fillId="0" borderId="17" xfId="3" applyFont="1" applyBorder="1" applyAlignment="1" applyProtection="1">
      <alignment horizontal="left" vertical="center" wrapText="1"/>
      <protection locked="0"/>
    </xf>
    <xf numFmtId="0" fontId="6" fillId="0" borderId="2" xfId="3" applyFont="1" applyBorder="1" applyAlignment="1" applyProtection="1">
      <alignment horizontal="left" vertical="center" wrapText="1"/>
      <protection locked="0"/>
    </xf>
    <xf numFmtId="0" fontId="6" fillId="0" borderId="17" xfId="2" applyFont="1" applyBorder="1" applyAlignment="1" applyProtection="1">
      <alignment horizontal="left" vertical="center" wrapText="1"/>
      <protection locked="0"/>
    </xf>
    <xf numFmtId="0" fontId="6" fillId="0" borderId="15" xfId="3" applyFont="1" applyBorder="1" applyAlignment="1" applyProtection="1">
      <alignment horizontal="left" vertical="center" wrapText="1"/>
      <protection locked="0"/>
    </xf>
    <xf numFmtId="0" fontId="6" fillId="0" borderId="16" xfId="2" applyFont="1" applyBorder="1" applyAlignment="1" applyProtection="1">
      <alignment horizontal="center" vertical="center" wrapText="1"/>
      <protection locked="0"/>
    </xf>
    <xf numFmtId="0" fontId="6" fillId="0" borderId="28" xfId="3" applyFont="1" applyBorder="1" applyAlignment="1" applyProtection="1">
      <alignment horizontal="left" vertical="center" wrapText="1"/>
      <protection locked="0"/>
    </xf>
    <xf numFmtId="0" fontId="6" fillId="0" borderId="7" xfId="2" applyFont="1" applyBorder="1" applyAlignment="1" applyProtection="1">
      <alignment horizontal="center" vertical="center"/>
      <protection locked="0"/>
    </xf>
    <xf numFmtId="0" fontId="6" fillId="0" borderId="3" xfId="0" applyFont="1" applyBorder="1" applyAlignment="1" applyProtection="1">
      <alignment horizontal="center" vertical="center" wrapText="1"/>
      <protection locked="0"/>
    </xf>
    <xf numFmtId="0" fontId="6" fillId="0" borderId="1" xfId="3" applyFont="1" applyBorder="1" applyAlignment="1" applyProtection="1">
      <alignment horizontal="center" vertical="center" wrapText="1"/>
      <protection locked="0"/>
    </xf>
    <xf numFmtId="0" fontId="6" fillId="0" borderId="2" xfId="2" applyFont="1" applyBorder="1" applyAlignment="1" applyProtection="1">
      <alignment horizontal="center" vertical="center"/>
      <protection locked="0"/>
    </xf>
    <xf numFmtId="0" fontId="6" fillId="0" borderId="2" xfId="2" applyFont="1" applyBorder="1" applyAlignment="1" applyProtection="1">
      <alignment horizontal="center" vertical="center" wrapText="1"/>
      <protection locked="0"/>
    </xf>
    <xf numFmtId="0" fontId="6" fillId="0" borderId="2" xfId="3" applyFont="1" applyBorder="1" applyAlignment="1" applyProtection="1">
      <alignment horizontal="center" vertical="center" wrapText="1"/>
      <protection locked="0"/>
    </xf>
    <xf numFmtId="0" fontId="6" fillId="0" borderId="3" xfId="0" applyFont="1" applyBorder="1" applyAlignment="1" applyProtection="1">
      <alignment horizontal="left" vertical="center" wrapText="1"/>
      <protection locked="0"/>
    </xf>
    <xf numFmtId="0" fontId="6" fillId="0" borderId="3" xfId="2" applyFont="1" applyBorder="1" applyAlignment="1" applyProtection="1">
      <alignment horizontal="center" vertical="center" wrapText="1"/>
      <protection locked="0"/>
    </xf>
    <xf numFmtId="0" fontId="6" fillId="0" borderId="3" xfId="3" applyFont="1" applyBorder="1" applyAlignment="1" applyProtection="1">
      <alignment horizontal="center" vertical="center" wrapText="1"/>
      <protection locked="0"/>
    </xf>
    <xf numFmtId="0" fontId="6" fillId="6" borderId="1" xfId="2" applyFont="1" applyFill="1" applyBorder="1" applyAlignment="1" applyProtection="1">
      <alignment horizontal="center" vertical="center"/>
      <protection locked="0"/>
    </xf>
    <xf numFmtId="0" fontId="6" fillId="0" borderId="1" xfId="3" applyFont="1" applyBorder="1" applyAlignment="1" applyProtection="1">
      <alignment horizontal="center" vertical="center"/>
      <protection locked="0"/>
    </xf>
    <xf numFmtId="0" fontId="6" fillId="0" borderId="6" xfId="2" applyFont="1" applyBorder="1" applyAlignment="1" applyProtection="1">
      <alignment horizontal="center" vertical="center"/>
      <protection locked="0"/>
    </xf>
    <xf numFmtId="0" fontId="6" fillId="0" borderId="2" xfId="0" applyFont="1" applyBorder="1" applyAlignment="1" applyProtection="1">
      <alignment horizontal="center" vertical="center" wrapText="1"/>
      <protection locked="0"/>
    </xf>
    <xf numFmtId="9" fontId="17" fillId="0" borderId="42" xfId="11" applyFont="1" applyBorder="1" applyAlignment="1">
      <alignment horizontal="center" vertical="center" wrapText="1"/>
    </xf>
    <xf numFmtId="9" fontId="17" fillId="0" borderId="47" xfId="11" applyFont="1" applyBorder="1" applyAlignment="1">
      <alignment horizontal="center" vertical="center" wrapText="1"/>
    </xf>
    <xf numFmtId="0" fontId="12" fillId="0" borderId="3" xfId="3" applyFont="1" applyBorder="1" applyAlignment="1" applyProtection="1">
      <alignment vertical="center" wrapText="1"/>
      <protection locked="0"/>
    </xf>
    <xf numFmtId="0" fontId="6" fillId="0" borderId="20" xfId="3" applyFont="1" applyBorder="1" applyAlignment="1" applyProtection="1">
      <alignment horizontal="center" vertical="center" wrapText="1"/>
      <protection locked="0"/>
    </xf>
    <xf numFmtId="0" fontId="13" fillId="9" borderId="36" xfId="3" applyFont="1" applyFill="1" applyBorder="1" applyAlignment="1" applyProtection="1">
      <alignment horizontal="left" vertical="center" wrapText="1"/>
      <protection locked="0"/>
    </xf>
    <xf numFmtId="0" fontId="6" fillId="0" borderId="36" xfId="3" applyFont="1" applyBorder="1" applyAlignment="1" applyProtection="1">
      <alignment horizontal="center" vertical="center" wrapText="1"/>
      <protection locked="0"/>
    </xf>
    <xf numFmtId="0" fontId="6" fillId="0" borderId="49" xfId="3" applyFont="1" applyBorder="1" applyAlignment="1" applyProtection="1">
      <alignment horizontal="center" vertical="center" wrapText="1"/>
      <protection locked="0"/>
    </xf>
    <xf numFmtId="0" fontId="6" fillId="0" borderId="0" xfId="3" applyFont="1" applyAlignment="1" applyProtection="1">
      <alignment horizontal="left" vertical="center" wrapText="1"/>
      <protection locked="0"/>
    </xf>
    <xf numFmtId="0" fontId="6" fillId="0" borderId="16" xfId="2" applyFont="1" applyBorder="1" applyAlignment="1">
      <alignment horizontal="center" vertical="center" wrapText="1"/>
    </xf>
    <xf numFmtId="0" fontId="6" fillId="0" borderId="16" xfId="2" applyFont="1" applyBorder="1" applyAlignment="1">
      <alignment horizontal="left" vertical="center" wrapText="1"/>
    </xf>
    <xf numFmtId="0" fontId="6" fillId="0" borderId="4" xfId="2" applyFont="1" applyBorder="1" applyAlignment="1">
      <alignment horizontal="center" vertical="center" wrapText="1"/>
    </xf>
    <xf numFmtId="0" fontId="6" fillId="0" borderId="4" xfId="3" applyFont="1" applyBorder="1" applyAlignment="1">
      <alignment horizontal="left" vertical="center" wrapText="1"/>
    </xf>
    <xf numFmtId="0" fontId="6" fillId="0" borderId="4" xfId="0" applyFont="1" applyBorder="1" applyAlignment="1">
      <alignment horizontal="center" vertical="center" wrapText="1"/>
    </xf>
    <xf numFmtId="0" fontId="6" fillId="0" borderId="2" xfId="2" applyFont="1" applyBorder="1" applyAlignment="1">
      <alignment horizontal="center" vertical="center" wrapText="1"/>
    </xf>
    <xf numFmtId="0" fontId="6" fillId="0" borderId="13" xfId="2" applyFont="1" applyBorder="1" applyAlignment="1">
      <alignment horizontal="center" vertical="center" wrapText="1"/>
    </xf>
    <xf numFmtId="0" fontId="6" fillId="0" borderId="13" xfId="0" applyFont="1" applyBorder="1" applyAlignment="1">
      <alignment horizontal="center" vertical="center" wrapText="1"/>
    </xf>
    <xf numFmtId="0" fontId="24" fillId="0" borderId="0" xfId="3" applyFont="1" applyProtection="1">
      <protection locked="0"/>
    </xf>
    <xf numFmtId="0" fontId="24" fillId="0" borderId="0" xfId="0" applyFont="1" applyProtection="1">
      <protection locked="0"/>
    </xf>
    <xf numFmtId="0" fontId="25" fillId="0" borderId="0" xfId="3"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0" fontId="6" fillId="0" borderId="0" xfId="0" applyFont="1" applyAlignment="1" applyProtection="1">
      <alignment horizontal="center" vertical="center" wrapText="1"/>
      <protection locked="0"/>
    </xf>
    <xf numFmtId="0" fontId="6" fillId="0" borderId="17" xfId="3" applyFont="1" applyBorder="1" applyAlignment="1">
      <alignment horizontal="left" vertical="center" wrapText="1"/>
    </xf>
    <xf numFmtId="0" fontId="6" fillId="0" borderId="3" xfId="2" applyFont="1" applyBorder="1" applyAlignment="1">
      <alignment horizontal="center" vertical="center" wrapText="1"/>
    </xf>
    <xf numFmtId="0" fontId="6" fillId="0" borderId="3" xfId="3" applyFont="1" applyBorder="1" applyAlignment="1">
      <alignment horizontal="left" vertical="center" wrapText="1"/>
    </xf>
    <xf numFmtId="0" fontId="6" fillId="0" borderId="3" xfId="0" applyFont="1" applyBorder="1" applyAlignment="1">
      <alignment horizontal="center" vertical="center" wrapText="1"/>
    </xf>
    <xf numFmtId="0" fontId="6" fillId="0" borderId="0" xfId="3" applyFont="1" applyProtection="1">
      <protection locked="0"/>
    </xf>
    <xf numFmtId="0" fontId="6" fillId="0" borderId="0" xfId="0" applyFont="1" applyProtection="1">
      <protection locked="0"/>
    </xf>
    <xf numFmtId="0" fontId="8" fillId="0" borderId="0" xfId="3" applyFont="1" applyAlignment="1" applyProtection="1">
      <alignment horizontal="center" vertical="center"/>
      <protection locked="0"/>
    </xf>
    <xf numFmtId="0" fontId="6" fillId="0" borderId="17" xfId="0" applyFont="1" applyBorder="1" applyAlignment="1">
      <alignment horizontal="left" vertical="center" wrapText="1"/>
    </xf>
    <xf numFmtId="0" fontId="6" fillId="0" borderId="14" xfId="3" applyFont="1" applyBorder="1" applyAlignment="1">
      <alignment horizontal="left" vertical="center" wrapText="1"/>
    </xf>
    <xf numFmtId="0" fontId="6" fillId="0" borderId="1" xfId="2" applyFont="1" applyBorder="1" applyAlignment="1">
      <alignment horizontal="center" vertical="center" wrapText="1"/>
    </xf>
    <xf numFmtId="0" fontId="6" fillId="0" borderId="1" xfId="0" applyFont="1" applyBorder="1" applyAlignment="1">
      <alignment horizontal="center" vertical="center" wrapText="1"/>
    </xf>
    <xf numFmtId="0" fontId="6" fillId="0" borderId="3" xfId="3" applyFont="1" applyBorder="1" applyAlignment="1">
      <alignment horizontal="center" vertical="center" wrapText="1"/>
    </xf>
    <xf numFmtId="0" fontId="6" fillId="0" borderId="0" xfId="3" applyFont="1" applyAlignment="1" applyProtection="1">
      <alignment vertical="center" wrapText="1"/>
      <protection locked="0"/>
    </xf>
    <xf numFmtId="0" fontId="6" fillId="0" borderId="49" xfId="3" applyFont="1" applyBorder="1" applyAlignment="1" applyProtection="1">
      <alignment vertical="center" wrapText="1"/>
      <protection locked="0"/>
    </xf>
    <xf numFmtId="0" fontId="6" fillId="0" borderId="20" xfId="3" applyFont="1" applyBorder="1" applyAlignment="1">
      <alignment horizontal="left" vertical="center" wrapText="1"/>
    </xf>
    <xf numFmtId="0" fontId="6" fillId="0" borderId="13" xfId="3" applyFont="1" applyBorder="1" applyAlignment="1">
      <alignment horizontal="center" vertical="center" wrapText="1"/>
    </xf>
    <xf numFmtId="0" fontId="6" fillId="0" borderId="2" xfId="3" applyFont="1" applyBorder="1" applyAlignment="1">
      <alignment horizontal="left" vertical="center" wrapText="1"/>
    </xf>
    <xf numFmtId="0" fontId="6" fillId="0" borderId="36" xfId="3" applyFont="1" applyBorder="1" applyAlignment="1" applyProtection="1">
      <alignment vertical="center" wrapText="1"/>
      <protection locked="0"/>
    </xf>
    <xf numFmtId="0" fontId="6" fillId="0" borderId="1" xfId="3" applyFont="1" applyBorder="1" applyAlignment="1">
      <alignment horizontal="center" vertical="center" wrapText="1"/>
    </xf>
    <xf numFmtId="0" fontId="2" fillId="0" borderId="0" xfId="0" applyFont="1" applyProtection="1">
      <protection locked="0"/>
    </xf>
    <xf numFmtId="0" fontId="6" fillId="0" borderId="14" xfId="0" applyFont="1" applyBorder="1" applyAlignment="1">
      <alignment horizontal="left" vertical="center" wrapText="1"/>
    </xf>
    <xf numFmtId="0" fontId="6" fillId="0" borderId="1" xfId="3" applyFont="1" applyBorder="1" applyAlignment="1">
      <alignment vertical="center" wrapText="1"/>
    </xf>
    <xf numFmtId="0" fontId="6" fillId="0" borderId="1" xfId="3" applyFont="1" applyBorder="1" applyAlignment="1">
      <alignment horizontal="left" vertical="center" wrapText="1"/>
    </xf>
    <xf numFmtId="0" fontId="8" fillId="0" borderId="1" xfId="2" applyFont="1" applyBorder="1" applyAlignment="1">
      <alignment horizontal="center" vertical="center" wrapText="1"/>
    </xf>
    <xf numFmtId="0" fontId="6" fillId="0" borderId="17" xfId="2" applyFont="1" applyBorder="1" applyAlignment="1">
      <alignment horizontal="left" vertical="center" wrapText="1"/>
    </xf>
    <xf numFmtId="0" fontId="6" fillId="0" borderId="3" xfId="3" applyFont="1" applyBorder="1" applyAlignment="1" applyProtection="1">
      <alignment horizontal="left" vertical="center" wrapText="1"/>
      <protection locked="0"/>
    </xf>
    <xf numFmtId="0" fontId="6" fillId="0" borderId="17" xfId="0" applyFont="1" applyBorder="1" applyAlignment="1" applyProtection="1">
      <alignment horizontal="left" vertical="center" wrapText="1"/>
      <protection locked="0"/>
    </xf>
    <xf numFmtId="0" fontId="6" fillId="0" borderId="14" xfId="2" applyFont="1" applyBorder="1" applyAlignment="1">
      <alignment horizontal="left" vertical="center" wrapText="1"/>
    </xf>
    <xf numFmtId="0" fontId="6" fillId="0" borderId="1" xfId="3" applyFont="1" applyBorder="1" applyAlignment="1">
      <alignment horizontal="center" vertical="center"/>
    </xf>
    <xf numFmtId="0" fontId="6" fillId="0" borderId="1" xfId="2" applyFont="1" applyBorder="1" applyAlignment="1" applyProtection="1">
      <alignment horizontal="left" vertical="center" wrapText="1"/>
      <protection locked="0"/>
    </xf>
    <xf numFmtId="0" fontId="6" fillId="0" borderId="1" xfId="3" applyFont="1" applyBorder="1" applyAlignment="1" applyProtection="1">
      <alignment vertical="center" wrapText="1"/>
      <protection locked="0"/>
    </xf>
    <xf numFmtId="0" fontId="6" fillId="0" borderId="1" xfId="14" applyFont="1" applyBorder="1" applyAlignment="1" applyProtection="1">
      <alignment horizontal="center" vertical="center" wrapText="1"/>
      <protection locked="0"/>
    </xf>
    <xf numFmtId="0" fontId="8" fillId="0" borderId="1" xfId="14" applyFont="1" applyBorder="1" applyAlignment="1" applyProtection="1">
      <alignment horizontal="center" vertical="center" wrapText="1"/>
      <protection locked="0"/>
    </xf>
    <xf numFmtId="0" fontId="6" fillId="0" borderId="1" xfId="14" applyFont="1" applyBorder="1" applyAlignment="1">
      <alignment horizontal="center" vertical="center" wrapText="1"/>
    </xf>
    <xf numFmtId="0" fontId="8" fillId="0" borderId="1" xfId="14" applyFont="1" applyBorder="1" applyAlignment="1">
      <alignment horizontal="center" vertical="center" wrapText="1"/>
    </xf>
    <xf numFmtId="0" fontId="8" fillId="0" borderId="3" xfId="0" applyFont="1" applyBorder="1" applyAlignment="1">
      <alignment horizontal="center" vertical="center" wrapText="1"/>
    </xf>
    <xf numFmtId="0" fontId="6" fillId="0" borderId="1" xfId="0" applyFont="1" applyBorder="1" applyAlignment="1">
      <alignment vertical="center" wrapText="1"/>
    </xf>
    <xf numFmtId="0" fontId="6" fillId="0" borderId="3" xfId="2" applyFont="1" applyBorder="1" applyAlignment="1" applyProtection="1">
      <alignment horizontal="center" vertical="center"/>
      <protection locked="0"/>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8" fillId="0" borderId="0" xfId="0" applyFont="1" applyAlignment="1" applyProtection="1">
      <alignment horizontal="center" vertical="center"/>
      <protection locked="0"/>
    </xf>
    <xf numFmtId="0" fontId="6" fillId="0" borderId="0" xfId="3" applyFont="1" applyAlignment="1" applyProtection="1">
      <alignment horizontal="left" vertical="center"/>
      <protection locked="0"/>
    </xf>
    <xf numFmtId="0" fontId="11" fillId="0" borderId="17" xfId="3" applyFont="1" applyBorder="1" applyAlignment="1" applyProtection="1">
      <alignment horizontal="left" vertical="center"/>
      <protection locked="0"/>
    </xf>
    <xf numFmtId="0" fontId="11" fillId="0" borderId="17" xfId="3" applyFont="1" applyBorder="1" applyAlignment="1">
      <alignment horizontal="left" vertical="center" wrapText="1"/>
    </xf>
    <xf numFmtId="0" fontId="6" fillId="0" borderId="3" xfId="2" applyFont="1" applyBorder="1" applyAlignment="1">
      <alignment horizontal="center" vertical="center"/>
    </xf>
    <xf numFmtId="0" fontId="6" fillId="0" borderId="3" xfId="0" applyFont="1" applyBorder="1" applyAlignment="1">
      <alignment horizontal="center" vertical="center"/>
    </xf>
    <xf numFmtId="0" fontId="6" fillId="0" borderId="17" xfId="2" applyFont="1" applyBorder="1" applyAlignment="1" applyProtection="1">
      <alignment horizontal="left" vertical="center"/>
      <protection locked="0"/>
    </xf>
    <xf numFmtId="0" fontId="6" fillId="0" borderId="17" xfId="2" applyFont="1" applyBorder="1" applyAlignment="1">
      <alignment horizontal="left" vertical="center"/>
    </xf>
    <xf numFmtId="0" fontId="6" fillId="0" borderId="1" xfId="2" applyFont="1" applyBorder="1" applyAlignment="1">
      <alignment horizontal="center" vertical="center"/>
    </xf>
    <xf numFmtId="0" fontId="6" fillId="0" borderId="3" xfId="2" applyFont="1" applyBorder="1" applyAlignment="1">
      <alignment horizontal="left" vertical="center" wrapText="1"/>
    </xf>
    <xf numFmtId="0" fontId="8" fillId="0" borderId="3" xfId="2" applyFont="1" applyBorder="1" applyAlignment="1">
      <alignment horizontal="center" vertical="center"/>
    </xf>
    <xf numFmtId="0" fontId="6" fillId="0" borderId="14" xfId="3" applyFont="1" applyBorder="1" applyAlignment="1">
      <alignment horizontal="center" vertical="center" wrapText="1"/>
    </xf>
    <xf numFmtId="0" fontId="6" fillId="0" borderId="18" xfId="3" applyFont="1" applyBorder="1" applyAlignment="1">
      <alignment horizontal="left" vertical="center" wrapText="1"/>
    </xf>
    <xf numFmtId="0" fontId="6" fillId="0" borderId="10" xfId="2" applyFont="1" applyBorder="1" applyAlignment="1">
      <alignment horizontal="center" vertical="center" wrapText="1"/>
    </xf>
    <xf numFmtId="0" fontId="6" fillId="0" borderId="10" xfId="3" applyFont="1" applyBorder="1" applyAlignment="1">
      <alignment horizontal="center" vertical="center" wrapText="1"/>
    </xf>
    <xf numFmtId="0" fontId="6" fillId="0" borderId="10" xfId="3" applyFont="1" applyBorder="1" applyAlignment="1">
      <alignment horizontal="left" vertical="center" wrapText="1"/>
    </xf>
    <xf numFmtId="0" fontId="6" fillId="0" borderId="12" xfId="0" applyFont="1" applyBorder="1" applyAlignment="1">
      <alignment horizontal="center" vertical="center" wrapText="1"/>
    </xf>
    <xf numFmtId="0" fontId="8" fillId="0" borderId="10" xfId="14" applyFont="1" applyBorder="1" applyAlignment="1">
      <alignment horizontal="center" vertical="center" wrapText="1"/>
    </xf>
    <xf numFmtId="0" fontId="11" fillId="0" borderId="14" xfId="3" applyFont="1" applyBorder="1" applyAlignment="1">
      <alignment horizontal="left" vertical="center" wrapText="1"/>
    </xf>
    <xf numFmtId="0" fontId="6" fillId="0" borderId="14" xfId="5" applyFont="1" applyBorder="1" applyAlignment="1">
      <alignment horizontal="center" vertical="center" wrapText="1"/>
    </xf>
    <xf numFmtId="0" fontId="6" fillId="0" borderId="14" xfId="5" applyFont="1" applyBorder="1" applyAlignment="1">
      <alignment horizontal="left" vertical="center" wrapText="1"/>
    </xf>
    <xf numFmtId="0" fontId="6" fillId="0" borderId="1" xfId="5" applyFont="1" applyBorder="1" applyAlignment="1">
      <alignment horizontal="left" vertical="center" wrapText="1"/>
    </xf>
    <xf numFmtId="0" fontId="6" fillId="0" borderId="17" xfId="3" applyFont="1" applyBorder="1" applyAlignment="1">
      <alignment horizontal="center" vertical="center" wrapText="1"/>
    </xf>
    <xf numFmtId="0" fontId="8" fillId="3" borderId="15" xfId="2" applyFont="1" applyFill="1" applyBorder="1" applyAlignment="1">
      <alignment horizontal="center" vertical="center" wrapText="1"/>
    </xf>
    <xf numFmtId="0" fontId="8" fillId="0" borderId="15" xfId="2" applyFont="1" applyBorder="1" applyAlignment="1">
      <alignment horizontal="center" vertical="center" wrapText="1"/>
    </xf>
    <xf numFmtId="0" fontId="8" fillId="0" borderId="2" xfId="2" applyFont="1" applyBorder="1" applyAlignment="1">
      <alignment horizontal="center" vertical="center" wrapText="1"/>
    </xf>
    <xf numFmtId="0" fontId="8" fillId="4" borderId="2"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0" borderId="6" xfId="2" applyFont="1" applyBorder="1" applyAlignment="1">
      <alignment horizontal="center" vertical="center"/>
    </xf>
    <xf numFmtId="0" fontId="6" fillId="0" borderId="0" xfId="0" applyFont="1" applyAlignment="1" applyProtection="1">
      <alignment wrapText="1"/>
      <protection locked="0"/>
    </xf>
    <xf numFmtId="0" fontId="6" fillId="0" borderId="0" xfId="0" applyFont="1" applyAlignment="1" applyProtection="1">
      <alignment horizontal="center"/>
      <protection locked="0"/>
    </xf>
    <xf numFmtId="0" fontId="8" fillId="0" borderId="0" xfId="0" applyFont="1" applyProtection="1">
      <protection locked="0"/>
    </xf>
    <xf numFmtId="0" fontId="8" fillId="0" borderId="32" xfId="0" applyFont="1" applyBorder="1" applyProtection="1">
      <protection locked="0"/>
    </xf>
    <xf numFmtId="0" fontId="8" fillId="0" borderId="31" xfId="0" applyFont="1" applyBorder="1" applyAlignment="1" applyProtection="1">
      <alignment wrapText="1"/>
      <protection locked="0"/>
    </xf>
    <xf numFmtId="0" fontId="8" fillId="0" borderId="4" xfId="14" applyFont="1" applyBorder="1" applyAlignment="1">
      <alignment horizontal="center" vertical="center" wrapText="1"/>
    </xf>
    <xf numFmtId="0" fontId="6" fillId="0" borderId="0" xfId="3" applyFont="1" applyAlignment="1" applyProtection="1">
      <alignment wrapText="1"/>
      <protection locked="0"/>
    </xf>
    <xf numFmtId="0" fontId="8" fillId="0" borderId="13" xfId="14" applyFont="1" applyBorder="1" applyAlignment="1">
      <alignment horizontal="center" vertical="center" wrapText="1"/>
    </xf>
    <xf numFmtId="0" fontId="8" fillId="0" borderId="3" xfId="14" applyFont="1" applyBorder="1" applyAlignment="1">
      <alignment horizontal="center" vertical="center" wrapText="1"/>
    </xf>
    <xf numFmtId="0" fontId="8" fillId="6" borderId="1" xfId="14" applyFont="1" applyFill="1" applyBorder="1" applyAlignment="1" applyProtection="1">
      <alignment horizontal="center" vertical="center" wrapText="1"/>
      <protection locked="0"/>
    </xf>
    <xf numFmtId="0" fontId="8" fillId="0" borderId="2" xfId="14" applyFont="1" applyBorder="1" applyAlignment="1">
      <alignment horizontal="center" vertical="center" wrapText="1"/>
    </xf>
    <xf numFmtId="0" fontId="8" fillId="0" borderId="1" xfId="2" applyFont="1" applyBorder="1" applyAlignment="1" applyProtection="1">
      <alignment horizontal="center" vertical="center" wrapText="1"/>
      <protection locked="0"/>
    </xf>
    <xf numFmtId="0" fontId="9" fillId="0" borderId="0" xfId="3" applyFont="1" applyProtection="1">
      <protection locked="0"/>
    </xf>
    <xf numFmtId="0" fontId="6" fillId="6" borderId="1" xfId="14" applyFont="1" applyFill="1" applyBorder="1" applyAlignment="1" applyProtection="1">
      <alignment horizontal="center" vertical="center" wrapText="1"/>
      <protection locked="0"/>
    </xf>
    <xf numFmtId="0" fontId="6" fillId="0" borderId="3" xfId="14" applyFont="1" applyBorder="1" applyAlignment="1">
      <alignment horizontal="center" vertical="center" wrapText="1"/>
    </xf>
    <xf numFmtId="0" fontId="12" fillId="0" borderId="2" xfId="3" applyFont="1" applyBorder="1" applyAlignment="1" applyProtection="1">
      <alignment vertical="center" wrapText="1"/>
      <protection locked="0"/>
    </xf>
    <xf numFmtId="0" fontId="25" fillId="4" borderId="3" xfId="14" applyFont="1" applyFill="1" applyBorder="1" applyAlignment="1" applyProtection="1">
      <alignment horizontal="center" vertical="center" wrapText="1"/>
      <protection locked="0"/>
    </xf>
    <xf numFmtId="0" fontId="8" fillId="0" borderId="3" xfId="14" applyFont="1" applyBorder="1" applyAlignment="1">
      <alignment horizontal="center" vertical="center"/>
    </xf>
    <xf numFmtId="0" fontId="8" fillId="0" borderId="0" xfId="0" applyFont="1" applyAlignment="1" applyProtection="1">
      <alignment horizontal="center" vertical="center" wrapText="1"/>
      <protection locked="0"/>
    </xf>
    <xf numFmtId="0" fontId="6" fillId="0" borderId="29" xfId="3" applyFont="1" applyBorder="1" applyAlignment="1" applyProtection="1">
      <alignment horizontal="center" vertical="center" wrapText="1"/>
      <protection locked="0"/>
    </xf>
    <xf numFmtId="0" fontId="6" fillId="0" borderId="20" xfId="3" applyFont="1" applyBorder="1" applyAlignment="1">
      <alignment horizontal="center" vertical="center" wrapText="1"/>
    </xf>
    <xf numFmtId="0" fontId="24" fillId="0" borderId="36" xfId="3" applyFont="1" applyBorder="1" applyAlignment="1" applyProtection="1">
      <alignment horizontal="left" vertical="center" wrapText="1"/>
      <protection locked="0"/>
    </xf>
    <xf numFmtId="0" fontId="24" fillId="0" borderId="17" xfId="3" applyFont="1" applyBorder="1" applyAlignment="1" applyProtection="1">
      <alignment horizontal="left" vertical="center" wrapText="1"/>
      <protection locked="0"/>
    </xf>
    <xf numFmtId="0" fontId="26" fillId="0" borderId="14" xfId="3" applyFont="1" applyBorder="1" applyAlignment="1" applyProtection="1">
      <alignment horizontal="left" vertical="center" wrapText="1"/>
      <protection locked="0"/>
    </xf>
    <xf numFmtId="0" fontId="26" fillId="0" borderId="1" xfId="2" applyFont="1" applyBorder="1" applyAlignment="1" applyProtection="1">
      <alignment horizontal="center" vertical="center" wrapText="1"/>
      <protection locked="0"/>
    </xf>
    <xf numFmtId="0" fontId="26" fillId="0" borderId="3" xfId="2" applyFont="1" applyBorder="1" applyAlignment="1" applyProtection="1">
      <alignment horizontal="center" vertical="center" wrapText="1"/>
      <protection locked="0"/>
    </xf>
    <xf numFmtId="49" fontId="26" fillId="0" borderId="57" xfId="0" applyNumberFormat="1" applyFont="1" applyBorder="1" applyAlignment="1" applyProtection="1">
      <alignment horizontal="left" vertical="center" wrapText="1"/>
      <protection locked="0"/>
    </xf>
    <xf numFmtId="0" fontId="26" fillId="0" borderId="3" xfId="0" applyFont="1" applyBorder="1" applyAlignment="1" applyProtection="1">
      <alignment horizontal="center" vertical="center" wrapText="1"/>
      <protection locked="0"/>
    </xf>
    <xf numFmtId="0" fontId="25" fillId="0" borderId="3" xfId="0" applyFont="1" applyBorder="1" applyAlignment="1" applyProtection="1">
      <alignment horizontal="center" vertical="center" wrapText="1"/>
      <protection locked="0"/>
    </xf>
    <xf numFmtId="0" fontId="24" fillId="0" borderId="6" xfId="2" applyFont="1" applyBorder="1" applyAlignment="1" applyProtection="1">
      <alignment horizontal="center" vertical="center"/>
      <protection locked="0"/>
    </xf>
    <xf numFmtId="0" fontId="6" fillId="0" borderId="20" xfId="0" applyFont="1" applyBorder="1" applyAlignment="1" applyProtection="1">
      <alignment horizontal="left" vertical="center" wrapText="1"/>
      <protection locked="0"/>
    </xf>
    <xf numFmtId="0" fontId="8" fillId="0" borderId="3" xfId="14" applyFont="1" applyBorder="1" applyAlignment="1" applyProtection="1">
      <alignment horizontal="center" vertical="center" wrapText="1"/>
      <protection locked="0"/>
    </xf>
    <xf numFmtId="0" fontId="8" fillId="0" borderId="2" xfId="14" applyFont="1" applyBorder="1" applyAlignment="1" applyProtection="1">
      <alignment horizontal="center" vertical="center" wrapText="1"/>
      <protection locked="0"/>
    </xf>
    <xf numFmtId="0" fontId="6" fillId="0" borderId="57" xfId="2" applyFont="1" applyBorder="1" applyAlignment="1" applyProtection="1">
      <alignment horizontal="left" vertical="center" wrapText="1"/>
      <protection locked="0"/>
    </xf>
    <xf numFmtId="0" fontId="6" fillId="0" borderId="3" xfId="14" applyFont="1" applyBorder="1" applyAlignment="1" applyProtection="1">
      <alignment horizontal="center" vertical="center" wrapText="1"/>
      <protection locked="0"/>
    </xf>
    <xf numFmtId="0" fontId="6" fillId="0" borderId="48" xfId="3" applyFont="1" applyBorder="1" applyAlignment="1" applyProtection="1">
      <alignment vertical="center" wrapText="1"/>
      <protection locked="0"/>
    </xf>
    <xf numFmtId="0" fontId="6" fillId="0" borderId="17" xfId="3" applyFont="1" applyBorder="1" applyAlignment="1" applyProtection="1">
      <alignment vertical="center" wrapText="1"/>
      <protection locked="0"/>
    </xf>
    <xf numFmtId="0" fontId="6" fillId="0" borderId="2" xfId="14" applyFont="1" applyBorder="1" applyAlignment="1" applyProtection="1">
      <alignment horizontal="center" vertical="center" wrapText="1"/>
      <protection locked="0"/>
    </xf>
    <xf numFmtId="9" fontId="17" fillId="0" borderId="0" xfId="11" applyFont="1" applyAlignment="1">
      <alignment horizontal="center" vertical="center"/>
    </xf>
    <xf numFmtId="0" fontId="20" fillId="3" borderId="4" xfId="2" applyFont="1" applyFill="1" applyBorder="1" applyAlignment="1">
      <alignment horizontal="center" vertical="center" wrapText="1"/>
    </xf>
    <xf numFmtId="0" fontId="20" fillId="3" borderId="33" xfId="2" applyFont="1" applyFill="1" applyBorder="1" applyAlignment="1">
      <alignment horizontal="center" vertical="center" wrapText="1"/>
    </xf>
    <xf numFmtId="164" fontId="17" fillId="0" borderId="0" xfId="0" applyNumberFormat="1" applyFont="1" applyAlignment="1">
      <alignment horizontal="center" vertical="center"/>
    </xf>
    <xf numFmtId="164" fontId="17" fillId="0" borderId="0" xfId="0" applyNumberFormat="1" applyFont="1" applyAlignment="1" applyProtection="1">
      <alignment horizontal="center" vertical="center"/>
      <protection locked="0"/>
    </xf>
    <xf numFmtId="9" fontId="17" fillId="0" borderId="0" xfId="11" applyFont="1" applyAlignment="1" applyProtection="1">
      <alignment horizontal="center" vertical="center"/>
      <protection locked="0"/>
    </xf>
    <xf numFmtId="0" fontId="17" fillId="0" borderId="0" xfId="0" applyFont="1" applyAlignment="1" applyProtection="1">
      <alignment horizontal="center" vertical="center"/>
      <protection locked="0"/>
    </xf>
    <xf numFmtId="164" fontId="17" fillId="0" borderId="0" xfId="0" applyNumberFormat="1" applyFont="1" applyAlignment="1">
      <alignment horizontal="center" vertical="center" wrapText="1"/>
    </xf>
    <xf numFmtId="164" fontId="17" fillId="0" borderId="0" xfId="0" applyNumberFormat="1" applyFont="1" applyAlignment="1" applyProtection="1">
      <alignment horizontal="center" vertical="center" wrapText="1"/>
      <protection locked="0"/>
    </xf>
    <xf numFmtId="164" fontId="17" fillId="0" borderId="0" xfId="0" applyNumberFormat="1" applyFont="1" applyAlignment="1">
      <alignment horizontal="right" vertical="center"/>
    </xf>
    <xf numFmtId="0" fontId="6" fillId="0" borderId="59" xfId="3" applyFont="1" applyBorder="1" applyAlignment="1" applyProtection="1">
      <alignment horizontal="left" vertical="center" wrapText="1"/>
      <protection locked="0"/>
    </xf>
    <xf numFmtId="9" fontId="29" fillId="0" borderId="0" xfId="11" applyFont="1" applyAlignment="1">
      <alignment horizontal="center" vertical="center"/>
    </xf>
    <xf numFmtId="164" fontId="29" fillId="0" borderId="0" xfId="0" applyNumberFormat="1" applyFont="1" applyAlignment="1">
      <alignment horizontal="center" vertical="center"/>
    </xf>
    <xf numFmtId="0" fontId="27" fillId="4" borderId="7" xfId="2" applyFont="1" applyFill="1" applyBorder="1" applyAlignment="1" applyProtection="1">
      <alignment horizontal="center" vertical="center"/>
      <protection locked="0"/>
    </xf>
    <xf numFmtId="0" fontId="27" fillId="0" borderId="0" xfId="0" applyFont="1" applyAlignment="1" applyProtection="1">
      <alignment horizontal="center" vertical="center"/>
      <protection locked="0"/>
    </xf>
    <xf numFmtId="0" fontId="27" fillId="0" borderId="0" xfId="3" applyFont="1" applyProtection="1">
      <protection locked="0"/>
    </xf>
    <xf numFmtId="0" fontId="27" fillId="0" borderId="0" xfId="0" applyFont="1" applyProtection="1">
      <protection locked="0"/>
    </xf>
    <xf numFmtId="0" fontId="21" fillId="0" borderId="1" xfId="0" applyFont="1" applyBorder="1" applyAlignment="1">
      <alignment horizontal="center" vertical="center"/>
    </xf>
    <xf numFmtId="0" fontId="5" fillId="0" borderId="1" xfId="0" applyFont="1" applyBorder="1" applyAlignment="1">
      <alignment horizontal="center"/>
    </xf>
    <xf numFmtId="0" fontId="5" fillId="0" borderId="25" xfId="0" applyFont="1" applyBorder="1"/>
    <xf numFmtId="0" fontId="21" fillId="0" borderId="1" xfId="0" applyFont="1" applyBorder="1" applyAlignment="1">
      <alignment horizontal="center" vertical="center" wrapText="1"/>
    </xf>
    <xf numFmtId="0" fontId="5" fillId="0" borderId="26" xfId="0" applyFont="1" applyBorder="1"/>
    <xf numFmtId="0" fontId="5" fillId="0" borderId="22" xfId="0" applyFont="1" applyBorder="1"/>
    <xf numFmtId="0" fontId="17" fillId="0" borderId="0" xfId="0" applyFont="1" applyAlignment="1" applyProtection="1">
      <alignment horizontal="right" vertical="center"/>
      <protection locked="0"/>
    </xf>
    <xf numFmtId="9" fontId="17" fillId="0" borderId="0" xfId="11" applyFont="1" applyAlignment="1" applyProtection="1">
      <alignment horizontal="right" vertical="center"/>
      <protection locked="0"/>
    </xf>
    <xf numFmtId="9" fontId="20" fillId="0" borderId="32" xfId="11" applyFont="1" applyBorder="1" applyAlignment="1" applyProtection="1">
      <alignment horizontal="right" vertical="center"/>
      <protection locked="0"/>
    </xf>
    <xf numFmtId="0" fontId="20" fillId="0" borderId="32" xfId="0" applyFont="1" applyBorder="1" applyAlignment="1" applyProtection="1">
      <alignment horizontal="right" vertical="center"/>
      <protection locked="0"/>
    </xf>
    <xf numFmtId="9" fontId="20" fillId="0" borderId="62" xfId="11" applyFont="1" applyBorder="1" applyAlignment="1" applyProtection="1">
      <alignment horizontal="right" vertical="center"/>
      <protection locked="0"/>
    </xf>
    <xf numFmtId="0" fontId="20" fillId="0" borderId="62" xfId="0" applyFont="1" applyBorder="1" applyAlignment="1" applyProtection="1">
      <alignment horizontal="right" vertical="center"/>
      <protection locked="0"/>
    </xf>
    <xf numFmtId="0" fontId="8" fillId="0" borderId="62" xfId="0" applyFont="1" applyBorder="1" applyProtection="1">
      <protection locked="0"/>
    </xf>
    <xf numFmtId="0" fontId="8" fillId="0" borderId="63" xfId="0" applyFont="1" applyBorder="1" applyAlignment="1" applyProtection="1">
      <alignment wrapText="1"/>
      <protection locked="0"/>
    </xf>
    <xf numFmtId="164" fontId="17" fillId="0" borderId="0" xfId="0" applyNumberFormat="1" applyFont="1" applyAlignment="1" applyProtection="1">
      <alignment horizontal="right" vertical="center"/>
      <protection locked="0"/>
    </xf>
    <xf numFmtId="0" fontId="6" fillId="0" borderId="5" xfId="2" applyFont="1" applyBorder="1" applyAlignment="1" applyProtection="1">
      <alignment horizontal="center" vertical="center"/>
      <protection locked="0"/>
    </xf>
    <xf numFmtId="0" fontId="6" fillId="0" borderId="6" xfId="2" applyFont="1" applyBorder="1" applyAlignment="1" applyProtection="1">
      <alignment horizontal="center" vertical="center" wrapText="1"/>
      <protection locked="0"/>
    </xf>
    <xf numFmtId="0" fontId="27" fillId="4" borderId="8" xfId="2" applyFont="1" applyFill="1" applyBorder="1" applyAlignment="1" applyProtection="1">
      <alignment horizontal="center" vertical="center"/>
      <protection locked="0"/>
    </xf>
    <xf numFmtId="0" fontId="6" fillId="0" borderId="19" xfId="2" applyFont="1" applyBorder="1" applyAlignment="1" applyProtection="1">
      <alignment horizontal="center" vertical="center"/>
      <protection locked="0"/>
    </xf>
    <xf numFmtId="0" fontId="8" fillId="0" borderId="0" xfId="3" applyFont="1" applyProtection="1">
      <protection locked="0"/>
    </xf>
    <xf numFmtId="0" fontId="13" fillId="0" borderId="49" xfId="3" applyFont="1" applyBorder="1" applyAlignment="1" applyProtection="1">
      <alignment horizontal="center" vertical="center" wrapText="1"/>
      <protection locked="0"/>
    </xf>
    <xf numFmtId="0" fontId="27" fillId="0" borderId="7" xfId="2" applyFont="1" applyBorder="1" applyAlignment="1" applyProtection="1">
      <alignment horizontal="center" vertical="center"/>
      <protection locked="0"/>
    </xf>
    <xf numFmtId="0" fontId="6" fillId="0" borderId="43" xfId="2" applyFont="1" applyBorder="1" applyAlignment="1" applyProtection="1">
      <alignment horizontal="center" vertical="center"/>
      <protection locked="0"/>
    </xf>
    <xf numFmtId="0" fontId="6" fillId="0" borderId="9" xfId="2" applyFont="1" applyBorder="1" applyAlignment="1" applyProtection="1">
      <alignment horizontal="center" vertical="center"/>
      <protection locked="0"/>
    </xf>
    <xf numFmtId="0" fontId="8" fillId="3" borderId="28" xfId="0" applyFont="1" applyFill="1" applyBorder="1" applyAlignment="1" applyProtection="1">
      <alignment horizontal="center" vertical="center" wrapText="1"/>
      <protection locked="0"/>
    </xf>
    <xf numFmtId="0" fontId="13" fillId="6" borderId="2" xfId="3" applyFont="1" applyFill="1" applyBorder="1" applyAlignment="1" applyProtection="1">
      <alignment vertical="center" wrapText="1"/>
      <protection locked="0"/>
    </xf>
    <xf numFmtId="0" fontId="13" fillId="6" borderId="15" xfId="3" applyFont="1" applyFill="1" applyBorder="1" applyAlignment="1" applyProtection="1">
      <alignment vertical="center" wrapText="1"/>
      <protection locked="0"/>
    </xf>
    <xf numFmtId="0" fontId="8" fillId="6" borderId="3" xfId="0" applyFont="1" applyFill="1" applyBorder="1" applyAlignment="1" applyProtection="1">
      <alignment horizontal="center" vertical="center" wrapText="1"/>
      <protection locked="0"/>
    </xf>
    <xf numFmtId="0" fontId="6" fillId="6" borderId="14" xfId="3" applyFont="1" applyFill="1" applyBorder="1" applyProtection="1">
      <protection locked="0"/>
    </xf>
    <xf numFmtId="0" fontId="13" fillId="6" borderId="1" xfId="3" applyFont="1" applyFill="1" applyBorder="1" applyAlignment="1" applyProtection="1">
      <alignment vertical="center" wrapText="1"/>
      <protection locked="0"/>
    </xf>
    <xf numFmtId="0" fontId="13" fillId="6" borderId="14" xfId="3" applyFont="1" applyFill="1" applyBorder="1" applyAlignment="1" applyProtection="1">
      <alignment vertical="center" wrapText="1"/>
      <protection locked="0"/>
    </xf>
    <xf numFmtId="0" fontId="11" fillId="0" borderId="49" xfId="3" applyFont="1" applyBorder="1" applyAlignment="1" applyProtection="1">
      <alignment horizontal="center" vertical="center" wrapText="1"/>
      <protection locked="0"/>
    </xf>
    <xf numFmtId="0" fontId="8" fillId="0" borderId="1" xfId="7" applyFont="1" applyFill="1" applyBorder="1" applyAlignment="1">
      <alignment horizontal="center" vertical="center"/>
    </xf>
    <xf numFmtId="0" fontId="6" fillId="0" borderId="6" xfId="2" applyFont="1" applyBorder="1" applyAlignment="1">
      <alignment horizontal="center" vertical="center"/>
    </xf>
    <xf numFmtId="0" fontId="6" fillId="0" borderId="64" xfId="0" applyFont="1" applyBorder="1" applyAlignment="1" applyProtection="1">
      <alignment horizontal="left" vertical="center" wrapText="1"/>
      <protection locked="0"/>
    </xf>
    <xf numFmtId="0" fontId="6" fillId="13" borderId="17" xfId="0" applyFont="1" applyFill="1" applyBorder="1" applyAlignment="1" applyProtection="1">
      <alignment horizontal="left" vertical="center" wrapText="1"/>
      <protection locked="0"/>
    </xf>
    <xf numFmtId="0" fontId="6" fillId="6" borderId="17" xfId="0" applyFont="1" applyFill="1" applyBorder="1" applyAlignment="1" applyProtection="1">
      <alignment horizontal="left" vertical="center" wrapText="1"/>
      <protection locked="0"/>
    </xf>
    <xf numFmtId="49" fontId="26" fillId="0" borderId="38" xfId="0" applyNumberFormat="1" applyFont="1" applyBorder="1" applyAlignment="1">
      <alignment vertical="center" wrapText="1"/>
    </xf>
    <xf numFmtId="9" fontId="31" fillId="0" borderId="0" xfId="11" applyFont="1" applyAlignment="1" applyProtection="1">
      <alignment horizontal="center" vertical="center"/>
      <protection locked="0"/>
    </xf>
    <xf numFmtId="0" fontId="30" fillId="0" borderId="7" xfId="2" applyFont="1" applyBorder="1" applyAlignment="1" applyProtection="1">
      <alignment horizontal="center" vertical="center"/>
      <protection locked="0"/>
    </xf>
    <xf numFmtId="0" fontId="30" fillId="0" borderId="0" xfId="0" applyFont="1" applyAlignment="1" applyProtection="1">
      <alignment horizontal="center" vertical="center"/>
      <protection locked="0"/>
    </xf>
    <xf numFmtId="0" fontId="30" fillId="0" borderId="0" xfId="3" applyFont="1" applyProtection="1">
      <protection locked="0"/>
    </xf>
    <xf numFmtId="0" fontId="30" fillId="0" borderId="0" xfId="0" applyFont="1" applyProtection="1">
      <protection locked="0"/>
    </xf>
    <xf numFmtId="0" fontId="12" fillId="0" borderId="1" xfId="3" applyFont="1" applyBorder="1" applyAlignment="1" applyProtection="1">
      <alignment vertical="center" wrapText="1"/>
      <protection locked="0"/>
    </xf>
    <xf numFmtId="0" fontId="11" fillId="6" borderId="14" xfId="0" applyFont="1" applyFill="1" applyBorder="1" applyAlignment="1" applyProtection="1">
      <alignment horizontal="left" vertical="center" wrapText="1"/>
      <protection locked="0"/>
    </xf>
    <xf numFmtId="0" fontId="8" fillId="6" borderId="3" xfId="14" applyFont="1" applyFill="1" applyBorder="1" applyAlignment="1" applyProtection="1">
      <alignment horizontal="center" vertical="center" wrapText="1"/>
      <protection locked="0"/>
    </xf>
    <xf numFmtId="0" fontId="6" fillId="6" borderId="3" xfId="14" applyFont="1" applyFill="1" applyBorder="1" applyAlignment="1" applyProtection="1">
      <alignment horizontal="center" vertical="center" wrapText="1"/>
      <protection locked="0"/>
    </xf>
    <xf numFmtId="49" fontId="26" fillId="0" borderId="38" xfId="0" applyNumberFormat="1" applyFont="1" applyBorder="1" applyAlignment="1">
      <alignment horizontal="left" vertical="center" wrapText="1"/>
    </xf>
    <xf numFmtId="0" fontId="6" fillId="0" borderId="64" xfId="3" applyFont="1" applyBorder="1" applyAlignment="1" applyProtection="1">
      <alignment horizontal="center" vertical="center" wrapText="1"/>
      <protection locked="0"/>
    </xf>
    <xf numFmtId="9" fontId="17" fillId="0" borderId="0" xfId="11" applyFont="1" applyAlignment="1">
      <alignment horizontal="center" vertical="center" wrapText="1"/>
    </xf>
    <xf numFmtId="0" fontId="12" fillId="0" borderId="14" xfId="3" applyFont="1" applyBorder="1" applyAlignment="1">
      <alignment horizontal="left" vertical="center" wrapText="1"/>
    </xf>
    <xf numFmtId="0" fontId="6" fillId="0" borderId="2" xfId="14" applyFont="1" applyBorder="1" applyAlignment="1">
      <alignment horizontal="center" vertical="center" wrapText="1"/>
    </xf>
    <xf numFmtId="0" fontId="6" fillId="0" borderId="2" xfId="3" applyFont="1" applyBorder="1" applyAlignment="1">
      <alignment horizontal="center" vertical="center" wrapText="1"/>
    </xf>
    <xf numFmtId="0" fontId="6" fillId="0" borderId="15" xfId="3" applyFont="1" applyBorder="1" applyAlignment="1">
      <alignment horizontal="left" vertical="center" wrapText="1"/>
    </xf>
    <xf numFmtId="0" fontId="6" fillId="0" borderId="48" xfId="3" applyFont="1" applyBorder="1" applyAlignment="1">
      <alignment horizontal="left" vertical="center" wrapText="1"/>
    </xf>
    <xf numFmtId="0" fontId="8" fillId="0" borderId="3" xfId="2" applyFont="1" applyBorder="1" applyAlignment="1">
      <alignment horizontal="center" vertical="center" wrapText="1"/>
    </xf>
    <xf numFmtId="0" fontId="10" fillId="0" borderId="1" xfId="3" applyFont="1" applyBorder="1" applyAlignment="1">
      <alignment horizontal="left" vertical="center" wrapText="1"/>
    </xf>
    <xf numFmtId="0" fontId="8" fillId="0" borderId="1" xfId="0" applyFont="1" applyBorder="1" applyAlignment="1">
      <alignment horizontal="center" vertical="center"/>
    </xf>
    <xf numFmtId="0" fontId="6" fillId="0" borderId="1" xfId="0" applyFont="1" applyBorder="1" applyAlignment="1">
      <alignment horizontal="center" vertical="center"/>
    </xf>
    <xf numFmtId="0" fontId="6" fillId="0" borderId="48" xfId="3" applyFont="1" applyBorder="1" applyAlignment="1">
      <alignment vertical="center" wrapText="1"/>
    </xf>
    <xf numFmtId="0" fontId="6" fillId="0" borderId="15" xfId="0" applyFont="1" applyBorder="1" applyAlignment="1">
      <alignment horizontal="left" vertical="center" wrapText="1"/>
    </xf>
    <xf numFmtId="0" fontId="6" fillId="0" borderId="2" xfId="0" applyFont="1" applyBorder="1" applyAlignment="1">
      <alignment horizontal="center" vertical="center" wrapText="1"/>
    </xf>
    <xf numFmtId="0" fontId="8" fillId="0" borderId="48" xfId="0" applyFont="1" applyBorder="1" applyAlignment="1">
      <alignment horizontal="center" vertical="center"/>
    </xf>
    <xf numFmtId="0" fontId="6" fillId="0" borderId="48" xfId="0" applyFont="1" applyBorder="1" applyAlignment="1">
      <alignment horizontal="center" vertical="center"/>
    </xf>
    <xf numFmtId="0" fontId="6" fillId="0" borderId="0" xfId="3" applyFont="1"/>
    <xf numFmtId="0" fontId="8" fillId="0" borderId="0" xfId="3" applyFont="1" applyAlignment="1">
      <alignment horizontal="center" vertical="center"/>
    </xf>
    <xf numFmtId="0" fontId="28" fillId="0" borderId="0" xfId="3" applyFont="1" applyAlignment="1">
      <alignment horizontal="center" vertical="center" wrapText="1"/>
    </xf>
    <xf numFmtId="0" fontId="6" fillId="0" borderId="0" xfId="0" applyFont="1" applyAlignment="1">
      <alignment horizontal="center" vertical="center"/>
    </xf>
    <xf numFmtId="0" fontId="6" fillId="0" borderId="0" xfId="0" applyFont="1"/>
    <xf numFmtId="0" fontId="8" fillId="0" borderId="0" xfId="3" applyFont="1" applyAlignment="1">
      <alignment horizontal="center" vertical="center" wrapText="1"/>
    </xf>
    <xf numFmtId="0" fontId="32" fillId="0" borderId="0" xfId="3" applyFont="1" applyAlignment="1">
      <alignment horizontal="center" vertical="center"/>
    </xf>
    <xf numFmtId="0" fontId="8" fillId="0" borderId="0" xfId="0" applyFont="1" applyAlignment="1">
      <alignment horizontal="center" vertical="center"/>
    </xf>
    <xf numFmtId="2" fontId="6" fillId="0" borderId="0" xfId="0" applyNumberFormat="1" applyFont="1" applyProtection="1">
      <protection locked="0"/>
    </xf>
    <xf numFmtId="2" fontId="20" fillId="0" borderId="33" xfId="0" applyNumberFormat="1" applyFont="1" applyBorder="1" applyAlignment="1" applyProtection="1">
      <alignment horizontal="right" vertical="center"/>
      <protection locked="0"/>
    </xf>
    <xf numFmtId="2" fontId="20" fillId="0" borderId="61" xfId="0" applyNumberFormat="1" applyFont="1" applyBorder="1" applyAlignment="1" applyProtection="1">
      <alignment horizontal="right" vertical="center"/>
      <protection locked="0"/>
    </xf>
    <xf numFmtId="2" fontId="20" fillId="0" borderId="11" xfId="0" applyNumberFormat="1" applyFont="1" applyBorder="1" applyAlignment="1" applyProtection="1">
      <alignment horizontal="right" vertical="center"/>
      <protection locked="0"/>
    </xf>
    <xf numFmtId="164" fontId="29" fillId="0" borderId="0" xfId="0" applyNumberFormat="1" applyFont="1" applyAlignment="1">
      <alignment horizontal="center" vertical="center" wrapText="1"/>
    </xf>
    <xf numFmtId="164" fontId="31" fillId="0" borderId="0" xfId="0" applyNumberFormat="1" applyFont="1" applyAlignment="1">
      <alignment horizontal="center" vertical="center"/>
    </xf>
    <xf numFmtId="0" fontId="6" fillId="0" borderId="1" xfId="2" applyFont="1" applyBorder="1" applyAlignment="1">
      <alignment horizontal="left" vertical="center" wrapText="1"/>
    </xf>
    <xf numFmtId="49" fontId="26" fillId="4" borderId="38" xfId="0" applyNumberFormat="1" applyFont="1" applyFill="1" applyBorder="1" applyAlignment="1">
      <alignment vertical="center" wrapText="1"/>
    </xf>
    <xf numFmtId="0" fontId="6" fillId="0" borderId="2" xfId="2" applyFont="1" applyBorder="1" applyAlignment="1">
      <alignment horizontal="left" vertical="center" wrapText="1"/>
    </xf>
    <xf numFmtId="0" fontId="6" fillId="0" borderId="3" xfId="2" applyFont="1" applyBorder="1" applyAlignment="1" applyProtection="1">
      <alignment horizontal="left" vertical="center" wrapText="1"/>
      <protection locked="0"/>
    </xf>
    <xf numFmtId="0" fontId="6" fillId="6" borderId="1" xfId="2" applyFont="1" applyFill="1" applyBorder="1" applyAlignment="1" applyProtection="1">
      <alignment horizontal="left" vertical="center" wrapText="1"/>
      <protection locked="0"/>
    </xf>
    <xf numFmtId="0" fontId="6" fillId="6" borderId="3" xfId="2" applyFont="1" applyFill="1" applyBorder="1" applyAlignment="1" applyProtection="1">
      <alignment horizontal="left" vertical="center" wrapText="1"/>
      <protection locked="0"/>
    </xf>
    <xf numFmtId="0" fontId="6" fillId="0" borderId="1" xfId="3" applyFont="1" applyBorder="1" applyAlignment="1">
      <alignment vertical="top" wrapText="1"/>
    </xf>
    <xf numFmtId="0" fontId="23" fillId="0" borderId="1" xfId="0" applyFont="1" applyBorder="1" applyAlignment="1" applyProtection="1">
      <alignment horizontal="left" vertical="center" wrapText="1"/>
      <protection locked="0"/>
    </xf>
    <xf numFmtId="0" fontId="6" fillId="0" borderId="44" xfId="2" applyFont="1" applyBorder="1" applyAlignment="1">
      <alignment horizontal="left" vertical="center" wrapText="1"/>
    </xf>
    <xf numFmtId="49" fontId="26" fillId="4" borderId="38" xfId="0" applyNumberFormat="1" applyFont="1" applyFill="1" applyBorder="1" applyAlignment="1">
      <alignment horizontal="left" vertical="center" wrapText="1"/>
    </xf>
    <xf numFmtId="9" fontId="17" fillId="0" borderId="13" xfId="11" applyFont="1" applyBorder="1" applyAlignment="1">
      <alignment horizontal="center" vertical="center" wrapText="1"/>
    </xf>
    <xf numFmtId="9" fontId="17" fillId="0" borderId="2" xfId="11" applyFont="1" applyBorder="1" applyAlignment="1">
      <alignment horizontal="center" vertical="center" wrapText="1"/>
    </xf>
    <xf numFmtId="9" fontId="17" fillId="0" borderId="10" xfId="11" applyFont="1" applyBorder="1" applyAlignment="1">
      <alignment horizontal="center" vertical="center" wrapText="1"/>
    </xf>
    <xf numFmtId="9" fontId="17" fillId="0" borderId="71" xfId="11" applyFont="1" applyBorder="1" applyAlignment="1">
      <alignment horizontal="center" vertical="center" wrapText="1"/>
    </xf>
    <xf numFmtId="0" fontId="0" fillId="0" borderId="25" xfId="0" applyBorder="1" applyAlignment="1">
      <alignment wrapText="1"/>
    </xf>
    <xf numFmtId="0" fontId="5" fillId="0" borderId="1" xfId="0" applyFont="1" applyBorder="1" applyAlignment="1">
      <alignment wrapText="1"/>
    </xf>
    <xf numFmtId="0" fontId="21" fillId="0" borderId="1" xfId="0" applyFont="1" applyBorder="1" applyAlignment="1">
      <alignment wrapText="1"/>
    </xf>
    <xf numFmtId="0" fontId="0" fillId="0" borderId="26" xfId="0" applyBorder="1" applyAlignment="1">
      <alignment wrapText="1"/>
    </xf>
    <xf numFmtId="0" fontId="0" fillId="0" borderId="22" xfId="0" applyBorder="1" applyAlignment="1">
      <alignment wrapText="1"/>
    </xf>
    <xf numFmtId="0" fontId="6" fillId="4" borderId="2" xfId="2" applyFont="1" applyFill="1" applyBorder="1" applyAlignment="1">
      <alignment horizontal="left" vertical="center" wrapText="1"/>
    </xf>
    <xf numFmtId="0" fontId="26" fillId="0" borderId="1" xfId="2" applyFont="1" applyBorder="1" applyAlignment="1">
      <alignment horizontal="center" vertical="center" wrapText="1"/>
    </xf>
    <xf numFmtId="0" fontId="6" fillId="0" borderId="20"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2" applyFont="1" applyBorder="1" applyAlignment="1">
      <alignment horizontal="left" vertical="center" wrapText="1"/>
    </xf>
    <xf numFmtId="0" fontId="1" fillId="0" borderId="10" xfId="2" applyFont="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pplyProtection="1">
      <alignment horizontal="left" vertical="center" wrapText="1"/>
      <protection locked="0"/>
    </xf>
    <xf numFmtId="0" fontId="1" fillId="0" borderId="1" xfId="3" applyFont="1" applyBorder="1" applyAlignment="1" applyProtection="1">
      <alignment horizontal="left" vertical="center" wrapText="1"/>
      <protection locked="0"/>
    </xf>
    <xf numFmtId="0" fontId="1" fillId="0" borderId="3" xfId="3" applyFont="1" applyBorder="1" applyAlignment="1" applyProtection="1">
      <alignment horizontal="left" vertical="center" wrapText="1"/>
      <protection locked="0"/>
    </xf>
    <xf numFmtId="0" fontId="1" fillId="6" borderId="1" xfId="3" applyFont="1" applyFill="1" applyBorder="1" applyAlignment="1" applyProtection="1">
      <alignment vertical="center" wrapText="1"/>
      <protection locked="0"/>
    </xf>
    <xf numFmtId="0" fontId="1" fillId="0" borderId="60" xfId="3" applyFont="1" applyBorder="1" applyAlignment="1">
      <alignment horizontal="left" vertical="center" wrapText="1"/>
    </xf>
    <xf numFmtId="0" fontId="1" fillId="0" borderId="48" xfId="3" applyFont="1" applyBorder="1" applyAlignment="1">
      <alignment horizontal="left" vertical="center" wrapText="1"/>
    </xf>
    <xf numFmtId="0" fontId="1" fillId="0" borderId="22" xfId="18" applyFont="1" applyBorder="1"/>
    <xf numFmtId="0" fontId="1" fillId="0" borderId="22" xfId="18" applyFont="1" applyBorder="1" applyAlignment="1">
      <alignment horizontal="left" vertical="center"/>
    </xf>
    <xf numFmtId="0" fontId="1" fillId="0" borderId="26" xfId="18" applyFont="1" applyBorder="1"/>
    <xf numFmtId="0" fontId="1" fillId="0" borderId="26" xfId="18" applyFont="1" applyBorder="1" applyAlignment="1">
      <alignment horizontal="left" vertical="center"/>
    </xf>
    <xf numFmtId="0" fontId="1" fillId="0" borderId="24" xfId="18" applyFont="1" applyBorder="1"/>
    <xf numFmtId="0" fontId="34" fillId="0" borderId="69" xfId="19" applyFont="1" applyBorder="1" applyAlignment="1">
      <alignment vertical="center" wrapText="1"/>
    </xf>
    <xf numFmtId="0" fontId="19" fillId="0" borderId="10" xfId="18" applyFont="1" applyBorder="1" applyAlignment="1">
      <alignment horizontal="left" vertical="center" wrapText="1"/>
    </xf>
    <xf numFmtId="165" fontId="1" fillId="9" borderId="10" xfId="19" applyNumberFormat="1" applyFont="1" applyFill="1" applyBorder="1" applyAlignment="1" applyProtection="1">
      <alignment horizontal="center" vertical="center"/>
      <protection locked="0"/>
    </xf>
    <xf numFmtId="165" fontId="1" fillId="0" borderId="10" xfId="19" applyNumberFormat="1" applyFont="1" applyBorder="1" applyAlignment="1">
      <alignment horizontal="center" vertical="center"/>
    </xf>
    <xf numFmtId="0" fontId="18" fillId="0" borderId="9" xfId="18" applyFont="1" applyBorder="1" applyAlignment="1">
      <alignment horizontal="left" vertical="center" wrapText="1"/>
    </xf>
    <xf numFmtId="0" fontId="1" fillId="0" borderId="23" xfId="18" applyFont="1" applyBorder="1"/>
    <xf numFmtId="0" fontId="34" fillId="0" borderId="70" xfId="19" applyFont="1" applyBorder="1" applyAlignment="1">
      <alignment vertical="center" wrapText="1"/>
    </xf>
    <xf numFmtId="0" fontId="19" fillId="0" borderId="1" xfId="18" applyFont="1" applyBorder="1" applyAlignment="1">
      <alignment horizontal="left" vertical="center" wrapText="1"/>
    </xf>
    <xf numFmtId="165" fontId="1" fillId="9" borderId="44" xfId="19" applyNumberFormat="1" applyFont="1" applyFill="1" applyBorder="1" applyAlignment="1" applyProtection="1">
      <alignment horizontal="center" vertical="center"/>
      <protection locked="0"/>
    </xf>
    <xf numFmtId="165" fontId="1" fillId="9" borderId="1" xfId="19" applyNumberFormat="1" applyFont="1" applyFill="1" applyBorder="1" applyAlignment="1" applyProtection="1">
      <alignment horizontal="center" vertical="center"/>
      <protection locked="0"/>
    </xf>
    <xf numFmtId="165" fontId="1" fillId="0" borderId="1" xfId="19" applyNumberFormat="1" applyFont="1" applyBorder="1" applyAlignment="1">
      <alignment horizontal="center" vertical="center"/>
    </xf>
    <xf numFmtId="0" fontId="18" fillId="0" borderId="8" xfId="18" applyFont="1" applyBorder="1" applyAlignment="1">
      <alignment horizontal="left" vertical="center" wrapText="1"/>
    </xf>
    <xf numFmtId="0" fontId="34" fillId="0" borderId="74" xfId="19" applyFont="1" applyBorder="1" applyAlignment="1">
      <alignment vertical="center" wrapText="1"/>
    </xf>
    <xf numFmtId="0" fontId="19" fillId="0" borderId="3" xfId="18" applyFont="1" applyBorder="1" applyAlignment="1">
      <alignment horizontal="left" vertical="center" wrapText="1"/>
    </xf>
    <xf numFmtId="165" fontId="1" fillId="0" borderId="44" xfId="19" applyNumberFormat="1" applyFont="1" applyBorder="1" applyAlignment="1">
      <alignment horizontal="center" vertical="center"/>
    </xf>
    <xf numFmtId="0" fontId="18" fillId="0" borderId="7" xfId="18" applyFont="1" applyBorder="1" applyAlignment="1">
      <alignment horizontal="left" vertical="center" wrapText="1"/>
    </xf>
    <xf numFmtId="0" fontId="17" fillId="4" borderId="50" xfId="19" applyFont="1" applyFill="1" applyBorder="1" applyAlignment="1">
      <alignment horizontal="center" vertical="center" wrapText="1"/>
    </xf>
    <xf numFmtId="0" fontId="17" fillId="0" borderId="12" xfId="18" applyFont="1" applyBorder="1" applyAlignment="1">
      <alignment horizontal="center" vertical="center" wrapText="1"/>
    </xf>
    <xf numFmtId="0" fontId="17" fillId="4" borderId="68" xfId="19" applyFont="1" applyFill="1" applyBorder="1" applyAlignment="1">
      <alignment vertical="center" wrapText="1"/>
    </xf>
    <xf numFmtId="0" fontId="17" fillId="0" borderId="54" xfId="18" applyFont="1" applyBorder="1" applyAlignment="1">
      <alignment horizontal="left" vertical="center" wrapText="1"/>
    </xf>
    <xf numFmtId="0" fontId="1" fillId="0" borderId="65" xfId="18" applyFont="1" applyBorder="1" applyAlignment="1">
      <alignment horizontal="center" vertical="center"/>
    </xf>
    <xf numFmtId="0" fontId="1" fillId="0" borderId="12" xfId="18" applyFont="1" applyBorder="1" applyAlignment="1">
      <alignment horizontal="center" vertical="center"/>
    </xf>
    <xf numFmtId="0" fontId="16" fillId="0" borderId="53" xfId="18" applyFont="1" applyBorder="1" applyAlignment="1">
      <alignment vertical="center"/>
    </xf>
    <xf numFmtId="0" fontId="1" fillId="0" borderId="28" xfId="18" applyFont="1" applyBorder="1" applyAlignment="1">
      <alignment wrapText="1"/>
    </xf>
    <xf numFmtId="0" fontId="17" fillId="0" borderId="47" xfId="19" applyFont="1" applyBorder="1" applyAlignment="1">
      <alignment horizontal="center" vertical="center" wrapText="1"/>
    </xf>
    <xf numFmtId="0" fontId="17" fillId="0" borderId="10" xfId="18" applyFont="1" applyBorder="1" applyAlignment="1">
      <alignment horizontal="center" vertical="center" wrapText="1"/>
    </xf>
    <xf numFmtId="0" fontId="17" fillId="0" borderId="69" xfId="19" applyFont="1" applyBorder="1" applyAlignment="1">
      <alignment vertical="center" wrapText="1"/>
    </xf>
    <xf numFmtId="0" fontId="17" fillId="0" borderId="51" xfId="18" applyFont="1" applyBorder="1" applyAlignment="1">
      <alignment horizontal="left" vertical="center" wrapText="1"/>
    </xf>
    <xf numFmtId="0" fontId="1" fillId="9" borderId="18" xfId="19" applyFont="1" applyFill="1" applyBorder="1" applyAlignment="1" applyProtection="1">
      <alignment horizontal="center" vertical="center"/>
      <protection locked="0"/>
    </xf>
    <xf numFmtId="0" fontId="18" fillId="0" borderId="9" xfId="18" applyFont="1" applyBorder="1" applyAlignment="1">
      <alignment vertical="center"/>
    </xf>
    <xf numFmtId="0" fontId="17" fillId="0" borderId="40" xfId="19" applyFont="1" applyBorder="1" applyAlignment="1">
      <alignment horizontal="center" vertical="center" wrapText="1"/>
    </xf>
    <xf numFmtId="0" fontId="17" fillId="0" borderId="1" xfId="18" applyFont="1" applyBorder="1" applyAlignment="1">
      <alignment horizontal="center" vertical="center" wrapText="1"/>
    </xf>
    <xf numFmtId="0" fontId="17" fillId="0" borderId="67" xfId="19" applyFont="1" applyBorder="1" applyAlignment="1">
      <alignment vertical="center" wrapText="1"/>
    </xf>
    <xf numFmtId="0" fontId="17" fillId="0" borderId="41" xfId="18" applyFont="1" applyBorder="1" applyAlignment="1">
      <alignment horizontal="left" vertical="center" wrapText="1"/>
    </xf>
    <xf numFmtId="0" fontId="1" fillId="9" borderId="14" xfId="19" applyFont="1" applyFill="1" applyBorder="1" applyAlignment="1" applyProtection="1">
      <alignment horizontal="center" vertical="center"/>
      <protection locked="0"/>
    </xf>
    <xf numFmtId="0" fontId="1" fillId="9" borderId="1" xfId="19" applyFont="1" applyFill="1" applyBorder="1" applyAlignment="1" applyProtection="1">
      <alignment horizontal="center" vertical="center"/>
      <protection locked="0"/>
    </xf>
    <xf numFmtId="0" fontId="18" fillId="0" borderId="8" xfId="18" applyFont="1" applyBorder="1" applyAlignment="1">
      <alignment vertical="center"/>
    </xf>
    <xf numFmtId="4" fontId="1" fillId="4" borderId="64" xfId="19" applyNumberFormat="1" applyFont="1" applyFill="1" applyBorder="1" applyAlignment="1">
      <alignment horizontal="center" vertical="center"/>
    </xf>
    <xf numFmtId="4" fontId="17" fillId="0" borderId="1" xfId="18" applyNumberFormat="1" applyFont="1" applyBorder="1" applyAlignment="1">
      <alignment horizontal="center" vertical="center" wrapText="1"/>
    </xf>
    <xf numFmtId="0" fontId="17" fillId="0" borderId="73" xfId="19" applyFont="1" applyBorder="1" applyAlignment="1">
      <alignment vertical="center" wrapText="1"/>
    </xf>
    <xf numFmtId="0" fontId="17" fillId="0" borderId="41" xfId="19" applyFont="1" applyBorder="1" applyAlignment="1">
      <alignment vertical="center" wrapText="1"/>
    </xf>
    <xf numFmtId="2" fontId="1" fillId="9" borderId="14" xfId="19" applyNumberFormat="1" applyFont="1" applyFill="1" applyBorder="1" applyAlignment="1" applyProtection="1">
      <alignment horizontal="center" vertical="center"/>
      <protection locked="0"/>
    </xf>
    <xf numFmtId="2" fontId="1" fillId="0" borderId="1" xfId="19" applyNumberFormat="1" applyFont="1" applyBorder="1" applyAlignment="1">
      <alignment horizontal="center" vertical="center"/>
    </xf>
    <xf numFmtId="0" fontId="16" fillId="0" borderId="8" xfId="19" applyFont="1" applyBorder="1" applyAlignment="1">
      <alignment horizontal="left" vertical="center"/>
    </xf>
    <xf numFmtId="0" fontId="17" fillId="4" borderId="0" xfId="18" applyFont="1" applyFill="1" applyAlignment="1">
      <alignment wrapText="1"/>
    </xf>
    <xf numFmtId="0" fontId="17" fillId="0" borderId="73" xfId="19" applyFont="1" applyBorder="1" applyAlignment="1">
      <alignment wrapText="1"/>
    </xf>
    <xf numFmtId="4" fontId="1" fillId="9" borderId="14" xfId="18" applyNumberFormat="1" applyFont="1" applyFill="1" applyBorder="1" applyAlignment="1" applyProtection="1">
      <alignment horizontal="center" vertical="center"/>
      <protection locked="0"/>
    </xf>
    <xf numFmtId="4" fontId="1" fillId="0" borderId="1" xfId="18" applyNumberFormat="1" applyFont="1" applyBorder="1" applyAlignment="1">
      <alignment horizontal="center" vertical="center"/>
    </xf>
    <xf numFmtId="0" fontId="16" fillId="0" borderId="8" xfId="18" applyFont="1" applyBorder="1" applyAlignment="1">
      <alignment vertical="center"/>
    </xf>
    <xf numFmtId="0" fontId="1" fillId="0" borderId="25" xfId="18" applyFont="1" applyBorder="1"/>
    <xf numFmtId="4" fontId="17" fillId="0" borderId="1" xfId="19" applyNumberFormat="1" applyFont="1" applyBorder="1" applyAlignment="1">
      <alignment horizontal="center" vertical="center" wrapText="1"/>
    </xf>
    <xf numFmtId="0" fontId="17" fillId="0" borderId="41" xfId="18" applyFont="1" applyBorder="1" applyAlignment="1">
      <alignment vertical="center" wrapText="1"/>
    </xf>
    <xf numFmtId="0" fontId="16" fillId="0" borderId="46" xfId="19" applyFont="1" applyBorder="1" applyAlignment="1">
      <alignment horizontal="center" vertical="center" wrapText="1"/>
    </xf>
    <xf numFmtId="0" fontId="16" fillId="0" borderId="3" xfId="18" applyFont="1" applyBorder="1" applyAlignment="1">
      <alignment horizontal="center" vertical="center" wrapText="1"/>
    </xf>
    <xf numFmtId="0" fontId="16" fillId="0" borderId="72" xfId="19" applyFont="1" applyBorder="1" applyAlignment="1">
      <alignment vertical="center" wrapText="1"/>
    </xf>
    <xf numFmtId="0" fontId="16" fillId="0" borderId="55" xfId="18" applyFont="1" applyBorder="1" applyAlignment="1">
      <alignment horizontal="left" vertical="center" wrapText="1"/>
    </xf>
    <xf numFmtId="0" fontId="1" fillId="9" borderId="17" xfId="18" applyFont="1" applyFill="1" applyBorder="1" applyAlignment="1" applyProtection="1">
      <alignment horizontal="center" vertical="center"/>
      <protection locked="0"/>
    </xf>
    <xf numFmtId="0" fontId="1" fillId="0" borderId="3" xfId="18" applyFont="1" applyBorder="1" applyAlignment="1">
      <alignment horizontal="center" vertical="center"/>
    </xf>
    <xf numFmtId="0" fontId="16" fillId="0" borderId="7" xfId="18" applyFont="1" applyBorder="1" applyAlignment="1">
      <alignment vertical="center"/>
    </xf>
    <xf numFmtId="2" fontId="17" fillId="0" borderId="50" xfId="19" applyNumberFormat="1" applyFont="1" applyBorder="1" applyAlignment="1">
      <alignment horizontal="center" vertical="center" wrapText="1"/>
    </xf>
    <xf numFmtId="2" fontId="17" fillId="0" borderId="12" xfId="18" applyNumberFormat="1" applyFont="1" applyBorder="1" applyAlignment="1">
      <alignment horizontal="center" vertical="center" wrapText="1"/>
    </xf>
    <xf numFmtId="0" fontId="17" fillId="0" borderId="68" xfId="19" applyFont="1" applyBorder="1" applyAlignment="1">
      <alignment vertical="center" wrapText="1"/>
    </xf>
    <xf numFmtId="0" fontId="17" fillId="0" borderId="54" xfId="19" applyFont="1" applyBorder="1" applyAlignment="1">
      <alignment vertical="center" wrapText="1"/>
    </xf>
    <xf numFmtId="2" fontId="1" fillId="9" borderId="65" xfId="19" applyNumberFormat="1" applyFont="1" applyFill="1" applyBorder="1" applyAlignment="1" applyProtection="1">
      <alignment horizontal="center" vertical="center" wrapText="1"/>
      <protection locked="0"/>
    </xf>
    <xf numFmtId="0" fontId="18" fillId="0" borderId="53" xfId="18" applyFont="1" applyBorder="1" applyAlignment="1">
      <alignment vertical="center"/>
    </xf>
    <xf numFmtId="0" fontId="1" fillId="9" borderId="14" xfId="19" applyFont="1" applyFill="1" applyBorder="1" applyAlignment="1" applyProtection="1">
      <alignment horizontal="center" vertical="center" wrapText="1"/>
      <protection locked="0"/>
    </xf>
    <xf numFmtId="0" fontId="1" fillId="9" borderId="1" xfId="19" applyFont="1" applyFill="1" applyBorder="1" applyAlignment="1" applyProtection="1">
      <alignment horizontal="center" vertical="center" wrapText="1"/>
      <protection locked="0"/>
    </xf>
    <xf numFmtId="0" fontId="17" fillId="0" borderId="1" xfId="19" applyFont="1" applyBorder="1" applyAlignment="1">
      <alignment vertical="center" wrapText="1"/>
    </xf>
    <xf numFmtId="0" fontId="1" fillId="0" borderId="1" xfId="19" applyFont="1" applyBorder="1" applyAlignment="1">
      <alignment horizontal="center" vertical="center"/>
    </xf>
    <xf numFmtId="0" fontId="1" fillId="9" borderId="14" xfId="18" applyFont="1" applyFill="1" applyBorder="1" applyAlignment="1" applyProtection="1">
      <alignment horizontal="center" vertical="center"/>
      <protection locked="0"/>
    </xf>
    <xf numFmtId="0" fontId="1" fillId="9" borderId="1" xfId="18" applyFont="1" applyFill="1" applyBorder="1" applyAlignment="1" applyProtection="1">
      <alignment horizontal="center" vertical="center"/>
      <protection locked="0"/>
    </xf>
    <xf numFmtId="0" fontId="16" fillId="0" borderId="40" xfId="19" applyFont="1" applyBorder="1" applyAlignment="1">
      <alignment horizontal="center" vertical="center" wrapText="1"/>
    </xf>
    <xf numFmtId="0" fontId="16" fillId="0" borderId="1" xfId="18" applyFont="1" applyBorder="1" applyAlignment="1">
      <alignment horizontal="center" vertical="center" wrapText="1"/>
    </xf>
    <xf numFmtId="0" fontId="16" fillId="0" borderId="1" xfId="19" applyFont="1" applyBorder="1" applyAlignment="1">
      <alignment vertical="center" wrapText="1"/>
    </xf>
    <xf numFmtId="0" fontId="16" fillId="0" borderId="41" xfId="18" applyFont="1" applyBorder="1" applyAlignment="1">
      <alignment horizontal="left" vertical="center" wrapText="1"/>
    </xf>
    <xf numFmtId="0" fontId="1" fillId="4" borderId="1" xfId="19" applyFont="1" applyFill="1" applyBorder="1" applyAlignment="1">
      <alignment horizontal="center" vertical="center"/>
    </xf>
    <xf numFmtId="0" fontId="16" fillId="0" borderId="56" xfId="19" applyFont="1" applyBorder="1" applyAlignment="1">
      <alignment horizontal="center" vertical="center" wrapText="1"/>
    </xf>
    <xf numFmtId="0" fontId="16" fillId="0" borderId="44" xfId="18" applyFont="1" applyBorder="1" applyAlignment="1">
      <alignment horizontal="center" vertical="center" wrapText="1"/>
    </xf>
    <xf numFmtId="0" fontId="16" fillId="0" borderId="45" xfId="18" applyFont="1" applyBorder="1" applyAlignment="1">
      <alignment horizontal="left" vertical="center" wrapText="1"/>
    </xf>
    <xf numFmtId="0" fontId="1" fillId="9" borderId="17" xfId="19" applyFont="1" applyFill="1" applyBorder="1" applyAlignment="1" applyProtection="1">
      <alignment horizontal="center" vertical="center"/>
      <protection locked="0"/>
    </xf>
    <xf numFmtId="0" fontId="16" fillId="0" borderId="43" xfId="18" applyFont="1" applyBorder="1" applyAlignment="1">
      <alignment vertical="center"/>
    </xf>
    <xf numFmtId="0" fontId="15" fillId="0" borderId="33" xfId="18" applyFont="1" applyBorder="1" applyAlignment="1">
      <alignment horizontal="center"/>
    </xf>
    <xf numFmtId="0" fontId="15" fillId="0" borderId="4" xfId="18" applyFont="1" applyBorder="1" applyAlignment="1">
      <alignment horizontal="center"/>
    </xf>
    <xf numFmtId="0" fontId="15" fillId="0" borderId="66" xfId="19" applyFont="1" applyBorder="1" applyAlignment="1">
      <alignment horizontal="center" vertical="center"/>
    </xf>
    <xf numFmtId="0" fontId="15" fillId="0" borderId="39" xfId="18" applyFont="1" applyBorder="1" applyAlignment="1">
      <alignment horizontal="center" vertical="center"/>
    </xf>
    <xf numFmtId="0" fontId="15" fillId="0" borderId="16" xfId="18" applyFont="1" applyBorder="1" applyAlignment="1">
      <alignment horizontal="center"/>
    </xf>
    <xf numFmtId="0" fontId="15" fillId="0" borderId="5" xfId="18" applyFont="1" applyBorder="1" applyAlignment="1">
      <alignment horizontal="center"/>
    </xf>
    <xf numFmtId="0" fontId="1" fillId="0" borderId="52" xfId="18" applyFont="1" applyBorder="1"/>
    <xf numFmtId="0" fontId="1" fillId="0" borderId="25" xfId="18" applyFont="1" applyBorder="1" applyAlignment="1">
      <alignment horizontal="left" vertical="center"/>
    </xf>
    <xf numFmtId="0" fontId="1" fillId="9" borderId="1" xfId="19" applyFont="1" applyFill="1" applyBorder="1" applyAlignment="1" applyProtection="1">
      <alignment horizontal="left" vertical="center"/>
      <protection locked="0"/>
    </xf>
    <xf numFmtId="0" fontId="1" fillId="9" borderId="14" xfId="19" applyFont="1" applyFill="1" applyBorder="1" applyAlignment="1" applyProtection="1">
      <alignment horizontal="left" vertical="center"/>
      <protection locked="0"/>
    </xf>
    <xf numFmtId="0" fontId="1" fillId="9" borderId="10" xfId="19" applyFont="1" applyFill="1" applyBorder="1" applyAlignment="1" applyProtection="1">
      <alignment horizontal="left" vertical="center"/>
      <protection locked="0"/>
    </xf>
    <xf numFmtId="0" fontId="1" fillId="9" borderId="18" xfId="19" applyFont="1" applyFill="1" applyBorder="1" applyAlignment="1" applyProtection="1">
      <alignment horizontal="left" vertical="center"/>
      <protection locked="0"/>
    </xf>
    <xf numFmtId="0" fontId="11" fillId="0" borderId="1" xfId="3" applyFont="1" applyBorder="1" applyAlignment="1">
      <alignment horizontal="center" vertical="center" wrapText="1"/>
    </xf>
    <xf numFmtId="0" fontId="6" fillId="0" borderId="3" xfId="2" applyFont="1" applyBorder="1" applyAlignment="1">
      <alignment horizontal="left" vertical="top" wrapText="1"/>
    </xf>
    <xf numFmtId="0" fontId="6" fillId="4" borderId="1" xfId="2" applyFont="1" applyFill="1" applyBorder="1" applyAlignment="1">
      <alignment horizontal="left" vertical="center" wrapText="1"/>
    </xf>
    <xf numFmtId="0" fontId="6" fillId="4" borderId="3" xfId="2" applyFont="1" applyFill="1" applyBorder="1" applyAlignment="1">
      <alignment horizontal="left" vertical="center" wrapText="1"/>
    </xf>
    <xf numFmtId="0" fontId="6" fillId="0" borderId="10" xfId="2" applyFont="1" applyBorder="1" applyAlignment="1">
      <alignment horizontal="left" vertical="center" wrapText="1"/>
    </xf>
    <xf numFmtId="0" fontId="6" fillId="4" borderId="1" xfId="2" applyFont="1" applyFill="1" applyBorder="1" applyAlignment="1" applyProtection="1">
      <alignment horizontal="left" vertical="center" wrapText="1"/>
      <protection locked="0"/>
    </xf>
    <xf numFmtId="9" fontId="17" fillId="4" borderId="0" xfId="11" applyFont="1" applyFill="1" applyAlignment="1">
      <alignment horizontal="center" vertical="center"/>
    </xf>
    <xf numFmtId="0" fontId="6" fillId="4" borderId="0" xfId="0" applyFont="1" applyFill="1" applyAlignment="1">
      <alignment horizontal="center" vertical="center"/>
    </xf>
    <xf numFmtId="0" fontId="6" fillId="4" borderId="0" xfId="3" applyFont="1" applyFill="1"/>
    <xf numFmtId="0" fontId="8" fillId="4" borderId="0" xfId="3" applyFont="1" applyFill="1" applyAlignment="1">
      <alignment horizontal="center" vertical="center"/>
    </xf>
    <xf numFmtId="0" fontId="6" fillId="4" borderId="0" xfId="0" applyFont="1" applyFill="1"/>
    <xf numFmtId="164" fontId="17" fillId="4" borderId="0" xfId="0" applyNumberFormat="1" applyFont="1" applyFill="1" applyAlignment="1">
      <alignment horizontal="center" vertical="center"/>
    </xf>
    <xf numFmtId="0" fontId="6" fillId="0" borderId="13" xfId="2" applyFont="1" applyBorder="1" applyAlignment="1">
      <alignment horizontal="left" vertical="center" wrapText="1"/>
    </xf>
    <xf numFmtId="0" fontId="6" fillId="0" borderId="2" xfId="2" applyFont="1" applyBorder="1" applyAlignment="1">
      <alignment horizontal="left" vertical="top" wrapText="1"/>
    </xf>
    <xf numFmtId="0" fontId="6" fillId="0" borderId="4" xfId="2" applyFont="1" applyBorder="1" applyAlignment="1">
      <alignment horizontal="left" vertical="center" wrapText="1"/>
    </xf>
    <xf numFmtId="0" fontId="25" fillId="0" borderId="3" xfId="14" applyFont="1" applyBorder="1" applyAlignment="1">
      <alignment horizontal="center" vertical="center" wrapText="1"/>
    </xf>
    <xf numFmtId="0" fontId="25" fillId="4" borderId="3" xfId="14" applyFont="1" applyFill="1" applyBorder="1" applyAlignment="1">
      <alignment horizontal="center" vertical="center" wrapText="1"/>
    </xf>
    <xf numFmtId="0" fontId="25" fillId="4" borderId="1" xfId="0" applyFont="1" applyFill="1" applyBorder="1" applyAlignment="1">
      <alignment horizontal="center" vertical="center" wrapText="1"/>
    </xf>
    <xf numFmtId="49" fontId="36" fillId="0" borderId="38" xfId="0" applyNumberFormat="1" applyFont="1" applyBorder="1" applyAlignment="1">
      <alignment vertical="center" wrapText="1"/>
    </xf>
    <xf numFmtId="0" fontId="26" fillId="0" borderId="1" xfId="3" applyFont="1" applyBorder="1" applyAlignment="1">
      <alignment horizontal="center" vertical="center" wrapText="1"/>
    </xf>
    <xf numFmtId="0" fontId="26" fillId="0" borderId="17" xfId="3" applyFont="1" applyBorder="1" applyAlignment="1">
      <alignment horizontal="left" vertical="center" wrapText="1"/>
    </xf>
    <xf numFmtId="0" fontId="26" fillId="0" borderId="17" xfId="3" applyFont="1" applyBorder="1" applyAlignment="1" applyProtection="1">
      <alignment horizontal="left" vertical="center" wrapText="1"/>
      <protection locked="0"/>
    </xf>
    <xf numFmtId="0" fontId="26" fillId="0" borderId="36" xfId="3" applyFont="1" applyBorder="1" applyAlignment="1" applyProtection="1">
      <alignment horizontal="left" vertical="center" wrapText="1"/>
      <protection locked="0"/>
    </xf>
    <xf numFmtId="0" fontId="26" fillId="0" borderId="1" xfId="3" applyFont="1" applyBorder="1" applyAlignment="1">
      <alignment horizontal="left" vertical="center" wrapText="1"/>
    </xf>
    <xf numFmtId="0" fontId="26" fillId="4" borderId="1" xfId="2" applyFont="1" applyFill="1" applyBorder="1" applyAlignment="1">
      <alignment horizontal="center" vertical="center" wrapText="1"/>
    </xf>
    <xf numFmtId="0" fontId="26" fillId="4" borderId="1" xfId="3" applyFont="1" applyFill="1" applyBorder="1" applyAlignment="1">
      <alignment horizontal="center" vertical="center" wrapText="1"/>
    </xf>
    <xf numFmtId="0" fontId="26" fillId="4" borderId="17" xfId="3" applyFont="1" applyFill="1" applyBorder="1" applyAlignment="1">
      <alignment horizontal="left" vertical="center" wrapText="1"/>
    </xf>
    <xf numFmtId="0" fontId="26" fillId="4" borderId="17" xfId="0" applyFont="1" applyFill="1" applyBorder="1" applyAlignment="1">
      <alignment horizontal="left" vertical="center" wrapText="1"/>
    </xf>
    <xf numFmtId="0" fontId="26" fillId="4" borderId="17" xfId="0" applyFont="1" applyFill="1" applyBorder="1" applyAlignment="1" applyProtection="1">
      <alignment horizontal="left" vertical="center" wrapText="1"/>
      <protection locked="0"/>
    </xf>
    <xf numFmtId="0" fontId="26" fillId="4" borderId="36" xfId="3" applyFont="1" applyFill="1" applyBorder="1" applyAlignment="1" applyProtection="1">
      <alignment horizontal="left" vertical="center" wrapText="1"/>
      <protection locked="0"/>
    </xf>
    <xf numFmtId="0" fontId="26" fillId="4" borderId="1" xfId="2" applyFont="1" applyFill="1" applyBorder="1" applyAlignment="1">
      <alignment horizontal="left" vertical="center" wrapText="1"/>
    </xf>
    <xf numFmtId="0" fontId="26" fillId="4" borderId="1" xfId="3" applyFont="1" applyFill="1" applyBorder="1" applyAlignment="1">
      <alignment horizontal="left" vertical="center" wrapText="1"/>
    </xf>
    <xf numFmtId="0" fontId="26" fillId="4" borderId="14" xfId="3" applyFont="1" applyFill="1" applyBorder="1" applyAlignment="1" applyProtection="1">
      <alignment horizontal="left" vertical="center" wrapText="1"/>
      <protection locked="0"/>
    </xf>
    <xf numFmtId="0" fontId="12" fillId="0" borderId="17" xfId="3" applyFont="1" applyBorder="1" applyAlignment="1">
      <alignment horizontal="left" vertical="center" wrapText="1"/>
    </xf>
    <xf numFmtId="0" fontId="6" fillId="0" borderId="2" xfId="0" applyFont="1" applyBorder="1" applyAlignment="1">
      <alignment horizontal="left" vertical="center" wrapText="1"/>
    </xf>
    <xf numFmtId="0" fontId="6" fillId="0" borderId="17" xfId="2" applyFont="1" applyBorder="1" applyAlignment="1" applyProtection="1">
      <alignment horizontal="center" vertical="center"/>
      <protection locked="0"/>
    </xf>
    <xf numFmtId="0" fontId="6" fillId="0" borderId="48" xfId="0" applyFont="1" applyBorder="1" applyAlignment="1">
      <alignment wrapText="1"/>
    </xf>
    <xf numFmtId="0" fontId="23" fillId="0" borderId="3" xfId="3" applyFont="1" applyBorder="1" applyAlignment="1">
      <alignment horizontal="left" vertical="center" wrapText="1"/>
    </xf>
    <xf numFmtId="0" fontId="23" fillId="0" borderId="14" xfId="3" applyFont="1" applyBorder="1" applyAlignment="1">
      <alignment horizontal="left" vertical="center" wrapText="1"/>
    </xf>
    <xf numFmtId="0" fontId="23" fillId="0" borderId="1" xfId="3" applyFont="1" applyBorder="1" applyAlignment="1">
      <alignment vertical="center" wrapText="1"/>
    </xf>
    <xf numFmtId="0" fontId="23" fillId="0" borderId="1" xfId="2" applyFont="1" applyBorder="1" applyAlignment="1">
      <alignment horizontal="left" vertical="center" wrapText="1"/>
    </xf>
    <xf numFmtId="0" fontId="26" fillId="4" borderId="3" xfId="2" applyFont="1" applyFill="1" applyBorder="1" applyAlignment="1">
      <alignment horizontal="center" vertical="center" wrapText="1"/>
    </xf>
    <xf numFmtId="0" fontId="26" fillId="4" borderId="14" xfId="3" applyFont="1" applyFill="1" applyBorder="1" applyAlignment="1">
      <alignment horizontal="left" vertical="center" wrapText="1"/>
    </xf>
    <xf numFmtId="0" fontId="6" fillId="4" borderId="1" xfId="6" applyFont="1" applyFill="1" applyBorder="1" applyAlignment="1">
      <alignment horizontal="left" vertical="center" wrapText="1"/>
    </xf>
    <xf numFmtId="0" fontId="6" fillId="4" borderId="2" xfId="20" applyFont="1" applyFill="1" applyBorder="1" applyAlignment="1">
      <alignment horizontal="left" vertical="center" wrapText="1"/>
    </xf>
    <xf numFmtId="0" fontId="6" fillId="0" borderId="1" xfId="2" applyFont="1" applyBorder="1" applyAlignment="1" applyProtection="1">
      <alignment horizontal="left" vertical="top" wrapText="1"/>
      <protection locked="0"/>
    </xf>
    <xf numFmtId="0" fontId="6" fillId="0" borderId="1" xfId="21" applyFont="1" applyBorder="1" applyAlignment="1" applyProtection="1">
      <alignment vertical="center" wrapText="1"/>
      <protection locked="0"/>
    </xf>
    <xf numFmtId="0" fontId="10" fillId="0" borderId="1" xfId="0" applyFont="1" applyBorder="1" applyAlignment="1" applyProtection="1">
      <alignment horizontal="center" vertical="center"/>
      <protection locked="0"/>
    </xf>
    <xf numFmtId="0" fontId="6" fillId="0" borderId="48" xfId="6" applyFont="1" applyBorder="1" applyAlignment="1">
      <alignment vertical="center" wrapText="1"/>
    </xf>
    <xf numFmtId="0" fontId="6" fillId="0" borderId="1" xfId="2" applyFont="1" applyBorder="1" applyAlignment="1">
      <alignment horizontal="left" vertical="top" wrapText="1"/>
    </xf>
    <xf numFmtId="0" fontId="8" fillId="0" borderId="32" xfId="0" applyFont="1" applyBorder="1" applyAlignment="1" applyProtection="1">
      <alignment wrapText="1"/>
      <protection locked="0"/>
    </xf>
    <xf numFmtId="0" fontId="8" fillId="0" borderId="62" xfId="0" applyFont="1" applyBorder="1" applyAlignment="1" applyProtection="1">
      <alignment wrapText="1"/>
      <protection locked="0"/>
    </xf>
    <xf numFmtId="0" fontId="8" fillId="0" borderId="32" xfId="0" applyFont="1" applyBorder="1" applyAlignment="1" applyProtection="1">
      <alignment horizontal="center"/>
      <protection locked="0"/>
    </xf>
    <xf numFmtId="0" fontId="8" fillId="0" borderId="62" xfId="0" applyFont="1" applyBorder="1" applyAlignment="1" applyProtection="1">
      <alignment horizontal="center"/>
      <protection locked="0"/>
    </xf>
    <xf numFmtId="0" fontId="8" fillId="15" borderId="1" xfId="14" applyFont="1" applyFill="1" applyBorder="1" applyAlignment="1" applyProtection="1">
      <alignment horizontal="center" vertical="center" wrapText="1"/>
      <protection locked="0"/>
    </xf>
    <xf numFmtId="0" fontId="6" fillId="15" borderId="3" xfId="0" applyFont="1" applyFill="1" applyBorder="1" applyAlignment="1" applyProtection="1">
      <alignment horizontal="center" vertical="center" wrapText="1"/>
      <protection locked="0"/>
    </xf>
    <xf numFmtId="0" fontId="6" fillId="15" borderId="1" xfId="3" applyFont="1" applyFill="1" applyBorder="1" applyAlignment="1" applyProtection="1">
      <alignment horizontal="left" vertical="center" wrapText="1"/>
      <protection locked="0"/>
    </xf>
    <xf numFmtId="0" fontId="6" fillId="15" borderId="1" xfId="2" applyFont="1" applyFill="1" applyBorder="1" applyAlignment="1" applyProtection="1">
      <alignment horizontal="center" vertical="center" wrapText="1"/>
      <protection locked="0"/>
    </xf>
    <xf numFmtId="0" fontId="23" fillId="15" borderId="1" xfId="0" applyFont="1" applyFill="1" applyBorder="1" applyAlignment="1" applyProtection="1">
      <alignment horizontal="left" vertical="center" wrapText="1"/>
      <protection locked="0"/>
    </xf>
    <xf numFmtId="0" fontId="6" fillId="15" borderId="3" xfId="2" applyFont="1" applyFill="1" applyBorder="1" applyAlignment="1" applyProtection="1">
      <alignment horizontal="center" vertical="center" wrapText="1"/>
      <protection locked="0"/>
    </xf>
    <xf numFmtId="0" fontId="6" fillId="15" borderId="1" xfId="6" applyFont="1" applyFill="1" applyBorder="1" applyAlignment="1" applyProtection="1">
      <alignment horizontal="left" vertical="center" wrapText="1"/>
      <protection locked="0"/>
    </xf>
    <xf numFmtId="0" fontId="6" fillId="15" borderId="3" xfId="3" applyFont="1" applyFill="1" applyBorder="1" applyAlignment="1">
      <alignment horizontal="center" vertical="center" wrapText="1"/>
    </xf>
    <xf numFmtId="0" fontId="6" fillId="15" borderId="1" xfId="3" applyFont="1" applyFill="1" applyBorder="1" applyAlignment="1" applyProtection="1">
      <alignment horizontal="center" vertical="center" wrapText="1"/>
      <protection locked="0"/>
    </xf>
    <xf numFmtId="0" fontId="6" fillId="15" borderId="14" xfId="3" applyFont="1" applyFill="1" applyBorder="1" applyAlignment="1" applyProtection="1">
      <alignment horizontal="left" vertical="center" wrapText="1"/>
      <protection locked="0"/>
    </xf>
    <xf numFmtId="0" fontId="6" fillId="15" borderId="17" xfId="3" applyFont="1" applyFill="1" applyBorder="1" applyAlignment="1" applyProtection="1">
      <alignment horizontal="center" vertical="center" wrapText="1"/>
      <protection locked="0"/>
    </xf>
    <xf numFmtId="0" fontId="6" fillId="0" borderId="75" xfId="2" applyFont="1" applyBorder="1" applyAlignment="1" applyProtection="1">
      <alignment horizontal="center" vertical="center"/>
      <protection locked="0"/>
    </xf>
    <xf numFmtId="0" fontId="8" fillId="0" borderId="14" xfId="14" applyFont="1" applyBorder="1" applyAlignment="1" applyProtection="1">
      <alignment horizontal="center" vertical="center" wrapText="1"/>
      <protection locked="0"/>
    </xf>
    <xf numFmtId="0" fontId="8" fillId="6" borderId="14" xfId="14" applyFont="1" applyFill="1" applyBorder="1" applyAlignment="1" applyProtection="1">
      <alignment horizontal="center" vertical="center" wrapText="1"/>
      <protection locked="0"/>
    </xf>
    <xf numFmtId="0" fontId="6" fillId="0" borderId="76" xfId="3" applyFont="1" applyBorder="1" applyAlignment="1">
      <alignment horizontal="center" vertical="center" wrapText="1"/>
    </xf>
    <xf numFmtId="0" fontId="6" fillId="0" borderId="2" xfId="0" applyFont="1" applyBorder="1" applyAlignment="1" applyProtection="1">
      <alignment horizontal="left" vertical="center" wrapText="1"/>
      <protection locked="0"/>
    </xf>
    <xf numFmtId="0" fontId="1" fillId="6" borderId="3" xfId="0" applyFont="1" applyFill="1" applyBorder="1" applyAlignment="1" applyProtection="1">
      <alignment horizontal="left" vertical="center" wrapText="1"/>
      <protection locked="0"/>
    </xf>
    <xf numFmtId="0" fontId="1" fillId="0" borderId="1" xfId="0" applyFont="1" applyBorder="1" applyAlignment="1">
      <alignment vertical="top" wrapText="1"/>
    </xf>
    <xf numFmtId="0" fontId="6" fillId="10" borderId="20" xfId="0" applyFont="1" applyFill="1" applyBorder="1" applyAlignment="1" applyProtection="1">
      <alignment horizontal="left" vertical="center" wrapText="1"/>
      <protection locked="0"/>
    </xf>
    <xf numFmtId="0" fontId="6" fillId="0" borderId="3" xfId="3" applyFont="1" applyBorder="1" applyAlignment="1" applyProtection="1">
      <alignment horizontal="center" vertical="center"/>
      <protection locked="0"/>
    </xf>
    <xf numFmtId="0" fontId="6" fillId="10" borderId="1" xfId="0" applyFont="1" applyFill="1" applyBorder="1" applyAlignment="1" applyProtection="1">
      <alignment horizontal="left" vertical="center" wrapText="1"/>
      <protection locked="0"/>
    </xf>
    <xf numFmtId="0" fontId="23" fillId="0" borderId="1" xfId="3" applyFont="1" applyBorder="1" applyAlignment="1">
      <alignment horizontal="left" vertical="center" wrapText="1"/>
    </xf>
    <xf numFmtId="0" fontId="6" fillId="0" borderId="1" xfId="2" applyFont="1" applyBorder="1" applyAlignment="1" applyProtection="1">
      <alignment horizontal="center" vertical="center"/>
      <protection locked="0"/>
    </xf>
    <xf numFmtId="0" fontId="11" fillId="0" borderId="1" xfId="3" applyFont="1" applyBorder="1" applyAlignment="1" applyProtection="1">
      <alignment horizontal="center" vertical="center" wrapText="1"/>
      <protection locked="0"/>
    </xf>
    <xf numFmtId="0" fontId="6" fillId="9" borderId="1" xfId="2" applyFont="1" applyFill="1" applyBorder="1" applyAlignment="1" applyProtection="1">
      <alignment horizontal="left" vertical="center" wrapText="1"/>
      <protection locked="0"/>
    </xf>
    <xf numFmtId="0" fontId="6" fillId="5" borderId="1" xfId="2"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3"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6" fillId="4" borderId="1" xfId="2" applyFont="1" applyFill="1" applyBorder="1" applyAlignment="1" applyProtection="1">
      <alignment horizontal="center" vertical="center"/>
      <protection locked="0"/>
    </xf>
    <xf numFmtId="0" fontId="13" fillId="0" borderId="1" xfId="0" applyFont="1" applyBorder="1" applyAlignment="1" applyProtection="1">
      <alignment horizontal="center" vertical="center" wrapText="1"/>
      <protection locked="0"/>
    </xf>
    <xf numFmtId="0" fontId="11" fillId="0" borderId="1" xfId="3" applyFont="1" applyBorder="1" applyAlignment="1" applyProtection="1">
      <alignment vertical="center" wrapText="1"/>
      <protection locked="0"/>
    </xf>
    <xf numFmtId="0" fontId="14" fillId="0" borderId="1" xfId="3" applyFont="1" applyBorder="1" applyAlignment="1">
      <alignment horizontal="center" vertical="center" wrapText="1"/>
    </xf>
    <xf numFmtId="0" fontId="1" fillId="0" borderId="1" xfId="2" applyFont="1" applyBorder="1" applyAlignment="1" applyProtection="1">
      <alignment horizontal="left" vertical="center" wrapText="1"/>
      <protection locked="0"/>
    </xf>
    <xf numFmtId="0" fontId="1" fillId="9" borderId="1" xfId="2" applyFont="1" applyFill="1" applyBorder="1" applyAlignment="1" applyProtection="1">
      <alignment horizontal="left" vertical="center" wrapText="1"/>
      <protection locked="0"/>
    </xf>
    <xf numFmtId="0" fontId="23" fillId="0" borderId="1" xfId="0" applyFont="1" applyBorder="1" applyAlignment="1">
      <alignment horizontal="left" vertical="center" wrapText="1"/>
    </xf>
    <xf numFmtId="0" fontId="6" fillId="9" borderId="1" xfId="3" applyFont="1" applyFill="1" applyBorder="1" applyAlignment="1" applyProtection="1">
      <alignment horizontal="left" vertical="center" wrapText="1"/>
      <protection locked="0"/>
    </xf>
    <xf numFmtId="0" fontId="8" fillId="0" borderId="14" xfId="14" applyFont="1" applyBorder="1" applyAlignment="1">
      <alignment horizontal="center" vertical="center" wrapText="1"/>
    </xf>
    <xf numFmtId="0" fontId="8" fillId="0" borderId="14" xfId="2" applyFont="1" applyBorder="1" applyAlignment="1">
      <alignment horizontal="center" vertical="center" wrapText="1"/>
    </xf>
    <xf numFmtId="0" fontId="6" fillId="0" borderId="67" xfId="2" applyFont="1" applyBorder="1" applyAlignment="1" applyProtection="1">
      <alignment horizontal="left" vertical="center" wrapText="1"/>
      <protection locked="0"/>
    </xf>
    <xf numFmtId="0" fontId="23" fillId="9" borderId="67" xfId="0" applyFont="1" applyFill="1" applyBorder="1" applyAlignment="1" applyProtection="1">
      <alignment horizontal="left" vertical="center" wrapText="1"/>
      <protection locked="0"/>
    </xf>
    <xf numFmtId="0" fontId="6" fillId="9" borderId="67" xfId="3" applyFont="1" applyFill="1" applyBorder="1" applyAlignment="1" applyProtection="1">
      <alignment horizontal="left" vertical="center" wrapText="1"/>
      <protection locked="0"/>
    </xf>
    <xf numFmtId="0" fontId="6" fillId="0" borderId="2" xfId="3" applyFont="1" applyBorder="1" applyAlignment="1" applyProtection="1">
      <alignment vertical="center" wrapText="1"/>
      <protection locked="0"/>
    </xf>
    <xf numFmtId="0" fontId="6" fillId="0" borderId="2" xfId="2" applyFont="1" applyBorder="1" applyAlignment="1" applyProtection="1">
      <alignment horizontal="left" vertical="center" wrapText="1"/>
      <protection locked="0"/>
    </xf>
    <xf numFmtId="0" fontId="6" fillId="0" borderId="1" xfId="3" applyFont="1" applyBorder="1" applyAlignment="1" applyProtection="1">
      <alignment wrapText="1"/>
      <protection locked="0"/>
    </xf>
    <xf numFmtId="0" fontId="6" fillId="0" borderId="1" xfId="3" applyFont="1" applyBorder="1" applyAlignment="1" applyProtection="1">
      <alignment horizontal="center"/>
      <protection locked="0"/>
    </xf>
    <xf numFmtId="0" fontId="22"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23" fillId="0" borderId="1" xfId="0" applyFont="1" applyBorder="1" applyAlignment="1">
      <alignment vertical="center" wrapText="1"/>
    </xf>
    <xf numFmtId="0" fontId="6" fillId="0" borderId="60" xfId="3" applyFont="1" applyBorder="1" applyAlignment="1">
      <alignment vertical="center" wrapText="1"/>
    </xf>
    <xf numFmtId="0" fontId="6" fillId="9" borderId="17" xfId="0" applyFont="1" applyFill="1" applyBorder="1" applyAlignment="1" applyProtection="1">
      <alignment horizontal="left" vertical="center" wrapText="1"/>
      <protection locked="0"/>
    </xf>
    <xf numFmtId="0" fontId="6" fillId="0" borderId="1" xfId="3" applyFont="1" applyBorder="1" applyProtection="1">
      <protection locked="0"/>
    </xf>
    <xf numFmtId="0" fontId="1" fillId="0" borderId="1" xfId="3" applyFont="1" applyBorder="1" applyAlignment="1">
      <alignment horizontal="left" vertical="center" wrapText="1"/>
    </xf>
    <xf numFmtId="0" fontId="6" fillId="0" borderId="1" xfId="0" applyFont="1" applyBorder="1" applyAlignment="1" applyProtection="1">
      <alignment vertical="center"/>
      <protection locked="0"/>
    </xf>
    <xf numFmtId="0" fontId="6" fillId="0" borderId="1" xfId="0" applyFont="1" applyBorder="1" applyAlignment="1">
      <alignment vertical="center"/>
    </xf>
    <xf numFmtId="0" fontId="8" fillId="0" borderId="1"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9" fillId="0" borderId="1" xfId="3" applyFont="1" applyBorder="1" applyAlignment="1">
      <alignment horizontal="left" vertical="center" wrapText="1"/>
    </xf>
    <xf numFmtId="0" fontId="13" fillId="9" borderId="1" xfId="3" applyFont="1" applyFill="1" applyBorder="1" applyAlignment="1" applyProtection="1">
      <alignment horizontal="left" vertical="center" wrapText="1"/>
      <protection locked="0"/>
    </xf>
    <xf numFmtId="0" fontId="6" fillId="0" borderId="1" xfId="6" applyFont="1" applyBorder="1" applyAlignment="1">
      <alignment vertical="center" wrapText="1"/>
    </xf>
    <xf numFmtId="0" fontId="6" fillId="0" borderId="60" xfId="3" applyFont="1" applyBorder="1" applyAlignment="1">
      <alignment horizontal="left" vertical="center" wrapText="1"/>
    </xf>
    <xf numFmtId="0" fontId="6" fillId="4" borderId="1" xfId="2" applyFont="1" applyFill="1" applyBorder="1" applyAlignment="1">
      <alignment horizontal="center" vertical="center"/>
    </xf>
    <xf numFmtId="0" fontId="6" fillId="6" borderId="14" xfId="2" applyFont="1" applyFill="1" applyBorder="1" applyAlignment="1" applyProtection="1">
      <alignment horizontal="center" vertical="center" wrapText="1"/>
      <protection locked="0"/>
    </xf>
    <xf numFmtId="0" fontId="6" fillId="6" borderId="3" xfId="3" applyFont="1" applyFill="1" applyBorder="1" applyAlignment="1">
      <alignment horizontal="center" vertical="center" wrapText="1"/>
    </xf>
    <xf numFmtId="0" fontId="6" fillId="6" borderId="3" xfId="20" applyFont="1" applyFill="1" applyBorder="1" applyAlignment="1" applyProtection="1">
      <alignment horizontal="center" vertical="center" wrapText="1"/>
      <protection locked="0"/>
    </xf>
    <xf numFmtId="0" fontId="6" fillId="6" borderId="1" xfId="6" applyFont="1" applyFill="1" applyBorder="1" applyAlignment="1" applyProtection="1">
      <alignment horizontal="left" vertical="center" wrapText="1"/>
      <protection locked="0"/>
    </xf>
    <xf numFmtId="0" fontId="6" fillId="6" borderId="2" xfId="2" applyFont="1" applyFill="1" applyBorder="1" applyAlignment="1" applyProtection="1">
      <alignment horizontal="left" vertical="center" wrapText="1"/>
      <protection locked="0"/>
    </xf>
    <xf numFmtId="0" fontId="6" fillId="6" borderId="76" xfId="3" applyFont="1" applyFill="1" applyBorder="1" applyAlignment="1">
      <alignment horizontal="center" vertical="center" wrapText="1"/>
    </xf>
    <xf numFmtId="0" fontId="6" fillId="14" borderId="1" xfId="2" applyFont="1" applyFill="1" applyBorder="1" applyAlignment="1" applyProtection="1">
      <alignment horizontal="center" vertical="center" wrapText="1"/>
      <protection locked="0"/>
    </xf>
    <xf numFmtId="0" fontId="8" fillId="4" borderId="1" xfId="2" applyFont="1" applyFill="1" applyBorder="1" applyAlignment="1">
      <alignment horizontal="center" vertical="center"/>
    </xf>
    <xf numFmtId="0" fontId="26" fillId="0" borderId="3" xfId="14" applyFont="1" applyBorder="1" applyAlignment="1">
      <alignment horizontal="center" vertical="center" wrapText="1"/>
    </xf>
    <xf numFmtId="0" fontId="26" fillId="4" borderId="3" xfId="14" applyFont="1" applyFill="1" applyBorder="1" applyAlignment="1">
      <alignment horizontal="center" vertical="center" wrapText="1"/>
    </xf>
    <xf numFmtId="0" fontId="26" fillId="4" borderId="1" xfId="0" applyFont="1" applyFill="1" applyBorder="1" applyAlignment="1">
      <alignment horizontal="center" vertical="center" wrapText="1"/>
    </xf>
    <xf numFmtId="0" fontId="8" fillId="0" borderId="3" xfId="2" applyFont="1" applyBorder="1" applyAlignment="1" applyProtection="1">
      <alignment horizontal="center" vertical="center"/>
      <protection locked="0"/>
    </xf>
    <xf numFmtId="0" fontId="26" fillId="4" borderId="3" xfId="14" applyFont="1" applyFill="1" applyBorder="1" applyAlignment="1" applyProtection="1">
      <alignment horizontal="center" vertical="center" wrapText="1"/>
      <protection locked="0"/>
    </xf>
    <xf numFmtId="0" fontId="6" fillId="0" borderId="14" xfId="14" applyFont="1" applyBorder="1" applyAlignment="1" applyProtection="1">
      <alignment horizontal="center" vertical="center" wrapText="1"/>
      <protection locked="0"/>
    </xf>
    <xf numFmtId="0" fontId="6" fillId="6" borderId="14" xfId="14" applyFont="1" applyFill="1" applyBorder="1" applyAlignment="1" applyProtection="1">
      <alignment horizontal="center" vertical="center" wrapText="1"/>
      <protection locked="0"/>
    </xf>
    <xf numFmtId="0" fontId="33" fillId="0" borderId="3" xfId="14" applyFont="1" applyBorder="1" applyAlignment="1" applyProtection="1">
      <alignment horizontal="center" vertical="center" wrapText="1"/>
      <protection locked="0"/>
    </xf>
    <xf numFmtId="0" fontId="37" fillId="0" borderId="1" xfId="0" applyFont="1" applyBorder="1" applyAlignment="1" applyProtection="1">
      <alignment horizontal="left" vertical="center" wrapText="1"/>
      <protection locked="0"/>
    </xf>
    <xf numFmtId="0" fontId="33" fillId="0" borderId="1" xfId="0" applyFont="1" applyBorder="1" applyAlignment="1">
      <alignment horizontal="center" vertical="center" wrapText="1"/>
    </xf>
    <xf numFmtId="0" fontId="8" fillId="6" borderId="3" xfId="20" applyFont="1" applyFill="1" applyBorder="1" applyAlignment="1" applyProtection="1">
      <alignment horizontal="center" vertical="center" wrapText="1"/>
      <protection locked="0"/>
    </xf>
    <xf numFmtId="0" fontId="6" fillId="0" borderId="8" xfId="3" applyFont="1" applyBorder="1" applyAlignment="1" applyProtection="1">
      <alignment horizontal="center" vertical="center" wrapText="1"/>
      <protection locked="0"/>
    </xf>
    <xf numFmtId="0" fontId="23" fillId="0" borderId="1" xfId="3" applyFont="1" applyBorder="1" applyAlignment="1">
      <alignment horizontal="left" vertical="top" wrapText="1"/>
    </xf>
    <xf numFmtId="0" fontId="6" fillId="0" borderId="2" xfId="2" applyFont="1" applyBorder="1" applyAlignment="1">
      <alignment horizontal="center" vertical="top" wrapText="1"/>
    </xf>
    <xf numFmtId="0" fontId="6" fillId="4" borderId="2" xfId="2" applyFont="1" applyFill="1" applyBorder="1" applyAlignment="1">
      <alignment horizontal="left" vertical="top" wrapText="1"/>
    </xf>
    <xf numFmtId="0" fontId="6" fillId="0" borderId="59" xfId="3" applyFont="1" applyBorder="1" applyAlignment="1" applyProtection="1">
      <alignment vertical="center" wrapText="1"/>
      <protection locked="0"/>
    </xf>
    <xf numFmtId="0" fontId="6" fillId="0" borderId="1" xfId="3" applyFont="1" applyBorder="1" applyAlignment="1" applyProtection="1">
      <alignment horizontal="left" vertical="top" wrapText="1"/>
      <protection locked="0"/>
    </xf>
    <xf numFmtId="0" fontId="6" fillId="0" borderId="77" xfId="3" applyFont="1" applyBorder="1" applyAlignment="1" applyProtection="1">
      <alignment vertical="center" wrapText="1"/>
      <protection locked="0"/>
    </xf>
    <xf numFmtId="0" fontId="6" fillId="4" borderId="1" xfId="2" applyFont="1" applyFill="1" applyBorder="1" applyAlignment="1">
      <alignment horizontal="left" vertical="top" wrapText="1"/>
    </xf>
    <xf numFmtId="0" fontId="23" fillId="0" borderId="2" xfId="3" applyFont="1" applyBorder="1" applyAlignment="1">
      <alignment vertical="top" wrapText="1"/>
    </xf>
    <xf numFmtId="0" fontId="6" fillId="6" borderId="1" xfId="2" applyFont="1" applyFill="1" applyBorder="1" applyAlignment="1" applyProtection="1">
      <alignment horizontal="left" vertical="top" wrapText="1"/>
      <protection locked="0"/>
    </xf>
    <xf numFmtId="0" fontId="6" fillId="0" borderId="59" xfId="3" applyFont="1" applyBorder="1" applyAlignment="1">
      <alignment vertical="center" wrapText="1"/>
    </xf>
    <xf numFmtId="0" fontId="6" fillId="0" borderId="1" xfId="2" applyFont="1" applyBorder="1" applyAlignment="1">
      <alignment horizontal="center" vertical="top" wrapText="1"/>
    </xf>
    <xf numFmtId="0" fontId="6" fillId="6" borderId="57" xfId="2" applyFont="1" applyFill="1" applyBorder="1" applyAlignment="1" applyProtection="1">
      <alignment horizontal="left" vertical="center" wrapText="1"/>
      <protection locked="0"/>
    </xf>
    <xf numFmtId="0" fontId="6" fillId="6" borderId="3" xfId="0" applyFont="1" applyFill="1" applyBorder="1" applyAlignment="1" applyProtection="1">
      <alignment horizontal="left" vertical="center" wrapText="1"/>
      <protection locked="0"/>
    </xf>
    <xf numFmtId="0" fontId="23" fillId="0" borderId="3" xfId="3" applyFont="1" applyBorder="1" applyAlignment="1">
      <alignment horizontal="left" vertical="top" wrapText="1"/>
    </xf>
    <xf numFmtId="0" fontId="1" fillId="0" borderId="1" xfId="3" applyFont="1" applyBorder="1" applyAlignment="1">
      <alignment vertical="top" wrapText="1"/>
    </xf>
    <xf numFmtId="0" fontId="6" fillId="0" borderId="1" xfId="3" applyFont="1" applyBorder="1" applyAlignment="1">
      <alignment horizontal="left" vertical="top" wrapText="1"/>
    </xf>
    <xf numFmtId="0" fontId="6" fillId="0" borderId="59" xfId="2" applyFont="1" applyBorder="1" applyAlignment="1">
      <alignment horizontal="left" vertical="center" wrapText="1"/>
    </xf>
    <xf numFmtId="0" fontId="6" fillId="6" borderId="1" xfId="0" applyFont="1" applyFill="1" applyBorder="1" applyAlignment="1" applyProtection="1">
      <alignment horizontal="left" wrapText="1"/>
      <protection locked="0"/>
    </xf>
    <xf numFmtId="0" fontId="23" fillId="0" borderId="2" xfId="2" applyFont="1" applyBorder="1" applyAlignment="1">
      <alignment horizontal="left" vertical="top" wrapText="1"/>
    </xf>
    <xf numFmtId="0" fontId="1" fillId="0" borderId="2" xfId="0" applyFont="1" applyBorder="1" applyAlignment="1">
      <alignment horizontal="left" vertical="center" wrapText="1"/>
    </xf>
    <xf numFmtId="0" fontId="33" fillId="4" borderId="1" xfId="2" applyFont="1" applyFill="1" applyBorder="1" applyAlignment="1">
      <alignment horizontal="left" vertical="top" wrapText="1"/>
    </xf>
    <xf numFmtId="0" fontId="6" fillId="4" borderId="1" xfId="2" applyFont="1" applyFill="1" applyBorder="1" applyAlignment="1" applyProtection="1">
      <alignment horizontal="left" vertical="top" wrapText="1"/>
      <protection locked="0"/>
    </xf>
    <xf numFmtId="0" fontId="6" fillId="6" borderId="1" xfId="0" applyFont="1" applyFill="1" applyBorder="1" applyAlignment="1" applyProtection="1">
      <alignment horizontal="left" vertical="top" wrapText="1"/>
      <protection locked="0"/>
    </xf>
    <xf numFmtId="0" fontId="8" fillId="6" borderId="1" xfId="14" applyFont="1" applyFill="1" applyBorder="1" applyAlignment="1">
      <alignment horizontal="center" vertical="center" wrapText="1"/>
    </xf>
    <xf numFmtId="0" fontId="6" fillId="6" borderId="1" xfId="14" applyFont="1" applyFill="1" applyBorder="1" applyAlignment="1">
      <alignment horizontal="center" vertical="center" wrapText="1"/>
    </xf>
    <xf numFmtId="0" fontId="6" fillId="6" borderId="1" xfId="1" applyFont="1" applyFill="1" applyBorder="1" applyAlignment="1">
      <alignment horizontal="left" vertical="center" wrapText="1"/>
    </xf>
    <xf numFmtId="0" fontId="6" fillId="6" borderId="67" xfId="2" applyFont="1" applyFill="1" applyBorder="1" applyAlignment="1">
      <alignment horizontal="center" vertical="center" wrapText="1"/>
    </xf>
    <xf numFmtId="0" fontId="6" fillId="6" borderId="2" xfId="0" applyFont="1" applyFill="1" applyBorder="1" applyAlignment="1">
      <alignment horizontal="left" vertical="center" wrapText="1"/>
    </xf>
    <xf numFmtId="0" fontId="6" fillId="6" borderId="3" xfId="2" applyFont="1" applyFill="1" applyBorder="1" applyAlignment="1">
      <alignment horizontal="center" vertical="center" wrapText="1"/>
    </xf>
    <xf numFmtId="0" fontId="6" fillId="6" borderId="1" xfId="2" applyFont="1" applyFill="1" applyBorder="1" applyAlignment="1">
      <alignment horizontal="left" vertical="center" wrapText="1"/>
    </xf>
    <xf numFmtId="0" fontId="6" fillId="6" borderId="1" xfId="3" applyFont="1" applyFill="1" applyBorder="1" applyAlignment="1">
      <alignment horizontal="center" vertical="center" wrapText="1"/>
    </xf>
    <xf numFmtId="0" fontId="6" fillId="6" borderId="1" xfId="2" applyFont="1" applyFill="1" applyBorder="1" applyAlignment="1">
      <alignment horizontal="center" vertical="center" wrapText="1"/>
    </xf>
    <xf numFmtId="0" fontId="12" fillId="6" borderId="14" xfId="3" applyFont="1" applyFill="1" applyBorder="1" applyAlignment="1">
      <alignment horizontal="left" vertical="center" wrapText="1"/>
    </xf>
    <xf numFmtId="0" fontId="6" fillId="6" borderId="17" xfId="3" applyFont="1" applyFill="1" applyBorder="1" applyAlignment="1">
      <alignment horizontal="center" vertical="center" wrapText="1"/>
    </xf>
    <xf numFmtId="0" fontId="6" fillId="6" borderId="17" xfId="3" applyFont="1" applyFill="1" applyBorder="1" applyAlignment="1">
      <alignment horizontal="left" vertical="center" wrapText="1"/>
    </xf>
    <xf numFmtId="0" fontId="6" fillId="6" borderId="3" xfId="0" applyFont="1" applyFill="1" applyBorder="1" applyAlignment="1" applyProtection="1">
      <alignment horizontal="left" wrapText="1"/>
      <protection locked="0"/>
    </xf>
    <xf numFmtId="0" fontId="6" fillId="6" borderId="1" xfId="30" applyFont="1" applyFill="1" applyBorder="1" applyAlignment="1" applyProtection="1">
      <alignment horizontal="center" vertical="center" wrapText="1"/>
      <protection locked="0"/>
    </xf>
    <xf numFmtId="0" fontId="35" fillId="6" borderId="1" xfId="0" applyFont="1" applyFill="1" applyBorder="1" applyAlignment="1" applyProtection="1">
      <alignment horizontal="left" vertical="center" wrapText="1"/>
      <protection locked="0"/>
    </xf>
    <xf numFmtId="0" fontId="8" fillId="6" borderId="1" xfId="3" applyFont="1" applyFill="1" applyBorder="1" applyAlignment="1" applyProtection="1">
      <alignment vertical="center" wrapText="1"/>
      <protection locked="0"/>
    </xf>
    <xf numFmtId="0" fontId="6" fillId="4" borderId="1" xfId="2" applyFont="1" applyFill="1" applyBorder="1" applyAlignment="1">
      <alignment horizontal="left" vertical="center"/>
    </xf>
    <xf numFmtId="0" fontId="38" fillId="6" borderId="1" xfId="0" applyFont="1" applyFill="1" applyBorder="1" applyAlignment="1" applyProtection="1">
      <alignment horizontal="left" vertical="center" wrapText="1"/>
      <protection locked="0"/>
    </xf>
    <xf numFmtId="0" fontId="11" fillId="4" borderId="36" xfId="3" applyFont="1" applyFill="1" applyBorder="1" applyAlignment="1" applyProtection="1">
      <alignment horizontal="left" vertical="center" wrapText="1"/>
      <protection locked="0"/>
    </xf>
    <xf numFmtId="0" fontId="6" fillId="0" borderId="78" xfId="3" applyFont="1" applyBorder="1" applyAlignment="1">
      <alignment vertical="center" wrapText="1"/>
    </xf>
    <xf numFmtId="0" fontId="6" fillId="0" borderId="79" xfId="3" applyFont="1" applyBorder="1" applyAlignment="1">
      <alignment vertical="center" wrapText="1"/>
    </xf>
    <xf numFmtId="0" fontId="6" fillId="6" borderId="59" xfId="2" applyFont="1" applyFill="1" applyBorder="1" applyAlignment="1" applyProtection="1">
      <alignment horizontal="left" vertical="center" wrapText="1"/>
      <protection locked="0"/>
    </xf>
    <xf numFmtId="0" fontId="6" fillId="0" borderId="59" xfId="2" applyFont="1" applyBorder="1" applyAlignment="1" applyProtection="1">
      <alignment horizontal="center" vertical="center" wrapText="1"/>
      <protection locked="0"/>
    </xf>
    <xf numFmtId="0" fontId="23" fillId="0" borderId="77" xfId="2" applyFont="1" applyBorder="1" applyAlignment="1">
      <alignment horizontal="left" vertical="center" wrapText="1"/>
    </xf>
    <xf numFmtId="0" fontId="35" fillId="6" borderId="1" xfId="30" applyFont="1" applyFill="1" applyBorder="1" applyAlignment="1" applyProtection="1">
      <alignment horizontal="center" vertical="center" wrapText="1"/>
      <protection locked="0"/>
    </xf>
    <xf numFmtId="0" fontId="6" fillId="6" borderId="1" xfId="3" applyFont="1" applyFill="1" applyBorder="1" applyAlignment="1" applyProtection="1">
      <alignment wrapText="1"/>
      <protection locked="0"/>
    </xf>
    <xf numFmtId="0" fontId="39" fillId="0" borderId="81" xfId="0" applyFont="1" applyBorder="1" applyAlignment="1">
      <alignment horizontal="center" vertical="top"/>
    </xf>
    <xf numFmtId="0" fontId="11" fillId="11" borderId="1" xfId="3" applyFont="1" applyFill="1" applyBorder="1" applyAlignment="1">
      <alignment horizontal="center" vertical="center" wrapText="1"/>
    </xf>
    <xf numFmtId="0" fontId="0" fillId="0" borderId="3" xfId="0" applyBorder="1"/>
    <xf numFmtId="0" fontId="6" fillId="5" borderId="28" xfId="2" applyFont="1" applyFill="1" applyBorder="1" applyAlignment="1">
      <alignment horizontal="center" vertical="center"/>
    </xf>
    <xf numFmtId="0" fontId="0" fillId="0" borderId="32" xfId="0" applyBorder="1"/>
    <xf numFmtId="0" fontId="0" fillId="0" borderId="33" xfId="0" applyBorder="1"/>
    <xf numFmtId="0" fontId="13" fillId="0" borderId="36" xfId="3" applyFont="1" applyBorder="1" applyAlignment="1" applyProtection="1">
      <alignment horizontal="center" vertical="center" wrapText="1"/>
      <protection locked="0"/>
    </xf>
    <xf numFmtId="0" fontId="0" fillId="0" borderId="49" xfId="0" applyBorder="1"/>
    <xf numFmtId="0" fontId="6" fillId="2" borderId="27" xfId="14" applyFont="1" applyFill="1" applyBorder="1" applyAlignment="1">
      <alignment horizontal="center" vertical="center" wrapText="1"/>
    </xf>
    <xf numFmtId="0" fontId="8" fillId="0" borderId="0" xfId="0" applyFont="1" applyProtection="1">
      <protection locked="0"/>
    </xf>
    <xf numFmtId="0" fontId="6" fillId="0" borderId="0" xfId="0" applyFont="1" applyAlignment="1" applyProtection="1">
      <alignment horizontal="center"/>
      <protection locked="0"/>
    </xf>
    <xf numFmtId="0" fontId="6" fillId="0" borderId="0" xfId="0" applyFont="1" applyAlignment="1" applyProtection="1">
      <alignment wrapText="1"/>
      <protection locked="0"/>
    </xf>
    <xf numFmtId="0" fontId="6" fillId="0" borderId="0" xfId="0" applyFont="1" applyProtection="1">
      <protection locked="0"/>
    </xf>
    <xf numFmtId="0" fontId="6" fillId="3" borderId="58" xfId="14" applyFont="1" applyFill="1" applyBorder="1" applyAlignment="1">
      <alignment horizontal="center" vertical="center" wrapText="1"/>
    </xf>
    <xf numFmtId="0" fontId="0" fillId="0" borderId="59" xfId="0" applyBorder="1"/>
    <xf numFmtId="0" fontId="8" fillId="3" borderId="28" xfId="2" applyFont="1" applyFill="1" applyBorder="1" applyAlignment="1">
      <alignment horizontal="center" vertical="center" wrapText="1"/>
    </xf>
    <xf numFmtId="0" fontId="0" fillId="0" borderId="30" xfId="0" applyBorder="1"/>
    <xf numFmtId="0" fontId="11" fillId="0" borderId="36" xfId="3" applyFont="1" applyBorder="1" applyAlignment="1" applyProtection="1">
      <alignment horizontal="center" vertical="center" wrapText="1"/>
      <protection locked="0"/>
    </xf>
    <xf numFmtId="0" fontId="6" fillId="5" borderId="1" xfId="2" applyFont="1" applyFill="1" applyBorder="1" applyAlignment="1">
      <alignment horizontal="center" vertical="center"/>
    </xf>
    <xf numFmtId="0" fontId="0" fillId="0" borderId="80" xfId="0" applyBorder="1"/>
    <xf numFmtId="0" fontId="1" fillId="0" borderId="28" xfId="18" applyFont="1" applyBorder="1" applyAlignment="1">
      <alignment horizontal="center" vertical="top" textRotation="90"/>
    </xf>
    <xf numFmtId="0" fontId="0" fillId="0" borderId="29" xfId="0" applyBorder="1"/>
    <xf numFmtId="0" fontId="1" fillId="0" borderId="28" xfId="18" applyFont="1" applyBorder="1" applyAlignment="1">
      <alignment horizontal="center" vertical="top" textRotation="90" wrapText="1"/>
    </xf>
  </cellXfs>
  <cellStyles count="34">
    <cellStyle name="Check Cell" xfId="7" builtinId="23"/>
    <cellStyle name="Check Cell 2" xfId="24" xr:uid="{00000000-0005-0000-0000-000018000000}"/>
    <cellStyle name="Normal" xfId="0" builtinId="0"/>
    <cellStyle name="Normal 2" xfId="1" xr:uid="{00000000-0005-0000-0000-000001000000}"/>
    <cellStyle name="Normal 2 2" xfId="4" xr:uid="{00000000-0005-0000-0000-000004000000}"/>
    <cellStyle name="Normal 2 2 2" xfId="9" xr:uid="{00000000-0005-0000-0000-000009000000}"/>
    <cellStyle name="Normal 2 2 2 2" xfId="26" xr:uid="{00000000-0005-0000-0000-00001A000000}"/>
    <cellStyle name="Normal 2 2 3" xfId="14" xr:uid="{00000000-0005-0000-0000-00000E000000}"/>
    <cellStyle name="Normal 2 2 3 2" xfId="15" xr:uid="{00000000-0005-0000-0000-00000F000000}"/>
    <cellStyle name="Normal 2 2 3 2 2" xfId="30" xr:uid="{00000000-0005-0000-0000-00001E000000}"/>
    <cellStyle name="Normal 2 2 3 3" xfId="17" xr:uid="{00000000-0005-0000-0000-000011000000}"/>
    <cellStyle name="Normal 2 2 3 3 2" xfId="31" xr:uid="{00000000-0005-0000-0000-00001F000000}"/>
    <cellStyle name="Normal 2 2 3 4" xfId="29" xr:uid="{00000000-0005-0000-0000-00001D000000}"/>
    <cellStyle name="Normal 2 2 4" xfId="23" xr:uid="{00000000-0005-0000-0000-000017000000}"/>
    <cellStyle name="Normal 2 3" xfId="8" xr:uid="{00000000-0005-0000-0000-000008000000}"/>
    <cellStyle name="Normal 2 3 2" xfId="25" xr:uid="{00000000-0005-0000-0000-000019000000}"/>
    <cellStyle name="Normal 2 4" xfId="13" xr:uid="{00000000-0005-0000-0000-00000D000000}"/>
    <cellStyle name="Normal 2 4 2" xfId="28" xr:uid="{00000000-0005-0000-0000-00001C000000}"/>
    <cellStyle name="Normal 2 5" xfId="22" xr:uid="{00000000-0005-0000-0000-000016000000}"/>
    <cellStyle name="Normal 3" xfId="3" xr:uid="{00000000-0005-0000-0000-000003000000}"/>
    <cellStyle name="Normal 3 2" xfId="6" xr:uid="{00000000-0005-0000-0000-000006000000}"/>
    <cellStyle name="Normal 3 2 2" xfId="21" xr:uid="{00000000-0005-0000-0000-000015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4 2 2 2 2" xfId="19" xr:uid="{00000000-0005-0000-0000-000013000000}"/>
    <cellStyle name="Normal 4 2 3" xfId="18" xr:uid="{00000000-0005-0000-0000-000012000000}"/>
    <cellStyle name="Normal 5" xfId="2" xr:uid="{00000000-0005-0000-0000-000002000000}"/>
    <cellStyle name="Normal 6" xfId="20" xr:uid="{00000000-0005-0000-0000-000014000000}"/>
    <cellStyle name="Normal 7" xfId="33" xr:uid="{00000000-0005-0000-0000-000021000000}"/>
    <cellStyle name="Percent" xfId="11" builtinId="5"/>
    <cellStyle name="Percent 2" xfId="32" xr:uid="{00000000-0005-0000-0000-000020000000}"/>
    <cellStyle name="Percent 3" xfId="27" xr:uid="{00000000-0005-0000-0000-00001B000000}"/>
  </cellStyles>
  <dxfs count="159">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9" tint="0.39994506668294322"/>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9900"/>
        </patternFill>
      </fill>
    </dxf>
    <dxf>
      <font>
        <color rgb="FF9C0006"/>
      </font>
      <fill>
        <patternFill>
          <bgColor rgb="FFFFC7CE"/>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D44B"/>
        </patternFill>
      </fill>
    </dxf>
    <dxf>
      <fill>
        <patternFill>
          <bgColor theme="2" tint="-0.24994659260841701"/>
        </patternFill>
      </fill>
    </dxf>
    <dxf>
      <fill>
        <patternFill>
          <bgColor rgb="FFE3E0CF"/>
        </patternFill>
      </fill>
    </dxf>
    <dxf>
      <fill>
        <patternFill>
          <bgColor rgb="FFEEB400"/>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New Durations"/>
      <sheetName val="Crop list"/>
      <sheetName val="Additional information"/>
    </sheetNames>
    <sheetDataSet>
      <sheetData sheetId="0"/>
      <sheetData sheetId="1"/>
      <sheetData sheetId="2"/>
      <sheetData sheetId="3">
        <row r="17">
          <cell r="D17">
            <v>0.91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AC212"/>
  <sheetViews>
    <sheetView topLeftCell="B1" zoomScale="57" zoomScaleNormal="80" workbookViewId="0">
      <pane ySplit="1" topLeftCell="A28" activePane="bottomLeft" state="frozen"/>
      <selection activeCell="B1" sqref="B1"/>
      <selection pane="bottomLeft" activeCell="P106" sqref="P106"/>
    </sheetView>
  </sheetViews>
  <sheetFormatPr baseColWidth="10" defaultColWidth="8.83203125" defaultRowHeight="16" outlineLevelCol="1" x14ac:dyDescent="0.2"/>
  <cols>
    <col min="1" max="1" width="7.5" style="110" hidden="1" customWidth="1"/>
    <col min="2" max="2" width="23.33203125" style="176" customWidth="1"/>
    <col min="3" max="3" width="32.6640625" style="175" customWidth="1"/>
    <col min="4" max="4" width="55.83203125" style="174" customWidth="1"/>
    <col min="5" max="5" width="11.5" style="110" customWidth="1"/>
    <col min="6" max="6" width="72.6640625" style="174" customWidth="1"/>
    <col min="7" max="7" width="9.6640625" style="110" customWidth="1"/>
    <col min="8" max="8" width="68.6640625" style="174" customWidth="1"/>
    <col min="9" max="9" width="9.5" style="175" customWidth="1"/>
    <col min="10" max="10" width="15.83203125" style="110" customWidth="1"/>
    <col min="11" max="11" width="12.33203125" style="110" hidden="1" customWidth="1"/>
    <col min="12" max="12" width="41" style="110" hidden="1" customWidth="1"/>
    <col min="13" max="13" width="33" style="110" hidden="1" customWidth="1"/>
    <col min="14" max="14" width="41.83203125" style="110" hidden="1" customWidth="1"/>
    <col min="15" max="15" width="33.1640625" style="110" hidden="1" customWidth="1"/>
    <col min="16" max="16" width="47.33203125" style="110" customWidth="1"/>
    <col min="17" max="17" width="22.33203125" style="110" customWidth="1"/>
    <col min="18" max="18" width="40.83203125" style="110" customWidth="1"/>
    <col min="19" max="19" width="15" style="236" hidden="1" customWidth="1"/>
    <col min="20" max="20" width="8.83203125" style="124" hidden="1" customWidth="1"/>
    <col min="21" max="21" width="8.83203125" style="110" hidden="1" customWidth="1"/>
    <col min="22" max="22" width="20.6640625" style="145" hidden="1" customWidth="1"/>
    <col min="23" max="23" width="8.83203125" style="110" hidden="1" customWidth="1" outlineLevel="1"/>
    <col min="24" max="24" width="8.83203125" style="110" hidden="1" customWidth="1" collapsed="1"/>
    <col min="25" max="25" width="8.83203125" style="110" hidden="1" customWidth="1"/>
    <col min="26" max="26" width="15.33203125" style="235" hidden="1" customWidth="1"/>
    <col min="27" max="27" width="11.5" style="235" customWidth="1"/>
    <col min="28" max="28" width="10.6640625" style="110" hidden="1" customWidth="1" outlineLevel="1"/>
    <col min="29" max="29" width="8.83203125" style="110" customWidth="1" collapsed="1"/>
    <col min="30" max="30" width="8.83203125" style="110" customWidth="1"/>
    <col min="31" max="16384" width="8.83203125" style="110"/>
  </cols>
  <sheetData>
    <row r="1" spans="1:28" ht="18.75" customHeight="1" thickBot="1" x14ac:dyDescent="0.25">
      <c r="A1" s="631" t="s">
        <v>0</v>
      </c>
      <c r="B1" s="632"/>
      <c r="C1" s="633"/>
      <c r="D1" s="634"/>
      <c r="E1" s="635"/>
      <c r="F1" s="634"/>
      <c r="G1" s="635"/>
      <c r="H1" s="634"/>
      <c r="I1" s="633"/>
      <c r="J1" s="635"/>
      <c r="K1" s="635"/>
      <c r="L1" s="635"/>
      <c r="M1" s="635"/>
      <c r="N1" s="635"/>
      <c r="O1" s="635"/>
      <c r="P1" s="635"/>
      <c r="Q1" s="635"/>
      <c r="R1" s="635"/>
      <c r="S1" s="217"/>
      <c r="T1" s="103"/>
      <c r="V1" s="103"/>
      <c r="Z1" s="218"/>
      <c r="AA1" s="218"/>
    </row>
    <row r="2" spans="1:28" ht="15" customHeight="1" thickBot="1" x14ac:dyDescent="0.25">
      <c r="A2" s="636" t="s">
        <v>1</v>
      </c>
      <c r="B2" s="637"/>
      <c r="C2" s="637"/>
      <c r="D2" s="637"/>
      <c r="E2" s="637"/>
      <c r="F2" s="637"/>
      <c r="G2" s="637"/>
      <c r="H2" s="637"/>
      <c r="I2" s="637"/>
      <c r="J2" s="637"/>
      <c r="K2" s="637"/>
      <c r="L2" s="637"/>
      <c r="M2" s="637"/>
      <c r="N2" s="637"/>
      <c r="O2" s="637"/>
      <c r="P2" s="637"/>
      <c r="Q2" s="637"/>
      <c r="R2" s="638" t="s">
        <v>2</v>
      </c>
      <c r="S2" s="217"/>
      <c r="T2" s="103"/>
      <c r="Z2" s="218"/>
      <c r="AA2" s="218"/>
    </row>
    <row r="3" spans="1:28" s="176" customFormat="1" ht="61.5" customHeight="1" thickBot="1" x14ac:dyDescent="0.25">
      <c r="A3" s="173" t="s">
        <v>3</v>
      </c>
      <c r="B3" s="172" t="s">
        <v>4</v>
      </c>
      <c r="C3" s="97" t="s">
        <v>5</v>
      </c>
      <c r="D3" s="172" t="s">
        <v>6</v>
      </c>
      <c r="E3" s="171" t="s">
        <v>7</v>
      </c>
      <c r="F3" s="172" t="s">
        <v>8</v>
      </c>
      <c r="G3" s="171" t="s">
        <v>7</v>
      </c>
      <c r="H3" s="171" t="s">
        <v>9</v>
      </c>
      <c r="I3" s="171" t="s">
        <v>7</v>
      </c>
      <c r="J3" s="172" t="s">
        <v>10</v>
      </c>
      <c r="K3" s="171" t="s">
        <v>11</v>
      </c>
      <c r="L3" s="170" t="s">
        <v>12</v>
      </c>
      <c r="M3" s="170" t="s">
        <v>13</v>
      </c>
      <c r="N3" s="169" t="s">
        <v>14</v>
      </c>
      <c r="O3" s="169" t="s">
        <v>15</v>
      </c>
      <c r="P3" s="168" t="s">
        <v>16</v>
      </c>
      <c r="Q3" s="168" t="s">
        <v>17</v>
      </c>
      <c r="R3" s="639"/>
      <c r="S3" s="213" t="s">
        <v>18</v>
      </c>
      <c r="T3" s="192"/>
      <c r="V3" s="253" t="s">
        <v>19</v>
      </c>
      <c r="Z3" s="213" t="s">
        <v>20</v>
      </c>
      <c r="AA3" s="214" t="s">
        <v>21</v>
      </c>
      <c r="AB3" s="214" t="s">
        <v>22</v>
      </c>
    </row>
    <row r="4" spans="1:28" ht="18" customHeight="1" thickBot="1" x14ac:dyDescent="0.25">
      <c r="A4" s="626" t="s">
        <v>23</v>
      </c>
      <c r="B4" s="627"/>
      <c r="C4" s="627"/>
      <c r="D4" s="627"/>
      <c r="E4" s="627"/>
      <c r="F4" s="627"/>
      <c r="G4" s="627"/>
      <c r="H4" s="627"/>
      <c r="I4" s="627"/>
      <c r="J4" s="627"/>
      <c r="K4" s="627"/>
      <c r="L4" s="627"/>
      <c r="M4" s="627"/>
      <c r="N4" s="627"/>
      <c r="O4" s="627"/>
      <c r="P4" s="627"/>
      <c r="Q4" s="627"/>
      <c r="R4" s="628"/>
      <c r="S4" s="217"/>
      <c r="T4" s="103"/>
      <c r="V4" s="145" t="s">
        <v>24</v>
      </c>
      <c r="Z4" s="218"/>
      <c r="AA4" s="215" t="str">
        <f>IF(Z4="","",Z4*X4)</f>
        <v/>
      </c>
      <c r="AB4" s="103" t="str">
        <f t="shared" ref="AB4:AB14" si="0">IF(V4="yes",AA4,"")</f>
        <v/>
      </c>
    </row>
    <row r="5" spans="1:28" ht="26.25" customHeight="1" x14ac:dyDescent="0.2">
      <c r="A5" s="71" t="s">
        <v>25</v>
      </c>
      <c r="B5" s="182" t="s">
        <v>26</v>
      </c>
      <c r="C5" s="188"/>
      <c r="D5" s="107" t="s">
        <v>26</v>
      </c>
      <c r="E5" s="106">
        <f t="shared" ref="E5:E20" si="1">LEN(D5)</f>
        <v>5</v>
      </c>
      <c r="F5" s="107" t="s">
        <v>26</v>
      </c>
      <c r="G5" s="106">
        <f t="shared" ref="G5:G20" si="2">LEN(F5)</f>
        <v>5</v>
      </c>
      <c r="H5" s="107" t="s">
        <v>26</v>
      </c>
      <c r="I5" s="116">
        <f t="shared" ref="I5:I20" si="3">LEN(H5)</f>
        <v>5</v>
      </c>
      <c r="J5" s="106" t="s">
        <v>27</v>
      </c>
      <c r="K5" s="106" t="s">
        <v>25</v>
      </c>
      <c r="L5" s="106" t="s">
        <v>25</v>
      </c>
      <c r="M5" s="106" t="s">
        <v>28</v>
      </c>
      <c r="N5" s="105" t="s">
        <v>29</v>
      </c>
      <c r="O5" s="167" t="s">
        <v>25</v>
      </c>
      <c r="P5" s="167" t="s">
        <v>25</v>
      </c>
      <c r="Q5" s="59"/>
      <c r="R5" s="9"/>
      <c r="S5" s="217"/>
      <c r="T5" s="103"/>
      <c r="V5" s="145" t="s">
        <v>24</v>
      </c>
      <c r="Z5" s="216">
        <v>0</v>
      </c>
      <c r="AA5" s="215">
        <f t="shared" ref="AA5:AA14" si="4">IF(Z5="","",Z5*S5)</f>
        <v>0</v>
      </c>
      <c r="AB5" s="103" t="str">
        <f t="shared" si="0"/>
        <v/>
      </c>
    </row>
    <row r="6" spans="1:28" ht="17" customHeight="1" x14ac:dyDescent="0.2">
      <c r="A6" s="71" t="s">
        <v>25</v>
      </c>
      <c r="B6" s="140" t="s">
        <v>30</v>
      </c>
      <c r="C6" s="108" t="s">
        <v>30</v>
      </c>
      <c r="D6" s="127" t="s">
        <v>31</v>
      </c>
      <c r="E6" s="106">
        <f t="shared" si="1"/>
        <v>48</v>
      </c>
      <c r="F6" s="127" t="s">
        <v>32</v>
      </c>
      <c r="G6" s="106">
        <f t="shared" si="2"/>
        <v>61</v>
      </c>
      <c r="H6" s="310" t="s">
        <v>33</v>
      </c>
      <c r="I6" s="116">
        <f t="shared" si="3"/>
        <v>29</v>
      </c>
      <c r="J6" s="106" t="s">
        <v>27</v>
      </c>
      <c r="K6" s="106" t="s">
        <v>25</v>
      </c>
      <c r="L6" s="106" t="s">
        <v>25</v>
      </c>
      <c r="M6" s="106" t="s">
        <v>28</v>
      </c>
      <c r="N6" s="105" t="s">
        <v>34</v>
      </c>
      <c r="O6" s="167" t="s">
        <v>25</v>
      </c>
      <c r="P6" s="167" t="s">
        <v>25</v>
      </c>
      <c r="Q6" s="59"/>
      <c r="R6" s="39"/>
      <c r="S6" s="217"/>
      <c r="T6" s="103"/>
      <c r="V6" s="145" t="s">
        <v>35</v>
      </c>
      <c r="Z6" s="216">
        <v>0</v>
      </c>
      <c r="AA6" s="215">
        <f t="shared" si="4"/>
        <v>0</v>
      </c>
      <c r="AB6" s="103">
        <f t="shared" si="0"/>
        <v>0</v>
      </c>
    </row>
    <row r="7" spans="1:28" ht="136" customHeight="1" x14ac:dyDescent="0.2">
      <c r="A7" s="33" t="s">
        <v>25</v>
      </c>
      <c r="B7" s="139" t="s">
        <v>36</v>
      </c>
      <c r="C7" s="108" t="s">
        <v>36</v>
      </c>
      <c r="D7" s="127" t="s">
        <v>37</v>
      </c>
      <c r="E7" s="114">
        <f t="shared" si="1"/>
        <v>146</v>
      </c>
      <c r="F7" s="307" t="s">
        <v>38</v>
      </c>
      <c r="G7" s="106">
        <f t="shared" si="2"/>
        <v>152</v>
      </c>
      <c r="H7" s="154" t="s">
        <v>39</v>
      </c>
      <c r="I7" s="116">
        <f t="shared" si="3"/>
        <v>151</v>
      </c>
      <c r="J7" s="437" t="s">
        <v>40</v>
      </c>
      <c r="K7" s="114" t="s">
        <v>25</v>
      </c>
      <c r="L7" s="114" t="s">
        <v>25</v>
      </c>
      <c r="M7" s="114" t="s">
        <v>41</v>
      </c>
      <c r="N7" s="113" t="s">
        <v>42</v>
      </c>
      <c r="O7" s="167" t="s">
        <v>25</v>
      </c>
      <c r="P7" s="156" t="s">
        <v>25</v>
      </c>
      <c r="Q7" s="60"/>
      <c r="R7" s="10"/>
      <c r="S7" s="217"/>
      <c r="T7" s="103"/>
      <c r="V7" s="145" t="s">
        <v>24</v>
      </c>
      <c r="Z7" s="216">
        <v>14.69530773162842</v>
      </c>
      <c r="AA7" s="215">
        <f t="shared" si="4"/>
        <v>0</v>
      </c>
      <c r="AB7" s="103" t="str">
        <f t="shared" si="0"/>
        <v/>
      </c>
    </row>
    <row r="8" spans="1:28" ht="37.5" customHeight="1" x14ac:dyDescent="0.2">
      <c r="A8" s="33" t="s">
        <v>25</v>
      </c>
      <c r="B8" s="139" t="s">
        <v>43</v>
      </c>
      <c r="C8" s="108" t="s">
        <v>44</v>
      </c>
      <c r="D8" s="166" t="s">
        <v>45</v>
      </c>
      <c r="E8" s="114">
        <f t="shared" si="1"/>
        <v>29</v>
      </c>
      <c r="F8" s="166" t="s">
        <v>46</v>
      </c>
      <c r="G8" s="106">
        <f t="shared" si="2"/>
        <v>49</v>
      </c>
      <c r="H8" s="307" t="s">
        <v>47</v>
      </c>
      <c r="I8" s="116">
        <f t="shared" si="3"/>
        <v>34</v>
      </c>
      <c r="J8" s="123" t="s">
        <v>25</v>
      </c>
      <c r="K8" s="123" t="s">
        <v>25</v>
      </c>
      <c r="L8" s="123" t="s">
        <v>25</v>
      </c>
      <c r="M8" s="123" t="s">
        <v>25</v>
      </c>
      <c r="N8" s="165" t="s">
        <v>48</v>
      </c>
      <c r="O8" s="167" t="s">
        <v>25</v>
      </c>
      <c r="P8" s="164" t="s">
        <v>25</v>
      </c>
      <c r="Q8" s="61"/>
      <c r="R8" s="11"/>
      <c r="S8" s="217"/>
      <c r="T8" s="103"/>
      <c r="V8" s="145" t="s">
        <v>24</v>
      </c>
      <c r="Z8" s="216">
        <v>0</v>
      </c>
      <c r="AA8" s="215">
        <f t="shared" si="4"/>
        <v>0</v>
      </c>
      <c r="AB8" s="103" t="str">
        <f t="shared" si="0"/>
        <v/>
      </c>
    </row>
    <row r="9" spans="1:28" ht="37.5" customHeight="1" x14ac:dyDescent="0.2">
      <c r="A9" s="33" t="s">
        <v>25</v>
      </c>
      <c r="B9" s="139" t="s">
        <v>49</v>
      </c>
      <c r="C9" s="108" t="s">
        <v>50</v>
      </c>
      <c r="D9" s="166" t="s">
        <v>51</v>
      </c>
      <c r="E9" s="114">
        <f t="shared" si="1"/>
        <v>31</v>
      </c>
      <c r="F9" s="307" t="s">
        <v>52</v>
      </c>
      <c r="G9" s="106">
        <f t="shared" si="2"/>
        <v>45</v>
      </c>
      <c r="H9" s="307" t="s">
        <v>53</v>
      </c>
      <c r="I9" s="116">
        <f t="shared" si="3"/>
        <v>39</v>
      </c>
      <c r="J9" s="123" t="s">
        <v>25</v>
      </c>
      <c r="K9" s="123" t="s">
        <v>25</v>
      </c>
      <c r="L9" s="123" t="s">
        <v>25</v>
      </c>
      <c r="M9" s="123" t="s">
        <v>25</v>
      </c>
      <c r="N9" s="165" t="s">
        <v>54</v>
      </c>
      <c r="O9" s="167" t="s">
        <v>25</v>
      </c>
      <c r="P9" s="164" t="s">
        <v>25</v>
      </c>
      <c r="Q9" s="61"/>
      <c r="R9" s="11"/>
      <c r="S9" s="217"/>
      <c r="T9" s="103"/>
      <c r="V9" s="145" t="s">
        <v>24</v>
      </c>
      <c r="Z9" s="216">
        <v>0</v>
      </c>
      <c r="AA9" s="215">
        <f t="shared" si="4"/>
        <v>0</v>
      </c>
      <c r="AB9" s="103" t="str">
        <f t="shared" si="0"/>
        <v/>
      </c>
    </row>
    <row r="10" spans="1:28" ht="37.5" customHeight="1" x14ac:dyDescent="0.2">
      <c r="A10" s="33" t="s">
        <v>25</v>
      </c>
      <c r="B10" s="139" t="s">
        <v>55</v>
      </c>
      <c r="C10" s="108" t="s">
        <v>56</v>
      </c>
      <c r="D10" s="166" t="s">
        <v>57</v>
      </c>
      <c r="E10" s="114">
        <f t="shared" si="1"/>
        <v>34</v>
      </c>
      <c r="F10" s="307" t="s">
        <v>58</v>
      </c>
      <c r="G10" s="106">
        <f t="shared" si="2"/>
        <v>44</v>
      </c>
      <c r="H10" s="307" t="s">
        <v>59</v>
      </c>
      <c r="I10" s="116">
        <f t="shared" si="3"/>
        <v>37</v>
      </c>
      <c r="J10" s="123" t="s">
        <v>25</v>
      </c>
      <c r="K10" s="123" t="s">
        <v>25</v>
      </c>
      <c r="L10" s="123" t="s">
        <v>25</v>
      </c>
      <c r="M10" s="123" t="s">
        <v>25</v>
      </c>
      <c r="N10" s="165" t="s">
        <v>60</v>
      </c>
      <c r="O10" s="167" t="s">
        <v>25</v>
      </c>
      <c r="P10" s="164" t="s">
        <v>25</v>
      </c>
      <c r="Q10" s="61"/>
      <c r="R10" s="11"/>
      <c r="S10" s="217"/>
      <c r="T10" s="103"/>
      <c r="V10" s="145" t="s">
        <v>24</v>
      </c>
      <c r="Z10" s="216">
        <v>0</v>
      </c>
      <c r="AA10" s="215">
        <f t="shared" si="4"/>
        <v>0</v>
      </c>
      <c r="AB10" s="103" t="str">
        <f t="shared" si="0"/>
        <v/>
      </c>
    </row>
    <row r="11" spans="1:28" ht="37.5" customHeight="1" x14ac:dyDescent="0.2">
      <c r="A11" s="33" t="s">
        <v>25</v>
      </c>
      <c r="B11" s="139" t="s">
        <v>61</v>
      </c>
      <c r="C11" s="108" t="s">
        <v>62</v>
      </c>
      <c r="D11" s="166" t="s">
        <v>63</v>
      </c>
      <c r="E11" s="114">
        <f t="shared" si="1"/>
        <v>41</v>
      </c>
      <c r="F11" s="307" t="s">
        <v>64</v>
      </c>
      <c r="G11" s="106">
        <f t="shared" si="2"/>
        <v>44</v>
      </c>
      <c r="H11" s="307" t="s">
        <v>65</v>
      </c>
      <c r="I11" s="116">
        <f t="shared" si="3"/>
        <v>42</v>
      </c>
      <c r="J11" s="123" t="s">
        <v>25</v>
      </c>
      <c r="K11" s="123" t="s">
        <v>25</v>
      </c>
      <c r="L11" s="123" t="s">
        <v>25</v>
      </c>
      <c r="M11" s="123" t="s">
        <v>25</v>
      </c>
      <c r="N11" s="165" t="s">
        <v>66</v>
      </c>
      <c r="O11" s="167" t="s">
        <v>25</v>
      </c>
      <c r="P11" s="164" t="s">
        <v>25</v>
      </c>
      <c r="Q11" s="61"/>
      <c r="R11" s="11"/>
      <c r="S11" s="217"/>
      <c r="T11" s="103"/>
      <c r="V11" s="145" t="s">
        <v>24</v>
      </c>
      <c r="Z11" s="216">
        <v>0</v>
      </c>
      <c r="AA11" s="215">
        <f t="shared" si="4"/>
        <v>0</v>
      </c>
      <c r="AB11" s="103" t="str">
        <f t="shared" si="0"/>
        <v/>
      </c>
    </row>
    <row r="12" spans="1:28" ht="102" customHeight="1" x14ac:dyDescent="0.2">
      <c r="A12" s="33" t="s">
        <v>25</v>
      </c>
      <c r="B12" s="139" t="s">
        <v>67</v>
      </c>
      <c r="C12" s="108" t="s">
        <v>67</v>
      </c>
      <c r="D12" s="338" t="s">
        <v>68</v>
      </c>
      <c r="E12" s="114">
        <f t="shared" si="1"/>
        <v>114</v>
      </c>
      <c r="F12" s="307" t="s">
        <v>69</v>
      </c>
      <c r="G12" s="106">
        <f t="shared" si="2"/>
        <v>115</v>
      </c>
      <c r="H12" s="154" t="s">
        <v>70</v>
      </c>
      <c r="I12" s="116">
        <f t="shared" si="3"/>
        <v>103</v>
      </c>
      <c r="J12" s="123" t="s">
        <v>40</v>
      </c>
      <c r="K12" s="114" t="s">
        <v>25</v>
      </c>
      <c r="L12" s="114" t="s">
        <v>25</v>
      </c>
      <c r="M12" s="114" t="s">
        <v>41</v>
      </c>
      <c r="N12" s="113" t="s">
        <v>71</v>
      </c>
      <c r="O12" s="167" t="s">
        <v>25</v>
      </c>
      <c r="P12" s="163" t="s">
        <v>72</v>
      </c>
      <c r="Q12" s="62"/>
      <c r="R12" s="12" t="s">
        <v>73</v>
      </c>
      <c r="S12" s="217"/>
      <c r="T12" s="103"/>
      <c r="V12" s="145" t="s">
        <v>24</v>
      </c>
      <c r="Z12" s="216">
        <v>3.103272438049316</v>
      </c>
      <c r="AA12" s="215">
        <f t="shared" si="4"/>
        <v>0</v>
      </c>
      <c r="AB12" s="103" t="str">
        <f t="shared" si="0"/>
        <v/>
      </c>
    </row>
    <row r="13" spans="1:28" ht="409.5" customHeight="1" x14ac:dyDescent="0.2">
      <c r="A13" s="33" t="s">
        <v>25</v>
      </c>
      <c r="B13" s="139" t="s">
        <v>74</v>
      </c>
      <c r="C13" s="108" t="s">
        <v>74</v>
      </c>
      <c r="D13" s="34" t="s">
        <v>75</v>
      </c>
      <c r="E13" s="114">
        <f t="shared" si="1"/>
        <v>1095</v>
      </c>
      <c r="F13" s="134" t="s">
        <v>76</v>
      </c>
      <c r="G13" s="106">
        <f t="shared" si="2"/>
        <v>1287</v>
      </c>
      <c r="H13" s="438" t="s">
        <v>77</v>
      </c>
      <c r="I13" s="116">
        <f t="shared" si="3"/>
        <v>1087</v>
      </c>
      <c r="J13" s="123" t="s">
        <v>40</v>
      </c>
      <c r="K13" s="114" t="s">
        <v>25</v>
      </c>
      <c r="L13" s="114" t="s">
        <v>25</v>
      </c>
      <c r="M13" s="114" t="s">
        <v>41</v>
      </c>
      <c r="N13" s="113" t="s">
        <v>78</v>
      </c>
      <c r="O13" s="167" t="s">
        <v>25</v>
      </c>
      <c r="P13" s="163" t="s">
        <v>79</v>
      </c>
      <c r="Q13" s="62"/>
      <c r="R13" s="12" t="s">
        <v>80</v>
      </c>
      <c r="S13" s="217"/>
      <c r="T13" s="103"/>
      <c r="V13" s="145" t="s">
        <v>24</v>
      </c>
      <c r="Z13" s="216">
        <v>37.418449401855469</v>
      </c>
      <c r="AA13" s="215">
        <f t="shared" si="4"/>
        <v>0</v>
      </c>
      <c r="AB13" s="103" t="str">
        <f t="shared" si="0"/>
        <v/>
      </c>
    </row>
    <row r="14" spans="1:28" s="109" customFormat="1" ht="119" customHeight="1" x14ac:dyDescent="0.2">
      <c r="A14" s="33" t="s">
        <v>25</v>
      </c>
      <c r="B14" s="139" t="s">
        <v>81</v>
      </c>
      <c r="C14" s="108" t="s">
        <v>82</v>
      </c>
      <c r="D14" s="127" t="s">
        <v>83</v>
      </c>
      <c r="E14" s="114">
        <f t="shared" si="1"/>
        <v>134</v>
      </c>
      <c r="F14" s="329" t="s">
        <v>84</v>
      </c>
      <c r="G14" s="106">
        <f t="shared" si="2"/>
        <v>152</v>
      </c>
      <c r="H14" s="307" t="s">
        <v>85</v>
      </c>
      <c r="I14" s="116">
        <f t="shared" si="3"/>
        <v>128</v>
      </c>
      <c r="J14" s="123" t="s">
        <v>86</v>
      </c>
      <c r="K14" s="114" t="s">
        <v>25</v>
      </c>
      <c r="L14" s="114" t="s">
        <v>25</v>
      </c>
      <c r="M14" s="114" t="s">
        <v>41</v>
      </c>
      <c r="N14" s="113" t="s">
        <v>87</v>
      </c>
      <c r="O14" s="167" t="s">
        <v>25</v>
      </c>
      <c r="P14" s="113" t="s">
        <v>88</v>
      </c>
      <c r="Q14" s="43"/>
      <c r="R14" s="50" t="s">
        <v>89</v>
      </c>
      <c r="S14" s="217">
        <v>1</v>
      </c>
      <c r="T14" s="103"/>
      <c r="V14" s="145" t="s">
        <v>24</v>
      </c>
      <c r="W14" s="110"/>
      <c r="Z14" s="216">
        <v>3.805951595306396</v>
      </c>
      <c r="AA14" s="215">
        <f t="shared" si="4"/>
        <v>3.805951595306396</v>
      </c>
      <c r="AB14" s="103" t="str">
        <f t="shared" si="0"/>
        <v/>
      </c>
    </row>
    <row r="15" spans="1:28" s="109" customFormat="1" ht="136" customHeight="1" x14ac:dyDescent="0.2">
      <c r="A15" s="14" t="s">
        <v>25</v>
      </c>
      <c r="B15" s="491" t="s">
        <v>90</v>
      </c>
      <c r="C15" s="492" t="s">
        <v>90</v>
      </c>
      <c r="D15" s="493" t="s">
        <v>91</v>
      </c>
      <c r="E15" s="494">
        <f t="shared" si="1"/>
        <v>172</v>
      </c>
      <c r="F15" s="495" t="s">
        <v>92</v>
      </c>
      <c r="G15" s="496">
        <f t="shared" si="2"/>
        <v>165</v>
      </c>
      <c r="H15" s="497" t="s">
        <v>93</v>
      </c>
      <c r="I15" s="498">
        <f t="shared" si="3"/>
        <v>163</v>
      </c>
      <c r="J15" s="499" t="s">
        <v>40</v>
      </c>
      <c r="K15" s="494" t="s">
        <v>25</v>
      </c>
      <c r="L15" s="494" t="s">
        <v>25</v>
      </c>
      <c r="M15" s="494" t="s">
        <v>41</v>
      </c>
      <c r="N15" s="500" t="s">
        <v>94</v>
      </c>
      <c r="O15" s="501" t="s">
        <v>25</v>
      </c>
      <c r="P15" s="500" t="s">
        <v>95</v>
      </c>
      <c r="Q15" s="500"/>
      <c r="R15" s="10"/>
      <c r="S15" s="217">
        <v>1</v>
      </c>
      <c r="T15" s="103"/>
      <c r="V15" s="145" t="s">
        <v>24</v>
      </c>
      <c r="W15" s="110"/>
      <c r="Z15" s="216"/>
      <c r="AA15" s="216"/>
      <c r="AB15" s="103"/>
    </row>
    <row r="16" spans="1:28" s="109" customFormat="1" ht="119" customHeight="1" x14ac:dyDescent="0.2">
      <c r="A16" s="33" t="s">
        <v>25</v>
      </c>
      <c r="B16" s="139" t="s">
        <v>96</v>
      </c>
      <c r="C16" s="108" t="s">
        <v>96</v>
      </c>
      <c r="D16" s="143" t="s">
        <v>97</v>
      </c>
      <c r="E16" s="114">
        <f t="shared" si="1"/>
        <v>153</v>
      </c>
      <c r="F16" s="330" t="s">
        <v>98</v>
      </c>
      <c r="G16" s="106">
        <f t="shared" si="2"/>
        <v>178</v>
      </c>
      <c r="H16" s="307" t="s">
        <v>99</v>
      </c>
      <c r="I16" s="116">
        <f t="shared" si="3"/>
        <v>148</v>
      </c>
      <c r="J16" s="123" t="s">
        <v>100</v>
      </c>
      <c r="K16" s="114" t="s">
        <v>25</v>
      </c>
      <c r="L16" s="114" t="s">
        <v>25</v>
      </c>
      <c r="M16" s="114" t="s">
        <v>101</v>
      </c>
      <c r="N16" s="113" t="s">
        <v>102</v>
      </c>
      <c r="O16" s="167" t="s">
        <v>25</v>
      </c>
      <c r="P16" s="113" t="s">
        <v>103</v>
      </c>
      <c r="Q16" s="63"/>
      <c r="R16" s="10"/>
      <c r="S16" s="217">
        <v>1</v>
      </c>
      <c r="T16" s="103"/>
      <c r="V16" s="111" t="s">
        <v>24</v>
      </c>
      <c r="W16" s="110"/>
      <c r="Z16" s="216">
        <v>0</v>
      </c>
      <c r="AA16" s="215">
        <f t="shared" ref="AA16:AA37" si="5">IF(Z16="","",Z16*S16)</f>
        <v>0</v>
      </c>
      <c r="AB16" s="103" t="str">
        <f t="shared" ref="AB16:AB37" si="6">IF(V16="yes",AA16,"")</f>
        <v/>
      </c>
    </row>
    <row r="17" spans="1:28" s="109" customFormat="1" ht="51" customHeight="1" x14ac:dyDescent="0.2">
      <c r="A17" s="33" t="s">
        <v>25</v>
      </c>
      <c r="B17" s="139" t="s">
        <v>104</v>
      </c>
      <c r="C17" s="108" t="s">
        <v>105</v>
      </c>
      <c r="D17" s="127" t="s">
        <v>106</v>
      </c>
      <c r="E17" s="114">
        <f t="shared" si="1"/>
        <v>80</v>
      </c>
      <c r="F17" s="330" t="s">
        <v>107</v>
      </c>
      <c r="G17" s="106">
        <f t="shared" si="2"/>
        <v>77</v>
      </c>
      <c r="H17" s="307" t="s">
        <v>108</v>
      </c>
      <c r="I17" s="116">
        <f t="shared" si="3"/>
        <v>80</v>
      </c>
      <c r="J17" s="123" t="s">
        <v>27</v>
      </c>
      <c r="K17" s="114" t="s">
        <v>25</v>
      </c>
      <c r="L17" s="114" t="s">
        <v>25</v>
      </c>
      <c r="M17" s="114" t="s">
        <v>109</v>
      </c>
      <c r="N17" s="113" t="s">
        <v>110</v>
      </c>
      <c r="O17" s="167" t="s">
        <v>25</v>
      </c>
      <c r="P17" s="113" t="s">
        <v>111</v>
      </c>
      <c r="Q17" s="63"/>
      <c r="R17" s="10"/>
      <c r="S17" s="217">
        <v>1</v>
      </c>
      <c r="T17" s="103"/>
      <c r="V17" s="111" t="s">
        <v>24</v>
      </c>
      <c r="W17" s="110"/>
      <c r="Z17" s="216">
        <v>0</v>
      </c>
      <c r="AA17" s="215">
        <f t="shared" si="5"/>
        <v>0</v>
      </c>
      <c r="AB17" s="103" t="str">
        <f t="shared" si="6"/>
        <v/>
      </c>
    </row>
    <row r="18" spans="1:28" s="109" customFormat="1" ht="85" customHeight="1" x14ac:dyDescent="0.2">
      <c r="A18" s="33" t="s">
        <v>25</v>
      </c>
      <c r="B18" s="139" t="s">
        <v>112</v>
      </c>
      <c r="C18" s="108" t="s">
        <v>113</v>
      </c>
      <c r="D18" s="127" t="s">
        <v>114</v>
      </c>
      <c r="E18" s="114">
        <f t="shared" si="1"/>
        <v>176</v>
      </c>
      <c r="F18" s="330" t="s">
        <v>115</v>
      </c>
      <c r="G18" s="106">
        <f t="shared" si="2"/>
        <v>211</v>
      </c>
      <c r="H18" s="307" t="s">
        <v>116</v>
      </c>
      <c r="I18" s="116">
        <f t="shared" si="3"/>
        <v>168</v>
      </c>
      <c r="J18" s="123" t="s">
        <v>27</v>
      </c>
      <c r="K18" s="114" t="s">
        <v>25</v>
      </c>
      <c r="L18" s="114" t="s">
        <v>25</v>
      </c>
      <c r="M18" s="114" t="s">
        <v>28</v>
      </c>
      <c r="N18" s="113" t="s">
        <v>117</v>
      </c>
      <c r="O18" s="167" t="s">
        <v>25</v>
      </c>
      <c r="P18" s="156" t="s">
        <v>25</v>
      </c>
      <c r="Q18" s="60"/>
      <c r="R18" s="10"/>
      <c r="S18" s="217">
        <v>1</v>
      </c>
      <c r="T18" s="103"/>
      <c r="V18" s="111" t="s">
        <v>24</v>
      </c>
      <c r="W18" s="110"/>
      <c r="Z18" s="216">
        <v>0</v>
      </c>
      <c r="AA18" s="215">
        <f t="shared" si="5"/>
        <v>0</v>
      </c>
      <c r="AB18" s="103" t="str">
        <f t="shared" si="6"/>
        <v/>
      </c>
    </row>
    <row r="19" spans="1:28" s="109" customFormat="1" ht="50.25" customHeight="1" x14ac:dyDescent="0.2">
      <c r="A19" s="33" t="s">
        <v>25</v>
      </c>
      <c r="B19" s="139" t="s">
        <v>118</v>
      </c>
      <c r="C19" s="108" t="s">
        <v>25</v>
      </c>
      <c r="D19" s="127" t="s">
        <v>119</v>
      </c>
      <c r="E19" s="114">
        <f t="shared" si="1"/>
        <v>99</v>
      </c>
      <c r="F19" s="330" t="s">
        <v>120</v>
      </c>
      <c r="G19" s="106">
        <f t="shared" si="2"/>
        <v>123</v>
      </c>
      <c r="H19" s="307" t="s">
        <v>121</v>
      </c>
      <c r="I19" s="116">
        <f t="shared" si="3"/>
        <v>59</v>
      </c>
      <c r="J19" s="123" t="s">
        <v>25</v>
      </c>
      <c r="K19" s="114" t="s">
        <v>25</v>
      </c>
      <c r="L19" s="114" t="s">
        <v>25</v>
      </c>
      <c r="M19" s="114" t="s">
        <v>25</v>
      </c>
      <c r="N19" s="113" t="s">
        <v>122</v>
      </c>
      <c r="O19" s="167" t="s">
        <v>25</v>
      </c>
      <c r="P19" s="156" t="s">
        <v>25</v>
      </c>
      <c r="Q19" s="60"/>
      <c r="R19" s="10"/>
      <c r="S19" s="217">
        <v>1</v>
      </c>
      <c r="T19" s="103"/>
      <c r="V19" s="111" t="s">
        <v>24</v>
      </c>
      <c r="W19" s="110"/>
      <c r="Z19" s="216">
        <v>0</v>
      </c>
      <c r="AA19" s="215">
        <f t="shared" si="5"/>
        <v>0</v>
      </c>
      <c r="AB19" s="103" t="str">
        <f t="shared" si="6"/>
        <v/>
      </c>
    </row>
    <row r="20" spans="1:28" s="109" customFormat="1" ht="50.25" customHeight="1" thickBot="1" x14ac:dyDescent="0.25">
      <c r="A20" s="252" t="s">
        <v>25</v>
      </c>
      <c r="B20" s="162" t="s">
        <v>123</v>
      </c>
      <c r="C20" s="161" t="s">
        <v>124</v>
      </c>
      <c r="D20" s="160" t="s">
        <v>125</v>
      </c>
      <c r="E20" s="158">
        <f t="shared" si="1"/>
        <v>65</v>
      </c>
      <c r="F20" s="331" t="s">
        <v>126</v>
      </c>
      <c r="G20" s="106">
        <f t="shared" si="2"/>
        <v>74</v>
      </c>
      <c r="H20" s="441" t="s">
        <v>127</v>
      </c>
      <c r="I20" s="116">
        <f t="shared" si="3"/>
        <v>51</v>
      </c>
      <c r="J20" s="159" t="s">
        <v>25</v>
      </c>
      <c r="K20" s="158" t="s">
        <v>25</v>
      </c>
      <c r="L20" s="158" t="s">
        <v>25</v>
      </c>
      <c r="M20" s="158" t="s">
        <v>25</v>
      </c>
      <c r="N20" s="157" t="s">
        <v>128</v>
      </c>
      <c r="O20" s="167" t="s">
        <v>25</v>
      </c>
      <c r="P20" s="156" t="s">
        <v>25</v>
      </c>
      <c r="Q20" s="64"/>
      <c r="R20" s="13"/>
      <c r="S20" s="217">
        <v>1</v>
      </c>
      <c r="T20" s="103"/>
      <c r="V20" s="111" t="s">
        <v>24</v>
      </c>
      <c r="W20" s="110"/>
      <c r="Z20" s="216">
        <v>0</v>
      </c>
      <c r="AA20" s="215">
        <f t="shared" si="5"/>
        <v>0</v>
      </c>
      <c r="AB20" s="103" t="str">
        <f t="shared" si="6"/>
        <v/>
      </c>
    </row>
    <row r="21" spans="1:28" s="293" customFormat="1" ht="17" customHeight="1" thickBot="1" x14ac:dyDescent="0.25">
      <c r="A21" s="626" t="s">
        <v>129</v>
      </c>
      <c r="B21" s="627"/>
      <c r="C21" s="627"/>
      <c r="D21" s="627"/>
      <c r="E21" s="627"/>
      <c r="F21" s="627"/>
      <c r="G21" s="627"/>
      <c r="H21" s="627"/>
      <c r="I21" s="627"/>
      <c r="J21" s="627"/>
      <c r="K21" s="627"/>
      <c r="L21" s="627"/>
      <c r="M21" s="627"/>
      <c r="N21" s="627"/>
      <c r="O21" s="627"/>
      <c r="P21" s="627"/>
      <c r="Q21" s="627"/>
      <c r="R21" s="628"/>
      <c r="S21" s="212"/>
      <c r="T21" s="296"/>
      <c r="V21" s="294"/>
      <c r="W21" s="297"/>
      <c r="Z21" s="215"/>
      <c r="AA21" s="215" t="str">
        <f t="shared" si="5"/>
        <v/>
      </c>
      <c r="AB21" s="296" t="str">
        <f t="shared" si="6"/>
        <v/>
      </c>
    </row>
    <row r="22" spans="1:28" s="109" customFormat="1" ht="68.25" customHeight="1" x14ac:dyDescent="0.2">
      <c r="A22" s="251" t="s">
        <v>25</v>
      </c>
      <c r="B22" s="155" t="s">
        <v>130</v>
      </c>
      <c r="C22" s="149" t="s">
        <v>130</v>
      </c>
      <c r="D22" s="154" t="s">
        <v>131</v>
      </c>
      <c r="E22" s="153">
        <f>LEN(D22)</f>
        <v>96</v>
      </c>
      <c r="F22" s="154" t="s">
        <v>132</v>
      </c>
      <c r="G22" s="153">
        <f>LEN(F22)</f>
        <v>116</v>
      </c>
      <c r="H22" s="439" t="s">
        <v>133</v>
      </c>
      <c r="I22" s="116">
        <f>LEN(H22)</f>
        <v>78</v>
      </c>
      <c r="J22" s="133" t="s">
        <v>27</v>
      </c>
      <c r="K22" s="153" t="s">
        <v>25</v>
      </c>
      <c r="L22" s="153" t="s">
        <v>25</v>
      </c>
      <c r="M22" s="153" t="s">
        <v>28</v>
      </c>
      <c r="N22" s="152" t="s">
        <v>134</v>
      </c>
      <c r="O22" s="167" t="s">
        <v>25</v>
      </c>
      <c r="P22" s="154" t="s">
        <v>135</v>
      </c>
      <c r="Q22" s="151"/>
      <c r="R22" s="48"/>
      <c r="S22" s="212">
        <f>1</f>
        <v>1</v>
      </c>
      <c r="T22" s="103"/>
      <c r="V22" s="294" t="s">
        <v>35</v>
      </c>
      <c r="W22" s="110"/>
      <c r="Z22" s="215">
        <v>25.874027252197269</v>
      </c>
      <c r="AA22" s="215">
        <f t="shared" si="5"/>
        <v>25.874027252197269</v>
      </c>
      <c r="AB22" s="103">
        <f t="shared" si="6"/>
        <v>25.874027252197269</v>
      </c>
    </row>
    <row r="23" spans="1:28" s="109" customFormat="1" ht="68" customHeight="1" x14ac:dyDescent="0.2">
      <c r="A23" s="33" t="s">
        <v>25</v>
      </c>
      <c r="B23" s="155" t="s">
        <v>136</v>
      </c>
      <c r="C23" s="149" t="s">
        <v>136</v>
      </c>
      <c r="D23" s="154" t="s">
        <v>137</v>
      </c>
      <c r="E23" s="153">
        <f>LEN(D23)</f>
        <v>95</v>
      </c>
      <c r="F23" s="154" t="s">
        <v>138</v>
      </c>
      <c r="G23" s="153">
        <f>LEN(F23)</f>
        <v>132</v>
      </c>
      <c r="H23" s="439" t="s">
        <v>139</v>
      </c>
      <c r="I23" s="116">
        <f>LEN(H23)</f>
        <v>85</v>
      </c>
      <c r="J23" s="133" t="s">
        <v>27</v>
      </c>
      <c r="K23" s="153" t="s">
        <v>25</v>
      </c>
      <c r="L23" s="153" t="s">
        <v>25</v>
      </c>
      <c r="M23" s="153" t="s">
        <v>28</v>
      </c>
      <c r="N23" s="152" t="s">
        <v>140</v>
      </c>
      <c r="O23" s="167" t="s">
        <v>25</v>
      </c>
      <c r="P23" s="129" t="s">
        <v>141</v>
      </c>
      <c r="Q23" s="151"/>
      <c r="R23" s="48"/>
      <c r="S23" s="212">
        <f>1</f>
        <v>1</v>
      </c>
      <c r="T23" s="103"/>
      <c r="V23" s="294" t="s">
        <v>35</v>
      </c>
      <c r="W23" s="110"/>
      <c r="Z23" s="215">
        <v>8.5994815826416016</v>
      </c>
      <c r="AA23" s="215">
        <f t="shared" si="5"/>
        <v>8.5994815826416016</v>
      </c>
      <c r="AB23" s="103">
        <f t="shared" si="6"/>
        <v>8.5994815826416016</v>
      </c>
    </row>
    <row r="24" spans="1:28" s="109" customFormat="1" ht="102" customHeight="1" x14ac:dyDescent="0.2">
      <c r="A24" s="71">
        <v>1</v>
      </c>
      <c r="B24" s="191" t="s">
        <v>142</v>
      </c>
      <c r="C24" s="150" t="s">
        <v>142</v>
      </c>
      <c r="D24" s="107" t="s">
        <v>143</v>
      </c>
      <c r="E24" s="149">
        <f>LEN(D24)</f>
        <v>177</v>
      </c>
      <c r="F24" s="154" t="s">
        <v>144</v>
      </c>
      <c r="G24" s="153">
        <f>LEN(F24)</f>
        <v>219</v>
      </c>
      <c r="H24" s="440" t="s">
        <v>145</v>
      </c>
      <c r="I24" s="116">
        <f>LEN(H24)</f>
        <v>172</v>
      </c>
      <c r="J24" s="149" t="s">
        <v>146</v>
      </c>
      <c r="K24" s="149" t="s">
        <v>25</v>
      </c>
      <c r="L24" s="149" t="s">
        <v>25</v>
      </c>
      <c r="M24" s="149" t="s">
        <v>28</v>
      </c>
      <c r="N24" s="105" t="s">
        <v>147</v>
      </c>
      <c r="O24" s="167" t="s">
        <v>25</v>
      </c>
      <c r="P24" s="148" t="s">
        <v>148</v>
      </c>
      <c r="Q24" s="147"/>
      <c r="R24" s="48"/>
      <c r="S24" s="212">
        <f>1</f>
        <v>1</v>
      </c>
      <c r="T24" s="103"/>
      <c r="V24" s="300" t="s">
        <v>35</v>
      </c>
      <c r="W24" s="110"/>
      <c r="Z24" s="215">
        <v>9.8907184600830078</v>
      </c>
      <c r="AA24" s="215">
        <f t="shared" si="5"/>
        <v>9.8907184600830078</v>
      </c>
      <c r="AB24" s="103">
        <f t="shared" si="6"/>
        <v>9.8907184600830078</v>
      </c>
    </row>
    <row r="25" spans="1:28" s="109" customFormat="1" ht="153" customHeight="1" x14ac:dyDescent="0.2">
      <c r="A25" s="71">
        <f>A24+1</f>
        <v>2</v>
      </c>
      <c r="B25" s="139" t="s">
        <v>149</v>
      </c>
      <c r="C25" s="108" t="s">
        <v>149</v>
      </c>
      <c r="D25" s="127" t="s">
        <v>150</v>
      </c>
      <c r="E25" s="114">
        <f>LEN(D25)</f>
        <v>168</v>
      </c>
      <c r="F25" s="127" t="s">
        <v>151</v>
      </c>
      <c r="G25" s="153">
        <f>LEN(F25)</f>
        <v>178</v>
      </c>
      <c r="H25" s="439" t="s">
        <v>152</v>
      </c>
      <c r="I25" s="116">
        <f>LEN(H25)</f>
        <v>128</v>
      </c>
      <c r="J25" s="123" t="s">
        <v>40</v>
      </c>
      <c r="K25" s="114" t="s">
        <v>25</v>
      </c>
      <c r="L25" s="114" t="s">
        <v>25</v>
      </c>
      <c r="M25" s="114" t="s">
        <v>41</v>
      </c>
      <c r="N25" s="113" t="s">
        <v>153</v>
      </c>
      <c r="O25" s="167" t="s">
        <v>25</v>
      </c>
      <c r="P25" s="105" t="s">
        <v>154</v>
      </c>
      <c r="Q25" s="65"/>
      <c r="R25" s="10"/>
      <c r="S25" s="212">
        <f>1</f>
        <v>1</v>
      </c>
      <c r="T25" s="103"/>
      <c r="V25" s="300" t="s">
        <v>35</v>
      </c>
      <c r="W25" s="110"/>
      <c r="Z25" s="215">
        <v>1.7156481742858889</v>
      </c>
      <c r="AA25" s="215">
        <f t="shared" si="5"/>
        <v>1.7156481742858889</v>
      </c>
      <c r="AB25" s="103">
        <f t="shared" si="6"/>
        <v>1.7156481742858889</v>
      </c>
    </row>
    <row r="26" spans="1:28" s="109" customFormat="1" x14ac:dyDescent="0.2">
      <c r="A26" s="71"/>
      <c r="B26" s="205"/>
      <c r="C26" s="72"/>
      <c r="D26" s="91"/>
      <c r="E26" s="35"/>
      <c r="F26" s="35"/>
      <c r="G26" s="35"/>
      <c r="H26" s="35"/>
      <c r="I26" s="116"/>
      <c r="J26" s="73"/>
      <c r="K26" s="35"/>
      <c r="L26" s="35"/>
      <c r="M26" s="35"/>
      <c r="N26" s="65"/>
      <c r="O26" s="65"/>
      <c r="P26" s="65"/>
      <c r="Q26" s="65"/>
      <c r="R26" s="10"/>
      <c r="S26" s="217">
        <f>1</f>
        <v>1</v>
      </c>
      <c r="T26" s="103"/>
      <c r="V26" s="145"/>
      <c r="W26" s="110"/>
      <c r="Z26" s="216"/>
      <c r="AA26" s="216" t="str">
        <f t="shared" si="5"/>
        <v/>
      </c>
      <c r="AB26" s="103" t="str">
        <f t="shared" si="6"/>
        <v/>
      </c>
    </row>
    <row r="27" spans="1:28" s="227" customFormat="1" ht="153" customHeight="1" x14ac:dyDescent="0.2">
      <c r="A27" s="250"/>
      <c r="B27" s="452" t="s">
        <v>155</v>
      </c>
      <c r="C27" s="562" t="s">
        <v>155</v>
      </c>
      <c r="D27" s="266" t="s">
        <v>156</v>
      </c>
      <c r="E27" s="327">
        <f t="shared" ref="E27:E34" si="7">LEN(D27)</f>
        <v>134</v>
      </c>
      <c r="F27" s="455" t="s">
        <v>157</v>
      </c>
      <c r="G27" s="327">
        <f t="shared" ref="G27:G34" si="8">LEN(F27)</f>
        <v>181</v>
      </c>
      <c r="H27" s="439" t="s">
        <v>158</v>
      </c>
      <c r="I27" s="116">
        <f t="shared" ref="I27:I34" si="9">LEN(H27)</f>
        <v>149</v>
      </c>
      <c r="J27" s="456" t="s">
        <v>40</v>
      </c>
      <c r="K27" s="327" t="s">
        <v>25</v>
      </c>
      <c r="L27" s="327" t="s">
        <v>25</v>
      </c>
      <c r="M27" s="327" t="s">
        <v>41</v>
      </c>
      <c r="N27" s="457" t="s">
        <v>159</v>
      </c>
      <c r="O27" s="167" t="s">
        <v>25</v>
      </c>
      <c r="P27" s="457" t="s">
        <v>160</v>
      </c>
      <c r="Q27" s="458"/>
      <c r="R27" s="459"/>
      <c r="S27" s="223">
        <f>1</f>
        <v>1</v>
      </c>
      <c r="T27" s="226"/>
      <c r="V27" s="295" t="s">
        <v>161</v>
      </c>
      <c r="W27" s="228"/>
      <c r="Z27" s="224">
        <v>6.375236988067627</v>
      </c>
      <c r="AA27" s="215">
        <f t="shared" si="5"/>
        <v>6.375236988067627</v>
      </c>
      <c r="AB27" s="103" t="str">
        <f t="shared" si="6"/>
        <v/>
      </c>
    </row>
    <row r="28" spans="1:28" s="227" customFormat="1" ht="51" customHeight="1" x14ac:dyDescent="0.2">
      <c r="A28" s="250"/>
      <c r="B28" s="452" t="s">
        <v>162</v>
      </c>
      <c r="C28" s="562" t="s">
        <v>163</v>
      </c>
      <c r="D28" s="266" t="s">
        <v>164</v>
      </c>
      <c r="E28" s="327">
        <f t="shared" si="7"/>
        <v>63</v>
      </c>
      <c r="F28" s="266" t="s">
        <v>165</v>
      </c>
      <c r="G28" s="327">
        <f t="shared" si="8"/>
        <v>78</v>
      </c>
      <c r="H28" s="439" t="s">
        <v>166</v>
      </c>
      <c r="I28" s="116">
        <f t="shared" si="9"/>
        <v>61</v>
      </c>
      <c r="J28" s="456" t="s">
        <v>27</v>
      </c>
      <c r="K28" s="327" t="s">
        <v>25</v>
      </c>
      <c r="L28" s="327" t="s">
        <v>25</v>
      </c>
      <c r="M28" s="327" t="s">
        <v>28</v>
      </c>
      <c r="N28" s="457" t="s">
        <v>167</v>
      </c>
      <c r="O28" s="167" t="s">
        <v>25</v>
      </c>
      <c r="P28" s="460" t="s">
        <v>168</v>
      </c>
      <c r="Q28" s="197"/>
      <c r="R28" s="459"/>
      <c r="S28" s="223">
        <f>1</f>
        <v>1</v>
      </c>
      <c r="T28" s="226"/>
      <c r="V28" s="295" t="s">
        <v>161</v>
      </c>
      <c r="W28" s="228"/>
      <c r="Z28" s="224">
        <v>28.70000076293945</v>
      </c>
      <c r="AA28" s="215">
        <f t="shared" si="5"/>
        <v>28.70000076293945</v>
      </c>
      <c r="AB28" s="103" t="str">
        <f t="shared" si="6"/>
        <v/>
      </c>
    </row>
    <row r="29" spans="1:28" s="227" customFormat="1" ht="204" customHeight="1" x14ac:dyDescent="0.2">
      <c r="A29" s="225"/>
      <c r="B29" s="453" t="s">
        <v>169</v>
      </c>
      <c r="C29" s="563" t="s">
        <v>169</v>
      </c>
      <c r="D29" s="455" t="s">
        <v>170</v>
      </c>
      <c r="E29" s="461">
        <f t="shared" si="7"/>
        <v>320</v>
      </c>
      <c r="F29" s="308" t="s">
        <v>171</v>
      </c>
      <c r="G29" s="327">
        <f t="shared" si="8"/>
        <v>352</v>
      </c>
      <c r="H29" s="439" t="s">
        <v>172</v>
      </c>
      <c r="I29" s="116">
        <f t="shared" si="9"/>
        <v>282</v>
      </c>
      <c r="J29" s="462" t="s">
        <v>40</v>
      </c>
      <c r="K29" s="461" t="s">
        <v>25</v>
      </c>
      <c r="L29" s="461" t="s">
        <v>25</v>
      </c>
      <c r="M29" s="461" t="s">
        <v>41</v>
      </c>
      <c r="N29" s="463" t="s">
        <v>173</v>
      </c>
      <c r="O29" s="167" t="s">
        <v>25</v>
      </c>
      <c r="P29" s="464" t="s">
        <v>174</v>
      </c>
      <c r="Q29" s="465"/>
      <c r="R29" s="466"/>
      <c r="S29" s="223">
        <f>1</f>
        <v>1</v>
      </c>
      <c r="T29" s="226"/>
      <c r="V29" s="295" t="s">
        <v>161</v>
      </c>
      <c r="W29" s="228"/>
      <c r="Z29" s="224">
        <v>10.14181709289551</v>
      </c>
      <c r="AA29" s="215">
        <f t="shared" si="5"/>
        <v>10.14181709289551</v>
      </c>
      <c r="AB29" s="103" t="str">
        <f t="shared" si="6"/>
        <v/>
      </c>
    </row>
    <row r="30" spans="1:28" s="227" customFormat="1" ht="51" customHeight="1" x14ac:dyDescent="0.2">
      <c r="A30" s="225"/>
      <c r="B30" s="453" t="s">
        <v>175</v>
      </c>
      <c r="C30" s="563" t="s">
        <v>175</v>
      </c>
      <c r="D30" s="266" t="s">
        <v>176</v>
      </c>
      <c r="E30" s="461">
        <f t="shared" si="7"/>
        <v>73</v>
      </c>
      <c r="F30" s="467" t="s">
        <v>177</v>
      </c>
      <c r="G30" s="327">
        <f t="shared" si="8"/>
        <v>82</v>
      </c>
      <c r="H30" s="439" t="s">
        <v>178</v>
      </c>
      <c r="I30" s="116">
        <f t="shared" si="9"/>
        <v>74</v>
      </c>
      <c r="J30" s="462" t="s">
        <v>27</v>
      </c>
      <c r="K30" s="461" t="s">
        <v>25</v>
      </c>
      <c r="L30" s="461" t="s">
        <v>25</v>
      </c>
      <c r="M30" s="461" t="s">
        <v>28</v>
      </c>
      <c r="N30" s="463" t="s">
        <v>179</v>
      </c>
      <c r="O30" s="167" t="s">
        <v>25</v>
      </c>
      <c r="P30" s="468" t="s">
        <v>180</v>
      </c>
      <c r="Q30" s="469"/>
      <c r="R30" s="466"/>
      <c r="S30" s="223">
        <f>1</f>
        <v>1</v>
      </c>
      <c r="T30" s="226"/>
      <c r="V30" s="295" t="s">
        <v>161</v>
      </c>
      <c r="W30" s="228"/>
      <c r="Z30" s="224">
        <v>21.659982681274411</v>
      </c>
      <c r="AA30" s="215">
        <f t="shared" si="5"/>
        <v>21.659982681274411</v>
      </c>
      <c r="AB30" s="103" t="str">
        <f t="shared" si="6"/>
        <v/>
      </c>
    </row>
    <row r="31" spans="1:28" s="227" customFormat="1" ht="102" customHeight="1" x14ac:dyDescent="0.2">
      <c r="A31" s="225"/>
      <c r="B31" s="453" t="s">
        <v>181</v>
      </c>
      <c r="C31" s="563" t="s">
        <v>181</v>
      </c>
      <c r="D31" s="266" t="s">
        <v>182</v>
      </c>
      <c r="E31" s="461">
        <f t="shared" si="7"/>
        <v>98</v>
      </c>
      <c r="F31" s="308" t="s">
        <v>183</v>
      </c>
      <c r="G31" s="327">
        <f t="shared" si="8"/>
        <v>138</v>
      </c>
      <c r="H31" s="439" t="s">
        <v>184</v>
      </c>
      <c r="I31" s="116">
        <f t="shared" si="9"/>
        <v>54</v>
      </c>
      <c r="J31" s="462" t="s">
        <v>27</v>
      </c>
      <c r="K31" s="461" t="s">
        <v>25</v>
      </c>
      <c r="L31" s="327" t="s">
        <v>185</v>
      </c>
      <c r="M31" s="461" t="s">
        <v>28</v>
      </c>
      <c r="N31" s="463" t="s">
        <v>186</v>
      </c>
      <c r="O31" s="167" t="s">
        <v>25</v>
      </c>
      <c r="P31" s="468" t="s">
        <v>187</v>
      </c>
      <c r="Q31" s="54"/>
      <c r="R31" s="466"/>
      <c r="S31" s="223">
        <f>1</f>
        <v>1</v>
      </c>
      <c r="T31" s="226"/>
      <c r="V31" s="295" t="s">
        <v>161</v>
      </c>
      <c r="W31" s="228"/>
      <c r="Z31" s="224">
        <v>11.82179641723633</v>
      </c>
      <c r="AA31" s="215">
        <f t="shared" si="5"/>
        <v>11.82179641723633</v>
      </c>
      <c r="AB31" s="103" t="str">
        <f t="shared" si="6"/>
        <v/>
      </c>
    </row>
    <row r="32" spans="1:28" s="227" customFormat="1" ht="204" customHeight="1" x14ac:dyDescent="0.2">
      <c r="A32" s="225"/>
      <c r="B32" s="453" t="s">
        <v>188</v>
      </c>
      <c r="C32" s="563" t="s">
        <v>188</v>
      </c>
      <c r="D32" s="455" t="s">
        <v>170</v>
      </c>
      <c r="E32" s="461">
        <f t="shared" si="7"/>
        <v>320</v>
      </c>
      <c r="F32" s="308" t="s">
        <v>171</v>
      </c>
      <c r="G32" s="327">
        <f t="shared" si="8"/>
        <v>352</v>
      </c>
      <c r="H32" s="439" t="s">
        <v>189</v>
      </c>
      <c r="I32" s="116">
        <f t="shared" si="9"/>
        <v>281</v>
      </c>
      <c r="J32" s="462" t="s">
        <v>40</v>
      </c>
      <c r="K32" s="461" t="s">
        <v>25</v>
      </c>
      <c r="L32" s="461" t="s">
        <v>25</v>
      </c>
      <c r="M32" s="461" t="s">
        <v>41</v>
      </c>
      <c r="N32" s="463" t="s">
        <v>190</v>
      </c>
      <c r="O32" s="167" t="s">
        <v>25</v>
      </c>
      <c r="P32" s="464" t="s">
        <v>191</v>
      </c>
      <c r="Q32" s="465"/>
      <c r="R32" s="466"/>
      <c r="S32" s="223">
        <f>1</f>
        <v>1</v>
      </c>
      <c r="T32" s="226"/>
      <c r="V32" s="295" t="s">
        <v>161</v>
      </c>
      <c r="W32" s="228"/>
      <c r="Z32" s="224">
        <v>3.163594007492065</v>
      </c>
      <c r="AA32" s="215">
        <f t="shared" si="5"/>
        <v>3.163594007492065</v>
      </c>
      <c r="AB32" s="103" t="str">
        <f t="shared" si="6"/>
        <v/>
      </c>
    </row>
    <row r="33" spans="1:29" s="227" customFormat="1" ht="51" customHeight="1" x14ac:dyDescent="0.2">
      <c r="A33" s="225"/>
      <c r="B33" s="453" t="s">
        <v>192</v>
      </c>
      <c r="C33" s="563" t="s">
        <v>192</v>
      </c>
      <c r="D33" s="266" t="s">
        <v>176</v>
      </c>
      <c r="E33" s="461">
        <f t="shared" si="7"/>
        <v>73</v>
      </c>
      <c r="F33" s="467" t="s">
        <v>177</v>
      </c>
      <c r="G33" s="327">
        <f t="shared" si="8"/>
        <v>82</v>
      </c>
      <c r="H33" s="439" t="s">
        <v>178</v>
      </c>
      <c r="I33" s="116">
        <f t="shared" si="9"/>
        <v>74</v>
      </c>
      <c r="J33" s="462" t="s">
        <v>27</v>
      </c>
      <c r="K33" s="461" t="s">
        <v>25</v>
      </c>
      <c r="L33" s="461" t="s">
        <v>25</v>
      </c>
      <c r="M33" s="461" t="s">
        <v>28</v>
      </c>
      <c r="N33" s="463" t="s">
        <v>193</v>
      </c>
      <c r="O33" s="167" t="s">
        <v>25</v>
      </c>
      <c r="P33" s="468" t="s">
        <v>194</v>
      </c>
      <c r="Q33" s="469"/>
      <c r="R33" s="466"/>
      <c r="S33" s="223">
        <f>1</f>
        <v>1</v>
      </c>
      <c r="T33" s="226"/>
      <c r="V33" s="295" t="s">
        <v>161</v>
      </c>
      <c r="W33" s="228"/>
      <c r="Z33" s="224">
        <v>10.83014392852783</v>
      </c>
      <c r="AA33" s="215">
        <f t="shared" si="5"/>
        <v>10.83014392852783</v>
      </c>
      <c r="AB33" s="103" t="str">
        <f t="shared" si="6"/>
        <v/>
      </c>
    </row>
    <row r="34" spans="1:29" s="227" customFormat="1" ht="102" customHeight="1" x14ac:dyDescent="0.2">
      <c r="A34" s="225"/>
      <c r="B34" s="453" t="s">
        <v>195</v>
      </c>
      <c r="C34" s="563" t="s">
        <v>196</v>
      </c>
      <c r="D34" s="266" t="s">
        <v>182</v>
      </c>
      <c r="E34" s="461">
        <f t="shared" si="7"/>
        <v>98</v>
      </c>
      <c r="F34" s="308" t="s">
        <v>183</v>
      </c>
      <c r="G34" s="327">
        <f t="shared" si="8"/>
        <v>138</v>
      </c>
      <c r="H34" s="439" t="s">
        <v>184</v>
      </c>
      <c r="I34" s="116">
        <f t="shared" si="9"/>
        <v>54</v>
      </c>
      <c r="J34" s="462" t="s">
        <v>27</v>
      </c>
      <c r="K34" s="461" t="s">
        <v>25</v>
      </c>
      <c r="L34" s="327" t="s">
        <v>197</v>
      </c>
      <c r="M34" s="461" t="s">
        <v>28</v>
      </c>
      <c r="N34" s="463" t="s">
        <v>198</v>
      </c>
      <c r="O34" s="167" t="s">
        <v>25</v>
      </c>
      <c r="P34" s="468" t="s">
        <v>199</v>
      </c>
      <c r="Q34" s="54"/>
      <c r="R34" s="466"/>
      <c r="S34" s="223">
        <f>1</f>
        <v>1</v>
      </c>
      <c r="T34" s="226"/>
      <c r="V34" s="295" t="s">
        <v>161</v>
      </c>
      <c r="W34" s="228"/>
      <c r="Z34" s="224">
        <v>11.260416984558111</v>
      </c>
      <c r="AA34" s="215">
        <f t="shared" si="5"/>
        <v>11.260416984558111</v>
      </c>
      <c r="AB34" s="103" t="str">
        <f t="shared" si="6"/>
        <v/>
      </c>
    </row>
    <row r="35" spans="1:29" s="100" customFormat="1" x14ac:dyDescent="0.2">
      <c r="A35" s="51"/>
      <c r="B35" s="190"/>
      <c r="C35" s="566"/>
      <c r="D35" s="55"/>
      <c r="E35" s="52"/>
      <c r="F35" s="52"/>
      <c r="G35" s="52"/>
      <c r="H35" s="52"/>
      <c r="I35" s="116"/>
      <c r="J35" s="53"/>
      <c r="K35" s="52"/>
      <c r="L35" s="52"/>
      <c r="M35" s="52"/>
      <c r="N35" s="54"/>
      <c r="O35" s="59"/>
      <c r="P35" s="56"/>
      <c r="Q35" s="57"/>
      <c r="R35" s="49"/>
      <c r="S35" s="217">
        <f>1</f>
        <v>1</v>
      </c>
      <c r="T35" s="103"/>
      <c r="V35" s="102"/>
      <c r="W35" s="101"/>
      <c r="Z35" s="216"/>
      <c r="AA35" s="216" t="str">
        <f t="shared" si="5"/>
        <v/>
      </c>
      <c r="AB35" s="103" t="str">
        <f t="shared" si="6"/>
        <v/>
      </c>
    </row>
    <row r="36" spans="1:29" s="109" customFormat="1" ht="323" customHeight="1" x14ac:dyDescent="0.2">
      <c r="A36" s="71">
        <v>3</v>
      </c>
      <c r="B36" s="182" t="s">
        <v>200</v>
      </c>
      <c r="C36" s="108" t="s">
        <v>200</v>
      </c>
      <c r="D36" s="480" t="s">
        <v>201</v>
      </c>
      <c r="E36" s="106">
        <f>LEN(D36)</f>
        <v>330</v>
      </c>
      <c r="F36" s="154" t="s">
        <v>202</v>
      </c>
      <c r="G36" s="106">
        <f>LEN(F36)</f>
        <v>263</v>
      </c>
      <c r="H36" s="440" t="s">
        <v>203</v>
      </c>
      <c r="I36" s="116">
        <f>LEN(H36)</f>
        <v>301</v>
      </c>
      <c r="J36" s="116" t="s">
        <v>40</v>
      </c>
      <c r="K36" s="106" t="s">
        <v>25</v>
      </c>
      <c r="L36" s="106" t="s">
        <v>25</v>
      </c>
      <c r="M36" s="106" t="s">
        <v>204</v>
      </c>
      <c r="N36" s="470" t="s">
        <v>205</v>
      </c>
      <c r="O36" s="167" t="s">
        <v>25</v>
      </c>
      <c r="P36" s="624" t="s">
        <v>206</v>
      </c>
      <c r="Q36" s="222"/>
      <c r="R36" s="10"/>
      <c r="S36" s="212">
        <f>1</f>
        <v>1</v>
      </c>
      <c r="T36" s="103"/>
      <c r="V36" s="300" t="s">
        <v>35</v>
      </c>
      <c r="W36" s="110"/>
      <c r="Z36" s="215">
        <v>13.957258919109851</v>
      </c>
      <c r="AA36" s="215">
        <f t="shared" si="5"/>
        <v>13.957258919109851</v>
      </c>
      <c r="AB36" s="103">
        <f t="shared" si="6"/>
        <v>13.957258919109851</v>
      </c>
    </row>
    <row r="37" spans="1:29" s="109" customFormat="1" ht="356" customHeight="1" x14ac:dyDescent="0.2">
      <c r="A37" s="33">
        <f>A36+1</f>
        <v>4</v>
      </c>
      <c r="B37" s="139" t="s">
        <v>207</v>
      </c>
      <c r="C37" s="108" t="s">
        <v>207</v>
      </c>
      <c r="D37" s="481" t="s">
        <v>208</v>
      </c>
      <c r="E37" s="114">
        <f>LEN(D37)</f>
        <v>341</v>
      </c>
      <c r="F37" s="471" t="s">
        <v>209</v>
      </c>
      <c r="G37" s="106">
        <f>LEN(F37)</f>
        <v>126</v>
      </c>
      <c r="H37" s="439" t="s">
        <v>210</v>
      </c>
      <c r="I37" s="116">
        <f>LEN(H37)</f>
        <v>333</v>
      </c>
      <c r="J37" s="123" t="s">
        <v>40</v>
      </c>
      <c r="K37" s="114" t="s">
        <v>25</v>
      </c>
      <c r="L37" s="114" t="s">
        <v>25</v>
      </c>
      <c r="M37" s="114" t="s">
        <v>211</v>
      </c>
      <c r="N37" s="279" t="s">
        <v>212</v>
      </c>
      <c r="O37" s="167" t="s">
        <v>25</v>
      </c>
      <c r="P37" s="625"/>
      <c r="Q37" s="277"/>
      <c r="R37" s="89"/>
      <c r="S37" s="212">
        <f>1</f>
        <v>1</v>
      </c>
      <c r="T37" s="103"/>
      <c r="V37" s="300" t="s">
        <v>35</v>
      </c>
      <c r="W37" s="110"/>
      <c r="Z37" s="215">
        <v>7.9549989700317383</v>
      </c>
      <c r="AA37" s="215">
        <f t="shared" si="5"/>
        <v>7.9549989700317383</v>
      </c>
      <c r="AB37" s="103">
        <f t="shared" si="6"/>
        <v>7.9549989700317383</v>
      </c>
    </row>
    <row r="38" spans="1:29" s="109" customFormat="1" ht="136" customHeight="1" x14ac:dyDescent="0.2">
      <c r="A38" s="502"/>
      <c r="B38" s="597" t="s">
        <v>213</v>
      </c>
      <c r="C38" s="598" t="s">
        <v>213</v>
      </c>
      <c r="D38" s="599" t="s">
        <v>214</v>
      </c>
      <c r="E38" s="600"/>
      <c r="F38" s="601" t="s">
        <v>215</v>
      </c>
      <c r="G38" s="602">
        <f>LEN(F38)</f>
        <v>134</v>
      </c>
      <c r="H38" s="603" t="s">
        <v>216</v>
      </c>
      <c r="I38" s="555">
        <f>LEN(H38)</f>
        <v>106</v>
      </c>
      <c r="J38" s="604" t="s">
        <v>40</v>
      </c>
      <c r="K38" s="605"/>
      <c r="L38" s="605"/>
      <c r="M38" s="605"/>
      <c r="N38" s="606"/>
      <c r="O38" s="607"/>
      <c r="P38" s="608"/>
      <c r="Q38" s="59" t="s">
        <v>217</v>
      </c>
      <c r="R38" s="90"/>
      <c r="S38" s="212"/>
      <c r="T38" s="103"/>
      <c r="V38" s="300"/>
      <c r="W38" s="110"/>
      <c r="Z38" s="215"/>
      <c r="AA38" s="215"/>
      <c r="AB38" s="103"/>
    </row>
    <row r="39" spans="1:29" s="109" customFormat="1" ht="187" customHeight="1" x14ac:dyDescent="0.2">
      <c r="A39" s="82"/>
      <c r="B39" s="181" t="s">
        <v>218</v>
      </c>
      <c r="C39" s="99" t="s">
        <v>218</v>
      </c>
      <c r="D39" s="107" t="s">
        <v>219</v>
      </c>
      <c r="E39" s="114">
        <f>LEN(D39)</f>
        <v>218</v>
      </c>
      <c r="F39" s="307" t="s">
        <v>220</v>
      </c>
      <c r="G39" s="106">
        <f>LEN(F39)</f>
        <v>251</v>
      </c>
      <c r="H39" s="439" t="s">
        <v>221</v>
      </c>
      <c r="I39" s="116">
        <f>LEN(H39)</f>
        <v>216</v>
      </c>
      <c r="J39" s="123" t="s">
        <v>40</v>
      </c>
      <c r="K39" s="123" t="s">
        <v>25</v>
      </c>
      <c r="L39" s="123" t="s">
        <v>25</v>
      </c>
      <c r="M39" s="123" t="s">
        <v>41</v>
      </c>
      <c r="N39" s="113" t="s">
        <v>222</v>
      </c>
      <c r="O39" s="167" t="s">
        <v>25</v>
      </c>
      <c r="P39" s="129" t="s">
        <v>223</v>
      </c>
      <c r="Q39" s="472"/>
      <c r="R39" s="39"/>
      <c r="S39" s="215"/>
      <c r="T39" s="215"/>
      <c r="U39" s="103"/>
      <c r="W39" s="145"/>
      <c r="X39" s="110"/>
      <c r="AA39" s="215"/>
      <c r="AB39" s="215"/>
      <c r="AC39" s="103"/>
    </row>
    <row r="40" spans="1:29" s="109" customFormat="1" ht="323" customHeight="1" x14ac:dyDescent="0.2">
      <c r="A40" s="82">
        <v>1</v>
      </c>
      <c r="B40" s="184" t="s">
        <v>224</v>
      </c>
      <c r="C40" s="280" t="s">
        <v>224</v>
      </c>
      <c r="D40" s="121" t="s">
        <v>225</v>
      </c>
      <c r="E40" s="97">
        <f>LEN(D40)</f>
        <v>658</v>
      </c>
      <c r="F40" s="309" t="s">
        <v>226</v>
      </c>
      <c r="G40" s="106">
        <f>LEN(F40)</f>
        <v>794</v>
      </c>
      <c r="H40" s="309" t="s">
        <v>227</v>
      </c>
      <c r="I40" s="116">
        <f>LEN(H40)</f>
        <v>621</v>
      </c>
      <c r="J40" s="281" t="s">
        <v>40</v>
      </c>
      <c r="K40" s="97" t="s">
        <v>25</v>
      </c>
      <c r="L40" s="97" t="s">
        <v>25</v>
      </c>
      <c r="M40" s="97" t="s">
        <v>41</v>
      </c>
      <c r="N40" s="127" t="s">
        <v>228</v>
      </c>
      <c r="O40" s="167" t="s">
        <v>25</v>
      </c>
      <c r="P40" s="328" t="s">
        <v>229</v>
      </c>
      <c r="Q40" s="32"/>
      <c r="R40" s="21"/>
      <c r="S40" s="212">
        <f>1</f>
        <v>1</v>
      </c>
      <c r="T40" s="103"/>
      <c r="V40" s="300" t="s">
        <v>35</v>
      </c>
      <c r="W40" s="110"/>
      <c r="Z40" s="215">
        <v>24.41083908081055</v>
      </c>
      <c r="AA40" s="215">
        <f t="shared" ref="AA40:AA52" si="10">IF(Z40="","",Z40*S40)</f>
        <v>24.41083908081055</v>
      </c>
      <c r="AB40" s="103">
        <f t="shared" ref="AB40:AB52" si="11">IF(V40="yes",AA40,"")</f>
        <v>24.41083908081055</v>
      </c>
    </row>
    <row r="41" spans="1:29" s="109" customFormat="1" ht="17" customHeight="1" thickBot="1" x14ac:dyDescent="0.25">
      <c r="A41" s="74"/>
      <c r="B41" s="206"/>
      <c r="C41" s="211"/>
      <c r="D41" s="66"/>
      <c r="E41" s="75"/>
      <c r="F41" s="75"/>
      <c r="G41" s="75"/>
      <c r="H41" s="75"/>
      <c r="I41" s="75"/>
      <c r="J41" s="76"/>
      <c r="K41" s="75"/>
      <c r="L41" s="75"/>
      <c r="M41" s="75"/>
      <c r="N41" s="66"/>
      <c r="O41" s="66"/>
      <c r="P41" s="66"/>
      <c r="Q41" s="66"/>
      <c r="R41" s="21"/>
      <c r="S41" s="217">
        <f>1</f>
        <v>1</v>
      </c>
      <c r="T41" s="103"/>
      <c r="V41" s="145"/>
      <c r="W41" s="110"/>
      <c r="Z41" s="216"/>
      <c r="AA41" s="216" t="str">
        <f t="shared" si="10"/>
        <v/>
      </c>
      <c r="AB41" s="103" t="str">
        <f t="shared" si="11"/>
        <v/>
      </c>
    </row>
    <row r="42" spans="1:29" s="109" customFormat="1" ht="17" customHeight="1" thickBot="1" x14ac:dyDescent="0.25">
      <c r="A42" s="626" t="s">
        <v>230</v>
      </c>
      <c r="B42" s="627"/>
      <c r="C42" s="627"/>
      <c r="D42" s="627"/>
      <c r="E42" s="627"/>
      <c r="F42" s="627"/>
      <c r="G42" s="627"/>
      <c r="H42" s="627"/>
      <c r="I42" s="627"/>
      <c r="J42" s="627"/>
      <c r="K42" s="627"/>
      <c r="L42" s="627"/>
      <c r="M42" s="627"/>
      <c r="N42" s="627"/>
      <c r="O42" s="627"/>
      <c r="P42" s="627"/>
      <c r="Q42" s="627"/>
      <c r="R42" s="628"/>
      <c r="S42" s="217"/>
      <c r="T42" s="103"/>
      <c r="V42" s="111"/>
      <c r="W42" s="110"/>
      <c r="Z42" s="216"/>
      <c r="AA42" s="215" t="str">
        <f t="shared" si="10"/>
        <v/>
      </c>
      <c r="AB42" s="103" t="str">
        <f t="shared" si="11"/>
        <v/>
      </c>
    </row>
    <row r="43" spans="1:29" s="109" customFormat="1" x14ac:dyDescent="0.2">
      <c r="A43" s="142"/>
      <c r="B43" s="565"/>
      <c r="C43" s="142"/>
      <c r="D43" s="78"/>
      <c r="E43" s="142"/>
      <c r="F43" s="78"/>
      <c r="G43" s="142"/>
      <c r="H43" s="78"/>
      <c r="I43" s="142"/>
      <c r="J43" s="142"/>
      <c r="K43" s="142"/>
      <c r="L43" s="142"/>
      <c r="M43" s="142"/>
      <c r="N43" s="142"/>
      <c r="O43" s="142"/>
      <c r="P43" s="142"/>
      <c r="Q43" s="142"/>
      <c r="R43" s="39"/>
      <c r="S43" s="217">
        <f>1</f>
        <v>1</v>
      </c>
      <c r="T43" s="103"/>
      <c r="V43" s="111"/>
      <c r="W43" s="110"/>
      <c r="Z43" s="216"/>
      <c r="AA43" s="216" t="str">
        <f t="shared" si="10"/>
        <v/>
      </c>
      <c r="AB43" s="103" t="str">
        <f t="shared" si="11"/>
        <v/>
      </c>
    </row>
    <row r="44" spans="1:29" s="270" customFormat="1" ht="153" customHeight="1" x14ac:dyDescent="0.2">
      <c r="A44" s="268">
        <f>A40+1</f>
        <v>2</v>
      </c>
      <c r="B44" s="155" t="s">
        <v>231</v>
      </c>
      <c r="C44" s="149" t="s">
        <v>231</v>
      </c>
      <c r="D44" s="473" t="s">
        <v>232</v>
      </c>
      <c r="E44" s="149">
        <f>LEN(D44)</f>
        <v>97</v>
      </c>
      <c r="F44" s="307" t="s">
        <v>233</v>
      </c>
      <c r="G44" s="149">
        <f>LEN(F44)</f>
        <v>105</v>
      </c>
      <c r="H44" s="440" t="s">
        <v>234</v>
      </c>
      <c r="I44" s="116">
        <f>LEN(H44)</f>
        <v>86</v>
      </c>
      <c r="J44" s="149" t="s">
        <v>40</v>
      </c>
      <c r="K44" s="149" t="s">
        <v>25</v>
      </c>
      <c r="L44" s="149" t="s">
        <v>25</v>
      </c>
      <c r="M44" s="149" t="s">
        <v>41</v>
      </c>
      <c r="N44" s="129" t="s">
        <v>235</v>
      </c>
      <c r="O44" s="167" t="s">
        <v>25</v>
      </c>
      <c r="P44" s="129" t="s">
        <v>236</v>
      </c>
      <c r="Q44" s="472"/>
      <c r="R44" s="39"/>
      <c r="S44" s="267">
        <v>1</v>
      </c>
      <c r="T44" s="269"/>
      <c r="V44" s="299" t="s">
        <v>35</v>
      </c>
      <c r="W44" s="271"/>
      <c r="Z44" s="306">
        <v>10.5</v>
      </c>
      <c r="AA44" s="215">
        <f t="shared" si="10"/>
        <v>10.5</v>
      </c>
      <c r="AB44" s="269">
        <f t="shared" si="11"/>
        <v>10.5</v>
      </c>
    </row>
    <row r="45" spans="1:29" s="109" customFormat="1" ht="136" customHeight="1" x14ac:dyDescent="0.2">
      <c r="A45" s="71">
        <f>A44+1</f>
        <v>3</v>
      </c>
      <c r="B45" s="182" t="s">
        <v>237</v>
      </c>
      <c r="C45" s="108" t="s">
        <v>237</v>
      </c>
      <c r="D45" s="144" t="s">
        <v>238</v>
      </c>
      <c r="E45" s="106">
        <f>LEN(D45)</f>
        <v>116</v>
      </c>
      <c r="F45" s="307" t="s">
        <v>239</v>
      </c>
      <c r="G45" s="149">
        <f>LEN(F45)</f>
        <v>134</v>
      </c>
      <c r="H45" s="440" t="s">
        <v>240</v>
      </c>
      <c r="I45" s="116">
        <f>LEN(H45)</f>
        <v>111</v>
      </c>
      <c r="J45" s="108" t="s">
        <v>40</v>
      </c>
      <c r="K45" s="106" t="s">
        <v>25</v>
      </c>
      <c r="L45" s="106" t="s">
        <v>25</v>
      </c>
      <c r="M45" s="106" t="s">
        <v>41</v>
      </c>
      <c r="N45" s="105" t="s">
        <v>241</v>
      </c>
      <c r="O45" s="167" t="s">
        <v>25</v>
      </c>
      <c r="P45" s="105" t="s">
        <v>242</v>
      </c>
      <c r="Q45" s="65"/>
      <c r="R45" s="39"/>
      <c r="S45" s="212">
        <f>1</f>
        <v>1</v>
      </c>
      <c r="T45" s="103"/>
      <c r="V45" s="294" t="s">
        <v>35</v>
      </c>
      <c r="W45" s="110"/>
      <c r="Z45" s="215">
        <v>10.504533767700201</v>
      </c>
      <c r="AA45" s="215">
        <f t="shared" si="10"/>
        <v>10.504533767700201</v>
      </c>
      <c r="AB45" s="103">
        <f t="shared" si="11"/>
        <v>10.504533767700201</v>
      </c>
    </row>
    <row r="46" spans="1:29" s="109" customFormat="1" ht="28.75" customHeight="1" x14ac:dyDescent="0.2">
      <c r="A46" s="71"/>
      <c r="B46" s="205"/>
      <c r="C46" s="72"/>
      <c r="D46" s="77"/>
      <c r="E46" s="78"/>
      <c r="F46" s="78"/>
      <c r="G46" s="78"/>
      <c r="H46" s="78"/>
      <c r="I46" s="78"/>
      <c r="J46" s="72"/>
      <c r="K46" s="78"/>
      <c r="L46" s="78"/>
      <c r="M46" s="78"/>
      <c r="N46" s="65"/>
      <c r="O46" s="65"/>
      <c r="P46" s="65"/>
      <c r="Q46" s="65"/>
      <c r="R46" s="39"/>
      <c r="S46" s="217">
        <f>1</f>
        <v>1</v>
      </c>
      <c r="T46" s="103"/>
      <c r="V46" s="111"/>
      <c r="W46" s="110"/>
      <c r="Z46" s="216"/>
      <c r="AA46" s="216" t="str">
        <f t="shared" si="10"/>
        <v/>
      </c>
      <c r="AB46" s="103" t="str">
        <f t="shared" si="11"/>
        <v/>
      </c>
    </row>
    <row r="47" spans="1:29" s="109" customFormat="1" ht="204" customHeight="1" x14ac:dyDescent="0.2">
      <c r="A47" s="33">
        <f>A45+1</f>
        <v>4</v>
      </c>
      <c r="B47" s="139" t="s">
        <v>243</v>
      </c>
      <c r="C47" s="108" t="s">
        <v>243</v>
      </c>
      <c r="D47" s="332" t="s">
        <v>244</v>
      </c>
      <c r="E47" s="114">
        <f t="shared" ref="E47:E56" si="12">LEN(D47)</f>
        <v>314</v>
      </c>
      <c r="F47" s="307" t="s">
        <v>245</v>
      </c>
      <c r="G47" s="114">
        <f t="shared" ref="G47:G54" si="13">LEN(F47)</f>
        <v>324</v>
      </c>
      <c r="H47" s="439" t="s">
        <v>246</v>
      </c>
      <c r="I47" s="116">
        <f t="shared" ref="I47:I54" si="14">LEN(H47)</f>
        <v>298</v>
      </c>
      <c r="J47" s="115" t="s">
        <v>40</v>
      </c>
      <c r="K47" s="114" t="s">
        <v>25</v>
      </c>
      <c r="L47" s="114" t="s">
        <v>25</v>
      </c>
      <c r="M47" s="114" t="s">
        <v>41</v>
      </c>
      <c r="N47" s="113" t="s">
        <v>247</v>
      </c>
      <c r="O47" s="167" t="s">
        <v>25</v>
      </c>
      <c r="P47" s="105" t="s">
        <v>248</v>
      </c>
      <c r="Q47" s="65"/>
      <c r="R47" s="21"/>
      <c r="S47" s="212">
        <f>1</f>
        <v>1</v>
      </c>
      <c r="T47" s="103"/>
      <c r="V47" s="294" t="s">
        <v>35</v>
      </c>
      <c r="W47" s="110"/>
      <c r="Z47" s="215">
        <v>12.42189884185791</v>
      </c>
      <c r="AA47" s="215">
        <f t="shared" si="10"/>
        <v>12.42189884185791</v>
      </c>
      <c r="AB47" s="103">
        <f t="shared" si="11"/>
        <v>12.42189884185791</v>
      </c>
    </row>
    <row r="48" spans="1:29" s="109" customFormat="1" ht="170" customHeight="1" x14ac:dyDescent="0.2">
      <c r="A48" s="33"/>
      <c r="B48" s="137" t="s">
        <v>249</v>
      </c>
      <c r="C48" s="136" t="s">
        <v>249</v>
      </c>
      <c r="D48" s="593" t="s">
        <v>250</v>
      </c>
      <c r="E48" s="114">
        <f t="shared" si="12"/>
        <v>202</v>
      </c>
      <c r="F48" s="506" t="s">
        <v>251</v>
      </c>
      <c r="G48" s="97">
        <f t="shared" si="13"/>
        <v>233</v>
      </c>
      <c r="H48" s="309" t="s">
        <v>252</v>
      </c>
      <c r="I48" s="116">
        <f t="shared" si="14"/>
        <v>185</v>
      </c>
      <c r="J48" s="115" t="s">
        <v>40</v>
      </c>
      <c r="K48" s="35"/>
      <c r="L48" s="35"/>
      <c r="M48" s="35"/>
      <c r="N48" s="68"/>
      <c r="O48" s="65"/>
      <c r="P48" s="65" t="s">
        <v>253</v>
      </c>
      <c r="Q48" s="65"/>
      <c r="R48" s="21"/>
      <c r="S48" s="217">
        <f>1</f>
        <v>1</v>
      </c>
      <c r="T48" s="103"/>
      <c r="V48" s="111"/>
      <c r="W48" s="110"/>
      <c r="Z48" s="216"/>
      <c r="AA48" s="216" t="str">
        <f t="shared" si="10"/>
        <v/>
      </c>
      <c r="AB48" s="103" t="str">
        <f t="shared" si="11"/>
        <v/>
      </c>
    </row>
    <row r="49" spans="1:28" s="109" customFormat="1" ht="272" customHeight="1" x14ac:dyDescent="0.2">
      <c r="A49" s="33">
        <v>10</v>
      </c>
      <c r="B49" s="503" t="s">
        <v>254</v>
      </c>
      <c r="C49" s="136" t="s">
        <v>254</v>
      </c>
      <c r="D49" s="34" t="s">
        <v>255</v>
      </c>
      <c r="E49" s="35">
        <f t="shared" si="12"/>
        <v>313</v>
      </c>
      <c r="F49" s="134" t="s">
        <v>256</v>
      </c>
      <c r="G49" s="35">
        <f t="shared" si="13"/>
        <v>372</v>
      </c>
      <c r="H49" s="442" t="s">
        <v>257</v>
      </c>
      <c r="I49" s="505">
        <f t="shared" si="14"/>
        <v>270</v>
      </c>
      <c r="J49" s="36" t="s">
        <v>40</v>
      </c>
      <c r="K49" s="35" t="s">
        <v>25</v>
      </c>
      <c r="L49" s="35" t="s">
        <v>25</v>
      </c>
      <c r="M49" s="35" t="s">
        <v>41</v>
      </c>
      <c r="N49" s="189" t="s">
        <v>258</v>
      </c>
      <c r="O49" s="59" t="s">
        <v>25</v>
      </c>
      <c r="P49" s="135" t="s">
        <v>259</v>
      </c>
      <c r="Q49" s="47"/>
      <c r="R49" s="629" t="s">
        <v>260</v>
      </c>
      <c r="S49" s="217">
        <f>1</f>
        <v>1</v>
      </c>
      <c r="T49" s="103"/>
      <c r="V49" s="111" t="s">
        <v>35</v>
      </c>
      <c r="W49" s="110"/>
      <c r="Z49" s="216">
        <v>16.615655899047852</v>
      </c>
      <c r="AA49" s="216">
        <f t="shared" si="10"/>
        <v>16.615655899047852</v>
      </c>
      <c r="AB49" s="103">
        <f t="shared" si="11"/>
        <v>16.615655899047852</v>
      </c>
    </row>
    <row r="50" spans="1:28" s="109" customFormat="1" ht="153" customHeight="1" x14ac:dyDescent="0.2">
      <c r="A50" s="33">
        <v>10</v>
      </c>
      <c r="B50" s="503" t="s">
        <v>261</v>
      </c>
      <c r="C50" s="567" t="s">
        <v>261</v>
      </c>
      <c r="D50" s="333" t="s">
        <v>262</v>
      </c>
      <c r="E50" s="35">
        <f t="shared" si="12"/>
        <v>146</v>
      </c>
      <c r="F50" s="508" t="s">
        <v>263</v>
      </c>
      <c r="G50" s="35">
        <f t="shared" si="13"/>
        <v>185</v>
      </c>
      <c r="H50" s="482" t="s">
        <v>264</v>
      </c>
      <c r="I50" s="505">
        <f t="shared" si="14"/>
        <v>141</v>
      </c>
      <c r="J50" s="36" t="s">
        <v>40</v>
      </c>
      <c r="K50" s="35" t="s">
        <v>25</v>
      </c>
      <c r="L50" s="35" t="s">
        <v>25</v>
      </c>
      <c r="M50" s="35" t="s">
        <v>41</v>
      </c>
      <c r="N50" s="272" t="s">
        <v>265</v>
      </c>
      <c r="O50" s="59" t="s">
        <v>25</v>
      </c>
      <c r="P50" s="135" t="s">
        <v>266</v>
      </c>
      <c r="Q50" s="47"/>
      <c r="R50" s="630"/>
      <c r="S50" s="217">
        <f>1</f>
        <v>1</v>
      </c>
      <c r="T50" s="103"/>
      <c r="V50" s="111" t="s">
        <v>35</v>
      </c>
      <c r="W50" s="110"/>
      <c r="Z50" s="216">
        <v>11.655922889709471</v>
      </c>
      <c r="AA50" s="216">
        <f t="shared" si="10"/>
        <v>11.655922889709471</v>
      </c>
      <c r="AB50" s="103">
        <f t="shared" si="11"/>
        <v>11.655922889709471</v>
      </c>
    </row>
    <row r="51" spans="1:28" s="109" customFormat="1" ht="220" customHeight="1" x14ac:dyDescent="0.2">
      <c r="A51" s="33"/>
      <c r="B51" s="503" t="s">
        <v>267</v>
      </c>
      <c r="C51" s="569" t="s">
        <v>268</v>
      </c>
      <c r="D51" s="570" t="s">
        <v>269</v>
      </c>
      <c r="E51" s="35">
        <f t="shared" si="12"/>
        <v>325</v>
      </c>
      <c r="F51" s="595" t="s">
        <v>270</v>
      </c>
      <c r="G51" s="35">
        <f t="shared" si="13"/>
        <v>440</v>
      </c>
      <c r="H51" s="482" t="s">
        <v>271</v>
      </c>
      <c r="I51" s="505">
        <f t="shared" si="14"/>
        <v>291</v>
      </c>
      <c r="J51" s="72" t="s">
        <v>146</v>
      </c>
      <c r="K51" s="78"/>
      <c r="L51" s="78"/>
      <c r="M51" s="78"/>
      <c r="N51" s="86"/>
      <c r="O51" s="65"/>
      <c r="P51" s="210" t="s">
        <v>272</v>
      </c>
      <c r="Q51" s="210"/>
      <c r="R51" s="249"/>
      <c r="S51" s="217">
        <f>1</f>
        <v>1</v>
      </c>
      <c r="T51" s="103"/>
      <c r="V51" s="111"/>
      <c r="W51" s="110"/>
      <c r="Z51" s="216"/>
      <c r="AA51" s="216" t="str">
        <f t="shared" si="10"/>
        <v/>
      </c>
      <c r="AB51" s="103" t="str">
        <f t="shared" si="11"/>
        <v/>
      </c>
    </row>
    <row r="52" spans="1:28" s="109" customFormat="1" ht="119" customHeight="1" x14ac:dyDescent="0.2">
      <c r="A52" s="14" t="e">
        <f>#REF!+1</f>
        <v>#REF!</v>
      </c>
      <c r="B52" s="504" t="s">
        <v>273</v>
      </c>
      <c r="C52" s="19" t="s">
        <v>273</v>
      </c>
      <c r="D52" s="17" t="s">
        <v>274</v>
      </c>
      <c r="E52" s="18">
        <f t="shared" si="12"/>
        <v>269</v>
      </c>
      <c r="F52" s="17" t="s">
        <v>275</v>
      </c>
      <c r="G52" s="18">
        <f t="shared" si="13"/>
        <v>310</v>
      </c>
      <c r="H52" s="311" t="s">
        <v>276</v>
      </c>
      <c r="I52" s="559">
        <f t="shared" si="14"/>
        <v>238</v>
      </c>
      <c r="J52" s="19" t="s">
        <v>146</v>
      </c>
      <c r="K52" s="18" t="s">
        <v>25</v>
      </c>
      <c r="L52" s="18" t="s">
        <v>25</v>
      </c>
      <c r="M52" s="18" t="s">
        <v>28</v>
      </c>
      <c r="N52" s="20" t="s">
        <v>277</v>
      </c>
      <c r="O52" s="44" t="s">
        <v>25</v>
      </c>
      <c r="P52" s="29" t="s">
        <v>278</v>
      </c>
      <c r="Q52" s="44"/>
      <c r="R52" s="10"/>
      <c r="S52" s="217">
        <f>1</f>
        <v>1</v>
      </c>
      <c r="T52" s="103"/>
      <c r="V52" s="111" t="s">
        <v>24</v>
      </c>
      <c r="W52" s="110"/>
      <c r="Z52" s="216">
        <v>16.90229415893555</v>
      </c>
      <c r="AA52" s="216">
        <f t="shared" si="10"/>
        <v>16.90229415893555</v>
      </c>
      <c r="AB52" s="103" t="str">
        <f t="shared" si="11"/>
        <v/>
      </c>
    </row>
    <row r="53" spans="1:28" s="109" customFormat="1" ht="68" customHeight="1" x14ac:dyDescent="0.2">
      <c r="A53" s="14"/>
      <c r="B53" s="504" t="s">
        <v>279</v>
      </c>
      <c r="C53" s="568" t="s">
        <v>279</v>
      </c>
      <c r="D53" s="17" t="s">
        <v>280</v>
      </c>
      <c r="E53" s="18">
        <f t="shared" si="12"/>
        <v>98</v>
      </c>
      <c r="F53" s="596" t="s">
        <v>281</v>
      </c>
      <c r="G53" s="18">
        <f t="shared" si="13"/>
        <v>115</v>
      </c>
      <c r="H53" s="582" t="s">
        <v>282</v>
      </c>
      <c r="I53" s="559">
        <f t="shared" si="14"/>
        <v>132</v>
      </c>
      <c r="J53" s="19" t="s">
        <v>146</v>
      </c>
      <c r="K53" s="18"/>
      <c r="L53" s="18"/>
      <c r="M53" s="18"/>
      <c r="N53" s="20"/>
      <c r="O53" s="44"/>
      <c r="P53" s="29" t="s">
        <v>283</v>
      </c>
      <c r="Q53" s="44"/>
      <c r="R53" s="10" t="s">
        <v>284</v>
      </c>
      <c r="S53" s="217"/>
      <c r="T53" s="103"/>
      <c r="V53" s="111"/>
      <c r="W53" s="110"/>
      <c r="Z53" s="216"/>
      <c r="AA53" s="216"/>
      <c r="AB53" s="103"/>
    </row>
    <row r="54" spans="1:28" s="109" customFormat="1" ht="272" customHeight="1" x14ac:dyDescent="0.2">
      <c r="A54" s="14" t="e">
        <f>A52+1</f>
        <v>#REF!</v>
      </c>
      <c r="B54" s="504" t="s">
        <v>285</v>
      </c>
      <c r="C54" s="610" t="s">
        <v>286</v>
      </c>
      <c r="D54" s="611" t="s">
        <v>287</v>
      </c>
      <c r="E54" s="18">
        <f t="shared" si="12"/>
        <v>251</v>
      </c>
      <c r="F54" s="591" t="s">
        <v>288</v>
      </c>
      <c r="G54" s="18">
        <f t="shared" si="13"/>
        <v>305</v>
      </c>
      <c r="H54" s="582" t="s">
        <v>289</v>
      </c>
      <c r="I54" s="559">
        <f t="shared" si="14"/>
        <v>188</v>
      </c>
      <c r="J54" s="19" t="s">
        <v>290</v>
      </c>
      <c r="K54" s="18" t="s">
        <v>25</v>
      </c>
      <c r="L54" s="18" t="s">
        <v>25</v>
      </c>
      <c r="M54" s="18" t="s">
        <v>291</v>
      </c>
      <c r="N54" s="20" t="s">
        <v>292</v>
      </c>
      <c r="O54" s="44" t="s">
        <v>293</v>
      </c>
      <c r="P54" s="29" t="s">
        <v>294</v>
      </c>
      <c r="Q54" s="44"/>
      <c r="R54" s="50"/>
      <c r="S54" s="217">
        <f>1</f>
        <v>1</v>
      </c>
      <c r="T54" s="103"/>
      <c r="V54" s="111" t="s">
        <v>24</v>
      </c>
      <c r="W54" s="110"/>
      <c r="Z54" s="216">
        <v>16.957803726196289</v>
      </c>
      <c r="AA54" s="216">
        <f>IF(Z54="","",Z54*S54)</f>
        <v>16.957803726196289</v>
      </c>
      <c r="AB54" s="103" t="str">
        <f>IF(V54="yes",AA54,"")</f>
        <v/>
      </c>
    </row>
    <row r="55" spans="1:28" s="109" customFormat="1" ht="80" customHeight="1" x14ac:dyDescent="0.2">
      <c r="A55" s="14"/>
      <c r="B55" s="504" t="s">
        <v>295</v>
      </c>
      <c r="C55" s="568" t="s">
        <v>295</v>
      </c>
      <c r="D55" s="614" t="s">
        <v>296</v>
      </c>
      <c r="E55" s="18">
        <f t="shared" si="12"/>
        <v>110</v>
      </c>
      <c r="F55" s="609" t="s">
        <v>297</v>
      </c>
      <c r="G55" s="15"/>
      <c r="H55" s="582" t="s">
        <v>298</v>
      </c>
      <c r="I55" s="559"/>
      <c r="J55" s="19" t="s">
        <v>146</v>
      </c>
      <c r="K55" s="18"/>
      <c r="L55" s="18"/>
      <c r="M55" s="18"/>
      <c r="N55" s="20"/>
      <c r="O55" s="44"/>
      <c r="P55" s="29" t="s">
        <v>299</v>
      </c>
      <c r="Q55" s="44"/>
      <c r="R55" s="615" t="s">
        <v>300</v>
      </c>
      <c r="S55" s="217"/>
      <c r="T55" s="103"/>
      <c r="V55" s="111"/>
      <c r="W55" s="110"/>
      <c r="Z55" s="216"/>
      <c r="AA55" s="216"/>
      <c r="AB55" s="103"/>
    </row>
    <row r="56" spans="1:28" s="109" customFormat="1" ht="307" customHeight="1" thickBot="1" x14ac:dyDescent="0.25">
      <c r="A56" s="14" t="e">
        <f>A54+1</f>
        <v>#REF!</v>
      </c>
      <c r="B56" s="183" t="s">
        <v>301</v>
      </c>
      <c r="C56" s="621" t="s">
        <v>302</v>
      </c>
      <c r="D56" s="586" t="s">
        <v>303</v>
      </c>
      <c r="E56" s="15">
        <f t="shared" si="12"/>
        <v>434</v>
      </c>
      <c r="F56" s="507" t="s">
        <v>304</v>
      </c>
      <c r="G56" s="15">
        <f>LEN(F56)</f>
        <v>491</v>
      </c>
      <c r="H56" s="311" t="s">
        <v>305</v>
      </c>
      <c r="I56" s="555">
        <f>LEN(H56)</f>
        <v>267</v>
      </c>
      <c r="J56" s="19" t="s">
        <v>290</v>
      </c>
      <c r="K56" s="18" t="s">
        <v>25</v>
      </c>
      <c r="L56" s="18" t="s">
        <v>25</v>
      </c>
      <c r="M56" s="18" t="s">
        <v>306</v>
      </c>
      <c r="N56" s="20" t="s">
        <v>307</v>
      </c>
      <c r="O56" s="44" t="s">
        <v>308</v>
      </c>
      <c r="P56" s="29" t="s">
        <v>309</v>
      </c>
      <c r="Q56" s="44"/>
      <c r="R56" s="50" t="s">
        <v>310</v>
      </c>
      <c r="S56" s="217">
        <f>1</f>
        <v>1</v>
      </c>
      <c r="T56" s="103"/>
      <c r="V56" s="111" t="s">
        <v>24</v>
      </c>
      <c r="W56" s="110"/>
      <c r="Z56" s="216">
        <v>11.02202892303467</v>
      </c>
      <c r="AA56" s="216">
        <f t="shared" ref="AA56:AA86" si="15">IF(Z56="","",Z56*S56)</f>
        <v>11.02202892303467</v>
      </c>
      <c r="AB56" s="103" t="str">
        <f t="shared" ref="AB56:AB86" si="16">IF(V56="yes",AA56,"")</f>
        <v/>
      </c>
    </row>
    <row r="57" spans="1:28" s="293" customFormat="1" ht="17" customHeight="1" thickBot="1" x14ac:dyDescent="0.25">
      <c r="A57" s="626" t="s">
        <v>311</v>
      </c>
      <c r="B57" s="627"/>
      <c r="C57" s="627"/>
      <c r="D57" s="627"/>
      <c r="E57" s="627"/>
      <c r="F57" s="627"/>
      <c r="G57" s="627"/>
      <c r="H57" s="627"/>
      <c r="I57" s="627"/>
      <c r="J57" s="627"/>
      <c r="K57" s="627"/>
      <c r="L57" s="627"/>
      <c r="M57" s="627"/>
      <c r="N57" s="627"/>
      <c r="O57" s="627"/>
      <c r="P57" s="627"/>
      <c r="Q57" s="627"/>
      <c r="R57" s="628"/>
      <c r="S57" s="212"/>
      <c r="T57" s="296"/>
      <c r="V57" s="294"/>
      <c r="W57" s="297"/>
      <c r="Z57" s="215"/>
      <c r="AA57" s="215" t="str">
        <f t="shared" si="15"/>
        <v/>
      </c>
      <c r="AB57" s="296" t="str">
        <f t="shared" si="16"/>
        <v/>
      </c>
    </row>
    <row r="58" spans="1:28" s="109" customFormat="1" x14ac:dyDescent="0.2">
      <c r="A58" s="142"/>
      <c r="B58" s="565"/>
      <c r="C58" s="142"/>
      <c r="D58" s="78"/>
      <c r="E58" s="142"/>
      <c r="F58" s="142"/>
      <c r="G58" s="142"/>
      <c r="H58" s="78"/>
      <c r="I58" s="142"/>
      <c r="J58" s="142"/>
      <c r="K58" s="142"/>
      <c r="L58" s="142"/>
      <c r="M58" s="142"/>
      <c r="N58" s="142"/>
      <c r="O58" s="65"/>
      <c r="P58" s="142"/>
      <c r="Q58" s="142"/>
      <c r="R58" s="39"/>
      <c r="S58" s="217">
        <f>1</f>
        <v>1</v>
      </c>
      <c r="T58" s="103"/>
      <c r="V58" s="111"/>
      <c r="W58" s="110"/>
      <c r="Z58" s="216"/>
      <c r="AA58" s="216" t="str">
        <f t="shared" si="15"/>
        <v/>
      </c>
      <c r="AB58" s="103" t="str">
        <f t="shared" si="16"/>
        <v/>
      </c>
    </row>
    <row r="59" spans="1:28" s="109" customFormat="1" ht="409.5" customHeight="1" x14ac:dyDescent="0.2">
      <c r="A59" s="71" t="e">
        <f>#REF!+1</f>
        <v>#REF!</v>
      </c>
      <c r="B59" s="182" t="s">
        <v>312</v>
      </c>
      <c r="C59" s="108" t="s">
        <v>312</v>
      </c>
      <c r="D59" s="474" t="s">
        <v>313</v>
      </c>
      <c r="E59" s="106">
        <f>LEN(D59)</f>
        <v>1222</v>
      </c>
      <c r="F59" s="587" t="s">
        <v>314</v>
      </c>
      <c r="G59" s="106">
        <f>LEN(F59)</f>
        <v>1375</v>
      </c>
      <c r="H59" s="440" t="s">
        <v>315</v>
      </c>
      <c r="I59" s="116">
        <f>LEN(H59)</f>
        <v>1159</v>
      </c>
      <c r="J59" s="108" t="s">
        <v>40</v>
      </c>
      <c r="K59" s="106" t="s">
        <v>25</v>
      </c>
      <c r="L59" s="106" t="s">
        <v>25</v>
      </c>
      <c r="M59" s="106" t="s">
        <v>316</v>
      </c>
      <c r="N59" s="105" t="s">
        <v>317</v>
      </c>
      <c r="O59" s="167" t="s">
        <v>25</v>
      </c>
      <c r="P59" s="112" t="s">
        <v>318</v>
      </c>
      <c r="Q59" s="22"/>
      <c r="R59" s="39"/>
      <c r="S59" s="212">
        <f>1</f>
        <v>1</v>
      </c>
      <c r="T59" s="103"/>
      <c r="V59" s="294" t="s">
        <v>35</v>
      </c>
      <c r="W59" s="110"/>
      <c r="Z59" s="215">
        <v>31.888334274291989</v>
      </c>
      <c r="AA59" s="215">
        <f t="shared" si="15"/>
        <v>31.888334274291989</v>
      </c>
      <c r="AB59" s="103">
        <f t="shared" si="16"/>
        <v>31.888334274291989</v>
      </c>
    </row>
    <row r="60" spans="1:28" s="109" customFormat="1" ht="153" customHeight="1" x14ac:dyDescent="0.2">
      <c r="A60" s="71"/>
      <c r="B60" s="182" t="s">
        <v>319</v>
      </c>
      <c r="C60" s="188" t="s">
        <v>319</v>
      </c>
      <c r="D60" s="113" t="s">
        <v>320</v>
      </c>
      <c r="E60" s="106">
        <f>LEN(D60)</f>
        <v>134</v>
      </c>
      <c r="F60" s="616" t="s">
        <v>321</v>
      </c>
      <c r="G60" s="106">
        <f>LEN(F60)</f>
        <v>167</v>
      </c>
      <c r="H60" s="440" t="s">
        <v>322</v>
      </c>
      <c r="I60" s="116">
        <f>LEN(H60)</f>
        <v>138</v>
      </c>
      <c r="J60" s="108" t="s">
        <v>40</v>
      </c>
      <c r="K60" s="106" t="s">
        <v>25</v>
      </c>
      <c r="L60" s="106" t="s">
        <v>25</v>
      </c>
      <c r="M60" s="106" t="s">
        <v>41</v>
      </c>
      <c r="N60" s="105" t="s">
        <v>323</v>
      </c>
      <c r="O60" s="167" t="s">
        <v>25</v>
      </c>
      <c r="P60" s="112" t="s">
        <v>324</v>
      </c>
      <c r="Q60" s="22"/>
      <c r="R60" s="39"/>
      <c r="S60" s="212">
        <f>1</f>
        <v>1</v>
      </c>
      <c r="T60" s="103"/>
      <c r="V60" s="294" t="s">
        <v>35</v>
      </c>
      <c r="W60" s="110"/>
      <c r="Z60" s="215">
        <v>8</v>
      </c>
      <c r="AA60" s="215">
        <f t="shared" si="15"/>
        <v>8</v>
      </c>
      <c r="AB60" s="103">
        <f t="shared" si="16"/>
        <v>8</v>
      </c>
    </row>
    <row r="61" spans="1:28" s="109" customFormat="1" ht="187" customHeight="1" x14ac:dyDescent="0.2">
      <c r="A61" s="71"/>
      <c r="B61" s="182" t="s">
        <v>325</v>
      </c>
      <c r="C61" s="188" t="s">
        <v>325</v>
      </c>
      <c r="D61" s="475" t="s">
        <v>326</v>
      </c>
      <c r="E61" s="106">
        <f>LEN(D61)</f>
        <v>160</v>
      </c>
      <c r="F61" s="617" t="s">
        <v>327</v>
      </c>
      <c r="G61" s="106">
        <f>LEN(F61)</f>
        <v>188</v>
      </c>
      <c r="H61" s="440" t="s">
        <v>328</v>
      </c>
      <c r="I61" s="116">
        <f>LEN(H61)</f>
        <v>152</v>
      </c>
      <c r="J61" s="108" t="s">
        <v>40</v>
      </c>
      <c r="K61" s="106" t="s">
        <v>25</v>
      </c>
      <c r="L61" s="106" t="s">
        <v>25</v>
      </c>
      <c r="M61" s="106" t="s">
        <v>41</v>
      </c>
      <c r="N61" s="105" t="s">
        <v>323</v>
      </c>
      <c r="O61" s="167" t="s">
        <v>25</v>
      </c>
      <c r="P61" s="112" t="s">
        <v>329</v>
      </c>
      <c r="Q61" s="22"/>
      <c r="R61" s="39"/>
      <c r="S61" s="212">
        <f>1</f>
        <v>1</v>
      </c>
      <c r="T61" s="103"/>
      <c r="V61" s="294" t="s">
        <v>35</v>
      </c>
      <c r="W61" s="110"/>
      <c r="Z61" s="215">
        <v>8</v>
      </c>
      <c r="AA61" s="215">
        <f t="shared" si="15"/>
        <v>8</v>
      </c>
      <c r="AB61" s="103">
        <f t="shared" si="16"/>
        <v>8</v>
      </c>
    </row>
    <row r="62" spans="1:28" s="109" customFormat="1" ht="153" customHeight="1" x14ac:dyDescent="0.2">
      <c r="A62" s="71"/>
      <c r="B62" s="182" t="s">
        <v>330</v>
      </c>
      <c r="C62" s="188" t="s">
        <v>330</v>
      </c>
      <c r="D62" s="113" t="s">
        <v>331</v>
      </c>
      <c r="E62" s="106">
        <f>LEN(D62)</f>
        <v>163</v>
      </c>
      <c r="F62" s="617" t="s">
        <v>332</v>
      </c>
      <c r="G62" s="106">
        <f>LEN(F62)</f>
        <v>197</v>
      </c>
      <c r="H62" s="440" t="s">
        <v>333</v>
      </c>
      <c r="I62" s="116">
        <f>LEN(H62)</f>
        <v>146</v>
      </c>
      <c r="J62" s="108" t="s">
        <v>40</v>
      </c>
      <c r="K62" s="106" t="s">
        <v>25</v>
      </c>
      <c r="L62" s="106" t="s">
        <v>25</v>
      </c>
      <c r="M62" s="106" t="s">
        <v>41</v>
      </c>
      <c r="N62" s="105" t="s">
        <v>323</v>
      </c>
      <c r="O62" s="167" t="s">
        <v>25</v>
      </c>
      <c r="P62" s="112" t="s">
        <v>334</v>
      </c>
      <c r="Q62" s="22"/>
      <c r="R62" s="39"/>
      <c r="S62" s="212">
        <f>1</f>
        <v>1</v>
      </c>
      <c r="T62" s="103"/>
      <c r="V62" s="294" t="s">
        <v>35</v>
      </c>
      <c r="W62" s="110"/>
      <c r="Z62" s="215">
        <v>8</v>
      </c>
      <c r="AA62" s="215">
        <f t="shared" si="15"/>
        <v>8</v>
      </c>
      <c r="AB62" s="103">
        <f t="shared" si="16"/>
        <v>8</v>
      </c>
    </row>
    <row r="63" spans="1:28" s="109" customFormat="1" x14ac:dyDescent="0.2">
      <c r="A63" s="71"/>
      <c r="B63" s="205"/>
      <c r="C63" s="208"/>
      <c r="D63" s="209"/>
      <c r="E63" s="78"/>
      <c r="G63" s="78"/>
      <c r="H63" s="78"/>
      <c r="I63" s="78"/>
      <c r="J63" s="72"/>
      <c r="K63" s="78"/>
      <c r="L63" s="78"/>
      <c r="M63" s="78"/>
      <c r="N63" s="65"/>
      <c r="O63" s="42"/>
      <c r="P63" s="131"/>
      <c r="Q63" s="131"/>
      <c r="R63" s="39"/>
      <c r="S63" s="217">
        <f>1</f>
        <v>1</v>
      </c>
      <c r="T63" s="103"/>
      <c r="V63" s="111"/>
      <c r="W63" s="110"/>
      <c r="Z63" s="216"/>
      <c r="AA63" s="216" t="str">
        <f t="shared" si="15"/>
        <v/>
      </c>
      <c r="AB63" s="103" t="str">
        <f t="shared" si="16"/>
        <v/>
      </c>
    </row>
    <row r="64" spans="1:28" s="109" customFormat="1" ht="136" customHeight="1" x14ac:dyDescent="0.2">
      <c r="A64" s="14">
        <v>19</v>
      </c>
      <c r="B64" s="183" t="s">
        <v>335</v>
      </c>
      <c r="C64" s="16" t="s">
        <v>335</v>
      </c>
      <c r="D64" s="20" t="s">
        <v>336</v>
      </c>
      <c r="E64" s="18">
        <f>LEN(D64)</f>
        <v>230</v>
      </c>
      <c r="F64" s="618" t="s">
        <v>337</v>
      </c>
      <c r="G64" s="18">
        <f>LEN(F64)</f>
        <v>268</v>
      </c>
      <c r="H64" s="311" t="s">
        <v>338</v>
      </c>
      <c r="I64" s="555">
        <f>LEN(H64)</f>
        <v>259</v>
      </c>
      <c r="J64" s="18" t="s">
        <v>146</v>
      </c>
      <c r="K64" s="18" t="s">
        <v>25</v>
      </c>
      <c r="L64" s="18" t="s">
        <v>25</v>
      </c>
      <c r="M64" s="18" t="s">
        <v>28</v>
      </c>
      <c r="N64" s="23" t="s">
        <v>339</v>
      </c>
      <c r="O64" s="44" t="s">
        <v>25</v>
      </c>
      <c r="P64" s="273" t="s">
        <v>340</v>
      </c>
      <c r="Q64" s="24"/>
      <c r="R64" s="640" t="s">
        <v>341</v>
      </c>
      <c r="S64" s="217">
        <f>1</f>
        <v>1</v>
      </c>
      <c r="T64" s="103"/>
      <c r="V64" s="111" t="s">
        <v>24</v>
      </c>
      <c r="W64" s="110"/>
      <c r="Z64" s="216">
        <v>31.963766098022461</v>
      </c>
      <c r="AA64" s="216">
        <f t="shared" si="15"/>
        <v>31.963766098022461</v>
      </c>
      <c r="AB64" s="103" t="str">
        <f t="shared" si="16"/>
        <v/>
      </c>
    </row>
    <row r="65" spans="1:28" s="109" customFormat="1" ht="153" customHeight="1" x14ac:dyDescent="0.2">
      <c r="A65" s="14">
        <v>19</v>
      </c>
      <c r="B65" s="183" t="s">
        <v>342</v>
      </c>
      <c r="C65" s="187" t="s">
        <v>342</v>
      </c>
      <c r="D65" s="20" t="s">
        <v>343</v>
      </c>
      <c r="E65" s="18">
        <f>LEN(D65)</f>
        <v>248</v>
      </c>
      <c r="F65" s="585" t="s">
        <v>344</v>
      </c>
      <c r="G65" s="18">
        <f>LEN(F65)</f>
        <v>296</v>
      </c>
      <c r="H65" s="312" t="s">
        <v>345</v>
      </c>
      <c r="I65" s="555">
        <f>LEN(H65)</f>
        <v>243</v>
      </c>
      <c r="J65" s="25" t="s">
        <v>40</v>
      </c>
      <c r="K65" s="15" t="s">
        <v>25</v>
      </c>
      <c r="L65" s="15" t="s">
        <v>25</v>
      </c>
      <c r="M65" s="15" t="s">
        <v>41</v>
      </c>
      <c r="N65" s="26" t="s">
        <v>346</v>
      </c>
      <c r="O65" s="44" t="s">
        <v>25</v>
      </c>
      <c r="P65" s="265" t="s">
        <v>347</v>
      </c>
      <c r="Q65" s="27"/>
      <c r="R65" s="630"/>
      <c r="S65" s="217">
        <f>1</f>
        <v>1</v>
      </c>
      <c r="T65" s="103"/>
      <c r="V65" s="111" t="s">
        <v>24</v>
      </c>
      <c r="W65" s="110"/>
      <c r="Z65" s="216">
        <v>2.2273674011230469</v>
      </c>
      <c r="AA65" s="216">
        <f t="shared" si="15"/>
        <v>2.2273674011230469</v>
      </c>
      <c r="AB65" s="103" t="str">
        <f t="shared" si="16"/>
        <v/>
      </c>
    </row>
    <row r="66" spans="1:28" s="109" customFormat="1" ht="170" customHeight="1" x14ac:dyDescent="0.2">
      <c r="A66" s="41">
        <v>18</v>
      </c>
      <c r="B66" s="274" t="s">
        <v>348</v>
      </c>
      <c r="C66" s="275" t="s">
        <v>348</v>
      </c>
      <c r="D66" s="40" t="s">
        <v>349</v>
      </c>
      <c r="E66" s="15">
        <f>LEN(D66)</f>
        <v>181</v>
      </c>
      <c r="F66" s="585" t="s">
        <v>350</v>
      </c>
      <c r="G66" s="18">
        <f>LEN(F66)</f>
        <v>193</v>
      </c>
      <c r="H66" s="312" t="s">
        <v>351</v>
      </c>
      <c r="I66" s="555">
        <f>LEN(H66)</f>
        <v>156</v>
      </c>
      <c r="J66" s="16" t="s">
        <v>40</v>
      </c>
      <c r="K66" s="15" t="s">
        <v>25</v>
      </c>
      <c r="L66" s="15" t="s">
        <v>25</v>
      </c>
      <c r="M66" s="15" t="s">
        <v>41</v>
      </c>
      <c r="N66" s="26" t="s">
        <v>352</v>
      </c>
      <c r="O66" s="44" t="s">
        <v>25</v>
      </c>
      <c r="P66" s="264" t="s">
        <v>353</v>
      </c>
      <c r="Q66" s="264"/>
      <c r="R66" s="39"/>
      <c r="S66" s="217">
        <f>1</f>
        <v>1</v>
      </c>
      <c r="T66" s="103"/>
      <c r="V66" s="111" t="s">
        <v>24</v>
      </c>
      <c r="W66" s="110"/>
      <c r="Z66" s="216">
        <v>4.7874016761779794</v>
      </c>
      <c r="AA66" s="216">
        <f t="shared" si="15"/>
        <v>4.7874016761779794</v>
      </c>
      <c r="AB66" s="103" t="str">
        <f t="shared" si="16"/>
        <v/>
      </c>
    </row>
    <row r="67" spans="1:28" s="109" customFormat="1" x14ac:dyDescent="0.2">
      <c r="A67" s="33"/>
      <c r="B67" s="137"/>
      <c r="C67" s="208"/>
      <c r="D67" s="58"/>
      <c r="E67" s="35"/>
      <c r="F67" s="207"/>
      <c r="G67" s="35"/>
      <c r="H67" s="78"/>
      <c r="I67" s="78"/>
      <c r="J67" s="79"/>
      <c r="K67" s="78"/>
      <c r="L67" s="78"/>
      <c r="M67" s="78"/>
      <c r="N67" s="65"/>
      <c r="O67" s="42"/>
      <c r="P67" s="131"/>
      <c r="Q67" s="131"/>
      <c r="R67" s="260"/>
      <c r="S67" s="217">
        <f>1</f>
        <v>1</v>
      </c>
      <c r="T67" s="103"/>
      <c r="V67" s="111"/>
      <c r="W67" s="110"/>
      <c r="Z67" s="216"/>
      <c r="AA67" s="216" t="str">
        <f t="shared" si="15"/>
        <v/>
      </c>
      <c r="AB67" s="103" t="str">
        <f t="shared" si="16"/>
        <v/>
      </c>
    </row>
    <row r="68" spans="1:28" s="109" customFormat="1" ht="204" customHeight="1" x14ac:dyDescent="0.2">
      <c r="A68" s="33">
        <f>A65+1</f>
        <v>20</v>
      </c>
      <c r="B68" s="139" t="s">
        <v>354</v>
      </c>
      <c r="C68" s="108" t="s">
        <v>354</v>
      </c>
      <c r="D68" s="126" t="s">
        <v>355</v>
      </c>
      <c r="E68" s="114">
        <f>LEN(D68)</f>
        <v>290</v>
      </c>
      <c r="F68" s="583" t="s">
        <v>356</v>
      </c>
      <c r="G68" s="114">
        <f>LEN(F68)</f>
        <v>359</v>
      </c>
      <c r="H68" s="439" t="s">
        <v>357</v>
      </c>
      <c r="I68" s="116">
        <f>LEN(H68)</f>
        <v>315</v>
      </c>
      <c r="J68" s="123" t="s">
        <v>40</v>
      </c>
      <c r="K68" s="114" t="s">
        <v>25</v>
      </c>
      <c r="L68" s="114" t="s">
        <v>25</v>
      </c>
      <c r="M68" s="114" t="s">
        <v>41</v>
      </c>
      <c r="N68" s="132" t="s">
        <v>358</v>
      </c>
      <c r="O68" s="167" t="s">
        <v>25</v>
      </c>
      <c r="P68" s="132" t="s">
        <v>359</v>
      </c>
      <c r="Q68" s="42"/>
      <c r="R68" s="10"/>
      <c r="S68" s="212">
        <f>1</f>
        <v>1</v>
      </c>
      <c r="T68" s="103"/>
      <c r="V68" s="294" t="s">
        <v>35</v>
      </c>
      <c r="W68" s="110"/>
      <c r="Z68" s="215">
        <v>22.126214981079102</v>
      </c>
      <c r="AA68" s="215">
        <f t="shared" si="15"/>
        <v>22.126214981079102</v>
      </c>
      <c r="AB68" s="103">
        <f t="shared" si="16"/>
        <v>22.126214981079102</v>
      </c>
    </row>
    <row r="69" spans="1:28" s="109" customFormat="1" x14ac:dyDescent="0.2">
      <c r="A69" s="33"/>
      <c r="B69" s="137"/>
      <c r="C69" s="72"/>
      <c r="D69" s="135"/>
      <c r="E69" s="35"/>
      <c r="F69" s="619"/>
      <c r="G69" s="35"/>
      <c r="H69" s="35"/>
      <c r="I69" s="35"/>
      <c r="J69" s="73"/>
      <c r="K69" s="35"/>
      <c r="L69" s="35"/>
      <c r="M69" s="35"/>
      <c r="N69" s="67"/>
      <c r="O69" s="42"/>
      <c r="P69" s="67"/>
      <c r="Q69" s="67"/>
      <c r="R69" s="10"/>
      <c r="S69" s="217">
        <f>1</f>
        <v>1</v>
      </c>
      <c r="T69" s="103"/>
      <c r="V69" s="111"/>
      <c r="W69" s="110"/>
      <c r="Z69" s="216"/>
      <c r="AA69" s="216" t="str">
        <f t="shared" si="15"/>
        <v/>
      </c>
      <c r="AB69" s="103" t="str">
        <f t="shared" si="16"/>
        <v/>
      </c>
    </row>
    <row r="70" spans="1:28" s="109" customFormat="1" ht="408" customHeight="1" x14ac:dyDescent="0.2">
      <c r="A70" s="33">
        <f>A68+1</f>
        <v>21</v>
      </c>
      <c r="B70" s="139" t="s">
        <v>360</v>
      </c>
      <c r="C70" s="108" t="s">
        <v>360</v>
      </c>
      <c r="D70" s="476" t="s">
        <v>361</v>
      </c>
      <c r="E70" s="114">
        <f>LEN(D70)</f>
        <v>1236</v>
      </c>
      <c r="F70" s="620" t="s">
        <v>362</v>
      </c>
      <c r="G70" s="114">
        <f>LEN(F70)</f>
        <v>1354</v>
      </c>
      <c r="H70" s="439" t="s">
        <v>363</v>
      </c>
      <c r="I70" s="116">
        <f>LEN(H70)</f>
        <v>1213</v>
      </c>
      <c r="J70" s="123" t="s">
        <v>40</v>
      </c>
      <c r="K70" s="114" t="s">
        <v>25</v>
      </c>
      <c r="L70" s="114" t="s">
        <v>25</v>
      </c>
      <c r="M70" s="114" t="s">
        <v>364</v>
      </c>
      <c r="N70" s="105" t="s">
        <v>365</v>
      </c>
      <c r="O70" s="167" t="s">
        <v>25</v>
      </c>
      <c r="P70" s="112" t="s">
        <v>366</v>
      </c>
      <c r="Q70" s="22"/>
      <c r="R70" s="10"/>
      <c r="S70" s="212">
        <f>1</f>
        <v>1</v>
      </c>
      <c r="T70" s="103"/>
      <c r="V70" s="294" t="s">
        <v>35</v>
      </c>
      <c r="W70" s="110"/>
      <c r="Z70" s="215">
        <v>18.710653305053711</v>
      </c>
      <c r="AA70" s="215">
        <f t="shared" si="15"/>
        <v>18.710653305053711</v>
      </c>
      <c r="AB70" s="103">
        <f t="shared" si="16"/>
        <v>18.710653305053711</v>
      </c>
    </row>
    <row r="71" spans="1:28" s="180" customFormat="1" ht="182" customHeight="1" x14ac:dyDescent="0.2">
      <c r="A71" s="33"/>
      <c r="B71" s="182" t="s">
        <v>367</v>
      </c>
      <c r="C71" s="188" t="s">
        <v>367</v>
      </c>
      <c r="D71" s="113" t="s">
        <v>320</v>
      </c>
      <c r="E71" s="106">
        <f>LEN(D71)</f>
        <v>134</v>
      </c>
      <c r="F71" s="288" t="s">
        <v>321</v>
      </c>
      <c r="G71" s="114">
        <f>LEN(F71)</f>
        <v>167</v>
      </c>
      <c r="H71" s="440" t="s">
        <v>368</v>
      </c>
      <c r="I71" s="116">
        <f>LEN(H71)</f>
        <v>135</v>
      </c>
      <c r="J71" s="108" t="s">
        <v>40</v>
      </c>
      <c r="K71" s="106" t="s">
        <v>25</v>
      </c>
      <c r="L71" s="106" t="s">
        <v>25</v>
      </c>
      <c r="M71" s="106" t="s">
        <v>41</v>
      </c>
      <c r="N71" s="105" t="s">
        <v>369</v>
      </c>
      <c r="O71" s="167" t="s">
        <v>25</v>
      </c>
      <c r="P71" s="112" t="s">
        <v>370</v>
      </c>
      <c r="Q71" s="22"/>
      <c r="R71" s="39"/>
      <c r="S71" s="278">
        <f>1</f>
        <v>1</v>
      </c>
      <c r="T71" s="104"/>
      <c r="V71" s="298" t="s">
        <v>35</v>
      </c>
      <c r="W71" s="174"/>
      <c r="Z71" s="219">
        <v>8</v>
      </c>
      <c r="AA71" s="219">
        <f t="shared" si="15"/>
        <v>8</v>
      </c>
      <c r="AB71" s="104">
        <f t="shared" si="16"/>
        <v>8</v>
      </c>
    </row>
    <row r="72" spans="1:28" s="180" customFormat="1" ht="182" customHeight="1" x14ac:dyDescent="0.2">
      <c r="A72" s="33"/>
      <c r="B72" s="182" t="s">
        <v>371</v>
      </c>
      <c r="C72" s="188" t="s">
        <v>371</v>
      </c>
      <c r="D72" s="475" t="s">
        <v>326</v>
      </c>
      <c r="E72" s="106">
        <f>LEN(D72)</f>
        <v>160</v>
      </c>
      <c r="F72" s="288" t="s">
        <v>327</v>
      </c>
      <c r="G72" s="114">
        <f>LEN(F72)</f>
        <v>188</v>
      </c>
      <c r="H72" s="440" t="s">
        <v>372</v>
      </c>
      <c r="I72" s="116">
        <f>LEN(H72)</f>
        <v>153</v>
      </c>
      <c r="J72" s="108" t="s">
        <v>40</v>
      </c>
      <c r="K72" s="106" t="s">
        <v>25</v>
      </c>
      <c r="L72" s="106" t="s">
        <v>25</v>
      </c>
      <c r="M72" s="106" t="s">
        <v>41</v>
      </c>
      <c r="N72" s="105" t="s">
        <v>369</v>
      </c>
      <c r="O72" s="167" t="s">
        <v>25</v>
      </c>
      <c r="P72" s="112" t="s">
        <v>373</v>
      </c>
      <c r="Q72" s="22"/>
      <c r="R72" s="39"/>
      <c r="S72" s="278">
        <f>1</f>
        <v>1</v>
      </c>
      <c r="T72" s="104"/>
      <c r="V72" s="298" t="s">
        <v>35</v>
      </c>
      <c r="W72" s="174"/>
      <c r="Z72" s="219">
        <v>8</v>
      </c>
      <c r="AA72" s="219">
        <f t="shared" si="15"/>
        <v>8</v>
      </c>
      <c r="AB72" s="104">
        <f t="shared" si="16"/>
        <v>8</v>
      </c>
    </row>
    <row r="73" spans="1:28" s="109" customFormat="1" ht="182" customHeight="1" x14ac:dyDescent="0.2">
      <c r="A73" s="33"/>
      <c r="B73" s="182" t="s">
        <v>374</v>
      </c>
      <c r="C73" s="188" t="s">
        <v>374</v>
      </c>
      <c r="D73" s="113" t="s">
        <v>331</v>
      </c>
      <c r="E73" s="106">
        <f>LEN(D73)</f>
        <v>163</v>
      </c>
      <c r="F73" s="288" t="s">
        <v>332</v>
      </c>
      <c r="G73" s="114">
        <f>LEN(F73)</f>
        <v>197</v>
      </c>
      <c r="H73" s="440" t="s">
        <v>375</v>
      </c>
      <c r="I73" s="116">
        <f>LEN(H73)</f>
        <v>145</v>
      </c>
      <c r="J73" s="108" t="s">
        <v>40</v>
      </c>
      <c r="K73" s="106" t="s">
        <v>25</v>
      </c>
      <c r="L73" s="106" t="s">
        <v>25</v>
      </c>
      <c r="M73" s="106" t="s">
        <v>41</v>
      </c>
      <c r="N73" s="105" t="s">
        <v>369</v>
      </c>
      <c r="O73" s="167" t="s">
        <v>25</v>
      </c>
      <c r="P73" s="112" t="s">
        <v>376</v>
      </c>
      <c r="Q73" s="22"/>
      <c r="R73" s="39"/>
      <c r="S73" s="212">
        <f>1</f>
        <v>1</v>
      </c>
      <c r="T73" s="103"/>
      <c r="V73" s="294" t="s">
        <v>35</v>
      </c>
      <c r="W73" s="110"/>
      <c r="Z73" s="215">
        <v>8</v>
      </c>
      <c r="AA73" s="215">
        <f t="shared" si="15"/>
        <v>8</v>
      </c>
      <c r="AB73" s="103">
        <f t="shared" si="16"/>
        <v>8</v>
      </c>
    </row>
    <row r="74" spans="1:28" s="109" customFormat="1" x14ac:dyDescent="0.2">
      <c r="A74" s="71"/>
      <c r="B74" s="205"/>
      <c r="C74" s="208"/>
      <c r="D74" s="209"/>
      <c r="E74" s="78"/>
      <c r="G74" s="78"/>
      <c r="H74" s="78"/>
      <c r="I74" s="78"/>
      <c r="J74" s="72"/>
      <c r="K74" s="78"/>
      <c r="L74" s="78"/>
      <c r="M74" s="78"/>
      <c r="N74" s="65"/>
      <c r="O74" s="42"/>
      <c r="P74" s="131"/>
      <c r="Q74" s="131"/>
      <c r="R74" s="39"/>
      <c r="S74" s="217">
        <f>1</f>
        <v>1</v>
      </c>
      <c r="T74" s="103"/>
      <c r="V74" s="111"/>
      <c r="W74" s="110"/>
      <c r="Z74" s="216"/>
      <c r="AA74" s="216" t="str">
        <f t="shared" si="15"/>
        <v/>
      </c>
      <c r="AB74" s="103" t="str">
        <f t="shared" si="16"/>
        <v/>
      </c>
    </row>
    <row r="75" spans="1:28" s="109" customFormat="1" ht="136" customHeight="1" x14ac:dyDescent="0.2">
      <c r="A75" s="14">
        <v>19</v>
      </c>
      <c r="B75" s="183" t="s">
        <v>377</v>
      </c>
      <c r="C75" s="16" t="s">
        <v>377</v>
      </c>
      <c r="D75" s="20" t="s">
        <v>378</v>
      </c>
      <c r="E75" s="18">
        <f>LEN(D75)</f>
        <v>236</v>
      </c>
      <c r="F75" s="311" t="s">
        <v>379</v>
      </c>
      <c r="G75" s="18">
        <f>LEN(F75)</f>
        <v>275</v>
      </c>
      <c r="H75" s="311" t="s">
        <v>380</v>
      </c>
      <c r="I75" s="555">
        <f>LEN(H75)</f>
        <v>204</v>
      </c>
      <c r="J75" s="18" t="s">
        <v>146</v>
      </c>
      <c r="K75" s="18" t="s">
        <v>25</v>
      </c>
      <c r="L75" s="18" t="s">
        <v>25</v>
      </c>
      <c r="M75" s="18" t="s">
        <v>28</v>
      </c>
      <c r="N75" s="23" t="s">
        <v>381</v>
      </c>
      <c r="O75" s="59" t="s">
        <v>25</v>
      </c>
      <c r="P75" s="24" t="s">
        <v>382</v>
      </c>
      <c r="Q75" s="24"/>
      <c r="R75" s="640" t="s">
        <v>341</v>
      </c>
      <c r="S75" s="217">
        <f>1</f>
        <v>1</v>
      </c>
      <c r="T75" s="103"/>
      <c r="V75" s="111" t="s">
        <v>24</v>
      </c>
      <c r="W75" s="110"/>
      <c r="Z75" s="216">
        <v>23.200380325317379</v>
      </c>
      <c r="AA75" s="216">
        <f t="shared" si="15"/>
        <v>23.200380325317379</v>
      </c>
      <c r="AB75" s="103" t="str">
        <f t="shared" si="16"/>
        <v/>
      </c>
    </row>
    <row r="76" spans="1:28" s="109" customFormat="1" ht="153" customHeight="1" x14ac:dyDescent="0.2">
      <c r="A76" s="14" t="e">
        <f>#REF!+1</f>
        <v>#REF!</v>
      </c>
      <c r="B76" s="183" t="s">
        <v>383</v>
      </c>
      <c r="C76" s="187" t="s">
        <v>383</v>
      </c>
      <c r="D76" s="20" t="s">
        <v>343</v>
      </c>
      <c r="E76" s="18">
        <f>LEN(D76)</f>
        <v>248</v>
      </c>
      <c r="F76" s="312" t="s">
        <v>344</v>
      </c>
      <c r="G76" s="18">
        <f>LEN(F76)</f>
        <v>296</v>
      </c>
      <c r="H76" s="312" t="s">
        <v>384</v>
      </c>
      <c r="I76" s="555">
        <f>LEN(H76)</f>
        <v>243</v>
      </c>
      <c r="J76" s="25" t="s">
        <v>40</v>
      </c>
      <c r="K76" s="15" t="s">
        <v>25</v>
      </c>
      <c r="L76" s="15" t="s">
        <v>25</v>
      </c>
      <c r="M76" s="15" t="s">
        <v>41</v>
      </c>
      <c r="N76" s="26" t="s">
        <v>385</v>
      </c>
      <c r="O76" s="59" t="s">
        <v>25</v>
      </c>
      <c r="P76" s="26" t="s">
        <v>386</v>
      </c>
      <c r="Q76" s="26"/>
      <c r="R76" s="630"/>
      <c r="S76" s="217">
        <f>1</f>
        <v>1</v>
      </c>
      <c r="T76" s="103"/>
      <c r="V76" s="111" t="s">
        <v>24</v>
      </c>
      <c r="W76" s="110"/>
      <c r="Z76" s="216">
        <v>1.9277389049530029</v>
      </c>
      <c r="AA76" s="216">
        <f t="shared" si="15"/>
        <v>1.9277389049530029</v>
      </c>
      <c r="AB76" s="103" t="str">
        <f t="shared" si="16"/>
        <v/>
      </c>
    </row>
    <row r="77" spans="1:28" s="109" customFormat="1" x14ac:dyDescent="0.2">
      <c r="A77" s="33"/>
      <c r="B77" s="137"/>
      <c r="C77" s="208"/>
      <c r="D77" s="58"/>
      <c r="E77" s="35"/>
      <c r="F77" s="78"/>
      <c r="G77" s="35"/>
      <c r="H77" s="78"/>
      <c r="I77" s="78"/>
      <c r="J77" s="79"/>
      <c r="K77" s="78"/>
      <c r="L77" s="78"/>
      <c r="M77" s="78"/>
      <c r="N77" s="65"/>
      <c r="O77" s="42"/>
      <c r="P77" s="65"/>
      <c r="Q77" s="65"/>
      <c r="R77" s="260"/>
      <c r="S77" s="217">
        <f>1</f>
        <v>1</v>
      </c>
      <c r="T77" s="103"/>
      <c r="V77" s="111"/>
      <c r="W77" s="110"/>
      <c r="Z77" s="216"/>
      <c r="AA77" s="216" t="str">
        <f t="shared" si="15"/>
        <v/>
      </c>
      <c r="AB77" s="103" t="str">
        <f t="shared" si="16"/>
        <v/>
      </c>
    </row>
    <row r="78" spans="1:28" s="109" customFormat="1" ht="204" customHeight="1" x14ac:dyDescent="0.2">
      <c r="A78" s="33" t="e">
        <f>#REF!+1</f>
        <v>#REF!</v>
      </c>
      <c r="B78" s="139" t="s">
        <v>387</v>
      </c>
      <c r="C78" s="108" t="s">
        <v>387</v>
      </c>
      <c r="D78" s="126" t="s">
        <v>388</v>
      </c>
      <c r="E78" s="114">
        <f>LEN(D78)</f>
        <v>290</v>
      </c>
      <c r="F78" s="126" t="s">
        <v>389</v>
      </c>
      <c r="G78" s="114">
        <f>LEN(F78)</f>
        <v>358</v>
      </c>
      <c r="H78" s="439" t="s">
        <v>390</v>
      </c>
      <c r="I78" s="116">
        <f>LEN(H78)</f>
        <v>315</v>
      </c>
      <c r="J78" s="123" t="s">
        <v>40</v>
      </c>
      <c r="K78" s="114" t="s">
        <v>25</v>
      </c>
      <c r="L78" s="114" t="s">
        <v>25</v>
      </c>
      <c r="M78" s="114" t="s">
        <v>41</v>
      </c>
      <c r="N78" s="132" t="s">
        <v>391</v>
      </c>
      <c r="O78" s="167" t="s">
        <v>25</v>
      </c>
      <c r="P78" s="132" t="s">
        <v>392</v>
      </c>
      <c r="Q78" s="42"/>
      <c r="R78" s="10"/>
      <c r="S78" s="212">
        <f>1</f>
        <v>1</v>
      </c>
      <c r="T78" s="103"/>
      <c r="V78" s="294" t="s">
        <v>35</v>
      </c>
      <c r="W78" s="110"/>
      <c r="Z78" s="215">
        <v>17.26140213012695</v>
      </c>
      <c r="AA78" s="215">
        <f t="shared" si="15"/>
        <v>17.26140213012695</v>
      </c>
      <c r="AB78" s="103">
        <f t="shared" si="16"/>
        <v>17.26140213012695</v>
      </c>
    </row>
    <row r="79" spans="1:28" s="109" customFormat="1" x14ac:dyDescent="0.2">
      <c r="A79" s="33"/>
      <c r="B79" s="137"/>
      <c r="C79" s="72"/>
      <c r="D79" s="135"/>
      <c r="E79" s="35"/>
      <c r="F79" s="35"/>
      <c r="G79" s="35"/>
      <c r="H79" s="35"/>
      <c r="I79" s="35"/>
      <c r="J79" s="73"/>
      <c r="K79" s="35"/>
      <c r="L79" s="35"/>
      <c r="M79" s="35"/>
      <c r="N79" s="67"/>
      <c r="O79" s="42"/>
      <c r="P79" s="67"/>
      <c r="Q79" s="67"/>
      <c r="R79" s="10"/>
      <c r="S79" s="217">
        <f>1</f>
        <v>1</v>
      </c>
      <c r="T79" s="103"/>
      <c r="V79" s="111"/>
      <c r="W79" s="110"/>
      <c r="Z79" s="216"/>
      <c r="AA79" s="216" t="str">
        <f t="shared" si="15"/>
        <v/>
      </c>
      <c r="AB79" s="103" t="str">
        <f t="shared" si="16"/>
        <v/>
      </c>
    </row>
    <row r="80" spans="1:28" s="109" customFormat="1" ht="409.5" customHeight="1" x14ac:dyDescent="0.2">
      <c r="A80" s="82" t="e">
        <f>A78+1</f>
        <v>#REF!</v>
      </c>
      <c r="B80" s="184" t="s">
        <v>393</v>
      </c>
      <c r="C80" s="99" t="s">
        <v>393</v>
      </c>
      <c r="D80" s="581" t="s">
        <v>394</v>
      </c>
      <c r="E80" s="575">
        <f>LEN(D80)</f>
        <v>1243</v>
      </c>
      <c r="F80" s="592" t="s">
        <v>395</v>
      </c>
      <c r="G80" s="575">
        <f>LEN(F80)</f>
        <v>1356</v>
      </c>
      <c r="H80" s="576" t="s">
        <v>396</v>
      </c>
      <c r="I80" s="120">
        <f>LEN(H80)</f>
        <v>1208</v>
      </c>
      <c r="J80" s="281" t="s">
        <v>40</v>
      </c>
      <c r="K80" s="97" t="s">
        <v>25</v>
      </c>
      <c r="L80" s="97" t="s">
        <v>25</v>
      </c>
      <c r="M80" s="97" t="s">
        <v>397</v>
      </c>
      <c r="N80" s="119" t="s">
        <v>398</v>
      </c>
      <c r="O80" s="194" t="s">
        <v>25</v>
      </c>
      <c r="P80" s="328" t="s">
        <v>399</v>
      </c>
      <c r="Q80" s="509"/>
      <c r="R80" s="21"/>
      <c r="S80" s="212">
        <f>1</f>
        <v>1</v>
      </c>
      <c r="T80" s="103"/>
      <c r="V80" s="294" t="s">
        <v>35</v>
      </c>
      <c r="W80" s="110"/>
      <c r="Z80" s="215">
        <v>14.47539234161377</v>
      </c>
      <c r="AA80" s="215">
        <f t="shared" si="15"/>
        <v>14.47539234161377</v>
      </c>
      <c r="AB80" s="103">
        <f t="shared" si="16"/>
        <v>14.47539234161377</v>
      </c>
    </row>
    <row r="81" spans="1:28" s="180" customFormat="1" ht="154.75" customHeight="1" x14ac:dyDescent="0.2">
      <c r="A81" s="35"/>
      <c r="B81" s="139" t="s">
        <v>400</v>
      </c>
      <c r="C81" s="138" t="s">
        <v>400</v>
      </c>
      <c r="D81" s="589" t="s">
        <v>320</v>
      </c>
      <c r="E81" s="584">
        <f>LEN(D81)</f>
        <v>134</v>
      </c>
      <c r="F81" s="313" t="s">
        <v>321</v>
      </c>
      <c r="G81" s="584">
        <f>LEN(F81)</f>
        <v>167</v>
      </c>
      <c r="H81" s="580" t="s">
        <v>401</v>
      </c>
      <c r="I81" s="123">
        <f>LEN(H81)</f>
        <v>136</v>
      </c>
      <c r="J81" s="115" t="s">
        <v>40</v>
      </c>
      <c r="K81" s="114" t="s">
        <v>25</v>
      </c>
      <c r="L81" s="114" t="s">
        <v>25</v>
      </c>
      <c r="M81" s="114" t="s">
        <v>41</v>
      </c>
      <c r="N81" s="127" t="s">
        <v>402</v>
      </c>
      <c r="O81" s="123" t="s">
        <v>25</v>
      </c>
      <c r="P81" s="143" t="s">
        <v>403</v>
      </c>
      <c r="Q81" s="511"/>
      <c r="R81" s="58"/>
      <c r="S81" s="278">
        <f>1</f>
        <v>1</v>
      </c>
      <c r="T81" s="104"/>
      <c r="V81" s="298" t="s">
        <v>35</v>
      </c>
      <c r="W81" s="174"/>
      <c r="Z81" s="219">
        <v>8</v>
      </c>
      <c r="AA81" s="219">
        <f t="shared" si="15"/>
        <v>8</v>
      </c>
      <c r="AB81" s="104">
        <f t="shared" si="16"/>
        <v>8</v>
      </c>
    </row>
    <row r="82" spans="1:28" s="180" customFormat="1" ht="182" customHeight="1" x14ac:dyDescent="0.2">
      <c r="A82" s="35"/>
      <c r="B82" s="139" t="s">
        <v>404</v>
      </c>
      <c r="C82" s="138" t="s">
        <v>404</v>
      </c>
      <c r="D82" s="574" t="s">
        <v>326</v>
      </c>
      <c r="E82" s="114">
        <f>LEN(D82)</f>
        <v>160</v>
      </c>
      <c r="F82" s="126" t="s">
        <v>327</v>
      </c>
      <c r="G82" s="114">
        <f>LEN(F82)</f>
        <v>188</v>
      </c>
      <c r="H82" s="439" t="s">
        <v>405</v>
      </c>
      <c r="I82" s="123">
        <f>LEN(H82)</f>
        <v>149</v>
      </c>
      <c r="J82" s="115" t="s">
        <v>40</v>
      </c>
      <c r="K82" s="114" t="s">
        <v>25</v>
      </c>
      <c r="L82" s="114" t="s">
        <v>25</v>
      </c>
      <c r="M82" s="114" t="s">
        <v>41</v>
      </c>
      <c r="N82" s="127" t="s">
        <v>402</v>
      </c>
      <c r="O82" s="123" t="s">
        <v>25</v>
      </c>
      <c r="P82" s="143" t="s">
        <v>406</v>
      </c>
      <c r="Q82" s="511"/>
      <c r="R82" s="58"/>
      <c r="S82" s="278">
        <f>1</f>
        <v>1</v>
      </c>
      <c r="T82" s="104"/>
      <c r="V82" s="298" t="s">
        <v>35</v>
      </c>
      <c r="W82" s="174"/>
      <c r="Z82" s="219">
        <v>8</v>
      </c>
      <c r="AA82" s="219">
        <f t="shared" si="15"/>
        <v>8</v>
      </c>
      <c r="AB82" s="104">
        <f t="shared" si="16"/>
        <v>8</v>
      </c>
    </row>
    <row r="83" spans="1:28" s="109" customFormat="1" ht="182" customHeight="1" x14ac:dyDescent="0.2">
      <c r="A83" s="35"/>
      <c r="B83" s="139" t="s">
        <v>407</v>
      </c>
      <c r="C83" s="138" t="s">
        <v>407</v>
      </c>
      <c r="D83" s="127" t="s">
        <v>331</v>
      </c>
      <c r="E83" s="114">
        <f>LEN(D83)</f>
        <v>163</v>
      </c>
      <c r="F83" s="126" t="s">
        <v>332</v>
      </c>
      <c r="G83" s="114">
        <f>LEN(F83)</f>
        <v>197</v>
      </c>
      <c r="H83" s="439" t="s">
        <v>408</v>
      </c>
      <c r="I83" s="123">
        <f>LEN(H83)</f>
        <v>146</v>
      </c>
      <c r="J83" s="115" t="s">
        <v>40</v>
      </c>
      <c r="K83" s="114" t="s">
        <v>25</v>
      </c>
      <c r="L83" s="114" t="s">
        <v>25</v>
      </c>
      <c r="M83" s="114" t="s">
        <v>41</v>
      </c>
      <c r="N83" s="127" t="s">
        <v>402</v>
      </c>
      <c r="O83" s="123" t="s">
        <v>25</v>
      </c>
      <c r="P83" s="143" t="s">
        <v>409</v>
      </c>
      <c r="Q83" s="511"/>
      <c r="R83" s="58"/>
      <c r="S83" s="212">
        <f>1</f>
        <v>1</v>
      </c>
      <c r="T83" s="103"/>
      <c r="V83" s="294" t="s">
        <v>35</v>
      </c>
      <c r="W83" s="110"/>
      <c r="Z83" s="215">
        <v>8</v>
      </c>
      <c r="AA83" s="215">
        <f t="shared" si="15"/>
        <v>8</v>
      </c>
      <c r="AB83" s="103">
        <f t="shared" si="16"/>
        <v>8</v>
      </c>
    </row>
    <row r="84" spans="1:28" s="109" customFormat="1" x14ac:dyDescent="0.2">
      <c r="A84" s="513"/>
      <c r="B84" s="137"/>
      <c r="C84" s="136"/>
      <c r="D84" s="58"/>
      <c r="E84" s="35"/>
      <c r="F84" s="35"/>
      <c r="G84" s="35"/>
      <c r="H84" s="35"/>
      <c r="I84" s="35"/>
      <c r="J84" s="73"/>
      <c r="K84" s="35"/>
      <c r="L84" s="35"/>
      <c r="M84" s="35"/>
      <c r="N84" s="58"/>
      <c r="O84" s="134"/>
      <c r="P84" s="58"/>
      <c r="Q84" s="58"/>
      <c r="R84" s="514"/>
      <c r="S84" s="217">
        <f>1</f>
        <v>1</v>
      </c>
      <c r="T84" s="103"/>
      <c r="V84" s="111"/>
      <c r="W84" s="110"/>
      <c r="Z84" s="216"/>
      <c r="AA84" s="216" t="str">
        <f t="shared" si="15"/>
        <v/>
      </c>
      <c r="AB84" s="103" t="str">
        <f t="shared" si="16"/>
        <v/>
      </c>
    </row>
    <row r="85" spans="1:28" s="109" customFormat="1" ht="204" customHeight="1" x14ac:dyDescent="0.2">
      <c r="A85" s="513" t="e">
        <f>#REF!+1</f>
        <v>#REF!</v>
      </c>
      <c r="B85" s="139" t="s">
        <v>410</v>
      </c>
      <c r="C85" s="115" t="s">
        <v>410</v>
      </c>
      <c r="D85" s="141" t="s">
        <v>411</v>
      </c>
      <c r="E85" s="114">
        <f t="shared" ref="E85:E90" si="17">LEN(D85)</f>
        <v>291</v>
      </c>
      <c r="F85" s="126" t="s">
        <v>412</v>
      </c>
      <c r="G85" s="114">
        <f t="shared" ref="G85:G90" si="18">LEN(F85)</f>
        <v>360</v>
      </c>
      <c r="H85" s="439" t="s">
        <v>413</v>
      </c>
      <c r="I85" s="123">
        <f t="shared" ref="I85:I90" si="19">LEN(H85)</f>
        <v>319</v>
      </c>
      <c r="J85" s="123" t="s">
        <v>40</v>
      </c>
      <c r="K85" s="114" t="s">
        <v>25</v>
      </c>
      <c r="L85" s="114" t="s">
        <v>25</v>
      </c>
      <c r="M85" s="114" t="s">
        <v>41</v>
      </c>
      <c r="N85" s="307" t="s">
        <v>414</v>
      </c>
      <c r="O85" s="123" t="s">
        <v>25</v>
      </c>
      <c r="P85" s="307" t="s">
        <v>415</v>
      </c>
      <c r="Q85" s="134"/>
      <c r="R85" s="58"/>
      <c r="S85" s="212">
        <f>1</f>
        <v>1</v>
      </c>
      <c r="T85" s="103"/>
      <c r="V85" s="294" t="s">
        <v>35</v>
      </c>
      <c r="W85" s="110"/>
      <c r="Z85" s="215">
        <v>15.87650299072266</v>
      </c>
      <c r="AA85" s="215">
        <f t="shared" si="15"/>
        <v>15.87650299072266</v>
      </c>
      <c r="AB85" s="103">
        <f t="shared" si="16"/>
        <v>15.87650299072266</v>
      </c>
    </row>
    <row r="86" spans="1:28" s="109" customFormat="1" ht="136" customHeight="1" x14ac:dyDescent="0.2">
      <c r="A86" s="513"/>
      <c r="B86" s="137" t="s">
        <v>416</v>
      </c>
      <c r="C86" s="136" t="s">
        <v>416</v>
      </c>
      <c r="D86" s="127" t="s">
        <v>417</v>
      </c>
      <c r="E86" s="114">
        <f t="shared" si="17"/>
        <v>125</v>
      </c>
      <c r="F86" s="134" t="s">
        <v>418</v>
      </c>
      <c r="G86" s="114">
        <f t="shared" si="18"/>
        <v>134</v>
      </c>
      <c r="H86" s="440" t="s">
        <v>419</v>
      </c>
      <c r="I86" s="123">
        <f t="shared" si="19"/>
        <v>123</v>
      </c>
      <c r="J86" s="73" t="s">
        <v>40</v>
      </c>
      <c r="K86" s="35"/>
      <c r="L86" s="35"/>
      <c r="M86" s="35"/>
      <c r="N86" s="134"/>
      <c r="O86" s="134"/>
      <c r="P86" s="134" t="s">
        <v>420</v>
      </c>
      <c r="Q86" s="134"/>
      <c r="R86" s="58"/>
      <c r="S86" s="217">
        <f>1</f>
        <v>1</v>
      </c>
      <c r="T86" s="103"/>
      <c r="V86" s="111"/>
      <c r="W86" s="110"/>
      <c r="Z86" s="216"/>
      <c r="AA86" s="216" t="str">
        <f t="shared" si="15"/>
        <v/>
      </c>
      <c r="AB86" s="103" t="str">
        <f t="shared" si="16"/>
        <v/>
      </c>
    </row>
    <row r="87" spans="1:28" s="109" customFormat="1" ht="204" customHeight="1" x14ac:dyDescent="0.2">
      <c r="A87" s="513"/>
      <c r="B87" s="137" t="s">
        <v>421</v>
      </c>
      <c r="C87" s="136" t="s">
        <v>421</v>
      </c>
      <c r="D87" s="483" t="s">
        <v>422</v>
      </c>
      <c r="E87" s="114">
        <f t="shared" si="17"/>
        <v>300</v>
      </c>
      <c r="F87" s="134" t="s">
        <v>423</v>
      </c>
      <c r="G87" s="114">
        <f t="shared" si="18"/>
        <v>352</v>
      </c>
      <c r="H87" s="307" t="s">
        <v>424</v>
      </c>
      <c r="I87" s="123">
        <f t="shared" si="19"/>
        <v>310</v>
      </c>
      <c r="J87" s="73" t="s">
        <v>40</v>
      </c>
      <c r="K87" s="35"/>
      <c r="L87" s="35"/>
      <c r="M87" s="35"/>
      <c r="N87" s="134"/>
      <c r="O87" s="134"/>
      <c r="P87" s="134" t="s">
        <v>425</v>
      </c>
      <c r="Q87" s="134"/>
      <c r="R87" s="58"/>
      <c r="S87" s="217"/>
      <c r="T87" s="103"/>
      <c r="V87" s="111"/>
      <c r="W87" s="110"/>
      <c r="Z87" s="216"/>
      <c r="AA87" s="216"/>
      <c r="AB87" s="103"/>
    </row>
    <row r="88" spans="1:28" s="109" customFormat="1" ht="187" customHeight="1" x14ac:dyDescent="0.2">
      <c r="A88" s="513"/>
      <c r="B88" s="137" t="s">
        <v>426</v>
      </c>
      <c r="C88" s="136" t="s">
        <v>426</v>
      </c>
      <c r="D88" s="483" t="s">
        <v>427</v>
      </c>
      <c r="E88" s="114">
        <f t="shared" si="17"/>
        <v>300</v>
      </c>
      <c r="F88" s="134" t="s">
        <v>428</v>
      </c>
      <c r="G88" s="114">
        <f t="shared" si="18"/>
        <v>307</v>
      </c>
      <c r="H88" s="307" t="s">
        <v>429</v>
      </c>
      <c r="I88" s="123">
        <f t="shared" si="19"/>
        <v>262</v>
      </c>
      <c r="J88" s="73" t="s">
        <v>40</v>
      </c>
      <c r="K88" s="35"/>
      <c r="L88" s="35"/>
      <c r="M88" s="35"/>
      <c r="N88" s="134"/>
      <c r="O88" s="134"/>
      <c r="P88" s="134" t="s">
        <v>430</v>
      </c>
      <c r="Q88" s="134"/>
      <c r="R88" s="58"/>
      <c r="S88" s="217"/>
      <c r="T88" s="103"/>
      <c r="V88" s="111"/>
      <c r="W88" s="110"/>
      <c r="Z88" s="216"/>
      <c r="AA88" s="216"/>
      <c r="AB88" s="103"/>
    </row>
    <row r="89" spans="1:28" s="109" customFormat="1" ht="409" customHeight="1" x14ac:dyDescent="0.2">
      <c r="A89" s="513" t="e">
        <f>#REF!+1</f>
        <v>#REF!</v>
      </c>
      <c r="B89" s="139" t="s">
        <v>431</v>
      </c>
      <c r="C89" s="115" t="s">
        <v>432</v>
      </c>
      <c r="D89" s="313" t="s">
        <v>433</v>
      </c>
      <c r="E89" s="114">
        <f t="shared" si="17"/>
        <v>1440</v>
      </c>
      <c r="F89" s="313" t="s">
        <v>434</v>
      </c>
      <c r="G89" s="114">
        <f t="shared" si="18"/>
        <v>1790</v>
      </c>
      <c r="H89" s="439" t="s">
        <v>435</v>
      </c>
      <c r="I89" s="123">
        <f t="shared" si="19"/>
        <v>1597</v>
      </c>
      <c r="J89" s="123" t="s">
        <v>290</v>
      </c>
      <c r="K89" s="114" t="s">
        <v>25</v>
      </c>
      <c r="L89" s="114" t="s">
        <v>25</v>
      </c>
      <c r="M89" s="114" t="s">
        <v>436</v>
      </c>
      <c r="N89" s="307" t="s">
        <v>437</v>
      </c>
      <c r="O89" s="123" t="s">
        <v>438</v>
      </c>
      <c r="P89" s="307" t="s">
        <v>439</v>
      </c>
      <c r="Q89" s="515"/>
      <c r="R89" s="58"/>
      <c r="S89" s="212">
        <f>1</f>
        <v>1</v>
      </c>
      <c r="T89" s="103"/>
      <c r="V89" s="294" t="s">
        <v>35</v>
      </c>
      <c r="W89" s="110"/>
      <c r="Z89" s="215">
        <v>37.853630065917969</v>
      </c>
      <c r="AA89" s="215">
        <f t="shared" ref="AA89:AA104" si="20">IF(Z89="","",Z89*S89)</f>
        <v>37.853630065917969</v>
      </c>
      <c r="AB89" s="103">
        <f t="shared" ref="AB89:AB104" si="21">IF(V89="yes",AA89,"")</f>
        <v>37.853630065917969</v>
      </c>
    </row>
    <row r="90" spans="1:28" s="109" customFormat="1" ht="409.5" customHeight="1" x14ac:dyDescent="0.2">
      <c r="A90" s="513"/>
      <c r="B90" s="137" t="s">
        <v>440</v>
      </c>
      <c r="C90" s="571" t="s">
        <v>441</v>
      </c>
      <c r="D90" s="313" t="s">
        <v>442</v>
      </c>
      <c r="E90" s="114">
        <f t="shared" si="17"/>
        <v>1147</v>
      </c>
      <c r="F90" s="578" t="s">
        <v>443</v>
      </c>
      <c r="G90" s="123">
        <f t="shared" si="18"/>
        <v>1427</v>
      </c>
      <c r="H90" s="594" t="s">
        <v>444</v>
      </c>
      <c r="I90" s="123">
        <f t="shared" si="19"/>
        <v>1290</v>
      </c>
      <c r="J90" s="73" t="s">
        <v>40</v>
      </c>
      <c r="K90" s="35"/>
      <c r="L90" s="35"/>
      <c r="M90" s="35"/>
      <c r="N90" s="134"/>
      <c r="O90" s="134"/>
      <c r="P90" s="134" t="s">
        <v>445</v>
      </c>
      <c r="Q90" s="134"/>
      <c r="R90" s="58" t="s">
        <v>446</v>
      </c>
      <c r="S90" s="217">
        <f>1</f>
        <v>1</v>
      </c>
      <c r="T90" s="103"/>
      <c r="V90" s="111"/>
      <c r="W90" s="110"/>
      <c r="Z90" s="216"/>
      <c r="AA90" s="216" t="str">
        <f t="shared" si="20"/>
        <v/>
      </c>
      <c r="AB90" s="103" t="str">
        <f t="shared" si="21"/>
        <v/>
      </c>
    </row>
    <row r="91" spans="1:28" s="293" customFormat="1" x14ac:dyDescent="0.2">
      <c r="A91" s="641" t="s">
        <v>447</v>
      </c>
      <c r="B91" s="637"/>
      <c r="C91" s="637"/>
      <c r="D91" s="637"/>
      <c r="E91" s="637"/>
      <c r="F91" s="637"/>
      <c r="G91" s="637"/>
      <c r="H91" s="637"/>
      <c r="I91" s="637"/>
      <c r="J91" s="637"/>
      <c r="K91" s="637"/>
      <c r="L91" s="637"/>
      <c r="M91" s="637"/>
      <c r="N91" s="637"/>
      <c r="O91" s="637"/>
      <c r="P91" s="637"/>
      <c r="Q91" s="637"/>
      <c r="R91" s="642"/>
      <c r="S91" s="212"/>
      <c r="T91" s="296"/>
      <c r="V91" s="294"/>
      <c r="W91" s="297"/>
      <c r="Z91" s="215"/>
      <c r="AA91" s="215" t="str">
        <f t="shared" si="20"/>
        <v/>
      </c>
      <c r="AB91" s="296" t="str">
        <f t="shared" si="21"/>
        <v/>
      </c>
    </row>
    <row r="92" spans="1:28" s="109" customFormat="1" ht="153" customHeight="1" x14ac:dyDescent="0.2">
      <c r="A92" s="513" t="e">
        <f>#REF!+1</f>
        <v>#REF!</v>
      </c>
      <c r="B92" s="517" t="s">
        <v>448</v>
      </c>
      <c r="C92" s="115" t="s">
        <v>448</v>
      </c>
      <c r="D92" s="126" t="s">
        <v>449</v>
      </c>
      <c r="E92" s="114">
        <f>LEN(D92)</f>
        <v>224</v>
      </c>
      <c r="F92" s="583" t="s">
        <v>450</v>
      </c>
      <c r="G92" s="114">
        <f>LEN(F92)</f>
        <v>306</v>
      </c>
      <c r="H92" s="307" t="s">
        <v>451</v>
      </c>
      <c r="I92" s="123">
        <f>LEN(H92)</f>
        <v>238</v>
      </c>
      <c r="J92" s="123" t="s">
        <v>40</v>
      </c>
      <c r="K92" s="114" t="s">
        <v>25</v>
      </c>
      <c r="L92" s="114" t="s">
        <v>452</v>
      </c>
      <c r="M92" s="114" t="s">
        <v>41</v>
      </c>
      <c r="N92" s="307" t="s">
        <v>453</v>
      </c>
      <c r="O92" s="123" t="s">
        <v>25</v>
      </c>
      <c r="P92" s="143" t="s">
        <v>454</v>
      </c>
      <c r="Q92" s="34"/>
      <c r="R92" s="518"/>
      <c r="S92" s="217" t="e">
        <f>#REF!</f>
        <v>#REF!</v>
      </c>
      <c r="T92" s="103"/>
      <c r="V92" s="294" t="s">
        <v>35</v>
      </c>
      <c r="W92" s="110"/>
      <c r="Z92" s="215">
        <v>7.3040728569030762</v>
      </c>
      <c r="AA92" s="215" t="e">
        <f t="shared" si="20"/>
        <v>#REF!</v>
      </c>
      <c r="AB92" s="103" t="e">
        <f t="shared" si="21"/>
        <v>#REF!</v>
      </c>
    </row>
    <row r="93" spans="1:28" s="109" customFormat="1" x14ac:dyDescent="0.2">
      <c r="A93" s="513"/>
      <c r="B93" s="519"/>
      <c r="C93" s="36"/>
      <c r="D93" s="135"/>
      <c r="E93" s="35"/>
      <c r="F93" s="577"/>
      <c r="G93" s="35"/>
      <c r="H93" s="35"/>
      <c r="I93" s="35"/>
      <c r="J93" s="73"/>
      <c r="K93" s="35"/>
      <c r="L93" s="35"/>
      <c r="M93" s="35"/>
      <c r="N93" s="134"/>
      <c r="O93" s="58"/>
      <c r="P93" s="34"/>
      <c r="Q93" s="34"/>
      <c r="R93" s="518"/>
      <c r="S93" s="217" t="e">
        <f>#REF!</f>
        <v>#REF!</v>
      </c>
      <c r="T93" s="103"/>
      <c r="V93" s="111"/>
      <c r="W93" s="110"/>
      <c r="Z93" s="216"/>
      <c r="AA93" s="216" t="str">
        <f t="shared" si="20"/>
        <v/>
      </c>
      <c r="AB93" s="103" t="str">
        <f t="shared" si="21"/>
        <v/>
      </c>
    </row>
    <row r="94" spans="1:28" s="186" customFormat="1" ht="102" customHeight="1" x14ac:dyDescent="0.2">
      <c r="A94" s="520"/>
      <c r="B94" s="128" t="s">
        <v>455</v>
      </c>
      <c r="C94" s="114" t="s">
        <v>455</v>
      </c>
      <c r="D94" s="126" t="s">
        <v>456</v>
      </c>
      <c r="E94" s="114">
        <f>LEN(D94)</f>
        <v>237</v>
      </c>
      <c r="F94" s="590" t="s">
        <v>457</v>
      </c>
      <c r="G94" s="114">
        <f>LEN(F94)</f>
        <v>250</v>
      </c>
      <c r="H94" s="307" t="s">
        <v>458</v>
      </c>
      <c r="I94" s="123">
        <f>LEN(H94)</f>
        <v>200</v>
      </c>
      <c r="J94" s="115" t="s">
        <v>146</v>
      </c>
      <c r="K94" s="114" t="s">
        <v>25</v>
      </c>
      <c r="L94" s="114" t="s">
        <v>25</v>
      </c>
      <c r="M94" s="114" t="s">
        <v>28</v>
      </c>
      <c r="N94" s="307" t="s">
        <v>459</v>
      </c>
      <c r="O94" s="123" t="s">
        <v>25</v>
      </c>
      <c r="P94" s="143" t="s">
        <v>460</v>
      </c>
      <c r="Q94" s="521"/>
      <c r="R94" s="522"/>
      <c r="S94" s="217" t="e">
        <f>#REF!</f>
        <v>#REF!</v>
      </c>
      <c r="T94" s="103"/>
      <c r="V94" s="294" t="s">
        <v>35</v>
      </c>
      <c r="W94" s="110"/>
      <c r="Z94" s="215">
        <v>23.93990516662598</v>
      </c>
      <c r="AA94" s="215" t="e">
        <f t="shared" si="20"/>
        <v>#REF!</v>
      </c>
      <c r="AB94" s="103" t="e">
        <f t="shared" si="21"/>
        <v>#REF!</v>
      </c>
    </row>
    <row r="95" spans="1:28" s="186" customFormat="1" ht="170" customHeight="1" x14ac:dyDescent="0.2">
      <c r="A95" s="520"/>
      <c r="B95" s="128" t="s">
        <v>461</v>
      </c>
      <c r="C95" s="114" t="s">
        <v>461</v>
      </c>
      <c r="D95" s="126" t="s">
        <v>462</v>
      </c>
      <c r="E95" s="114">
        <f>LEN(D95)</f>
        <v>136</v>
      </c>
      <c r="F95" s="583" t="s">
        <v>463</v>
      </c>
      <c r="G95" s="114">
        <f>LEN(F95)</f>
        <v>139</v>
      </c>
      <c r="H95" s="307" t="s">
        <v>464</v>
      </c>
      <c r="I95" s="123">
        <f>LEN(H95)</f>
        <v>118</v>
      </c>
      <c r="J95" s="115" t="s">
        <v>40</v>
      </c>
      <c r="K95" s="114" t="s">
        <v>25</v>
      </c>
      <c r="L95" s="114" t="s">
        <v>25</v>
      </c>
      <c r="M95" s="114" t="s">
        <v>41</v>
      </c>
      <c r="N95" s="307" t="s">
        <v>465</v>
      </c>
      <c r="O95" s="123" t="s">
        <v>25</v>
      </c>
      <c r="P95" s="143" t="s">
        <v>466</v>
      </c>
      <c r="Q95" s="34"/>
      <c r="R95" s="522"/>
      <c r="S95" s="217" t="e">
        <f>#REF!</f>
        <v>#REF!</v>
      </c>
      <c r="T95" s="103"/>
      <c r="V95" s="294" t="s">
        <v>35</v>
      </c>
      <c r="W95" s="110"/>
      <c r="Z95" s="215">
        <v>2.2494626045227051</v>
      </c>
      <c r="AA95" s="215" t="e">
        <f t="shared" si="20"/>
        <v>#REF!</v>
      </c>
      <c r="AB95" s="103" t="e">
        <f t="shared" si="21"/>
        <v>#REF!</v>
      </c>
    </row>
    <row r="96" spans="1:28" s="186" customFormat="1" x14ac:dyDescent="0.2">
      <c r="A96" s="520"/>
      <c r="B96" s="185"/>
      <c r="C96" s="35"/>
      <c r="D96" s="135"/>
      <c r="E96" s="35"/>
      <c r="F96" s="579"/>
      <c r="G96" s="35"/>
      <c r="H96" s="35"/>
      <c r="I96" s="35"/>
      <c r="J96" s="36"/>
      <c r="K96" s="35"/>
      <c r="L96" s="35"/>
      <c r="M96" s="35"/>
      <c r="N96" s="134"/>
      <c r="O96" s="58"/>
      <c r="P96" s="34"/>
      <c r="Q96" s="34"/>
      <c r="R96" s="522"/>
      <c r="S96" s="217" t="e">
        <f>#REF!</f>
        <v>#REF!</v>
      </c>
      <c r="T96" s="103"/>
      <c r="V96" s="111"/>
      <c r="W96" s="110"/>
      <c r="Z96" s="216"/>
      <c r="AA96" s="216" t="str">
        <f t="shared" si="20"/>
        <v/>
      </c>
      <c r="AB96" s="103" t="str">
        <f t="shared" si="21"/>
        <v/>
      </c>
    </row>
    <row r="97" spans="1:28" s="109" customFormat="1" ht="409.5" customHeight="1" x14ac:dyDescent="0.2">
      <c r="A97" s="513" t="e">
        <f>A92+1</f>
        <v>#REF!</v>
      </c>
      <c r="B97" s="139" t="s">
        <v>467</v>
      </c>
      <c r="C97" s="115" t="s">
        <v>467</v>
      </c>
      <c r="D97" s="126" t="s">
        <v>468</v>
      </c>
      <c r="E97" s="114">
        <f>LEN(D97)</f>
        <v>1437</v>
      </c>
      <c r="F97" s="307" t="s">
        <v>469</v>
      </c>
      <c r="G97" s="114">
        <f>LEN(F97)</f>
        <v>1600</v>
      </c>
      <c r="H97" s="307" t="s">
        <v>470</v>
      </c>
      <c r="I97" s="123">
        <f>LEN(H97)</f>
        <v>1312</v>
      </c>
      <c r="J97" s="123" t="s">
        <v>40</v>
      </c>
      <c r="K97" s="114" t="s">
        <v>25</v>
      </c>
      <c r="L97" s="114" t="s">
        <v>25</v>
      </c>
      <c r="M97" s="115" t="s">
        <v>471</v>
      </c>
      <c r="N97" s="307" t="s">
        <v>472</v>
      </c>
      <c r="O97" s="523" t="s">
        <v>473</v>
      </c>
      <c r="P97" s="307" t="s">
        <v>474</v>
      </c>
      <c r="Q97" s="524"/>
      <c r="R97" s="58"/>
      <c r="S97" s="217" t="e">
        <f>#REF!</f>
        <v>#REF!</v>
      </c>
      <c r="T97" s="103"/>
      <c r="V97" s="294" t="s">
        <v>35</v>
      </c>
      <c r="W97" s="110"/>
      <c r="Z97" s="215">
        <v>23.440116882324219</v>
      </c>
      <c r="AA97" s="215" t="e">
        <f t="shared" si="20"/>
        <v>#REF!</v>
      </c>
      <c r="AB97" s="103" t="e">
        <f t="shared" si="21"/>
        <v>#REF!</v>
      </c>
    </row>
    <row r="98" spans="1:28" s="109" customFormat="1" ht="102" customHeight="1" x14ac:dyDescent="0.2">
      <c r="A98" s="513"/>
      <c r="B98" s="139" t="s">
        <v>475</v>
      </c>
      <c r="C98" s="115" t="s">
        <v>475</v>
      </c>
      <c r="D98" s="126" t="s">
        <v>476</v>
      </c>
      <c r="E98" s="114">
        <f>LEN(D98)</f>
        <v>183</v>
      </c>
      <c r="F98" s="126" t="s">
        <v>477</v>
      </c>
      <c r="G98" s="114">
        <f>LEN(F98)</f>
        <v>240</v>
      </c>
      <c r="H98" s="307" t="s">
        <v>478</v>
      </c>
      <c r="I98" s="123">
        <f>LEN(H98)</f>
        <v>172</v>
      </c>
      <c r="J98" s="123" t="s">
        <v>40</v>
      </c>
      <c r="K98" s="114" t="s">
        <v>25</v>
      </c>
      <c r="L98" s="114" t="s">
        <v>25</v>
      </c>
      <c r="M98" s="115" t="s">
        <v>41</v>
      </c>
      <c r="N98" s="307" t="s">
        <v>479</v>
      </c>
      <c r="O98" s="123" t="s">
        <v>25</v>
      </c>
      <c r="P98" s="330" t="s">
        <v>480</v>
      </c>
      <c r="Q98" s="524"/>
      <c r="R98" s="58"/>
      <c r="S98" s="217" t="e">
        <f>#REF!</f>
        <v>#REF!</v>
      </c>
      <c r="T98" s="103"/>
      <c r="V98" s="294" t="s">
        <v>35</v>
      </c>
      <c r="W98" s="110"/>
      <c r="Z98" s="215">
        <v>7.7659573554992676</v>
      </c>
      <c r="AA98" s="215" t="e">
        <f t="shared" si="20"/>
        <v>#REF!</v>
      </c>
      <c r="AB98" s="103" t="e">
        <f t="shared" si="21"/>
        <v>#REF!</v>
      </c>
    </row>
    <row r="99" spans="1:28" s="109" customFormat="1" x14ac:dyDescent="0.2">
      <c r="A99" s="513"/>
      <c r="B99" s="137"/>
      <c r="C99" s="36"/>
      <c r="D99" s="135"/>
      <c r="E99" s="35"/>
      <c r="F99" s="35"/>
      <c r="G99" s="35"/>
      <c r="H99" s="35"/>
      <c r="I99" s="123"/>
      <c r="J99" s="73"/>
      <c r="K99" s="35"/>
      <c r="L99" s="35"/>
      <c r="M99" s="36"/>
      <c r="N99" s="134"/>
      <c r="O99" s="58"/>
      <c r="P99" s="524"/>
      <c r="Q99" s="524"/>
      <c r="R99" s="58"/>
      <c r="S99" s="217" t="e">
        <f>#REF!</f>
        <v>#REF!</v>
      </c>
      <c r="T99" s="103"/>
      <c r="V99" s="111"/>
      <c r="W99" s="110"/>
      <c r="Z99" s="216"/>
      <c r="AA99" s="216" t="str">
        <f t="shared" si="20"/>
        <v/>
      </c>
      <c r="AB99" s="103" t="str">
        <f t="shared" si="21"/>
        <v/>
      </c>
    </row>
    <row r="100" spans="1:28" s="109" customFormat="1" ht="221" customHeight="1" x14ac:dyDescent="0.2">
      <c r="A100" s="513" t="e">
        <f>A97+1</f>
        <v>#REF!</v>
      </c>
      <c r="B100" s="128" t="s">
        <v>481</v>
      </c>
      <c r="C100" s="114" t="s">
        <v>481</v>
      </c>
      <c r="D100" s="126" t="s">
        <v>482</v>
      </c>
      <c r="E100" s="114">
        <f>LEN(D100)</f>
        <v>331</v>
      </c>
      <c r="F100" s="307" t="s">
        <v>483</v>
      </c>
      <c r="G100" s="114">
        <f>LEN(F100)</f>
        <v>389</v>
      </c>
      <c r="H100" s="477" t="s">
        <v>484</v>
      </c>
      <c r="I100" s="123">
        <f>LEN(H100)</f>
        <v>335</v>
      </c>
      <c r="J100" s="115" t="s">
        <v>100</v>
      </c>
      <c r="K100" s="114" t="s">
        <v>25</v>
      </c>
      <c r="L100" s="114" t="s">
        <v>25</v>
      </c>
      <c r="M100" s="114" t="s">
        <v>101</v>
      </c>
      <c r="N100" s="307" t="s">
        <v>485</v>
      </c>
      <c r="O100" s="123" t="s">
        <v>25</v>
      </c>
      <c r="P100" s="330" t="s">
        <v>486</v>
      </c>
      <c r="Q100" s="525"/>
      <c r="R100" s="58"/>
      <c r="S100" s="217" t="e">
        <f>#REF!</f>
        <v>#REF!</v>
      </c>
      <c r="T100" s="103"/>
      <c r="V100" s="294" t="s">
        <v>35</v>
      </c>
      <c r="W100" s="110"/>
      <c r="Z100" s="215">
        <v>16.481756210327148</v>
      </c>
      <c r="AA100" s="215" t="e">
        <f t="shared" si="20"/>
        <v>#REF!</v>
      </c>
      <c r="AB100" s="103" t="e">
        <f t="shared" si="21"/>
        <v>#REF!</v>
      </c>
    </row>
    <row r="101" spans="1:28" s="109" customFormat="1" ht="14" customHeight="1" x14ac:dyDescent="0.2">
      <c r="A101" s="513"/>
      <c r="B101" s="137"/>
      <c r="C101" s="211"/>
      <c r="D101" s="533"/>
      <c r="E101" s="75"/>
      <c r="F101" s="75"/>
      <c r="G101" s="75"/>
      <c r="H101" s="75"/>
      <c r="I101" s="281"/>
      <c r="J101" s="76"/>
      <c r="K101" s="75"/>
      <c r="L101" s="75"/>
      <c r="M101" s="75"/>
      <c r="N101" s="534"/>
      <c r="O101" s="66"/>
      <c r="P101" s="534"/>
      <c r="Q101" s="134"/>
      <c r="R101" s="58"/>
      <c r="S101" s="217" t="e">
        <f>#REF!</f>
        <v>#REF!</v>
      </c>
      <c r="T101" s="103"/>
      <c r="V101" s="111"/>
      <c r="W101" s="110"/>
      <c r="Z101" s="216"/>
      <c r="AA101" s="216" t="str">
        <f t="shared" si="20"/>
        <v/>
      </c>
      <c r="AB101" s="103" t="str">
        <f t="shared" si="21"/>
        <v/>
      </c>
    </row>
    <row r="102" spans="1:28" s="109" customFormat="1" ht="204" customHeight="1" x14ac:dyDescent="0.2">
      <c r="A102" s="513" t="e">
        <f>#REF!+1</f>
        <v>#REF!</v>
      </c>
      <c r="B102" s="528" t="s">
        <v>487</v>
      </c>
      <c r="C102" s="138" t="s">
        <v>487</v>
      </c>
      <c r="D102" s="126" t="s">
        <v>488</v>
      </c>
      <c r="E102" s="114">
        <f>LEN(D102)</f>
        <v>258</v>
      </c>
      <c r="F102" s="307" t="s">
        <v>489</v>
      </c>
      <c r="G102" s="114">
        <f>LEN(F102)</f>
        <v>324</v>
      </c>
      <c r="H102" s="307" t="s">
        <v>490</v>
      </c>
      <c r="I102" s="123">
        <f>LEN(H102)</f>
        <v>274</v>
      </c>
      <c r="J102" s="123" t="s">
        <v>40</v>
      </c>
      <c r="K102" s="114" t="s">
        <v>25</v>
      </c>
      <c r="L102" s="114" t="s">
        <v>25</v>
      </c>
      <c r="M102" s="114" t="s">
        <v>41</v>
      </c>
      <c r="N102" s="307" t="s">
        <v>491</v>
      </c>
      <c r="O102" s="123" t="s">
        <v>25</v>
      </c>
      <c r="P102" s="307" t="s">
        <v>492</v>
      </c>
      <c r="Q102" s="530"/>
      <c r="R102" s="58"/>
      <c r="S102" s="217" t="e">
        <f>#REF!</f>
        <v>#REF!</v>
      </c>
      <c r="T102" s="103"/>
      <c r="V102" s="294" t="s">
        <v>35</v>
      </c>
      <c r="W102" s="110"/>
      <c r="Z102" s="215">
        <v>20.308681488037109</v>
      </c>
      <c r="AA102" s="215" t="e">
        <f t="shared" si="20"/>
        <v>#REF!</v>
      </c>
      <c r="AB102" s="103" t="e">
        <f t="shared" si="21"/>
        <v>#REF!</v>
      </c>
    </row>
    <row r="103" spans="1:28" s="109" customFormat="1" ht="170" customHeight="1" x14ac:dyDescent="0.2">
      <c r="A103" s="513"/>
      <c r="B103" s="503" t="s">
        <v>493</v>
      </c>
      <c r="C103" s="567" t="s">
        <v>493</v>
      </c>
      <c r="D103" s="126" t="s">
        <v>494</v>
      </c>
      <c r="E103" s="114">
        <f>LEN(D103)</f>
        <v>241</v>
      </c>
      <c r="F103" s="135" t="s">
        <v>495</v>
      </c>
      <c r="G103" s="114">
        <f>LEN(F103)</f>
        <v>253</v>
      </c>
      <c r="H103" s="307" t="s">
        <v>496</v>
      </c>
      <c r="I103" s="123">
        <f>LEN(H103)</f>
        <v>216</v>
      </c>
      <c r="J103" s="123" t="s">
        <v>40</v>
      </c>
      <c r="K103" s="35"/>
      <c r="L103" s="35"/>
      <c r="M103" s="35"/>
      <c r="N103" s="134"/>
      <c r="O103" s="58"/>
      <c r="P103" s="134" t="s">
        <v>497</v>
      </c>
      <c r="Q103" s="530"/>
      <c r="R103" s="58"/>
      <c r="S103" s="217" t="e">
        <f>#REF!</f>
        <v>#REF!</v>
      </c>
      <c r="T103" s="103"/>
      <c r="V103" s="111"/>
      <c r="W103" s="110"/>
      <c r="Z103" s="216"/>
      <c r="AA103" s="216" t="str">
        <f t="shared" si="20"/>
        <v/>
      </c>
      <c r="AB103" s="103" t="str">
        <f t="shared" si="21"/>
        <v/>
      </c>
    </row>
    <row r="104" spans="1:28" s="109" customFormat="1" ht="204" customHeight="1" x14ac:dyDescent="0.2">
      <c r="A104" s="513" t="e">
        <f>A102+1</f>
        <v>#REF!</v>
      </c>
      <c r="B104" s="529" t="s">
        <v>498</v>
      </c>
      <c r="C104" s="114" t="s">
        <v>498</v>
      </c>
      <c r="D104" s="126" t="s">
        <v>499</v>
      </c>
      <c r="E104" s="114">
        <f>LEN(D104)</f>
        <v>261</v>
      </c>
      <c r="F104" s="307" t="s">
        <v>500</v>
      </c>
      <c r="G104" s="114">
        <f>LEN(F104)</f>
        <v>322</v>
      </c>
      <c r="H104" s="307" t="s">
        <v>501</v>
      </c>
      <c r="I104" s="123">
        <f>LEN(H104)</f>
        <v>313</v>
      </c>
      <c r="J104" s="123" t="s">
        <v>40</v>
      </c>
      <c r="K104" s="114" t="s">
        <v>25</v>
      </c>
      <c r="L104" s="114" t="s">
        <v>25</v>
      </c>
      <c r="M104" s="114" t="s">
        <v>41</v>
      </c>
      <c r="N104" s="127" t="s">
        <v>502</v>
      </c>
      <c r="O104" s="123" t="s">
        <v>25</v>
      </c>
      <c r="P104" s="526" t="s">
        <v>503</v>
      </c>
      <c r="Q104" s="531"/>
      <c r="R104" s="73"/>
      <c r="S104" s="217" t="e">
        <f>#REF!</f>
        <v>#REF!</v>
      </c>
      <c r="T104" s="103"/>
      <c r="V104" s="294" t="s">
        <v>35</v>
      </c>
      <c r="W104" s="110"/>
      <c r="Z104" s="215">
        <v>15.448612213134769</v>
      </c>
      <c r="AA104" s="215" t="e">
        <f t="shared" si="20"/>
        <v>#REF!</v>
      </c>
      <c r="AB104" s="103" t="e">
        <f t="shared" si="21"/>
        <v>#REF!</v>
      </c>
    </row>
    <row r="105" spans="1:28" s="109" customFormat="1" ht="153" customHeight="1" x14ac:dyDescent="0.2">
      <c r="A105" s="33">
        <f>A103+1</f>
        <v>1</v>
      </c>
      <c r="B105" s="128" t="s">
        <v>504</v>
      </c>
      <c r="C105" s="108" t="s">
        <v>504</v>
      </c>
      <c r="D105" s="127" t="s">
        <v>505</v>
      </c>
      <c r="E105" s="114">
        <f>LEN(D105)</f>
        <v>168</v>
      </c>
      <c r="F105" s="307" t="s">
        <v>506</v>
      </c>
      <c r="G105" s="114">
        <f>LEN(F105)</f>
        <v>192</v>
      </c>
      <c r="J105" s="123" t="s">
        <v>40</v>
      </c>
      <c r="K105" s="114" t="s">
        <v>25</v>
      </c>
      <c r="L105" s="114" t="s">
        <v>25</v>
      </c>
      <c r="M105" s="114" t="s">
        <v>41</v>
      </c>
      <c r="N105" s="113" t="s">
        <v>507</v>
      </c>
      <c r="O105" s="167" t="s">
        <v>25</v>
      </c>
      <c r="P105" s="113" t="s">
        <v>508</v>
      </c>
      <c r="Q105" s="43"/>
      <c r="R105" s="10"/>
      <c r="S105" s="217">
        <f>'[1]Additional information'!$D$17</f>
        <v>0.91</v>
      </c>
      <c r="T105" s="294" t="s">
        <v>35</v>
      </c>
      <c r="U105" s="110"/>
      <c r="X105" s="215">
        <v>11.37532997131348</v>
      </c>
      <c r="Y105" s="215">
        <f>IF(X105="","",X105*S105)</f>
        <v>10.351550273895267</v>
      </c>
      <c r="Z105" s="103">
        <f>IF(T105="yes",Y105,"")</f>
        <v>10.351550273895267</v>
      </c>
    </row>
    <row r="106" spans="1:28" s="109" customFormat="1" ht="409.5" customHeight="1" x14ac:dyDescent="0.2">
      <c r="A106" s="513" t="e">
        <f>#REF!+1</f>
        <v>#REF!</v>
      </c>
      <c r="B106" s="528" t="s">
        <v>509</v>
      </c>
      <c r="C106" s="115" t="s">
        <v>510</v>
      </c>
      <c r="D106" s="127" t="s">
        <v>511</v>
      </c>
      <c r="E106" s="114">
        <f>LEN(D106)</f>
        <v>783</v>
      </c>
      <c r="F106" s="307" t="s">
        <v>512</v>
      </c>
      <c r="G106" s="114">
        <f>LEN(F106)</f>
        <v>939</v>
      </c>
      <c r="H106" s="307" t="s">
        <v>513</v>
      </c>
      <c r="I106" s="123">
        <f>LEN(H106)</f>
        <v>808</v>
      </c>
      <c r="J106" s="115" t="s">
        <v>514</v>
      </c>
      <c r="K106" s="114" t="s">
        <v>25</v>
      </c>
      <c r="L106" s="114" t="s">
        <v>25</v>
      </c>
      <c r="M106" s="114" t="s">
        <v>515</v>
      </c>
      <c r="N106" s="127" t="s">
        <v>516</v>
      </c>
      <c r="O106" s="123" t="s">
        <v>517</v>
      </c>
      <c r="P106" s="127" t="s">
        <v>518</v>
      </c>
      <c r="Q106" s="532"/>
      <c r="R106" s="58"/>
      <c r="S106" s="217" t="e">
        <f>#REF!</f>
        <v>#REF!</v>
      </c>
      <c r="T106" s="103"/>
      <c r="V106" s="294" t="s">
        <v>35</v>
      </c>
      <c r="W106" s="110"/>
      <c r="Z106" s="215">
        <v>25.844999313354489</v>
      </c>
      <c r="AA106" s="215" t="e">
        <f t="shared" ref="AA106:AA137" si="22">IF(Z106="","",Z106*S106)</f>
        <v>#REF!</v>
      </c>
      <c r="AB106" s="103" t="e">
        <f t="shared" ref="AB106:AB137" si="23">IF(V106="yes",AA106,"")</f>
        <v>#REF!</v>
      </c>
    </row>
    <row r="107" spans="1:28" s="109" customFormat="1" x14ac:dyDescent="0.2">
      <c r="A107" s="513"/>
      <c r="B107" s="185"/>
      <c r="C107" s="72"/>
      <c r="D107" s="130"/>
      <c r="E107" s="78"/>
      <c r="F107" s="78"/>
      <c r="G107" s="78"/>
      <c r="H107" s="78"/>
      <c r="I107" s="116"/>
      <c r="J107" s="79"/>
      <c r="K107" s="78"/>
      <c r="L107" s="78"/>
      <c r="M107" s="78"/>
      <c r="N107" s="130"/>
      <c r="O107" s="130"/>
      <c r="P107" s="130"/>
      <c r="Q107" s="58"/>
      <c r="R107" s="58"/>
      <c r="S107" s="217" t="e">
        <f>#REF!</f>
        <v>#REF!</v>
      </c>
      <c r="T107" s="103"/>
      <c r="V107" s="111"/>
      <c r="W107" s="110"/>
      <c r="Z107" s="216"/>
      <c r="AA107" s="216" t="str">
        <f t="shared" si="22"/>
        <v/>
      </c>
      <c r="AB107" s="103" t="str">
        <f t="shared" si="23"/>
        <v/>
      </c>
    </row>
    <row r="108" spans="1:28" s="109" customFormat="1" ht="221" customHeight="1" x14ac:dyDescent="0.2">
      <c r="A108" s="80" t="e">
        <f>A106+1</f>
        <v>#REF!</v>
      </c>
      <c r="B108" s="137" t="s">
        <v>519</v>
      </c>
      <c r="C108" s="136" t="s">
        <v>519</v>
      </c>
      <c r="D108" s="58" t="s">
        <v>520</v>
      </c>
      <c r="E108" s="35">
        <f>LEN(D108)</f>
        <v>296</v>
      </c>
      <c r="F108" s="58" t="s">
        <v>521</v>
      </c>
      <c r="G108" s="35">
        <f>LEN(F108)</f>
        <v>375</v>
      </c>
      <c r="H108" s="134" t="s">
        <v>522</v>
      </c>
      <c r="I108" s="123">
        <f>LEN(H108)</f>
        <v>312</v>
      </c>
      <c r="J108" s="36" t="s">
        <v>40</v>
      </c>
      <c r="K108" s="35" t="s">
        <v>25</v>
      </c>
      <c r="L108" s="484" t="s">
        <v>523</v>
      </c>
      <c r="M108" s="35" t="s">
        <v>41</v>
      </c>
      <c r="N108" s="58" t="s">
        <v>524</v>
      </c>
      <c r="O108" s="73" t="s">
        <v>25</v>
      </c>
      <c r="P108" s="58" t="s">
        <v>525</v>
      </c>
      <c r="Q108" s="58"/>
      <c r="R108" s="58"/>
      <c r="S108" s="217" t="e">
        <f>#REF!</f>
        <v>#REF!</v>
      </c>
      <c r="T108" s="103"/>
      <c r="V108" s="111" t="s">
        <v>24</v>
      </c>
      <c r="W108" s="110"/>
      <c r="Z108" s="216">
        <v>12.186037063598629</v>
      </c>
      <c r="AA108" s="216" t="e">
        <f t="shared" si="22"/>
        <v>#REF!</v>
      </c>
      <c r="AB108" s="103" t="str">
        <f t="shared" si="23"/>
        <v/>
      </c>
    </row>
    <row r="109" spans="1:28" s="109" customFormat="1" x14ac:dyDescent="0.2">
      <c r="A109" s="513"/>
      <c r="B109" s="137"/>
      <c r="C109" s="36"/>
      <c r="D109" s="58"/>
      <c r="E109" s="35"/>
      <c r="F109" s="35"/>
      <c r="G109" s="35"/>
      <c r="H109" s="35"/>
      <c r="I109" s="35"/>
      <c r="J109" s="36"/>
      <c r="K109" s="35"/>
      <c r="L109" s="35"/>
      <c r="M109" s="35"/>
      <c r="N109" s="58"/>
      <c r="O109" s="58"/>
      <c r="P109" s="58"/>
      <c r="Q109" s="58"/>
      <c r="R109" s="58"/>
      <c r="S109" s="217" t="e">
        <f>#REF!</f>
        <v>#REF!</v>
      </c>
      <c r="T109" s="103"/>
      <c r="V109" s="111"/>
      <c r="W109" s="110"/>
      <c r="Z109" s="216"/>
      <c r="AA109" s="216" t="str">
        <f t="shared" si="22"/>
        <v/>
      </c>
      <c r="AB109" s="103" t="str">
        <f t="shared" si="23"/>
        <v/>
      </c>
    </row>
    <row r="110" spans="1:28" s="293" customFormat="1" x14ac:dyDescent="0.2">
      <c r="A110" s="641" t="s">
        <v>526</v>
      </c>
      <c r="B110" s="637"/>
      <c r="C110" s="637"/>
      <c r="D110" s="637"/>
      <c r="E110" s="637"/>
      <c r="F110" s="637"/>
      <c r="G110" s="637"/>
      <c r="H110" s="637"/>
      <c r="I110" s="637"/>
      <c r="J110" s="637"/>
      <c r="K110" s="637"/>
      <c r="L110" s="637"/>
      <c r="M110" s="637"/>
      <c r="N110" s="637"/>
      <c r="O110" s="637"/>
      <c r="P110" s="637"/>
      <c r="Q110" s="637"/>
      <c r="R110" s="642"/>
      <c r="S110" s="212"/>
      <c r="T110" s="296"/>
      <c r="V110" s="294"/>
      <c r="W110" s="297"/>
      <c r="Z110" s="215"/>
      <c r="AA110" s="215" t="str">
        <f t="shared" si="22"/>
        <v/>
      </c>
      <c r="AB110" s="296" t="str">
        <f t="shared" si="23"/>
        <v/>
      </c>
    </row>
    <row r="111" spans="1:28" s="109" customFormat="1" ht="409.5" customHeight="1" x14ac:dyDescent="0.2">
      <c r="A111" s="513"/>
      <c r="B111" s="139" t="s">
        <v>527</v>
      </c>
      <c r="C111" s="138" t="s">
        <v>527</v>
      </c>
      <c r="D111" s="329" t="s">
        <v>528</v>
      </c>
      <c r="E111" s="114">
        <f>LEN(D111)</f>
        <v>1461</v>
      </c>
      <c r="F111" s="143" t="s">
        <v>529</v>
      </c>
      <c r="G111" s="114">
        <f>LEN(F111)</f>
        <v>1615</v>
      </c>
      <c r="H111" s="307" t="s">
        <v>530</v>
      </c>
      <c r="I111" s="123">
        <f>LEN(H111)</f>
        <v>1315</v>
      </c>
      <c r="J111" s="123" t="s">
        <v>40</v>
      </c>
      <c r="K111" s="114" t="s">
        <v>25</v>
      </c>
      <c r="L111" s="115" t="s">
        <v>531</v>
      </c>
      <c r="M111" s="114" t="s">
        <v>41</v>
      </c>
      <c r="N111" s="127" t="s">
        <v>532</v>
      </c>
      <c r="O111" s="523" t="s">
        <v>533</v>
      </c>
      <c r="P111" s="127" t="s">
        <v>534</v>
      </c>
      <c r="Q111" s="58"/>
      <c r="R111" s="58"/>
      <c r="S111" s="217" t="e">
        <f>#REF!</f>
        <v>#REF!</v>
      </c>
      <c r="T111" s="103"/>
      <c r="V111" s="294" t="s">
        <v>35</v>
      </c>
      <c r="W111" s="110"/>
      <c r="Z111" s="215">
        <v>17.612014770507809</v>
      </c>
      <c r="AA111" s="215" t="e">
        <f t="shared" si="22"/>
        <v>#REF!</v>
      </c>
      <c r="AB111" s="103" t="e">
        <f t="shared" si="23"/>
        <v>#REF!</v>
      </c>
    </row>
    <row r="112" spans="1:28" s="109" customFormat="1" x14ac:dyDescent="0.2">
      <c r="A112" s="71"/>
      <c r="B112" s="205"/>
      <c r="C112" s="72"/>
      <c r="D112" s="335"/>
      <c r="E112" s="78"/>
      <c r="F112" s="335"/>
      <c r="G112" s="78"/>
      <c r="H112" s="78"/>
      <c r="I112" s="78"/>
      <c r="J112" s="72"/>
      <c r="K112" s="78"/>
      <c r="L112" s="510"/>
      <c r="M112" s="78"/>
      <c r="N112" s="65"/>
      <c r="O112" s="65"/>
      <c r="P112" s="65"/>
      <c r="Q112" s="65"/>
      <c r="R112" s="39"/>
      <c r="S112" s="217" t="e">
        <f>#REF!</f>
        <v>#REF!</v>
      </c>
      <c r="T112" s="111"/>
      <c r="U112" s="110"/>
      <c r="X112" s="117"/>
      <c r="Y112" s="146"/>
      <c r="Z112" s="216"/>
      <c r="AA112" s="216" t="str">
        <f t="shared" si="22"/>
        <v/>
      </c>
      <c r="AB112" s="103" t="str">
        <f t="shared" si="23"/>
        <v/>
      </c>
    </row>
    <row r="113" spans="1:28" s="109" customFormat="1" ht="222" customHeight="1" x14ac:dyDescent="0.2">
      <c r="A113" s="71" t="e">
        <f>A106+1</f>
        <v>#REF!</v>
      </c>
      <c r="B113" s="284" t="s">
        <v>535</v>
      </c>
      <c r="C113" s="108" t="s">
        <v>535</v>
      </c>
      <c r="D113" s="107" t="s">
        <v>536</v>
      </c>
      <c r="E113" s="106">
        <f>LEN(D113)</f>
        <v>167</v>
      </c>
      <c r="F113" s="307" t="s">
        <v>537</v>
      </c>
      <c r="G113" s="106">
        <f>LEN(F113)</f>
        <v>211</v>
      </c>
      <c r="H113" s="154" t="s">
        <v>538</v>
      </c>
      <c r="I113" s="116">
        <f>LEN(H113)</f>
        <v>156</v>
      </c>
      <c r="J113" s="116" t="s">
        <v>40</v>
      </c>
      <c r="K113" s="106" t="s">
        <v>25</v>
      </c>
      <c r="L113" s="108" t="s">
        <v>25</v>
      </c>
      <c r="M113" s="106" t="s">
        <v>41</v>
      </c>
      <c r="N113" s="105" t="s">
        <v>539</v>
      </c>
      <c r="O113" s="167" t="s">
        <v>25</v>
      </c>
      <c r="P113" s="105" t="s">
        <v>540</v>
      </c>
      <c r="Q113" s="65"/>
      <c r="R113" s="39"/>
      <c r="S113" s="217" t="e">
        <f>#REF!</f>
        <v>#REF!</v>
      </c>
      <c r="T113" s="103"/>
      <c r="V113" s="294" t="s">
        <v>35</v>
      </c>
      <c r="W113" s="110"/>
      <c r="Z113" s="215">
        <v>10.457156181335449</v>
      </c>
      <c r="AA113" s="215" t="e">
        <f t="shared" si="22"/>
        <v>#REF!</v>
      </c>
      <c r="AB113" s="103" t="e">
        <f t="shared" si="23"/>
        <v>#REF!</v>
      </c>
    </row>
    <row r="114" spans="1:28" s="109" customFormat="1" ht="340" customHeight="1" x14ac:dyDescent="0.2">
      <c r="A114" s="513" t="e">
        <f>A113+1</f>
        <v>#REF!</v>
      </c>
      <c r="B114" s="139" t="s">
        <v>541</v>
      </c>
      <c r="C114" s="115" t="s">
        <v>542</v>
      </c>
      <c r="D114" s="127" t="s">
        <v>543</v>
      </c>
      <c r="E114" s="114">
        <f>LEN(D114)</f>
        <v>684</v>
      </c>
      <c r="F114" s="307" t="s">
        <v>544</v>
      </c>
      <c r="G114" s="114">
        <f>LEN(F114)</f>
        <v>863</v>
      </c>
      <c r="H114" s="307" t="s">
        <v>545</v>
      </c>
      <c r="I114" s="123">
        <f>LEN(H114)</f>
        <v>708</v>
      </c>
      <c r="J114" s="115" t="s">
        <v>514</v>
      </c>
      <c r="K114" s="114" t="s">
        <v>25</v>
      </c>
      <c r="L114" s="133" t="s">
        <v>25</v>
      </c>
      <c r="M114" s="114" t="s">
        <v>546</v>
      </c>
      <c r="N114" s="127" t="s">
        <v>547</v>
      </c>
      <c r="O114" s="123" t="s">
        <v>548</v>
      </c>
      <c r="P114" s="127" t="s">
        <v>549</v>
      </c>
      <c r="Q114" s="58"/>
      <c r="R114" s="58"/>
      <c r="S114" s="217" t="e">
        <f>#REF!</f>
        <v>#REF!</v>
      </c>
      <c r="T114" s="103"/>
      <c r="V114" s="294" t="s">
        <v>35</v>
      </c>
      <c r="W114" s="110"/>
      <c r="Z114" s="215">
        <v>20.769962310791019</v>
      </c>
      <c r="AA114" s="215" t="e">
        <f t="shared" si="22"/>
        <v>#REF!</v>
      </c>
      <c r="AB114" s="103" t="e">
        <f t="shared" si="23"/>
        <v>#REF!</v>
      </c>
    </row>
    <row r="115" spans="1:28" s="109" customFormat="1" x14ac:dyDescent="0.2">
      <c r="A115" s="513"/>
      <c r="B115" s="137"/>
      <c r="C115" s="36"/>
      <c r="D115" s="334"/>
      <c r="E115" s="35"/>
      <c r="F115" s="307"/>
      <c r="G115" s="35"/>
      <c r="H115" s="535"/>
      <c r="I115" s="536"/>
      <c r="J115" s="36"/>
      <c r="K115" s="35"/>
      <c r="L115" s="81"/>
      <c r="M115" s="35"/>
      <c r="N115" s="58"/>
      <c r="O115" s="58"/>
      <c r="P115" s="58"/>
      <c r="Q115" s="58"/>
      <c r="R115" s="58"/>
      <c r="S115" s="217" t="e">
        <f>#REF!</f>
        <v>#REF!</v>
      </c>
      <c r="T115" s="103"/>
      <c r="V115" s="111"/>
      <c r="W115" s="110"/>
      <c r="Z115" s="216"/>
      <c r="AA115" s="216" t="str">
        <f t="shared" si="22"/>
        <v/>
      </c>
      <c r="AB115" s="103" t="str">
        <f t="shared" si="23"/>
        <v/>
      </c>
    </row>
    <row r="116" spans="1:28" s="109" customFormat="1" ht="261" customHeight="1" x14ac:dyDescent="0.2">
      <c r="A116" s="513" t="e">
        <f>A114+1</f>
        <v>#REF!</v>
      </c>
      <c r="B116" s="139" t="s">
        <v>550</v>
      </c>
      <c r="C116" s="115" t="s">
        <v>550</v>
      </c>
      <c r="D116" s="127" t="s">
        <v>551</v>
      </c>
      <c r="E116" s="114">
        <f>LEN(D116)</f>
        <v>336</v>
      </c>
      <c r="F116" s="307" t="s">
        <v>552</v>
      </c>
      <c r="G116" s="114">
        <f>LEN(F116)</f>
        <v>394</v>
      </c>
      <c r="H116" s="307" t="s">
        <v>553</v>
      </c>
      <c r="I116" s="123">
        <f>LEN(H116)</f>
        <v>345</v>
      </c>
      <c r="J116" s="123" t="s">
        <v>40</v>
      </c>
      <c r="K116" s="114" t="s">
        <v>25</v>
      </c>
      <c r="L116" s="114" t="s">
        <v>25</v>
      </c>
      <c r="M116" s="114" t="s">
        <v>41</v>
      </c>
      <c r="N116" s="307" t="s">
        <v>554</v>
      </c>
      <c r="O116" s="123" t="s">
        <v>25</v>
      </c>
      <c r="P116" s="143" t="s">
        <v>555</v>
      </c>
      <c r="Q116" s="34"/>
      <c r="R116" s="58"/>
      <c r="S116" s="217" t="e">
        <f>#REF!</f>
        <v>#REF!</v>
      </c>
      <c r="T116" s="103"/>
      <c r="V116" s="294" t="s">
        <v>35</v>
      </c>
      <c r="W116" s="110"/>
      <c r="Z116" s="215">
        <v>23.569721221923832</v>
      </c>
      <c r="AA116" s="215" t="e">
        <f t="shared" si="22"/>
        <v>#REF!</v>
      </c>
      <c r="AB116" s="103" t="e">
        <f t="shared" si="23"/>
        <v>#REF!</v>
      </c>
    </row>
    <row r="117" spans="1:28" s="109" customFormat="1" x14ac:dyDescent="0.2">
      <c r="A117" s="513"/>
      <c r="B117" s="137"/>
      <c r="C117" s="36"/>
      <c r="D117" s="334"/>
      <c r="E117" s="35"/>
      <c r="F117" s="334"/>
      <c r="G117" s="35"/>
      <c r="H117" s="35"/>
      <c r="I117" s="35"/>
      <c r="J117" s="36"/>
      <c r="K117" s="35"/>
      <c r="L117" s="81"/>
      <c r="M117" s="35"/>
      <c r="N117" s="58"/>
      <c r="O117" s="58"/>
      <c r="P117" s="58"/>
      <c r="Q117" s="58"/>
      <c r="R117" s="58"/>
      <c r="S117" s="217" t="e">
        <f>#REF!</f>
        <v>#REF!</v>
      </c>
      <c r="T117" s="103"/>
      <c r="V117" s="111"/>
      <c r="W117" s="110"/>
      <c r="Z117" s="216"/>
      <c r="AA117" s="216" t="str">
        <f t="shared" si="22"/>
        <v/>
      </c>
      <c r="AB117" s="103" t="str">
        <f t="shared" si="23"/>
        <v/>
      </c>
    </row>
    <row r="118" spans="1:28" s="293" customFormat="1" x14ac:dyDescent="0.2">
      <c r="A118" s="641" t="s">
        <v>556</v>
      </c>
      <c r="B118" s="637"/>
      <c r="C118" s="637"/>
      <c r="D118" s="637"/>
      <c r="E118" s="637"/>
      <c r="F118" s="637"/>
      <c r="G118" s="637"/>
      <c r="H118" s="637"/>
      <c r="I118" s="637"/>
      <c r="J118" s="637"/>
      <c r="K118" s="637"/>
      <c r="L118" s="637"/>
      <c r="M118" s="637"/>
      <c r="N118" s="637"/>
      <c r="O118" s="637"/>
      <c r="P118" s="637"/>
      <c r="Q118" s="637"/>
      <c r="R118" s="642"/>
      <c r="S118" s="212"/>
      <c r="T118" s="296"/>
      <c r="V118" s="294"/>
      <c r="W118" s="297"/>
      <c r="Z118" s="215"/>
      <c r="AA118" s="215" t="str">
        <f t="shared" si="22"/>
        <v/>
      </c>
      <c r="AB118" s="296" t="str">
        <f t="shared" si="23"/>
        <v/>
      </c>
    </row>
    <row r="119" spans="1:28" s="109" customFormat="1" ht="136" customHeight="1" x14ac:dyDescent="0.2">
      <c r="A119" s="513" t="e">
        <f>A116+1</f>
        <v>#REF!</v>
      </c>
      <c r="B119" s="537" t="s">
        <v>557</v>
      </c>
      <c r="C119" s="538" t="s">
        <v>557</v>
      </c>
      <c r="D119" s="539" t="s">
        <v>558</v>
      </c>
      <c r="E119" s="114">
        <f>LEN(D119)</f>
        <v>173</v>
      </c>
      <c r="F119" s="540" t="s">
        <v>559</v>
      </c>
      <c r="G119" s="114">
        <f>LEN(F119)</f>
        <v>215</v>
      </c>
      <c r="H119" s="307" t="s">
        <v>560</v>
      </c>
      <c r="I119" s="123">
        <f>LEN(H119)</f>
        <v>154</v>
      </c>
      <c r="J119" s="114" t="s">
        <v>40</v>
      </c>
      <c r="K119" s="114" t="s">
        <v>25</v>
      </c>
      <c r="L119" s="114" t="s">
        <v>561</v>
      </c>
      <c r="M119" s="114" t="s">
        <v>41</v>
      </c>
      <c r="N119" s="127" t="s">
        <v>562</v>
      </c>
      <c r="O119" s="123" t="s">
        <v>25</v>
      </c>
      <c r="P119" s="143" t="s">
        <v>563</v>
      </c>
      <c r="Q119" s="34"/>
      <c r="R119" s="58"/>
      <c r="S119" s="212" t="e">
        <f>#REF!</f>
        <v>#REF!</v>
      </c>
      <c r="T119" s="103"/>
      <c r="V119" s="294" t="s">
        <v>35</v>
      </c>
      <c r="W119" s="110"/>
      <c r="Z119" s="215">
        <v>4.5019583702087402</v>
      </c>
      <c r="AA119" s="215" t="e">
        <f t="shared" si="22"/>
        <v>#REF!</v>
      </c>
      <c r="AB119" s="103" t="e">
        <f t="shared" si="23"/>
        <v>#REF!</v>
      </c>
    </row>
    <row r="120" spans="1:28" s="109" customFormat="1" x14ac:dyDescent="0.2">
      <c r="A120" s="513"/>
      <c r="B120" s="137"/>
      <c r="C120" s="36"/>
      <c r="D120" s="334"/>
      <c r="E120" s="35"/>
      <c r="F120" s="314"/>
      <c r="G120" s="35"/>
      <c r="H120" s="35"/>
      <c r="I120" s="35"/>
      <c r="J120" s="36"/>
      <c r="K120" s="35"/>
      <c r="L120" s="81"/>
      <c r="M120" s="35"/>
      <c r="N120" s="58"/>
      <c r="O120" s="58"/>
      <c r="P120" s="58"/>
      <c r="Q120" s="58"/>
      <c r="R120" s="58"/>
      <c r="S120" s="217" t="e">
        <f>#REF!</f>
        <v>#REF!</v>
      </c>
      <c r="T120" s="103"/>
      <c r="V120" s="111"/>
      <c r="W120" s="110"/>
      <c r="Z120" s="216"/>
      <c r="AA120" s="216" t="str">
        <f t="shared" si="22"/>
        <v/>
      </c>
      <c r="AB120" s="103" t="str">
        <f t="shared" si="23"/>
        <v/>
      </c>
    </row>
    <row r="121" spans="1:28" s="109" customFormat="1" ht="340" customHeight="1" x14ac:dyDescent="0.2">
      <c r="A121" s="513" t="e">
        <f>A119+1</f>
        <v>#REF!</v>
      </c>
      <c r="B121" s="139" t="s">
        <v>564</v>
      </c>
      <c r="C121" s="115" t="s">
        <v>564</v>
      </c>
      <c r="D121" s="127" t="s">
        <v>565</v>
      </c>
      <c r="E121" s="114">
        <f>LEN(D121)</f>
        <v>578</v>
      </c>
      <c r="F121" s="143" t="s">
        <v>566</v>
      </c>
      <c r="G121" s="114">
        <f>LEN(F121)</f>
        <v>640</v>
      </c>
      <c r="H121" s="307" t="s">
        <v>567</v>
      </c>
      <c r="I121" s="123">
        <f>LEN(H121)</f>
        <v>597</v>
      </c>
      <c r="J121" s="114" t="s">
        <v>40</v>
      </c>
      <c r="K121" s="114" t="s">
        <v>25</v>
      </c>
      <c r="L121" s="114" t="s">
        <v>25</v>
      </c>
      <c r="M121" s="115" t="s">
        <v>568</v>
      </c>
      <c r="N121" s="127" t="s">
        <v>569</v>
      </c>
      <c r="O121" s="123" t="s">
        <v>25</v>
      </c>
      <c r="P121" s="143" t="s">
        <v>570</v>
      </c>
      <c r="Q121" s="34"/>
      <c r="R121" s="58"/>
      <c r="S121" s="212" t="e">
        <f>#REF!</f>
        <v>#REF!</v>
      </c>
      <c r="T121" s="103"/>
      <c r="V121" s="294" t="s">
        <v>35</v>
      </c>
      <c r="W121" s="110"/>
      <c r="Z121" s="215">
        <v>17.402484893798832</v>
      </c>
      <c r="AA121" s="215" t="e">
        <f t="shared" si="22"/>
        <v>#REF!</v>
      </c>
      <c r="AB121" s="103" t="e">
        <f t="shared" si="23"/>
        <v>#REF!</v>
      </c>
    </row>
    <row r="122" spans="1:28" s="109" customFormat="1" x14ac:dyDescent="0.2">
      <c r="A122" s="513"/>
      <c r="B122" s="137"/>
      <c r="C122" s="36"/>
      <c r="D122" s="58"/>
      <c r="E122" s="35"/>
      <c r="F122" s="34"/>
      <c r="G122" s="35"/>
      <c r="H122" s="35"/>
      <c r="I122" s="35"/>
      <c r="J122" s="35"/>
      <c r="K122" s="35"/>
      <c r="L122" s="35"/>
      <c r="M122" s="36"/>
      <c r="N122" s="58"/>
      <c r="O122" s="58"/>
      <c r="P122" s="34"/>
      <c r="Q122" s="34"/>
      <c r="R122" s="58"/>
      <c r="S122" s="217" t="e">
        <f>#REF!</f>
        <v>#REF!</v>
      </c>
      <c r="T122" s="103"/>
      <c r="V122" s="111"/>
      <c r="W122" s="110"/>
      <c r="Z122" s="216"/>
      <c r="AA122" s="216" t="str">
        <f t="shared" si="22"/>
        <v/>
      </c>
      <c r="AB122" s="103" t="str">
        <f t="shared" si="23"/>
        <v/>
      </c>
    </row>
    <row r="123" spans="1:28" s="109" customFormat="1" ht="68" customHeight="1" x14ac:dyDescent="0.2">
      <c r="A123" s="513" t="e">
        <f>A121+1</f>
        <v>#REF!</v>
      </c>
      <c r="B123" s="139" t="s">
        <v>571</v>
      </c>
      <c r="C123" s="115" t="s">
        <v>571</v>
      </c>
      <c r="D123" s="127" t="s">
        <v>572</v>
      </c>
      <c r="E123" s="114">
        <f>LEN(D123)</f>
        <v>152</v>
      </c>
      <c r="F123" s="143" t="s">
        <v>573</v>
      </c>
      <c r="G123" s="114">
        <f>LEN(F123)</f>
        <v>176</v>
      </c>
      <c r="H123" s="307" t="s">
        <v>574</v>
      </c>
      <c r="I123" s="123">
        <f>LEN(H123)</f>
        <v>152</v>
      </c>
      <c r="J123" s="123" t="s">
        <v>146</v>
      </c>
      <c r="K123" s="114" t="s">
        <v>25</v>
      </c>
      <c r="L123" s="114" t="s">
        <v>25</v>
      </c>
      <c r="M123" s="114" t="s">
        <v>28</v>
      </c>
      <c r="N123" s="127" t="s">
        <v>575</v>
      </c>
      <c r="O123" s="123" t="s">
        <v>25</v>
      </c>
      <c r="P123" s="127" t="s">
        <v>576</v>
      </c>
      <c r="Q123" s="58"/>
      <c r="R123" s="58"/>
      <c r="S123" s="212" t="e">
        <f>#REF!</f>
        <v>#REF!</v>
      </c>
      <c r="T123" s="103"/>
      <c r="V123" s="294" t="s">
        <v>35</v>
      </c>
      <c r="W123" s="110"/>
      <c r="Z123" s="215">
        <v>16.332881927490231</v>
      </c>
      <c r="AA123" s="215" t="e">
        <f t="shared" si="22"/>
        <v>#REF!</v>
      </c>
      <c r="AB123" s="103" t="e">
        <f t="shared" si="23"/>
        <v>#REF!</v>
      </c>
    </row>
    <row r="124" spans="1:28" s="109" customFormat="1" ht="68" customHeight="1" x14ac:dyDescent="0.2">
      <c r="A124" s="513" t="e">
        <f>A123+1</f>
        <v>#REF!</v>
      </c>
      <c r="B124" s="139" t="s">
        <v>577</v>
      </c>
      <c r="C124" s="115" t="s">
        <v>577</v>
      </c>
      <c r="D124" s="126" t="s">
        <v>578</v>
      </c>
      <c r="E124" s="114">
        <f>LEN(D124)</f>
        <v>128</v>
      </c>
      <c r="F124" s="143" t="s">
        <v>579</v>
      </c>
      <c r="G124" s="114">
        <f>LEN(F124)</f>
        <v>152</v>
      </c>
      <c r="H124" s="307" t="s">
        <v>580</v>
      </c>
      <c r="I124" s="123">
        <f>LEN(H124)</f>
        <v>130</v>
      </c>
      <c r="J124" s="123" t="s">
        <v>146</v>
      </c>
      <c r="K124" s="114" t="s">
        <v>25</v>
      </c>
      <c r="L124" s="114" t="s">
        <v>25</v>
      </c>
      <c r="M124" s="114" t="s">
        <v>28</v>
      </c>
      <c r="N124" s="127" t="s">
        <v>581</v>
      </c>
      <c r="O124" s="123" t="s">
        <v>25</v>
      </c>
      <c r="P124" s="127" t="s">
        <v>582</v>
      </c>
      <c r="Q124" s="58"/>
      <c r="R124" s="58"/>
      <c r="S124" s="212" t="e">
        <f>#REF!</f>
        <v>#REF!</v>
      </c>
      <c r="T124" s="103"/>
      <c r="V124" s="294" t="s">
        <v>35</v>
      </c>
      <c r="W124" s="110"/>
      <c r="Z124" s="215">
        <v>7.4144525527954102</v>
      </c>
      <c r="AA124" s="215" t="e">
        <f t="shared" si="22"/>
        <v>#REF!</v>
      </c>
      <c r="AB124" s="103" t="e">
        <f t="shared" si="23"/>
        <v>#REF!</v>
      </c>
    </row>
    <row r="125" spans="1:28" s="109" customFormat="1" ht="400" customHeight="1" x14ac:dyDescent="0.2">
      <c r="A125" s="513">
        <v>44</v>
      </c>
      <c r="B125" s="139" t="s">
        <v>583</v>
      </c>
      <c r="C125" s="115" t="s">
        <v>584</v>
      </c>
      <c r="D125" s="127" t="s">
        <v>585</v>
      </c>
      <c r="E125" s="114">
        <f>LEN(D125)</f>
        <v>787</v>
      </c>
      <c r="F125" s="307" t="s">
        <v>586</v>
      </c>
      <c r="G125" s="114">
        <f>LEN(F125)</f>
        <v>934</v>
      </c>
      <c r="H125" s="307" t="s">
        <v>587</v>
      </c>
      <c r="I125" s="123">
        <f>LEN(H125)</f>
        <v>797</v>
      </c>
      <c r="J125" s="115" t="s">
        <v>514</v>
      </c>
      <c r="K125" s="114" t="s">
        <v>25</v>
      </c>
      <c r="L125" s="114" t="s">
        <v>25</v>
      </c>
      <c r="M125" s="114" t="s">
        <v>588</v>
      </c>
      <c r="N125" s="127" t="s">
        <v>589</v>
      </c>
      <c r="O125" s="123" t="s">
        <v>590</v>
      </c>
      <c r="P125" s="143" t="s">
        <v>591</v>
      </c>
      <c r="Q125" s="511"/>
      <c r="R125" s="58"/>
      <c r="S125" s="212" t="e">
        <f>#REF!</f>
        <v>#REF!</v>
      </c>
      <c r="T125" s="103"/>
      <c r="V125" s="294" t="s">
        <v>35</v>
      </c>
      <c r="W125" s="110"/>
      <c r="Z125" s="215">
        <v>17.791135787963871</v>
      </c>
      <c r="AA125" s="215" t="e">
        <f t="shared" si="22"/>
        <v>#REF!</v>
      </c>
      <c r="AB125" s="103" t="e">
        <f t="shared" si="23"/>
        <v>#REF!</v>
      </c>
    </row>
    <row r="126" spans="1:28" s="109" customFormat="1" x14ac:dyDescent="0.2">
      <c r="A126" s="513"/>
      <c r="B126" s="137"/>
      <c r="C126" s="36"/>
      <c r="D126" s="58"/>
      <c r="E126" s="35"/>
      <c r="F126" s="543"/>
      <c r="G126" s="35"/>
      <c r="H126" s="35"/>
      <c r="I126" s="35"/>
      <c r="J126" s="73"/>
      <c r="K126" s="35"/>
      <c r="L126" s="35"/>
      <c r="M126" s="35"/>
      <c r="N126" s="58"/>
      <c r="O126" s="58"/>
      <c r="P126" s="58"/>
      <c r="Q126" s="58"/>
      <c r="R126" s="58"/>
      <c r="S126" s="217" t="e">
        <f>#REF!</f>
        <v>#REF!</v>
      </c>
      <c r="T126" s="103"/>
      <c r="V126" s="111"/>
      <c r="W126" s="110"/>
      <c r="Z126" s="216"/>
      <c r="AA126" s="216" t="str">
        <f t="shared" si="22"/>
        <v/>
      </c>
      <c r="AB126" s="103" t="str">
        <f t="shared" si="23"/>
        <v/>
      </c>
    </row>
    <row r="127" spans="1:28" s="109" customFormat="1" ht="153" customHeight="1" x14ac:dyDescent="0.2">
      <c r="A127" s="513" t="e">
        <f>#REF!+1</f>
        <v>#REF!</v>
      </c>
      <c r="B127" s="139" t="s">
        <v>592</v>
      </c>
      <c r="C127" s="115" t="s">
        <v>592</v>
      </c>
      <c r="D127" s="127" t="s">
        <v>593</v>
      </c>
      <c r="E127" s="114">
        <f>LEN(D127)</f>
        <v>167</v>
      </c>
      <c r="F127" s="307" t="s">
        <v>594</v>
      </c>
      <c r="G127" s="114">
        <f>LEN(F127)</f>
        <v>187</v>
      </c>
      <c r="H127" s="307" t="s">
        <v>595</v>
      </c>
      <c r="I127" s="123">
        <f>LEN(H127)</f>
        <v>144</v>
      </c>
      <c r="J127" s="123" t="s">
        <v>40</v>
      </c>
      <c r="K127" s="114" t="s">
        <v>25</v>
      </c>
      <c r="L127" s="114" t="s">
        <v>25</v>
      </c>
      <c r="M127" s="114" t="s">
        <v>41</v>
      </c>
      <c r="N127" s="127" t="s">
        <v>596</v>
      </c>
      <c r="O127" s="123" t="s">
        <v>25</v>
      </c>
      <c r="P127" s="127" t="s">
        <v>597</v>
      </c>
      <c r="Q127" s="527"/>
      <c r="R127" s="58"/>
      <c r="S127" s="212" t="e">
        <f>#REF!</f>
        <v>#REF!</v>
      </c>
      <c r="T127" s="103"/>
      <c r="V127" s="294" t="s">
        <v>35</v>
      </c>
      <c r="W127" s="110"/>
      <c r="Z127" s="215">
        <v>10.37455940246582</v>
      </c>
      <c r="AA127" s="215" t="e">
        <f t="shared" si="22"/>
        <v>#REF!</v>
      </c>
      <c r="AB127" s="103" t="e">
        <f t="shared" si="23"/>
        <v>#REF!</v>
      </c>
    </row>
    <row r="128" spans="1:28" s="109" customFormat="1" ht="372" customHeight="1" x14ac:dyDescent="0.2">
      <c r="A128" s="513" t="e">
        <f>A127+1</f>
        <v>#REF!</v>
      </c>
      <c r="B128" s="139" t="s">
        <v>598</v>
      </c>
      <c r="C128" s="115" t="s">
        <v>599</v>
      </c>
      <c r="D128" s="127" t="s">
        <v>600</v>
      </c>
      <c r="E128" s="114">
        <f>LEN(D128)</f>
        <v>662</v>
      </c>
      <c r="F128" s="307" t="s">
        <v>601</v>
      </c>
      <c r="G128" s="114">
        <f>LEN(F128)</f>
        <v>762</v>
      </c>
      <c r="H128" s="307" t="s">
        <v>602</v>
      </c>
      <c r="I128" s="123">
        <f>LEN(H128)</f>
        <v>589</v>
      </c>
      <c r="J128" s="115" t="s">
        <v>514</v>
      </c>
      <c r="K128" s="114" t="s">
        <v>25</v>
      </c>
      <c r="L128" s="114" t="s">
        <v>25</v>
      </c>
      <c r="M128" s="114" t="s">
        <v>603</v>
      </c>
      <c r="N128" s="285" t="s">
        <v>604</v>
      </c>
      <c r="O128" s="123" t="s">
        <v>605</v>
      </c>
      <c r="P128" s="127" t="s">
        <v>606</v>
      </c>
      <c r="Q128" s="527"/>
      <c r="R128" s="58"/>
      <c r="S128" s="212" t="e">
        <f>#REF!</f>
        <v>#REF!</v>
      </c>
      <c r="T128" s="103"/>
      <c r="V128" s="294" t="s">
        <v>35</v>
      </c>
      <c r="W128" s="110"/>
      <c r="Z128" s="215">
        <v>19.616762161254879</v>
      </c>
      <c r="AA128" s="215" t="e">
        <f t="shared" si="22"/>
        <v>#REF!</v>
      </c>
      <c r="AB128" s="103" t="e">
        <f t="shared" si="23"/>
        <v>#REF!</v>
      </c>
    </row>
    <row r="129" spans="1:28" s="109" customFormat="1" x14ac:dyDescent="0.2">
      <c r="A129" s="513"/>
      <c r="B129" s="137"/>
      <c r="C129" s="36"/>
      <c r="D129" s="58"/>
      <c r="E129" s="35"/>
      <c r="F129" s="35"/>
      <c r="G129" s="35"/>
      <c r="H129" s="35"/>
      <c r="I129" s="35"/>
      <c r="J129" s="73"/>
      <c r="K129" s="35"/>
      <c r="L129" s="35"/>
      <c r="M129" s="35"/>
      <c r="N129" s="58"/>
      <c r="O129" s="58"/>
      <c r="P129" s="58"/>
      <c r="Q129" s="58"/>
      <c r="R129" s="58"/>
      <c r="S129" s="217" t="e">
        <f>#REF!</f>
        <v>#REF!</v>
      </c>
      <c r="T129" s="103"/>
      <c r="V129" s="111"/>
      <c r="W129" s="110"/>
      <c r="Z129" s="216"/>
      <c r="AA129" s="216" t="str">
        <f t="shared" si="22"/>
        <v/>
      </c>
      <c r="AB129" s="103" t="str">
        <f t="shared" si="23"/>
        <v/>
      </c>
    </row>
    <row r="130" spans="1:28" s="293" customFormat="1" x14ac:dyDescent="0.2">
      <c r="A130" s="641" t="s">
        <v>607</v>
      </c>
      <c r="B130" s="637"/>
      <c r="C130" s="637"/>
      <c r="D130" s="637"/>
      <c r="E130" s="637"/>
      <c r="F130" s="637"/>
      <c r="G130" s="637"/>
      <c r="H130" s="637"/>
      <c r="I130" s="637"/>
      <c r="J130" s="637"/>
      <c r="K130" s="637"/>
      <c r="L130" s="637"/>
      <c r="M130" s="637"/>
      <c r="N130" s="637"/>
      <c r="O130" s="637"/>
      <c r="P130" s="637"/>
      <c r="Q130" s="637"/>
      <c r="R130" s="642"/>
      <c r="S130" s="212"/>
      <c r="T130" s="296"/>
      <c r="V130" s="294"/>
      <c r="W130" s="297"/>
      <c r="Z130" s="215"/>
      <c r="AA130" s="215" t="str">
        <f t="shared" si="22"/>
        <v/>
      </c>
      <c r="AB130" s="296" t="str">
        <f t="shared" si="23"/>
        <v/>
      </c>
    </row>
    <row r="131" spans="1:28" s="109" customFormat="1" ht="340" customHeight="1" x14ac:dyDescent="0.2">
      <c r="A131" s="513" t="e">
        <f>A128+1</f>
        <v>#REF!</v>
      </c>
      <c r="B131" s="139" t="s">
        <v>608</v>
      </c>
      <c r="C131" s="115" t="s">
        <v>608</v>
      </c>
      <c r="D131" s="126" t="s">
        <v>609</v>
      </c>
      <c r="E131" s="114">
        <f>LEN(D131)</f>
        <v>503</v>
      </c>
      <c r="F131" s="307" t="s">
        <v>610</v>
      </c>
      <c r="G131" s="114">
        <f>LEN(F131)</f>
        <v>563</v>
      </c>
      <c r="H131" s="307" t="s">
        <v>611</v>
      </c>
      <c r="I131" s="123">
        <f>LEN(H131)</f>
        <v>490</v>
      </c>
      <c r="J131" s="123" t="s">
        <v>40</v>
      </c>
      <c r="K131" s="114" t="s">
        <v>25</v>
      </c>
      <c r="L131" s="114" t="s">
        <v>612</v>
      </c>
      <c r="M131" s="115" t="s">
        <v>613</v>
      </c>
      <c r="N131" s="127" t="s">
        <v>614</v>
      </c>
      <c r="O131" s="123" t="s">
        <v>25</v>
      </c>
      <c r="P131" s="127" t="s">
        <v>615</v>
      </c>
      <c r="Q131" s="58"/>
      <c r="R131" s="58"/>
      <c r="S131" s="212" t="e">
        <f>#REF!</f>
        <v>#REF!</v>
      </c>
      <c r="T131" s="103"/>
      <c r="V131" s="294" t="s">
        <v>35</v>
      </c>
      <c r="W131" s="110"/>
      <c r="Z131" s="215">
        <v>12.992362976074221</v>
      </c>
      <c r="AA131" s="215" t="e">
        <f t="shared" si="22"/>
        <v>#REF!</v>
      </c>
      <c r="AB131" s="103" t="e">
        <f t="shared" si="23"/>
        <v>#REF!</v>
      </c>
    </row>
    <row r="132" spans="1:28" s="109" customFormat="1" x14ac:dyDescent="0.2">
      <c r="A132" s="513"/>
      <c r="B132" s="137"/>
      <c r="C132" s="36"/>
      <c r="D132" s="135"/>
      <c r="E132" s="35"/>
      <c r="F132" s="35"/>
      <c r="G132" s="35"/>
      <c r="H132" s="35"/>
      <c r="I132" s="35"/>
      <c r="J132" s="73"/>
      <c r="K132" s="35"/>
      <c r="L132" s="35"/>
      <c r="M132" s="36"/>
      <c r="N132" s="58"/>
      <c r="O132" s="58"/>
      <c r="P132" s="58"/>
      <c r="Q132" s="58"/>
      <c r="R132" s="58"/>
      <c r="S132" s="217" t="e">
        <f>#REF!</f>
        <v>#REF!</v>
      </c>
      <c r="T132" s="103"/>
      <c r="V132" s="111"/>
      <c r="W132" s="110"/>
      <c r="Z132" s="216"/>
      <c r="AA132" s="216" t="str">
        <f t="shared" si="22"/>
        <v/>
      </c>
      <c r="AB132" s="103" t="str">
        <f t="shared" si="23"/>
        <v/>
      </c>
    </row>
    <row r="133" spans="1:28" s="109" customFormat="1" ht="153" customHeight="1" x14ac:dyDescent="0.2">
      <c r="A133" s="513" t="e">
        <f>A131+1</f>
        <v>#REF!</v>
      </c>
      <c r="B133" s="128" t="s">
        <v>616</v>
      </c>
      <c r="C133" s="115" t="s">
        <v>616</v>
      </c>
      <c r="D133" s="127" t="s">
        <v>617</v>
      </c>
      <c r="E133" s="114">
        <f>LEN(D133)</f>
        <v>166</v>
      </c>
      <c r="F133" s="307" t="s">
        <v>618</v>
      </c>
      <c r="G133" s="114">
        <f>LEN(F133)</f>
        <v>198</v>
      </c>
      <c r="H133" s="307" t="s">
        <v>619</v>
      </c>
      <c r="I133" s="123">
        <f>LEN(H133)</f>
        <v>145</v>
      </c>
      <c r="J133" s="123" t="s">
        <v>40</v>
      </c>
      <c r="K133" s="114" t="s">
        <v>25</v>
      </c>
      <c r="L133" s="114" t="s">
        <v>25</v>
      </c>
      <c r="M133" s="114" t="s">
        <v>41</v>
      </c>
      <c r="N133" s="127" t="s">
        <v>620</v>
      </c>
      <c r="O133" s="123" t="s">
        <v>25</v>
      </c>
      <c r="P133" s="127" t="s">
        <v>621</v>
      </c>
      <c r="Q133" s="58"/>
      <c r="R133" s="58"/>
      <c r="S133" s="212" t="e">
        <f>#REF!</f>
        <v>#REF!</v>
      </c>
      <c r="T133" s="103"/>
      <c r="V133" s="294" t="s">
        <v>35</v>
      </c>
      <c r="W133" s="110"/>
      <c r="Z133" s="215">
        <v>8.6295709609985352</v>
      </c>
      <c r="AA133" s="215" t="e">
        <f t="shared" si="22"/>
        <v>#REF!</v>
      </c>
      <c r="AB133" s="103" t="e">
        <f t="shared" si="23"/>
        <v>#REF!</v>
      </c>
    </row>
    <row r="134" spans="1:28" s="109" customFormat="1" ht="372" customHeight="1" x14ac:dyDescent="0.2">
      <c r="A134" s="513" t="e">
        <f>A133+1</f>
        <v>#REF!</v>
      </c>
      <c r="B134" s="139" t="s">
        <v>622</v>
      </c>
      <c r="C134" s="115" t="s">
        <v>623</v>
      </c>
      <c r="D134" s="127" t="s">
        <v>624</v>
      </c>
      <c r="E134" s="114">
        <f>LEN(D134)</f>
        <v>751</v>
      </c>
      <c r="F134" s="307" t="s">
        <v>625</v>
      </c>
      <c r="G134" s="114">
        <f>LEN(F134)</f>
        <v>893</v>
      </c>
      <c r="H134" s="307" t="s">
        <v>626</v>
      </c>
      <c r="I134" s="123">
        <f>LEN(H134)</f>
        <v>766</v>
      </c>
      <c r="J134" s="115" t="s">
        <v>514</v>
      </c>
      <c r="K134" s="114" t="s">
        <v>25</v>
      </c>
      <c r="L134" s="114" t="s">
        <v>25</v>
      </c>
      <c r="M134" s="114" t="s">
        <v>627</v>
      </c>
      <c r="N134" s="127" t="s">
        <v>628</v>
      </c>
      <c r="O134" s="123" t="s">
        <v>629</v>
      </c>
      <c r="P134" s="127" t="s">
        <v>630</v>
      </c>
      <c r="Q134" s="58"/>
      <c r="R134" s="58"/>
      <c r="S134" s="212" t="e">
        <f>#REF!</f>
        <v>#REF!</v>
      </c>
      <c r="T134" s="103"/>
      <c r="V134" s="294" t="s">
        <v>35</v>
      </c>
      <c r="W134" s="110"/>
      <c r="Z134" s="215">
        <v>18.256172180175781</v>
      </c>
      <c r="AA134" s="215" t="e">
        <f t="shared" si="22"/>
        <v>#REF!</v>
      </c>
      <c r="AB134" s="103" t="e">
        <f t="shared" si="23"/>
        <v>#REF!</v>
      </c>
    </row>
    <row r="135" spans="1:28" s="109" customFormat="1" x14ac:dyDescent="0.2">
      <c r="A135" s="513"/>
      <c r="B135" s="137"/>
      <c r="C135" s="36"/>
      <c r="D135" s="58"/>
      <c r="E135" s="35"/>
      <c r="F135" s="35"/>
      <c r="G135" s="35"/>
      <c r="H135" s="35"/>
      <c r="I135" s="35"/>
      <c r="J135" s="36"/>
      <c r="K135" s="35"/>
      <c r="L135" s="35"/>
      <c r="M135" s="35"/>
      <c r="N135" s="58"/>
      <c r="O135" s="58"/>
      <c r="P135" s="58"/>
      <c r="Q135" s="58"/>
      <c r="R135" s="58"/>
      <c r="S135" s="217" t="e">
        <f>#REF!</f>
        <v>#REF!</v>
      </c>
      <c r="T135" s="103"/>
      <c r="V135" s="111"/>
      <c r="W135" s="110"/>
      <c r="Z135" s="216"/>
      <c r="AA135" s="216" t="str">
        <f t="shared" si="22"/>
        <v/>
      </c>
      <c r="AB135" s="103" t="str">
        <f t="shared" si="23"/>
        <v/>
      </c>
    </row>
    <row r="136" spans="1:28" s="109" customFormat="1" ht="221" customHeight="1" x14ac:dyDescent="0.2">
      <c r="A136" s="513" t="e">
        <f>A134+1</f>
        <v>#REF!</v>
      </c>
      <c r="B136" s="139" t="s">
        <v>631</v>
      </c>
      <c r="C136" s="115" t="s">
        <v>631</v>
      </c>
      <c r="D136" s="127" t="s">
        <v>632</v>
      </c>
      <c r="E136" s="114">
        <f>LEN(D136)</f>
        <v>334</v>
      </c>
      <c r="F136" s="307" t="s">
        <v>633</v>
      </c>
      <c r="G136" s="114">
        <f>LEN(F136)</f>
        <v>383</v>
      </c>
      <c r="H136" s="307" t="s">
        <v>634</v>
      </c>
      <c r="I136" s="123">
        <f>LEN(H136)</f>
        <v>339</v>
      </c>
      <c r="J136" s="123" t="s">
        <v>40</v>
      </c>
      <c r="K136" s="114" t="s">
        <v>25</v>
      </c>
      <c r="L136" s="114" t="s">
        <v>25</v>
      </c>
      <c r="M136" s="114" t="s">
        <v>41</v>
      </c>
      <c r="N136" s="307" t="s">
        <v>635</v>
      </c>
      <c r="O136" s="123" t="s">
        <v>25</v>
      </c>
      <c r="P136" s="307" t="s">
        <v>636</v>
      </c>
      <c r="Q136" s="134"/>
      <c r="R136" s="58"/>
      <c r="S136" s="212" t="e">
        <f>#REF!</f>
        <v>#REF!</v>
      </c>
      <c r="T136" s="103"/>
      <c r="V136" s="294" t="s">
        <v>35</v>
      </c>
      <c r="W136" s="110"/>
      <c r="Z136" s="215">
        <v>15.45627975463867</v>
      </c>
      <c r="AA136" s="215" t="e">
        <f t="shared" si="22"/>
        <v>#REF!</v>
      </c>
      <c r="AB136" s="103" t="e">
        <f t="shared" si="23"/>
        <v>#REF!</v>
      </c>
    </row>
    <row r="137" spans="1:28" s="109" customFormat="1" x14ac:dyDescent="0.2">
      <c r="A137" s="513"/>
      <c r="B137" s="137"/>
      <c r="C137" s="36"/>
      <c r="D137" s="58"/>
      <c r="E137" s="35"/>
      <c r="F137" s="35"/>
      <c r="G137" s="35"/>
      <c r="H137" s="35"/>
      <c r="I137" s="35"/>
      <c r="J137" s="73"/>
      <c r="K137" s="35"/>
      <c r="L137" s="35"/>
      <c r="M137" s="35"/>
      <c r="N137" s="134"/>
      <c r="O137" s="58"/>
      <c r="P137" s="134"/>
      <c r="Q137" s="134"/>
      <c r="R137" s="58"/>
      <c r="S137" s="217" t="e">
        <f>#REF!</f>
        <v>#REF!</v>
      </c>
      <c r="T137" s="103"/>
      <c r="V137" s="111"/>
      <c r="W137" s="110"/>
      <c r="Z137" s="216"/>
      <c r="AA137" s="216" t="str">
        <f t="shared" si="22"/>
        <v/>
      </c>
      <c r="AB137" s="103" t="str">
        <f t="shared" si="23"/>
        <v/>
      </c>
    </row>
    <row r="138" spans="1:28" s="293" customFormat="1" x14ac:dyDescent="0.2">
      <c r="A138" s="641" t="s">
        <v>637</v>
      </c>
      <c r="B138" s="637"/>
      <c r="C138" s="637"/>
      <c r="D138" s="637"/>
      <c r="E138" s="637"/>
      <c r="F138" s="637"/>
      <c r="G138" s="637"/>
      <c r="H138" s="637"/>
      <c r="I138" s="637"/>
      <c r="J138" s="637"/>
      <c r="K138" s="637"/>
      <c r="L138" s="637"/>
      <c r="M138" s="637"/>
      <c r="N138" s="637"/>
      <c r="O138" s="637"/>
      <c r="P138" s="637"/>
      <c r="Q138" s="637"/>
      <c r="R138" s="642"/>
      <c r="S138" s="212"/>
      <c r="T138" s="296"/>
      <c r="V138" s="294"/>
      <c r="W138" s="297"/>
      <c r="Z138" s="215"/>
      <c r="AA138" s="215" t="str">
        <f t="shared" ref="AA138:AA169" si="24">IF(Z138="","",Z138*S138)</f>
        <v/>
      </c>
      <c r="AB138" s="296" t="str">
        <f t="shared" ref="AB138:AB169" si="25">IF(V138="yes",AA138,"")</f>
        <v/>
      </c>
    </row>
    <row r="139" spans="1:28" s="109" customFormat="1" ht="120" customHeight="1" x14ac:dyDescent="0.2">
      <c r="A139" s="513" t="e">
        <f>A136+1</f>
        <v>#REF!</v>
      </c>
      <c r="B139" s="139" t="s">
        <v>638</v>
      </c>
      <c r="C139" s="115" t="s">
        <v>638</v>
      </c>
      <c r="D139" s="141" t="s">
        <v>639</v>
      </c>
      <c r="E139" s="114">
        <f>LEN(D139)</f>
        <v>218</v>
      </c>
      <c r="F139" s="544" t="s">
        <v>640</v>
      </c>
      <c r="G139" s="114">
        <f>LEN(F139)</f>
        <v>264</v>
      </c>
      <c r="H139" s="307" t="s">
        <v>641</v>
      </c>
      <c r="I139" s="123">
        <f>LEN(H139)</f>
        <v>200</v>
      </c>
      <c r="J139" s="114" t="s">
        <v>40</v>
      </c>
      <c r="K139" s="114" t="s">
        <v>25</v>
      </c>
      <c r="L139" s="114" t="s">
        <v>642</v>
      </c>
      <c r="M139" s="114" t="s">
        <v>41</v>
      </c>
      <c r="N139" s="127" t="s">
        <v>643</v>
      </c>
      <c r="O139" s="123" t="s">
        <v>25</v>
      </c>
      <c r="P139" s="143" t="s">
        <v>644</v>
      </c>
      <c r="Q139" s="34"/>
      <c r="R139" s="58"/>
      <c r="S139" s="212" t="e">
        <f>#REF!</f>
        <v>#REF!</v>
      </c>
      <c r="T139" s="103"/>
      <c r="V139" s="294" t="s">
        <v>35</v>
      </c>
      <c r="W139" s="110"/>
      <c r="Z139" s="215">
        <v>2.4801323413848881</v>
      </c>
      <c r="AA139" s="215" t="e">
        <f t="shared" si="24"/>
        <v>#REF!</v>
      </c>
      <c r="AB139" s="103" t="e">
        <f t="shared" si="25"/>
        <v>#REF!</v>
      </c>
    </row>
    <row r="140" spans="1:28" s="109" customFormat="1" x14ac:dyDescent="0.2">
      <c r="A140" s="513"/>
      <c r="B140" s="137"/>
      <c r="C140" s="36"/>
      <c r="D140" s="58"/>
      <c r="E140" s="35"/>
      <c r="F140" s="58"/>
      <c r="G140" s="35"/>
      <c r="H140" s="535"/>
      <c r="I140" s="536"/>
      <c r="J140" s="73"/>
      <c r="K140" s="35"/>
      <c r="L140" s="35"/>
      <c r="M140" s="35"/>
      <c r="N140" s="134"/>
      <c r="O140" s="545"/>
      <c r="P140" s="134"/>
      <c r="Q140" s="134"/>
      <c r="R140" s="58"/>
      <c r="S140" s="217" t="e">
        <f>#REF!</f>
        <v>#REF!</v>
      </c>
      <c r="T140" s="103"/>
      <c r="V140" s="111"/>
      <c r="W140" s="110"/>
      <c r="Z140" s="216"/>
      <c r="AA140" s="216" t="str">
        <f t="shared" si="24"/>
        <v/>
      </c>
      <c r="AB140" s="103" t="str">
        <f t="shared" si="25"/>
        <v/>
      </c>
    </row>
    <row r="141" spans="1:28" s="109" customFormat="1" ht="204" customHeight="1" x14ac:dyDescent="0.2">
      <c r="A141" s="513" t="e">
        <f>A139+1</f>
        <v>#REF!</v>
      </c>
      <c r="B141" s="139" t="s">
        <v>645</v>
      </c>
      <c r="C141" s="115" t="s">
        <v>646</v>
      </c>
      <c r="D141" s="127" t="s">
        <v>647</v>
      </c>
      <c r="E141" s="114">
        <f>LEN(D141)</f>
        <v>282</v>
      </c>
      <c r="F141" s="307" t="s">
        <v>648</v>
      </c>
      <c r="G141" s="114">
        <f>LEN(F141)</f>
        <v>285</v>
      </c>
      <c r="H141" s="307" t="s">
        <v>649</v>
      </c>
      <c r="I141" s="123">
        <f>LEN(H141)</f>
        <v>222</v>
      </c>
      <c r="J141" s="115" t="s">
        <v>290</v>
      </c>
      <c r="K141" s="114" t="s">
        <v>25</v>
      </c>
      <c r="L141" s="114" t="s">
        <v>25</v>
      </c>
      <c r="M141" s="114" t="s">
        <v>650</v>
      </c>
      <c r="N141" s="127" t="s">
        <v>651</v>
      </c>
      <c r="O141" s="123" t="s">
        <v>652</v>
      </c>
      <c r="P141" s="127" t="s">
        <v>653</v>
      </c>
      <c r="Q141" s="58"/>
      <c r="R141" s="58"/>
      <c r="S141" s="212" t="e">
        <f>#REF!</f>
        <v>#REF!</v>
      </c>
      <c r="T141" s="103"/>
      <c r="V141" s="294" t="s">
        <v>35</v>
      </c>
      <c r="W141" s="110"/>
      <c r="Z141" s="215">
        <v>12.71689510345459</v>
      </c>
      <c r="AA141" s="215" t="e">
        <f t="shared" si="24"/>
        <v>#REF!</v>
      </c>
      <c r="AB141" s="103" t="e">
        <f t="shared" si="25"/>
        <v>#REF!</v>
      </c>
    </row>
    <row r="142" spans="1:28" s="109" customFormat="1" x14ac:dyDescent="0.2">
      <c r="A142" s="513"/>
      <c r="B142" s="137"/>
      <c r="C142" s="36"/>
      <c r="D142" s="334"/>
      <c r="E142" s="35"/>
      <c r="F142" s="334"/>
      <c r="G142" s="35"/>
      <c r="H142" s="35"/>
      <c r="I142" s="35"/>
      <c r="J142" s="36"/>
      <c r="K142" s="35"/>
      <c r="L142" s="35"/>
      <c r="M142" s="35"/>
      <c r="N142" s="58"/>
      <c r="O142" s="545"/>
      <c r="P142" s="58"/>
      <c r="Q142" s="58"/>
      <c r="R142" s="58"/>
      <c r="S142" s="217" t="e">
        <f>#REF!</f>
        <v>#REF!</v>
      </c>
      <c r="T142" s="103"/>
      <c r="V142" s="111"/>
      <c r="W142" s="110"/>
      <c r="Z142" s="216"/>
      <c r="AA142" s="216" t="str">
        <f t="shared" si="24"/>
        <v/>
      </c>
      <c r="AB142" s="103" t="str">
        <f t="shared" si="25"/>
        <v/>
      </c>
    </row>
    <row r="143" spans="1:28" ht="204" customHeight="1" x14ac:dyDescent="0.2">
      <c r="A143" s="513" t="e">
        <f>A141+1</f>
        <v>#REF!</v>
      </c>
      <c r="B143" s="286" t="s">
        <v>654</v>
      </c>
      <c r="C143" s="287" t="s">
        <v>654</v>
      </c>
      <c r="D143" s="127" t="s">
        <v>655</v>
      </c>
      <c r="E143" s="114">
        <f>LEN(D143)</f>
        <v>290</v>
      </c>
      <c r="F143" s="307" t="s">
        <v>656</v>
      </c>
      <c r="G143" s="114">
        <f>LEN(F143)</f>
        <v>372</v>
      </c>
      <c r="H143" s="307" t="s">
        <v>657</v>
      </c>
      <c r="I143" s="123">
        <f>LEN(H143)</f>
        <v>278</v>
      </c>
      <c r="J143" s="287" t="s">
        <v>40</v>
      </c>
      <c r="K143" s="287" t="s">
        <v>25</v>
      </c>
      <c r="L143" s="287" t="s">
        <v>25</v>
      </c>
      <c r="M143" s="287" t="s">
        <v>41</v>
      </c>
      <c r="N143" s="546" t="s">
        <v>658</v>
      </c>
      <c r="O143" s="123" t="s">
        <v>25</v>
      </c>
      <c r="P143" s="546" t="s">
        <v>659</v>
      </c>
      <c r="Q143" s="545"/>
      <c r="R143" s="58"/>
      <c r="S143" s="212" t="e">
        <f>#REF!</f>
        <v>#REF!</v>
      </c>
      <c r="T143" s="103"/>
      <c r="V143" s="294" t="s">
        <v>35</v>
      </c>
      <c r="Z143" s="215">
        <v>10.51750373840332</v>
      </c>
      <c r="AA143" s="215" t="e">
        <f t="shared" si="24"/>
        <v>#REF!</v>
      </c>
      <c r="AB143" s="103" t="e">
        <f t="shared" si="25"/>
        <v>#REF!</v>
      </c>
    </row>
    <row r="144" spans="1:28" x14ac:dyDescent="0.2">
      <c r="A144" s="513"/>
      <c r="B144" s="547"/>
      <c r="C144" s="548"/>
      <c r="D144" s="58"/>
      <c r="E144" s="35"/>
      <c r="F144" s="58"/>
      <c r="G144" s="35"/>
      <c r="H144" s="35"/>
      <c r="I144" s="35"/>
      <c r="J144" s="548"/>
      <c r="K144" s="548"/>
      <c r="L144" s="548"/>
      <c r="M144" s="548"/>
      <c r="N144" s="545"/>
      <c r="O144" s="545"/>
      <c r="P144" s="545"/>
      <c r="Q144" s="545"/>
      <c r="R144" s="58"/>
      <c r="S144" s="217" t="e">
        <f>#REF!</f>
        <v>#REF!</v>
      </c>
      <c r="T144" s="103"/>
      <c r="V144" s="111"/>
      <c r="Z144" s="216"/>
      <c r="AA144" s="216" t="str">
        <f t="shared" si="24"/>
        <v/>
      </c>
      <c r="AB144" s="103" t="str">
        <f t="shared" si="25"/>
        <v/>
      </c>
    </row>
    <row r="145" spans="1:28" s="109" customFormat="1" ht="153" customHeight="1" x14ac:dyDescent="0.2">
      <c r="A145" s="513" t="e">
        <f>A143+1</f>
        <v>#REF!</v>
      </c>
      <c r="B145" s="139" t="s">
        <v>660</v>
      </c>
      <c r="C145" s="115" t="s">
        <v>660</v>
      </c>
      <c r="D145" s="127" t="s">
        <v>661</v>
      </c>
      <c r="E145" s="114">
        <f>LEN(D145)</f>
        <v>174</v>
      </c>
      <c r="F145" s="307" t="s">
        <v>662</v>
      </c>
      <c r="G145" s="114">
        <f>LEN(F145)</f>
        <v>201</v>
      </c>
      <c r="H145" s="307" t="s">
        <v>663</v>
      </c>
      <c r="I145" s="123">
        <f>LEN(H145)</f>
        <v>169</v>
      </c>
      <c r="J145" s="123" t="s">
        <v>40</v>
      </c>
      <c r="K145" s="114" t="s">
        <v>25</v>
      </c>
      <c r="L145" s="114" t="s">
        <v>25</v>
      </c>
      <c r="M145" s="114" t="s">
        <v>41</v>
      </c>
      <c r="N145" s="127" t="s">
        <v>664</v>
      </c>
      <c r="O145" s="123" t="s">
        <v>25</v>
      </c>
      <c r="P145" s="127" t="s">
        <v>665</v>
      </c>
      <c r="Q145" s="527"/>
      <c r="R145" s="58"/>
      <c r="S145" s="212" t="e">
        <f>#REF!</f>
        <v>#REF!</v>
      </c>
      <c r="T145" s="103"/>
      <c r="V145" s="294" t="s">
        <v>35</v>
      </c>
      <c r="W145" s="110"/>
      <c r="Z145" s="215">
        <v>6.4824962615966797</v>
      </c>
      <c r="AA145" s="215" t="e">
        <f t="shared" si="24"/>
        <v>#REF!</v>
      </c>
      <c r="AB145" s="103" t="e">
        <f t="shared" si="25"/>
        <v>#REF!</v>
      </c>
    </row>
    <row r="146" spans="1:28" s="109" customFormat="1" ht="388" customHeight="1" x14ac:dyDescent="0.2">
      <c r="A146" s="513" t="e">
        <f>A145+1</f>
        <v>#REF!</v>
      </c>
      <c r="B146" s="139" t="s">
        <v>666</v>
      </c>
      <c r="C146" s="115" t="s">
        <v>667</v>
      </c>
      <c r="D146" s="512" t="s">
        <v>668</v>
      </c>
      <c r="E146" s="114">
        <f>LEN(D146)</f>
        <v>767</v>
      </c>
      <c r="F146" s="307" t="s">
        <v>669</v>
      </c>
      <c r="G146" s="114">
        <f>LEN(F146)</f>
        <v>947</v>
      </c>
      <c r="H146" s="307" t="s">
        <v>670</v>
      </c>
      <c r="I146" s="123">
        <f>LEN(H146)</f>
        <v>686</v>
      </c>
      <c r="J146" s="115" t="s">
        <v>514</v>
      </c>
      <c r="K146" s="114" t="s">
        <v>25</v>
      </c>
      <c r="L146" s="114" t="s">
        <v>25</v>
      </c>
      <c r="M146" s="114" t="s">
        <v>627</v>
      </c>
      <c r="N146" s="285" t="s">
        <v>671</v>
      </c>
      <c r="O146" s="123" t="s">
        <v>672</v>
      </c>
      <c r="P146" s="127" t="s">
        <v>673</v>
      </c>
      <c r="Q146" s="527"/>
      <c r="R146" s="58"/>
      <c r="S146" s="212" t="e">
        <f>#REF!</f>
        <v>#REF!</v>
      </c>
      <c r="T146" s="103"/>
      <c r="V146" s="294" t="s">
        <v>35</v>
      </c>
      <c r="W146" s="110"/>
      <c r="Z146" s="215">
        <v>23.642156600952148</v>
      </c>
      <c r="AA146" s="215" t="e">
        <f t="shared" si="24"/>
        <v>#REF!</v>
      </c>
      <c r="AB146" s="103" t="e">
        <f t="shared" si="25"/>
        <v>#REF!</v>
      </c>
    </row>
    <row r="147" spans="1:28" s="109" customFormat="1" x14ac:dyDescent="0.2">
      <c r="A147" s="513"/>
      <c r="B147" s="137"/>
      <c r="C147" s="36"/>
      <c r="D147" s="58"/>
      <c r="E147" s="35"/>
      <c r="F147" s="35"/>
      <c r="G147" s="35"/>
      <c r="H147" s="35"/>
      <c r="I147" s="35"/>
      <c r="J147" s="73"/>
      <c r="K147" s="35"/>
      <c r="L147" s="35"/>
      <c r="M147" s="35"/>
      <c r="N147" s="58"/>
      <c r="O147" s="545"/>
      <c r="P147" s="58"/>
      <c r="Q147" s="58"/>
      <c r="R147" s="58"/>
      <c r="S147" s="217" t="e">
        <f>#REF!</f>
        <v>#REF!</v>
      </c>
      <c r="T147" s="103"/>
      <c r="V147" s="111"/>
      <c r="W147" s="110"/>
      <c r="Z147" s="216"/>
      <c r="AA147" s="216" t="str">
        <f t="shared" si="24"/>
        <v/>
      </c>
      <c r="AB147" s="103" t="str">
        <f t="shared" si="25"/>
        <v/>
      </c>
    </row>
    <row r="148" spans="1:28" s="293" customFormat="1" x14ac:dyDescent="0.2">
      <c r="A148" s="641" t="s">
        <v>674</v>
      </c>
      <c r="B148" s="637"/>
      <c r="C148" s="637"/>
      <c r="D148" s="637"/>
      <c r="E148" s="637"/>
      <c r="F148" s="637"/>
      <c r="G148" s="637"/>
      <c r="H148" s="637"/>
      <c r="I148" s="637"/>
      <c r="J148" s="637"/>
      <c r="K148" s="637"/>
      <c r="L148" s="637"/>
      <c r="M148" s="637"/>
      <c r="N148" s="637"/>
      <c r="O148" s="637"/>
      <c r="P148" s="637"/>
      <c r="Q148" s="637"/>
      <c r="R148" s="642"/>
      <c r="S148" s="212"/>
      <c r="T148" s="296"/>
      <c r="V148" s="294"/>
      <c r="W148" s="297"/>
      <c r="Z148" s="215"/>
      <c r="AA148" s="215" t="str">
        <f t="shared" si="24"/>
        <v/>
      </c>
      <c r="AB148" s="296" t="str">
        <f t="shared" si="25"/>
        <v/>
      </c>
    </row>
    <row r="149" spans="1:28" s="109" customFormat="1" ht="204" customHeight="1" x14ac:dyDescent="0.2">
      <c r="A149" s="513" t="e">
        <f>#REF!+1</f>
        <v>#REF!</v>
      </c>
      <c r="B149" s="139" t="s">
        <v>675</v>
      </c>
      <c r="C149" s="115" t="s">
        <v>675</v>
      </c>
      <c r="D149" s="126" t="s">
        <v>676</v>
      </c>
      <c r="E149" s="114">
        <f>LEN(D149)</f>
        <v>307</v>
      </c>
      <c r="F149" s="307" t="s">
        <v>677</v>
      </c>
      <c r="G149" s="114">
        <f>LEN(F149)</f>
        <v>353</v>
      </c>
      <c r="H149" s="307" t="s">
        <v>678</v>
      </c>
      <c r="I149" s="123">
        <f>LEN(H149)</f>
        <v>230</v>
      </c>
      <c r="J149" s="123" t="s">
        <v>100</v>
      </c>
      <c r="K149" s="114" t="s">
        <v>25</v>
      </c>
      <c r="L149" s="114" t="s">
        <v>679</v>
      </c>
      <c r="M149" s="114" t="s">
        <v>680</v>
      </c>
      <c r="N149" s="307" t="s">
        <v>681</v>
      </c>
      <c r="O149" s="123" t="s">
        <v>25</v>
      </c>
      <c r="P149" s="127" t="s">
        <v>682</v>
      </c>
      <c r="Q149" s="58"/>
      <c r="R149" s="58"/>
      <c r="S149" s="212" t="e">
        <f>#REF!</f>
        <v>#REF!</v>
      </c>
      <c r="T149" s="103"/>
      <c r="V149" s="294" t="s">
        <v>35</v>
      </c>
      <c r="W149" s="110"/>
      <c r="Z149" s="215">
        <v>9.2754945755004883</v>
      </c>
      <c r="AA149" s="215" t="e">
        <f t="shared" si="24"/>
        <v>#REF!</v>
      </c>
      <c r="AB149" s="103" t="e">
        <f t="shared" si="25"/>
        <v>#REF!</v>
      </c>
    </row>
    <row r="150" spans="1:28" s="109" customFormat="1" x14ac:dyDescent="0.2">
      <c r="A150" s="513"/>
      <c r="B150" s="137"/>
      <c r="C150" s="36"/>
      <c r="D150" s="135"/>
      <c r="E150" s="35"/>
      <c r="F150" s="135"/>
      <c r="G150" s="35"/>
      <c r="H150" s="35"/>
      <c r="I150" s="35"/>
      <c r="J150" s="73"/>
      <c r="K150" s="35"/>
      <c r="L150" s="35"/>
      <c r="M150" s="35"/>
      <c r="N150" s="134"/>
      <c r="O150" s="58"/>
      <c r="P150" s="58"/>
      <c r="Q150" s="58"/>
      <c r="R150" s="58"/>
      <c r="S150" s="217" t="e">
        <f>#REF!</f>
        <v>#REF!</v>
      </c>
      <c r="T150" s="103"/>
      <c r="V150" s="111"/>
      <c r="W150" s="110"/>
      <c r="Z150" s="216"/>
      <c r="AA150" s="216" t="str">
        <f t="shared" si="24"/>
        <v/>
      </c>
      <c r="AB150" s="103" t="str">
        <f t="shared" si="25"/>
        <v/>
      </c>
    </row>
    <row r="151" spans="1:28" s="109" customFormat="1" ht="153" customHeight="1" x14ac:dyDescent="0.2">
      <c r="A151" s="513" t="e">
        <f>A149+1</f>
        <v>#REF!</v>
      </c>
      <c r="B151" s="128" t="s">
        <v>683</v>
      </c>
      <c r="C151" s="114" t="s">
        <v>683</v>
      </c>
      <c r="D151" s="127" t="s">
        <v>684</v>
      </c>
      <c r="E151" s="114">
        <f>LEN(D151)</f>
        <v>179</v>
      </c>
      <c r="F151" s="307" t="s">
        <v>685</v>
      </c>
      <c r="G151" s="114">
        <f>LEN(F151)</f>
        <v>216</v>
      </c>
      <c r="H151" s="307" t="s">
        <v>686</v>
      </c>
      <c r="I151" s="123">
        <f>LEN(H151)</f>
        <v>152</v>
      </c>
      <c r="J151" s="123" t="s">
        <v>40</v>
      </c>
      <c r="K151" s="114" t="s">
        <v>25</v>
      </c>
      <c r="L151" s="114" t="s">
        <v>25</v>
      </c>
      <c r="M151" s="114" t="s">
        <v>41</v>
      </c>
      <c r="N151" s="127" t="s">
        <v>687</v>
      </c>
      <c r="O151" s="123" t="s">
        <v>25</v>
      </c>
      <c r="P151" s="143" t="s">
        <v>688</v>
      </c>
      <c r="Q151" s="34"/>
      <c r="R151" s="58"/>
      <c r="S151" s="212" t="e">
        <f>#REF!</f>
        <v>#REF!</v>
      </c>
      <c r="T151" s="103"/>
      <c r="V151" s="294" t="s">
        <v>35</v>
      </c>
      <c r="W151" s="110"/>
      <c r="Z151" s="215">
        <v>6.4158415794372559</v>
      </c>
      <c r="AA151" s="215" t="e">
        <f t="shared" si="24"/>
        <v>#REF!</v>
      </c>
      <c r="AB151" s="103" t="e">
        <f t="shared" si="25"/>
        <v>#REF!</v>
      </c>
    </row>
    <row r="152" spans="1:28" s="109" customFormat="1" ht="323" customHeight="1" x14ac:dyDescent="0.2">
      <c r="A152" s="513" t="e">
        <f>A151+1</f>
        <v>#REF!</v>
      </c>
      <c r="B152" s="139" t="s">
        <v>689</v>
      </c>
      <c r="C152" s="115" t="s">
        <v>690</v>
      </c>
      <c r="D152" s="127" t="s">
        <v>691</v>
      </c>
      <c r="E152" s="114">
        <f>LEN(D152)</f>
        <v>666</v>
      </c>
      <c r="F152" s="307" t="s">
        <v>692</v>
      </c>
      <c r="G152" s="114">
        <f>LEN(F152)</f>
        <v>843</v>
      </c>
      <c r="H152" s="307" t="s">
        <v>693</v>
      </c>
      <c r="I152" s="123">
        <f>LEN(H152)</f>
        <v>722</v>
      </c>
      <c r="J152" s="115" t="s">
        <v>514</v>
      </c>
      <c r="K152" s="114" t="s">
        <v>25</v>
      </c>
      <c r="L152" s="114" t="s">
        <v>25</v>
      </c>
      <c r="M152" s="114" t="s">
        <v>546</v>
      </c>
      <c r="N152" s="127" t="s">
        <v>694</v>
      </c>
      <c r="O152" s="123" t="s">
        <v>695</v>
      </c>
      <c r="P152" s="127" t="s">
        <v>696</v>
      </c>
      <c r="Q152" s="58"/>
      <c r="R152" s="58"/>
      <c r="S152" s="212" t="e">
        <f>#REF!</f>
        <v>#REF!</v>
      </c>
      <c r="T152" s="103"/>
      <c r="V152" s="294" t="s">
        <v>35</v>
      </c>
      <c r="W152" s="110"/>
      <c r="Z152" s="215">
        <v>20.53435134887695</v>
      </c>
      <c r="AA152" s="215" t="e">
        <f t="shared" si="24"/>
        <v>#REF!</v>
      </c>
      <c r="AB152" s="103" t="e">
        <f t="shared" si="25"/>
        <v>#REF!</v>
      </c>
    </row>
    <row r="153" spans="1:28" s="109" customFormat="1" x14ac:dyDescent="0.2">
      <c r="A153" s="513"/>
      <c r="B153" s="137"/>
      <c r="C153" s="36"/>
      <c r="D153" s="334"/>
      <c r="E153" s="35"/>
      <c r="F153" s="35"/>
      <c r="G153" s="35"/>
      <c r="H153" s="35"/>
      <c r="I153" s="35"/>
      <c r="J153" s="36"/>
      <c r="K153" s="35"/>
      <c r="L153" s="35"/>
      <c r="M153" s="35"/>
      <c r="N153" s="58"/>
      <c r="O153" s="58"/>
      <c r="P153" s="58"/>
      <c r="Q153" s="58"/>
      <c r="R153" s="58"/>
      <c r="S153" s="217" t="e">
        <f>#REF!</f>
        <v>#REF!</v>
      </c>
      <c r="T153" s="103"/>
      <c r="V153" s="111"/>
      <c r="W153" s="110"/>
      <c r="Z153" s="216"/>
      <c r="AA153" s="216" t="str">
        <f t="shared" si="24"/>
        <v/>
      </c>
      <c r="AB153" s="103" t="str">
        <f t="shared" si="25"/>
        <v/>
      </c>
    </row>
    <row r="154" spans="1:28" s="109" customFormat="1" ht="238" customHeight="1" x14ac:dyDescent="0.2">
      <c r="A154" s="513" t="e">
        <f>A152+1</f>
        <v>#REF!</v>
      </c>
      <c r="B154" s="139" t="s">
        <v>697</v>
      </c>
      <c r="C154" s="115" t="s">
        <v>697</v>
      </c>
      <c r="D154" s="549" t="s">
        <v>698</v>
      </c>
      <c r="E154" s="114">
        <f>LEN(D154)</f>
        <v>350</v>
      </c>
      <c r="F154" s="307" t="s">
        <v>699</v>
      </c>
      <c r="G154" s="114">
        <f>LEN(F154)</f>
        <v>408</v>
      </c>
      <c r="H154" s="307" t="s">
        <v>700</v>
      </c>
      <c r="I154" s="123">
        <f>LEN(H154)</f>
        <v>336</v>
      </c>
      <c r="J154" s="123" t="s">
        <v>40</v>
      </c>
      <c r="K154" s="114" t="s">
        <v>25</v>
      </c>
      <c r="L154" s="114" t="s">
        <v>25</v>
      </c>
      <c r="M154" s="114" t="s">
        <v>41</v>
      </c>
      <c r="N154" s="127" t="s">
        <v>701</v>
      </c>
      <c r="O154" s="123" t="s">
        <v>25</v>
      </c>
      <c r="P154" s="127" t="s">
        <v>702</v>
      </c>
      <c r="Q154" s="58"/>
      <c r="R154" s="58"/>
      <c r="S154" s="212" t="e">
        <f>#REF!</f>
        <v>#REF!</v>
      </c>
      <c r="T154" s="103"/>
      <c r="V154" s="294" t="s">
        <v>35</v>
      </c>
      <c r="W154" s="110"/>
      <c r="Z154" s="215">
        <v>8.3069305419921875</v>
      </c>
      <c r="AA154" s="215" t="e">
        <f t="shared" si="24"/>
        <v>#REF!</v>
      </c>
      <c r="AB154" s="103" t="e">
        <f t="shared" si="25"/>
        <v>#REF!</v>
      </c>
    </row>
    <row r="155" spans="1:28" s="109" customFormat="1" x14ac:dyDescent="0.2">
      <c r="A155" s="513"/>
      <c r="B155" s="137"/>
      <c r="C155" s="36"/>
      <c r="D155" s="334"/>
      <c r="E155" s="35"/>
      <c r="F155" s="35"/>
      <c r="G155" s="35"/>
      <c r="H155" s="35"/>
      <c r="I155" s="35"/>
      <c r="J155" s="36"/>
      <c r="K155" s="35"/>
      <c r="L155" s="35"/>
      <c r="M155" s="35"/>
      <c r="N155" s="58"/>
      <c r="O155" s="58"/>
      <c r="P155" s="58"/>
      <c r="Q155" s="58"/>
      <c r="R155" s="58"/>
      <c r="S155" s="217" t="e">
        <f>#REF!</f>
        <v>#REF!</v>
      </c>
      <c r="T155" s="103"/>
      <c r="V155" s="111"/>
      <c r="W155" s="110"/>
      <c r="Z155" s="216"/>
      <c r="AA155" s="216" t="str">
        <f t="shared" si="24"/>
        <v/>
      </c>
      <c r="AB155" s="103" t="str">
        <f t="shared" si="25"/>
        <v/>
      </c>
    </row>
    <row r="156" spans="1:28" s="293" customFormat="1" x14ac:dyDescent="0.2">
      <c r="A156" s="641" t="s">
        <v>703</v>
      </c>
      <c r="B156" s="637"/>
      <c r="C156" s="637"/>
      <c r="D156" s="637"/>
      <c r="E156" s="637"/>
      <c r="F156" s="637"/>
      <c r="G156" s="637"/>
      <c r="H156" s="637"/>
      <c r="I156" s="637"/>
      <c r="J156" s="637"/>
      <c r="K156" s="637"/>
      <c r="L156" s="637"/>
      <c r="M156" s="637"/>
      <c r="N156" s="637"/>
      <c r="O156" s="637"/>
      <c r="P156" s="637"/>
      <c r="Q156" s="637"/>
      <c r="R156" s="642"/>
      <c r="S156" s="212"/>
      <c r="T156" s="296"/>
      <c r="V156" s="294"/>
      <c r="W156" s="297"/>
      <c r="Z156" s="215"/>
      <c r="AA156" s="215" t="str">
        <f t="shared" si="24"/>
        <v/>
      </c>
      <c r="AB156" s="296" t="str">
        <f t="shared" si="25"/>
        <v/>
      </c>
    </row>
    <row r="157" spans="1:28" s="109" customFormat="1" ht="170" customHeight="1" x14ac:dyDescent="0.2">
      <c r="A157" s="513" t="e">
        <f>A154+1</f>
        <v>#REF!</v>
      </c>
      <c r="B157" s="139" t="s">
        <v>704</v>
      </c>
      <c r="C157" s="138" t="s">
        <v>704</v>
      </c>
      <c r="D157" s="127" t="s">
        <v>705</v>
      </c>
      <c r="E157" s="114">
        <f t="shared" ref="E157:E173" si="26">LEN(D157)</f>
        <v>335</v>
      </c>
      <c r="F157" s="127" t="s">
        <v>706</v>
      </c>
      <c r="G157" s="114">
        <f t="shared" ref="G157:G169" si="27">LEN(F157)</f>
        <v>441</v>
      </c>
      <c r="H157" s="307" t="s">
        <v>707</v>
      </c>
      <c r="I157" s="123">
        <f t="shared" ref="I157:I191" si="28">LEN(H157)</f>
        <v>292</v>
      </c>
      <c r="J157" s="123" t="s">
        <v>40</v>
      </c>
      <c r="K157" s="114" t="s">
        <v>25</v>
      </c>
      <c r="L157" s="114" t="s">
        <v>25</v>
      </c>
      <c r="M157" s="114" t="s">
        <v>41</v>
      </c>
      <c r="N157" s="127" t="s">
        <v>708</v>
      </c>
      <c r="O157" s="123" t="s">
        <v>25</v>
      </c>
      <c r="P157" s="127" t="s">
        <v>709</v>
      </c>
      <c r="Q157" s="58"/>
      <c r="R157" s="550" t="s">
        <v>710</v>
      </c>
      <c r="S157" s="212">
        <v>1</v>
      </c>
      <c r="T157" s="103"/>
      <c r="V157" s="294" t="s">
        <v>35</v>
      </c>
      <c r="W157" s="110"/>
      <c r="Z157" s="215">
        <v>8.0881662368774414</v>
      </c>
      <c r="AA157" s="215">
        <f t="shared" si="24"/>
        <v>8.0881662368774414</v>
      </c>
      <c r="AB157" s="103">
        <f t="shared" si="25"/>
        <v>8.0881662368774414</v>
      </c>
    </row>
    <row r="158" spans="1:28" s="109" customFormat="1" ht="170" customHeight="1" x14ac:dyDescent="0.2">
      <c r="A158" s="513" t="e">
        <f t="shared" ref="A158:A174" si="29">A157+1</f>
        <v>#REF!</v>
      </c>
      <c r="B158" s="139" t="s">
        <v>711</v>
      </c>
      <c r="C158" s="115" t="s">
        <v>711</v>
      </c>
      <c r="D158" s="126" t="s">
        <v>712</v>
      </c>
      <c r="E158" s="114">
        <f t="shared" si="26"/>
        <v>236</v>
      </c>
      <c r="F158" s="307" t="s">
        <v>713</v>
      </c>
      <c r="G158" s="114">
        <f t="shared" si="27"/>
        <v>258</v>
      </c>
      <c r="H158" s="307" t="s">
        <v>714</v>
      </c>
      <c r="I158" s="123">
        <f t="shared" si="28"/>
        <v>189</v>
      </c>
      <c r="J158" s="123" t="s">
        <v>40</v>
      </c>
      <c r="K158" s="114" t="s">
        <v>25</v>
      </c>
      <c r="L158" s="114" t="s">
        <v>25</v>
      </c>
      <c r="M158" s="114" t="s">
        <v>41</v>
      </c>
      <c r="N158" s="127" t="s">
        <v>715</v>
      </c>
      <c r="O158" s="123" t="s">
        <v>25</v>
      </c>
      <c r="P158" s="143" t="s">
        <v>716</v>
      </c>
      <c r="Q158" s="34"/>
      <c r="R158" s="58"/>
      <c r="S158" s="212">
        <v>1</v>
      </c>
      <c r="T158" s="103"/>
      <c r="V158" s="294" t="s">
        <v>35</v>
      </c>
      <c r="W158" s="110"/>
      <c r="Z158" s="215">
        <v>20.224567413330082</v>
      </c>
      <c r="AA158" s="215">
        <f t="shared" si="24"/>
        <v>20.224567413330082</v>
      </c>
      <c r="AB158" s="103">
        <f t="shared" si="25"/>
        <v>20.224567413330082</v>
      </c>
    </row>
    <row r="159" spans="1:28" s="109" customFormat="1" ht="170" customHeight="1" x14ac:dyDescent="0.2">
      <c r="A159" s="513" t="e">
        <f t="shared" si="29"/>
        <v>#REF!</v>
      </c>
      <c r="B159" s="139" t="s">
        <v>717</v>
      </c>
      <c r="C159" s="115" t="s">
        <v>717</v>
      </c>
      <c r="D159" s="126" t="s">
        <v>718</v>
      </c>
      <c r="E159" s="114">
        <f t="shared" si="26"/>
        <v>234</v>
      </c>
      <c r="F159" s="307" t="s">
        <v>719</v>
      </c>
      <c r="G159" s="114">
        <f t="shared" si="27"/>
        <v>253</v>
      </c>
      <c r="H159" s="307" t="s">
        <v>720</v>
      </c>
      <c r="I159" s="123">
        <f t="shared" si="28"/>
        <v>199</v>
      </c>
      <c r="J159" s="123" t="s">
        <v>40</v>
      </c>
      <c r="K159" s="114" t="s">
        <v>25</v>
      </c>
      <c r="L159" s="114" t="s">
        <v>25</v>
      </c>
      <c r="M159" s="114" t="s">
        <v>41</v>
      </c>
      <c r="N159" s="127" t="s">
        <v>721</v>
      </c>
      <c r="O159" s="123" t="s">
        <v>25</v>
      </c>
      <c r="P159" s="143" t="s">
        <v>722</v>
      </c>
      <c r="Q159" s="34"/>
      <c r="R159" s="58"/>
      <c r="S159" s="212">
        <v>1</v>
      </c>
      <c r="T159" s="103"/>
      <c r="V159" s="294" t="s">
        <v>35</v>
      </c>
      <c r="W159" s="110"/>
      <c r="Z159" s="215">
        <v>14.02606105804443</v>
      </c>
      <c r="AA159" s="215">
        <f t="shared" si="24"/>
        <v>14.02606105804443</v>
      </c>
      <c r="AB159" s="103">
        <f t="shared" si="25"/>
        <v>14.02606105804443</v>
      </c>
    </row>
    <row r="160" spans="1:28" s="109" customFormat="1" ht="170" customHeight="1" x14ac:dyDescent="0.2">
      <c r="A160" s="513" t="e">
        <f t="shared" si="29"/>
        <v>#REF!</v>
      </c>
      <c r="B160" s="139" t="s">
        <v>723</v>
      </c>
      <c r="C160" s="115" t="s">
        <v>723</v>
      </c>
      <c r="D160" s="126" t="s">
        <v>724</v>
      </c>
      <c r="E160" s="114">
        <f t="shared" si="26"/>
        <v>217</v>
      </c>
      <c r="F160" s="307" t="s">
        <v>725</v>
      </c>
      <c r="G160" s="114">
        <f t="shared" si="27"/>
        <v>234</v>
      </c>
      <c r="H160" s="307" t="s">
        <v>726</v>
      </c>
      <c r="I160" s="123">
        <f t="shared" si="28"/>
        <v>195</v>
      </c>
      <c r="J160" s="123" t="s">
        <v>40</v>
      </c>
      <c r="K160" s="114" t="s">
        <v>25</v>
      </c>
      <c r="L160" s="114" t="s">
        <v>25</v>
      </c>
      <c r="M160" s="114" t="s">
        <v>41</v>
      </c>
      <c r="N160" s="127" t="s">
        <v>727</v>
      </c>
      <c r="O160" s="123" t="s">
        <v>25</v>
      </c>
      <c r="P160" s="143" t="s">
        <v>728</v>
      </c>
      <c r="Q160" s="34"/>
      <c r="R160" s="58"/>
      <c r="S160" s="212">
        <v>1</v>
      </c>
      <c r="T160" s="103"/>
      <c r="V160" s="294" t="s">
        <v>35</v>
      </c>
      <c r="W160" s="110"/>
      <c r="Z160" s="215">
        <v>11.558505058288571</v>
      </c>
      <c r="AA160" s="215">
        <f t="shared" si="24"/>
        <v>11.558505058288571</v>
      </c>
      <c r="AB160" s="103">
        <f t="shared" si="25"/>
        <v>11.558505058288571</v>
      </c>
    </row>
    <row r="161" spans="1:28" s="109" customFormat="1" ht="170" customHeight="1" x14ac:dyDescent="0.2">
      <c r="A161" s="513" t="e">
        <f t="shared" si="29"/>
        <v>#REF!</v>
      </c>
      <c r="B161" s="139" t="s">
        <v>729</v>
      </c>
      <c r="C161" s="115" t="s">
        <v>729</v>
      </c>
      <c r="D161" s="126" t="s">
        <v>730</v>
      </c>
      <c r="E161" s="114">
        <f t="shared" si="26"/>
        <v>218</v>
      </c>
      <c r="F161" s="307" t="s">
        <v>731</v>
      </c>
      <c r="G161" s="114">
        <f t="shared" si="27"/>
        <v>221</v>
      </c>
      <c r="H161" s="307" t="s">
        <v>732</v>
      </c>
      <c r="I161" s="123">
        <f t="shared" si="28"/>
        <v>197</v>
      </c>
      <c r="J161" s="123" t="s">
        <v>40</v>
      </c>
      <c r="K161" s="114" t="s">
        <v>25</v>
      </c>
      <c r="L161" s="114" t="s">
        <v>25</v>
      </c>
      <c r="M161" s="114" t="s">
        <v>41</v>
      </c>
      <c r="N161" s="127" t="s">
        <v>733</v>
      </c>
      <c r="O161" s="123" t="s">
        <v>25</v>
      </c>
      <c r="P161" s="127" t="s">
        <v>734</v>
      </c>
      <c r="Q161" s="58"/>
      <c r="R161" s="58"/>
      <c r="S161" s="212">
        <v>1</v>
      </c>
      <c r="T161" s="103"/>
      <c r="V161" s="294" t="s">
        <v>35</v>
      </c>
      <c r="W161" s="110"/>
      <c r="Z161" s="215">
        <v>11.379257202148439</v>
      </c>
      <c r="AA161" s="215">
        <f t="shared" si="24"/>
        <v>11.379257202148439</v>
      </c>
      <c r="AB161" s="103">
        <f t="shared" si="25"/>
        <v>11.379257202148439</v>
      </c>
    </row>
    <row r="162" spans="1:28" s="109" customFormat="1" ht="170" customHeight="1" x14ac:dyDescent="0.2">
      <c r="A162" s="513" t="e">
        <f t="shared" si="29"/>
        <v>#REF!</v>
      </c>
      <c r="B162" s="139" t="s">
        <v>735</v>
      </c>
      <c r="C162" s="115" t="s">
        <v>735</v>
      </c>
      <c r="D162" s="126" t="s">
        <v>736</v>
      </c>
      <c r="E162" s="114">
        <f t="shared" si="26"/>
        <v>224</v>
      </c>
      <c r="F162" s="307" t="s">
        <v>737</v>
      </c>
      <c r="G162" s="114">
        <f t="shared" si="27"/>
        <v>293</v>
      </c>
      <c r="H162" s="307" t="s">
        <v>738</v>
      </c>
      <c r="I162" s="123">
        <f t="shared" si="28"/>
        <v>206</v>
      </c>
      <c r="J162" s="123" t="s">
        <v>40</v>
      </c>
      <c r="K162" s="114" t="s">
        <v>25</v>
      </c>
      <c r="L162" s="114" t="s">
        <v>25</v>
      </c>
      <c r="M162" s="114" t="s">
        <v>41</v>
      </c>
      <c r="N162" s="127" t="s">
        <v>739</v>
      </c>
      <c r="O162" s="123" t="s">
        <v>25</v>
      </c>
      <c r="P162" s="127" t="s">
        <v>740</v>
      </c>
      <c r="Q162" s="58"/>
      <c r="R162" s="58"/>
      <c r="S162" s="212">
        <v>1</v>
      </c>
      <c r="T162" s="103"/>
      <c r="V162" s="294" t="s">
        <v>35</v>
      </c>
      <c r="W162" s="110"/>
      <c r="Z162" s="215">
        <v>10.443217277526861</v>
      </c>
      <c r="AA162" s="215">
        <f t="shared" si="24"/>
        <v>10.443217277526861</v>
      </c>
      <c r="AB162" s="103">
        <f t="shared" si="25"/>
        <v>10.443217277526861</v>
      </c>
    </row>
    <row r="163" spans="1:28" s="109" customFormat="1" ht="170" customHeight="1" x14ac:dyDescent="0.2">
      <c r="A163" s="513" t="e">
        <f t="shared" si="29"/>
        <v>#REF!</v>
      </c>
      <c r="B163" s="139" t="s">
        <v>741</v>
      </c>
      <c r="C163" s="138" t="s">
        <v>741</v>
      </c>
      <c r="D163" s="126" t="s">
        <v>742</v>
      </c>
      <c r="E163" s="114">
        <f t="shared" si="26"/>
        <v>182</v>
      </c>
      <c r="F163" s="126" t="s">
        <v>743</v>
      </c>
      <c r="G163" s="114">
        <f t="shared" si="27"/>
        <v>263</v>
      </c>
      <c r="H163" s="307" t="s">
        <v>744</v>
      </c>
      <c r="I163" s="123">
        <f t="shared" si="28"/>
        <v>185</v>
      </c>
      <c r="J163" s="123" t="s">
        <v>40</v>
      </c>
      <c r="K163" s="114" t="s">
        <v>25</v>
      </c>
      <c r="L163" s="114" t="s">
        <v>25</v>
      </c>
      <c r="M163" s="114" t="s">
        <v>41</v>
      </c>
      <c r="N163" s="127" t="s">
        <v>745</v>
      </c>
      <c r="O163" s="123" t="s">
        <v>25</v>
      </c>
      <c r="P163" s="143" t="s">
        <v>746</v>
      </c>
      <c r="Q163" s="34"/>
      <c r="R163" s="58"/>
      <c r="S163" s="212">
        <v>1</v>
      </c>
      <c r="T163" s="103"/>
      <c r="V163" s="294" t="s">
        <v>35</v>
      </c>
      <c r="W163" s="110"/>
      <c r="Z163" s="215">
        <v>10.732010841369631</v>
      </c>
      <c r="AA163" s="215">
        <f t="shared" si="24"/>
        <v>10.732010841369631</v>
      </c>
      <c r="AB163" s="103">
        <f t="shared" si="25"/>
        <v>10.732010841369631</v>
      </c>
    </row>
    <row r="164" spans="1:28" s="248" customFormat="1" ht="153" customHeight="1" x14ac:dyDescent="0.2">
      <c r="A164" s="513" t="e">
        <f t="shared" si="29"/>
        <v>#REF!</v>
      </c>
      <c r="B164" s="139" t="s">
        <v>747</v>
      </c>
      <c r="C164" s="138" t="s">
        <v>747</v>
      </c>
      <c r="D164" s="551" t="s">
        <v>748</v>
      </c>
      <c r="E164" s="114">
        <f t="shared" si="26"/>
        <v>214</v>
      </c>
      <c r="F164" s="307" t="s">
        <v>749</v>
      </c>
      <c r="G164" s="114">
        <f t="shared" si="27"/>
        <v>279</v>
      </c>
      <c r="H164" s="439" t="s">
        <v>750</v>
      </c>
      <c r="I164" s="123">
        <f t="shared" si="28"/>
        <v>197</v>
      </c>
      <c r="J164" s="123" t="s">
        <v>40</v>
      </c>
      <c r="K164" s="114" t="s">
        <v>25</v>
      </c>
      <c r="L164" s="114" t="s">
        <v>25</v>
      </c>
      <c r="M164" s="114" t="s">
        <v>41</v>
      </c>
      <c r="N164" s="127" t="s">
        <v>751</v>
      </c>
      <c r="O164" s="123" t="s">
        <v>25</v>
      </c>
      <c r="P164" s="127" t="s">
        <v>752</v>
      </c>
      <c r="Q164" s="58"/>
      <c r="R164" s="58"/>
      <c r="S164" s="212">
        <v>1</v>
      </c>
      <c r="T164" s="103"/>
      <c r="V164" s="294" t="s">
        <v>35</v>
      </c>
      <c r="W164" s="110"/>
      <c r="Z164" s="215">
        <v>11.58613967895508</v>
      </c>
      <c r="AA164" s="215">
        <f t="shared" si="24"/>
        <v>11.58613967895508</v>
      </c>
      <c r="AB164" s="103">
        <f t="shared" si="25"/>
        <v>11.58613967895508</v>
      </c>
    </row>
    <row r="165" spans="1:28" s="109" customFormat="1" ht="153" customHeight="1" x14ac:dyDescent="0.2">
      <c r="A165" s="513" t="e">
        <f t="shared" si="29"/>
        <v>#REF!</v>
      </c>
      <c r="B165" s="139" t="s">
        <v>753</v>
      </c>
      <c r="C165" s="115" t="s">
        <v>753</v>
      </c>
      <c r="D165" s="126" t="s">
        <v>754</v>
      </c>
      <c r="E165" s="114">
        <f t="shared" si="26"/>
        <v>184</v>
      </c>
      <c r="F165" s="126" t="s">
        <v>755</v>
      </c>
      <c r="G165" s="114">
        <f t="shared" si="27"/>
        <v>228</v>
      </c>
      <c r="H165" s="439" t="s">
        <v>756</v>
      </c>
      <c r="I165" s="123">
        <f t="shared" si="28"/>
        <v>200</v>
      </c>
      <c r="J165" s="123" t="s">
        <v>40</v>
      </c>
      <c r="K165" s="114" t="s">
        <v>25</v>
      </c>
      <c r="L165" s="114" t="s">
        <v>25</v>
      </c>
      <c r="M165" s="114" t="s">
        <v>41</v>
      </c>
      <c r="N165" s="127" t="s">
        <v>757</v>
      </c>
      <c r="O165" s="123" t="s">
        <v>25</v>
      </c>
      <c r="P165" s="143" t="s">
        <v>758</v>
      </c>
      <c r="Q165" s="34"/>
      <c r="R165" s="58"/>
      <c r="S165" s="212">
        <v>1</v>
      </c>
      <c r="T165" s="103"/>
      <c r="V165" s="294" t="s">
        <v>35</v>
      </c>
      <c r="W165" s="110"/>
      <c r="Z165" s="215">
        <v>9.7552013397216797</v>
      </c>
      <c r="AA165" s="215">
        <f t="shared" si="24"/>
        <v>9.7552013397216797</v>
      </c>
      <c r="AB165" s="103">
        <f t="shared" si="25"/>
        <v>9.7552013397216797</v>
      </c>
    </row>
    <row r="166" spans="1:28" s="109" customFormat="1" ht="153" customHeight="1" x14ac:dyDescent="0.2">
      <c r="A166" s="513" t="e">
        <f t="shared" si="29"/>
        <v>#REF!</v>
      </c>
      <c r="B166" s="139" t="s">
        <v>759</v>
      </c>
      <c r="C166" s="138" t="s">
        <v>759</v>
      </c>
      <c r="D166" s="551" t="s">
        <v>748</v>
      </c>
      <c r="E166" s="114">
        <f t="shared" si="26"/>
        <v>214</v>
      </c>
      <c r="F166" s="307" t="s">
        <v>749</v>
      </c>
      <c r="G166" s="114">
        <f t="shared" si="27"/>
        <v>279</v>
      </c>
      <c r="H166" s="439" t="s">
        <v>750</v>
      </c>
      <c r="I166" s="123">
        <f t="shared" si="28"/>
        <v>197</v>
      </c>
      <c r="J166" s="123" t="s">
        <v>40</v>
      </c>
      <c r="K166" s="114" t="s">
        <v>25</v>
      </c>
      <c r="L166" s="114" t="s">
        <v>25</v>
      </c>
      <c r="M166" s="114" t="s">
        <v>41</v>
      </c>
      <c r="N166" s="127" t="s">
        <v>760</v>
      </c>
      <c r="O166" s="123" t="s">
        <v>25</v>
      </c>
      <c r="P166" s="127" t="s">
        <v>761</v>
      </c>
      <c r="Q166" s="58"/>
      <c r="R166" s="58"/>
      <c r="S166" s="212">
        <v>1</v>
      </c>
      <c r="T166" s="103"/>
      <c r="V166" s="294" t="s">
        <v>35</v>
      </c>
      <c r="W166" s="110"/>
      <c r="Z166" s="215">
        <v>7.9447951316833496</v>
      </c>
      <c r="AA166" s="215">
        <f t="shared" si="24"/>
        <v>7.9447951316833496</v>
      </c>
      <c r="AB166" s="103">
        <f t="shared" si="25"/>
        <v>7.9447951316833496</v>
      </c>
    </row>
    <row r="167" spans="1:28" s="109" customFormat="1" ht="170" customHeight="1" x14ac:dyDescent="0.2">
      <c r="A167" s="71" t="e">
        <f t="shared" si="29"/>
        <v>#REF!</v>
      </c>
      <c r="B167" s="182" t="s">
        <v>762</v>
      </c>
      <c r="C167" s="108" t="s">
        <v>762</v>
      </c>
      <c r="D167" s="541" t="s">
        <v>763</v>
      </c>
      <c r="E167" s="106">
        <f t="shared" si="26"/>
        <v>212</v>
      </c>
      <c r="F167" s="541" t="s">
        <v>764</v>
      </c>
      <c r="G167" s="106">
        <f t="shared" si="27"/>
        <v>245</v>
      </c>
      <c r="H167" s="440" t="s">
        <v>765</v>
      </c>
      <c r="I167" s="116">
        <f t="shared" si="28"/>
        <v>181</v>
      </c>
      <c r="J167" s="116" t="s">
        <v>40</v>
      </c>
      <c r="K167" s="106" t="s">
        <v>25</v>
      </c>
      <c r="L167" s="106" t="s">
        <v>25</v>
      </c>
      <c r="M167" s="106" t="s">
        <v>41</v>
      </c>
      <c r="N167" s="105" t="s">
        <v>766</v>
      </c>
      <c r="O167" s="167" t="s">
        <v>25</v>
      </c>
      <c r="P167" s="112" t="s">
        <v>767</v>
      </c>
      <c r="Q167" s="542"/>
      <c r="R167" s="39"/>
      <c r="S167" s="212">
        <v>1</v>
      </c>
      <c r="T167" s="103"/>
      <c r="V167" s="294" t="s">
        <v>35</v>
      </c>
      <c r="W167" s="110"/>
      <c r="Z167" s="215">
        <v>7.9312248229980469</v>
      </c>
      <c r="AA167" s="215">
        <f t="shared" si="24"/>
        <v>7.9312248229980469</v>
      </c>
      <c r="AB167" s="103">
        <f t="shared" si="25"/>
        <v>7.9312248229980469</v>
      </c>
    </row>
    <row r="168" spans="1:28" s="109" customFormat="1" ht="153" customHeight="1" x14ac:dyDescent="0.2">
      <c r="A168" s="33" t="e">
        <f t="shared" si="29"/>
        <v>#REF!</v>
      </c>
      <c r="B168" s="139" t="s">
        <v>768</v>
      </c>
      <c r="C168" s="138" t="s">
        <v>768</v>
      </c>
      <c r="D168" s="485" t="s">
        <v>748</v>
      </c>
      <c r="E168" s="114">
        <f t="shared" si="26"/>
        <v>214</v>
      </c>
      <c r="F168" s="307" t="s">
        <v>749</v>
      </c>
      <c r="G168" s="114">
        <f t="shared" si="27"/>
        <v>279</v>
      </c>
      <c r="H168" s="439" t="s">
        <v>750</v>
      </c>
      <c r="I168" s="116">
        <f t="shared" si="28"/>
        <v>197</v>
      </c>
      <c r="J168" s="123" t="s">
        <v>40</v>
      </c>
      <c r="K168" s="114" t="s">
        <v>25</v>
      </c>
      <c r="L168" s="114" t="s">
        <v>25</v>
      </c>
      <c r="M168" s="114" t="s">
        <v>41</v>
      </c>
      <c r="N168" s="113" t="s">
        <v>769</v>
      </c>
      <c r="O168" s="167" t="s">
        <v>25</v>
      </c>
      <c r="P168" s="125" t="s">
        <v>770</v>
      </c>
      <c r="Q168" s="31"/>
      <c r="R168" s="10"/>
      <c r="S168" s="212">
        <v>1</v>
      </c>
      <c r="T168" s="103"/>
      <c r="V168" s="294" t="s">
        <v>35</v>
      </c>
      <c r="W168" s="110"/>
      <c r="Z168" s="215">
        <v>5.3390059471130371</v>
      </c>
      <c r="AA168" s="215">
        <f t="shared" si="24"/>
        <v>5.3390059471130371</v>
      </c>
      <c r="AB168" s="103">
        <f t="shared" si="25"/>
        <v>5.3390059471130371</v>
      </c>
    </row>
    <row r="169" spans="1:28" s="109" customFormat="1" ht="153" customHeight="1" x14ac:dyDescent="0.2">
      <c r="A169" s="14" t="e">
        <f t="shared" si="29"/>
        <v>#REF!</v>
      </c>
      <c r="B169" s="183" t="s">
        <v>771</v>
      </c>
      <c r="C169" s="16" t="s">
        <v>771</v>
      </c>
      <c r="D169" s="29" t="s">
        <v>772</v>
      </c>
      <c r="E169" s="18">
        <f t="shared" si="26"/>
        <v>142</v>
      </c>
      <c r="F169" s="311" t="s">
        <v>773</v>
      </c>
      <c r="G169" s="18">
        <f t="shared" si="27"/>
        <v>208</v>
      </c>
      <c r="H169" s="311" t="s">
        <v>774</v>
      </c>
      <c r="I169" s="555">
        <f t="shared" si="28"/>
        <v>155</v>
      </c>
      <c r="J169" s="28" t="s">
        <v>40</v>
      </c>
      <c r="K169" s="18" t="s">
        <v>25</v>
      </c>
      <c r="L169" s="18" t="s">
        <v>25</v>
      </c>
      <c r="M169" s="18" t="s">
        <v>41</v>
      </c>
      <c r="N169" s="23" t="s">
        <v>775</v>
      </c>
      <c r="O169" s="44" t="s">
        <v>25</v>
      </c>
      <c r="P169" s="254" t="s">
        <v>776</v>
      </c>
      <c r="Q169" s="255"/>
      <c r="R169" s="88" t="s">
        <v>777</v>
      </c>
      <c r="S169" s="217">
        <v>1</v>
      </c>
      <c r="T169" s="103"/>
      <c r="V169" s="111" t="s">
        <v>24</v>
      </c>
      <c r="W169" s="110"/>
      <c r="Z169" s="216">
        <v>3.816555500030518</v>
      </c>
      <c r="AA169" s="216">
        <f t="shared" si="24"/>
        <v>3.816555500030518</v>
      </c>
      <c r="AB169" s="103" t="str">
        <f t="shared" si="25"/>
        <v/>
      </c>
    </row>
    <row r="170" spans="1:28" s="109" customFormat="1" ht="221" customHeight="1" x14ac:dyDescent="0.2">
      <c r="A170" s="14" t="e">
        <f t="shared" si="29"/>
        <v>#REF!</v>
      </c>
      <c r="B170" s="256" t="s">
        <v>778</v>
      </c>
      <c r="C170" s="16" t="s">
        <v>779</v>
      </c>
      <c r="D170" s="20" t="s">
        <v>780</v>
      </c>
      <c r="E170" s="18">
        <f t="shared" si="26"/>
        <v>406</v>
      </c>
      <c r="F170" s="20" t="s">
        <v>781</v>
      </c>
      <c r="G170" s="18">
        <f>LEN(F168)</f>
        <v>279</v>
      </c>
      <c r="H170" s="311" t="s">
        <v>782</v>
      </c>
      <c r="I170" s="555">
        <f t="shared" si="28"/>
        <v>387</v>
      </c>
      <c r="J170" s="28" t="s">
        <v>40</v>
      </c>
      <c r="K170" s="18" t="s">
        <v>25</v>
      </c>
      <c r="L170" s="18" t="s">
        <v>25</v>
      </c>
      <c r="M170" s="18" t="s">
        <v>41</v>
      </c>
      <c r="N170" s="23" t="s">
        <v>783</v>
      </c>
      <c r="O170" s="44" t="s">
        <v>25</v>
      </c>
      <c r="P170" s="30" t="s">
        <v>784</v>
      </c>
      <c r="Q170" s="30"/>
      <c r="R170" s="10"/>
      <c r="S170" s="217">
        <v>1</v>
      </c>
      <c r="T170" s="103"/>
      <c r="V170" s="111" t="s">
        <v>24</v>
      </c>
      <c r="W170" s="110"/>
      <c r="Z170" s="216">
        <v>16.827030181884769</v>
      </c>
      <c r="AA170" s="216">
        <f t="shared" ref="AA170:AA201" si="30">IF(Z170="","",Z170*S170)</f>
        <v>16.827030181884769</v>
      </c>
      <c r="AB170" s="103" t="str">
        <f t="shared" ref="AB170:AB201" si="31">IF(V170="yes",AA170,"")</f>
        <v/>
      </c>
    </row>
    <row r="171" spans="1:28" s="109" customFormat="1" ht="221" customHeight="1" x14ac:dyDescent="0.2">
      <c r="A171" s="14" t="e">
        <f t="shared" si="29"/>
        <v>#REF!</v>
      </c>
      <c r="B171" s="572" t="s">
        <v>785</v>
      </c>
      <c r="C171" s="556" t="s">
        <v>785</v>
      </c>
      <c r="D171" s="557" t="s">
        <v>786</v>
      </c>
      <c r="E171" s="18">
        <f t="shared" si="26"/>
        <v>370</v>
      </c>
      <c r="F171" s="20" t="s">
        <v>787</v>
      </c>
      <c r="G171" s="18">
        <f>LEN(F169)</f>
        <v>208</v>
      </c>
      <c r="H171" s="311" t="s">
        <v>788</v>
      </c>
      <c r="I171" s="555">
        <f t="shared" si="28"/>
        <v>350</v>
      </c>
      <c r="J171" s="28" t="s">
        <v>40</v>
      </c>
      <c r="K171" s="18" t="s">
        <v>25</v>
      </c>
      <c r="L171" s="18" t="s">
        <v>25</v>
      </c>
      <c r="M171" s="18" t="s">
        <v>41</v>
      </c>
      <c r="N171" s="23" t="s">
        <v>783</v>
      </c>
      <c r="O171" s="44" t="s">
        <v>25</v>
      </c>
      <c r="P171" s="30" t="s">
        <v>789</v>
      </c>
      <c r="Q171" s="30"/>
      <c r="R171" s="10"/>
      <c r="S171" s="217">
        <v>1</v>
      </c>
      <c r="T171" s="103"/>
      <c r="V171" s="111" t="s">
        <v>24</v>
      </c>
      <c r="W171" s="110"/>
      <c r="Z171" s="216">
        <v>12.211404800415041</v>
      </c>
      <c r="AA171" s="216">
        <f t="shared" si="30"/>
        <v>12.211404800415041</v>
      </c>
      <c r="AB171" s="103" t="str">
        <f t="shared" si="31"/>
        <v/>
      </c>
    </row>
    <row r="172" spans="1:28" s="109" customFormat="1" ht="221" customHeight="1" x14ac:dyDescent="0.2">
      <c r="A172" s="14" t="e">
        <f t="shared" si="29"/>
        <v>#REF!</v>
      </c>
      <c r="B172" s="572" t="s">
        <v>790</v>
      </c>
      <c r="C172" s="556" t="s">
        <v>790</v>
      </c>
      <c r="D172" s="557" t="s">
        <v>791</v>
      </c>
      <c r="E172" s="18">
        <f t="shared" si="26"/>
        <v>371</v>
      </c>
      <c r="F172" s="20" t="s">
        <v>792</v>
      </c>
      <c r="G172" s="18">
        <f>LEN(F170)</f>
        <v>479</v>
      </c>
      <c r="H172" s="311" t="s">
        <v>793</v>
      </c>
      <c r="I172" s="555">
        <f t="shared" si="28"/>
        <v>352</v>
      </c>
      <c r="J172" s="28" t="s">
        <v>40</v>
      </c>
      <c r="K172" s="18" t="s">
        <v>25</v>
      </c>
      <c r="L172" s="18" t="s">
        <v>25</v>
      </c>
      <c r="M172" s="18" t="s">
        <v>41</v>
      </c>
      <c r="N172" s="23" t="s">
        <v>783</v>
      </c>
      <c r="O172" s="44" t="s">
        <v>25</v>
      </c>
      <c r="P172" s="30" t="s">
        <v>794</v>
      </c>
      <c r="Q172" s="30"/>
      <c r="R172" s="10"/>
      <c r="S172" s="217">
        <v>1</v>
      </c>
      <c r="T172" s="103"/>
      <c r="V172" s="111" t="s">
        <v>24</v>
      </c>
      <c r="W172" s="110"/>
      <c r="Z172" s="216">
        <v>10.39294910430908</v>
      </c>
      <c r="AA172" s="216">
        <f t="shared" si="30"/>
        <v>10.39294910430908</v>
      </c>
      <c r="AB172" s="103" t="str">
        <f t="shared" si="31"/>
        <v/>
      </c>
    </row>
    <row r="173" spans="1:28" s="109" customFormat="1" ht="221" customHeight="1" x14ac:dyDescent="0.2">
      <c r="A173" s="14" t="e">
        <f t="shared" si="29"/>
        <v>#REF!</v>
      </c>
      <c r="B173" s="572" t="s">
        <v>795</v>
      </c>
      <c r="C173" s="556" t="s">
        <v>795</v>
      </c>
      <c r="D173" s="557" t="s">
        <v>796</v>
      </c>
      <c r="E173" s="18">
        <f t="shared" si="26"/>
        <v>378</v>
      </c>
      <c r="F173" s="20" t="s">
        <v>797</v>
      </c>
      <c r="G173" s="18">
        <f>LEN(F171)</f>
        <v>456</v>
      </c>
      <c r="H173" s="311" t="s">
        <v>798</v>
      </c>
      <c r="I173" s="555">
        <f t="shared" si="28"/>
        <v>351</v>
      </c>
      <c r="J173" s="28" t="s">
        <v>40</v>
      </c>
      <c r="K173" s="18" t="s">
        <v>25</v>
      </c>
      <c r="L173" s="18" t="s">
        <v>25</v>
      </c>
      <c r="M173" s="18" t="s">
        <v>41</v>
      </c>
      <c r="N173" s="23" t="s">
        <v>783</v>
      </c>
      <c r="O173" s="44" t="s">
        <v>25</v>
      </c>
      <c r="P173" s="30" t="s">
        <v>799</v>
      </c>
      <c r="Q173" s="30"/>
      <c r="R173" s="10"/>
      <c r="S173" s="217">
        <v>1</v>
      </c>
      <c r="T173" s="103"/>
      <c r="V173" s="111" t="s">
        <v>24</v>
      </c>
      <c r="W173" s="110"/>
      <c r="Z173" s="216">
        <v>11.91341400146484</v>
      </c>
      <c r="AA173" s="216">
        <f t="shared" si="30"/>
        <v>11.91341400146484</v>
      </c>
      <c r="AB173" s="103" t="str">
        <f t="shared" si="31"/>
        <v/>
      </c>
    </row>
    <row r="174" spans="1:28" s="109" customFormat="1" ht="238" customHeight="1" x14ac:dyDescent="0.2">
      <c r="A174" s="14" t="e">
        <f t="shared" si="29"/>
        <v>#REF!</v>
      </c>
      <c r="B174" s="572" t="s">
        <v>800</v>
      </c>
      <c r="C174" s="556" t="s">
        <v>800</v>
      </c>
      <c r="D174" s="20" t="s">
        <v>801</v>
      </c>
      <c r="E174" s="18"/>
      <c r="F174" s="20" t="s">
        <v>802</v>
      </c>
      <c r="G174" s="18">
        <f t="shared" ref="G174:G191" si="32">LEN(F174)</f>
        <v>502</v>
      </c>
      <c r="H174" s="558" t="s">
        <v>803</v>
      </c>
      <c r="I174" s="555">
        <f t="shared" si="28"/>
        <v>406</v>
      </c>
      <c r="J174" s="28" t="s">
        <v>40</v>
      </c>
      <c r="K174" s="18" t="s">
        <v>25</v>
      </c>
      <c r="L174" s="18" t="s">
        <v>25</v>
      </c>
      <c r="M174" s="18" t="s">
        <v>41</v>
      </c>
      <c r="N174" s="23" t="s">
        <v>783</v>
      </c>
      <c r="O174" s="44" t="s">
        <v>25</v>
      </c>
      <c r="P174" s="30" t="s">
        <v>804</v>
      </c>
      <c r="Q174" s="30"/>
      <c r="R174" s="10"/>
      <c r="S174" s="217">
        <v>1</v>
      </c>
      <c r="T174" s="103"/>
      <c r="V174" s="111" t="s">
        <v>24</v>
      </c>
      <c r="W174" s="110"/>
      <c r="Z174" s="216">
        <v>11.45889282226562</v>
      </c>
      <c r="AA174" s="216">
        <f t="shared" si="30"/>
        <v>11.45889282226562</v>
      </c>
      <c r="AB174" s="103" t="str">
        <f t="shared" si="31"/>
        <v/>
      </c>
    </row>
    <row r="175" spans="1:28" s="109" customFormat="1" ht="221" customHeight="1" x14ac:dyDescent="0.2">
      <c r="A175" s="14" t="e">
        <f>#REF!+1</f>
        <v>#REF!</v>
      </c>
      <c r="B175" s="256" t="s">
        <v>805</v>
      </c>
      <c r="C175" s="16" t="s">
        <v>805</v>
      </c>
      <c r="D175" s="20" t="s">
        <v>806</v>
      </c>
      <c r="E175" s="18">
        <f t="shared" ref="E175:E191" si="33">LEN(D175)</f>
        <v>360</v>
      </c>
      <c r="F175" s="20" t="s">
        <v>807</v>
      </c>
      <c r="G175" s="554">
        <f t="shared" si="32"/>
        <v>437</v>
      </c>
      <c r="H175" s="311" t="s">
        <v>808</v>
      </c>
      <c r="I175" s="559">
        <f t="shared" si="28"/>
        <v>329</v>
      </c>
      <c r="J175" s="28" t="s">
        <v>40</v>
      </c>
      <c r="K175" s="18" t="s">
        <v>25</v>
      </c>
      <c r="L175" s="18" t="s">
        <v>25</v>
      </c>
      <c r="M175" s="18" t="s">
        <v>41</v>
      </c>
      <c r="N175" s="23" t="s">
        <v>783</v>
      </c>
      <c r="O175" s="44" t="s">
        <v>25</v>
      </c>
      <c r="P175" s="20" t="s">
        <v>809</v>
      </c>
      <c r="Q175" s="23"/>
      <c r="R175" s="10"/>
      <c r="S175" s="217">
        <v>1</v>
      </c>
      <c r="T175" s="103"/>
      <c r="V175" s="111" t="s">
        <v>24</v>
      </c>
      <c r="W175" s="110"/>
      <c r="Z175" s="216">
        <v>11.36098480224609</v>
      </c>
      <c r="AA175" s="216">
        <f t="shared" si="30"/>
        <v>11.36098480224609</v>
      </c>
      <c r="AB175" s="103" t="str">
        <f t="shared" si="31"/>
        <v/>
      </c>
    </row>
    <row r="176" spans="1:28" s="109" customFormat="1" ht="221" customHeight="1" x14ac:dyDescent="0.2">
      <c r="A176" s="14" t="e">
        <f>A175+1</f>
        <v>#REF!</v>
      </c>
      <c r="B176" s="256" t="s">
        <v>810</v>
      </c>
      <c r="C176" s="16" t="s">
        <v>810</v>
      </c>
      <c r="D176" s="20" t="s">
        <v>811</v>
      </c>
      <c r="E176" s="18">
        <f t="shared" si="33"/>
        <v>374</v>
      </c>
      <c r="F176" s="20" t="s">
        <v>812</v>
      </c>
      <c r="G176" s="18">
        <f t="shared" si="32"/>
        <v>464</v>
      </c>
      <c r="H176" s="312" t="s">
        <v>813</v>
      </c>
      <c r="I176" s="555">
        <f t="shared" si="28"/>
        <v>362</v>
      </c>
      <c r="J176" s="28" t="s">
        <v>40</v>
      </c>
      <c r="K176" s="18" t="s">
        <v>25</v>
      </c>
      <c r="L176" s="18" t="s">
        <v>25</v>
      </c>
      <c r="M176" s="18" t="s">
        <v>41</v>
      </c>
      <c r="N176" s="23" t="s">
        <v>783</v>
      </c>
      <c r="O176" s="44" t="s">
        <v>25</v>
      </c>
      <c r="P176" s="622" t="s">
        <v>814</v>
      </c>
      <c r="Q176" s="257"/>
      <c r="R176" s="10"/>
      <c r="S176" s="217">
        <v>1</v>
      </c>
      <c r="T176" s="103"/>
      <c r="V176" s="111" t="s">
        <v>24</v>
      </c>
      <c r="W176" s="110"/>
      <c r="Z176" s="216">
        <v>12.7567195892334</v>
      </c>
      <c r="AA176" s="216">
        <f t="shared" si="30"/>
        <v>12.7567195892334</v>
      </c>
      <c r="AB176" s="103" t="str">
        <f t="shared" si="31"/>
        <v/>
      </c>
    </row>
    <row r="177" spans="1:28" s="109" customFormat="1" ht="204" customHeight="1" x14ac:dyDescent="0.2">
      <c r="A177" s="14" t="e">
        <f>#REF!+1</f>
        <v>#REF!</v>
      </c>
      <c r="B177" s="256" t="s">
        <v>815</v>
      </c>
      <c r="C177" s="16" t="s">
        <v>815</v>
      </c>
      <c r="D177" s="20" t="s">
        <v>816</v>
      </c>
      <c r="E177" s="18">
        <f t="shared" si="33"/>
        <v>334</v>
      </c>
      <c r="F177" s="20" t="s">
        <v>817</v>
      </c>
      <c r="G177" s="18">
        <f t="shared" si="32"/>
        <v>414</v>
      </c>
      <c r="H177" s="311" t="s">
        <v>818</v>
      </c>
      <c r="I177" s="555">
        <f t="shared" si="28"/>
        <v>315</v>
      </c>
      <c r="J177" s="28" t="s">
        <v>40</v>
      </c>
      <c r="K177" s="18" t="s">
        <v>25</v>
      </c>
      <c r="L177" s="18" t="s">
        <v>25</v>
      </c>
      <c r="M177" s="18" t="s">
        <v>41</v>
      </c>
      <c r="N177" s="23" t="s">
        <v>783</v>
      </c>
      <c r="O177" s="44" t="s">
        <v>25</v>
      </c>
      <c r="P177" s="29" t="s">
        <v>819</v>
      </c>
      <c r="Q177" s="259"/>
      <c r="R177" s="10"/>
      <c r="S177" s="217">
        <v>1</v>
      </c>
      <c r="T177" s="103"/>
      <c r="V177" s="111" t="s">
        <v>24</v>
      </c>
      <c r="W177" s="110"/>
      <c r="Z177" s="216">
        <v>9.1058073043823242</v>
      </c>
      <c r="AA177" s="216">
        <f t="shared" si="30"/>
        <v>9.1058073043823242</v>
      </c>
      <c r="AB177" s="103" t="str">
        <f t="shared" si="31"/>
        <v/>
      </c>
    </row>
    <row r="178" spans="1:28" s="109" customFormat="1" ht="221" customHeight="1" x14ac:dyDescent="0.2">
      <c r="A178" s="14" t="e">
        <f>A177+1</f>
        <v>#REF!</v>
      </c>
      <c r="B178" s="256" t="s">
        <v>820</v>
      </c>
      <c r="C178" s="16" t="s">
        <v>820</v>
      </c>
      <c r="D178" s="20" t="s">
        <v>821</v>
      </c>
      <c r="E178" s="18">
        <f t="shared" si="33"/>
        <v>401</v>
      </c>
      <c r="F178" s="20" t="s">
        <v>822</v>
      </c>
      <c r="G178" s="18">
        <f t="shared" si="32"/>
        <v>503</v>
      </c>
      <c r="H178" s="311" t="s">
        <v>823</v>
      </c>
      <c r="I178" s="555">
        <f t="shared" si="28"/>
        <v>390</v>
      </c>
      <c r="J178" s="28" t="s">
        <v>40</v>
      </c>
      <c r="K178" s="18" t="s">
        <v>25</v>
      </c>
      <c r="L178" s="18" t="s">
        <v>25</v>
      </c>
      <c r="M178" s="18" t="s">
        <v>41</v>
      </c>
      <c r="N178" s="23" t="s">
        <v>783</v>
      </c>
      <c r="O178" s="44" t="s">
        <v>25</v>
      </c>
      <c r="P178" s="612" t="s">
        <v>824</v>
      </c>
      <c r="Q178" s="259"/>
      <c r="R178" s="10"/>
      <c r="S178" s="217">
        <v>1</v>
      </c>
      <c r="T178" s="103"/>
      <c r="V178" s="111" t="s">
        <v>24</v>
      </c>
      <c r="W178" s="110"/>
      <c r="Z178" s="216">
        <v>11.21794319152832</v>
      </c>
      <c r="AA178" s="216">
        <f t="shared" si="30"/>
        <v>11.21794319152832</v>
      </c>
      <c r="AB178" s="103" t="str">
        <f t="shared" si="31"/>
        <v/>
      </c>
    </row>
    <row r="179" spans="1:28" s="109" customFormat="1" ht="204" customHeight="1" x14ac:dyDescent="0.2">
      <c r="A179" s="14" t="e">
        <f>#REF!+1</f>
        <v>#REF!</v>
      </c>
      <c r="B179" s="256" t="s">
        <v>825</v>
      </c>
      <c r="C179" s="16" t="s">
        <v>825</v>
      </c>
      <c r="D179" s="20" t="s">
        <v>826</v>
      </c>
      <c r="E179" s="18">
        <f t="shared" si="33"/>
        <v>335</v>
      </c>
      <c r="F179" s="20" t="s">
        <v>827</v>
      </c>
      <c r="G179" s="18">
        <f t="shared" si="32"/>
        <v>405</v>
      </c>
      <c r="H179" s="311" t="s">
        <v>828</v>
      </c>
      <c r="I179" s="555">
        <f t="shared" si="28"/>
        <v>329</v>
      </c>
      <c r="J179" s="28" t="s">
        <v>40</v>
      </c>
      <c r="K179" s="18" t="s">
        <v>25</v>
      </c>
      <c r="L179" s="18" t="s">
        <v>25</v>
      </c>
      <c r="M179" s="18" t="s">
        <v>41</v>
      </c>
      <c r="N179" s="23" t="s">
        <v>783</v>
      </c>
      <c r="O179" s="44" t="s">
        <v>25</v>
      </c>
      <c r="P179" s="258" t="s">
        <v>829</v>
      </c>
      <c r="Q179" s="259"/>
      <c r="R179" s="10"/>
      <c r="S179" s="217">
        <v>1</v>
      </c>
      <c r="T179" s="103"/>
      <c r="V179" s="111" t="s">
        <v>24</v>
      </c>
      <c r="W179" s="110"/>
      <c r="Z179" s="216">
        <v>9.0649547576904297</v>
      </c>
      <c r="AA179" s="216">
        <f t="shared" si="30"/>
        <v>9.0649547576904297</v>
      </c>
      <c r="AB179" s="103" t="str">
        <f t="shared" si="31"/>
        <v/>
      </c>
    </row>
    <row r="180" spans="1:28" s="109" customFormat="1" ht="409.5" customHeight="1" x14ac:dyDescent="0.2">
      <c r="A180" s="33" t="e">
        <f t="shared" ref="A180:A190" si="34">A179+1</f>
        <v>#REF!</v>
      </c>
      <c r="B180" s="139" t="s">
        <v>830</v>
      </c>
      <c r="C180" s="108" t="s">
        <v>831</v>
      </c>
      <c r="D180" s="588" t="s">
        <v>832</v>
      </c>
      <c r="E180" s="114">
        <f t="shared" si="33"/>
        <v>1361</v>
      </c>
      <c r="F180" s="486" t="s">
        <v>833</v>
      </c>
      <c r="G180" s="114">
        <f t="shared" si="32"/>
        <v>1636</v>
      </c>
      <c r="H180" s="486" t="s">
        <v>834</v>
      </c>
      <c r="I180" s="116">
        <f t="shared" si="28"/>
        <v>1294</v>
      </c>
      <c r="J180" s="123" t="s">
        <v>290</v>
      </c>
      <c r="K180" s="114" t="s">
        <v>25</v>
      </c>
      <c r="L180" s="114" t="s">
        <v>25</v>
      </c>
      <c r="M180" s="114" t="s">
        <v>835</v>
      </c>
      <c r="N180" s="113" t="s">
        <v>836</v>
      </c>
      <c r="O180" s="167" t="s">
        <v>837</v>
      </c>
      <c r="P180" s="113" t="s">
        <v>838</v>
      </c>
      <c r="Q180" s="63"/>
      <c r="R180" s="122"/>
      <c r="S180" s="212">
        <v>1</v>
      </c>
      <c r="T180" s="103"/>
      <c r="V180" s="294" t="s">
        <v>35</v>
      </c>
      <c r="W180" s="110"/>
      <c r="Z180" s="215">
        <v>52.174358367919922</v>
      </c>
      <c r="AA180" s="215">
        <f t="shared" si="30"/>
        <v>52.174358367919922</v>
      </c>
      <c r="AB180" s="103">
        <f t="shared" si="31"/>
        <v>52.174358367919922</v>
      </c>
    </row>
    <row r="181" spans="1:28" s="109" customFormat="1" ht="204" customHeight="1" x14ac:dyDescent="0.2">
      <c r="A181" s="247" t="e">
        <f t="shared" si="34"/>
        <v>#REF!</v>
      </c>
      <c r="B181" s="184" t="s">
        <v>839</v>
      </c>
      <c r="C181" s="138" t="s">
        <v>839</v>
      </c>
      <c r="D181" s="121" t="s">
        <v>840</v>
      </c>
      <c r="E181" s="97">
        <f t="shared" si="33"/>
        <v>327</v>
      </c>
      <c r="F181" s="154" t="s">
        <v>841</v>
      </c>
      <c r="G181" s="97">
        <f t="shared" si="32"/>
        <v>489</v>
      </c>
      <c r="H181" s="449" t="s">
        <v>842</v>
      </c>
      <c r="I181" s="116">
        <f t="shared" si="28"/>
        <v>316</v>
      </c>
      <c r="J181" s="120" t="s">
        <v>40</v>
      </c>
      <c r="K181" s="98" t="s">
        <v>25</v>
      </c>
      <c r="L181" s="98" t="s">
        <v>25</v>
      </c>
      <c r="M181" s="98" t="s">
        <v>41</v>
      </c>
      <c r="N181" s="119" t="s">
        <v>843</v>
      </c>
      <c r="O181" s="167" t="s">
        <v>25</v>
      </c>
      <c r="P181" s="119" t="s">
        <v>844</v>
      </c>
      <c r="Q181" s="32"/>
      <c r="R181" s="118"/>
      <c r="S181" s="212">
        <v>1</v>
      </c>
      <c r="T181" s="103"/>
      <c r="V181" s="294" t="s">
        <v>35</v>
      </c>
      <c r="W181" s="110"/>
      <c r="Z181" s="215">
        <v>1.2871023416519169</v>
      </c>
      <c r="AA181" s="215">
        <f t="shared" si="30"/>
        <v>1.2871023416519169</v>
      </c>
      <c r="AB181" s="103">
        <f t="shared" si="31"/>
        <v>1.2871023416519169</v>
      </c>
    </row>
    <row r="182" spans="1:28" s="109" customFormat="1" ht="102" customHeight="1" x14ac:dyDescent="0.2">
      <c r="A182" s="14" t="e">
        <f t="shared" si="34"/>
        <v>#REF!</v>
      </c>
      <c r="B182" s="183" t="s">
        <v>845</v>
      </c>
      <c r="C182" s="187" t="s">
        <v>845</v>
      </c>
      <c r="D182" s="336" t="s">
        <v>846</v>
      </c>
      <c r="E182" s="18">
        <f t="shared" si="33"/>
        <v>179</v>
      </c>
      <c r="F182" s="336" t="s">
        <v>847</v>
      </c>
      <c r="G182" s="18">
        <f t="shared" si="32"/>
        <v>219</v>
      </c>
      <c r="H182" s="560" t="s">
        <v>848</v>
      </c>
      <c r="I182" s="116">
        <f t="shared" si="28"/>
        <v>16</v>
      </c>
      <c r="J182" s="28" t="s">
        <v>40</v>
      </c>
      <c r="K182" s="18" t="s">
        <v>25</v>
      </c>
      <c r="L182" s="18" t="s">
        <v>25</v>
      </c>
      <c r="M182" s="18" t="s">
        <v>41</v>
      </c>
      <c r="N182" s="23" t="s">
        <v>849</v>
      </c>
      <c r="O182" s="59" t="s">
        <v>25</v>
      </c>
      <c r="P182" s="23" t="s">
        <v>850</v>
      </c>
      <c r="Q182" s="23"/>
      <c r="R182" s="90"/>
      <c r="S182" s="217">
        <v>1</v>
      </c>
      <c r="T182" s="103"/>
      <c r="V182" s="111" t="s">
        <v>24</v>
      </c>
      <c r="W182" s="110"/>
      <c r="Z182" s="216">
        <v>5.6449732780456543</v>
      </c>
      <c r="AA182" s="216">
        <f t="shared" si="30"/>
        <v>5.6449732780456543</v>
      </c>
      <c r="AB182" s="103" t="str">
        <f t="shared" si="31"/>
        <v/>
      </c>
    </row>
    <row r="183" spans="1:28" s="109" customFormat="1" ht="136" customHeight="1" x14ac:dyDescent="0.2">
      <c r="A183" s="14" t="e">
        <f t="shared" si="34"/>
        <v>#REF!</v>
      </c>
      <c r="B183" s="183" t="s">
        <v>851</v>
      </c>
      <c r="C183" s="187" t="s">
        <v>851</v>
      </c>
      <c r="D183" s="336" t="s">
        <v>852</v>
      </c>
      <c r="E183" s="18">
        <f t="shared" si="33"/>
        <v>292</v>
      </c>
      <c r="F183" s="336" t="s">
        <v>853</v>
      </c>
      <c r="G183" s="18">
        <f t="shared" si="32"/>
        <v>419</v>
      </c>
      <c r="H183" s="560" t="s">
        <v>848</v>
      </c>
      <c r="I183" s="116">
        <f t="shared" si="28"/>
        <v>16</v>
      </c>
      <c r="J183" s="28" t="s">
        <v>146</v>
      </c>
      <c r="K183" s="18" t="s">
        <v>25</v>
      </c>
      <c r="L183" s="18" t="s">
        <v>25</v>
      </c>
      <c r="M183" s="18" t="s">
        <v>28</v>
      </c>
      <c r="N183" s="23" t="s">
        <v>854</v>
      </c>
      <c r="O183" s="59" t="s">
        <v>25</v>
      </c>
      <c r="P183" s="23" t="s">
        <v>855</v>
      </c>
      <c r="Q183" s="23"/>
      <c r="R183" s="89"/>
      <c r="S183" s="217">
        <v>1</v>
      </c>
      <c r="T183" s="103"/>
      <c r="V183" s="111" t="s">
        <v>24</v>
      </c>
      <c r="W183" s="110"/>
      <c r="Z183" s="216">
        <v>26.998960494995121</v>
      </c>
      <c r="AA183" s="216">
        <f t="shared" si="30"/>
        <v>26.998960494995121</v>
      </c>
      <c r="AB183" s="103" t="str">
        <f t="shared" si="31"/>
        <v/>
      </c>
    </row>
    <row r="184" spans="1:28" s="109" customFormat="1" ht="136" customHeight="1" x14ac:dyDescent="0.2">
      <c r="A184" s="14" t="e">
        <f t="shared" si="34"/>
        <v>#REF!</v>
      </c>
      <c r="B184" s="183" t="s">
        <v>856</v>
      </c>
      <c r="C184" s="187" t="s">
        <v>856</v>
      </c>
      <c r="D184" s="336" t="s">
        <v>857</v>
      </c>
      <c r="E184" s="18">
        <f t="shared" si="33"/>
        <v>267</v>
      </c>
      <c r="F184" s="336" t="s">
        <v>858</v>
      </c>
      <c r="G184" s="18">
        <f t="shared" si="32"/>
        <v>395</v>
      </c>
      <c r="H184" s="560" t="s">
        <v>848</v>
      </c>
      <c r="I184" s="116">
        <f t="shared" si="28"/>
        <v>16</v>
      </c>
      <c r="J184" s="28" t="s">
        <v>146</v>
      </c>
      <c r="K184" s="18" t="s">
        <v>25</v>
      </c>
      <c r="L184" s="18" t="s">
        <v>25</v>
      </c>
      <c r="M184" s="18" t="s">
        <v>28</v>
      </c>
      <c r="N184" s="23" t="s">
        <v>859</v>
      </c>
      <c r="O184" s="59" t="s">
        <v>25</v>
      </c>
      <c r="P184" s="23" t="s">
        <v>860</v>
      </c>
      <c r="Q184" s="23"/>
      <c r="R184" s="89"/>
      <c r="S184" s="217">
        <v>1</v>
      </c>
      <c r="T184" s="103"/>
      <c r="V184" s="111" t="s">
        <v>24</v>
      </c>
      <c r="W184" s="110"/>
      <c r="Z184" s="216">
        <v>18.273832321166989</v>
      </c>
      <c r="AA184" s="216">
        <f t="shared" si="30"/>
        <v>18.273832321166989</v>
      </c>
      <c r="AB184" s="103" t="str">
        <f t="shared" si="31"/>
        <v/>
      </c>
    </row>
    <row r="185" spans="1:28" s="109" customFormat="1" ht="119" customHeight="1" x14ac:dyDescent="0.2">
      <c r="A185" s="14" t="e">
        <f t="shared" si="34"/>
        <v>#REF!</v>
      </c>
      <c r="B185" s="183" t="s">
        <v>861</v>
      </c>
      <c r="C185" s="187" t="s">
        <v>861</v>
      </c>
      <c r="D185" s="336" t="s">
        <v>862</v>
      </c>
      <c r="E185" s="18">
        <f t="shared" si="33"/>
        <v>269</v>
      </c>
      <c r="F185" s="336" t="s">
        <v>863</v>
      </c>
      <c r="G185" s="18">
        <f t="shared" si="32"/>
        <v>336</v>
      </c>
      <c r="H185" s="560" t="s">
        <v>848</v>
      </c>
      <c r="I185" s="116">
        <f t="shared" si="28"/>
        <v>16</v>
      </c>
      <c r="J185" s="28" t="s">
        <v>146</v>
      </c>
      <c r="K185" s="18" t="s">
        <v>25</v>
      </c>
      <c r="L185" s="18" t="s">
        <v>25</v>
      </c>
      <c r="M185" s="18" t="s">
        <v>28</v>
      </c>
      <c r="N185" s="23" t="s">
        <v>864</v>
      </c>
      <c r="O185" s="59" t="s">
        <v>25</v>
      </c>
      <c r="P185" s="23" t="s">
        <v>865</v>
      </c>
      <c r="Q185" s="23"/>
      <c r="R185" s="89"/>
      <c r="S185" s="217">
        <v>1</v>
      </c>
      <c r="T185" s="103"/>
      <c r="V185" s="111" t="s">
        <v>24</v>
      </c>
      <c r="W185" s="110"/>
      <c r="Z185" s="216">
        <v>16.352115631103519</v>
      </c>
      <c r="AA185" s="216">
        <f t="shared" si="30"/>
        <v>16.352115631103519</v>
      </c>
      <c r="AB185" s="103" t="str">
        <f t="shared" si="31"/>
        <v/>
      </c>
    </row>
    <row r="186" spans="1:28" s="109" customFormat="1" ht="119" customHeight="1" x14ac:dyDescent="0.2">
      <c r="A186" s="14" t="e">
        <f t="shared" si="34"/>
        <v>#REF!</v>
      </c>
      <c r="B186" s="183" t="s">
        <v>866</v>
      </c>
      <c r="C186" s="187" t="s">
        <v>866</v>
      </c>
      <c r="D186" s="336" t="s">
        <v>867</v>
      </c>
      <c r="E186" s="18">
        <f t="shared" si="33"/>
        <v>239</v>
      </c>
      <c r="F186" s="336" t="s">
        <v>868</v>
      </c>
      <c r="G186" s="18">
        <f t="shared" si="32"/>
        <v>305</v>
      </c>
      <c r="H186" s="560" t="s">
        <v>848</v>
      </c>
      <c r="I186" s="116">
        <f t="shared" si="28"/>
        <v>16</v>
      </c>
      <c r="J186" s="28" t="s">
        <v>146</v>
      </c>
      <c r="K186" s="18" t="s">
        <v>25</v>
      </c>
      <c r="L186" s="18" t="s">
        <v>25</v>
      </c>
      <c r="M186" s="18" t="s">
        <v>28</v>
      </c>
      <c r="N186" s="23" t="s">
        <v>869</v>
      </c>
      <c r="O186" s="59" t="s">
        <v>25</v>
      </c>
      <c r="P186" s="23" t="s">
        <v>870</v>
      </c>
      <c r="Q186" s="23"/>
      <c r="R186" s="89"/>
      <c r="S186" s="217">
        <v>1</v>
      </c>
      <c r="T186" s="103"/>
      <c r="V186" s="111" t="s">
        <v>24</v>
      </c>
      <c r="W186" s="110"/>
      <c r="Z186" s="216">
        <v>14.01507568359375</v>
      </c>
      <c r="AA186" s="216">
        <f t="shared" si="30"/>
        <v>14.01507568359375</v>
      </c>
      <c r="AB186" s="103" t="str">
        <f t="shared" si="31"/>
        <v/>
      </c>
    </row>
    <row r="187" spans="1:28" s="109" customFormat="1" ht="136" customHeight="1" x14ac:dyDescent="0.2">
      <c r="A187" s="14" t="e">
        <f t="shared" si="34"/>
        <v>#REF!</v>
      </c>
      <c r="B187" s="183" t="s">
        <v>871</v>
      </c>
      <c r="C187" s="187" t="s">
        <v>871</v>
      </c>
      <c r="D187" s="336" t="s">
        <v>872</v>
      </c>
      <c r="E187" s="18">
        <f t="shared" si="33"/>
        <v>273</v>
      </c>
      <c r="F187" s="336" t="s">
        <v>873</v>
      </c>
      <c r="G187" s="18">
        <f t="shared" si="32"/>
        <v>388</v>
      </c>
      <c r="H187" s="560" t="s">
        <v>848</v>
      </c>
      <c r="I187" s="116">
        <f t="shared" si="28"/>
        <v>16</v>
      </c>
      <c r="J187" s="28" t="s">
        <v>146</v>
      </c>
      <c r="K187" s="18" t="s">
        <v>25</v>
      </c>
      <c r="L187" s="18" t="s">
        <v>25</v>
      </c>
      <c r="M187" s="18" t="s">
        <v>28</v>
      </c>
      <c r="N187" s="23" t="s">
        <v>874</v>
      </c>
      <c r="O187" s="59" t="s">
        <v>25</v>
      </c>
      <c r="P187" s="23" t="s">
        <v>875</v>
      </c>
      <c r="Q187" s="23"/>
      <c r="R187" s="89"/>
      <c r="S187" s="217">
        <v>1</v>
      </c>
      <c r="T187" s="103"/>
      <c r="V187" s="111" t="s">
        <v>24</v>
      </c>
      <c r="W187" s="110"/>
      <c r="Z187" s="216">
        <v>17.22746658325195</v>
      </c>
      <c r="AA187" s="216">
        <f t="shared" si="30"/>
        <v>17.22746658325195</v>
      </c>
      <c r="AB187" s="103" t="str">
        <f t="shared" si="31"/>
        <v/>
      </c>
    </row>
    <row r="188" spans="1:28" s="109" customFormat="1" ht="136" customHeight="1" x14ac:dyDescent="0.2">
      <c r="A188" s="14" t="e">
        <f t="shared" si="34"/>
        <v>#REF!</v>
      </c>
      <c r="B188" s="183" t="s">
        <v>876</v>
      </c>
      <c r="C188" s="187" t="s">
        <v>876</v>
      </c>
      <c r="D188" s="336" t="s">
        <v>877</v>
      </c>
      <c r="E188" s="18">
        <f t="shared" si="33"/>
        <v>307</v>
      </c>
      <c r="F188" s="336" t="s">
        <v>878</v>
      </c>
      <c r="G188" s="18">
        <f t="shared" si="32"/>
        <v>417</v>
      </c>
      <c r="H188" s="560" t="s">
        <v>848</v>
      </c>
      <c r="I188" s="116">
        <f t="shared" si="28"/>
        <v>16</v>
      </c>
      <c r="J188" s="28" t="s">
        <v>146</v>
      </c>
      <c r="K188" s="18" t="s">
        <v>25</v>
      </c>
      <c r="L188" s="18" t="s">
        <v>25</v>
      </c>
      <c r="M188" s="18" t="s">
        <v>28</v>
      </c>
      <c r="N188" s="23" t="s">
        <v>879</v>
      </c>
      <c r="O188" s="59" t="s">
        <v>25</v>
      </c>
      <c r="P188" s="23" t="s">
        <v>880</v>
      </c>
      <c r="Q188" s="23"/>
      <c r="R188" s="89"/>
      <c r="S188" s="217">
        <v>1</v>
      </c>
      <c r="T188" s="103"/>
      <c r="V188" s="111" t="s">
        <v>24</v>
      </c>
      <c r="W188" s="110"/>
      <c r="Z188" s="216">
        <v>19.492774716706521</v>
      </c>
      <c r="AA188" s="216">
        <f t="shared" si="30"/>
        <v>19.492774716706521</v>
      </c>
      <c r="AB188" s="103" t="str">
        <f t="shared" si="31"/>
        <v/>
      </c>
    </row>
    <row r="189" spans="1:28" s="109" customFormat="1" ht="136" customHeight="1" x14ac:dyDescent="0.2">
      <c r="A189" s="14" t="e">
        <f t="shared" si="34"/>
        <v>#REF!</v>
      </c>
      <c r="B189" s="183" t="s">
        <v>881</v>
      </c>
      <c r="C189" s="187" t="s">
        <v>881</v>
      </c>
      <c r="D189" s="336" t="s">
        <v>882</v>
      </c>
      <c r="E189" s="18">
        <f t="shared" si="33"/>
        <v>292</v>
      </c>
      <c r="F189" s="336" t="s">
        <v>883</v>
      </c>
      <c r="G189" s="18">
        <f t="shared" si="32"/>
        <v>423</v>
      </c>
      <c r="H189" s="560" t="s">
        <v>848</v>
      </c>
      <c r="I189" s="116">
        <f t="shared" si="28"/>
        <v>16</v>
      </c>
      <c r="J189" s="28" t="s">
        <v>146</v>
      </c>
      <c r="K189" s="18" t="s">
        <v>25</v>
      </c>
      <c r="L189" s="18" t="s">
        <v>25</v>
      </c>
      <c r="M189" s="18" t="s">
        <v>28</v>
      </c>
      <c r="N189" s="23" t="s">
        <v>884</v>
      </c>
      <c r="O189" s="59" t="s">
        <v>25</v>
      </c>
      <c r="P189" s="23" t="s">
        <v>885</v>
      </c>
      <c r="Q189" s="23"/>
      <c r="R189" s="89"/>
      <c r="S189" s="217">
        <v>1</v>
      </c>
      <c r="T189" s="103"/>
      <c r="V189" s="111" t="s">
        <v>24</v>
      </c>
      <c r="W189" s="110"/>
      <c r="Z189" s="216">
        <v>14.17413425445557</v>
      </c>
      <c r="AA189" s="216">
        <f t="shared" si="30"/>
        <v>14.17413425445557</v>
      </c>
      <c r="AB189" s="103" t="str">
        <f t="shared" si="31"/>
        <v/>
      </c>
    </row>
    <row r="190" spans="1:28" s="109" customFormat="1" ht="136" customHeight="1" x14ac:dyDescent="0.2">
      <c r="A190" s="80" t="e">
        <f t="shared" si="34"/>
        <v>#REF!</v>
      </c>
      <c r="B190" s="183" t="s">
        <v>886</v>
      </c>
      <c r="C190" s="187" t="s">
        <v>886</v>
      </c>
      <c r="D190" s="336" t="s">
        <v>887</v>
      </c>
      <c r="E190" s="18">
        <f t="shared" si="33"/>
        <v>262</v>
      </c>
      <c r="F190" s="336" t="s">
        <v>888</v>
      </c>
      <c r="G190" s="18">
        <f t="shared" si="32"/>
        <v>396</v>
      </c>
      <c r="H190" s="560" t="s">
        <v>848</v>
      </c>
      <c r="I190" s="123">
        <f t="shared" si="28"/>
        <v>16</v>
      </c>
      <c r="J190" s="28" t="s">
        <v>146</v>
      </c>
      <c r="K190" s="18" t="s">
        <v>25</v>
      </c>
      <c r="L190" s="18" t="s">
        <v>25</v>
      </c>
      <c r="M190" s="18" t="s">
        <v>28</v>
      </c>
      <c r="N190" s="23" t="s">
        <v>889</v>
      </c>
      <c r="O190" s="60" t="s">
        <v>25</v>
      </c>
      <c r="P190" s="23" t="s">
        <v>890</v>
      </c>
      <c r="Q190" s="23"/>
      <c r="R190" s="573"/>
      <c r="S190" s="217">
        <v>1</v>
      </c>
      <c r="T190" s="103"/>
      <c r="V190" s="111" t="s">
        <v>24</v>
      </c>
      <c r="W190" s="110"/>
      <c r="Z190" s="216">
        <v>13.37862586975098</v>
      </c>
      <c r="AA190" s="216">
        <f t="shared" si="30"/>
        <v>13.37862586975098</v>
      </c>
      <c r="AB190" s="103" t="str">
        <f t="shared" si="31"/>
        <v/>
      </c>
    </row>
    <row r="191" spans="1:28" s="109" customFormat="1" ht="102" customHeight="1" x14ac:dyDescent="0.2">
      <c r="A191" s="80"/>
      <c r="B191" s="183" t="s">
        <v>891</v>
      </c>
      <c r="C191" s="187" t="s">
        <v>891</v>
      </c>
      <c r="D191" s="336" t="s">
        <v>892</v>
      </c>
      <c r="E191" s="18">
        <f t="shared" si="33"/>
        <v>257</v>
      </c>
      <c r="F191" s="336" t="s">
        <v>893</v>
      </c>
      <c r="G191" s="18">
        <f t="shared" si="32"/>
        <v>377</v>
      </c>
      <c r="H191" s="560" t="s">
        <v>848</v>
      </c>
      <c r="I191" s="123">
        <f t="shared" si="28"/>
        <v>16</v>
      </c>
      <c r="J191" s="28" t="s">
        <v>146</v>
      </c>
      <c r="K191" s="18" t="s">
        <v>25</v>
      </c>
      <c r="L191" s="18" t="s">
        <v>25</v>
      </c>
      <c r="M191" s="18" t="s">
        <v>28</v>
      </c>
      <c r="N191" s="20" t="s">
        <v>894</v>
      </c>
      <c r="O191" s="73" t="s">
        <v>25</v>
      </c>
      <c r="P191" s="20" t="s">
        <v>895</v>
      </c>
      <c r="Q191" s="20"/>
      <c r="R191" s="73"/>
      <c r="S191" s="217">
        <v>1</v>
      </c>
      <c r="T191" s="103"/>
      <c r="V191" s="111" t="s">
        <v>24</v>
      </c>
      <c r="W191" s="110"/>
      <c r="Z191" s="216">
        <v>12.756523132324221</v>
      </c>
      <c r="AA191" s="216">
        <f t="shared" si="30"/>
        <v>12.756523132324221</v>
      </c>
      <c r="AB191" s="103" t="str">
        <f t="shared" si="31"/>
        <v/>
      </c>
    </row>
    <row r="192" spans="1:28" s="293" customFormat="1" x14ac:dyDescent="0.2">
      <c r="A192" s="641" t="s">
        <v>896</v>
      </c>
      <c r="B192" s="637"/>
      <c r="C192" s="637"/>
      <c r="D192" s="637"/>
      <c r="E192" s="637"/>
      <c r="F192" s="637"/>
      <c r="G192" s="637"/>
      <c r="H192" s="637"/>
      <c r="I192" s="637"/>
      <c r="J192" s="637"/>
      <c r="K192" s="637"/>
      <c r="L192" s="637"/>
      <c r="M192" s="637"/>
      <c r="N192" s="637"/>
      <c r="O192" s="637"/>
      <c r="P192" s="637"/>
      <c r="Q192" s="637"/>
      <c r="R192" s="642"/>
      <c r="S192" s="212"/>
      <c r="T192" s="296"/>
      <c r="V192" s="294"/>
      <c r="W192" s="297"/>
      <c r="Z192" s="215"/>
      <c r="AA192" s="215" t="str">
        <f t="shared" si="30"/>
        <v/>
      </c>
      <c r="AB192" s="296" t="str">
        <f t="shared" si="31"/>
        <v/>
      </c>
    </row>
    <row r="193" spans="1:28" s="445" customFormat="1" ht="119" customHeight="1" x14ac:dyDescent="0.2">
      <c r="A193" s="516"/>
      <c r="B193" s="561" t="s">
        <v>897</v>
      </c>
      <c r="C193" s="553" t="s">
        <v>897</v>
      </c>
      <c r="D193" s="307" t="s">
        <v>898</v>
      </c>
      <c r="E193" s="35">
        <f>LEN(D193)</f>
        <v>253</v>
      </c>
      <c r="F193" s="450" t="s">
        <v>899</v>
      </c>
      <c r="G193" s="114">
        <f>LEN(F193)</f>
        <v>266</v>
      </c>
      <c r="H193" s="307" t="s">
        <v>900</v>
      </c>
      <c r="I193" s="123">
        <f>LEN(H193)</f>
        <v>190</v>
      </c>
      <c r="J193" s="553" t="s">
        <v>146</v>
      </c>
      <c r="K193" s="553"/>
      <c r="L193" s="553"/>
      <c r="M193" s="553"/>
      <c r="N193" s="553"/>
      <c r="O193" s="553"/>
      <c r="P193" s="613" t="s">
        <v>901</v>
      </c>
      <c r="Q193" s="553"/>
      <c r="R193" s="553"/>
      <c r="S193" s="443"/>
      <c r="T193" s="444"/>
      <c r="V193" s="446"/>
      <c r="W193" s="447"/>
      <c r="Z193" s="448"/>
      <c r="AA193" s="448"/>
      <c r="AB193" s="444"/>
    </row>
    <row r="194" spans="1:28" s="445" customFormat="1" ht="102" customHeight="1" x14ac:dyDescent="0.2">
      <c r="A194" s="516"/>
      <c r="B194" s="561" t="s">
        <v>902</v>
      </c>
      <c r="C194" s="553" t="s">
        <v>902</v>
      </c>
      <c r="D194" s="307" t="s">
        <v>903</v>
      </c>
      <c r="E194" s="35">
        <f>LEN(D194)</f>
        <v>225</v>
      </c>
      <c r="F194" s="486" t="s">
        <v>904</v>
      </c>
      <c r="G194" s="114">
        <f>LEN(F194)</f>
        <v>213</v>
      </c>
      <c r="H194" s="486" t="s">
        <v>905</v>
      </c>
      <c r="I194" s="123">
        <f>LEN(H194)</f>
        <v>166</v>
      </c>
      <c r="J194" s="553" t="s">
        <v>146</v>
      </c>
      <c r="K194" s="553"/>
      <c r="L194" s="553"/>
      <c r="M194" s="553"/>
      <c r="N194" s="553"/>
      <c r="O194" s="553"/>
      <c r="P194" s="613" t="s">
        <v>906</v>
      </c>
      <c r="Q194" s="553"/>
      <c r="R194" s="553"/>
      <c r="S194" s="443"/>
      <c r="T194" s="444"/>
      <c r="V194" s="446"/>
      <c r="W194" s="447"/>
      <c r="Z194" s="448"/>
      <c r="AA194" s="448"/>
      <c r="AB194" s="444"/>
    </row>
    <row r="195" spans="1:28" s="180" customFormat="1" ht="272" customHeight="1" x14ac:dyDescent="0.2">
      <c r="A195" s="35" t="e">
        <f>#REF!+1</f>
        <v>#REF!</v>
      </c>
      <c r="B195" s="139" t="s">
        <v>907</v>
      </c>
      <c r="C195" s="115" t="s">
        <v>907</v>
      </c>
      <c r="D195" s="127" t="s">
        <v>908</v>
      </c>
      <c r="E195" s="114">
        <f>LEN(D195)</f>
        <v>222</v>
      </c>
      <c r="F195" s="307" t="s">
        <v>909</v>
      </c>
      <c r="G195" s="114">
        <f>LEN(F195)</f>
        <v>228</v>
      </c>
      <c r="H195" s="477" t="s">
        <v>910</v>
      </c>
      <c r="I195" s="123">
        <f>LEN(H195)</f>
        <v>179</v>
      </c>
      <c r="J195" s="123" t="s">
        <v>40</v>
      </c>
      <c r="K195" s="114" t="s">
        <v>25</v>
      </c>
      <c r="L195" s="114" t="s">
        <v>911</v>
      </c>
      <c r="M195" s="114" t="s">
        <v>41</v>
      </c>
      <c r="N195" s="127" t="s">
        <v>912</v>
      </c>
      <c r="O195" s="123" t="s">
        <v>25</v>
      </c>
      <c r="P195" s="127" t="s">
        <v>913</v>
      </c>
      <c r="Q195" s="58"/>
      <c r="R195" s="58"/>
      <c r="S195" s="212">
        <v>1</v>
      </c>
      <c r="T195" s="104"/>
      <c r="V195" s="298" t="s">
        <v>35</v>
      </c>
      <c r="W195" s="174"/>
      <c r="Z195" s="219">
        <v>14.47277355194092</v>
      </c>
      <c r="AA195" s="215">
        <f t="shared" ref="AA195:AA207" si="35">IF(Z195="","",Z195*S195)</f>
        <v>14.47277355194092</v>
      </c>
      <c r="AB195" s="103">
        <f t="shared" ref="AB195:AB207" si="36">IF(V195="yes",AA195,"")</f>
        <v>14.47277355194092</v>
      </c>
    </row>
    <row r="196" spans="1:28" s="109" customFormat="1" ht="409.5" customHeight="1" x14ac:dyDescent="0.2">
      <c r="A196" s="71" t="e">
        <f>A195+1</f>
        <v>#REF!</v>
      </c>
      <c r="B196" s="182" t="s">
        <v>914</v>
      </c>
      <c r="C196" s="108" t="s">
        <v>915</v>
      </c>
      <c r="D196" s="552" t="s">
        <v>916</v>
      </c>
      <c r="E196" s="106">
        <f>LEN(D196)</f>
        <v>1207</v>
      </c>
      <c r="F196" s="154" t="s">
        <v>917</v>
      </c>
      <c r="G196" s="106">
        <f>LEN(F196)</f>
        <v>1433</v>
      </c>
      <c r="H196" s="154" t="s">
        <v>918</v>
      </c>
      <c r="I196" s="116">
        <f>LEN(H196)</f>
        <v>1018</v>
      </c>
      <c r="J196" s="108" t="s">
        <v>919</v>
      </c>
      <c r="K196" s="106" t="s">
        <v>25</v>
      </c>
      <c r="L196" s="106" t="s">
        <v>25</v>
      </c>
      <c r="M196" s="106" t="s">
        <v>920</v>
      </c>
      <c r="N196" s="105" t="s">
        <v>921</v>
      </c>
      <c r="O196" s="167" t="s">
        <v>922</v>
      </c>
      <c r="P196" s="112" t="s">
        <v>923</v>
      </c>
      <c r="Q196" s="131"/>
      <c r="R196" s="39"/>
      <c r="S196" s="212">
        <v>1</v>
      </c>
      <c r="T196" s="103"/>
      <c r="V196" s="294" t="s">
        <v>35</v>
      </c>
      <c r="W196" s="110"/>
      <c r="Z196" s="215">
        <v>33.740764617919922</v>
      </c>
      <c r="AA196" s="215">
        <f t="shared" si="35"/>
        <v>33.740764617919922</v>
      </c>
      <c r="AB196" s="103">
        <f t="shared" si="36"/>
        <v>33.740764617919922</v>
      </c>
    </row>
    <row r="197" spans="1:28" s="109" customFormat="1" x14ac:dyDescent="0.2">
      <c r="A197" s="82"/>
      <c r="B197" s="205"/>
      <c r="C197" s="72"/>
      <c r="D197" s="66"/>
      <c r="E197" s="75"/>
      <c r="F197" s="75"/>
      <c r="G197" s="75"/>
      <c r="H197" s="75"/>
      <c r="I197" s="116"/>
      <c r="J197" s="83"/>
      <c r="K197" s="75"/>
      <c r="L197" s="75"/>
      <c r="M197" s="75"/>
      <c r="N197" s="68"/>
      <c r="O197" s="58"/>
      <c r="P197" s="204"/>
      <c r="Q197" s="204"/>
      <c r="R197" s="10"/>
      <c r="S197" s="217">
        <v>1</v>
      </c>
      <c r="T197" s="103"/>
      <c r="V197" s="111"/>
      <c r="W197" s="110"/>
      <c r="Z197" s="216"/>
      <c r="AA197" s="216" t="str">
        <f t="shared" si="35"/>
        <v/>
      </c>
      <c r="AB197" s="103" t="str">
        <f t="shared" si="36"/>
        <v/>
      </c>
    </row>
    <row r="198" spans="1:28" s="109" customFormat="1" ht="340" customHeight="1" x14ac:dyDescent="0.2">
      <c r="A198" s="262" t="e">
        <f>A196+1</f>
        <v>#REF!</v>
      </c>
      <c r="B198" s="139" t="s">
        <v>924</v>
      </c>
      <c r="C198" s="115" t="s">
        <v>925</v>
      </c>
      <c r="D198" s="283" t="s">
        <v>926</v>
      </c>
      <c r="E198" s="97">
        <f>LEN(D198)</f>
        <v>497</v>
      </c>
      <c r="F198" s="326" t="s">
        <v>927</v>
      </c>
      <c r="G198" s="97">
        <f>LEN(F198)</f>
        <v>606</v>
      </c>
      <c r="H198" s="307" t="s">
        <v>928</v>
      </c>
      <c r="I198" s="116">
        <f>LEN(H198)</f>
        <v>491</v>
      </c>
      <c r="J198" s="290" t="s">
        <v>919</v>
      </c>
      <c r="K198" s="97" t="s">
        <v>25</v>
      </c>
      <c r="L198" s="97" t="s">
        <v>25</v>
      </c>
      <c r="M198" s="97" t="s">
        <v>929</v>
      </c>
      <c r="N198" s="282" t="s">
        <v>930</v>
      </c>
      <c r="O198" s="167" t="s">
        <v>931</v>
      </c>
      <c r="P198" s="282" t="s">
        <v>932</v>
      </c>
      <c r="Q198" s="68"/>
      <c r="R198" s="10"/>
      <c r="S198" s="217">
        <v>1</v>
      </c>
      <c r="T198" s="103"/>
      <c r="V198" s="294" t="s">
        <v>35</v>
      </c>
      <c r="W198" s="110"/>
      <c r="Z198" s="215">
        <v>14.55059909820557</v>
      </c>
      <c r="AA198" s="215">
        <f t="shared" si="35"/>
        <v>14.55059909820557</v>
      </c>
      <c r="AB198" s="103">
        <f t="shared" si="36"/>
        <v>14.55059909820557</v>
      </c>
    </row>
    <row r="199" spans="1:28" s="109" customFormat="1" ht="255" customHeight="1" x14ac:dyDescent="0.2">
      <c r="A199" s="262" t="e">
        <f>A198+1</f>
        <v>#REF!</v>
      </c>
      <c r="B199" s="291" t="s">
        <v>933</v>
      </c>
      <c r="C199" s="292" t="s">
        <v>933</v>
      </c>
      <c r="D199" s="283" t="s">
        <v>934</v>
      </c>
      <c r="E199" s="97">
        <f>LEN(D199)</f>
        <v>460</v>
      </c>
      <c r="F199" s="309" t="s">
        <v>935</v>
      </c>
      <c r="G199" s="97">
        <f>LEN(F199)</f>
        <v>512</v>
      </c>
      <c r="H199" s="450" t="s">
        <v>936</v>
      </c>
      <c r="I199" s="116">
        <f>LEN(H199)</f>
        <v>424</v>
      </c>
      <c r="J199" s="290" t="s">
        <v>40</v>
      </c>
      <c r="K199" s="97" t="s">
        <v>25</v>
      </c>
      <c r="L199" s="97" t="s">
        <v>25</v>
      </c>
      <c r="M199" s="97" t="s">
        <v>41</v>
      </c>
      <c r="N199" s="289" t="s">
        <v>937</v>
      </c>
      <c r="O199" s="167" t="s">
        <v>25</v>
      </c>
      <c r="P199" s="113" t="s">
        <v>938</v>
      </c>
      <c r="Q199" s="58"/>
      <c r="R199" s="10"/>
      <c r="S199" s="217">
        <v>1</v>
      </c>
      <c r="T199" s="103"/>
      <c r="V199" s="294" t="s">
        <v>35</v>
      </c>
      <c r="W199" s="110"/>
      <c r="Z199" s="215">
        <v>10.812456130981451</v>
      </c>
      <c r="AA199" s="215">
        <f t="shared" si="35"/>
        <v>10.812456130981451</v>
      </c>
      <c r="AB199" s="103">
        <f t="shared" si="36"/>
        <v>10.812456130981451</v>
      </c>
    </row>
    <row r="200" spans="1:28" s="109" customFormat="1" ht="17" customHeight="1" thickBot="1" x14ac:dyDescent="0.25">
      <c r="A200" s="82"/>
      <c r="B200" s="205"/>
      <c r="C200" s="72"/>
      <c r="D200" s="66"/>
      <c r="E200" s="75"/>
      <c r="F200" s="75"/>
      <c r="G200" s="75"/>
      <c r="H200" s="75"/>
      <c r="I200" s="75"/>
      <c r="J200" s="83"/>
      <c r="K200" s="75"/>
      <c r="L200" s="75"/>
      <c r="M200" s="75"/>
      <c r="N200" s="68"/>
      <c r="O200" s="58"/>
      <c r="P200" s="204"/>
      <c r="Q200" s="263"/>
      <c r="R200" s="39"/>
      <c r="S200" s="217">
        <v>1</v>
      </c>
      <c r="T200" s="103"/>
      <c r="V200" s="111"/>
      <c r="W200" s="110"/>
      <c r="Z200" s="216"/>
      <c r="AA200" s="216" t="str">
        <f t="shared" si="35"/>
        <v/>
      </c>
      <c r="AB200" s="103" t="str">
        <f t="shared" si="36"/>
        <v/>
      </c>
    </row>
    <row r="201" spans="1:28" s="293" customFormat="1" ht="17" customHeight="1" thickBot="1" x14ac:dyDescent="0.25">
      <c r="A201" s="626" t="s">
        <v>939</v>
      </c>
      <c r="B201" s="627"/>
      <c r="C201" s="627"/>
      <c r="D201" s="627"/>
      <c r="E201" s="627"/>
      <c r="F201" s="627"/>
      <c r="G201" s="627"/>
      <c r="H201" s="627"/>
      <c r="I201" s="627"/>
      <c r="J201" s="627"/>
      <c r="K201" s="627"/>
      <c r="L201" s="627"/>
      <c r="M201" s="627"/>
      <c r="N201" s="627"/>
      <c r="O201" s="627"/>
      <c r="P201" s="627"/>
      <c r="Q201" s="627"/>
      <c r="R201" s="628"/>
      <c r="S201" s="212"/>
      <c r="T201" s="296"/>
      <c r="V201" s="294"/>
      <c r="W201" s="297"/>
      <c r="Z201" s="215"/>
      <c r="AA201" s="215" t="str">
        <f t="shared" si="35"/>
        <v/>
      </c>
      <c r="AB201" s="296" t="str">
        <f t="shared" si="36"/>
        <v/>
      </c>
    </row>
    <row r="202" spans="1:28" s="109" customFormat="1" ht="136" customHeight="1" x14ac:dyDescent="0.2">
      <c r="A202" s="71" t="s">
        <v>25</v>
      </c>
      <c r="B202" s="182" t="s">
        <v>940</v>
      </c>
      <c r="C202" s="108" t="s">
        <v>940</v>
      </c>
      <c r="D202" s="107" t="s">
        <v>941</v>
      </c>
      <c r="E202" s="106">
        <f>LEN(D202)</f>
        <v>162</v>
      </c>
      <c r="F202" s="315" t="s">
        <v>942</v>
      </c>
      <c r="G202" s="106">
        <f>LEN(F202)</f>
        <v>189</v>
      </c>
      <c r="H202" s="154" t="s">
        <v>943</v>
      </c>
      <c r="I202" s="116">
        <f>LEN(H202)</f>
        <v>150</v>
      </c>
      <c r="J202" s="106" t="s">
        <v>40</v>
      </c>
      <c r="K202" s="106" t="s">
        <v>25</v>
      </c>
      <c r="L202" s="106" t="s">
        <v>25</v>
      </c>
      <c r="M202" s="106" t="s">
        <v>41</v>
      </c>
      <c r="N202" s="105" t="s">
        <v>944</v>
      </c>
      <c r="O202" s="167" t="s">
        <v>25</v>
      </c>
      <c r="P202" s="105" t="s">
        <v>945</v>
      </c>
      <c r="Q202" s="65"/>
      <c r="R202" s="9"/>
      <c r="S202" s="212">
        <v>1</v>
      </c>
      <c r="T202" s="103"/>
      <c r="V202" s="294" t="s">
        <v>35</v>
      </c>
      <c r="W202" s="110"/>
      <c r="Z202" s="215">
        <v>14.946464538574221</v>
      </c>
      <c r="AA202" s="215">
        <f t="shared" si="35"/>
        <v>14.946464538574221</v>
      </c>
      <c r="AB202" s="103">
        <f t="shared" si="36"/>
        <v>14.946464538574221</v>
      </c>
    </row>
    <row r="203" spans="1:28" s="228" customFormat="1" ht="187" customHeight="1" x14ac:dyDescent="0.2">
      <c r="A203" s="246"/>
      <c r="B203" s="454" t="s">
        <v>946</v>
      </c>
      <c r="C203" s="564" t="s">
        <v>947</v>
      </c>
      <c r="D203" s="276" t="s">
        <v>948</v>
      </c>
      <c r="E203" s="478">
        <f>LEN(D203)</f>
        <v>166</v>
      </c>
      <c r="F203" s="316" t="s">
        <v>949</v>
      </c>
      <c r="G203" s="478">
        <f>LEN(F203)</f>
        <v>190</v>
      </c>
      <c r="H203" s="440" t="s">
        <v>950</v>
      </c>
      <c r="I203" s="116">
        <f>LEN(H203)</f>
        <v>141</v>
      </c>
      <c r="J203" s="478" t="s">
        <v>290</v>
      </c>
      <c r="K203" s="478" t="s">
        <v>25</v>
      </c>
      <c r="L203" s="478" t="s">
        <v>25</v>
      </c>
      <c r="M203" s="478" t="s">
        <v>835</v>
      </c>
      <c r="N203" s="479" t="s">
        <v>951</v>
      </c>
      <c r="O203" s="167" t="s">
        <v>25</v>
      </c>
      <c r="P203" s="463" t="s">
        <v>952</v>
      </c>
      <c r="Q203" s="54"/>
      <c r="R203" s="466"/>
      <c r="S203" s="223">
        <v>1</v>
      </c>
      <c r="T203" s="226"/>
      <c r="V203" s="295" t="s">
        <v>161</v>
      </c>
      <c r="Z203" s="305">
        <v>19.354913711547852</v>
      </c>
      <c r="AA203" s="215">
        <f t="shared" si="35"/>
        <v>19.354913711547852</v>
      </c>
      <c r="AB203" s="103" t="str">
        <f t="shared" si="36"/>
        <v/>
      </c>
    </row>
    <row r="204" spans="1:28" s="228" customFormat="1" ht="120" customHeight="1" x14ac:dyDescent="0.2">
      <c r="A204" s="246"/>
      <c r="B204" s="454" t="s">
        <v>953</v>
      </c>
      <c r="C204" s="564" t="s">
        <v>954</v>
      </c>
      <c r="D204" s="316" t="s">
        <v>955</v>
      </c>
      <c r="E204" s="478">
        <f>LEN(D204)</f>
        <v>130</v>
      </c>
      <c r="F204" s="316" t="s">
        <v>956</v>
      </c>
      <c r="G204" s="478">
        <f>LEN(F204)</f>
        <v>178</v>
      </c>
      <c r="H204" s="440" t="s">
        <v>957</v>
      </c>
      <c r="I204" s="116">
        <f>LEN(H204)</f>
        <v>106</v>
      </c>
      <c r="J204" s="478" t="s">
        <v>290</v>
      </c>
      <c r="K204" s="478" t="s">
        <v>25</v>
      </c>
      <c r="L204" s="478" t="s">
        <v>25</v>
      </c>
      <c r="M204" s="478" t="s">
        <v>835</v>
      </c>
      <c r="N204" s="479" t="s">
        <v>958</v>
      </c>
      <c r="O204" s="167" t="s">
        <v>25</v>
      </c>
      <c r="P204" s="463" t="s">
        <v>959</v>
      </c>
      <c r="Q204" s="54"/>
      <c r="R204" s="466"/>
      <c r="S204" s="223">
        <v>1</v>
      </c>
      <c r="T204" s="226"/>
      <c r="V204" s="295" t="s">
        <v>161</v>
      </c>
      <c r="Z204" s="305">
        <v>15.88939952850342</v>
      </c>
      <c r="AA204" s="215">
        <f t="shared" si="35"/>
        <v>15.88939952850342</v>
      </c>
      <c r="AB204" s="103" t="str">
        <f t="shared" si="36"/>
        <v/>
      </c>
    </row>
    <row r="205" spans="1:28" s="101" customFormat="1" x14ac:dyDescent="0.2">
      <c r="A205" s="203"/>
      <c r="B205" s="202"/>
      <c r="C205" s="201"/>
      <c r="D205" s="200"/>
      <c r="E205" s="199"/>
      <c r="G205" s="199"/>
      <c r="H205" s="199"/>
      <c r="I205" s="199"/>
      <c r="J205" s="199"/>
      <c r="K205" s="198"/>
      <c r="L205" s="198"/>
      <c r="M205" s="198"/>
      <c r="N205" s="197"/>
      <c r="O205" s="63"/>
      <c r="P205" s="197"/>
      <c r="Q205" s="196"/>
      <c r="R205" s="195"/>
      <c r="S205" s="217">
        <v>1</v>
      </c>
      <c r="T205" s="103"/>
      <c r="V205" s="102"/>
      <c r="Z205" s="220"/>
      <c r="AA205" s="216" t="str">
        <f t="shared" si="35"/>
        <v/>
      </c>
      <c r="AB205" s="103" t="str">
        <f t="shared" si="36"/>
        <v/>
      </c>
    </row>
    <row r="206" spans="1:28" s="180" customFormat="1" ht="120" customHeight="1" thickBot="1" x14ac:dyDescent="0.25">
      <c r="A206" s="245" t="s">
        <v>25</v>
      </c>
      <c r="B206" s="181" t="s">
        <v>960</v>
      </c>
      <c r="C206" s="99" t="s">
        <v>960</v>
      </c>
      <c r="D206" s="337" t="s">
        <v>961</v>
      </c>
      <c r="E206" s="98">
        <f>LEN(D206)</f>
        <v>158</v>
      </c>
      <c r="F206" s="338" t="s">
        <v>962</v>
      </c>
      <c r="G206" s="98">
        <f>LEN(F206)</f>
        <v>184</v>
      </c>
      <c r="H206" s="449" t="s">
        <v>963</v>
      </c>
      <c r="I206" s="116">
        <f>LEN(H206)</f>
        <v>107</v>
      </c>
      <c r="J206" s="98" t="s">
        <v>40</v>
      </c>
      <c r="K206" s="98" t="s">
        <v>25</v>
      </c>
      <c r="L206" s="98" t="s">
        <v>25</v>
      </c>
      <c r="M206" s="98" t="s">
        <v>41</v>
      </c>
      <c r="N206" s="119" t="s">
        <v>964</v>
      </c>
      <c r="O206" s="167" t="s">
        <v>25</v>
      </c>
      <c r="P206" s="194" t="s">
        <v>25</v>
      </c>
      <c r="Q206" s="87"/>
      <c r="R206" s="193"/>
      <c r="S206" s="212">
        <v>1</v>
      </c>
      <c r="T206" s="103"/>
      <c r="V206" s="294" t="s">
        <v>35</v>
      </c>
      <c r="W206" s="110"/>
      <c r="Z206" s="215">
        <v>17.309154088391789</v>
      </c>
      <c r="AA206" s="215">
        <f t="shared" si="35"/>
        <v>17.309154088391789</v>
      </c>
      <c r="AB206" s="103">
        <f t="shared" si="36"/>
        <v>17.309154088391789</v>
      </c>
    </row>
    <row r="207" spans="1:28" s="109" customFormat="1" ht="52" customHeight="1" thickBot="1" x14ac:dyDescent="0.25">
      <c r="A207" s="244" t="s">
        <v>25</v>
      </c>
      <c r="B207" s="179" t="s">
        <v>965</v>
      </c>
      <c r="C207" s="96" t="s">
        <v>965</v>
      </c>
      <c r="D207" s="95" t="s">
        <v>966</v>
      </c>
      <c r="E207" s="94">
        <f>LEN(D207)</f>
        <v>141</v>
      </c>
      <c r="F207" s="95" t="s">
        <v>967</v>
      </c>
      <c r="G207" s="94">
        <f>LEN(F207)</f>
        <v>161</v>
      </c>
      <c r="H207" s="451" t="s">
        <v>968</v>
      </c>
      <c r="I207" s="116">
        <f>LEN(H207)</f>
        <v>132</v>
      </c>
      <c r="J207" s="94" t="s">
        <v>25</v>
      </c>
      <c r="K207" s="94" t="s">
        <v>25</v>
      </c>
      <c r="L207" s="94" t="s">
        <v>25</v>
      </c>
      <c r="M207" s="94" t="s">
        <v>25</v>
      </c>
      <c r="N207" s="93" t="s">
        <v>25</v>
      </c>
      <c r="O207" s="93"/>
      <c r="P207" s="92" t="s">
        <v>25</v>
      </c>
      <c r="Q207" s="69"/>
      <c r="R207" s="70"/>
      <c r="S207" s="212">
        <v>1</v>
      </c>
      <c r="T207" s="110"/>
      <c r="V207" s="111" t="s">
        <v>24</v>
      </c>
      <c r="W207" s="110"/>
      <c r="Z207" s="221"/>
      <c r="AA207" s="215" t="str">
        <f t="shared" si="35"/>
        <v/>
      </c>
      <c r="AB207" s="103" t="str">
        <f t="shared" si="36"/>
        <v/>
      </c>
    </row>
    <row r="208" spans="1:28" x14ac:dyDescent="0.2">
      <c r="Z208" s="243"/>
    </row>
    <row r="209" spans="4:28" ht="17" customHeight="1" thickBot="1" x14ac:dyDescent="0.25"/>
    <row r="210" spans="4:28" ht="18" customHeight="1" thickBot="1" x14ac:dyDescent="0.25">
      <c r="D210" s="178" t="s">
        <v>969</v>
      </c>
      <c r="E210" s="177"/>
      <c r="F210" s="178" t="s">
        <v>970</v>
      </c>
      <c r="G210" s="177"/>
      <c r="H210" s="487"/>
      <c r="I210" s="489"/>
      <c r="J210" s="177"/>
      <c r="K210" s="177"/>
      <c r="L210" s="177"/>
      <c r="M210" s="177"/>
      <c r="N210" s="177"/>
      <c r="O210" s="177"/>
      <c r="P210" s="177"/>
      <c r="Q210" s="177"/>
      <c r="R210" s="177"/>
      <c r="S210" s="237"/>
      <c r="Z210" s="238"/>
      <c r="AA210" s="302" t="e">
        <f>(SUM(AA5:AA208))/60</f>
        <v>#REF!</v>
      </c>
      <c r="AB210" s="301" t="e">
        <f>SUM(AB2:AB207)/60</f>
        <v>#REF!</v>
      </c>
    </row>
    <row r="211" spans="4:28" ht="18" hidden="1" customHeight="1" thickBot="1" x14ac:dyDescent="0.25">
      <c r="D211" s="242" t="s">
        <v>971</v>
      </c>
      <c r="E211" s="241"/>
      <c r="F211" s="242" t="s">
        <v>972</v>
      </c>
      <c r="G211" s="241"/>
      <c r="H211" s="488"/>
      <c r="I211" s="490"/>
      <c r="J211" s="241"/>
      <c r="K211" s="241"/>
      <c r="L211" s="241"/>
      <c r="M211" s="241"/>
      <c r="N211" s="241"/>
      <c r="O211" s="241"/>
      <c r="P211" s="241"/>
      <c r="Q211" s="241"/>
      <c r="R211" s="241"/>
      <c r="S211" s="239"/>
      <c r="Z211" s="240"/>
      <c r="AA211" s="303" t="e">
        <f>(SUM(AA6:AA137)+SUM(AA157:AA208))/60</f>
        <v>#REF!</v>
      </c>
    </row>
    <row r="212" spans="4:28" ht="35" customHeight="1" thickBot="1" x14ac:dyDescent="0.25">
      <c r="D212" s="178" t="s">
        <v>973</v>
      </c>
      <c r="E212" s="177"/>
      <c r="F212" s="178" t="s">
        <v>974</v>
      </c>
      <c r="G212" s="177"/>
      <c r="H212" s="487"/>
      <c r="I212" s="489"/>
      <c r="J212" s="177"/>
      <c r="K212" s="177"/>
      <c r="L212" s="177"/>
      <c r="M212" s="177"/>
      <c r="N212" s="177"/>
      <c r="O212" s="177"/>
      <c r="P212" s="177"/>
      <c r="Q212" s="177"/>
      <c r="R212" s="177"/>
      <c r="S212" s="237"/>
      <c r="Z212" s="238"/>
      <c r="AA212" s="304" t="e">
        <f>(SUM(AA6:AA26)+SUM(AA35:AA137)+SUM(AA156:AA202)+SUM(AA205:AA208))/60</f>
        <v>#REF!</v>
      </c>
    </row>
  </sheetData>
  <mergeCells count="20">
    <mergeCell ref="A201:R201"/>
    <mergeCell ref="A91:R91"/>
    <mergeCell ref="A110:R110"/>
    <mergeCell ref="A118:R118"/>
    <mergeCell ref="A130:R130"/>
    <mergeCell ref="A138:R138"/>
    <mergeCell ref="A156:R156"/>
    <mergeCell ref="A57:R57"/>
    <mergeCell ref="R64:R65"/>
    <mergeCell ref="R75:R76"/>
    <mergeCell ref="A148:R148"/>
    <mergeCell ref="A192:R192"/>
    <mergeCell ref="P36:P37"/>
    <mergeCell ref="A42:R42"/>
    <mergeCell ref="R49:R50"/>
    <mergeCell ref="A1:R1"/>
    <mergeCell ref="A2:Q2"/>
    <mergeCell ref="R2:R3"/>
    <mergeCell ref="A4:R4"/>
    <mergeCell ref="A21:R21"/>
  </mergeCells>
  <conditionalFormatting sqref="B14:B19">
    <cfRule type="duplicateValues" dxfId="158" priority="788"/>
  </conditionalFormatting>
  <conditionalFormatting sqref="B20">
    <cfRule type="duplicateValues" dxfId="157" priority="787"/>
  </conditionalFormatting>
  <conditionalFormatting sqref="B28">
    <cfRule type="duplicateValues" dxfId="156" priority="645"/>
  </conditionalFormatting>
  <conditionalFormatting sqref="B34:B35">
    <cfRule type="duplicateValues" dxfId="155" priority="638"/>
  </conditionalFormatting>
  <conditionalFormatting sqref="B36:B38">
    <cfRule type="duplicateValues" dxfId="154" priority="408"/>
  </conditionalFormatting>
  <conditionalFormatting sqref="B39">
    <cfRule type="duplicateValues" dxfId="153" priority="397"/>
  </conditionalFormatting>
  <conditionalFormatting sqref="B49">
    <cfRule type="duplicateValues" dxfId="152" priority="799"/>
  </conditionalFormatting>
  <conditionalFormatting sqref="B50:B51">
    <cfRule type="duplicateValues" dxfId="151" priority="759"/>
  </conditionalFormatting>
  <conditionalFormatting sqref="B54:B56">
    <cfRule type="duplicateValues" dxfId="150" priority="757"/>
  </conditionalFormatting>
  <conditionalFormatting sqref="B60:B62">
    <cfRule type="duplicateValues" dxfId="149" priority="407"/>
  </conditionalFormatting>
  <conditionalFormatting sqref="B66">
    <cfRule type="duplicateValues" dxfId="148" priority="423"/>
  </conditionalFormatting>
  <conditionalFormatting sqref="B67 B65">
    <cfRule type="duplicateValues" dxfId="147" priority="785"/>
  </conditionalFormatting>
  <conditionalFormatting sqref="B71:B73">
    <cfRule type="duplicateValues" dxfId="146" priority="403"/>
  </conditionalFormatting>
  <conditionalFormatting sqref="B74">
    <cfRule type="duplicateValues" dxfId="145" priority="920"/>
  </conditionalFormatting>
  <conditionalFormatting sqref="B75">
    <cfRule type="duplicateValues" dxfId="144" priority="752"/>
  </conditionalFormatting>
  <conditionalFormatting sqref="B76:B77">
    <cfRule type="duplicateValues" dxfId="143" priority="783"/>
  </conditionalFormatting>
  <conditionalFormatting sqref="B81:B83">
    <cfRule type="duplicateValues" dxfId="142" priority="399"/>
  </conditionalFormatting>
  <conditionalFormatting sqref="B84">
    <cfRule type="duplicateValues" dxfId="141" priority="412"/>
  </conditionalFormatting>
  <conditionalFormatting sqref="B85">
    <cfRule type="duplicateValues" dxfId="140" priority="413"/>
  </conditionalFormatting>
  <conditionalFormatting sqref="B86:B88">
    <cfRule type="duplicateValues" dxfId="139" priority="605"/>
  </conditionalFormatting>
  <conditionalFormatting sqref="B90">
    <cfRule type="duplicateValues" dxfId="138" priority="745"/>
  </conditionalFormatting>
  <conditionalFormatting sqref="B101">
    <cfRule type="duplicateValues" dxfId="137" priority="409"/>
  </conditionalFormatting>
  <conditionalFormatting sqref="B102:B104">
    <cfRule type="duplicateValues" dxfId="136" priority="778"/>
  </conditionalFormatting>
  <conditionalFormatting sqref="B105">
    <cfRule type="duplicateValues" dxfId="135" priority="1"/>
  </conditionalFormatting>
  <conditionalFormatting sqref="B106">
    <cfRule type="duplicateValues" dxfId="134" priority="791"/>
  </conditionalFormatting>
  <conditionalFormatting sqref="B107">
    <cfRule type="duplicateValues" dxfId="133" priority="594"/>
  </conditionalFormatting>
  <conditionalFormatting sqref="B108">
    <cfRule type="duplicateValues" dxfId="132" priority="749"/>
  </conditionalFormatting>
  <conditionalFormatting sqref="B109">
    <cfRule type="duplicateValues" dxfId="131" priority="603"/>
  </conditionalFormatting>
  <conditionalFormatting sqref="B111:B112">
    <cfRule type="duplicateValues" dxfId="130" priority="838"/>
  </conditionalFormatting>
  <conditionalFormatting sqref="B115">
    <cfRule type="duplicateValues" dxfId="129" priority="642"/>
  </conditionalFormatting>
  <conditionalFormatting sqref="B117">
    <cfRule type="duplicateValues" dxfId="128" priority="396"/>
  </conditionalFormatting>
  <conditionalFormatting sqref="B120">
    <cfRule type="duplicateValues" dxfId="127" priority="641"/>
  </conditionalFormatting>
  <conditionalFormatting sqref="B126">
    <cfRule type="duplicateValues" dxfId="126" priority="602"/>
  </conditionalFormatting>
  <conditionalFormatting sqref="B128">
    <cfRule type="duplicateValues" dxfId="125" priority="790"/>
    <cfRule type="duplicateValues" dxfId="124" priority="789"/>
  </conditionalFormatting>
  <conditionalFormatting sqref="B129">
    <cfRule type="duplicateValues" dxfId="123" priority="601"/>
  </conditionalFormatting>
  <conditionalFormatting sqref="B134:B135">
    <cfRule type="duplicateValues" dxfId="122" priority="776"/>
  </conditionalFormatting>
  <conditionalFormatting sqref="B137">
    <cfRule type="duplicateValues" dxfId="121" priority="746"/>
  </conditionalFormatting>
  <conditionalFormatting sqref="B139">
    <cfRule type="duplicateValues" dxfId="120" priority="747"/>
  </conditionalFormatting>
  <conditionalFormatting sqref="B140">
    <cfRule type="duplicateValues" dxfId="119" priority="640"/>
  </conditionalFormatting>
  <conditionalFormatting sqref="B141:B142">
    <cfRule type="duplicateValues" dxfId="118" priority="775"/>
  </conditionalFormatting>
  <conditionalFormatting sqref="B147">
    <cfRule type="duplicateValues" dxfId="117" priority="600"/>
  </conditionalFormatting>
  <conditionalFormatting sqref="B151:B154">
    <cfRule type="duplicateValues" dxfId="116" priority="774"/>
  </conditionalFormatting>
  <conditionalFormatting sqref="B155">
    <cfRule type="duplicateValues" dxfId="115" priority="639"/>
  </conditionalFormatting>
  <conditionalFormatting sqref="B163">
    <cfRule type="duplicateValues" dxfId="114" priority="772"/>
  </conditionalFormatting>
  <conditionalFormatting sqref="B164">
    <cfRule type="duplicateValues" dxfId="113" priority="770"/>
  </conditionalFormatting>
  <conditionalFormatting sqref="B166">
    <cfRule type="duplicateValues" dxfId="112" priority="768"/>
  </conditionalFormatting>
  <conditionalFormatting sqref="B168">
    <cfRule type="duplicateValues" dxfId="111" priority="766"/>
  </conditionalFormatting>
  <conditionalFormatting sqref="B181">
    <cfRule type="duplicateValues" dxfId="110" priority="764"/>
  </conditionalFormatting>
  <conditionalFormatting sqref="B182:B190">
    <cfRule type="duplicateValues" dxfId="109" priority="1116"/>
  </conditionalFormatting>
  <conditionalFormatting sqref="B191">
    <cfRule type="duplicateValues" dxfId="108" priority="652"/>
  </conditionalFormatting>
  <conditionalFormatting sqref="B200">
    <cfRule type="duplicateValues" dxfId="107" priority="561"/>
  </conditionalFormatting>
  <conditionalFormatting sqref="B206:B211 B202 B195:B198 B165 B149:B150 B113:B114 B116 B2:B3 B131:B133 B68:B70 B78:B80 B121:B125 B127:B128 B136 B143:B146 B157:B162 B167 B169 B45 B52:B53 B5 B24:B27 B180 B89 B97:B99 B7:B20 B29:B33 B47:B48 B213:B1048576 B59 B63:B64 B40:B41">
    <cfRule type="duplicateValues" dxfId="106" priority="794"/>
  </conditionalFormatting>
  <conditionalFormatting sqref="B212">
    <cfRule type="duplicateValues" dxfId="105" priority="562"/>
  </conditionalFormatting>
  <conditionalFormatting sqref="C27">
    <cfRule type="duplicateValues" dxfId="104" priority="1092"/>
  </conditionalFormatting>
  <conditionalFormatting sqref="C28">
    <cfRule type="duplicateValues" dxfId="103" priority="1093"/>
  </conditionalFormatting>
  <conditionalFormatting sqref="C29:C30 C32:C33">
    <cfRule type="duplicateValues" dxfId="102" priority="1094"/>
  </conditionalFormatting>
  <conditionalFormatting sqref="C31">
    <cfRule type="duplicateValues" dxfId="101" priority="1099"/>
  </conditionalFormatting>
  <conditionalFormatting sqref="C34:C35">
    <cfRule type="duplicateValues" dxfId="100" priority="1098"/>
  </conditionalFormatting>
  <conditionalFormatting sqref="C38">
    <cfRule type="duplicateValues" dxfId="99" priority="14"/>
  </conditionalFormatting>
  <conditionalFormatting sqref="C40:C41">
    <cfRule type="duplicateValues" dxfId="98" priority="1064"/>
  </conditionalFormatting>
  <conditionalFormatting sqref="C48">
    <cfRule type="duplicateValues" dxfId="97" priority="13"/>
  </conditionalFormatting>
  <conditionalFormatting sqref="C49">
    <cfRule type="duplicateValues" dxfId="96" priority="1096"/>
  </conditionalFormatting>
  <conditionalFormatting sqref="C50">
    <cfRule type="duplicateValues" dxfId="95" priority="11"/>
  </conditionalFormatting>
  <conditionalFormatting sqref="C51">
    <cfRule type="duplicateValues" dxfId="94" priority="8"/>
  </conditionalFormatting>
  <conditionalFormatting sqref="C53">
    <cfRule type="duplicateValues" dxfId="93" priority="9"/>
  </conditionalFormatting>
  <conditionalFormatting sqref="C54">
    <cfRule type="duplicateValues" dxfId="92" priority="4"/>
  </conditionalFormatting>
  <conditionalFormatting sqref="C55">
    <cfRule type="duplicateValues" dxfId="91" priority="2"/>
  </conditionalFormatting>
  <conditionalFormatting sqref="C56">
    <cfRule type="duplicateValues" dxfId="90" priority="3"/>
  </conditionalFormatting>
  <conditionalFormatting sqref="C60">
    <cfRule type="duplicateValues" dxfId="89" priority="405"/>
  </conditionalFormatting>
  <conditionalFormatting sqref="C61">
    <cfRule type="duplicateValues" dxfId="88" priority="404"/>
  </conditionalFormatting>
  <conditionalFormatting sqref="C62">
    <cfRule type="duplicateValues" dxfId="87" priority="406"/>
  </conditionalFormatting>
  <conditionalFormatting sqref="C63">
    <cfRule type="duplicateValues" dxfId="86" priority="1104"/>
  </conditionalFormatting>
  <conditionalFormatting sqref="C66">
    <cfRule type="duplicateValues" dxfId="85" priority="1112"/>
  </conditionalFormatting>
  <conditionalFormatting sqref="C67 C65">
    <cfRule type="duplicateValues" dxfId="84" priority="1065"/>
  </conditionalFormatting>
  <conditionalFormatting sqref="C71">
    <cfRule type="duplicateValues" dxfId="83" priority="401"/>
  </conditionalFormatting>
  <conditionalFormatting sqref="C72">
    <cfRule type="duplicateValues" dxfId="82" priority="400"/>
  </conditionalFormatting>
  <conditionalFormatting sqref="C73">
    <cfRule type="duplicateValues" dxfId="81" priority="402"/>
  </conditionalFormatting>
  <conditionalFormatting sqref="C74">
    <cfRule type="duplicateValues" dxfId="80" priority="1106"/>
  </conditionalFormatting>
  <conditionalFormatting sqref="C76:C77">
    <cfRule type="duplicateValues" dxfId="79" priority="1067"/>
  </conditionalFormatting>
  <conditionalFormatting sqref="C81:C83">
    <cfRule type="duplicateValues" dxfId="78" priority="398"/>
  </conditionalFormatting>
  <conditionalFormatting sqref="C84">
    <cfRule type="duplicateValues" dxfId="77" priority="1115"/>
  </conditionalFormatting>
  <conditionalFormatting sqref="C86:C87">
    <cfRule type="duplicateValues" dxfId="76" priority="7"/>
  </conditionalFormatting>
  <conditionalFormatting sqref="C88">
    <cfRule type="duplicateValues" dxfId="75" priority="6"/>
  </conditionalFormatting>
  <conditionalFormatting sqref="C101">
    <cfRule type="duplicateValues" dxfId="74" priority="1101"/>
  </conditionalFormatting>
  <conditionalFormatting sqref="C102 C104">
    <cfRule type="duplicateValues" dxfId="73" priority="1071"/>
  </conditionalFormatting>
  <conditionalFormatting sqref="C103">
    <cfRule type="duplicateValues" dxfId="72" priority="5"/>
  </conditionalFormatting>
  <conditionalFormatting sqref="C108">
    <cfRule type="duplicateValues" dxfId="71" priority="1082"/>
  </conditionalFormatting>
  <conditionalFormatting sqref="C111">
    <cfRule type="duplicateValues" dxfId="70" priority="1102"/>
  </conditionalFormatting>
  <conditionalFormatting sqref="C151">
    <cfRule type="duplicateValues" dxfId="69" priority="1072"/>
  </conditionalFormatting>
  <conditionalFormatting sqref="C157">
    <cfRule type="duplicateValues" dxfId="68" priority="190"/>
  </conditionalFormatting>
  <conditionalFormatting sqref="C163">
    <cfRule type="duplicateValues" dxfId="67" priority="1073"/>
  </conditionalFormatting>
  <conditionalFormatting sqref="C164">
    <cfRule type="duplicateValues" dxfId="66" priority="1074"/>
  </conditionalFormatting>
  <conditionalFormatting sqref="C166">
    <cfRule type="duplicateValues" dxfId="65" priority="1075"/>
  </conditionalFormatting>
  <conditionalFormatting sqref="C168">
    <cfRule type="duplicateValues" dxfId="64" priority="1076"/>
  </conditionalFormatting>
  <conditionalFormatting sqref="C181">
    <cfRule type="duplicateValues" dxfId="63" priority="1077"/>
  </conditionalFormatting>
  <conditionalFormatting sqref="C182:C190">
    <cfRule type="duplicateValues" dxfId="62" priority="1117"/>
  </conditionalFormatting>
  <conditionalFormatting sqref="C191">
    <cfRule type="duplicateValues" dxfId="61" priority="1088"/>
  </conditionalFormatting>
  <conditionalFormatting sqref="D27:D35">
    <cfRule type="expression" dxfId="60" priority="16" stopIfTrue="1">
      <formula>OR($A27="audio", $A27="video")</formula>
    </cfRule>
    <cfRule type="expression" dxfId="59" priority="17" stopIfTrue="1">
      <formula>OR($A27="audio", $A27="video")</formula>
    </cfRule>
    <cfRule type="expression" dxfId="58" priority="18" stopIfTrue="1">
      <formula>$A27="image"</formula>
    </cfRule>
    <cfRule type="expression" dxfId="57" priority="19" stopIfTrue="1">
      <formula>$A27="image"</formula>
    </cfRule>
    <cfRule type="expression" dxfId="56" priority="20" stopIfTrue="1">
      <formula>OR($A27="date", $A27="datetime")</formula>
    </cfRule>
    <cfRule type="expression" dxfId="55" priority="21" stopIfTrue="1">
      <formula>OR($A27="date", $A27="datetime")</formula>
    </cfRule>
    <cfRule type="expression" dxfId="54" priority="22" stopIfTrue="1">
      <formula>OR($A27="calculate", $A27="calculate_here")</formula>
    </cfRule>
    <cfRule type="expression" dxfId="53" priority="23" stopIfTrue="1">
      <formula>$A27="note"</formula>
    </cfRule>
    <cfRule type="expression" dxfId="52" priority="24" stopIfTrue="1">
      <formula>$A27="note"</formula>
    </cfRule>
    <cfRule type="expression" dxfId="51" priority="25" stopIfTrue="1">
      <formula>$A27="barcode"</formula>
    </cfRule>
    <cfRule type="expression" dxfId="50" priority="26" stopIfTrue="1">
      <formula>$A27="barcode"</formula>
    </cfRule>
    <cfRule type="expression" dxfId="49" priority="42" stopIfTrue="1">
      <formula>$A27="end group"</formula>
    </cfRule>
    <cfRule type="expression" dxfId="48" priority="27" stopIfTrue="1">
      <formula>$A27="geopoint"</formula>
    </cfRule>
    <cfRule type="expression" dxfId="47" priority="28" stopIfTrue="1">
      <formula>$A27="geopoint"</formula>
    </cfRule>
    <cfRule type="expression" dxfId="46" priority="43" stopIfTrue="1">
      <formula>$A27="begin group"</formula>
    </cfRule>
    <cfRule type="expression" dxfId="45" priority="29" stopIfTrue="1">
      <formula>OR($A27="audio audit", $A27="text audit")</formula>
    </cfRule>
    <cfRule type="expression" dxfId="44" priority="30" stopIfTrue="1">
      <formula>OR($A27="username", $A27="phonenumber", $A27="start", $A27="end", $A27="deviceid", $A27="subscriberid", $A27="simserial")</formula>
    </cfRule>
    <cfRule type="expression" dxfId="43" priority="31" stopIfTrue="1">
      <formula>OR(AND(LEFT($A27, 16)="select_multiple ", LEN($A27)&gt;16, NOT(ISNUMBER(SEARCH(" ", $A27, 17)))), AND(LEFT($A27, 11)="select_one ", LEN($A27)&gt;11, NOT(ISNUMBER(SEARCH(" ", $A27, 12)))))</formula>
    </cfRule>
    <cfRule type="expression" dxfId="42" priority="32" stopIfTrue="1">
      <formula>OR(AND(LEFT($A27, 16)="select_multiple ", LEN($A27)&gt;16, NOT(ISNUMBER(SEARCH(" ", $A27, 17)))), AND(LEFT($A27, 11)="select_one ", LEN($A27)&gt;11, NOT(ISNUMBER(SEARCH(" ", $A27, 12)))))</formula>
    </cfRule>
    <cfRule type="expression" dxfId="41" priority="33" stopIfTrue="1">
      <formula>$A27="decimal"</formula>
    </cfRule>
    <cfRule type="expression" dxfId="40" priority="34" stopIfTrue="1">
      <formula>$A27="decimal"</formula>
    </cfRule>
    <cfRule type="expression" dxfId="39" priority="35" stopIfTrue="1">
      <formula>$A27="integer"</formula>
    </cfRule>
    <cfRule type="expression" dxfId="38" priority="36" stopIfTrue="1">
      <formula>$A27="integer"</formula>
    </cfRule>
    <cfRule type="expression" dxfId="37" priority="37" stopIfTrue="1">
      <formula>$A27="text"</formula>
    </cfRule>
    <cfRule type="expression" dxfId="36" priority="38" stopIfTrue="1">
      <formula>$A27="text"</formula>
    </cfRule>
    <cfRule type="expression" dxfId="35" priority="39" stopIfTrue="1">
      <formula>$A27="end repeat"</formula>
    </cfRule>
    <cfRule type="expression" dxfId="34" priority="40" stopIfTrue="1">
      <formula>$A27="begin repeat"</formula>
    </cfRule>
    <cfRule type="expression" dxfId="33" priority="41" stopIfTrue="1">
      <formula>$A27="begin repeat"</formula>
    </cfRule>
    <cfRule type="expression" dxfId="32" priority="44" stopIfTrue="1">
      <formula>$A27="begin group"</formula>
    </cfRule>
  </conditionalFormatting>
  <conditionalFormatting sqref="D45">
    <cfRule type="cellIs" dxfId="31" priority="758" operator="notEqual">
      <formula>$D$45</formula>
    </cfRule>
  </conditionalFormatting>
  <conditionalFormatting sqref="D203:D205">
    <cfRule type="expression" dxfId="30" priority="737" stopIfTrue="1">
      <formula>$A203="end repeat"</formula>
    </cfRule>
    <cfRule type="expression" dxfId="29" priority="714" stopIfTrue="1">
      <formula>OR($A203="audio", $A203="video")</formula>
    </cfRule>
    <cfRule type="expression" dxfId="28" priority="715" stopIfTrue="1">
      <formula>OR($A203="audio", $A203="video")</formula>
    </cfRule>
    <cfRule type="expression" dxfId="27" priority="716" stopIfTrue="1">
      <formula>$A203="image"</formula>
    </cfRule>
    <cfRule type="expression" dxfId="26" priority="717" stopIfTrue="1">
      <formula>$A203="image"</formula>
    </cfRule>
    <cfRule type="expression" dxfId="25" priority="736" stopIfTrue="1">
      <formula>$A203="text"</formula>
    </cfRule>
    <cfRule type="expression" dxfId="24" priority="719" stopIfTrue="1">
      <formula>OR($A203="date", $A203="datetime")</formula>
    </cfRule>
    <cfRule type="expression" dxfId="23" priority="720" stopIfTrue="1">
      <formula>OR($A203="calculate", $A203="calculate_here")</formula>
    </cfRule>
    <cfRule type="expression" dxfId="22" priority="721" stopIfTrue="1">
      <formula>$A203="note"</formula>
    </cfRule>
    <cfRule type="expression" dxfId="21" priority="722" stopIfTrue="1">
      <formula>$A203="note"</formula>
    </cfRule>
    <cfRule type="expression" dxfId="20" priority="723" stopIfTrue="1">
      <formula>$A203="barcode"</formula>
    </cfRule>
    <cfRule type="expression" dxfId="19" priority="724" stopIfTrue="1">
      <formula>$A203="barcode"</formula>
    </cfRule>
    <cfRule type="expression" dxfId="18" priority="725" stopIfTrue="1">
      <formula>$A203="geopoint"</formula>
    </cfRule>
    <cfRule type="expression" dxfId="17" priority="726" stopIfTrue="1">
      <formula>$A203="geopoint"</formula>
    </cfRule>
    <cfRule type="expression" dxfId="16" priority="727" stopIfTrue="1">
      <formula>OR($A203="audio audit", $A203="text audit")</formula>
    </cfRule>
    <cfRule type="expression" dxfId="15" priority="728" stopIfTrue="1">
      <formula>OR($A203="username", $A203="phonenumber", $A203="start", $A203="end", $A203="deviceid", $A203="subscriberid", $A203="simserial")</formula>
    </cfRule>
    <cfRule type="expression" dxfId="14" priority="729" stopIfTrue="1">
      <formula>OR(AND(LEFT($A203, 16)="select_multiple ", LEN($A203)&gt;16, NOT(ISNUMBER(SEARCH(" ", $A203, 17)))), AND(LEFT($A203, 11)="select_one ", LEN($A203)&gt;11, NOT(ISNUMBER(SEARCH(" ", $A203, 12)))))</formula>
    </cfRule>
    <cfRule type="expression" dxfId="13" priority="730" stopIfTrue="1">
      <formula>OR(AND(LEFT($A203, 16)="select_multiple ", LEN($A203)&gt;16, NOT(ISNUMBER(SEARCH(" ", $A203, 17)))), AND(LEFT($A203, 11)="select_one ", LEN($A203)&gt;11, NOT(ISNUMBER(SEARCH(" ", $A203, 12)))))</formula>
    </cfRule>
    <cfRule type="expression" dxfId="12" priority="731" stopIfTrue="1">
      <formula>$A203="decimal"</formula>
    </cfRule>
    <cfRule type="expression" dxfId="11" priority="732" stopIfTrue="1">
      <formula>$A203="decimal"</formula>
    </cfRule>
    <cfRule type="expression" dxfId="10" priority="733" stopIfTrue="1">
      <formula>$A203="integer"</formula>
    </cfRule>
    <cfRule type="expression" dxfId="9" priority="734" stopIfTrue="1">
      <formula>$A203="integer"</formula>
    </cfRule>
    <cfRule type="expression" dxfId="8" priority="735" stopIfTrue="1">
      <formula>$A203="text"</formula>
    </cfRule>
    <cfRule type="expression" dxfId="7" priority="742" stopIfTrue="1">
      <formula>$A203="begin group"</formula>
    </cfRule>
    <cfRule type="expression" dxfId="6" priority="741" stopIfTrue="1">
      <formula>$A203="begin group"</formula>
    </cfRule>
    <cfRule type="expression" dxfId="5" priority="740" stopIfTrue="1">
      <formula>$A203="end group"</formula>
    </cfRule>
    <cfRule type="expression" dxfId="4" priority="739" stopIfTrue="1">
      <formula>$A203="begin repeat"</formula>
    </cfRule>
    <cfRule type="expression" dxfId="3" priority="738" stopIfTrue="1">
      <formula>$A203="begin repeat"</formula>
    </cfRule>
    <cfRule type="expression" dxfId="2" priority="718" stopIfTrue="1">
      <formula>OR($A203="date", $A203="datetime")</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975</v>
      </c>
      <c r="B1" t="s">
        <v>976</v>
      </c>
      <c r="C1" t="s">
        <v>977</v>
      </c>
      <c r="D1" t="s">
        <v>978</v>
      </c>
    </row>
    <row r="2" spans="1:4" x14ac:dyDescent="0.2">
      <c r="A2" t="s">
        <v>74</v>
      </c>
      <c r="B2" s="45">
        <v>50.822540283203118</v>
      </c>
      <c r="C2" s="46">
        <v>1</v>
      </c>
      <c r="D2" s="45">
        <v>50.822540283203118</v>
      </c>
    </row>
    <row r="3" spans="1:4" x14ac:dyDescent="0.2">
      <c r="A3" t="s">
        <v>979</v>
      </c>
      <c r="B3" s="45">
        <v>3.4964737892150879</v>
      </c>
      <c r="C3" s="46">
        <v>0.7969874100719424</v>
      </c>
      <c r="D3" s="45">
        <v>2.7866455896509641</v>
      </c>
    </row>
    <row r="4" spans="1:4" x14ac:dyDescent="0.2">
      <c r="A4" t="s">
        <v>142</v>
      </c>
      <c r="B4" s="45">
        <v>13.753072738647459</v>
      </c>
      <c r="C4" s="46">
        <v>1</v>
      </c>
      <c r="D4" s="45">
        <v>13.753072738647459</v>
      </c>
    </row>
    <row r="5" spans="1:4" x14ac:dyDescent="0.2">
      <c r="A5" t="s">
        <v>149</v>
      </c>
      <c r="B5" s="45">
        <v>2.1173560619354248</v>
      </c>
      <c r="C5" s="46">
        <v>1</v>
      </c>
      <c r="D5" s="45">
        <v>2.1173560619354248</v>
      </c>
    </row>
    <row r="6" spans="1:4" x14ac:dyDescent="0.2">
      <c r="A6" t="s">
        <v>218</v>
      </c>
      <c r="B6" s="45">
        <v>2.284250020980835</v>
      </c>
      <c r="C6" s="46">
        <v>0.7969874100719424</v>
      </c>
      <c r="D6" s="45">
        <v>1.820518508178296</v>
      </c>
    </row>
    <row r="7" spans="1:4" x14ac:dyDescent="0.2">
      <c r="A7" t="s">
        <v>224</v>
      </c>
      <c r="B7" s="45">
        <v>31.372377395629879</v>
      </c>
      <c r="C7" s="46">
        <v>1</v>
      </c>
      <c r="D7" s="45">
        <v>31.372377395629879</v>
      </c>
    </row>
    <row r="8" spans="1:4" x14ac:dyDescent="0.2">
      <c r="A8" t="s">
        <v>980</v>
      </c>
      <c r="B8" s="45">
        <v>7.9225454330444336</v>
      </c>
      <c r="C8" s="46">
        <v>0.15190347721822539</v>
      </c>
      <c r="D8" s="45">
        <v>1.2034621996988211</v>
      </c>
    </row>
    <row r="9" spans="1:4" x14ac:dyDescent="0.2">
      <c r="A9" t="s">
        <v>237</v>
      </c>
      <c r="B9" s="45">
        <v>10.08573150634766</v>
      </c>
      <c r="C9" s="46">
        <v>1</v>
      </c>
      <c r="D9" s="45">
        <v>10.08573150634766</v>
      </c>
    </row>
    <row r="10" spans="1:4" x14ac:dyDescent="0.2">
      <c r="A10" t="s">
        <v>243</v>
      </c>
      <c r="B10" s="45">
        <v>12.894034385681151</v>
      </c>
      <c r="C10" s="46">
        <v>1</v>
      </c>
      <c r="D10" s="45">
        <v>12.894034385681151</v>
      </c>
    </row>
    <row r="11" spans="1:4" x14ac:dyDescent="0.2">
      <c r="A11" t="s">
        <v>254</v>
      </c>
      <c r="B11" s="45">
        <v>15.265829086303709</v>
      </c>
      <c r="C11" s="46">
        <v>0.63796462829736211</v>
      </c>
      <c r="D11" s="45">
        <v>9.7390589786948052</v>
      </c>
    </row>
    <row r="12" spans="1:4" x14ac:dyDescent="0.2">
      <c r="A12" t="s">
        <v>981</v>
      </c>
      <c r="B12" s="45">
        <v>15.12371826171875</v>
      </c>
      <c r="C12" s="46">
        <v>0.59180155875299756</v>
      </c>
      <c r="D12" s="45">
        <v>8.9502400414263317</v>
      </c>
    </row>
    <row r="13" spans="1:4" x14ac:dyDescent="0.2">
      <c r="A13" t="s">
        <v>982</v>
      </c>
      <c r="B13" s="45">
        <v>12.8214111328125</v>
      </c>
      <c r="C13" s="46">
        <v>0.15190347721822539</v>
      </c>
      <c r="D13" s="45">
        <v>1.9476169339186851</v>
      </c>
    </row>
    <row r="14" spans="1:4" x14ac:dyDescent="0.2">
      <c r="A14" t="s">
        <v>273</v>
      </c>
      <c r="B14" s="45">
        <v>15.21184825897217</v>
      </c>
      <c r="C14" s="46">
        <v>0.51611211031175064</v>
      </c>
      <c r="D14" s="45">
        <v>7.8510191066802557</v>
      </c>
    </row>
    <row r="15" spans="1:4" x14ac:dyDescent="0.2">
      <c r="A15" t="s">
        <v>983</v>
      </c>
      <c r="B15" s="45">
        <v>19.310310363769531</v>
      </c>
      <c r="C15" s="46">
        <v>0.15190347721822539</v>
      </c>
      <c r="D15" s="45">
        <v>2.9333032904197269</v>
      </c>
    </row>
    <row r="16" spans="1:4" x14ac:dyDescent="0.2">
      <c r="A16" t="s">
        <v>312</v>
      </c>
      <c r="B16" s="45">
        <v>36.928733825683587</v>
      </c>
      <c r="C16" s="46">
        <v>1</v>
      </c>
      <c r="D16" s="45">
        <v>36.928733825683587</v>
      </c>
    </row>
    <row r="17" spans="1:4" x14ac:dyDescent="0.2">
      <c r="A17" t="s">
        <v>335</v>
      </c>
      <c r="B17" s="45">
        <v>40.047317504882812</v>
      </c>
      <c r="C17" s="46">
        <v>0.75547062350119909</v>
      </c>
      <c r="D17" s="45">
        <v>30.254571924964299</v>
      </c>
    </row>
    <row r="18" spans="1:4" x14ac:dyDescent="0.2">
      <c r="A18" t="s">
        <v>342</v>
      </c>
      <c r="B18" s="45">
        <v>3.6870110034942631</v>
      </c>
      <c r="C18" s="46">
        <v>4.7886690647482022E-2</v>
      </c>
      <c r="D18" s="45">
        <v>0.17655875533819201</v>
      </c>
    </row>
    <row r="19" spans="1:4" x14ac:dyDescent="0.2">
      <c r="A19" t="s">
        <v>354</v>
      </c>
      <c r="B19" s="45">
        <v>27.242166519165039</v>
      </c>
      <c r="C19" s="46">
        <v>0.94476918465227822</v>
      </c>
      <c r="D19" s="45">
        <v>25.73755945047315</v>
      </c>
    </row>
    <row r="20" spans="1:4" x14ac:dyDescent="0.2">
      <c r="A20" t="s">
        <v>360</v>
      </c>
      <c r="B20" s="45">
        <v>25.308004379272461</v>
      </c>
      <c r="C20" s="46">
        <v>0.94476918465227822</v>
      </c>
      <c r="D20" s="45">
        <v>23.910222662581528</v>
      </c>
    </row>
    <row r="21" spans="1:4" x14ac:dyDescent="0.2">
      <c r="A21" t="s">
        <v>377</v>
      </c>
      <c r="B21" s="45">
        <v>30.828470230102539</v>
      </c>
      <c r="C21" s="46">
        <v>0.33902877697841732</v>
      </c>
      <c r="D21" s="45">
        <v>10.451738558227211</v>
      </c>
    </row>
    <row r="22" spans="1:4" x14ac:dyDescent="0.2">
      <c r="A22" t="s">
        <v>383</v>
      </c>
      <c r="B22" s="45">
        <v>2.29411768913269</v>
      </c>
      <c r="C22" s="46">
        <v>1.14658273381295E-2</v>
      </c>
      <c r="D22" s="45">
        <v>2.6303957316944071E-2</v>
      </c>
    </row>
    <row r="23" spans="1:4" x14ac:dyDescent="0.2">
      <c r="A23" t="s">
        <v>387</v>
      </c>
      <c r="B23" s="45">
        <v>21.193256378173832</v>
      </c>
      <c r="C23" s="46">
        <v>0.43120503597122301</v>
      </c>
      <c r="D23" s="45">
        <v>9.1386388788977975</v>
      </c>
    </row>
    <row r="24" spans="1:4" x14ac:dyDescent="0.2">
      <c r="A24" t="s">
        <v>393</v>
      </c>
      <c r="B24" s="45">
        <v>20.229927062988281</v>
      </c>
      <c r="C24" s="46">
        <v>0.43120503597122301</v>
      </c>
      <c r="D24" s="45">
        <v>8.7232464268910803</v>
      </c>
    </row>
    <row r="25" spans="1:4" x14ac:dyDescent="0.2">
      <c r="A25" t="s">
        <v>984</v>
      </c>
      <c r="B25" s="45">
        <v>29.42983245849609</v>
      </c>
      <c r="C25" s="46">
        <v>7.6363908872901676E-2</v>
      </c>
      <c r="D25" s="45">
        <v>2.24737704400536</v>
      </c>
    </row>
    <row r="26" spans="1:4" x14ac:dyDescent="0.2">
      <c r="A26" t="s">
        <v>985</v>
      </c>
      <c r="B26" s="45">
        <v>1.555555582046509</v>
      </c>
      <c r="C26" s="46">
        <v>2.0233812949640292E-3</v>
      </c>
      <c r="D26" s="45">
        <v>3.1474820679897879E-3</v>
      </c>
    </row>
    <row r="27" spans="1:4" x14ac:dyDescent="0.2">
      <c r="A27" t="s">
        <v>410</v>
      </c>
      <c r="B27" s="45">
        <v>16.348396301269531</v>
      </c>
      <c r="C27" s="46">
        <v>0.1144334532374101</v>
      </c>
      <c r="D27" s="45">
        <v>1.870803443647975</v>
      </c>
    </row>
    <row r="28" spans="1:4" x14ac:dyDescent="0.2">
      <c r="A28" t="s">
        <v>986</v>
      </c>
      <c r="B28" s="45">
        <v>39.025390625</v>
      </c>
      <c r="C28" s="46">
        <v>0.7969124700239808</v>
      </c>
      <c r="D28" s="45">
        <v>31.099820436619449</v>
      </c>
    </row>
    <row r="29" spans="1:4" x14ac:dyDescent="0.2">
      <c r="A29" t="s">
        <v>987</v>
      </c>
      <c r="B29" s="45">
        <v>10.040084838867189</v>
      </c>
      <c r="C29" s="46">
        <v>3.5521582733812951E-2</v>
      </c>
      <c r="D29" s="45">
        <v>0.35663970425832192</v>
      </c>
    </row>
    <row r="30" spans="1:4" x14ac:dyDescent="0.2">
      <c r="A30" t="s">
        <v>988</v>
      </c>
      <c r="B30" s="45">
        <v>26.118782043457031</v>
      </c>
      <c r="C30" s="46">
        <v>0.35708932853717018</v>
      </c>
      <c r="D30" s="45">
        <v>9.3267383421067702</v>
      </c>
    </row>
    <row r="31" spans="1:4" x14ac:dyDescent="0.2">
      <c r="A31" t="s">
        <v>467</v>
      </c>
      <c r="B31" s="45">
        <v>27.057552337646481</v>
      </c>
      <c r="C31" s="46">
        <v>0.50651978417266186</v>
      </c>
      <c r="D31" s="45">
        <v>13.705185570305201</v>
      </c>
    </row>
    <row r="32" spans="1:4" x14ac:dyDescent="0.2">
      <c r="A32" t="s">
        <v>989</v>
      </c>
      <c r="B32" s="45">
        <v>15.983505249023439</v>
      </c>
      <c r="C32" s="46">
        <v>0.37709832134292559</v>
      </c>
      <c r="D32" s="45">
        <v>6.0273529985825789</v>
      </c>
    </row>
    <row r="33" spans="1:4" x14ac:dyDescent="0.2">
      <c r="A33" t="s">
        <v>990</v>
      </c>
      <c r="B33" s="45">
        <v>3.4111571311950679</v>
      </c>
      <c r="C33" s="46">
        <v>3.6270983213429253E-2</v>
      </c>
      <c r="D33" s="45">
        <v>0.1237260230439458</v>
      </c>
    </row>
    <row r="34" spans="1:4" x14ac:dyDescent="0.2">
      <c r="A34" t="s">
        <v>991</v>
      </c>
      <c r="B34" s="45">
        <v>5.6326532363891602</v>
      </c>
      <c r="C34" s="46">
        <v>3.6720623501199038E-3</v>
      </c>
      <c r="D34" s="45">
        <v>2.068345388062566E-2</v>
      </c>
    </row>
    <row r="35" spans="1:4" x14ac:dyDescent="0.2">
      <c r="A35" t="s">
        <v>992</v>
      </c>
      <c r="B35" s="45">
        <v>15.95429515838623</v>
      </c>
      <c r="C35" s="46">
        <v>0.25906774580335729</v>
      </c>
      <c r="D35" s="45">
        <v>4.1332432825645391</v>
      </c>
    </row>
    <row r="36" spans="1:4" x14ac:dyDescent="0.2">
      <c r="A36" t="s">
        <v>993</v>
      </c>
      <c r="B36" s="45">
        <v>17.928909301757809</v>
      </c>
      <c r="C36" s="46">
        <v>0.14231115107913669</v>
      </c>
      <c r="D36" s="45">
        <v>2.551483720326595</v>
      </c>
    </row>
    <row r="37" spans="1:4" x14ac:dyDescent="0.2">
      <c r="A37" t="s">
        <v>487</v>
      </c>
      <c r="B37" s="45">
        <v>25.436874389648441</v>
      </c>
      <c r="C37" s="46">
        <v>0.49385491606714632</v>
      </c>
      <c r="D37" s="45">
        <v>12.56212546671037</v>
      </c>
    </row>
    <row r="38" spans="1:4" x14ac:dyDescent="0.2">
      <c r="A38" t="s">
        <v>498</v>
      </c>
      <c r="B38" s="45">
        <v>19.364946365356449</v>
      </c>
      <c r="C38" s="46">
        <v>0.49385491606714632</v>
      </c>
      <c r="D38" s="45">
        <v>9.5634739619078957</v>
      </c>
    </row>
    <row r="39" spans="1:4" x14ac:dyDescent="0.2">
      <c r="A39" t="s">
        <v>994</v>
      </c>
      <c r="B39" s="45">
        <v>13.458864212036129</v>
      </c>
      <c r="C39" s="46">
        <v>0.38803956834532372</v>
      </c>
      <c r="D39" s="45">
        <v>5.222571859256826</v>
      </c>
    </row>
    <row r="40" spans="1:4" x14ac:dyDescent="0.2">
      <c r="A40" t="s">
        <v>509</v>
      </c>
      <c r="B40" s="45">
        <v>37.523288726806641</v>
      </c>
      <c r="C40" s="46">
        <v>0.30732913669064749</v>
      </c>
      <c r="D40" s="45">
        <v>11.531999930203391</v>
      </c>
    </row>
    <row r="41" spans="1:4" x14ac:dyDescent="0.2">
      <c r="A41" t="s">
        <v>995</v>
      </c>
      <c r="B41" s="45">
        <v>12.68148708343506</v>
      </c>
      <c r="C41" s="46">
        <v>0.2983363309352518</v>
      </c>
      <c r="D41" s="45">
        <v>3.783348327274803</v>
      </c>
    </row>
    <row r="42" spans="1:4" x14ac:dyDescent="0.2">
      <c r="A42" t="s">
        <v>541</v>
      </c>
      <c r="B42" s="45">
        <v>22.61360931396484</v>
      </c>
      <c r="C42" s="46">
        <v>0.12335131894484409</v>
      </c>
      <c r="D42" s="45">
        <v>2.789418534980975</v>
      </c>
    </row>
    <row r="43" spans="1:4" x14ac:dyDescent="0.2">
      <c r="A43" t="s">
        <v>550</v>
      </c>
      <c r="B43" s="45">
        <v>21.701908111572269</v>
      </c>
      <c r="C43" s="46">
        <v>0.38489208633093519</v>
      </c>
      <c r="D43" s="45">
        <v>8.3528926904252963</v>
      </c>
    </row>
    <row r="44" spans="1:4" x14ac:dyDescent="0.2">
      <c r="A44" t="s">
        <v>996</v>
      </c>
      <c r="B44" s="45">
        <v>12.12575531005859</v>
      </c>
      <c r="C44" s="46">
        <v>6.1975419664268588E-2</v>
      </c>
      <c r="D44" s="45">
        <v>0.75149877408711463</v>
      </c>
    </row>
    <row r="45" spans="1:4" x14ac:dyDescent="0.2">
      <c r="A45" t="s">
        <v>997</v>
      </c>
      <c r="B45" s="45">
        <v>13.560262680053709</v>
      </c>
      <c r="C45" s="46">
        <v>0.14860611510791369</v>
      </c>
      <c r="D45" s="45">
        <v>2.0151379567256069</v>
      </c>
    </row>
    <row r="46" spans="1:4" x14ac:dyDescent="0.2">
      <c r="A46" t="s">
        <v>998</v>
      </c>
      <c r="B46" s="45">
        <v>14.065656661987299</v>
      </c>
      <c r="C46" s="46">
        <v>1.4838129496402881E-2</v>
      </c>
      <c r="D46" s="45">
        <v>0.20870803500250951</v>
      </c>
    </row>
    <row r="47" spans="1:4" x14ac:dyDescent="0.2">
      <c r="A47" t="s">
        <v>999</v>
      </c>
      <c r="B47" s="45">
        <v>11.010929107666019</v>
      </c>
      <c r="C47" s="46">
        <v>1.371402877697842E-2</v>
      </c>
      <c r="D47" s="45">
        <v>0.15100419864380099</v>
      </c>
    </row>
    <row r="48" spans="1:4" x14ac:dyDescent="0.2">
      <c r="A48" t="s">
        <v>1000</v>
      </c>
      <c r="B48" s="45">
        <v>4.8961749076843262</v>
      </c>
      <c r="C48" s="46">
        <v>1.371402877697842E-2</v>
      </c>
      <c r="D48" s="45">
        <v>6.7146283581102487E-2</v>
      </c>
    </row>
    <row r="49" spans="1:4" x14ac:dyDescent="0.2">
      <c r="A49" t="s">
        <v>564</v>
      </c>
      <c r="B49" s="45">
        <v>20.2944221496582</v>
      </c>
      <c r="C49" s="46">
        <v>0.40572541966426862</v>
      </c>
      <c r="D49" s="45">
        <v>8.2339629435139017</v>
      </c>
    </row>
    <row r="50" spans="1:4" x14ac:dyDescent="0.2">
      <c r="A50" t="s">
        <v>571</v>
      </c>
      <c r="B50" s="45">
        <v>18.539077758789059</v>
      </c>
      <c r="C50" s="46">
        <v>0.40272781774580341</v>
      </c>
      <c r="D50" s="45">
        <v>7.4662023288168777</v>
      </c>
    </row>
    <row r="51" spans="1:4" x14ac:dyDescent="0.2">
      <c r="A51" t="s">
        <v>577</v>
      </c>
      <c r="B51" s="45">
        <v>8.9158916473388672</v>
      </c>
      <c r="C51" s="46">
        <v>0.40272781774580341</v>
      </c>
      <c r="D51" s="45">
        <v>3.590677586390818</v>
      </c>
    </row>
    <row r="52" spans="1:4" x14ac:dyDescent="0.2">
      <c r="A52" t="s">
        <v>583</v>
      </c>
      <c r="B52" s="45">
        <v>25.81001091003418</v>
      </c>
      <c r="C52" s="46">
        <v>0.40272781774580341</v>
      </c>
      <c r="D52" s="45">
        <v>10.39440936979344</v>
      </c>
    </row>
    <row r="53" spans="1:4" x14ac:dyDescent="0.2">
      <c r="A53" t="s">
        <v>1001</v>
      </c>
      <c r="B53" s="45">
        <v>19.55319786071777</v>
      </c>
      <c r="C53" s="46">
        <v>0.29301558752997597</v>
      </c>
      <c r="D53" s="45">
        <v>5.729391759248089</v>
      </c>
    </row>
    <row r="54" spans="1:4" x14ac:dyDescent="0.2">
      <c r="A54" t="s">
        <v>1002</v>
      </c>
      <c r="B54" s="45">
        <v>13.613316535949711</v>
      </c>
      <c r="C54" s="46">
        <v>0.3038818944844125</v>
      </c>
      <c r="D54" s="45">
        <v>4.1368404191603769</v>
      </c>
    </row>
    <row r="55" spans="1:4" x14ac:dyDescent="0.2">
      <c r="A55" t="s">
        <v>598</v>
      </c>
      <c r="B55" s="45">
        <v>27.754648208618161</v>
      </c>
      <c r="C55" s="46">
        <v>0.205560551558753</v>
      </c>
      <c r="D55" s="45">
        <v>5.7052607940827054</v>
      </c>
    </row>
    <row r="56" spans="1:4" x14ac:dyDescent="0.2">
      <c r="A56" t="s">
        <v>608</v>
      </c>
      <c r="B56" s="45">
        <v>13.99939060211182</v>
      </c>
      <c r="C56" s="46">
        <v>0.2460281774580336</v>
      </c>
      <c r="D56" s="45">
        <v>3.4442445553606928</v>
      </c>
    </row>
    <row r="57" spans="1:4" x14ac:dyDescent="0.2">
      <c r="A57" t="s">
        <v>1003</v>
      </c>
      <c r="B57" s="45">
        <v>10.25279426574707</v>
      </c>
      <c r="C57" s="46">
        <v>0.174310551558753</v>
      </c>
      <c r="D57" s="45">
        <v>1.787170223480792</v>
      </c>
    </row>
    <row r="58" spans="1:4" x14ac:dyDescent="0.2">
      <c r="A58" t="s">
        <v>622</v>
      </c>
      <c r="B58" s="45">
        <v>24.194343566894531</v>
      </c>
      <c r="C58" s="46">
        <v>0.1033423261390887</v>
      </c>
      <c r="D58" s="45">
        <v>2.500299743611178</v>
      </c>
    </row>
    <row r="59" spans="1:4" x14ac:dyDescent="0.2">
      <c r="A59" t="s">
        <v>631</v>
      </c>
      <c r="B59" s="45">
        <v>19.321737289428711</v>
      </c>
      <c r="C59" s="46">
        <v>0.23478717026378901</v>
      </c>
      <c r="D59" s="45">
        <v>4.5364960227653004</v>
      </c>
    </row>
    <row r="60" spans="1:4" x14ac:dyDescent="0.2">
      <c r="A60" t="s">
        <v>1004</v>
      </c>
      <c r="B60" s="45">
        <v>6.0948905944824219</v>
      </c>
      <c r="C60" s="46">
        <v>1.0266786570743411E-2</v>
      </c>
      <c r="D60" s="45">
        <v>6.2574940905582424E-2</v>
      </c>
    </row>
    <row r="61" spans="1:4" x14ac:dyDescent="0.2">
      <c r="A61" t="s">
        <v>1005</v>
      </c>
      <c r="B61" s="45">
        <v>17.534246444702148</v>
      </c>
      <c r="C61" s="46">
        <v>1.6411870503597121E-2</v>
      </c>
      <c r="D61" s="45">
        <v>0.28776978202860992</v>
      </c>
    </row>
    <row r="62" spans="1:4" x14ac:dyDescent="0.2">
      <c r="A62" t="s">
        <v>1006</v>
      </c>
      <c r="B62" s="45">
        <v>31.458333969116211</v>
      </c>
      <c r="C62" s="46">
        <v>1.798561151079137E-3</v>
      </c>
      <c r="D62" s="45">
        <v>5.657973735452556E-2</v>
      </c>
    </row>
    <row r="63" spans="1:4" x14ac:dyDescent="0.2">
      <c r="A63" t="s">
        <v>1007</v>
      </c>
      <c r="B63" s="45">
        <v>2.5</v>
      </c>
      <c r="C63" s="46">
        <v>1.4988009592326141E-4</v>
      </c>
      <c r="D63" s="45">
        <v>3.7470023980815342E-4</v>
      </c>
    </row>
    <row r="64" spans="1:4" x14ac:dyDescent="0.2">
      <c r="A64" t="s">
        <v>1008</v>
      </c>
      <c r="B64" s="45">
        <v>5.75</v>
      </c>
      <c r="C64" s="46">
        <v>2.9976019184652282E-4</v>
      </c>
      <c r="D64" s="45">
        <v>1.7236211031175059E-3</v>
      </c>
    </row>
    <row r="65" spans="1:4" x14ac:dyDescent="0.2">
      <c r="A65" t="s">
        <v>1009</v>
      </c>
      <c r="B65" s="45">
        <v>4.5</v>
      </c>
      <c r="C65" s="46">
        <v>1.4988009592326141E-4</v>
      </c>
      <c r="D65" s="45">
        <v>6.7446043165467619E-4</v>
      </c>
    </row>
    <row r="66" spans="1:4" x14ac:dyDescent="0.2">
      <c r="A66" t="s">
        <v>1010</v>
      </c>
      <c r="B66" s="45">
        <v>3</v>
      </c>
      <c r="C66" s="46">
        <v>7.494004796163069E-5</v>
      </c>
      <c r="D66" s="45">
        <v>2.248201438848921E-4</v>
      </c>
    </row>
    <row r="67" spans="1:4" x14ac:dyDescent="0.2">
      <c r="A67" t="s">
        <v>1011</v>
      </c>
      <c r="B67" s="45">
        <v>2</v>
      </c>
      <c r="C67" s="46">
        <v>7.494004796163069E-5</v>
      </c>
      <c r="D67" s="45">
        <v>1.4988009592326141E-4</v>
      </c>
    </row>
    <row r="68" spans="1:4" x14ac:dyDescent="0.2">
      <c r="A68" t="s">
        <v>645</v>
      </c>
      <c r="B68" s="45">
        <v>19.090116500854489</v>
      </c>
      <c r="C68" s="46">
        <v>2.5779376498800959E-2</v>
      </c>
      <c r="D68" s="45">
        <v>0.49213130068150068</v>
      </c>
    </row>
    <row r="69" spans="1:4" x14ac:dyDescent="0.2">
      <c r="A69" t="s">
        <v>654</v>
      </c>
      <c r="B69" s="45">
        <v>17.656976699829102</v>
      </c>
      <c r="C69" s="46">
        <v>2.5779376498800959E-2</v>
      </c>
      <c r="D69" s="45">
        <v>0.45518585017545038</v>
      </c>
    </row>
    <row r="70" spans="1:4" x14ac:dyDescent="0.2">
      <c r="A70" t="s">
        <v>1012</v>
      </c>
      <c r="B70" s="45">
        <v>8.7647056579589844</v>
      </c>
      <c r="C70" s="46">
        <v>2.420563549160671E-2</v>
      </c>
      <c r="D70" s="45">
        <v>0.2121552703477782</v>
      </c>
    </row>
    <row r="71" spans="1:4" x14ac:dyDescent="0.2">
      <c r="A71" t="s">
        <v>666</v>
      </c>
      <c r="B71" s="45">
        <v>27.9538459777832</v>
      </c>
      <c r="C71" s="46">
        <v>9.7422062350119906E-3</v>
      </c>
      <c r="D71" s="45">
        <v>0.27233213257732442</v>
      </c>
    </row>
    <row r="72" spans="1:4" x14ac:dyDescent="0.2">
      <c r="A72" t="s">
        <v>1013</v>
      </c>
      <c r="B72" s="45">
        <v>21.25</v>
      </c>
      <c r="C72" s="46">
        <v>1.798561151079137E-3</v>
      </c>
      <c r="D72" s="45">
        <v>3.821942446043166E-2</v>
      </c>
    </row>
    <row r="73" spans="1:4" x14ac:dyDescent="0.2">
      <c r="A73" t="s">
        <v>675</v>
      </c>
      <c r="B73" s="45">
        <v>14.38495540618896</v>
      </c>
      <c r="C73" s="46">
        <v>3.3872901678657072E-2</v>
      </c>
      <c r="D73" s="45">
        <v>0.48726018012570532</v>
      </c>
    </row>
    <row r="74" spans="1:4" x14ac:dyDescent="0.2">
      <c r="A74" t="s">
        <v>1014</v>
      </c>
      <c r="B74" s="45">
        <v>9.4380531311035156</v>
      </c>
      <c r="C74" s="46">
        <v>3.3872901678657072E-2</v>
      </c>
      <c r="D74" s="45">
        <v>0.31969424574781091</v>
      </c>
    </row>
    <row r="75" spans="1:4" x14ac:dyDescent="0.2">
      <c r="A75" t="s">
        <v>683</v>
      </c>
      <c r="B75" s="45">
        <v>27.76699066162109</v>
      </c>
      <c r="C75" s="46">
        <v>7.7188249400479613E-3</v>
      </c>
      <c r="D75" s="45">
        <v>0.2143285400289997</v>
      </c>
    </row>
    <row r="76" spans="1:4" x14ac:dyDescent="0.2">
      <c r="A76" t="s">
        <v>697</v>
      </c>
      <c r="B76" s="45">
        <v>13.705752372741699</v>
      </c>
      <c r="C76" s="46">
        <v>3.3872901678657072E-2</v>
      </c>
      <c r="D76" s="45">
        <v>0.46425360255390052</v>
      </c>
    </row>
    <row r="77" spans="1:4" x14ac:dyDescent="0.2">
      <c r="A77" t="s">
        <v>1015</v>
      </c>
      <c r="B77" s="45">
        <v>12.77690315246582</v>
      </c>
      <c r="C77" s="46">
        <v>1</v>
      </c>
      <c r="D77" s="45">
        <v>12.77690315246582</v>
      </c>
    </row>
    <row r="78" spans="1:4" x14ac:dyDescent="0.2">
      <c r="A78" t="s">
        <v>711</v>
      </c>
      <c r="B78" s="45">
        <v>21.398605346679691</v>
      </c>
      <c r="C78" s="46">
        <v>1</v>
      </c>
      <c r="D78" s="45">
        <v>21.398605346679691</v>
      </c>
    </row>
    <row r="79" spans="1:4" x14ac:dyDescent="0.2">
      <c r="A79" t="s">
        <v>717</v>
      </c>
      <c r="B79" s="45">
        <v>14.980740547180179</v>
      </c>
      <c r="C79" s="46">
        <v>1</v>
      </c>
      <c r="D79" s="45">
        <v>14.980740547180179</v>
      </c>
    </row>
    <row r="80" spans="1:4" x14ac:dyDescent="0.2">
      <c r="A80" t="s">
        <v>723</v>
      </c>
      <c r="B80" s="45">
        <v>13.72302150726318</v>
      </c>
      <c r="C80" s="46">
        <v>1</v>
      </c>
      <c r="D80" s="45">
        <v>13.72302150726318</v>
      </c>
    </row>
    <row r="81" spans="1:4" x14ac:dyDescent="0.2">
      <c r="A81" t="s">
        <v>729</v>
      </c>
      <c r="B81" s="45">
        <v>13.06220054626465</v>
      </c>
      <c r="C81" s="46">
        <v>1</v>
      </c>
      <c r="D81" s="45">
        <v>13.06220054626465</v>
      </c>
    </row>
    <row r="82" spans="1:4" x14ac:dyDescent="0.2">
      <c r="A82" t="s">
        <v>735</v>
      </c>
      <c r="B82" s="45">
        <v>13.09532356262207</v>
      </c>
      <c r="C82" s="46">
        <v>1</v>
      </c>
      <c r="D82" s="45">
        <v>13.09532356262207</v>
      </c>
    </row>
    <row r="83" spans="1:4" x14ac:dyDescent="0.2">
      <c r="A83" t="s">
        <v>741</v>
      </c>
      <c r="B83" s="45">
        <v>16.10101918465228</v>
      </c>
      <c r="C83" s="46">
        <v>1</v>
      </c>
      <c r="D83" s="45">
        <v>16.10101918465228</v>
      </c>
    </row>
    <row r="84" spans="1:4" x14ac:dyDescent="0.2">
      <c r="A84" t="s">
        <v>747</v>
      </c>
      <c r="B84" s="45">
        <v>11.76504325866699</v>
      </c>
      <c r="C84" s="46">
        <v>0.32628896882494007</v>
      </c>
      <c r="D84" s="45">
        <v>3.8388038330512662</v>
      </c>
    </row>
    <row r="85" spans="1:4" x14ac:dyDescent="0.2">
      <c r="A85" t="s">
        <v>753</v>
      </c>
      <c r="B85" s="45">
        <v>12.432478904724119</v>
      </c>
      <c r="C85" s="46">
        <v>1</v>
      </c>
      <c r="D85" s="45">
        <v>12.432478904724119</v>
      </c>
    </row>
    <row r="86" spans="1:4" x14ac:dyDescent="0.2">
      <c r="A86" t="s">
        <v>759</v>
      </c>
      <c r="B86" s="45">
        <v>8.9801836013793945</v>
      </c>
      <c r="C86" s="46">
        <v>0.25337230215827339</v>
      </c>
      <c r="D86" s="45">
        <v>2.2753297928854721</v>
      </c>
    </row>
    <row r="87" spans="1:4" x14ac:dyDescent="0.2">
      <c r="A87" t="s">
        <v>762</v>
      </c>
      <c r="B87" s="45">
        <v>11.089328765869141</v>
      </c>
      <c r="C87" s="46">
        <v>1</v>
      </c>
      <c r="D87" s="45">
        <v>11.089328765869141</v>
      </c>
    </row>
    <row r="88" spans="1:4" x14ac:dyDescent="0.2">
      <c r="A88" t="s">
        <v>768</v>
      </c>
      <c r="B88" s="45">
        <v>8.0683355331420898</v>
      </c>
      <c r="C88" s="46">
        <v>0.14366007194244601</v>
      </c>
      <c r="D88" s="45">
        <v>1.159097663146986</v>
      </c>
    </row>
    <row r="89" spans="1:4" x14ac:dyDescent="0.2">
      <c r="A89" t="s">
        <v>1016</v>
      </c>
      <c r="B89" s="45">
        <v>5.7112536430358887</v>
      </c>
      <c r="C89" s="46">
        <v>0.80508093525179858</v>
      </c>
      <c r="D89" s="45">
        <v>4.5980214243955748</v>
      </c>
    </row>
    <row r="90" spans="1:4" x14ac:dyDescent="0.2">
      <c r="A90" t="s">
        <v>778</v>
      </c>
      <c r="B90" s="45">
        <v>19.851530075073239</v>
      </c>
      <c r="C90" s="46">
        <v>0.31092625899280568</v>
      </c>
      <c r="D90" s="45">
        <v>6.1723619815256949</v>
      </c>
    </row>
    <row r="91" spans="1:4" x14ac:dyDescent="0.2">
      <c r="A91" t="s">
        <v>1017</v>
      </c>
      <c r="B91" s="45">
        <v>15.436671257019039</v>
      </c>
      <c r="C91" s="46">
        <v>0.7969874100719424</v>
      </c>
      <c r="D91" s="45">
        <v>12.302832645263599</v>
      </c>
    </row>
    <row r="92" spans="1:4" x14ac:dyDescent="0.2">
      <c r="A92" t="s">
        <v>790</v>
      </c>
      <c r="B92" s="45">
        <v>12.4080867767334</v>
      </c>
      <c r="C92" s="46">
        <v>0.7969874100719424</v>
      </c>
      <c r="D92" s="45">
        <v>9.8890889441366667</v>
      </c>
    </row>
    <row r="93" spans="1:4" x14ac:dyDescent="0.2">
      <c r="A93" t="s">
        <v>1018</v>
      </c>
      <c r="B93" s="45">
        <v>9.2894678115844727</v>
      </c>
      <c r="C93" s="46">
        <v>0.31092625899280568</v>
      </c>
      <c r="D93" s="45">
        <v>2.8883394746900461</v>
      </c>
    </row>
    <row r="94" spans="1:4" x14ac:dyDescent="0.2">
      <c r="A94" t="s">
        <v>1019</v>
      </c>
      <c r="B94" s="45">
        <v>15.05952072143555</v>
      </c>
      <c r="C94" s="46">
        <v>0.7969874100719424</v>
      </c>
      <c r="D94" s="45">
        <v>12.00224841670167</v>
      </c>
    </row>
    <row r="95" spans="1:4" x14ac:dyDescent="0.2">
      <c r="A95" t="s">
        <v>810</v>
      </c>
      <c r="B95" s="45">
        <v>15.543986320495611</v>
      </c>
      <c r="C95" s="46">
        <v>0.31092625899280568</v>
      </c>
      <c r="D95" s="45">
        <v>4.8330335164670464</v>
      </c>
    </row>
    <row r="96" spans="1:4" x14ac:dyDescent="0.2">
      <c r="A96" t="s">
        <v>1020</v>
      </c>
      <c r="B96" s="45">
        <v>12.996181488037109</v>
      </c>
      <c r="C96" s="46">
        <v>0.78507194244604317</v>
      </c>
      <c r="D96" s="45">
        <v>10.2029374451946</v>
      </c>
    </row>
    <row r="97" spans="1:4" x14ac:dyDescent="0.2">
      <c r="A97" t="s">
        <v>1021</v>
      </c>
      <c r="B97" s="45">
        <v>10.668112754821779</v>
      </c>
      <c r="C97" s="46">
        <v>0.31092625899280568</v>
      </c>
      <c r="D97" s="45">
        <v>3.3169963893701699</v>
      </c>
    </row>
    <row r="98" spans="1:4" x14ac:dyDescent="0.2">
      <c r="A98" t="s">
        <v>815</v>
      </c>
      <c r="B98" s="45">
        <v>9.716710090637207</v>
      </c>
      <c r="C98" s="46">
        <v>0.43277877697841732</v>
      </c>
      <c r="D98" s="45">
        <v>4.2051859092798161</v>
      </c>
    </row>
    <row r="99" spans="1:4" x14ac:dyDescent="0.2">
      <c r="A99" t="s">
        <v>820</v>
      </c>
      <c r="B99" s="45">
        <v>10.953365325927731</v>
      </c>
      <c r="C99" s="46">
        <v>0.63796462829736211</v>
      </c>
      <c r="D99" s="45">
        <v>6.9878596387607006</v>
      </c>
    </row>
    <row r="100" spans="1:4" x14ac:dyDescent="0.2">
      <c r="A100" t="s">
        <v>1022</v>
      </c>
      <c r="B100" s="45">
        <v>10.114131927490231</v>
      </c>
      <c r="C100" s="46">
        <v>0.23703537170263789</v>
      </c>
      <c r="D100" s="45">
        <v>2.3974070208821652</v>
      </c>
    </row>
    <row r="101" spans="1:4" x14ac:dyDescent="0.2">
      <c r="A101" t="s">
        <v>1023</v>
      </c>
      <c r="B101" s="45">
        <v>3.6575121879577641</v>
      </c>
      <c r="C101" s="46">
        <v>4.6387889688249397E-2</v>
      </c>
      <c r="D101" s="45">
        <v>0.16966427190841249</v>
      </c>
    </row>
    <row r="102" spans="1:4" x14ac:dyDescent="0.2">
      <c r="A102" t="s">
        <v>825</v>
      </c>
      <c r="B102" s="45">
        <v>10.86770534515381</v>
      </c>
      <c r="C102" s="46">
        <v>0.79361510791366907</v>
      </c>
      <c r="D102" s="45">
        <v>8.6247751502681975</v>
      </c>
    </row>
    <row r="103" spans="1:4" x14ac:dyDescent="0.2">
      <c r="A103" t="s">
        <v>1024</v>
      </c>
      <c r="B103" s="45">
        <v>21.53330039978027</v>
      </c>
      <c r="C103" s="46">
        <v>0.15190347721822539</v>
      </c>
      <c r="D103" s="45">
        <v>3.270983206711227</v>
      </c>
    </row>
    <row r="104" spans="1:4" x14ac:dyDescent="0.2">
      <c r="A104" t="s">
        <v>830</v>
      </c>
      <c r="B104" s="45">
        <v>72.295135498046875</v>
      </c>
      <c r="C104" s="46">
        <v>0.84097721822541971</v>
      </c>
      <c r="D104" s="45">
        <v>60.798561942377248</v>
      </c>
    </row>
    <row r="105" spans="1:4" x14ac:dyDescent="0.2">
      <c r="A105" t="s">
        <v>839</v>
      </c>
      <c r="B105" s="45">
        <v>3.7052218914031978</v>
      </c>
      <c r="C105" s="46">
        <v>0.84097721822541971</v>
      </c>
      <c r="D105" s="45">
        <v>3.1160071991401899</v>
      </c>
    </row>
    <row r="106" spans="1:4" x14ac:dyDescent="0.2">
      <c r="A106" t="s">
        <v>1025</v>
      </c>
      <c r="B106" s="45">
        <v>2.7029058933258061</v>
      </c>
      <c r="C106" s="46">
        <v>0.14958033573141491</v>
      </c>
      <c r="D106" s="45">
        <v>0.40430157097409392</v>
      </c>
    </row>
    <row r="107" spans="1:4" x14ac:dyDescent="0.2">
      <c r="A107" t="s">
        <v>1026</v>
      </c>
      <c r="B107" s="45">
        <v>18.146602630615231</v>
      </c>
      <c r="C107" s="46">
        <v>6.2874700239808151E-2</v>
      </c>
      <c r="D107" s="45">
        <v>1.1409622007708471</v>
      </c>
    </row>
    <row r="108" spans="1:4" x14ac:dyDescent="0.2">
      <c r="A108" t="s">
        <v>1027</v>
      </c>
      <c r="B108" s="45">
        <v>14.324113845825201</v>
      </c>
      <c r="C108" s="46">
        <v>8.6705635491606717E-2</v>
      </c>
      <c r="D108" s="45">
        <v>1.2419813938563959</v>
      </c>
    </row>
    <row r="109" spans="1:4" x14ac:dyDescent="0.2">
      <c r="A109" t="s">
        <v>1028</v>
      </c>
      <c r="B109" s="45">
        <v>7.9697494506835938</v>
      </c>
      <c r="C109" s="46">
        <v>8.6705635491606717E-2</v>
      </c>
      <c r="D109" s="45">
        <v>0.6910221908304045</v>
      </c>
    </row>
    <row r="110" spans="1:4" x14ac:dyDescent="0.2">
      <c r="A110" t="s">
        <v>1029</v>
      </c>
      <c r="B110" s="45">
        <v>7.6092715263366699</v>
      </c>
      <c r="C110" s="46">
        <v>3.3947841726618702E-2</v>
      </c>
      <c r="D110" s="45">
        <v>0.25831834543094362</v>
      </c>
    </row>
    <row r="111" spans="1:4" x14ac:dyDescent="0.2">
      <c r="A111" t="s">
        <v>1030</v>
      </c>
      <c r="B111" s="45">
        <v>7.3416147232055664</v>
      </c>
      <c r="C111" s="46">
        <v>1.206534772182254E-2</v>
      </c>
      <c r="D111" s="45">
        <v>8.8579134475127108E-2</v>
      </c>
    </row>
    <row r="112" spans="1:4" x14ac:dyDescent="0.2">
      <c r="A112" t="s">
        <v>1031</v>
      </c>
      <c r="B112" s="45">
        <v>7.5166668891906738</v>
      </c>
      <c r="C112" s="46">
        <v>4.4964028776978424E-3</v>
      </c>
      <c r="D112" s="45">
        <v>3.379796263125303E-2</v>
      </c>
    </row>
    <row r="113" spans="1:4" x14ac:dyDescent="0.2">
      <c r="A113" t="s">
        <v>1032</v>
      </c>
      <c r="B113" s="45">
        <v>8.3076925277709961</v>
      </c>
      <c r="C113" s="46">
        <v>1.9484412470023979E-3</v>
      </c>
      <c r="D113" s="45">
        <v>1.618705078852262E-2</v>
      </c>
    </row>
    <row r="114" spans="1:4" x14ac:dyDescent="0.2">
      <c r="A114" t="s">
        <v>1033</v>
      </c>
      <c r="B114" s="45">
        <v>7.769230842590332</v>
      </c>
      <c r="C114" s="46">
        <v>9.7422062350119906E-4</v>
      </c>
      <c r="D114" s="45">
        <v>7.5689449155930998E-3</v>
      </c>
    </row>
    <row r="115" spans="1:4" x14ac:dyDescent="0.2">
      <c r="A115" t="s">
        <v>1034</v>
      </c>
      <c r="B115" s="45">
        <v>9.3333330154418945</v>
      </c>
      <c r="C115" s="46">
        <v>4.496402877697842E-4</v>
      </c>
      <c r="D115" s="45">
        <v>4.1966425429145211E-3</v>
      </c>
    </row>
    <row r="116" spans="1:4" x14ac:dyDescent="0.2">
      <c r="A116" t="s">
        <v>1035</v>
      </c>
      <c r="B116" s="45">
        <v>6.1999998092651367</v>
      </c>
      <c r="C116" s="46">
        <v>3.7470023980815348E-4</v>
      </c>
      <c r="D116" s="45">
        <v>2.323141415342153E-3</v>
      </c>
    </row>
    <row r="117" spans="1:4" x14ac:dyDescent="0.2">
      <c r="A117" t="s">
        <v>1036</v>
      </c>
      <c r="B117" s="45">
        <v>15.666666984558111</v>
      </c>
      <c r="C117" s="46">
        <v>2.248201438848921E-4</v>
      </c>
      <c r="D117" s="45">
        <v>3.5221823256650418E-3</v>
      </c>
    </row>
    <row r="118" spans="1:4" x14ac:dyDescent="0.2">
      <c r="A118" t="s">
        <v>1037</v>
      </c>
      <c r="B118" s="45">
        <v>19.828245162963871</v>
      </c>
      <c r="C118" s="46">
        <v>0.63092026378896882</v>
      </c>
      <c r="D118" s="45">
        <v>12.51004166868951</v>
      </c>
    </row>
    <row r="119" spans="1:4" x14ac:dyDescent="0.2">
      <c r="A119" t="s">
        <v>914</v>
      </c>
      <c r="B119" s="45">
        <v>49.529693603515618</v>
      </c>
      <c r="C119" s="46">
        <v>0.67386091127098324</v>
      </c>
      <c r="D119" s="45">
        <v>33.376124466637627</v>
      </c>
    </row>
    <row r="120" spans="1:4" x14ac:dyDescent="0.2">
      <c r="A120" t="s">
        <v>1038</v>
      </c>
      <c r="B120" s="45">
        <v>10.34935474395752</v>
      </c>
      <c r="C120" s="46">
        <v>6.3923860911270988E-2</v>
      </c>
      <c r="D120" s="45">
        <v>0.66157071317414307</v>
      </c>
    </row>
    <row r="121" spans="1:4" x14ac:dyDescent="0.2">
      <c r="A121" t="s">
        <v>1039</v>
      </c>
      <c r="B121" s="45">
        <v>9.9121618270874023</v>
      </c>
      <c r="C121" s="46">
        <v>2.218225419664269E-2</v>
      </c>
      <c r="D121" s="45">
        <v>0.21987409328671101</v>
      </c>
    </row>
    <row r="122" spans="1:4" x14ac:dyDescent="0.2">
      <c r="A122" t="s">
        <v>1040</v>
      </c>
      <c r="B122" s="45">
        <v>12.817567825317379</v>
      </c>
      <c r="C122" s="46">
        <v>2.218225419664269E-2</v>
      </c>
      <c r="D122" s="45">
        <v>0.28432254768389881</v>
      </c>
    </row>
    <row r="123" spans="1:4" x14ac:dyDescent="0.2">
      <c r="A123" t="s">
        <v>924</v>
      </c>
      <c r="B123" s="45">
        <v>22.029750823974609</v>
      </c>
      <c r="C123" s="46">
        <v>1</v>
      </c>
      <c r="D123" s="45">
        <v>22.029750823974609</v>
      </c>
    </row>
    <row r="124" spans="1:4" x14ac:dyDescent="0.2">
      <c r="A124" t="s">
        <v>940</v>
      </c>
      <c r="B124" s="45">
        <v>36.783046722412109</v>
      </c>
      <c r="C124" s="46">
        <v>1</v>
      </c>
      <c r="D124" s="45">
        <v>36.783046722412109</v>
      </c>
    </row>
    <row r="125" spans="1:4" x14ac:dyDescent="0.2">
      <c r="A125" t="s">
        <v>1041</v>
      </c>
      <c r="B125" s="45">
        <v>13.76013851165771</v>
      </c>
      <c r="C125" s="46">
        <v>0.28087529976019182</v>
      </c>
      <c r="D125" s="45">
        <v>3.8648830292036198</v>
      </c>
    </row>
    <row r="126" spans="1:4" x14ac:dyDescent="0.2">
      <c r="A126" t="s">
        <v>795</v>
      </c>
      <c r="B126" s="45">
        <v>13.39993858337402</v>
      </c>
      <c r="C126" s="46">
        <v>0.48606115107913672</v>
      </c>
      <c r="D126" s="45">
        <v>6.5131895722245137</v>
      </c>
    </row>
    <row r="127" spans="1:4" x14ac:dyDescent="0.2">
      <c r="A127" t="s">
        <v>785</v>
      </c>
      <c r="B127" s="45">
        <v>14.62593364715576</v>
      </c>
      <c r="C127" s="46">
        <v>0.28087529976019182</v>
      </c>
      <c r="D127" s="45">
        <v>4.1080634974175503</v>
      </c>
    </row>
    <row r="128" spans="1:4" x14ac:dyDescent="0.2">
      <c r="A128" t="s">
        <v>1042</v>
      </c>
      <c r="B128" s="45">
        <v>14.752389907836911</v>
      </c>
      <c r="C128" s="46">
        <v>0.48606115107913672</v>
      </c>
      <c r="D128" s="45">
        <v>7.1705636197714497</v>
      </c>
    </row>
    <row r="129" spans="1:4" x14ac:dyDescent="0.2">
      <c r="A129" t="s">
        <v>1043</v>
      </c>
      <c r="B129" s="45">
        <v>14.082502365112299</v>
      </c>
      <c r="C129" s="46">
        <v>0.16531774580335731</v>
      </c>
      <c r="D129" s="45">
        <v>2.3280875462708139</v>
      </c>
    </row>
    <row r="130" spans="1:4" x14ac:dyDescent="0.2">
      <c r="A130" t="s">
        <v>1044</v>
      </c>
      <c r="B130" s="45">
        <v>15.481228828430179</v>
      </c>
      <c r="C130" s="46">
        <v>2.1957434052757789E-2</v>
      </c>
      <c r="D130" s="45">
        <v>0.33992806105590839</v>
      </c>
    </row>
    <row r="131" spans="1:4" x14ac:dyDescent="0.2">
      <c r="A131" t="s">
        <v>67</v>
      </c>
      <c r="B131" s="45">
        <v>3.062232494354248</v>
      </c>
      <c r="C131" s="46">
        <v>0.68277877697841727</v>
      </c>
      <c r="D131" s="45">
        <v>2.0908273573187621</v>
      </c>
    </row>
    <row r="132" spans="1:4" x14ac:dyDescent="0.2">
      <c r="A132" t="s">
        <v>1045</v>
      </c>
      <c r="B132" s="45">
        <v>10.030631065368651</v>
      </c>
      <c r="C132" s="46">
        <v>0.15902278177458029</v>
      </c>
      <c r="D132" s="45">
        <v>1.595098854969446</v>
      </c>
    </row>
    <row r="133" spans="1:4" x14ac:dyDescent="0.2">
      <c r="A133" t="s">
        <v>1046</v>
      </c>
      <c r="B133" s="45">
        <v>11.38066482543945</v>
      </c>
      <c r="C133" s="46">
        <v>2.4805155875299759E-2</v>
      </c>
      <c r="D133" s="45">
        <v>0.28229916495956681</v>
      </c>
    </row>
    <row r="134" spans="1:4" x14ac:dyDescent="0.2">
      <c r="A134" t="s">
        <v>1047</v>
      </c>
      <c r="B134" s="45">
        <v>30.646188735961911</v>
      </c>
      <c r="C134" s="46">
        <v>0.56722122302158273</v>
      </c>
      <c r="D134" s="45">
        <v>17.383168655762571</v>
      </c>
    </row>
    <row r="135" spans="1:4" x14ac:dyDescent="0.2">
      <c r="A135" t="s">
        <v>1048</v>
      </c>
      <c r="B135" s="45">
        <v>10.112629890441889</v>
      </c>
      <c r="C135" s="46">
        <v>0.15902278177458029</v>
      </c>
      <c r="D135" s="45">
        <v>1.6081385362348399</v>
      </c>
    </row>
    <row r="136" spans="1:4" x14ac:dyDescent="0.2">
      <c r="A136" t="s">
        <v>1049</v>
      </c>
      <c r="B136" s="45">
        <v>13.900094032287599</v>
      </c>
      <c r="C136" s="46">
        <v>0.15902278177458029</v>
      </c>
      <c r="D136" s="45">
        <v>2.2104316199426171</v>
      </c>
    </row>
    <row r="137" spans="1:4" x14ac:dyDescent="0.2">
      <c r="A137" t="s">
        <v>1050</v>
      </c>
      <c r="B137" s="45">
        <v>8.2288064956665039</v>
      </c>
      <c r="C137" s="46">
        <v>0.36420863309352519</v>
      </c>
      <c r="D137" s="45">
        <v>2.997002365777818</v>
      </c>
    </row>
    <row r="138" spans="1:4" x14ac:dyDescent="0.2">
      <c r="A138" t="s">
        <v>1051</v>
      </c>
      <c r="B138" s="45">
        <v>32.266731262207031</v>
      </c>
      <c r="C138" s="46">
        <v>0.15902278177458029</v>
      </c>
      <c r="D138" s="45">
        <v>5.1311453640889786</v>
      </c>
    </row>
    <row r="139" spans="1:4" x14ac:dyDescent="0.2">
      <c r="A139" t="s">
        <v>1052</v>
      </c>
      <c r="B139" s="45">
        <v>11.01242256164551</v>
      </c>
      <c r="C139" s="46">
        <v>8.4457434052757796E-2</v>
      </c>
      <c r="D139" s="45">
        <v>0.93008095226127752</v>
      </c>
    </row>
    <row r="140" spans="1:4" x14ac:dyDescent="0.2">
      <c r="A140" t="s">
        <v>1053</v>
      </c>
      <c r="B140" s="45">
        <v>59.445335388183587</v>
      </c>
      <c r="C140" s="46">
        <v>0.15902278177458029</v>
      </c>
      <c r="D140" s="45">
        <v>9.4531625969518576</v>
      </c>
    </row>
    <row r="141" spans="1:4" x14ac:dyDescent="0.2">
      <c r="A141" t="s">
        <v>1054</v>
      </c>
      <c r="B141" s="45">
        <v>31.696512222290039</v>
      </c>
      <c r="C141" s="46">
        <v>0.15902278177458029</v>
      </c>
      <c r="D141" s="45">
        <v>5.0404675461405466</v>
      </c>
    </row>
    <row r="142" spans="1:4" x14ac:dyDescent="0.2">
      <c r="A142" t="s">
        <v>1055</v>
      </c>
      <c r="B142" s="45">
        <v>18.788320541381839</v>
      </c>
      <c r="C142" s="46">
        <v>3.0800359712230219E-2</v>
      </c>
      <c r="D142" s="45">
        <v>0.57868703106324448</v>
      </c>
    </row>
    <row r="143" spans="1:4" x14ac:dyDescent="0.2">
      <c r="A143" t="s">
        <v>1056</v>
      </c>
      <c r="B143" s="45">
        <v>14.180000305175779</v>
      </c>
      <c r="C143" s="46">
        <v>1.12410071942446E-2</v>
      </c>
      <c r="D143" s="45">
        <v>0.15939748544487159</v>
      </c>
    </row>
    <row r="144" spans="1:4" x14ac:dyDescent="0.2">
      <c r="A144" t="s">
        <v>1057</v>
      </c>
      <c r="B144" s="45">
        <v>14.373562812805179</v>
      </c>
      <c r="C144" s="46">
        <v>1.303956834532374E-2</v>
      </c>
      <c r="D144" s="45">
        <v>0.18742505466337689</v>
      </c>
    </row>
    <row r="145" spans="1:4" x14ac:dyDescent="0.2">
      <c r="A145" t="s">
        <v>1058</v>
      </c>
      <c r="B145" s="45">
        <v>13.638889312744141</v>
      </c>
      <c r="C145" s="46">
        <v>2.6978417266187052E-3</v>
      </c>
      <c r="D145" s="45">
        <v>3.6795564692655047E-2</v>
      </c>
    </row>
    <row r="146" spans="1:4" x14ac:dyDescent="0.2">
      <c r="A146" t="s">
        <v>805</v>
      </c>
      <c r="B146" s="45">
        <v>15.40838527679443</v>
      </c>
      <c r="C146" s="46">
        <v>0.14478417266187049</v>
      </c>
      <c r="D146" s="45">
        <v>2.2308903143560279</v>
      </c>
    </row>
    <row r="147" spans="1:4" x14ac:dyDescent="0.2">
      <c r="A147" t="s">
        <v>1059</v>
      </c>
      <c r="B147" s="45">
        <v>13.428935050964361</v>
      </c>
      <c r="C147" s="46">
        <v>0.14710731414868111</v>
      </c>
      <c r="D147" s="45">
        <v>1.9754945672244479</v>
      </c>
    </row>
    <row r="148" spans="1:4" x14ac:dyDescent="0.2">
      <c r="A148" t="s">
        <v>1060</v>
      </c>
      <c r="B148" s="45">
        <v>16.118755340576168</v>
      </c>
      <c r="C148" s="46">
        <v>0.15902278177458029</v>
      </c>
      <c r="D148" s="45">
        <v>2.563249313002296</v>
      </c>
    </row>
    <row r="149" spans="1:4" x14ac:dyDescent="0.2">
      <c r="A149" t="s">
        <v>1061</v>
      </c>
      <c r="B149" s="45">
        <v>24.20000076293945</v>
      </c>
      <c r="C149" s="46">
        <v>3.3723021582733811E-3</v>
      </c>
      <c r="D149" s="45">
        <v>8.1609714803078187E-2</v>
      </c>
    </row>
    <row r="150" spans="1:4" x14ac:dyDescent="0.2">
      <c r="A150" t="s">
        <v>1062</v>
      </c>
      <c r="B150" s="45">
        <v>15.139491081237789</v>
      </c>
      <c r="C150" s="46">
        <v>0.15902278177458029</v>
      </c>
      <c r="D150" s="45">
        <v>2.407523986389883</v>
      </c>
    </row>
    <row r="151" spans="1:4" x14ac:dyDescent="0.2">
      <c r="A151" t="s">
        <v>1063</v>
      </c>
      <c r="B151" s="45">
        <v>17.901508331298832</v>
      </c>
      <c r="C151" s="46">
        <v>0.15902278177458029</v>
      </c>
      <c r="D151" s="45">
        <v>2.8467476528039661</v>
      </c>
    </row>
    <row r="152" spans="1:4" x14ac:dyDescent="0.2">
      <c r="A152" t="s">
        <v>1064</v>
      </c>
      <c r="B152" s="45">
        <v>27.199811935424801</v>
      </c>
      <c r="C152" s="46">
        <v>0.15902278177458029</v>
      </c>
      <c r="D152" s="45">
        <v>4.3253897577166844</v>
      </c>
    </row>
    <row r="153" spans="1:4" x14ac:dyDescent="0.2">
      <c r="A153" t="s">
        <v>1065</v>
      </c>
      <c r="B153" s="45">
        <v>20.648445129394531</v>
      </c>
      <c r="C153" s="46">
        <v>0.15902278177458029</v>
      </c>
      <c r="D153" s="45">
        <v>3.2835731837961029</v>
      </c>
    </row>
    <row r="154" spans="1:4" x14ac:dyDescent="0.2">
      <c r="A154" t="s">
        <v>1066</v>
      </c>
      <c r="B154" s="45">
        <v>55.302074432373047</v>
      </c>
      <c r="C154" s="46">
        <v>0.15902278177458029</v>
      </c>
      <c r="D154" s="45">
        <v>8.7942897141408576</v>
      </c>
    </row>
    <row r="155" spans="1:4" x14ac:dyDescent="0.2">
      <c r="A155" t="s">
        <v>1067</v>
      </c>
      <c r="B155" s="45">
        <v>24.500471115112301</v>
      </c>
      <c r="C155" s="46">
        <v>0.15902278177458029</v>
      </c>
      <c r="D155" s="45">
        <v>3.8961330715129132</v>
      </c>
    </row>
    <row r="156" spans="1:4" x14ac:dyDescent="0.2">
      <c r="A156" t="s">
        <v>1068</v>
      </c>
      <c r="B156" s="45">
        <v>24.92459869384766</v>
      </c>
      <c r="C156" s="46">
        <v>0.15902278177458029</v>
      </c>
      <c r="D156" s="45">
        <v>3.9635790189107261</v>
      </c>
    </row>
    <row r="157" spans="1:4" x14ac:dyDescent="0.2">
      <c r="A157" t="s">
        <v>1069</v>
      </c>
      <c r="B157" s="45">
        <v>17.525918960571289</v>
      </c>
      <c r="C157" s="46">
        <v>0.15902278177458029</v>
      </c>
      <c r="D157" s="45">
        <v>2.7870203862659082</v>
      </c>
    </row>
    <row r="158" spans="1:4" x14ac:dyDescent="0.2">
      <c r="A158" t="s">
        <v>1070</v>
      </c>
      <c r="B158" s="45">
        <v>28.03440093994141</v>
      </c>
      <c r="C158" s="46">
        <v>0.15902278177458029</v>
      </c>
      <c r="D158" s="45">
        <v>4.4581084228533916</v>
      </c>
    </row>
    <row r="159" spans="1:4" x14ac:dyDescent="0.2">
      <c r="A159" t="s">
        <v>1071</v>
      </c>
      <c r="B159" s="45">
        <v>15.688972473144529</v>
      </c>
      <c r="C159" s="46">
        <v>0.15902278177458029</v>
      </c>
      <c r="D159" s="45">
        <v>2.4949040458642608</v>
      </c>
    </row>
    <row r="160" spans="1:4" x14ac:dyDescent="0.2">
      <c r="A160" t="s">
        <v>1072</v>
      </c>
      <c r="B160" s="45">
        <v>21.188030242919918</v>
      </c>
      <c r="C160" s="46">
        <v>0.15902278177458029</v>
      </c>
      <c r="D160" s="45">
        <v>3.3693795095530632</v>
      </c>
    </row>
    <row r="161" spans="1:4" x14ac:dyDescent="0.2">
      <c r="A161" t="s">
        <v>1073</v>
      </c>
      <c r="B161" s="45">
        <v>10.56944465637207</v>
      </c>
      <c r="C161" s="46">
        <v>5.3956834532374104E-3</v>
      </c>
      <c r="D161" s="45">
        <v>5.7029377642295348E-2</v>
      </c>
    </row>
    <row r="162" spans="1:4" x14ac:dyDescent="0.2">
      <c r="A162" t="s">
        <v>960</v>
      </c>
      <c r="B162" s="45">
        <v>17.507846832275391</v>
      </c>
      <c r="C162" s="46">
        <v>0.68277877697841727</v>
      </c>
      <c r="D162" s="45">
        <v>11.95398624766645</v>
      </c>
    </row>
    <row r="163" spans="1:4" x14ac:dyDescent="0.2">
      <c r="A163" t="s">
        <v>82</v>
      </c>
      <c r="B163" s="45">
        <v>4.6240768432617188</v>
      </c>
      <c r="C163" s="46">
        <v>0.20293764988009591</v>
      </c>
      <c r="D163" s="45">
        <v>0.9383992874365058</v>
      </c>
    </row>
    <row r="164" spans="1:4" x14ac:dyDescent="0.2">
      <c r="A164" t="s">
        <v>1074</v>
      </c>
      <c r="B164" s="45">
        <v>10.74381732940674</v>
      </c>
      <c r="C164" s="46">
        <v>0.20301258992805751</v>
      </c>
      <c r="D164" s="45">
        <v>2.1811301817568078</v>
      </c>
    </row>
    <row r="165" spans="1:4" x14ac:dyDescent="0.2">
      <c r="A165" t="s">
        <v>1075</v>
      </c>
      <c r="B165" s="45"/>
      <c r="C165" s="46">
        <v>0</v>
      </c>
      <c r="D165" s="45">
        <v>0</v>
      </c>
    </row>
    <row r="166" spans="1:4" x14ac:dyDescent="0.2">
      <c r="A166" t="s">
        <v>1076</v>
      </c>
      <c r="B166" s="45">
        <v>56.471023559570312</v>
      </c>
      <c r="C166" s="46">
        <v>0.20301258992805751</v>
      </c>
      <c r="D166" s="45">
        <v>11.464328748716721</v>
      </c>
    </row>
    <row r="167" spans="1:4" x14ac:dyDescent="0.2">
      <c r="A167" t="s">
        <v>1077</v>
      </c>
      <c r="B167" s="45">
        <v>31</v>
      </c>
      <c r="C167" s="46">
        <v>4.0467625899280584E-3</v>
      </c>
      <c r="D167" s="45">
        <v>0.12544964028776981</v>
      </c>
    </row>
    <row r="168" spans="1:4" x14ac:dyDescent="0.2">
      <c r="A168" t="s">
        <v>1078</v>
      </c>
      <c r="B168" s="45">
        <v>30.833333969116211</v>
      </c>
      <c r="C168" s="46">
        <v>4.0467625899280584E-3</v>
      </c>
      <c r="D168" s="45">
        <v>0.1247751824289775</v>
      </c>
    </row>
    <row r="169" spans="1:4" x14ac:dyDescent="0.2">
      <c r="A169" t="s">
        <v>504</v>
      </c>
      <c r="B169" s="45">
        <v>16.882986068725589</v>
      </c>
      <c r="C169" s="46">
        <v>0.1184802158273381</v>
      </c>
      <c r="D169" s="45">
        <v>2.0002998332325501</v>
      </c>
    </row>
    <row r="170" spans="1:4" x14ac:dyDescent="0.2">
      <c r="A170" t="s">
        <v>535</v>
      </c>
      <c r="B170" s="45">
        <v>16.82699012756348</v>
      </c>
      <c r="C170" s="46">
        <v>8.6630695443645087E-2</v>
      </c>
      <c r="D170" s="45">
        <v>1.457733856974174</v>
      </c>
    </row>
    <row r="171" spans="1:4" x14ac:dyDescent="0.2">
      <c r="A171" t="s">
        <v>1079</v>
      </c>
      <c r="B171" s="45">
        <v>39.486873626708977</v>
      </c>
      <c r="C171" s="46">
        <v>3.139988009592326E-2</v>
      </c>
      <c r="D171" s="45">
        <v>1.2398830972415369</v>
      </c>
    </row>
    <row r="172" spans="1:4" x14ac:dyDescent="0.2">
      <c r="A172" t="s">
        <v>592</v>
      </c>
      <c r="B172" s="45">
        <v>15.9380989074707</v>
      </c>
      <c r="C172" s="46">
        <v>0.1016936450839329</v>
      </c>
      <c r="D172" s="45">
        <v>1.620803373608944</v>
      </c>
    </row>
    <row r="173" spans="1:4" x14ac:dyDescent="0.2">
      <c r="A173" t="s">
        <v>616</v>
      </c>
      <c r="B173" s="45">
        <v>13.330855369567869</v>
      </c>
      <c r="C173" s="46">
        <v>6.047661870503597E-2</v>
      </c>
      <c r="D173" s="45">
        <v>0.80620505719733748</v>
      </c>
    </row>
    <row r="174" spans="1:4" x14ac:dyDescent="0.2">
      <c r="A174" t="s">
        <v>1080</v>
      </c>
      <c r="B174" s="45">
        <v>16.437650680541989</v>
      </c>
      <c r="C174" s="46">
        <v>6.25E-2</v>
      </c>
      <c r="D174" s="45">
        <v>1.027353167533875</v>
      </c>
    </row>
    <row r="175" spans="1:4" x14ac:dyDescent="0.2">
      <c r="A175" t="s">
        <v>1081</v>
      </c>
      <c r="B175" s="45">
        <v>8.6666669845581055</v>
      </c>
      <c r="C175" s="46">
        <v>6.7446043165467629E-4</v>
      </c>
      <c r="D175" s="45">
        <v>5.8453239554123919E-3</v>
      </c>
    </row>
    <row r="176" spans="1:4" x14ac:dyDescent="0.2">
      <c r="A176" t="s">
        <v>660</v>
      </c>
      <c r="B176" s="45">
        <v>12.5238094329834</v>
      </c>
      <c r="C176" s="46">
        <v>1.573741007194245E-3</v>
      </c>
      <c r="D176" s="45">
        <v>1.9709232470972071E-2</v>
      </c>
    </row>
    <row r="177" spans="1:4" x14ac:dyDescent="0.2">
      <c r="A177" t="s">
        <v>1082</v>
      </c>
      <c r="B177" s="45">
        <v>22.220184326171879</v>
      </c>
      <c r="C177" s="46">
        <v>8.1684652278177453E-3</v>
      </c>
      <c r="D177" s="45">
        <v>0.18150480302403579</v>
      </c>
    </row>
    <row r="178" spans="1:4" x14ac:dyDescent="0.2">
      <c r="A178" t="s">
        <v>1083</v>
      </c>
      <c r="B178" s="45">
        <v>12.889907836914061</v>
      </c>
      <c r="C178" s="46">
        <v>8.1684652278177453E-3</v>
      </c>
      <c r="D178" s="45">
        <v>0.105290763955608</v>
      </c>
    </row>
    <row r="179" spans="1:4" x14ac:dyDescent="0.2">
      <c r="A179" t="s">
        <v>1084</v>
      </c>
      <c r="B179" s="45">
        <v>14.84403705596924</v>
      </c>
      <c r="C179" s="46">
        <v>8.1684652278177453E-3</v>
      </c>
      <c r="D179" s="45">
        <v>0.1212530005321228</v>
      </c>
    </row>
    <row r="180" spans="1:4" x14ac:dyDescent="0.2">
      <c r="A180" t="s">
        <v>1085</v>
      </c>
      <c r="B180" s="45">
        <v>18.513761520385739</v>
      </c>
      <c r="C180" s="46">
        <v>8.1684652278177453E-3</v>
      </c>
      <c r="D180" s="45">
        <v>0.1512290172153811</v>
      </c>
    </row>
    <row r="181" spans="1:4" x14ac:dyDescent="0.2">
      <c r="A181" t="s">
        <v>1086</v>
      </c>
      <c r="B181" s="45">
        <v>16.880733489990231</v>
      </c>
      <c r="C181" s="46">
        <v>8.1684652278177453E-3</v>
      </c>
      <c r="D181" s="45">
        <v>0.1378896845330437</v>
      </c>
    </row>
    <row r="182" spans="1:4" x14ac:dyDescent="0.2">
      <c r="A182" t="s">
        <v>1087</v>
      </c>
      <c r="B182" s="45">
        <v>17.431192398071289</v>
      </c>
      <c r="C182" s="46">
        <v>8.1684652278177453E-3</v>
      </c>
      <c r="D182" s="45">
        <v>0.14238608898304631</v>
      </c>
    </row>
    <row r="183" spans="1:4" x14ac:dyDescent="0.2">
      <c r="A183" t="s">
        <v>1088</v>
      </c>
      <c r="B183" s="45">
        <v>14.110092163085939</v>
      </c>
      <c r="C183" s="46">
        <v>8.1684652278177453E-3</v>
      </c>
      <c r="D183" s="45">
        <v>0.1152577971954712</v>
      </c>
    </row>
    <row r="184" spans="1:4" x14ac:dyDescent="0.2">
      <c r="A184" t="s">
        <v>1089</v>
      </c>
      <c r="B184" s="45">
        <v>15.256880760192869</v>
      </c>
      <c r="C184" s="46">
        <v>8.1684652278177453E-3</v>
      </c>
      <c r="D184" s="45">
        <v>0.124625299974597</v>
      </c>
    </row>
    <row r="185" spans="1:4" x14ac:dyDescent="0.2">
      <c r="A185" t="s">
        <v>1090</v>
      </c>
      <c r="B185" s="45">
        <v>12.284403800964361</v>
      </c>
      <c r="C185" s="46">
        <v>8.1684652278177453E-3</v>
      </c>
      <c r="D185" s="45">
        <v>0.1003447252926495</v>
      </c>
    </row>
    <row r="186" spans="1:4" x14ac:dyDescent="0.2">
      <c r="A186" t="s">
        <v>1091</v>
      </c>
      <c r="B186" s="45">
        <v>12.577981948852541</v>
      </c>
      <c r="C186" s="46">
        <v>8.1684652278177453E-3</v>
      </c>
      <c r="D186" s="45">
        <v>0.10274280818532119</v>
      </c>
    </row>
    <row r="187" spans="1:4" x14ac:dyDescent="0.2">
      <c r="A187" t="s">
        <v>907</v>
      </c>
      <c r="B187" s="45">
        <v>16.78225135803223</v>
      </c>
      <c r="C187" s="46">
        <v>0.16381894484412471</v>
      </c>
      <c r="D187" s="45">
        <v>2.7492507095817178</v>
      </c>
    </row>
    <row r="188" spans="1:4" x14ac:dyDescent="0.2">
      <c r="A188" t="s">
        <v>1092</v>
      </c>
      <c r="B188" s="45">
        <v>11.787801742553709</v>
      </c>
      <c r="C188" s="46">
        <v>0.20518585131894479</v>
      </c>
      <c r="D188" s="45">
        <v>2.4186901357248241</v>
      </c>
    </row>
    <row r="189" spans="1:4" x14ac:dyDescent="0.2">
      <c r="A189" t="s">
        <v>431</v>
      </c>
      <c r="B189" s="45">
        <v>46.247528076171882</v>
      </c>
      <c r="C189" s="46">
        <v>1</v>
      </c>
      <c r="D189" s="45">
        <v>46.247528076171882</v>
      </c>
    </row>
    <row r="190" spans="1:4" x14ac:dyDescent="0.2">
      <c r="A190" t="s">
        <v>1093</v>
      </c>
      <c r="B190" s="45">
        <v>0.1537020355463028</v>
      </c>
      <c r="C190" s="46">
        <v>1</v>
      </c>
      <c r="D190" s="45">
        <v>0.1537020355463028</v>
      </c>
    </row>
    <row r="191" spans="1:4" x14ac:dyDescent="0.2">
      <c r="A191" t="s">
        <v>1094</v>
      </c>
      <c r="B191" s="45">
        <v>0.67963129281997681</v>
      </c>
      <c r="C191" s="46">
        <v>1</v>
      </c>
      <c r="D191" s="45">
        <v>0.67963129281997681</v>
      </c>
    </row>
    <row r="192" spans="1:4" x14ac:dyDescent="0.2">
      <c r="A192" t="s">
        <v>1095</v>
      </c>
      <c r="B192" s="45">
        <v>2.892535924911499</v>
      </c>
      <c r="C192" s="46">
        <v>1</v>
      </c>
      <c r="D192" s="45">
        <v>2.892535924911499</v>
      </c>
    </row>
    <row r="193" spans="1:4" x14ac:dyDescent="0.2">
      <c r="A193" t="s">
        <v>1096</v>
      </c>
      <c r="B193" s="45">
        <v>3.3438248634338379</v>
      </c>
      <c r="C193" s="46">
        <v>1</v>
      </c>
      <c r="D193" s="45">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31" activePane="bottomLeft" state="frozen"/>
      <selection activeCell="D69" sqref="D69"/>
      <selection pane="bottomLeft" activeCell="C85" sqref="C85"/>
    </sheetView>
  </sheetViews>
  <sheetFormatPr baseColWidth="10" defaultColWidth="10.83203125" defaultRowHeight="15" x14ac:dyDescent="0.2"/>
  <cols>
    <col min="1" max="2" width="10.83203125" style="1" customWidth="1"/>
    <col min="3" max="3" width="15.1640625" style="2" customWidth="1"/>
    <col min="4" max="4" width="10.83203125" style="234" hidden="1" customWidth="1"/>
    <col min="5" max="5" width="10.83203125" style="234" customWidth="1"/>
    <col min="6" max="6" width="41.6640625" style="1" customWidth="1"/>
    <col min="7" max="7" width="46.6640625" style="325" customWidth="1"/>
    <col min="8" max="8" width="10.83203125" style="1" customWidth="1"/>
    <col min="9" max="16384" width="10.83203125" style="1"/>
  </cols>
  <sheetData>
    <row r="2" spans="2:7" x14ac:dyDescent="0.2">
      <c r="C2" s="4"/>
      <c r="D2" s="231"/>
      <c r="E2" s="231"/>
      <c r="F2" s="5"/>
      <c r="G2" s="321"/>
    </row>
    <row r="3" spans="2:7" ht="32" customHeight="1" x14ac:dyDescent="0.2">
      <c r="B3" s="3"/>
      <c r="C3" s="232" t="s">
        <v>1097</v>
      </c>
      <c r="D3" s="229" t="s">
        <v>1098</v>
      </c>
      <c r="E3" s="229" t="s">
        <v>1099</v>
      </c>
      <c r="F3" s="229" t="s">
        <v>1100</v>
      </c>
      <c r="G3" s="232" t="s">
        <v>1101</v>
      </c>
    </row>
    <row r="4" spans="2:7" ht="16" customHeight="1" x14ac:dyDescent="0.2">
      <c r="B4" s="3"/>
      <c r="C4" s="38" t="s">
        <v>1102</v>
      </c>
      <c r="D4" s="8">
        <f t="array" ref="D4:D93">_xlfn.SEQUENCE(90,1,1,1)</f>
        <v>1</v>
      </c>
      <c r="E4" s="230" t="s">
        <v>1103</v>
      </c>
      <c r="F4" s="8" t="s">
        <v>1104</v>
      </c>
      <c r="G4" s="322" t="s">
        <v>1105</v>
      </c>
    </row>
    <row r="5" spans="2:7" ht="16" customHeight="1" x14ac:dyDescent="0.2">
      <c r="B5" s="3"/>
      <c r="C5" s="38"/>
      <c r="D5" s="8">
        <v>2</v>
      </c>
      <c r="E5" s="230" t="s">
        <v>1106</v>
      </c>
      <c r="F5" s="8" t="s">
        <v>1107</v>
      </c>
      <c r="G5" s="322" t="s">
        <v>1108</v>
      </c>
    </row>
    <row r="6" spans="2:7" ht="16" customHeight="1" x14ac:dyDescent="0.2">
      <c r="B6" s="3"/>
      <c r="C6" s="38"/>
      <c r="D6" s="8">
        <v>3</v>
      </c>
      <c r="E6" s="230" t="s">
        <v>1109</v>
      </c>
      <c r="F6" s="8" t="s">
        <v>1110</v>
      </c>
      <c r="G6" s="322" t="s">
        <v>1111</v>
      </c>
    </row>
    <row r="7" spans="2:7" ht="16" customHeight="1" x14ac:dyDescent="0.2">
      <c r="B7" s="3"/>
      <c r="C7" s="38"/>
      <c r="D7" s="8">
        <v>4</v>
      </c>
      <c r="E7" s="230" t="s">
        <v>1112</v>
      </c>
      <c r="F7" s="8" t="s">
        <v>1113</v>
      </c>
      <c r="G7" s="322" t="s">
        <v>1114</v>
      </c>
    </row>
    <row r="8" spans="2:7" ht="16" customHeight="1" x14ac:dyDescent="0.2">
      <c r="B8" s="3"/>
      <c r="C8" s="38" t="s">
        <v>1102</v>
      </c>
      <c r="D8" s="8">
        <v>5</v>
      </c>
      <c r="E8" s="230" t="s">
        <v>1115</v>
      </c>
      <c r="F8" s="8" t="s">
        <v>1116</v>
      </c>
      <c r="G8" s="322" t="s">
        <v>1117</v>
      </c>
    </row>
    <row r="9" spans="2:7" ht="16" customHeight="1" x14ac:dyDescent="0.2">
      <c r="B9" s="3"/>
      <c r="C9" s="38"/>
      <c r="D9" s="8">
        <v>6</v>
      </c>
      <c r="E9" s="230" t="s">
        <v>1118</v>
      </c>
      <c r="F9" s="8" t="s">
        <v>1119</v>
      </c>
      <c r="G9" s="322" t="s">
        <v>1120</v>
      </c>
    </row>
    <row r="10" spans="2:7" ht="16" customHeight="1" x14ac:dyDescent="0.2">
      <c r="B10" s="3"/>
      <c r="C10" s="261"/>
      <c r="D10" s="8">
        <v>7</v>
      </c>
      <c r="E10" s="230" t="s">
        <v>1121</v>
      </c>
      <c r="F10" s="37" t="s">
        <v>1122</v>
      </c>
      <c r="G10" s="323" t="s">
        <v>1123</v>
      </c>
    </row>
    <row r="11" spans="2:7" ht="16" customHeight="1" x14ac:dyDescent="0.2">
      <c r="B11" s="3"/>
      <c r="C11" s="38"/>
      <c r="D11" s="8">
        <v>8</v>
      </c>
      <c r="E11" s="230" t="s">
        <v>1124</v>
      </c>
      <c r="F11" s="8" t="s">
        <v>1125</v>
      </c>
      <c r="G11" s="322" t="s">
        <v>1126</v>
      </c>
    </row>
    <row r="12" spans="2:7" ht="16" customHeight="1" x14ac:dyDescent="0.2">
      <c r="B12" s="3"/>
      <c r="C12" s="38"/>
      <c r="D12" s="8">
        <v>9</v>
      </c>
      <c r="E12" s="230" t="s">
        <v>1127</v>
      </c>
      <c r="F12" s="8" t="s">
        <v>1128</v>
      </c>
      <c r="G12" s="322" t="s">
        <v>1129</v>
      </c>
    </row>
    <row r="13" spans="2:7" ht="16" customHeight="1" x14ac:dyDescent="0.2">
      <c r="B13" s="3"/>
      <c r="C13" s="38" t="s">
        <v>1102</v>
      </c>
      <c r="D13" s="8">
        <v>10</v>
      </c>
      <c r="E13" s="230" t="s">
        <v>1130</v>
      </c>
      <c r="F13" s="8" t="s">
        <v>1131</v>
      </c>
      <c r="G13" s="322" t="s">
        <v>1132</v>
      </c>
    </row>
    <row r="14" spans="2:7" ht="16" customHeight="1" x14ac:dyDescent="0.2">
      <c r="B14" s="3"/>
      <c r="C14" s="38" t="s">
        <v>1102</v>
      </c>
      <c r="D14" s="8">
        <v>11</v>
      </c>
      <c r="E14" s="230" t="s">
        <v>1133</v>
      </c>
      <c r="F14" s="8" t="s">
        <v>1134</v>
      </c>
      <c r="G14" s="322" t="s">
        <v>1135</v>
      </c>
    </row>
    <row r="15" spans="2:7" ht="16" customHeight="1" x14ac:dyDescent="0.2">
      <c r="B15" s="3"/>
      <c r="C15" s="38"/>
      <c r="D15" s="8">
        <v>12</v>
      </c>
      <c r="E15" s="230" t="s">
        <v>1136</v>
      </c>
      <c r="F15" s="8" t="s">
        <v>1137</v>
      </c>
      <c r="G15" s="322" t="s">
        <v>1138</v>
      </c>
    </row>
    <row r="16" spans="2:7" ht="16" customHeight="1" x14ac:dyDescent="0.2">
      <c r="B16" s="3"/>
      <c r="C16" s="38"/>
      <c r="D16" s="8">
        <v>13</v>
      </c>
      <c r="E16" s="230" t="s">
        <v>1139</v>
      </c>
      <c r="F16" s="8" t="s">
        <v>1140</v>
      </c>
      <c r="G16" s="322" t="s">
        <v>1141</v>
      </c>
    </row>
    <row r="17" spans="2:7" ht="16" customHeight="1" x14ac:dyDescent="0.2">
      <c r="B17" s="3"/>
      <c r="C17" s="261"/>
      <c r="D17" s="8">
        <v>14</v>
      </c>
      <c r="E17" s="230" t="s">
        <v>1142</v>
      </c>
      <c r="F17" s="37" t="s">
        <v>1143</v>
      </c>
      <c r="G17" s="323" t="s">
        <v>1144</v>
      </c>
    </row>
    <row r="18" spans="2:7" ht="16" customHeight="1" x14ac:dyDescent="0.2">
      <c r="B18" s="3"/>
      <c r="C18" s="38" t="s">
        <v>1102</v>
      </c>
      <c r="D18" s="8">
        <v>15</v>
      </c>
      <c r="E18" s="230" t="s">
        <v>1145</v>
      </c>
      <c r="F18" s="8" t="s">
        <v>1146</v>
      </c>
      <c r="G18" s="322" t="s">
        <v>1147</v>
      </c>
    </row>
    <row r="19" spans="2:7" ht="16" customHeight="1" x14ac:dyDescent="0.2">
      <c r="B19" s="3"/>
      <c r="C19" s="38"/>
      <c r="D19" s="8">
        <v>16</v>
      </c>
      <c r="E19" s="230" t="s">
        <v>1148</v>
      </c>
      <c r="F19" s="8" t="s">
        <v>1149</v>
      </c>
      <c r="G19" s="322" t="s">
        <v>1150</v>
      </c>
    </row>
    <row r="20" spans="2:7" ht="16" customHeight="1" x14ac:dyDescent="0.2">
      <c r="B20" s="3"/>
      <c r="C20" s="38"/>
      <c r="D20" s="8">
        <v>17</v>
      </c>
      <c r="E20" s="230" t="s">
        <v>1151</v>
      </c>
      <c r="F20" s="8" t="s">
        <v>1152</v>
      </c>
      <c r="G20" s="322" t="s">
        <v>1153</v>
      </c>
    </row>
    <row r="21" spans="2:7" ht="16" customHeight="1" x14ac:dyDescent="0.2">
      <c r="B21" s="3"/>
      <c r="C21" s="38"/>
      <c r="D21" s="8">
        <v>18</v>
      </c>
      <c r="E21" s="230" t="s">
        <v>1154</v>
      </c>
      <c r="F21" s="8" t="s">
        <v>1155</v>
      </c>
      <c r="G21" s="322" t="s">
        <v>1156</v>
      </c>
    </row>
    <row r="22" spans="2:7" ht="16" customHeight="1" x14ac:dyDescent="0.2">
      <c r="B22" s="3"/>
      <c r="C22" s="38"/>
      <c r="D22" s="8">
        <v>19</v>
      </c>
      <c r="E22" s="230" t="s">
        <v>1157</v>
      </c>
      <c r="F22" s="8" t="s">
        <v>1158</v>
      </c>
      <c r="G22" s="322" t="s">
        <v>1159</v>
      </c>
    </row>
    <row r="23" spans="2:7" ht="16" customHeight="1" x14ac:dyDescent="0.2">
      <c r="B23" s="3"/>
      <c r="C23" s="38"/>
      <c r="D23" s="8">
        <v>20</v>
      </c>
      <c r="E23" s="230" t="s">
        <v>1160</v>
      </c>
      <c r="F23" s="8" t="s">
        <v>1161</v>
      </c>
      <c r="G23" s="322" t="s">
        <v>1162</v>
      </c>
    </row>
    <row r="24" spans="2:7" ht="16" customHeight="1" x14ac:dyDescent="0.2">
      <c r="B24" s="3"/>
      <c r="C24" s="38"/>
      <c r="D24" s="8">
        <v>21</v>
      </c>
      <c r="E24" s="230" t="s">
        <v>1163</v>
      </c>
      <c r="F24" s="8" t="s">
        <v>1164</v>
      </c>
      <c r="G24" s="322" t="s">
        <v>1165</v>
      </c>
    </row>
    <row r="25" spans="2:7" ht="16" customHeight="1" x14ac:dyDescent="0.2">
      <c r="B25" s="3"/>
      <c r="C25" s="261"/>
      <c r="D25" s="8">
        <v>22</v>
      </c>
      <c r="E25" s="230" t="s">
        <v>1166</v>
      </c>
      <c r="F25" s="37" t="s">
        <v>1167</v>
      </c>
      <c r="G25" s="323" t="s">
        <v>1168</v>
      </c>
    </row>
    <row r="26" spans="2:7" ht="16" customHeight="1" x14ac:dyDescent="0.2">
      <c r="B26" s="3"/>
      <c r="C26" s="38"/>
      <c r="D26" s="8">
        <v>23</v>
      </c>
      <c r="E26" s="230" t="s">
        <v>1169</v>
      </c>
      <c r="F26" s="8" t="s">
        <v>1170</v>
      </c>
      <c r="G26" s="322" t="s">
        <v>1171</v>
      </c>
    </row>
    <row r="27" spans="2:7" ht="16" customHeight="1" x14ac:dyDescent="0.2">
      <c r="B27" s="3"/>
      <c r="C27" s="38"/>
      <c r="D27" s="8">
        <v>24</v>
      </c>
      <c r="E27" s="230" t="s">
        <v>1172</v>
      </c>
      <c r="F27" s="8" t="s">
        <v>1173</v>
      </c>
      <c r="G27" s="322" t="s">
        <v>1174</v>
      </c>
    </row>
    <row r="28" spans="2:7" ht="16" customHeight="1" x14ac:dyDescent="0.2">
      <c r="B28" s="3"/>
      <c r="C28" s="38"/>
      <c r="D28" s="8">
        <v>25</v>
      </c>
      <c r="E28" s="230" t="s">
        <v>1175</v>
      </c>
      <c r="F28" s="8" t="s">
        <v>1176</v>
      </c>
      <c r="G28" s="322" t="s">
        <v>1177</v>
      </c>
    </row>
    <row r="29" spans="2:7" ht="16" customHeight="1" x14ac:dyDescent="0.2">
      <c r="B29" s="3"/>
      <c r="C29" s="38"/>
      <c r="D29" s="8">
        <v>26</v>
      </c>
      <c r="E29" s="230" t="s">
        <v>1178</v>
      </c>
      <c r="F29" s="8" t="s">
        <v>1179</v>
      </c>
      <c r="G29" s="322" t="s">
        <v>1180</v>
      </c>
    </row>
    <row r="30" spans="2:7" ht="16" customHeight="1" x14ac:dyDescent="0.2">
      <c r="B30" s="3"/>
      <c r="C30" s="38"/>
      <c r="D30" s="8">
        <v>27</v>
      </c>
      <c r="E30" s="230" t="s">
        <v>1181</v>
      </c>
      <c r="F30" s="8" t="s">
        <v>1182</v>
      </c>
      <c r="G30" s="322" t="s">
        <v>1183</v>
      </c>
    </row>
    <row r="31" spans="2:7" ht="16" customHeight="1" x14ac:dyDescent="0.2">
      <c r="B31" s="3"/>
      <c r="C31" s="38"/>
      <c r="D31" s="8">
        <v>28</v>
      </c>
      <c r="E31" s="230" t="s">
        <v>1184</v>
      </c>
      <c r="F31" s="8" t="s">
        <v>1185</v>
      </c>
      <c r="G31" s="322" t="s">
        <v>1185</v>
      </c>
    </row>
    <row r="32" spans="2:7" ht="16" customHeight="1" x14ac:dyDescent="0.2">
      <c r="B32" s="3"/>
      <c r="C32" s="38"/>
      <c r="D32" s="8">
        <v>29</v>
      </c>
      <c r="E32" s="230" t="s">
        <v>1186</v>
      </c>
      <c r="F32" s="8" t="s">
        <v>1187</v>
      </c>
      <c r="G32" s="322" t="s">
        <v>1188</v>
      </c>
    </row>
    <row r="33" spans="2:7" ht="16" customHeight="1" x14ac:dyDescent="0.2">
      <c r="B33" s="3"/>
      <c r="C33" s="38"/>
      <c r="D33" s="8">
        <v>30</v>
      </c>
      <c r="E33" s="230" t="s">
        <v>1189</v>
      </c>
      <c r="F33" s="8" t="s">
        <v>1190</v>
      </c>
      <c r="G33" s="322" t="s">
        <v>1191</v>
      </c>
    </row>
    <row r="34" spans="2:7" ht="16" customHeight="1" x14ac:dyDescent="0.2">
      <c r="B34" s="3"/>
      <c r="C34" s="38"/>
      <c r="D34" s="8">
        <v>31</v>
      </c>
      <c r="E34" s="230" t="s">
        <v>1192</v>
      </c>
      <c r="F34" s="8" t="s">
        <v>1193</v>
      </c>
      <c r="G34" s="322" t="s">
        <v>1194</v>
      </c>
    </row>
    <row r="35" spans="2:7" ht="16" customHeight="1" x14ac:dyDescent="0.2">
      <c r="B35" s="3"/>
      <c r="C35" s="261"/>
      <c r="D35" s="8">
        <v>32</v>
      </c>
      <c r="E35" s="230" t="s">
        <v>1195</v>
      </c>
      <c r="F35" s="37" t="s">
        <v>1196</v>
      </c>
      <c r="G35" s="323" t="s">
        <v>1197</v>
      </c>
    </row>
    <row r="36" spans="2:7" ht="16" customHeight="1" x14ac:dyDescent="0.2">
      <c r="B36" s="3"/>
      <c r="C36" s="38"/>
      <c r="D36" s="8">
        <v>33</v>
      </c>
      <c r="E36" s="230" t="s">
        <v>1198</v>
      </c>
      <c r="F36" s="8" t="s">
        <v>1199</v>
      </c>
      <c r="G36" s="322" t="s">
        <v>1200</v>
      </c>
    </row>
    <row r="37" spans="2:7" ht="16" customHeight="1" x14ac:dyDescent="0.2">
      <c r="B37" s="3"/>
      <c r="C37" s="38"/>
      <c r="D37" s="8">
        <v>34</v>
      </c>
      <c r="E37" s="230" t="s">
        <v>1201</v>
      </c>
      <c r="F37" s="8" t="s">
        <v>1202</v>
      </c>
      <c r="G37" s="322" t="s">
        <v>1203</v>
      </c>
    </row>
    <row r="38" spans="2:7" ht="16" customHeight="1" x14ac:dyDescent="0.2">
      <c r="B38" s="3"/>
      <c r="C38" s="38"/>
      <c r="D38" s="8">
        <v>35</v>
      </c>
      <c r="E38" s="230" t="s">
        <v>1204</v>
      </c>
      <c r="F38" s="8" t="s">
        <v>1205</v>
      </c>
      <c r="G38" s="322" t="s">
        <v>1206</v>
      </c>
    </row>
    <row r="39" spans="2:7" ht="16" customHeight="1" x14ac:dyDescent="0.2">
      <c r="B39" s="3"/>
      <c r="C39" s="38" t="s">
        <v>1102</v>
      </c>
      <c r="D39" s="8">
        <v>36</v>
      </c>
      <c r="E39" s="230" t="s">
        <v>1207</v>
      </c>
      <c r="F39" s="8" t="s">
        <v>1208</v>
      </c>
      <c r="G39" s="322" t="s">
        <v>1209</v>
      </c>
    </row>
    <row r="40" spans="2:7" ht="16" customHeight="1" x14ac:dyDescent="0.2">
      <c r="B40" s="3"/>
      <c r="C40" s="38"/>
      <c r="D40" s="8">
        <v>37</v>
      </c>
      <c r="E40" s="230" t="s">
        <v>1210</v>
      </c>
      <c r="F40" s="8" t="s">
        <v>1211</v>
      </c>
      <c r="G40" s="322" t="s">
        <v>1212</v>
      </c>
    </row>
    <row r="41" spans="2:7" ht="16" customHeight="1" x14ac:dyDescent="0.2">
      <c r="B41" s="3"/>
      <c r="C41" s="38"/>
      <c r="D41" s="8">
        <v>38</v>
      </c>
      <c r="E41" s="230" t="s">
        <v>1213</v>
      </c>
      <c r="F41" s="8" t="s">
        <v>1214</v>
      </c>
      <c r="G41" s="322" t="s">
        <v>1214</v>
      </c>
    </row>
    <row r="42" spans="2:7" ht="16" customHeight="1" x14ac:dyDescent="0.2">
      <c r="B42" s="3"/>
      <c r="C42" s="38"/>
      <c r="D42" s="8">
        <v>39</v>
      </c>
      <c r="E42" s="230" t="s">
        <v>1215</v>
      </c>
      <c r="F42" s="8" t="s">
        <v>1216</v>
      </c>
      <c r="G42" s="322" t="s">
        <v>1217</v>
      </c>
    </row>
    <row r="43" spans="2:7" ht="16" customHeight="1" x14ac:dyDescent="0.2">
      <c r="B43" s="3"/>
      <c r="C43" s="38"/>
      <c r="D43" s="8">
        <v>40</v>
      </c>
      <c r="E43" s="230" t="s">
        <v>1218</v>
      </c>
      <c r="F43" s="8" t="s">
        <v>1219</v>
      </c>
      <c r="G43" s="322" t="s">
        <v>1220</v>
      </c>
    </row>
    <row r="44" spans="2:7" ht="16" customHeight="1" x14ac:dyDescent="0.2">
      <c r="B44" s="3"/>
      <c r="C44" s="38"/>
      <c r="D44" s="8">
        <v>41</v>
      </c>
      <c r="E44" s="230" t="s">
        <v>1221</v>
      </c>
      <c r="F44" s="8" t="s">
        <v>1222</v>
      </c>
      <c r="G44" s="322" t="s">
        <v>1223</v>
      </c>
    </row>
    <row r="45" spans="2:7" ht="16" customHeight="1" x14ac:dyDescent="0.2">
      <c r="B45" s="3"/>
      <c r="C45" s="38"/>
      <c r="D45" s="8">
        <v>42</v>
      </c>
      <c r="E45" s="230" t="s">
        <v>1224</v>
      </c>
      <c r="F45" s="8" t="s">
        <v>1225</v>
      </c>
      <c r="G45" s="322" t="s">
        <v>1226</v>
      </c>
    </row>
    <row r="46" spans="2:7" ht="16" customHeight="1" x14ac:dyDescent="0.2">
      <c r="B46" s="3"/>
      <c r="C46" s="38"/>
      <c r="D46" s="8">
        <v>43</v>
      </c>
      <c r="E46" s="230" t="s">
        <v>1227</v>
      </c>
      <c r="F46" s="8" t="s">
        <v>1228</v>
      </c>
      <c r="G46" s="322" t="s">
        <v>1229</v>
      </c>
    </row>
    <row r="47" spans="2:7" ht="16" customHeight="1" x14ac:dyDescent="0.2">
      <c r="B47" s="3"/>
      <c r="C47" s="261"/>
      <c r="D47" s="8">
        <v>44</v>
      </c>
      <c r="E47" s="230" t="s">
        <v>1230</v>
      </c>
      <c r="F47" s="37" t="s">
        <v>1231</v>
      </c>
      <c r="G47" s="323" t="s">
        <v>1232</v>
      </c>
    </row>
    <row r="48" spans="2:7" ht="16" customHeight="1" x14ac:dyDescent="0.2">
      <c r="B48" s="3"/>
      <c r="C48" s="38"/>
      <c r="D48" s="8">
        <v>45</v>
      </c>
      <c r="E48" s="230" t="s">
        <v>1233</v>
      </c>
      <c r="F48" s="8" t="s">
        <v>1234</v>
      </c>
      <c r="G48" s="322" t="s">
        <v>1234</v>
      </c>
    </row>
    <row r="49" spans="2:7" ht="16" customHeight="1" x14ac:dyDescent="0.2">
      <c r="B49" s="3"/>
      <c r="C49" s="38"/>
      <c r="D49" s="8">
        <v>46</v>
      </c>
      <c r="E49" s="230" t="s">
        <v>1235</v>
      </c>
      <c r="F49" s="8" t="s">
        <v>1236</v>
      </c>
      <c r="G49" s="322" t="s">
        <v>1237</v>
      </c>
    </row>
    <row r="50" spans="2:7" ht="16" customHeight="1" x14ac:dyDescent="0.2">
      <c r="B50" s="3"/>
      <c r="C50" s="38"/>
      <c r="D50" s="8">
        <v>47</v>
      </c>
      <c r="E50" s="230" t="s">
        <v>1238</v>
      </c>
      <c r="F50" s="8" t="s">
        <v>1239</v>
      </c>
      <c r="G50" s="322" t="s">
        <v>1240</v>
      </c>
    </row>
    <row r="51" spans="2:7" ht="16" customHeight="1" x14ac:dyDescent="0.2">
      <c r="B51" s="3"/>
      <c r="C51" s="38"/>
      <c r="D51" s="8">
        <v>48</v>
      </c>
      <c r="E51" s="230" t="s">
        <v>1241</v>
      </c>
      <c r="F51" s="8" t="s">
        <v>1242</v>
      </c>
      <c r="G51" s="322" t="s">
        <v>1243</v>
      </c>
    </row>
    <row r="52" spans="2:7" ht="16" customHeight="1" x14ac:dyDescent="0.2">
      <c r="B52" s="3"/>
      <c r="C52" s="261"/>
      <c r="D52" s="8">
        <v>49</v>
      </c>
      <c r="E52" s="230" t="s">
        <v>1244</v>
      </c>
      <c r="F52" s="37" t="s">
        <v>1245</v>
      </c>
      <c r="G52" s="323" t="s">
        <v>1246</v>
      </c>
    </row>
    <row r="53" spans="2:7" ht="16" customHeight="1" x14ac:dyDescent="0.2">
      <c r="B53" s="3"/>
      <c r="C53" s="38"/>
      <c r="D53" s="8">
        <v>50</v>
      </c>
      <c r="E53" s="230" t="s">
        <v>1247</v>
      </c>
      <c r="F53" s="8" t="s">
        <v>1248</v>
      </c>
      <c r="G53" s="322" t="s">
        <v>1249</v>
      </c>
    </row>
    <row r="54" spans="2:7" ht="16" customHeight="1" x14ac:dyDescent="0.2">
      <c r="B54" s="3"/>
      <c r="C54" s="38" t="s">
        <v>1102</v>
      </c>
      <c r="D54" s="8">
        <v>51</v>
      </c>
      <c r="E54" s="230" t="s">
        <v>1250</v>
      </c>
      <c r="F54" s="8" t="s">
        <v>1251</v>
      </c>
      <c r="G54" s="322" t="s">
        <v>1252</v>
      </c>
    </row>
    <row r="55" spans="2:7" ht="16" customHeight="1" x14ac:dyDescent="0.2">
      <c r="B55" s="3"/>
      <c r="C55" s="38"/>
      <c r="D55" s="8">
        <v>52</v>
      </c>
      <c r="E55" s="230" t="s">
        <v>1253</v>
      </c>
      <c r="F55" s="8" t="s">
        <v>1254</v>
      </c>
      <c r="G55" s="322" t="s">
        <v>1255</v>
      </c>
    </row>
    <row r="56" spans="2:7" ht="16" customHeight="1" x14ac:dyDescent="0.2">
      <c r="B56" s="3"/>
      <c r="C56" s="38" t="s">
        <v>1102</v>
      </c>
      <c r="D56" s="8">
        <v>53</v>
      </c>
      <c r="E56" s="230" t="s">
        <v>1256</v>
      </c>
      <c r="F56" s="8" t="s">
        <v>1257</v>
      </c>
      <c r="G56" s="322" t="s">
        <v>1258</v>
      </c>
    </row>
    <row r="57" spans="2:7" ht="16" customHeight="1" x14ac:dyDescent="0.2">
      <c r="B57" s="3"/>
      <c r="C57" s="38"/>
      <c r="D57" s="8">
        <v>54</v>
      </c>
      <c r="E57" s="230" t="s">
        <v>1259</v>
      </c>
      <c r="F57" s="8" t="s">
        <v>1260</v>
      </c>
      <c r="G57" s="322" t="s">
        <v>1261</v>
      </c>
    </row>
    <row r="58" spans="2:7" ht="16" customHeight="1" x14ac:dyDescent="0.2">
      <c r="B58" s="3"/>
      <c r="C58" s="38"/>
      <c r="D58" s="8">
        <v>55</v>
      </c>
      <c r="E58" s="230" t="s">
        <v>1262</v>
      </c>
      <c r="F58" s="8" t="s">
        <v>1263</v>
      </c>
      <c r="G58" s="322" t="s">
        <v>1264</v>
      </c>
    </row>
    <row r="59" spans="2:7" ht="16" customHeight="1" x14ac:dyDescent="0.2">
      <c r="B59" s="3"/>
      <c r="C59" s="38"/>
      <c r="D59" s="8">
        <v>56</v>
      </c>
      <c r="E59" s="230" t="s">
        <v>1265</v>
      </c>
      <c r="F59" s="8" t="s">
        <v>1266</v>
      </c>
      <c r="G59" s="322" t="s">
        <v>1267</v>
      </c>
    </row>
    <row r="60" spans="2:7" ht="16" customHeight="1" x14ac:dyDescent="0.2">
      <c r="B60" s="3"/>
      <c r="C60" s="38"/>
      <c r="D60" s="8">
        <v>57</v>
      </c>
      <c r="E60" s="230" t="s">
        <v>1268</v>
      </c>
      <c r="F60" s="8" t="s">
        <v>1269</v>
      </c>
      <c r="G60" s="322" t="s">
        <v>1270</v>
      </c>
    </row>
    <row r="61" spans="2:7" ht="16" customHeight="1" x14ac:dyDescent="0.2">
      <c r="B61" s="3"/>
      <c r="C61" s="38"/>
      <c r="D61" s="8">
        <v>58</v>
      </c>
      <c r="E61" s="230" t="s">
        <v>1271</v>
      </c>
      <c r="F61" s="8" t="s">
        <v>1272</v>
      </c>
      <c r="G61" s="322" t="s">
        <v>1273</v>
      </c>
    </row>
    <row r="62" spans="2:7" ht="16" customHeight="1" x14ac:dyDescent="0.2">
      <c r="B62" s="3"/>
      <c r="C62" s="38"/>
      <c r="D62" s="8">
        <v>59</v>
      </c>
      <c r="E62" s="230" t="s">
        <v>1274</v>
      </c>
      <c r="F62" s="8" t="s">
        <v>1275</v>
      </c>
      <c r="G62" s="322" t="s">
        <v>1276</v>
      </c>
    </row>
    <row r="63" spans="2:7" ht="16" customHeight="1" x14ac:dyDescent="0.2">
      <c r="B63" s="3"/>
      <c r="C63" s="38"/>
      <c r="D63" s="8">
        <v>60</v>
      </c>
      <c r="E63" s="230" t="s">
        <v>1277</v>
      </c>
      <c r="F63" s="8" t="s">
        <v>1278</v>
      </c>
      <c r="G63" s="322" t="s">
        <v>1279</v>
      </c>
    </row>
    <row r="64" spans="2:7" ht="16" customHeight="1" x14ac:dyDescent="0.2">
      <c r="B64" s="3"/>
      <c r="C64" s="38"/>
      <c r="D64" s="8">
        <v>61</v>
      </c>
      <c r="E64" s="230" t="s">
        <v>1280</v>
      </c>
      <c r="F64" s="8" t="s">
        <v>1281</v>
      </c>
      <c r="G64" s="322" t="s">
        <v>1281</v>
      </c>
    </row>
    <row r="65" spans="2:7" ht="16" customHeight="1" x14ac:dyDescent="0.2">
      <c r="B65" s="3"/>
      <c r="C65" s="38"/>
      <c r="D65" s="8">
        <v>62</v>
      </c>
      <c r="E65" s="230" t="s">
        <v>1282</v>
      </c>
      <c r="F65" s="8" t="s">
        <v>1283</v>
      </c>
      <c r="G65" s="322" t="s">
        <v>1284</v>
      </c>
    </row>
    <row r="66" spans="2:7" ht="16" customHeight="1" x14ac:dyDescent="0.2">
      <c r="B66" s="3"/>
      <c r="C66" s="38"/>
      <c r="D66" s="8">
        <v>63</v>
      </c>
      <c r="E66" s="230" t="s">
        <v>1285</v>
      </c>
      <c r="F66" s="8" t="s">
        <v>1286</v>
      </c>
      <c r="G66" s="322" t="s">
        <v>1287</v>
      </c>
    </row>
    <row r="67" spans="2:7" ht="16" customHeight="1" x14ac:dyDescent="0.2">
      <c r="B67" s="3"/>
      <c r="C67" s="38"/>
      <c r="D67" s="8">
        <v>64</v>
      </c>
      <c r="E67" s="230" t="s">
        <v>1288</v>
      </c>
      <c r="F67" s="8" t="s">
        <v>1289</v>
      </c>
      <c r="G67" s="322" t="s">
        <v>1290</v>
      </c>
    </row>
    <row r="68" spans="2:7" ht="16" customHeight="1" x14ac:dyDescent="0.2">
      <c r="B68" s="3"/>
      <c r="C68" s="38"/>
      <c r="D68" s="8">
        <v>65</v>
      </c>
      <c r="E68" s="230" t="s">
        <v>1291</v>
      </c>
      <c r="F68" s="8" t="s">
        <v>1292</v>
      </c>
      <c r="G68" s="322" t="s">
        <v>1293</v>
      </c>
    </row>
    <row r="69" spans="2:7" ht="16" customHeight="1" x14ac:dyDescent="0.2">
      <c r="B69" s="3"/>
      <c r="C69" s="38"/>
      <c r="D69" s="8">
        <v>66</v>
      </c>
      <c r="E69" s="230" t="s">
        <v>1294</v>
      </c>
      <c r="F69" s="8" t="s">
        <v>1295</v>
      </c>
      <c r="G69" s="322" t="s">
        <v>1296</v>
      </c>
    </row>
    <row r="70" spans="2:7" ht="16" customHeight="1" x14ac:dyDescent="0.2">
      <c r="B70" s="3"/>
      <c r="C70" s="38"/>
      <c r="D70" s="8">
        <v>67</v>
      </c>
      <c r="E70" s="230" t="s">
        <v>1297</v>
      </c>
      <c r="F70" s="8" t="s">
        <v>1298</v>
      </c>
      <c r="G70" s="322" t="s">
        <v>1299</v>
      </c>
    </row>
    <row r="71" spans="2:7" ht="16" customHeight="1" x14ac:dyDescent="0.2">
      <c r="B71" s="3"/>
      <c r="C71" s="261"/>
      <c r="D71" s="8">
        <v>68</v>
      </c>
      <c r="E71" s="230" t="s">
        <v>1300</v>
      </c>
      <c r="F71" s="37" t="s">
        <v>1301</v>
      </c>
      <c r="G71" s="323" t="s">
        <v>1302</v>
      </c>
    </row>
    <row r="72" spans="2:7" ht="16" customHeight="1" x14ac:dyDescent="0.2">
      <c r="B72" s="3"/>
      <c r="C72" s="38"/>
      <c r="D72" s="8">
        <v>69</v>
      </c>
      <c r="E72" s="230" t="s">
        <v>1303</v>
      </c>
      <c r="F72" s="8" t="s">
        <v>1304</v>
      </c>
      <c r="G72" s="322" t="s">
        <v>1305</v>
      </c>
    </row>
    <row r="73" spans="2:7" ht="16" customHeight="1" x14ac:dyDescent="0.2">
      <c r="B73" s="3"/>
      <c r="C73" s="38" t="s">
        <v>1102</v>
      </c>
      <c r="D73" s="8">
        <v>70</v>
      </c>
      <c r="E73" s="230" t="s">
        <v>1306</v>
      </c>
      <c r="F73" s="8" t="s">
        <v>1307</v>
      </c>
      <c r="G73" s="322" t="s">
        <v>1308</v>
      </c>
    </row>
    <row r="74" spans="2:7" ht="16" customHeight="1" x14ac:dyDescent="0.2">
      <c r="B74" s="3"/>
      <c r="C74" s="38"/>
      <c r="D74" s="8">
        <v>71</v>
      </c>
      <c r="E74" s="230" t="s">
        <v>1309</v>
      </c>
      <c r="F74" s="8" t="s">
        <v>1310</v>
      </c>
      <c r="G74" s="322" t="s">
        <v>1311</v>
      </c>
    </row>
    <row r="75" spans="2:7" ht="16" customHeight="1" x14ac:dyDescent="0.2">
      <c r="B75" s="3"/>
      <c r="C75" s="38"/>
      <c r="D75" s="8">
        <v>72</v>
      </c>
      <c r="E75" s="230" t="s">
        <v>1312</v>
      </c>
      <c r="F75" s="8" t="s">
        <v>1313</v>
      </c>
      <c r="G75" s="322" t="s">
        <v>1314</v>
      </c>
    </row>
    <row r="76" spans="2:7" ht="16" customHeight="1" x14ac:dyDescent="0.2">
      <c r="B76" s="3"/>
      <c r="C76" s="38"/>
      <c r="D76" s="8">
        <v>73</v>
      </c>
      <c r="E76" s="230" t="s">
        <v>1315</v>
      </c>
      <c r="F76" s="8" t="s">
        <v>1316</v>
      </c>
      <c r="G76" s="322" t="s">
        <v>1317</v>
      </c>
    </row>
    <row r="77" spans="2:7" ht="16" customHeight="1" x14ac:dyDescent="0.2">
      <c r="B77" s="3"/>
      <c r="C77" s="38"/>
      <c r="D77" s="8">
        <v>74</v>
      </c>
      <c r="E77" s="230" t="s">
        <v>1318</v>
      </c>
      <c r="F77" s="8" t="s">
        <v>1319</v>
      </c>
      <c r="G77" s="322" t="s">
        <v>1320</v>
      </c>
    </row>
    <row r="78" spans="2:7" ht="16" customHeight="1" x14ac:dyDescent="0.2">
      <c r="B78" s="3"/>
      <c r="C78" s="38"/>
      <c r="D78" s="8">
        <v>75</v>
      </c>
      <c r="E78" s="230" t="s">
        <v>1321</v>
      </c>
      <c r="F78" s="8" t="s">
        <v>1322</v>
      </c>
      <c r="G78" s="322" t="s">
        <v>1323</v>
      </c>
    </row>
    <row r="79" spans="2:7" ht="16" customHeight="1" x14ac:dyDescent="0.2">
      <c r="B79" s="3"/>
      <c r="C79" s="38"/>
      <c r="D79" s="8">
        <v>76</v>
      </c>
      <c r="E79" s="230" t="s">
        <v>1324</v>
      </c>
      <c r="F79" s="8" t="s">
        <v>1325</v>
      </c>
      <c r="G79" s="322" t="s">
        <v>1326</v>
      </c>
    </row>
    <row r="80" spans="2:7" ht="16" customHeight="1" x14ac:dyDescent="0.2">
      <c r="B80" s="3"/>
      <c r="C80" s="261"/>
      <c r="D80" s="8">
        <v>77</v>
      </c>
      <c r="E80" s="230" t="s">
        <v>1327</v>
      </c>
      <c r="F80" s="37" t="s">
        <v>1328</v>
      </c>
      <c r="G80" s="323" t="s">
        <v>1329</v>
      </c>
    </row>
    <row r="81" spans="2:7" ht="16" customHeight="1" x14ac:dyDescent="0.2">
      <c r="B81" s="3"/>
      <c r="C81" s="38"/>
      <c r="D81" s="8">
        <v>78</v>
      </c>
      <c r="E81" s="230" t="s">
        <v>1330</v>
      </c>
      <c r="F81" s="8" t="s">
        <v>1331</v>
      </c>
      <c r="G81" s="322" t="s">
        <v>1332</v>
      </c>
    </row>
    <row r="82" spans="2:7" ht="16" customHeight="1" x14ac:dyDescent="0.2">
      <c r="B82" s="3"/>
      <c r="C82" s="38"/>
      <c r="D82" s="8">
        <v>79</v>
      </c>
      <c r="E82" s="230" t="s">
        <v>1333</v>
      </c>
      <c r="F82" s="8" t="s">
        <v>1334</v>
      </c>
      <c r="G82" s="322" t="s">
        <v>1335</v>
      </c>
    </row>
    <row r="83" spans="2:7" ht="16" customHeight="1" x14ac:dyDescent="0.2">
      <c r="B83" s="3"/>
      <c r="C83" s="38"/>
      <c r="D83" s="8">
        <v>80</v>
      </c>
      <c r="E83" s="230" t="s">
        <v>1336</v>
      </c>
      <c r="F83" s="8" t="s">
        <v>1337</v>
      </c>
      <c r="G83" s="322" t="s">
        <v>1338</v>
      </c>
    </row>
    <row r="84" spans="2:7" ht="16" customHeight="1" x14ac:dyDescent="0.2">
      <c r="B84" s="3"/>
      <c r="C84" s="38" t="s">
        <v>1102</v>
      </c>
      <c r="D84" s="8">
        <v>81</v>
      </c>
      <c r="E84" s="230" t="s">
        <v>1339</v>
      </c>
      <c r="F84" s="8" t="s">
        <v>1340</v>
      </c>
      <c r="G84" s="322" t="s">
        <v>1341</v>
      </c>
    </row>
    <row r="85" spans="2:7" ht="16" customHeight="1" x14ac:dyDescent="0.2">
      <c r="B85" s="3"/>
      <c r="C85" s="38"/>
      <c r="D85" s="8">
        <v>82</v>
      </c>
      <c r="E85" s="230" t="s">
        <v>1342</v>
      </c>
      <c r="F85" s="8" t="s">
        <v>1343</v>
      </c>
      <c r="G85" s="322" t="s">
        <v>1344</v>
      </c>
    </row>
    <row r="86" spans="2:7" ht="16" customHeight="1" x14ac:dyDescent="0.2">
      <c r="B86" s="3"/>
      <c r="C86" s="261"/>
      <c r="D86" s="8">
        <v>83</v>
      </c>
      <c r="E86" s="230" t="s">
        <v>1345</v>
      </c>
      <c r="F86" s="37" t="s">
        <v>1346</v>
      </c>
      <c r="G86" s="323" t="s">
        <v>1347</v>
      </c>
    </row>
    <row r="87" spans="2:7" ht="16" customHeight="1" x14ac:dyDescent="0.2">
      <c r="B87" s="3"/>
      <c r="C87" s="38"/>
      <c r="D87" s="8">
        <v>84</v>
      </c>
      <c r="E87" s="230" t="s">
        <v>1348</v>
      </c>
      <c r="F87" s="8" t="s">
        <v>1349</v>
      </c>
      <c r="G87" s="322" t="s">
        <v>1350</v>
      </c>
    </row>
    <row r="88" spans="2:7" ht="16" customHeight="1" x14ac:dyDescent="0.2">
      <c r="B88" s="3"/>
      <c r="C88" s="38"/>
      <c r="D88" s="8">
        <v>85</v>
      </c>
      <c r="E88" s="230" t="s">
        <v>1351</v>
      </c>
      <c r="F88" s="8" t="s">
        <v>1352</v>
      </c>
      <c r="G88" s="322" t="s">
        <v>1353</v>
      </c>
    </row>
    <row r="89" spans="2:7" ht="16" customHeight="1" x14ac:dyDescent="0.2">
      <c r="B89" s="3"/>
      <c r="C89" s="38"/>
      <c r="D89" s="8">
        <v>86</v>
      </c>
      <c r="E89" s="230" t="s">
        <v>1354</v>
      </c>
      <c r="F89" s="8" t="s">
        <v>1355</v>
      </c>
      <c r="G89" s="322" t="s">
        <v>1355</v>
      </c>
    </row>
    <row r="90" spans="2:7" ht="16" customHeight="1" x14ac:dyDescent="0.2">
      <c r="B90" s="3"/>
      <c r="C90" s="38"/>
      <c r="D90" s="8">
        <v>87</v>
      </c>
      <c r="E90" s="230" t="s">
        <v>1356</v>
      </c>
      <c r="F90" s="8" t="s">
        <v>1357</v>
      </c>
      <c r="G90" s="322" t="s">
        <v>1358</v>
      </c>
    </row>
    <row r="91" spans="2:7" ht="16" customHeight="1" x14ac:dyDescent="0.2">
      <c r="B91" s="3"/>
      <c r="C91" s="38"/>
      <c r="D91" s="8">
        <v>88</v>
      </c>
      <c r="E91" s="230" t="s">
        <v>1359</v>
      </c>
      <c r="F91" s="8" t="s">
        <v>1360</v>
      </c>
      <c r="G91" s="322" t="s">
        <v>1361</v>
      </c>
    </row>
    <row r="92" spans="2:7" ht="16" customHeight="1" x14ac:dyDescent="0.2">
      <c r="B92" s="3"/>
      <c r="C92" s="38"/>
      <c r="D92" s="8">
        <v>89</v>
      </c>
      <c r="E92" s="230" t="s">
        <v>1362</v>
      </c>
      <c r="F92" s="8" t="s">
        <v>1363</v>
      </c>
      <c r="G92" s="322" t="s">
        <v>1363</v>
      </c>
    </row>
    <row r="93" spans="2:7" ht="16" customHeight="1" x14ac:dyDescent="0.2">
      <c r="B93" s="3"/>
      <c r="C93" s="261"/>
      <c r="D93" s="8">
        <v>90</v>
      </c>
      <c r="E93" s="230" t="s">
        <v>1364</v>
      </c>
      <c r="F93" s="37" t="s">
        <v>1365</v>
      </c>
      <c r="G93" s="323" t="s">
        <v>1366</v>
      </c>
    </row>
    <row r="94" spans="2:7" x14ac:dyDescent="0.2">
      <c r="C94" s="6"/>
      <c r="D94" s="233"/>
      <c r="E94" s="233"/>
      <c r="F94" s="7"/>
      <c r="G94" s="324"/>
    </row>
  </sheetData>
  <sheetProtection algorithmName="SHA-512" hashValue="rINNvtYpfbBz8NdpSz4VOAIQUH6VRp+jNqHSXUmM1N6PZO6v1O7CeQnLJS5VCFbcs56bdi6LqUn2zHho7PRJyg==" saltValue="8+csQW7bZnjP4R0rNibFIQ==" spinCount="100000" sheet="1" selectLockedCells="1"/>
  <autoFilter ref="C3:F93" xr:uid="{00000000-0009-0000-0000-000002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
  <sheetViews>
    <sheetView topLeftCell="C1" zoomScale="117" zoomScaleNormal="90" workbookViewId="0">
      <selection activeCell="P106" sqref="P106"/>
    </sheetView>
  </sheetViews>
  <sheetFormatPr baseColWidth="10" defaultColWidth="10.6640625" defaultRowHeight="16" x14ac:dyDescent="0.2"/>
  <cols>
    <col min="1" max="1" width="10.6640625" style="339" customWidth="1"/>
    <col min="2" max="2" width="8.6640625" style="339" customWidth="1"/>
    <col min="3" max="3" width="27.6640625" style="339" customWidth="1"/>
    <col min="4" max="4" width="36.83203125" style="339" customWidth="1"/>
    <col min="5" max="6" width="28" style="339" customWidth="1"/>
    <col min="7" max="8" width="51.1640625" style="340" customWidth="1"/>
    <col min="9" max="10" width="22.6640625" style="339" customWidth="1"/>
    <col min="11" max="12" width="10.6640625" style="339" customWidth="1"/>
    <col min="13" max="13" width="44" style="339" customWidth="1"/>
    <col min="14" max="14" width="10.6640625" style="339" customWidth="1"/>
    <col min="15" max="16384" width="10.6640625" style="339"/>
  </cols>
  <sheetData>
    <row r="1" spans="1:14" ht="40.25" customHeight="1" thickBot="1" x14ac:dyDescent="0.25">
      <c r="C1" s="393"/>
      <c r="D1" s="393"/>
      <c r="E1" s="393"/>
      <c r="F1" s="393"/>
      <c r="G1" s="432"/>
      <c r="H1" s="432"/>
      <c r="I1" s="393"/>
      <c r="J1" s="393"/>
    </row>
    <row r="2" spans="1:14" ht="17" customHeight="1" thickBot="1" x14ac:dyDescent="0.25">
      <c r="A2" s="349"/>
      <c r="B2" s="431"/>
      <c r="C2" s="430" t="s">
        <v>1367</v>
      </c>
      <c r="D2" s="426" t="s">
        <v>1368</v>
      </c>
      <c r="E2" s="429" t="s">
        <v>1369</v>
      </c>
      <c r="F2" s="429" t="s">
        <v>1370</v>
      </c>
      <c r="G2" s="428" t="s">
        <v>1371</v>
      </c>
      <c r="H2" s="427" t="s">
        <v>1372</v>
      </c>
      <c r="I2" s="426" t="s">
        <v>1373</v>
      </c>
      <c r="J2" s="425" t="s">
        <v>1374</v>
      </c>
      <c r="K2" s="343"/>
    </row>
    <row r="3" spans="1:14" ht="32" customHeight="1" x14ac:dyDescent="0.2">
      <c r="A3" s="349"/>
      <c r="B3" s="645" t="s">
        <v>1375</v>
      </c>
      <c r="C3" s="424" t="s">
        <v>1376</v>
      </c>
      <c r="D3" s="419" t="s">
        <v>1377</v>
      </c>
      <c r="E3" s="379" t="s">
        <v>1378</v>
      </c>
      <c r="F3" s="423" t="s">
        <v>1379</v>
      </c>
      <c r="G3" s="422" t="s">
        <v>1380</v>
      </c>
      <c r="H3" s="417" t="s">
        <v>1381</v>
      </c>
      <c r="I3" s="421" t="s">
        <v>1382</v>
      </c>
      <c r="J3" s="420" t="s">
        <v>1382</v>
      </c>
      <c r="K3" s="343"/>
    </row>
    <row r="4" spans="1:14" ht="32" customHeight="1" x14ac:dyDescent="0.2">
      <c r="A4" s="349"/>
      <c r="B4" s="644"/>
      <c r="C4" s="392" t="s">
        <v>1383</v>
      </c>
      <c r="D4" s="419" t="s">
        <v>1384</v>
      </c>
      <c r="E4" s="379" t="s">
        <v>1384</v>
      </c>
      <c r="F4" s="378" t="s">
        <v>1385</v>
      </c>
      <c r="G4" s="418" t="s">
        <v>1386</v>
      </c>
      <c r="H4" s="417" t="s">
        <v>1387</v>
      </c>
      <c r="I4" s="416" t="s">
        <v>1388</v>
      </c>
      <c r="J4" s="415" t="s">
        <v>1388</v>
      </c>
      <c r="K4" s="343"/>
    </row>
    <row r="5" spans="1:14" ht="96" customHeight="1" x14ac:dyDescent="0.2">
      <c r="A5" s="349"/>
      <c r="B5" s="644"/>
      <c r="C5" s="392" t="s">
        <v>1389</v>
      </c>
      <c r="D5" s="419" t="s">
        <v>1390</v>
      </c>
      <c r="E5" s="379" t="s">
        <v>1391</v>
      </c>
      <c r="F5" s="378" t="s">
        <v>1392</v>
      </c>
      <c r="G5" s="418" t="s">
        <v>1393</v>
      </c>
      <c r="H5" s="417" t="s">
        <v>1394</v>
      </c>
      <c r="I5" s="416" t="s">
        <v>1395</v>
      </c>
      <c r="J5" s="415" t="s">
        <v>1396</v>
      </c>
      <c r="K5" s="343"/>
    </row>
    <row r="6" spans="1:14" ht="76.25" customHeight="1" x14ac:dyDescent="0.2">
      <c r="A6" s="349"/>
      <c r="B6" s="644"/>
      <c r="C6" s="392" t="s">
        <v>1397</v>
      </c>
      <c r="D6" s="414" t="s">
        <v>1398</v>
      </c>
      <c r="E6" s="413" t="s">
        <v>1399</v>
      </c>
      <c r="F6" s="413" t="s">
        <v>1400</v>
      </c>
      <c r="G6" s="377" t="s">
        <v>1401</v>
      </c>
      <c r="H6" s="411" t="s">
        <v>1402</v>
      </c>
      <c r="I6" s="375" t="s">
        <v>1403</v>
      </c>
      <c r="J6" s="374" t="s">
        <v>1404</v>
      </c>
      <c r="K6" s="343"/>
    </row>
    <row r="7" spans="1:14" ht="107" customHeight="1" x14ac:dyDescent="0.2">
      <c r="A7" s="349"/>
      <c r="B7" s="644"/>
      <c r="C7" s="392" t="s">
        <v>1405</v>
      </c>
      <c r="D7" s="412" t="s">
        <v>1406</v>
      </c>
      <c r="E7" s="378" t="s">
        <v>1407</v>
      </c>
      <c r="F7" s="378"/>
      <c r="G7" s="377" t="s">
        <v>1408</v>
      </c>
      <c r="H7" s="411" t="s">
        <v>1409</v>
      </c>
      <c r="I7" s="375" t="s">
        <v>1410</v>
      </c>
      <c r="J7" s="374" t="s">
        <v>1411</v>
      </c>
      <c r="K7" s="343"/>
    </row>
    <row r="8" spans="1:14" ht="76.25" customHeight="1" x14ac:dyDescent="0.2">
      <c r="A8" s="349"/>
      <c r="B8" s="644"/>
      <c r="C8" s="380" t="s">
        <v>1412</v>
      </c>
      <c r="D8" s="410" t="s">
        <v>1413</v>
      </c>
      <c r="E8" s="409" t="s">
        <v>1414</v>
      </c>
      <c r="F8" s="409" t="s">
        <v>1415</v>
      </c>
      <c r="G8" s="384" t="s">
        <v>1416</v>
      </c>
      <c r="H8" s="376" t="s">
        <v>1417</v>
      </c>
      <c r="I8" s="375" t="s">
        <v>1418</v>
      </c>
      <c r="J8" s="374" t="s">
        <v>1418</v>
      </c>
      <c r="K8" s="343"/>
    </row>
    <row r="9" spans="1:14" ht="50.25" customHeight="1" thickBot="1" x14ac:dyDescent="0.25">
      <c r="A9" s="349"/>
      <c r="B9" s="639"/>
      <c r="C9" s="408" t="s">
        <v>1419</v>
      </c>
      <c r="D9" s="407">
        <v>0.77</v>
      </c>
      <c r="E9" s="407">
        <v>0.77</v>
      </c>
      <c r="F9" s="407">
        <v>0.77</v>
      </c>
      <c r="G9" s="406" t="s">
        <v>1420</v>
      </c>
      <c r="H9" s="405" t="s">
        <v>1421</v>
      </c>
      <c r="I9" s="404">
        <v>0.2</v>
      </c>
      <c r="J9" s="403">
        <v>0.2</v>
      </c>
      <c r="K9" s="343"/>
    </row>
    <row r="10" spans="1:14" ht="32" customHeight="1" x14ac:dyDescent="0.2">
      <c r="A10" s="349"/>
      <c r="B10" s="645" t="s">
        <v>1422</v>
      </c>
      <c r="C10" s="402" t="s">
        <v>1423</v>
      </c>
      <c r="D10" s="401" t="s">
        <v>1424</v>
      </c>
      <c r="E10" s="400" t="s">
        <v>1424</v>
      </c>
      <c r="F10" s="400" t="s">
        <v>1425</v>
      </c>
      <c r="G10" s="399" t="s">
        <v>1426</v>
      </c>
      <c r="H10" s="398" t="s">
        <v>1427</v>
      </c>
      <c r="I10" s="397" t="s">
        <v>1428</v>
      </c>
      <c r="J10" s="396" t="s">
        <v>1428</v>
      </c>
      <c r="K10" s="343"/>
    </row>
    <row r="11" spans="1:14" ht="94.25" customHeight="1" x14ac:dyDescent="0.2">
      <c r="A11" s="349"/>
      <c r="B11" s="644"/>
      <c r="C11" s="387" t="s">
        <v>1429</v>
      </c>
      <c r="D11" s="386">
        <v>0</v>
      </c>
      <c r="E11" s="385">
        <v>0</v>
      </c>
      <c r="F11" s="385">
        <v>0</v>
      </c>
      <c r="G11" s="395" t="s">
        <v>1430</v>
      </c>
      <c r="H11" s="383" t="s">
        <v>1431</v>
      </c>
      <c r="I11" s="394">
        <v>5</v>
      </c>
      <c r="J11" s="381">
        <v>5</v>
      </c>
      <c r="K11" s="343"/>
      <c r="M11" s="393"/>
    </row>
    <row r="12" spans="1:14" ht="158" customHeight="1" x14ac:dyDescent="0.2">
      <c r="A12" s="349"/>
      <c r="B12" s="644"/>
      <c r="C12" s="392" t="s">
        <v>1432</v>
      </c>
      <c r="D12" s="391">
        <v>600000</v>
      </c>
      <c r="E12" s="390">
        <v>600000</v>
      </c>
      <c r="F12" s="390">
        <v>600000</v>
      </c>
      <c r="G12" s="377" t="s">
        <v>1433</v>
      </c>
      <c r="H12" s="389" t="s">
        <v>1434</v>
      </c>
      <c r="I12" s="382">
        <v>5000000</v>
      </c>
      <c r="J12" s="381">
        <v>5000000</v>
      </c>
      <c r="K12" s="343"/>
      <c r="L12" s="349"/>
      <c r="M12" s="388"/>
      <c r="N12" s="343"/>
    </row>
    <row r="13" spans="1:14" ht="116.25" customHeight="1" x14ac:dyDescent="0.2">
      <c r="A13" s="349"/>
      <c r="B13" s="644"/>
      <c r="C13" s="387" t="s">
        <v>1435</v>
      </c>
      <c r="D13" s="386">
        <v>375000</v>
      </c>
      <c r="E13" s="385">
        <v>375000</v>
      </c>
      <c r="F13" s="385">
        <v>375000</v>
      </c>
      <c r="G13" s="384" t="s">
        <v>1436</v>
      </c>
      <c r="H13" s="383" t="s">
        <v>1437</v>
      </c>
      <c r="I13" s="382">
        <v>1200000</v>
      </c>
      <c r="J13" s="381">
        <v>1200000</v>
      </c>
      <c r="K13" s="343"/>
      <c r="M13" s="341"/>
    </row>
    <row r="14" spans="1:14" ht="50.25" customHeight="1" x14ac:dyDescent="0.2">
      <c r="A14" s="349"/>
      <c r="B14" s="644"/>
      <c r="C14" s="380" t="s">
        <v>1438</v>
      </c>
      <c r="D14" s="433" t="s">
        <v>1439</v>
      </c>
      <c r="E14" s="434" t="s">
        <v>1440</v>
      </c>
      <c r="F14" s="378"/>
      <c r="G14" s="377" t="s">
        <v>1441</v>
      </c>
      <c r="H14" s="376" t="s">
        <v>1442</v>
      </c>
      <c r="I14" s="375" t="s">
        <v>1443</v>
      </c>
      <c r="J14" s="374" t="s">
        <v>1444</v>
      </c>
      <c r="K14" s="343"/>
    </row>
    <row r="15" spans="1:14" ht="50.25" customHeight="1" thickBot="1" x14ac:dyDescent="0.25">
      <c r="A15" s="349"/>
      <c r="B15" s="639"/>
      <c r="C15" s="373" t="s">
        <v>1445</v>
      </c>
      <c r="D15" s="435" t="s">
        <v>1446</v>
      </c>
      <c r="E15" s="436" t="s">
        <v>1447</v>
      </c>
      <c r="F15" s="372"/>
      <c r="G15" s="371" t="s">
        <v>1448</v>
      </c>
      <c r="H15" s="370" t="s">
        <v>1449</v>
      </c>
      <c r="I15" s="369" t="s">
        <v>1450</v>
      </c>
      <c r="J15" s="368" t="s">
        <v>1451</v>
      </c>
      <c r="K15" s="343"/>
    </row>
    <row r="16" spans="1:14" ht="5.75" customHeight="1" thickBot="1" x14ac:dyDescent="0.25">
      <c r="A16" s="349"/>
      <c r="B16" s="367"/>
      <c r="C16" s="366"/>
      <c r="D16" s="365"/>
      <c r="E16" s="364"/>
      <c r="F16" s="364"/>
      <c r="G16" s="363"/>
      <c r="H16" s="362"/>
      <c r="I16" s="361"/>
      <c r="J16" s="360"/>
      <c r="K16" s="343"/>
    </row>
    <row r="17" spans="1:11" ht="177" customHeight="1" thickBot="1" x14ac:dyDescent="0.25">
      <c r="A17" s="349"/>
      <c r="B17" s="643" t="s">
        <v>1452</v>
      </c>
      <c r="C17" s="359" t="s">
        <v>1453</v>
      </c>
      <c r="D17" s="358">
        <f>IF(E17="","",E17)</f>
        <v>0.61</v>
      </c>
      <c r="E17" s="352">
        <v>0.61</v>
      </c>
      <c r="F17" s="352">
        <v>0.61</v>
      </c>
      <c r="G17" s="357" t="s">
        <v>1454</v>
      </c>
      <c r="H17" s="356" t="s">
        <v>1455</v>
      </c>
      <c r="I17" s="317">
        <v>0.91</v>
      </c>
      <c r="J17" s="320">
        <v>0.91</v>
      </c>
      <c r="K17" s="343"/>
    </row>
    <row r="18" spans="1:11" ht="160" customHeight="1" x14ac:dyDescent="0.2">
      <c r="A18" s="349"/>
      <c r="B18" s="644"/>
      <c r="C18" s="355" t="s">
        <v>1456</v>
      </c>
      <c r="D18" s="354">
        <f>IF(E18="","",E18)</f>
        <v>0.56000000000000005</v>
      </c>
      <c r="E18" s="353">
        <v>0.56000000000000005</v>
      </c>
      <c r="F18" s="352">
        <v>0.61</v>
      </c>
      <c r="G18" s="351" t="s">
        <v>1457</v>
      </c>
      <c r="H18" s="350" t="s">
        <v>1458</v>
      </c>
      <c r="I18" s="318">
        <v>0.91</v>
      </c>
      <c r="J18" s="84">
        <v>0.91</v>
      </c>
      <c r="K18" s="343"/>
    </row>
    <row r="19" spans="1:11" ht="145" customHeight="1" thickBot="1" x14ac:dyDescent="0.25">
      <c r="A19" s="349"/>
      <c r="B19" s="639"/>
      <c r="C19" s="348" t="s">
        <v>1459</v>
      </c>
      <c r="D19" s="347">
        <f>IF(E19="","",E19)</f>
        <v>0.02</v>
      </c>
      <c r="E19" s="346">
        <v>0.02</v>
      </c>
      <c r="F19" s="346">
        <v>0.02</v>
      </c>
      <c r="G19" s="345" t="s">
        <v>1460</v>
      </c>
      <c r="H19" s="344" t="s">
        <v>1461</v>
      </c>
      <c r="I19" s="319">
        <v>0.05</v>
      </c>
      <c r="J19" s="85">
        <v>0.05</v>
      </c>
      <c r="K19" s="343"/>
    </row>
    <row r="20" spans="1:11" x14ac:dyDescent="0.2">
      <c r="B20" s="341"/>
      <c r="C20" s="341"/>
      <c r="D20" s="341"/>
      <c r="E20" s="341"/>
      <c r="F20" s="341"/>
      <c r="G20" s="342"/>
      <c r="H20" s="342"/>
      <c r="I20" s="341"/>
      <c r="J20" s="341"/>
    </row>
  </sheetData>
  <mergeCells count="3">
    <mergeCell ref="B17:B19"/>
    <mergeCell ref="B3:B9"/>
    <mergeCell ref="B10:B15"/>
  </mergeCells>
  <dataValidations count="2">
    <dataValidation type="list" showInputMessage="1" showErrorMessage="1" sqref="E7:F7" xr:uid="{00000000-0002-0000-0300-000000000000}">
      <formula1>"Pas encore en saison,Préparation du terrain,Semis / plantation,Début de la croissance,Croissance,Proche de la récolte,Récolte,Post-récolte"</formula1>
    </dataValidation>
    <dataValidation type="list" showInputMessage="1" showErrorMessage="1" sqref="E5:F5" xr:uid="{00000000-0002-0000-0300-000001000000}">
      <formula1>"l'année dernière, une année normale"</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41"/>
  <sheetViews>
    <sheetView tabSelected="1" workbookViewId="0">
      <selection activeCell="E8" sqref="E8"/>
    </sheetView>
  </sheetViews>
  <sheetFormatPr baseColWidth="10" defaultColWidth="8.83203125" defaultRowHeight="15" x14ac:dyDescent="0.2"/>
  <cols>
    <col min="1" max="1" width="22.6640625" bestFit="1" customWidth="1"/>
    <col min="2" max="2" width="15.1640625" bestFit="1" customWidth="1"/>
    <col min="3" max="3" width="11.1640625" bestFit="1" customWidth="1"/>
    <col min="4" max="4" width="10.6640625" bestFit="1" customWidth="1"/>
    <col min="5" max="5" width="11.1640625" bestFit="1" customWidth="1"/>
    <col min="6" max="6" width="10.6640625" bestFit="1" customWidth="1"/>
    <col min="7" max="7" width="9.83203125" bestFit="1" customWidth="1"/>
  </cols>
  <sheetData>
    <row r="1" spans="1:7" x14ac:dyDescent="0.2">
      <c r="A1" s="623" t="s">
        <v>1075</v>
      </c>
      <c r="B1" s="623" t="s">
        <v>1462</v>
      </c>
      <c r="C1" s="623" t="s">
        <v>1463</v>
      </c>
      <c r="D1" s="623" t="s">
        <v>1074</v>
      </c>
      <c r="E1" s="623" t="s">
        <v>1464</v>
      </c>
      <c r="F1" s="623" t="s">
        <v>1465</v>
      </c>
      <c r="G1" s="623" t="s">
        <v>1466</v>
      </c>
    </row>
    <row r="2" spans="1:7" x14ac:dyDescent="0.2">
      <c r="A2" t="s">
        <v>1467</v>
      </c>
      <c r="B2" t="s">
        <v>1468</v>
      </c>
      <c r="C2" t="s">
        <v>1469</v>
      </c>
      <c r="D2" t="s">
        <v>1470</v>
      </c>
      <c r="E2" t="s">
        <v>1471</v>
      </c>
      <c r="F2" t="s">
        <v>1472</v>
      </c>
      <c r="G2" t="s">
        <v>1473</v>
      </c>
    </row>
    <row r="3" spans="1:7" x14ac:dyDescent="0.2">
      <c r="A3" t="s">
        <v>1474</v>
      </c>
      <c r="B3" t="s">
        <v>1468</v>
      </c>
      <c r="C3" t="s">
        <v>1475</v>
      </c>
      <c r="D3" t="s">
        <v>1476</v>
      </c>
      <c r="E3" t="s">
        <v>1477</v>
      </c>
      <c r="F3" t="s">
        <v>1472</v>
      </c>
      <c r="G3" t="s">
        <v>1473</v>
      </c>
    </row>
    <row r="4" spans="1:7" x14ac:dyDescent="0.2">
      <c r="A4" t="s">
        <v>1478</v>
      </c>
      <c r="B4" t="s">
        <v>1468</v>
      </c>
      <c r="C4" t="s">
        <v>1479</v>
      </c>
      <c r="D4" t="s">
        <v>1476</v>
      </c>
      <c r="E4" t="s">
        <v>1477</v>
      </c>
      <c r="F4" t="s">
        <v>1472</v>
      </c>
      <c r="G4" t="s">
        <v>1473</v>
      </c>
    </row>
    <row r="5" spans="1:7" x14ac:dyDescent="0.2">
      <c r="A5" t="s">
        <v>1480</v>
      </c>
      <c r="B5" t="s">
        <v>1468</v>
      </c>
      <c r="C5" t="s">
        <v>1481</v>
      </c>
      <c r="D5" t="s">
        <v>1482</v>
      </c>
      <c r="E5" t="s">
        <v>1483</v>
      </c>
      <c r="F5" t="s">
        <v>1472</v>
      </c>
      <c r="G5" t="s">
        <v>1473</v>
      </c>
    </row>
    <row r="6" spans="1:7" x14ac:dyDescent="0.2">
      <c r="A6" t="s">
        <v>1484</v>
      </c>
      <c r="B6" t="s">
        <v>1468</v>
      </c>
      <c r="C6" t="s">
        <v>1485</v>
      </c>
      <c r="D6" t="s">
        <v>1482</v>
      </c>
      <c r="E6" t="s">
        <v>1483</v>
      </c>
      <c r="F6" t="s">
        <v>1472</v>
      </c>
      <c r="G6" t="s">
        <v>1473</v>
      </c>
    </row>
    <row r="7" spans="1:7" x14ac:dyDescent="0.2">
      <c r="A7" t="s">
        <v>1486</v>
      </c>
      <c r="B7" t="s">
        <v>1468</v>
      </c>
      <c r="C7" t="s">
        <v>1487</v>
      </c>
      <c r="D7" t="s">
        <v>1488</v>
      </c>
      <c r="E7" t="s">
        <v>1489</v>
      </c>
      <c r="F7" t="s">
        <v>1472</v>
      </c>
      <c r="G7" t="s">
        <v>1473</v>
      </c>
    </row>
    <row r="8" spans="1:7" x14ac:dyDescent="0.2">
      <c r="A8" t="s">
        <v>1490</v>
      </c>
      <c r="B8" t="s">
        <v>1468</v>
      </c>
      <c r="C8" t="s">
        <v>1491</v>
      </c>
      <c r="D8" t="s">
        <v>1492</v>
      </c>
      <c r="E8" t="s">
        <v>1493</v>
      </c>
      <c r="F8" t="s">
        <v>1472</v>
      </c>
      <c r="G8" t="s">
        <v>1473</v>
      </c>
    </row>
    <row r="9" spans="1:7" x14ac:dyDescent="0.2">
      <c r="A9" t="s">
        <v>1494</v>
      </c>
      <c r="B9" t="s">
        <v>1468</v>
      </c>
      <c r="C9" t="s">
        <v>1495</v>
      </c>
      <c r="D9" t="s">
        <v>1488</v>
      </c>
      <c r="E9" t="s">
        <v>1489</v>
      </c>
      <c r="F9" t="s">
        <v>1472</v>
      </c>
      <c r="G9" t="s">
        <v>1473</v>
      </c>
    </row>
    <row r="10" spans="1:7" x14ac:dyDescent="0.2">
      <c r="A10" t="s">
        <v>1496</v>
      </c>
      <c r="B10" t="s">
        <v>1468</v>
      </c>
      <c r="C10" t="s">
        <v>1497</v>
      </c>
      <c r="D10" t="s">
        <v>1498</v>
      </c>
      <c r="E10" t="s">
        <v>1499</v>
      </c>
      <c r="F10" t="s">
        <v>1472</v>
      </c>
      <c r="G10" t="s">
        <v>1473</v>
      </c>
    </row>
    <row r="11" spans="1:7" x14ac:dyDescent="0.2">
      <c r="A11" t="s">
        <v>1500</v>
      </c>
      <c r="B11" t="s">
        <v>1468</v>
      </c>
      <c r="C11" t="s">
        <v>1501</v>
      </c>
      <c r="D11" t="s">
        <v>1476</v>
      </c>
      <c r="E11" t="s">
        <v>1477</v>
      </c>
      <c r="F11" t="s">
        <v>1472</v>
      </c>
      <c r="G11" t="s">
        <v>1473</v>
      </c>
    </row>
    <row r="12" spans="1:7" x14ac:dyDescent="0.2">
      <c r="A12" t="s">
        <v>1502</v>
      </c>
      <c r="B12" t="s">
        <v>1468</v>
      </c>
      <c r="C12" t="s">
        <v>1503</v>
      </c>
      <c r="D12" t="s">
        <v>1470</v>
      </c>
      <c r="E12" t="s">
        <v>1471</v>
      </c>
      <c r="F12" t="s">
        <v>1472</v>
      </c>
      <c r="G12" t="s">
        <v>1473</v>
      </c>
    </row>
    <row r="13" spans="1:7" x14ac:dyDescent="0.2">
      <c r="A13" t="s">
        <v>1504</v>
      </c>
      <c r="B13" t="s">
        <v>1468</v>
      </c>
      <c r="C13" t="s">
        <v>1505</v>
      </c>
      <c r="D13" t="s">
        <v>1492</v>
      </c>
      <c r="E13" t="s">
        <v>1493</v>
      </c>
      <c r="F13" t="s">
        <v>1472</v>
      </c>
      <c r="G13" t="s">
        <v>1473</v>
      </c>
    </row>
    <row r="14" spans="1:7" x14ac:dyDescent="0.2">
      <c r="A14" t="s">
        <v>1506</v>
      </c>
      <c r="B14" t="s">
        <v>1468</v>
      </c>
      <c r="C14" t="s">
        <v>1507</v>
      </c>
      <c r="D14" t="s">
        <v>1488</v>
      </c>
      <c r="E14" t="s">
        <v>1489</v>
      </c>
      <c r="F14" t="s">
        <v>1472</v>
      </c>
      <c r="G14" t="s">
        <v>1473</v>
      </c>
    </row>
    <row r="15" spans="1:7" x14ac:dyDescent="0.2">
      <c r="A15" t="s">
        <v>1508</v>
      </c>
      <c r="B15" t="s">
        <v>1468</v>
      </c>
      <c r="C15" t="s">
        <v>1509</v>
      </c>
      <c r="D15" t="s">
        <v>1488</v>
      </c>
      <c r="E15" t="s">
        <v>1489</v>
      </c>
      <c r="F15" t="s">
        <v>1472</v>
      </c>
      <c r="G15" t="s">
        <v>1473</v>
      </c>
    </row>
    <row r="16" spans="1:7" x14ac:dyDescent="0.2">
      <c r="A16" t="s">
        <v>1510</v>
      </c>
      <c r="B16" t="s">
        <v>1468</v>
      </c>
      <c r="C16" t="s">
        <v>1511</v>
      </c>
      <c r="D16" t="s">
        <v>1476</v>
      </c>
      <c r="E16" t="s">
        <v>1477</v>
      </c>
      <c r="F16" t="s">
        <v>1472</v>
      </c>
      <c r="G16" t="s">
        <v>1473</v>
      </c>
    </row>
    <row r="17" spans="1:7" x14ac:dyDescent="0.2">
      <c r="A17" t="s">
        <v>1512</v>
      </c>
      <c r="B17" t="s">
        <v>1468</v>
      </c>
      <c r="C17" t="s">
        <v>1513</v>
      </c>
      <c r="D17" t="s">
        <v>1482</v>
      </c>
      <c r="E17" t="s">
        <v>1483</v>
      </c>
      <c r="F17" t="s">
        <v>1472</v>
      </c>
      <c r="G17" t="s">
        <v>1473</v>
      </c>
    </row>
    <row r="18" spans="1:7" x14ac:dyDescent="0.2">
      <c r="A18" t="s">
        <v>1514</v>
      </c>
      <c r="B18" t="s">
        <v>1468</v>
      </c>
      <c r="C18" t="s">
        <v>1515</v>
      </c>
      <c r="D18" t="s">
        <v>1482</v>
      </c>
      <c r="E18" t="s">
        <v>1483</v>
      </c>
      <c r="F18" t="s">
        <v>1472</v>
      </c>
      <c r="G18" t="s">
        <v>1473</v>
      </c>
    </row>
    <row r="19" spans="1:7" x14ac:dyDescent="0.2">
      <c r="A19" t="s">
        <v>1516</v>
      </c>
      <c r="B19" t="s">
        <v>1468</v>
      </c>
      <c r="C19" t="s">
        <v>1517</v>
      </c>
      <c r="D19" t="s">
        <v>1518</v>
      </c>
      <c r="E19" t="s">
        <v>1519</v>
      </c>
      <c r="F19" t="s">
        <v>1472</v>
      </c>
      <c r="G19" t="s">
        <v>1473</v>
      </c>
    </row>
    <row r="20" spans="1:7" x14ac:dyDescent="0.2">
      <c r="A20" t="s">
        <v>1520</v>
      </c>
      <c r="B20" t="s">
        <v>1468</v>
      </c>
      <c r="C20" t="s">
        <v>1521</v>
      </c>
      <c r="D20" t="s">
        <v>1470</v>
      </c>
      <c r="E20" t="s">
        <v>1471</v>
      </c>
      <c r="F20" t="s">
        <v>1472</v>
      </c>
      <c r="G20" t="s">
        <v>1473</v>
      </c>
    </row>
    <row r="21" spans="1:7" x14ac:dyDescent="0.2">
      <c r="A21" t="s">
        <v>1522</v>
      </c>
      <c r="B21" t="s">
        <v>1468</v>
      </c>
      <c r="C21" t="s">
        <v>1523</v>
      </c>
      <c r="D21" t="s">
        <v>1470</v>
      </c>
      <c r="E21" t="s">
        <v>1471</v>
      </c>
      <c r="F21" t="s">
        <v>1472</v>
      </c>
      <c r="G21" t="s">
        <v>1473</v>
      </c>
    </row>
    <row r="22" spans="1:7" x14ac:dyDescent="0.2">
      <c r="A22" t="s">
        <v>1524</v>
      </c>
      <c r="B22" t="s">
        <v>1468</v>
      </c>
      <c r="C22" t="s">
        <v>1525</v>
      </c>
      <c r="D22" t="s">
        <v>1526</v>
      </c>
      <c r="E22" t="s">
        <v>1527</v>
      </c>
      <c r="F22" t="s">
        <v>1472</v>
      </c>
      <c r="G22" t="s">
        <v>1473</v>
      </c>
    </row>
    <row r="23" spans="1:7" x14ac:dyDescent="0.2">
      <c r="A23" t="s">
        <v>1528</v>
      </c>
      <c r="B23" t="s">
        <v>1468</v>
      </c>
      <c r="C23" t="s">
        <v>1529</v>
      </c>
      <c r="D23" t="s">
        <v>1530</v>
      </c>
      <c r="E23" t="s">
        <v>1531</v>
      </c>
      <c r="F23" t="s">
        <v>1472</v>
      </c>
      <c r="G23" t="s">
        <v>1473</v>
      </c>
    </row>
    <row r="24" spans="1:7" x14ac:dyDescent="0.2">
      <c r="A24" t="s">
        <v>1532</v>
      </c>
      <c r="B24" t="s">
        <v>1468</v>
      </c>
      <c r="C24" t="s">
        <v>1533</v>
      </c>
      <c r="D24" t="s">
        <v>1482</v>
      </c>
      <c r="E24" t="s">
        <v>1483</v>
      </c>
      <c r="F24" t="s">
        <v>1472</v>
      </c>
      <c r="G24" t="s">
        <v>1473</v>
      </c>
    </row>
    <row r="25" spans="1:7" x14ac:dyDescent="0.2">
      <c r="A25" t="s">
        <v>1534</v>
      </c>
      <c r="B25" t="s">
        <v>1468</v>
      </c>
      <c r="C25" t="s">
        <v>1535</v>
      </c>
      <c r="D25" t="s">
        <v>1518</v>
      </c>
      <c r="E25" t="s">
        <v>1519</v>
      </c>
      <c r="F25" t="s">
        <v>1472</v>
      </c>
      <c r="G25" t="s">
        <v>1473</v>
      </c>
    </row>
    <row r="26" spans="1:7" x14ac:dyDescent="0.2">
      <c r="A26" t="s">
        <v>1536</v>
      </c>
      <c r="B26" t="s">
        <v>1468</v>
      </c>
      <c r="C26" t="s">
        <v>1537</v>
      </c>
      <c r="D26" t="s">
        <v>1518</v>
      </c>
      <c r="E26" t="s">
        <v>1519</v>
      </c>
      <c r="F26" t="s">
        <v>1472</v>
      </c>
      <c r="G26" t="s">
        <v>1473</v>
      </c>
    </row>
    <row r="27" spans="1:7" x14ac:dyDescent="0.2">
      <c r="A27" t="s">
        <v>1538</v>
      </c>
      <c r="B27" t="s">
        <v>1468</v>
      </c>
      <c r="C27" t="s">
        <v>1539</v>
      </c>
      <c r="D27" t="s">
        <v>1482</v>
      </c>
      <c r="E27" t="s">
        <v>1483</v>
      </c>
      <c r="F27" t="s">
        <v>1472</v>
      </c>
      <c r="G27" t="s">
        <v>1473</v>
      </c>
    </row>
    <row r="28" spans="1:7" x14ac:dyDescent="0.2">
      <c r="A28" t="s">
        <v>1540</v>
      </c>
      <c r="B28" t="s">
        <v>1468</v>
      </c>
      <c r="C28" t="s">
        <v>1541</v>
      </c>
      <c r="D28" t="s">
        <v>1518</v>
      </c>
      <c r="E28" t="s">
        <v>1519</v>
      </c>
      <c r="F28" t="s">
        <v>1472</v>
      </c>
      <c r="G28" t="s">
        <v>1473</v>
      </c>
    </row>
    <row r="29" spans="1:7" x14ac:dyDescent="0.2">
      <c r="A29" t="s">
        <v>1542</v>
      </c>
      <c r="B29" t="s">
        <v>1468</v>
      </c>
      <c r="C29" t="s">
        <v>1543</v>
      </c>
      <c r="D29" t="s">
        <v>1526</v>
      </c>
      <c r="E29" t="s">
        <v>1527</v>
      </c>
      <c r="F29" t="s">
        <v>1472</v>
      </c>
      <c r="G29" t="s">
        <v>1473</v>
      </c>
    </row>
    <row r="30" spans="1:7" x14ac:dyDescent="0.2">
      <c r="A30" t="s">
        <v>1544</v>
      </c>
      <c r="B30" t="s">
        <v>1468</v>
      </c>
      <c r="C30" t="s">
        <v>1545</v>
      </c>
      <c r="D30" t="s">
        <v>1492</v>
      </c>
      <c r="E30" t="s">
        <v>1493</v>
      </c>
      <c r="F30" t="s">
        <v>1472</v>
      </c>
      <c r="G30" t="s">
        <v>1473</v>
      </c>
    </row>
    <row r="31" spans="1:7" x14ac:dyDescent="0.2">
      <c r="A31" t="s">
        <v>1546</v>
      </c>
      <c r="B31" t="s">
        <v>1468</v>
      </c>
      <c r="C31" t="s">
        <v>1547</v>
      </c>
      <c r="D31" t="s">
        <v>1482</v>
      </c>
      <c r="E31" t="s">
        <v>1483</v>
      </c>
      <c r="F31" t="s">
        <v>1472</v>
      </c>
      <c r="G31" t="s">
        <v>1473</v>
      </c>
    </row>
    <row r="32" spans="1:7" x14ac:dyDescent="0.2">
      <c r="A32" t="s">
        <v>1548</v>
      </c>
      <c r="B32" t="s">
        <v>1468</v>
      </c>
      <c r="C32" t="s">
        <v>1549</v>
      </c>
      <c r="D32" t="s">
        <v>1492</v>
      </c>
      <c r="E32" t="s">
        <v>1493</v>
      </c>
      <c r="F32" t="s">
        <v>1472</v>
      </c>
      <c r="G32" t="s">
        <v>1473</v>
      </c>
    </row>
    <row r="33" spans="1:7" x14ac:dyDescent="0.2">
      <c r="A33" t="s">
        <v>1550</v>
      </c>
      <c r="B33" t="s">
        <v>1468</v>
      </c>
      <c r="C33" t="s">
        <v>1551</v>
      </c>
      <c r="D33" t="s">
        <v>1552</v>
      </c>
      <c r="E33" t="s">
        <v>1553</v>
      </c>
      <c r="F33" t="s">
        <v>1472</v>
      </c>
      <c r="G33" t="s">
        <v>1473</v>
      </c>
    </row>
    <row r="34" spans="1:7" x14ac:dyDescent="0.2">
      <c r="A34" t="s">
        <v>1554</v>
      </c>
      <c r="B34" t="s">
        <v>1468</v>
      </c>
      <c r="C34" t="s">
        <v>1555</v>
      </c>
      <c r="D34" t="s">
        <v>1518</v>
      </c>
      <c r="E34" t="s">
        <v>1519</v>
      </c>
      <c r="F34" t="s">
        <v>1472</v>
      </c>
      <c r="G34" t="s">
        <v>1473</v>
      </c>
    </row>
    <row r="35" spans="1:7" x14ac:dyDescent="0.2">
      <c r="A35" t="s">
        <v>1556</v>
      </c>
      <c r="B35" t="s">
        <v>1468</v>
      </c>
      <c r="C35" t="s">
        <v>1557</v>
      </c>
      <c r="D35" t="s">
        <v>1518</v>
      </c>
      <c r="E35" t="s">
        <v>1519</v>
      </c>
      <c r="F35" t="s">
        <v>1472</v>
      </c>
      <c r="G35" t="s">
        <v>1473</v>
      </c>
    </row>
    <row r="36" spans="1:7" x14ac:dyDescent="0.2">
      <c r="A36" t="s">
        <v>1558</v>
      </c>
      <c r="B36" t="s">
        <v>1468</v>
      </c>
      <c r="C36" t="s">
        <v>1559</v>
      </c>
      <c r="D36" t="s">
        <v>1518</v>
      </c>
      <c r="E36" t="s">
        <v>1519</v>
      </c>
      <c r="F36" t="s">
        <v>1472</v>
      </c>
      <c r="G36" t="s">
        <v>1473</v>
      </c>
    </row>
    <row r="37" spans="1:7" x14ac:dyDescent="0.2">
      <c r="A37" t="s">
        <v>1560</v>
      </c>
      <c r="B37" t="s">
        <v>1468</v>
      </c>
      <c r="C37" t="s">
        <v>1561</v>
      </c>
      <c r="D37" t="s">
        <v>1518</v>
      </c>
      <c r="E37" t="s">
        <v>1519</v>
      </c>
      <c r="F37" t="s">
        <v>1472</v>
      </c>
      <c r="G37" t="s">
        <v>1473</v>
      </c>
    </row>
    <row r="38" spans="1:7" x14ac:dyDescent="0.2">
      <c r="A38" t="s">
        <v>1562</v>
      </c>
      <c r="B38" t="s">
        <v>1468</v>
      </c>
      <c r="C38" t="s">
        <v>1563</v>
      </c>
      <c r="D38" t="s">
        <v>1552</v>
      </c>
      <c r="E38" t="s">
        <v>1553</v>
      </c>
      <c r="F38" t="s">
        <v>1472</v>
      </c>
      <c r="G38" t="s">
        <v>1473</v>
      </c>
    </row>
    <row r="39" spans="1:7" x14ac:dyDescent="0.2">
      <c r="A39" t="s">
        <v>1564</v>
      </c>
      <c r="B39" t="s">
        <v>1468</v>
      </c>
      <c r="C39" t="s">
        <v>1565</v>
      </c>
      <c r="D39" t="s">
        <v>1470</v>
      </c>
      <c r="E39" t="s">
        <v>1471</v>
      </c>
      <c r="F39" t="s">
        <v>1472</v>
      </c>
      <c r="G39" t="s">
        <v>1473</v>
      </c>
    </row>
    <row r="40" spans="1:7" x14ac:dyDescent="0.2">
      <c r="A40" t="s">
        <v>1566</v>
      </c>
      <c r="B40" t="s">
        <v>1468</v>
      </c>
      <c r="C40" t="s">
        <v>1567</v>
      </c>
      <c r="D40" t="s">
        <v>1552</v>
      </c>
      <c r="E40" t="s">
        <v>1553</v>
      </c>
      <c r="F40" t="s">
        <v>1472</v>
      </c>
      <c r="G40" t="s">
        <v>1473</v>
      </c>
    </row>
    <row r="41" spans="1:7" x14ac:dyDescent="0.2">
      <c r="A41" t="s">
        <v>1568</v>
      </c>
      <c r="B41" t="s">
        <v>1468</v>
      </c>
      <c r="C41" t="s">
        <v>1569</v>
      </c>
      <c r="D41" t="s">
        <v>1492</v>
      </c>
      <c r="E41" t="s">
        <v>1493</v>
      </c>
      <c r="F41" t="s">
        <v>1472</v>
      </c>
      <c r="G41" t="s">
        <v>1473</v>
      </c>
    </row>
    <row r="42" spans="1:7" x14ac:dyDescent="0.2">
      <c r="A42" t="s">
        <v>1570</v>
      </c>
      <c r="B42" t="s">
        <v>1468</v>
      </c>
      <c r="C42" t="s">
        <v>1571</v>
      </c>
      <c r="D42" t="s">
        <v>1492</v>
      </c>
      <c r="E42" t="s">
        <v>1493</v>
      </c>
      <c r="F42" t="s">
        <v>1472</v>
      </c>
      <c r="G42" t="s">
        <v>1473</v>
      </c>
    </row>
    <row r="43" spans="1:7" x14ac:dyDescent="0.2">
      <c r="A43" t="s">
        <v>1572</v>
      </c>
      <c r="B43" t="s">
        <v>1468</v>
      </c>
      <c r="C43" t="s">
        <v>1573</v>
      </c>
      <c r="D43" t="s">
        <v>1530</v>
      </c>
      <c r="E43" t="s">
        <v>1531</v>
      </c>
      <c r="F43" t="s">
        <v>1472</v>
      </c>
      <c r="G43" t="s">
        <v>1473</v>
      </c>
    </row>
    <row r="44" spans="1:7" x14ac:dyDescent="0.2">
      <c r="A44" t="s">
        <v>1574</v>
      </c>
      <c r="B44" t="s">
        <v>1468</v>
      </c>
      <c r="C44" t="s">
        <v>1575</v>
      </c>
      <c r="D44" t="s">
        <v>1476</v>
      </c>
      <c r="E44" t="s">
        <v>1477</v>
      </c>
      <c r="F44" t="s">
        <v>1472</v>
      </c>
      <c r="G44" t="s">
        <v>1473</v>
      </c>
    </row>
    <row r="45" spans="1:7" x14ac:dyDescent="0.2">
      <c r="A45" t="s">
        <v>1576</v>
      </c>
      <c r="B45" t="s">
        <v>1468</v>
      </c>
      <c r="C45" t="s">
        <v>1577</v>
      </c>
      <c r="D45" t="s">
        <v>1552</v>
      </c>
      <c r="E45" t="s">
        <v>1553</v>
      </c>
      <c r="F45" t="s">
        <v>1472</v>
      </c>
      <c r="G45" t="s">
        <v>1473</v>
      </c>
    </row>
    <row r="46" spans="1:7" x14ac:dyDescent="0.2">
      <c r="A46" t="s">
        <v>1578</v>
      </c>
      <c r="B46" t="s">
        <v>1468</v>
      </c>
      <c r="C46" t="s">
        <v>1579</v>
      </c>
      <c r="D46" t="s">
        <v>1476</v>
      </c>
      <c r="E46" t="s">
        <v>1477</v>
      </c>
      <c r="F46" t="s">
        <v>1472</v>
      </c>
      <c r="G46" t="s">
        <v>1473</v>
      </c>
    </row>
    <row r="47" spans="1:7" x14ac:dyDescent="0.2">
      <c r="A47" t="s">
        <v>1580</v>
      </c>
      <c r="B47" t="s">
        <v>1468</v>
      </c>
      <c r="C47" t="s">
        <v>1581</v>
      </c>
      <c r="D47" t="s">
        <v>1530</v>
      </c>
      <c r="E47" t="s">
        <v>1531</v>
      </c>
      <c r="F47" t="s">
        <v>1472</v>
      </c>
      <c r="G47" t="s">
        <v>1473</v>
      </c>
    </row>
    <row r="48" spans="1:7" x14ac:dyDescent="0.2">
      <c r="A48" t="s">
        <v>1582</v>
      </c>
      <c r="B48" t="s">
        <v>1468</v>
      </c>
      <c r="C48" t="s">
        <v>1583</v>
      </c>
      <c r="D48" t="s">
        <v>1476</v>
      </c>
      <c r="E48" t="s">
        <v>1477</v>
      </c>
      <c r="F48" t="s">
        <v>1472</v>
      </c>
      <c r="G48" t="s">
        <v>1473</v>
      </c>
    </row>
    <row r="49" spans="1:7" x14ac:dyDescent="0.2">
      <c r="A49" t="s">
        <v>1584</v>
      </c>
      <c r="B49" t="s">
        <v>1468</v>
      </c>
      <c r="C49" t="s">
        <v>1585</v>
      </c>
      <c r="D49" t="s">
        <v>1476</v>
      </c>
      <c r="E49" t="s">
        <v>1477</v>
      </c>
      <c r="F49" t="s">
        <v>1472</v>
      </c>
      <c r="G49" t="s">
        <v>1473</v>
      </c>
    </row>
    <row r="50" spans="1:7" x14ac:dyDescent="0.2">
      <c r="A50" t="s">
        <v>1586</v>
      </c>
      <c r="B50" t="s">
        <v>1468</v>
      </c>
      <c r="C50" t="s">
        <v>1587</v>
      </c>
      <c r="D50" t="s">
        <v>1526</v>
      </c>
      <c r="E50" t="s">
        <v>1527</v>
      </c>
      <c r="F50" t="s">
        <v>1472</v>
      </c>
      <c r="G50" t="s">
        <v>1473</v>
      </c>
    </row>
    <row r="51" spans="1:7" x14ac:dyDescent="0.2">
      <c r="A51" t="s">
        <v>1588</v>
      </c>
      <c r="B51" t="s">
        <v>1468</v>
      </c>
      <c r="C51" t="s">
        <v>1589</v>
      </c>
      <c r="D51" t="s">
        <v>1488</v>
      </c>
      <c r="E51" t="s">
        <v>1489</v>
      </c>
      <c r="F51" t="s">
        <v>1472</v>
      </c>
      <c r="G51" t="s">
        <v>1473</v>
      </c>
    </row>
    <row r="52" spans="1:7" x14ac:dyDescent="0.2">
      <c r="A52" t="s">
        <v>1590</v>
      </c>
      <c r="B52" t="s">
        <v>1468</v>
      </c>
      <c r="C52" t="s">
        <v>1591</v>
      </c>
      <c r="D52" t="s">
        <v>1552</v>
      </c>
      <c r="E52" t="s">
        <v>1553</v>
      </c>
      <c r="F52" t="s">
        <v>1472</v>
      </c>
      <c r="G52" t="s">
        <v>1473</v>
      </c>
    </row>
    <row r="53" spans="1:7" x14ac:dyDescent="0.2">
      <c r="A53" t="s">
        <v>1592</v>
      </c>
      <c r="B53" t="s">
        <v>1468</v>
      </c>
      <c r="C53" t="s">
        <v>1593</v>
      </c>
      <c r="D53" t="s">
        <v>1518</v>
      </c>
      <c r="E53" t="s">
        <v>1519</v>
      </c>
      <c r="F53" t="s">
        <v>1472</v>
      </c>
      <c r="G53" t="s">
        <v>1473</v>
      </c>
    </row>
    <row r="54" spans="1:7" x14ac:dyDescent="0.2">
      <c r="A54" t="s">
        <v>1594</v>
      </c>
      <c r="B54" t="s">
        <v>1468</v>
      </c>
      <c r="C54" t="s">
        <v>1595</v>
      </c>
      <c r="D54" t="s">
        <v>1470</v>
      </c>
      <c r="E54" t="s">
        <v>1471</v>
      </c>
      <c r="F54" t="s">
        <v>1472</v>
      </c>
      <c r="G54" t="s">
        <v>1473</v>
      </c>
    </row>
    <row r="55" spans="1:7" x14ac:dyDescent="0.2">
      <c r="A55" t="s">
        <v>1596</v>
      </c>
      <c r="B55" t="s">
        <v>1468</v>
      </c>
      <c r="C55" t="s">
        <v>1597</v>
      </c>
      <c r="D55" t="s">
        <v>1498</v>
      </c>
      <c r="E55" t="s">
        <v>1499</v>
      </c>
      <c r="F55" t="s">
        <v>1472</v>
      </c>
      <c r="G55" t="s">
        <v>1473</v>
      </c>
    </row>
    <row r="56" spans="1:7" x14ac:dyDescent="0.2">
      <c r="A56" t="s">
        <v>1598</v>
      </c>
      <c r="B56" t="s">
        <v>1468</v>
      </c>
      <c r="C56" t="s">
        <v>1599</v>
      </c>
      <c r="D56" t="s">
        <v>1482</v>
      </c>
      <c r="E56" t="s">
        <v>1483</v>
      </c>
      <c r="F56" t="s">
        <v>1472</v>
      </c>
      <c r="G56" t="s">
        <v>1473</v>
      </c>
    </row>
    <row r="57" spans="1:7" x14ac:dyDescent="0.2">
      <c r="A57" t="s">
        <v>1600</v>
      </c>
      <c r="B57" t="s">
        <v>1468</v>
      </c>
      <c r="C57" t="s">
        <v>1601</v>
      </c>
      <c r="D57" t="s">
        <v>1488</v>
      </c>
      <c r="E57" t="s">
        <v>1489</v>
      </c>
      <c r="F57" t="s">
        <v>1472</v>
      </c>
      <c r="G57" t="s">
        <v>1473</v>
      </c>
    </row>
    <row r="58" spans="1:7" x14ac:dyDescent="0.2">
      <c r="A58" t="s">
        <v>1602</v>
      </c>
      <c r="B58" t="s">
        <v>1468</v>
      </c>
      <c r="C58" t="s">
        <v>1603</v>
      </c>
      <c r="D58" t="s">
        <v>1518</v>
      </c>
      <c r="E58" t="s">
        <v>1519</v>
      </c>
      <c r="F58" t="s">
        <v>1472</v>
      </c>
      <c r="G58" t="s">
        <v>1473</v>
      </c>
    </row>
    <row r="59" spans="1:7" x14ac:dyDescent="0.2">
      <c r="A59" t="s">
        <v>1604</v>
      </c>
      <c r="B59" t="s">
        <v>1468</v>
      </c>
      <c r="C59" t="s">
        <v>1605</v>
      </c>
      <c r="D59" t="s">
        <v>1518</v>
      </c>
      <c r="E59" t="s">
        <v>1519</v>
      </c>
      <c r="F59" t="s">
        <v>1472</v>
      </c>
      <c r="G59" t="s">
        <v>1473</v>
      </c>
    </row>
    <row r="60" spans="1:7" x14ac:dyDescent="0.2">
      <c r="A60" t="s">
        <v>1606</v>
      </c>
      <c r="B60" t="s">
        <v>1468</v>
      </c>
      <c r="C60" t="s">
        <v>1607</v>
      </c>
      <c r="D60" t="s">
        <v>1530</v>
      </c>
      <c r="E60" t="s">
        <v>1531</v>
      </c>
      <c r="F60" t="s">
        <v>1472</v>
      </c>
      <c r="G60" t="s">
        <v>1473</v>
      </c>
    </row>
    <row r="61" spans="1:7" x14ac:dyDescent="0.2">
      <c r="A61" t="s">
        <v>1608</v>
      </c>
      <c r="B61" t="s">
        <v>1468</v>
      </c>
      <c r="C61" t="s">
        <v>1609</v>
      </c>
      <c r="D61" t="s">
        <v>1482</v>
      </c>
      <c r="E61" t="s">
        <v>1483</v>
      </c>
      <c r="F61" t="s">
        <v>1472</v>
      </c>
      <c r="G61" t="s">
        <v>1473</v>
      </c>
    </row>
    <row r="62" spans="1:7" x14ac:dyDescent="0.2">
      <c r="A62" t="s">
        <v>1610</v>
      </c>
      <c r="B62" t="s">
        <v>1468</v>
      </c>
      <c r="C62" t="s">
        <v>1611</v>
      </c>
      <c r="D62" t="s">
        <v>1482</v>
      </c>
      <c r="E62" t="s">
        <v>1483</v>
      </c>
      <c r="F62" t="s">
        <v>1472</v>
      </c>
      <c r="G62" t="s">
        <v>1473</v>
      </c>
    </row>
    <row r="63" spans="1:7" x14ac:dyDescent="0.2">
      <c r="A63" t="s">
        <v>1612</v>
      </c>
      <c r="B63" t="s">
        <v>1468</v>
      </c>
      <c r="C63" t="s">
        <v>1613</v>
      </c>
      <c r="D63" t="s">
        <v>1492</v>
      </c>
      <c r="E63" t="s">
        <v>1493</v>
      </c>
      <c r="F63" t="s">
        <v>1472</v>
      </c>
      <c r="G63" t="s">
        <v>1473</v>
      </c>
    </row>
    <row r="64" spans="1:7" x14ac:dyDescent="0.2">
      <c r="A64" t="s">
        <v>1614</v>
      </c>
      <c r="B64" t="s">
        <v>1468</v>
      </c>
      <c r="C64" t="s">
        <v>1615</v>
      </c>
      <c r="D64" t="s">
        <v>1488</v>
      </c>
      <c r="E64" t="s">
        <v>1489</v>
      </c>
      <c r="F64" t="s">
        <v>1472</v>
      </c>
      <c r="G64" t="s">
        <v>1473</v>
      </c>
    </row>
    <row r="65" spans="1:7" x14ac:dyDescent="0.2">
      <c r="A65" t="s">
        <v>1616</v>
      </c>
      <c r="B65" t="s">
        <v>1468</v>
      </c>
      <c r="C65" t="s">
        <v>1617</v>
      </c>
      <c r="D65" t="s">
        <v>1518</v>
      </c>
      <c r="E65" t="s">
        <v>1519</v>
      </c>
      <c r="F65" t="s">
        <v>1472</v>
      </c>
      <c r="G65" t="s">
        <v>1473</v>
      </c>
    </row>
    <row r="66" spans="1:7" x14ac:dyDescent="0.2">
      <c r="A66" t="s">
        <v>1618</v>
      </c>
      <c r="B66" t="s">
        <v>1468</v>
      </c>
      <c r="C66" t="s">
        <v>1619</v>
      </c>
      <c r="D66" t="s">
        <v>1498</v>
      </c>
      <c r="E66" t="s">
        <v>1499</v>
      </c>
      <c r="F66" t="s">
        <v>1472</v>
      </c>
      <c r="G66" t="s">
        <v>1473</v>
      </c>
    </row>
    <row r="67" spans="1:7" x14ac:dyDescent="0.2">
      <c r="A67" t="s">
        <v>1620</v>
      </c>
      <c r="B67" t="s">
        <v>1468</v>
      </c>
      <c r="C67" t="s">
        <v>1621</v>
      </c>
      <c r="D67" t="s">
        <v>1526</v>
      </c>
      <c r="E67" t="s">
        <v>1527</v>
      </c>
      <c r="F67" t="s">
        <v>1472</v>
      </c>
      <c r="G67" t="s">
        <v>1473</v>
      </c>
    </row>
    <row r="68" spans="1:7" x14ac:dyDescent="0.2">
      <c r="A68" t="s">
        <v>1622</v>
      </c>
      <c r="B68" t="s">
        <v>1468</v>
      </c>
      <c r="C68" t="s">
        <v>1623</v>
      </c>
      <c r="D68" t="s">
        <v>1470</v>
      </c>
      <c r="E68" t="s">
        <v>1471</v>
      </c>
      <c r="F68" t="s">
        <v>1472</v>
      </c>
      <c r="G68" t="s">
        <v>1473</v>
      </c>
    </row>
    <row r="69" spans="1:7" x14ac:dyDescent="0.2">
      <c r="A69" t="s">
        <v>1624</v>
      </c>
      <c r="B69" t="s">
        <v>1468</v>
      </c>
      <c r="C69" t="s">
        <v>1625</v>
      </c>
      <c r="D69" t="s">
        <v>1470</v>
      </c>
      <c r="E69" t="s">
        <v>1471</v>
      </c>
      <c r="F69" t="s">
        <v>1472</v>
      </c>
      <c r="G69" t="s">
        <v>1473</v>
      </c>
    </row>
    <row r="70" spans="1:7" x14ac:dyDescent="0.2">
      <c r="A70" t="s">
        <v>1626</v>
      </c>
      <c r="B70" t="s">
        <v>1468</v>
      </c>
      <c r="C70" t="s">
        <v>1627</v>
      </c>
      <c r="D70" t="s">
        <v>1552</v>
      </c>
      <c r="E70" t="s">
        <v>1553</v>
      </c>
      <c r="F70" t="s">
        <v>1472</v>
      </c>
      <c r="G70" t="s">
        <v>1473</v>
      </c>
    </row>
    <row r="71" spans="1:7" x14ac:dyDescent="0.2">
      <c r="A71" t="s">
        <v>1628</v>
      </c>
      <c r="B71" t="s">
        <v>1468</v>
      </c>
      <c r="C71" t="s">
        <v>1629</v>
      </c>
      <c r="D71" t="s">
        <v>1492</v>
      </c>
      <c r="E71" t="s">
        <v>1493</v>
      </c>
      <c r="F71" t="s">
        <v>1472</v>
      </c>
      <c r="G71" t="s">
        <v>1473</v>
      </c>
    </row>
    <row r="72" spans="1:7" x14ac:dyDescent="0.2">
      <c r="A72" t="s">
        <v>1630</v>
      </c>
      <c r="B72" t="s">
        <v>1468</v>
      </c>
      <c r="C72" t="s">
        <v>1631</v>
      </c>
      <c r="D72" t="s">
        <v>1530</v>
      </c>
      <c r="E72" t="s">
        <v>1531</v>
      </c>
      <c r="F72" t="s">
        <v>1472</v>
      </c>
      <c r="G72" t="s">
        <v>1473</v>
      </c>
    </row>
    <row r="73" spans="1:7" x14ac:dyDescent="0.2">
      <c r="A73" t="s">
        <v>1632</v>
      </c>
      <c r="B73" t="s">
        <v>1468</v>
      </c>
      <c r="C73" t="s">
        <v>1633</v>
      </c>
      <c r="D73" t="s">
        <v>1526</v>
      </c>
      <c r="E73" t="s">
        <v>1527</v>
      </c>
      <c r="F73" t="s">
        <v>1472</v>
      </c>
      <c r="G73" t="s">
        <v>1473</v>
      </c>
    </row>
    <row r="74" spans="1:7" x14ac:dyDescent="0.2">
      <c r="A74" t="s">
        <v>1634</v>
      </c>
      <c r="B74" t="s">
        <v>1468</v>
      </c>
      <c r="C74" t="s">
        <v>1635</v>
      </c>
      <c r="D74" t="s">
        <v>1498</v>
      </c>
      <c r="E74" t="s">
        <v>1499</v>
      </c>
      <c r="F74" t="s">
        <v>1472</v>
      </c>
      <c r="G74" t="s">
        <v>1473</v>
      </c>
    </row>
    <row r="75" spans="1:7" x14ac:dyDescent="0.2">
      <c r="A75" t="s">
        <v>1636</v>
      </c>
      <c r="B75" t="s">
        <v>1468</v>
      </c>
      <c r="C75" t="s">
        <v>1637</v>
      </c>
      <c r="D75" t="s">
        <v>1482</v>
      </c>
      <c r="E75" t="s">
        <v>1483</v>
      </c>
      <c r="F75" t="s">
        <v>1472</v>
      </c>
      <c r="G75" t="s">
        <v>1473</v>
      </c>
    </row>
    <row r="76" spans="1:7" x14ac:dyDescent="0.2">
      <c r="A76" t="s">
        <v>1638</v>
      </c>
      <c r="B76" t="s">
        <v>1468</v>
      </c>
      <c r="C76" t="s">
        <v>1639</v>
      </c>
      <c r="D76" t="s">
        <v>1488</v>
      </c>
      <c r="E76" t="s">
        <v>1489</v>
      </c>
      <c r="F76" t="s">
        <v>1472</v>
      </c>
      <c r="G76" t="s">
        <v>1473</v>
      </c>
    </row>
    <row r="77" spans="1:7" x14ac:dyDescent="0.2">
      <c r="A77" t="s">
        <v>1640</v>
      </c>
      <c r="B77" t="s">
        <v>1468</v>
      </c>
      <c r="C77" t="s">
        <v>1641</v>
      </c>
      <c r="D77" t="s">
        <v>1470</v>
      </c>
      <c r="E77" t="s">
        <v>1471</v>
      </c>
      <c r="F77" t="s">
        <v>1472</v>
      </c>
      <c r="G77" t="s">
        <v>1473</v>
      </c>
    </row>
    <row r="78" spans="1:7" x14ac:dyDescent="0.2">
      <c r="A78" t="s">
        <v>1642</v>
      </c>
      <c r="B78" t="s">
        <v>1468</v>
      </c>
      <c r="C78" t="s">
        <v>1643</v>
      </c>
      <c r="D78" t="s">
        <v>1492</v>
      </c>
      <c r="E78" t="s">
        <v>1493</v>
      </c>
      <c r="F78" t="s">
        <v>1472</v>
      </c>
      <c r="G78" t="s">
        <v>1473</v>
      </c>
    </row>
    <row r="79" spans="1:7" x14ac:dyDescent="0.2">
      <c r="A79" t="s">
        <v>1644</v>
      </c>
      <c r="B79" t="s">
        <v>1468</v>
      </c>
      <c r="C79" t="s">
        <v>1645</v>
      </c>
      <c r="D79" t="s">
        <v>1470</v>
      </c>
      <c r="E79" t="s">
        <v>1471</v>
      </c>
      <c r="F79" t="s">
        <v>1472</v>
      </c>
      <c r="G79" t="s">
        <v>1473</v>
      </c>
    </row>
    <row r="80" spans="1:7" x14ac:dyDescent="0.2">
      <c r="A80" t="s">
        <v>1646</v>
      </c>
      <c r="B80" t="s">
        <v>1468</v>
      </c>
      <c r="C80" t="s">
        <v>1647</v>
      </c>
      <c r="D80" t="s">
        <v>1518</v>
      </c>
      <c r="E80" t="s">
        <v>1519</v>
      </c>
      <c r="F80" t="s">
        <v>1472</v>
      </c>
      <c r="G80" t="s">
        <v>1473</v>
      </c>
    </row>
    <row r="81" spans="1:7" x14ac:dyDescent="0.2">
      <c r="A81" t="s">
        <v>1648</v>
      </c>
      <c r="B81" t="s">
        <v>1468</v>
      </c>
      <c r="C81" t="s">
        <v>1649</v>
      </c>
      <c r="D81" t="s">
        <v>1498</v>
      </c>
      <c r="E81" t="s">
        <v>1499</v>
      </c>
      <c r="F81" t="s">
        <v>1472</v>
      </c>
      <c r="G81" t="s">
        <v>1473</v>
      </c>
    </row>
    <row r="82" spans="1:7" x14ac:dyDescent="0.2">
      <c r="A82" t="s">
        <v>1650</v>
      </c>
      <c r="B82" t="s">
        <v>1468</v>
      </c>
      <c r="C82" t="s">
        <v>1651</v>
      </c>
      <c r="D82" t="s">
        <v>1492</v>
      </c>
      <c r="E82" t="s">
        <v>1493</v>
      </c>
      <c r="F82" t="s">
        <v>1472</v>
      </c>
      <c r="G82" t="s">
        <v>1473</v>
      </c>
    </row>
    <row r="83" spans="1:7" x14ac:dyDescent="0.2">
      <c r="A83" t="s">
        <v>1652</v>
      </c>
      <c r="B83" t="s">
        <v>1468</v>
      </c>
      <c r="C83" t="s">
        <v>1653</v>
      </c>
      <c r="D83" t="s">
        <v>1552</v>
      </c>
      <c r="E83" t="s">
        <v>1553</v>
      </c>
      <c r="F83" t="s">
        <v>1472</v>
      </c>
      <c r="G83" t="s">
        <v>1473</v>
      </c>
    </row>
    <row r="84" spans="1:7" x14ac:dyDescent="0.2">
      <c r="A84" t="s">
        <v>1654</v>
      </c>
      <c r="B84" t="s">
        <v>1468</v>
      </c>
      <c r="C84" t="s">
        <v>1655</v>
      </c>
      <c r="D84" t="s">
        <v>1470</v>
      </c>
      <c r="E84" t="s">
        <v>1471</v>
      </c>
      <c r="F84" t="s">
        <v>1472</v>
      </c>
      <c r="G84" t="s">
        <v>1473</v>
      </c>
    </row>
    <row r="85" spans="1:7" x14ac:dyDescent="0.2">
      <c r="A85" t="s">
        <v>1656</v>
      </c>
      <c r="B85" t="s">
        <v>1468</v>
      </c>
      <c r="C85" t="s">
        <v>1657</v>
      </c>
      <c r="D85" t="s">
        <v>1492</v>
      </c>
      <c r="E85" t="s">
        <v>1493</v>
      </c>
      <c r="F85" t="s">
        <v>1472</v>
      </c>
      <c r="G85" t="s">
        <v>1473</v>
      </c>
    </row>
    <row r="86" spans="1:7" x14ac:dyDescent="0.2">
      <c r="A86" t="s">
        <v>1658</v>
      </c>
      <c r="B86" t="s">
        <v>1468</v>
      </c>
      <c r="C86" t="s">
        <v>1659</v>
      </c>
      <c r="D86" t="s">
        <v>1476</v>
      </c>
      <c r="E86" t="s">
        <v>1477</v>
      </c>
      <c r="F86" t="s">
        <v>1472</v>
      </c>
      <c r="G86" t="s">
        <v>1473</v>
      </c>
    </row>
    <row r="87" spans="1:7" x14ac:dyDescent="0.2">
      <c r="A87" t="s">
        <v>1660</v>
      </c>
      <c r="B87" t="s">
        <v>1468</v>
      </c>
      <c r="C87" t="s">
        <v>1661</v>
      </c>
      <c r="D87" t="s">
        <v>1552</v>
      </c>
      <c r="E87" t="s">
        <v>1553</v>
      </c>
      <c r="F87" t="s">
        <v>1472</v>
      </c>
      <c r="G87" t="s">
        <v>1473</v>
      </c>
    </row>
    <row r="88" spans="1:7" x14ac:dyDescent="0.2">
      <c r="A88" t="s">
        <v>1662</v>
      </c>
      <c r="B88" t="s">
        <v>1468</v>
      </c>
      <c r="C88" t="s">
        <v>1663</v>
      </c>
      <c r="D88" t="s">
        <v>1492</v>
      </c>
      <c r="E88" t="s">
        <v>1493</v>
      </c>
      <c r="F88" t="s">
        <v>1472</v>
      </c>
      <c r="G88" t="s">
        <v>1473</v>
      </c>
    </row>
    <row r="89" spans="1:7" x14ac:dyDescent="0.2">
      <c r="A89" t="s">
        <v>1664</v>
      </c>
      <c r="B89" t="s">
        <v>1468</v>
      </c>
      <c r="C89" t="s">
        <v>1665</v>
      </c>
      <c r="D89" t="s">
        <v>1476</v>
      </c>
      <c r="E89" t="s">
        <v>1477</v>
      </c>
      <c r="F89" t="s">
        <v>1472</v>
      </c>
      <c r="G89" t="s">
        <v>1473</v>
      </c>
    </row>
    <row r="90" spans="1:7" x14ac:dyDescent="0.2">
      <c r="A90" t="s">
        <v>1666</v>
      </c>
      <c r="B90" t="s">
        <v>1468</v>
      </c>
      <c r="C90" t="s">
        <v>1667</v>
      </c>
      <c r="D90" t="s">
        <v>1470</v>
      </c>
      <c r="E90" t="s">
        <v>1471</v>
      </c>
      <c r="F90" t="s">
        <v>1472</v>
      </c>
      <c r="G90" t="s">
        <v>1473</v>
      </c>
    </row>
    <row r="91" spans="1:7" x14ac:dyDescent="0.2">
      <c r="A91" t="s">
        <v>1668</v>
      </c>
      <c r="B91" t="s">
        <v>1468</v>
      </c>
      <c r="C91" t="s">
        <v>1669</v>
      </c>
      <c r="D91" t="s">
        <v>1518</v>
      </c>
      <c r="E91" t="s">
        <v>1519</v>
      </c>
      <c r="F91" t="s">
        <v>1472</v>
      </c>
      <c r="G91" t="s">
        <v>1473</v>
      </c>
    </row>
    <row r="92" spans="1:7" x14ac:dyDescent="0.2">
      <c r="A92" t="s">
        <v>1670</v>
      </c>
      <c r="B92" t="s">
        <v>1468</v>
      </c>
      <c r="C92" t="s">
        <v>1671</v>
      </c>
      <c r="D92" t="s">
        <v>1470</v>
      </c>
      <c r="E92" t="s">
        <v>1471</v>
      </c>
      <c r="F92" t="s">
        <v>1472</v>
      </c>
      <c r="G92" t="s">
        <v>1473</v>
      </c>
    </row>
    <row r="93" spans="1:7" x14ac:dyDescent="0.2">
      <c r="A93" t="s">
        <v>1672</v>
      </c>
      <c r="B93" t="s">
        <v>1468</v>
      </c>
      <c r="C93" t="s">
        <v>1673</v>
      </c>
      <c r="D93" t="s">
        <v>1470</v>
      </c>
      <c r="E93" t="s">
        <v>1471</v>
      </c>
      <c r="F93" t="s">
        <v>1472</v>
      </c>
      <c r="G93" t="s">
        <v>1473</v>
      </c>
    </row>
    <row r="94" spans="1:7" x14ac:dyDescent="0.2">
      <c r="A94" t="s">
        <v>1674</v>
      </c>
      <c r="B94" t="s">
        <v>1468</v>
      </c>
      <c r="C94" t="s">
        <v>1675</v>
      </c>
      <c r="D94" t="s">
        <v>1492</v>
      </c>
      <c r="E94" t="s">
        <v>1493</v>
      </c>
      <c r="F94" t="s">
        <v>1472</v>
      </c>
      <c r="G94" t="s">
        <v>1473</v>
      </c>
    </row>
    <row r="95" spans="1:7" x14ac:dyDescent="0.2">
      <c r="A95" t="s">
        <v>1676</v>
      </c>
      <c r="B95" t="s">
        <v>1468</v>
      </c>
      <c r="C95" t="s">
        <v>1677</v>
      </c>
      <c r="D95" t="s">
        <v>1530</v>
      </c>
      <c r="E95" t="s">
        <v>1531</v>
      </c>
      <c r="F95" t="s">
        <v>1472</v>
      </c>
      <c r="G95" t="s">
        <v>1473</v>
      </c>
    </row>
    <row r="96" spans="1:7" x14ac:dyDescent="0.2">
      <c r="A96" t="s">
        <v>1678</v>
      </c>
      <c r="B96" t="s">
        <v>1468</v>
      </c>
      <c r="C96" t="s">
        <v>1679</v>
      </c>
      <c r="D96" t="s">
        <v>1492</v>
      </c>
      <c r="E96" t="s">
        <v>1493</v>
      </c>
      <c r="F96" t="s">
        <v>1472</v>
      </c>
      <c r="G96" t="s">
        <v>1473</v>
      </c>
    </row>
    <row r="97" spans="1:7" x14ac:dyDescent="0.2">
      <c r="A97" t="s">
        <v>1680</v>
      </c>
      <c r="B97" t="s">
        <v>1468</v>
      </c>
      <c r="C97" t="s">
        <v>1681</v>
      </c>
      <c r="D97" t="s">
        <v>1498</v>
      </c>
      <c r="E97" t="s">
        <v>1499</v>
      </c>
      <c r="F97" t="s">
        <v>1472</v>
      </c>
      <c r="G97" t="s">
        <v>1473</v>
      </c>
    </row>
    <row r="98" spans="1:7" x14ac:dyDescent="0.2">
      <c r="A98" t="s">
        <v>1682</v>
      </c>
      <c r="B98" t="s">
        <v>1468</v>
      </c>
      <c r="C98" t="s">
        <v>1683</v>
      </c>
      <c r="D98" t="s">
        <v>1482</v>
      </c>
      <c r="E98" t="s">
        <v>1483</v>
      </c>
      <c r="F98" t="s">
        <v>1472</v>
      </c>
      <c r="G98" t="s">
        <v>1473</v>
      </c>
    </row>
    <row r="99" spans="1:7" x14ac:dyDescent="0.2">
      <c r="A99" t="s">
        <v>1684</v>
      </c>
      <c r="B99" t="s">
        <v>1468</v>
      </c>
      <c r="C99" t="s">
        <v>1685</v>
      </c>
      <c r="D99" t="s">
        <v>1492</v>
      </c>
      <c r="E99" t="s">
        <v>1493</v>
      </c>
      <c r="F99" t="s">
        <v>1472</v>
      </c>
      <c r="G99" t="s">
        <v>1473</v>
      </c>
    </row>
    <row r="100" spans="1:7" x14ac:dyDescent="0.2">
      <c r="A100" t="s">
        <v>1686</v>
      </c>
      <c r="B100" t="s">
        <v>1468</v>
      </c>
      <c r="C100" t="s">
        <v>1687</v>
      </c>
      <c r="D100" t="s">
        <v>1530</v>
      </c>
      <c r="E100" t="s">
        <v>1531</v>
      </c>
      <c r="F100" t="s">
        <v>1472</v>
      </c>
      <c r="G100" t="s">
        <v>1473</v>
      </c>
    </row>
    <row r="101" spans="1:7" x14ac:dyDescent="0.2">
      <c r="A101" t="s">
        <v>1688</v>
      </c>
      <c r="B101" t="s">
        <v>1468</v>
      </c>
      <c r="C101" t="s">
        <v>1689</v>
      </c>
      <c r="D101" t="s">
        <v>1492</v>
      </c>
      <c r="E101" t="s">
        <v>1493</v>
      </c>
      <c r="F101" t="s">
        <v>1472</v>
      </c>
      <c r="G101" t="s">
        <v>1473</v>
      </c>
    </row>
    <row r="102" spans="1:7" x14ac:dyDescent="0.2">
      <c r="A102" t="s">
        <v>1690</v>
      </c>
      <c r="B102" t="s">
        <v>1468</v>
      </c>
      <c r="C102" t="s">
        <v>1691</v>
      </c>
      <c r="D102" t="s">
        <v>1482</v>
      </c>
      <c r="E102" t="s">
        <v>1483</v>
      </c>
      <c r="F102" t="s">
        <v>1472</v>
      </c>
      <c r="G102" t="s">
        <v>1473</v>
      </c>
    </row>
    <row r="103" spans="1:7" x14ac:dyDescent="0.2">
      <c r="A103" t="s">
        <v>1692</v>
      </c>
      <c r="B103" t="s">
        <v>1468</v>
      </c>
      <c r="C103" t="s">
        <v>1693</v>
      </c>
      <c r="D103" t="s">
        <v>1482</v>
      </c>
      <c r="E103" t="s">
        <v>1483</v>
      </c>
      <c r="F103" t="s">
        <v>1472</v>
      </c>
      <c r="G103" t="s">
        <v>1473</v>
      </c>
    </row>
    <row r="104" spans="1:7" x14ac:dyDescent="0.2">
      <c r="A104" t="s">
        <v>1694</v>
      </c>
      <c r="B104" t="s">
        <v>1468</v>
      </c>
      <c r="C104" t="s">
        <v>1695</v>
      </c>
      <c r="D104" t="s">
        <v>1526</v>
      </c>
      <c r="E104" t="s">
        <v>1527</v>
      </c>
      <c r="F104" t="s">
        <v>1472</v>
      </c>
      <c r="G104" t="s">
        <v>1473</v>
      </c>
    </row>
    <row r="105" spans="1:7" x14ac:dyDescent="0.2">
      <c r="A105" t="s">
        <v>1696</v>
      </c>
      <c r="B105" t="s">
        <v>1468</v>
      </c>
      <c r="C105" t="s">
        <v>1697</v>
      </c>
      <c r="D105" t="s">
        <v>1530</v>
      </c>
      <c r="E105" t="s">
        <v>1531</v>
      </c>
      <c r="F105" t="s">
        <v>1472</v>
      </c>
      <c r="G105" t="s">
        <v>1473</v>
      </c>
    </row>
    <row r="106" spans="1:7" x14ac:dyDescent="0.2">
      <c r="A106" t="s">
        <v>1698</v>
      </c>
      <c r="B106" t="s">
        <v>1468</v>
      </c>
      <c r="C106" t="s">
        <v>1699</v>
      </c>
      <c r="D106" t="s">
        <v>1488</v>
      </c>
      <c r="E106" t="s">
        <v>1489</v>
      </c>
      <c r="F106" t="s">
        <v>1472</v>
      </c>
      <c r="G106" t="s">
        <v>1473</v>
      </c>
    </row>
    <row r="107" spans="1:7" x14ac:dyDescent="0.2">
      <c r="A107" t="s">
        <v>1700</v>
      </c>
      <c r="B107" t="s">
        <v>1468</v>
      </c>
      <c r="C107" t="s">
        <v>1701</v>
      </c>
      <c r="D107" t="s">
        <v>1488</v>
      </c>
      <c r="E107" t="s">
        <v>1489</v>
      </c>
      <c r="F107" t="s">
        <v>1472</v>
      </c>
      <c r="G107" t="s">
        <v>1473</v>
      </c>
    </row>
    <row r="108" spans="1:7" x14ac:dyDescent="0.2">
      <c r="A108" t="s">
        <v>1702</v>
      </c>
      <c r="B108" t="s">
        <v>1468</v>
      </c>
      <c r="C108" t="s">
        <v>1703</v>
      </c>
      <c r="D108" t="s">
        <v>1498</v>
      </c>
      <c r="E108" t="s">
        <v>1499</v>
      </c>
      <c r="F108" t="s">
        <v>1472</v>
      </c>
      <c r="G108" t="s">
        <v>1473</v>
      </c>
    </row>
    <row r="109" spans="1:7" x14ac:dyDescent="0.2">
      <c r="A109" t="s">
        <v>1704</v>
      </c>
      <c r="B109" t="s">
        <v>1468</v>
      </c>
      <c r="C109" t="s">
        <v>1705</v>
      </c>
      <c r="D109" t="s">
        <v>1482</v>
      </c>
      <c r="E109" t="s">
        <v>1483</v>
      </c>
      <c r="F109" t="s">
        <v>1472</v>
      </c>
      <c r="G109" t="s">
        <v>1473</v>
      </c>
    </row>
    <row r="110" spans="1:7" x14ac:dyDescent="0.2">
      <c r="A110" t="s">
        <v>1706</v>
      </c>
      <c r="B110" t="s">
        <v>1468</v>
      </c>
      <c r="C110" t="s">
        <v>1707</v>
      </c>
      <c r="D110" t="s">
        <v>1492</v>
      </c>
      <c r="E110" t="s">
        <v>1493</v>
      </c>
      <c r="F110" t="s">
        <v>1472</v>
      </c>
      <c r="G110" t="s">
        <v>1473</v>
      </c>
    </row>
    <row r="111" spans="1:7" x14ac:dyDescent="0.2">
      <c r="A111" t="s">
        <v>1708</v>
      </c>
      <c r="B111" t="s">
        <v>1468</v>
      </c>
      <c r="C111" t="s">
        <v>1709</v>
      </c>
      <c r="D111" t="s">
        <v>1476</v>
      </c>
      <c r="E111" t="s">
        <v>1477</v>
      </c>
      <c r="F111" t="s">
        <v>1472</v>
      </c>
      <c r="G111" t="s">
        <v>1473</v>
      </c>
    </row>
    <row r="112" spans="1:7" x14ac:dyDescent="0.2">
      <c r="A112" t="s">
        <v>1710</v>
      </c>
      <c r="B112" t="s">
        <v>1468</v>
      </c>
      <c r="C112" t="s">
        <v>1711</v>
      </c>
      <c r="D112" t="s">
        <v>1476</v>
      </c>
      <c r="E112" t="s">
        <v>1477</v>
      </c>
      <c r="F112" t="s">
        <v>1472</v>
      </c>
      <c r="G112" t="s">
        <v>1473</v>
      </c>
    </row>
    <row r="113" spans="1:7" x14ac:dyDescent="0.2">
      <c r="A113" t="s">
        <v>1712</v>
      </c>
      <c r="B113" t="s">
        <v>1468</v>
      </c>
      <c r="C113" t="s">
        <v>1713</v>
      </c>
      <c r="D113" t="s">
        <v>1476</v>
      </c>
      <c r="E113" t="s">
        <v>1477</v>
      </c>
      <c r="F113" t="s">
        <v>1472</v>
      </c>
      <c r="G113" t="s">
        <v>1473</v>
      </c>
    </row>
    <row r="114" spans="1:7" x14ac:dyDescent="0.2">
      <c r="A114" t="s">
        <v>1714</v>
      </c>
      <c r="B114" t="s">
        <v>1468</v>
      </c>
      <c r="C114" t="s">
        <v>1715</v>
      </c>
      <c r="D114" t="s">
        <v>1518</v>
      </c>
      <c r="E114" t="s">
        <v>1519</v>
      </c>
      <c r="F114" t="s">
        <v>1472</v>
      </c>
      <c r="G114" t="s">
        <v>1473</v>
      </c>
    </row>
    <row r="115" spans="1:7" x14ac:dyDescent="0.2">
      <c r="A115" t="s">
        <v>1716</v>
      </c>
      <c r="B115" t="s">
        <v>1468</v>
      </c>
      <c r="C115" t="s">
        <v>1717</v>
      </c>
      <c r="D115" t="s">
        <v>1482</v>
      </c>
      <c r="E115" t="s">
        <v>1483</v>
      </c>
      <c r="F115" t="s">
        <v>1472</v>
      </c>
      <c r="G115" t="s">
        <v>1473</v>
      </c>
    </row>
    <row r="116" spans="1:7" x14ac:dyDescent="0.2">
      <c r="A116" t="s">
        <v>1718</v>
      </c>
      <c r="B116" t="s">
        <v>1468</v>
      </c>
      <c r="C116" t="s">
        <v>1719</v>
      </c>
      <c r="D116" t="s">
        <v>1492</v>
      </c>
      <c r="E116" t="s">
        <v>1493</v>
      </c>
      <c r="F116" t="s">
        <v>1472</v>
      </c>
      <c r="G116" t="s">
        <v>1473</v>
      </c>
    </row>
    <row r="117" spans="1:7" x14ac:dyDescent="0.2">
      <c r="A117" t="s">
        <v>1720</v>
      </c>
      <c r="B117" t="s">
        <v>1468</v>
      </c>
      <c r="C117" t="s">
        <v>1721</v>
      </c>
      <c r="D117" t="s">
        <v>1488</v>
      </c>
      <c r="E117" t="s">
        <v>1489</v>
      </c>
      <c r="F117" t="s">
        <v>1472</v>
      </c>
      <c r="G117" t="s">
        <v>1473</v>
      </c>
    </row>
    <row r="118" spans="1:7" x14ac:dyDescent="0.2">
      <c r="A118" t="s">
        <v>1722</v>
      </c>
      <c r="B118" t="s">
        <v>1468</v>
      </c>
      <c r="C118" t="s">
        <v>1723</v>
      </c>
      <c r="D118" t="s">
        <v>1518</v>
      </c>
      <c r="E118" t="s">
        <v>1519</v>
      </c>
      <c r="F118" t="s">
        <v>1472</v>
      </c>
      <c r="G118" t="s">
        <v>1473</v>
      </c>
    </row>
    <row r="119" spans="1:7" x14ac:dyDescent="0.2">
      <c r="A119" t="s">
        <v>1724</v>
      </c>
      <c r="B119" t="s">
        <v>1468</v>
      </c>
      <c r="C119" t="s">
        <v>1725</v>
      </c>
      <c r="D119" t="s">
        <v>1530</v>
      </c>
      <c r="E119" t="s">
        <v>1531</v>
      </c>
      <c r="F119" t="s">
        <v>1472</v>
      </c>
      <c r="G119" t="s">
        <v>1473</v>
      </c>
    </row>
    <row r="120" spans="1:7" x14ac:dyDescent="0.2">
      <c r="A120" t="s">
        <v>1726</v>
      </c>
      <c r="B120" t="s">
        <v>1468</v>
      </c>
      <c r="C120" t="s">
        <v>1727</v>
      </c>
      <c r="D120" t="s">
        <v>1526</v>
      </c>
      <c r="E120" t="s">
        <v>1527</v>
      </c>
      <c r="F120" t="s">
        <v>1472</v>
      </c>
      <c r="G120" t="s">
        <v>1473</v>
      </c>
    </row>
    <row r="121" spans="1:7" x14ac:dyDescent="0.2">
      <c r="A121" t="s">
        <v>1728</v>
      </c>
      <c r="B121" t="s">
        <v>1468</v>
      </c>
      <c r="C121" t="s">
        <v>1729</v>
      </c>
      <c r="D121" t="s">
        <v>1498</v>
      </c>
      <c r="E121" t="s">
        <v>1499</v>
      </c>
      <c r="F121" t="s">
        <v>1472</v>
      </c>
      <c r="G121" t="s">
        <v>1473</v>
      </c>
    </row>
    <row r="122" spans="1:7" x14ac:dyDescent="0.2">
      <c r="A122" t="s">
        <v>1730</v>
      </c>
      <c r="B122" t="s">
        <v>1468</v>
      </c>
      <c r="C122" t="s">
        <v>1731</v>
      </c>
      <c r="D122" t="s">
        <v>1488</v>
      </c>
      <c r="E122" t="s">
        <v>1489</v>
      </c>
      <c r="F122" t="s">
        <v>1472</v>
      </c>
      <c r="G122" t="s">
        <v>1473</v>
      </c>
    </row>
    <row r="123" spans="1:7" x14ac:dyDescent="0.2">
      <c r="A123" t="s">
        <v>1732</v>
      </c>
      <c r="B123" t="s">
        <v>1468</v>
      </c>
      <c r="C123" t="s">
        <v>1733</v>
      </c>
      <c r="D123" t="s">
        <v>1530</v>
      </c>
      <c r="E123" t="s">
        <v>1531</v>
      </c>
      <c r="F123" t="s">
        <v>1472</v>
      </c>
      <c r="G123" t="s">
        <v>1473</v>
      </c>
    </row>
    <row r="124" spans="1:7" x14ac:dyDescent="0.2">
      <c r="A124" t="s">
        <v>1734</v>
      </c>
      <c r="B124" t="s">
        <v>1468</v>
      </c>
      <c r="C124" t="s">
        <v>1735</v>
      </c>
      <c r="D124" t="s">
        <v>1526</v>
      </c>
      <c r="E124" t="s">
        <v>1527</v>
      </c>
      <c r="F124" t="s">
        <v>1472</v>
      </c>
      <c r="G124" t="s">
        <v>1473</v>
      </c>
    </row>
    <row r="125" spans="1:7" x14ac:dyDescent="0.2">
      <c r="A125" t="s">
        <v>1736</v>
      </c>
      <c r="B125" t="s">
        <v>1468</v>
      </c>
      <c r="C125" t="s">
        <v>1737</v>
      </c>
      <c r="D125" t="s">
        <v>1518</v>
      </c>
      <c r="E125" t="s">
        <v>1519</v>
      </c>
      <c r="F125" t="s">
        <v>1472</v>
      </c>
      <c r="G125" t="s">
        <v>1473</v>
      </c>
    </row>
    <row r="126" spans="1:7" x14ac:dyDescent="0.2">
      <c r="A126" t="s">
        <v>1738</v>
      </c>
      <c r="B126" t="s">
        <v>1468</v>
      </c>
      <c r="C126" t="s">
        <v>1739</v>
      </c>
      <c r="D126" t="s">
        <v>1552</v>
      </c>
      <c r="E126" t="s">
        <v>1553</v>
      </c>
      <c r="F126" t="s">
        <v>1472</v>
      </c>
      <c r="G126" t="s">
        <v>1473</v>
      </c>
    </row>
    <row r="127" spans="1:7" x14ac:dyDescent="0.2">
      <c r="A127" t="s">
        <v>1740</v>
      </c>
      <c r="B127" t="s">
        <v>1468</v>
      </c>
      <c r="C127" t="s">
        <v>1741</v>
      </c>
      <c r="D127" t="s">
        <v>1498</v>
      </c>
      <c r="E127" t="s">
        <v>1499</v>
      </c>
      <c r="F127" t="s">
        <v>1472</v>
      </c>
      <c r="G127" t="s">
        <v>1473</v>
      </c>
    </row>
    <row r="128" spans="1:7" x14ac:dyDescent="0.2">
      <c r="A128" t="s">
        <v>1742</v>
      </c>
      <c r="B128" t="s">
        <v>1468</v>
      </c>
      <c r="C128" t="s">
        <v>1743</v>
      </c>
      <c r="D128" t="s">
        <v>1526</v>
      </c>
      <c r="E128" t="s">
        <v>1527</v>
      </c>
      <c r="F128" t="s">
        <v>1472</v>
      </c>
      <c r="G128" t="s">
        <v>1473</v>
      </c>
    </row>
    <row r="129" spans="1:7" x14ac:dyDescent="0.2">
      <c r="A129" t="s">
        <v>1744</v>
      </c>
      <c r="B129" t="s">
        <v>1468</v>
      </c>
      <c r="C129" t="s">
        <v>1745</v>
      </c>
      <c r="D129" t="s">
        <v>1518</v>
      </c>
      <c r="E129" t="s">
        <v>1519</v>
      </c>
      <c r="F129" t="s">
        <v>1472</v>
      </c>
      <c r="G129" t="s">
        <v>1473</v>
      </c>
    </row>
    <row r="130" spans="1:7" x14ac:dyDescent="0.2">
      <c r="A130" t="s">
        <v>1746</v>
      </c>
      <c r="B130" t="s">
        <v>1468</v>
      </c>
      <c r="C130" t="s">
        <v>1747</v>
      </c>
      <c r="D130" t="s">
        <v>1482</v>
      </c>
      <c r="E130" t="s">
        <v>1483</v>
      </c>
      <c r="F130" t="s">
        <v>1472</v>
      </c>
      <c r="G130" t="s">
        <v>1473</v>
      </c>
    </row>
    <row r="131" spans="1:7" x14ac:dyDescent="0.2">
      <c r="A131" t="s">
        <v>1748</v>
      </c>
      <c r="B131" t="s">
        <v>1468</v>
      </c>
      <c r="C131" t="s">
        <v>1749</v>
      </c>
      <c r="D131" t="s">
        <v>1552</v>
      </c>
      <c r="E131" t="s">
        <v>1553</v>
      </c>
      <c r="F131" t="s">
        <v>1472</v>
      </c>
      <c r="G131" t="s">
        <v>1473</v>
      </c>
    </row>
    <row r="132" spans="1:7" x14ac:dyDescent="0.2">
      <c r="A132" t="s">
        <v>1750</v>
      </c>
      <c r="B132" t="s">
        <v>1468</v>
      </c>
      <c r="C132" t="s">
        <v>1751</v>
      </c>
      <c r="D132" t="s">
        <v>1492</v>
      </c>
      <c r="E132" t="s">
        <v>1493</v>
      </c>
      <c r="F132" t="s">
        <v>1472</v>
      </c>
      <c r="G132" t="s">
        <v>1473</v>
      </c>
    </row>
    <row r="133" spans="1:7" x14ac:dyDescent="0.2">
      <c r="A133" t="s">
        <v>1752</v>
      </c>
      <c r="B133" t="s">
        <v>1468</v>
      </c>
      <c r="C133" t="s">
        <v>1753</v>
      </c>
      <c r="D133" t="s">
        <v>1482</v>
      </c>
      <c r="E133" t="s">
        <v>1483</v>
      </c>
      <c r="F133" t="s">
        <v>1472</v>
      </c>
      <c r="G133" t="s">
        <v>1473</v>
      </c>
    </row>
    <row r="134" spans="1:7" x14ac:dyDescent="0.2">
      <c r="A134" t="s">
        <v>1754</v>
      </c>
      <c r="B134" t="s">
        <v>1468</v>
      </c>
      <c r="C134" t="s">
        <v>1755</v>
      </c>
      <c r="D134" t="s">
        <v>1470</v>
      </c>
      <c r="E134" t="s">
        <v>1471</v>
      </c>
      <c r="F134" t="s">
        <v>1472</v>
      </c>
      <c r="G134" t="s">
        <v>1473</v>
      </c>
    </row>
    <row r="135" spans="1:7" x14ac:dyDescent="0.2">
      <c r="A135" t="s">
        <v>1756</v>
      </c>
      <c r="B135" t="s">
        <v>1468</v>
      </c>
      <c r="C135" t="s">
        <v>1757</v>
      </c>
      <c r="D135" t="s">
        <v>1530</v>
      </c>
      <c r="E135" t="s">
        <v>1531</v>
      </c>
      <c r="F135" t="s">
        <v>1472</v>
      </c>
      <c r="G135" t="s">
        <v>1473</v>
      </c>
    </row>
    <row r="136" spans="1:7" x14ac:dyDescent="0.2">
      <c r="A136" t="s">
        <v>1758</v>
      </c>
      <c r="B136" t="s">
        <v>1468</v>
      </c>
      <c r="C136" t="s">
        <v>1759</v>
      </c>
      <c r="D136" t="s">
        <v>1492</v>
      </c>
      <c r="E136" t="s">
        <v>1493</v>
      </c>
      <c r="F136" t="s">
        <v>1472</v>
      </c>
      <c r="G136" t="s">
        <v>1473</v>
      </c>
    </row>
    <row r="137" spans="1:7" x14ac:dyDescent="0.2">
      <c r="A137" t="s">
        <v>1760</v>
      </c>
      <c r="B137" t="s">
        <v>1468</v>
      </c>
      <c r="C137" t="s">
        <v>1761</v>
      </c>
      <c r="D137" t="s">
        <v>1552</v>
      </c>
      <c r="E137" t="s">
        <v>1553</v>
      </c>
      <c r="F137" t="s">
        <v>1472</v>
      </c>
      <c r="G137" t="s">
        <v>1473</v>
      </c>
    </row>
    <row r="138" spans="1:7" x14ac:dyDescent="0.2">
      <c r="A138" t="s">
        <v>1762</v>
      </c>
      <c r="B138" t="s">
        <v>1468</v>
      </c>
      <c r="C138" t="s">
        <v>1763</v>
      </c>
      <c r="D138" t="s">
        <v>1498</v>
      </c>
      <c r="E138" t="s">
        <v>1499</v>
      </c>
      <c r="F138" t="s">
        <v>1472</v>
      </c>
      <c r="G138" t="s">
        <v>1473</v>
      </c>
    </row>
    <row r="139" spans="1:7" x14ac:dyDescent="0.2">
      <c r="A139" t="s">
        <v>1764</v>
      </c>
      <c r="B139" t="s">
        <v>1468</v>
      </c>
      <c r="C139" t="s">
        <v>1765</v>
      </c>
      <c r="D139" t="s">
        <v>1526</v>
      </c>
      <c r="E139" t="s">
        <v>1527</v>
      </c>
      <c r="F139" t="s">
        <v>1472</v>
      </c>
      <c r="G139" t="s">
        <v>1473</v>
      </c>
    </row>
    <row r="140" spans="1:7" x14ac:dyDescent="0.2">
      <c r="A140" t="s">
        <v>1766</v>
      </c>
      <c r="B140" t="s">
        <v>1468</v>
      </c>
      <c r="C140" t="s">
        <v>1767</v>
      </c>
      <c r="D140" t="s">
        <v>1518</v>
      </c>
      <c r="E140" t="s">
        <v>1519</v>
      </c>
      <c r="F140" t="s">
        <v>1472</v>
      </c>
      <c r="G140" t="s">
        <v>1473</v>
      </c>
    </row>
    <row r="141" spans="1:7" x14ac:dyDescent="0.2">
      <c r="A141" t="s">
        <v>1768</v>
      </c>
      <c r="B141" t="s">
        <v>1468</v>
      </c>
      <c r="C141" t="s">
        <v>1769</v>
      </c>
      <c r="D141" t="s">
        <v>1530</v>
      </c>
      <c r="E141" t="s">
        <v>1531</v>
      </c>
      <c r="F141" t="s">
        <v>1472</v>
      </c>
      <c r="G141" t="s">
        <v>1473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AliAhmad, Ibrahim (OER)</cp:lastModifiedBy>
  <dcterms:created xsi:type="dcterms:W3CDTF">2020-12-10T15:46:11Z</dcterms:created>
  <dcterms:modified xsi:type="dcterms:W3CDTF">2023-11-02T11:41:19Z</dcterms:modified>
</cp:coreProperties>
</file>