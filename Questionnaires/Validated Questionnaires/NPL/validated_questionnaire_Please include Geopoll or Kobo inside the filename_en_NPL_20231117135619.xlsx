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Crop list" sheetId="4" state="visible" r:id="rId4"/>
    <sheet xmlns:r="http://schemas.openxmlformats.org/officeDocument/2006/relationships" name="Additional information" sheetId="5" state="visible" r:id="rId5"/>
  </sheets>
  <definedNames/>
  <calcPr calcId="191029" fullCalcOnLoad="1"/>
</workbook>
</file>

<file path=xl/styles.xml><?xml version="1.0" encoding="utf-8"?>
<styleSheet xmlns="http://schemas.openxmlformats.org/spreadsheetml/2006/main">
  <numFmts count="2">
    <numFmt numFmtId="164" formatCode="0.0"/>
    <numFmt numFmtId="165" formatCode="0.0%"/>
  </numFmts>
  <fonts count="39">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i val="1"/>
      <color theme="1"/>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b val="1"/>
      <color rgb="FF7030A0"/>
      <sz val="11"/>
      <scheme val="minor"/>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sz val="10"/>
      <scheme val="minor"/>
    </font>
    <font>
      <name val="Calibri"/>
      <family val="2"/>
      <sz val="9"/>
      <scheme val="minor"/>
    </font>
    <font>
      <name val="Calibri"/>
      <family val="2"/>
      <color theme="1"/>
      <sz val="10"/>
      <scheme val="minor"/>
    </font>
    <font>
      <name val="Calibri"/>
      <family val="2"/>
      <b val="1"/>
      <color theme="1"/>
      <sz val="10"/>
      <scheme val="minor"/>
    </font>
    <font>
      <name val="Calibri"/>
      <family val="2"/>
      <color rgb="FF7030A0"/>
      <sz val="10"/>
      <scheme val="minor"/>
    </font>
    <font>
      <name val="Calibri"/>
      <family val="2"/>
      <sz val="8"/>
      <scheme val="minor"/>
    </font>
    <font>
      <name val="Arial Narrow"/>
      <family val="2"/>
      <color rgb="FF000000"/>
      <sz val="11"/>
    </font>
  </fonts>
  <fills count="9">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
      <patternFill patternType="solid">
        <fgColor theme="3" tint="0.7999816888943144"/>
        <bgColor indexed="64"/>
      </patternFill>
    </fill>
  </fills>
  <borders count="49">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ck">
        <color indexed="64"/>
      </top>
      <bottom/>
      <diagonal/>
    </border>
    <border>
      <left/>
      <right/>
      <top/>
      <bottom style="medium">
        <color indexed="64"/>
      </bottom>
      <diagonal/>
    </border>
    <border>
      <left style="medium">
        <color indexed="64"/>
      </left>
      <right/>
      <top/>
      <bottom/>
      <diagonal/>
    </border>
  </borders>
  <cellStyleXfs count="15">
    <xf numFmtId="0" fontId="11" fillId="0" borderId="0"/>
    <xf numFmtId="0" fontId="7" fillId="0" borderId="0"/>
    <xf numFmtId="0" fontId="11" fillId="0" borderId="0"/>
    <xf numFmtId="0" fontId="17" fillId="0" borderId="0"/>
    <xf numFmtId="0" fontId="7" fillId="0" borderId="0"/>
    <xf numFmtId="0" fontId="7" fillId="0" borderId="0"/>
    <xf numFmtId="0" fontId="22" fillId="4" borderId="14"/>
    <xf numFmtId="9" fontId="11" fillId="0" borderId="0"/>
    <xf numFmtId="0" fontId="7" fillId="0" borderId="0"/>
    <xf numFmtId="0" fontId="7" fillId="0" borderId="0"/>
    <xf numFmtId="0" fontId="7" fillId="0" borderId="0"/>
    <xf numFmtId="0" fontId="7" fillId="0" borderId="0"/>
    <xf numFmtId="0" fontId="11" fillId="0" borderId="0"/>
    <xf numFmtId="0" fontId="7" fillId="0" borderId="0"/>
    <xf numFmtId="0" fontId="11" fillId="0" borderId="0"/>
  </cellStyleXfs>
  <cellXfs count="297">
    <xf numFmtId="0" fontId="0" fillId="0" borderId="0" pivotButton="0" quotePrefix="0" xfId="0"/>
    <xf numFmtId="0" fontId="10" fillId="2" borderId="0" applyProtection="1" pivotButton="0" quotePrefix="0" xfId="0">
      <protection locked="0" hidden="0"/>
    </xf>
    <xf numFmtId="0" fontId="10"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12" fillId="2" borderId="0" applyProtection="1" pivotButton="0" quotePrefix="0" xfId="0">
      <protection locked="0" hidden="0"/>
    </xf>
    <xf numFmtId="0" fontId="10" fillId="0" borderId="0" pivotButton="0" quotePrefix="0" xfId="0"/>
    <xf numFmtId="0" fontId="9" fillId="2" borderId="0" applyProtection="1" pivotButton="0" quotePrefix="0" xfId="0">
      <protection locked="0" hidden="0"/>
    </xf>
    <xf numFmtId="0" fontId="8" fillId="2" borderId="0" applyProtection="1" pivotButton="0" quotePrefix="0" xfId="0">
      <protection locked="0" hidden="0"/>
    </xf>
    <xf numFmtId="0" fontId="23" fillId="2" borderId="7" applyAlignment="1" applyProtection="1" pivotButton="0" quotePrefix="0" xfId="6">
      <alignment horizontal="center" vertical="center"/>
      <protection locked="0" hidden="0"/>
    </xf>
    <xf numFmtId="0" fontId="14" fillId="0" borderId="0" applyProtection="1" pivotButton="0" quotePrefix="0" xfId="0">
      <protection locked="0" hidden="0"/>
    </xf>
    <xf numFmtId="0" fontId="15" fillId="0" borderId="0" applyProtection="1" pivotButton="0" quotePrefix="0" xfId="0">
      <protection locked="0" hidden="0"/>
    </xf>
    <xf numFmtId="0" fontId="8" fillId="0" borderId="0" applyProtection="1" pivotButton="0" quotePrefix="0" xfId="0">
      <protection locked="0" hidden="0"/>
    </xf>
    <xf numFmtId="0" fontId="13" fillId="0" borderId="0" pivotButton="0" quotePrefix="0" xfId="0"/>
    <xf numFmtId="0" fontId="13" fillId="0" borderId="0" applyProtection="1" pivotButton="0" quotePrefix="0" xfId="0">
      <protection locked="0" hidden="0"/>
    </xf>
    <xf numFmtId="0" fontId="12" fillId="0" borderId="0" applyProtection="1" pivotButton="0" quotePrefix="0" xfId="0">
      <protection locked="0" hidden="0"/>
    </xf>
    <xf numFmtId="0" fontId="13" fillId="2" borderId="0" applyProtection="1" pivotButton="0" quotePrefix="0" xfId="0">
      <protection locked="0" hidden="0"/>
    </xf>
    <xf numFmtId="0" fontId="12" fillId="0" borderId="0" pivotButton="0" quotePrefix="0" xfId="0"/>
    <xf numFmtId="0" fontId="14" fillId="0" borderId="0" pivotButton="0" quotePrefix="0" xfId="0"/>
    <xf numFmtId="0" fontId="5" fillId="0" borderId="2" pivotButton="0" quotePrefix="0" xfId="10"/>
    <xf numFmtId="0" fontId="5" fillId="0" borderId="13" pivotButton="0" quotePrefix="0" xfId="10"/>
    <xf numFmtId="0" fontId="5" fillId="0" borderId="6" pivotButton="0" quotePrefix="0" xfId="10"/>
    <xf numFmtId="0" fontId="5" fillId="0" borderId="23" pivotButton="0" quotePrefix="0" xfId="10"/>
    <xf numFmtId="0" fontId="19" fillId="0" borderId="32" applyAlignment="1" pivotButton="0" quotePrefix="0" xfId="10">
      <alignment horizontal="center" vertical="center" wrapText="1"/>
    </xf>
    <xf numFmtId="0" fontId="19" fillId="0" borderId="28" applyAlignment="1" pivotButton="0" quotePrefix="0" xfId="10">
      <alignment horizontal="center" vertical="center" wrapText="1"/>
    </xf>
    <xf numFmtId="0" fontId="20" fillId="0" borderId="28" applyAlignment="1" pivotButton="0" quotePrefix="0" xfId="10">
      <alignment horizontal="center" vertical="center" wrapText="1"/>
    </xf>
    <xf numFmtId="0" fontId="20" fillId="0" borderId="35" applyAlignment="1" pivotButton="0" quotePrefix="0" xfId="10">
      <alignment vertical="center" wrapText="1"/>
    </xf>
    <xf numFmtId="0" fontId="20" fillId="0" borderId="19" applyAlignment="1" pivotButton="0" quotePrefix="0" xfId="10">
      <alignment vertical="center" wrapText="1"/>
    </xf>
    <xf numFmtId="0" fontId="20" fillId="0" borderId="30" applyAlignment="1" pivotButton="0" quotePrefix="0" xfId="10">
      <alignment vertical="center" wrapText="1"/>
    </xf>
    <xf numFmtId="9" fontId="20" fillId="0" borderId="21" applyAlignment="1" pivotButton="0" quotePrefix="0" xfId="7">
      <alignment horizontal="center" vertical="center" wrapText="1"/>
    </xf>
    <xf numFmtId="9" fontId="20" fillId="0" borderId="22" applyAlignment="1" pivotButton="0" quotePrefix="0" xfId="7">
      <alignment horizontal="center" vertical="center" wrapText="1"/>
    </xf>
    <xf numFmtId="0" fontId="5" fillId="0" borderId="3" pivotButton="0" quotePrefix="0" xfId="10"/>
    <xf numFmtId="0" fontId="19" fillId="0" borderId="10" applyAlignment="1" pivotButton="0" quotePrefix="0" xfId="5">
      <alignment horizontal="left" vertical="center"/>
    </xf>
    <xf numFmtId="0" fontId="19" fillId="0" borderId="38" applyAlignment="1" pivotButton="0" quotePrefix="0" xfId="10">
      <alignment horizontal="left" vertical="center"/>
    </xf>
    <xf numFmtId="0" fontId="19" fillId="0" borderId="37" applyAlignment="1" pivotButton="0" quotePrefix="0" xfId="10">
      <alignment horizontal="left" vertical="center"/>
    </xf>
    <xf numFmtId="0" fontId="19" fillId="0" borderId="10" applyAlignment="1" pivotButton="0" quotePrefix="0" xfId="10">
      <alignment horizontal="left" vertical="center"/>
    </xf>
    <xf numFmtId="0" fontId="26" fillId="0" borderId="8" applyAlignment="1" pivotButton="0" quotePrefix="0" xfId="10">
      <alignment horizontal="center" vertical="center" wrapText="1"/>
    </xf>
    <xf numFmtId="0" fontId="26" fillId="0" borderId="5" applyAlignment="1" pivotButton="0" quotePrefix="0" xfId="10">
      <alignment horizontal="center" vertical="center" wrapText="1"/>
    </xf>
    <xf numFmtId="0" fontId="24" fillId="0" borderId="39" applyAlignment="1" applyProtection="1" pivotButton="0" quotePrefix="0" xfId="0">
      <alignment horizontal="center" vertical="center" wrapText="1"/>
      <protection locked="0" hidden="0"/>
    </xf>
    <xf numFmtId="0" fontId="5" fillId="0" borderId="40" pivotButton="0" quotePrefix="0" xfId="10"/>
    <xf numFmtId="0" fontId="5" fillId="0" borderId="13" applyAlignment="1" pivotButton="0" quotePrefix="0" xfId="10">
      <alignment vertical="center"/>
    </xf>
    <xf numFmtId="0" fontId="21" fillId="0" borderId="26" applyAlignment="1" pivotButton="0" quotePrefix="0" xfId="10">
      <alignment horizontal="center" vertical="center"/>
    </xf>
    <xf numFmtId="0" fontId="19" fillId="0" borderId="31" applyAlignment="1" pivotButton="0" quotePrefix="0" xfId="10">
      <alignment vertical="center" wrapText="1"/>
    </xf>
    <xf numFmtId="0" fontId="5" fillId="0" borderId="3" applyAlignment="1" pivotButton="0" quotePrefix="0" xfId="10">
      <alignment vertical="center"/>
    </xf>
    <xf numFmtId="0" fontId="5"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19" fillId="0" borderId="15" applyAlignment="1" pivotButton="0" quotePrefix="0" xfId="5">
      <alignment horizontal="left" vertical="center" wrapText="1"/>
    </xf>
    <xf numFmtId="0" fontId="26" fillId="0" borderId="15" applyAlignment="1" pivotButton="0" quotePrefix="0" xfId="10">
      <alignment horizontal="center" vertical="center" wrapText="1"/>
    </xf>
    <xf numFmtId="9" fontId="20" fillId="0" borderId="41" applyAlignment="1" pivotButton="0" quotePrefix="0" xfId="7">
      <alignment horizontal="center" vertical="center" wrapText="1"/>
    </xf>
    <xf numFmtId="0" fontId="30" fillId="0" borderId="16" applyAlignment="1" pivotButton="0" quotePrefix="0" xfId="10">
      <alignment vertical="center" wrapText="1"/>
    </xf>
    <xf numFmtId="0" fontId="30" fillId="0" borderId="7" applyAlignment="1" pivotButton="0" quotePrefix="0" xfId="10">
      <alignment vertical="center" wrapText="1"/>
    </xf>
    <xf numFmtId="0" fontId="30" fillId="0" borderId="4" applyAlignment="1" pivotButton="0" quotePrefix="0" xfId="10">
      <alignment vertical="center" wrapText="1"/>
    </xf>
    <xf numFmtId="0" fontId="5" fillId="5" borderId="6" pivotButton="0" quotePrefix="0" xfId="10"/>
    <xf numFmtId="0" fontId="5" fillId="5" borderId="33" applyAlignment="1" pivotButton="0" quotePrefix="0" xfId="10">
      <alignment wrapText="1"/>
    </xf>
    <xf numFmtId="0" fontId="19" fillId="5" borderId="34" applyAlignment="1" pivotButton="0" quotePrefix="0" xfId="10">
      <alignment vertical="center"/>
    </xf>
    <xf numFmtId="0" fontId="20" fillId="5" borderId="35" applyAlignment="1" pivotButton="0" quotePrefix="0" xfId="10">
      <alignment vertical="center" wrapText="1"/>
    </xf>
    <xf numFmtId="0" fontId="20" fillId="5" borderId="36" applyAlignment="1" pivotButton="0" quotePrefix="0" xfId="10">
      <alignment horizontal="center" vertical="center" wrapText="1"/>
    </xf>
    <xf numFmtId="0" fontId="5" fillId="5" borderId="23" pivotButton="0" quotePrefix="0" xfId="10"/>
    <xf numFmtId="0" fontId="5" fillId="5" borderId="2" pivotButton="0" quotePrefix="0" xfId="10"/>
    <xf numFmtId="0" fontId="19" fillId="0" borderId="8" applyAlignment="1" pivotButton="0" quotePrefix="0" xfId="10">
      <alignment horizontal="left" vertical="center" wrapText="1"/>
    </xf>
    <xf numFmtId="0" fontId="5" fillId="0" borderId="6" applyAlignment="1" pivotButton="0" quotePrefix="0" xfId="10">
      <alignment vertical="center"/>
    </xf>
    <xf numFmtId="0" fontId="5" fillId="0" borderId="25" applyAlignment="1" pivotButton="0" quotePrefix="0" xfId="10">
      <alignment vertical="center"/>
    </xf>
    <xf numFmtId="0" fontId="21" fillId="0" borderId="12" applyAlignment="1" pivotButton="0" quotePrefix="0" xfId="10">
      <alignment horizontal="center" vertical="center" wrapText="1"/>
    </xf>
    <xf numFmtId="0" fontId="21" fillId="0" borderId="11" applyAlignment="1" pivotButton="0" quotePrefix="0" xfId="10">
      <alignment horizontal="center" vertical="center"/>
    </xf>
    <xf numFmtId="0" fontId="21" fillId="0" borderId="18" applyAlignment="1" pivotButton="0" quotePrefix="0" xfId="10">
      <alignment horizontal="center" vertical="center"/>
    </xf>
    <xf numFmtId="0" fontId="5" fillId="0" borderId="23" applyAlignment="1" pivotButton="0" quotePrefix="0" xfId="10">
      <alignment vertical="center"/>
    </xf>
    <xf numFmtId="0" fontId="11" fillId="0" borderId="42" applyAlignment="1" pivotButton="0" quotePrefix="0" xfId="5">
      <alignment horizontal="center" vertical="center"/>
    </xf>
    <xf numFmtId="0" fontId="11" fillId="0" borderId="43" applyAlignment="1" pivotButton="0" quotePrefix="0" xfId="5">
      <alignment horizontal="center" vertical="center"/>
    </xf>
    <xf numFmtId="0" fontId="10" fillId="0" borderId="0" applyAlignment="1" pivotButton="0" quotePrefix="0" xfId="0">
      <alignment vertical="top"/>
    </xf>
    <xf numFmtId="0" fontId="10" fillId="2" borderId="0" applyAlignment="1" applyProtection="1" pivotButton="0" quotePrefix="0" xfId="0">
      <alignment vertical="top" wrapText="1"/>
      <protection locked="0" hidden="0"/>
    </xf>
    <xf numFmtId="0" fontId="10" fillId="2" borderId="0" applyAlignment="1" applyProtection="1" pivotButton="0" quotePrefix="0" xfId="0">
      <alignment vertical="top"/>
      <protection locked="0" hidden="0"/>
    </xf>
    <xf numFmtId="0" fontId="10" fillId="0" borderId="0" applyAlignment="1" applyProtection="1" pivotButton="0" quotePrefix="0" xfId="0">
      <alignment vertical="top"/>
      <protection locked="0" hidden="0"/>
    </xf>
    <xf numFmtId="0" fontId="24" fillId="0" borderId="0" applyAlignment="1" applyProtection="1" pivotButton="0" quotePrefix="0" xfId="0">
      <alignment vertical="top"/>
      <protection locked="0" hidden="0"/>
    </xf>
    <xf numFmtId="0" fontId="0" fillId="0" borderId="0" applyAlignment="1" pivotButton="0" quotePrefix="0" xfId="0">
      <alignment vertical="top"/>
    </xf>
    <xf numFmtId="0" fontId="12" fillId="0" borderId="0" applyAlignment="1" applyProtection="1" pivotButton="0" quotePrefix="0" xfId="0">
      <alignment vertical="top"/>
      <protection locked="0" hidden="0"/>
    </xf>
    <xf numFmtId="0" fontId="13" fillId="2" borderId="0" applyAlignment="1" applyProtection="1" pivotButton="0" quotePrefix="0" xfId="0">
      <alignment vertical="top" wrapText="1"/>
      <protection locked="0" hidden="0"/>
    </xf>
    <xf numFmtId="0" fontId="12" fillId="0" borderId="0" applyAlignment="1" pivotButton="0" quotePrefix="0" xfId="0">
      <alignment vertical="top"/>
    </xf>
    <xf numFmtId="0" fontId="24" fillId="0" borderId="0" applyAlignment="1" pivotButton="0" quotePrefix="0" xfId="0">
      <alignment vertical="top"/>
    </xf>
    <xf numFmtId="0" fontId="13" fillId="2" borderId="0" applyAlignment="1" applyProtection="1" pivotButton="0" quotePrefix="0" xfId="0">
      <alignment vertical="top"/>
      <protection locked="0" hidden="0"/>
    </xf>
    <xf numFmtId="0" fontId="13" fillId="0" borderId="1" applyAlignment="1" applyProtection="1" pivotButton="0" quotePrefix="0" xfId="0">
      <alignment vertical="top"/>
      <protection locked="0" hidden="0"/>
    </xf>
    <xf numFmtId="0" fontId="13" fillId="2" borderId="1" applyAlignment="1" applyProtection="1" pivotButton="0" quotePrefix="0" xfId="0">
      <alignment vertical="top" wrapText="1"/>
      <protection locked="0" hidden="0"/>
    </xf>
    <xf numFmtId="0" fontId="13"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12" fillId="0" borderId="1" applyAlignment="1" applyProtection="1" pivotButton="0" quotePrefix="0" xfId="0">
      <alignment vertical="top"/>
      <protection locked="0" hidden="0"/>
    </xf>
    <xf numFmtId="0" fontId="12" fillId="2" borderId="1" applyAlignment="1" applyProtection="1" pivotButton="0" quotePrefix="0" xfId="0">
      <alignment vertical="top" wrapText="1"/>
      <protection locked="0" hidden="0"/>
    </xf>
    <xf numFmtId="0" fontId="12" fillId="2" borderId="1" applyAlignment="1" applyProtection="1" pivotButton="0" quotePrefix="0" xfId="0">
      <alignment vertical="top"/>
      <protection locked="0" hidden="0"/>
    </xf>
    <xf numFmtId="0" fontId="28" fillId="0" borderId="0" applyAlignment="1" applyProtection="1" pivotButton="0" quotePrefix="0" xfId="0">
      <alignment vertical="top"/>
      <protection locked="0" hidden="0"/>
    </xf>
    <xf numFmtId="0" fontId="12" fillId="0" borderId="1" applyAlignment="1" pivotButton="0" quotePrefix="0" xfId="0">
      <alignment vertical="top"/>
    </xf>
    <xf numFmtId="0" fontId="12" fillId="2" borderId="0" applyAlignment="1" applyProtection="1" pivotButton="0" quotePrefix="0" xfId="0">
      <alignment vertical="top" wrapText="1"/>
      <protection locked="0" hidden="0"/>
    </xf>
    <xf numFmtId="0" fontId="14" fillId="0"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0" fillId="0" borderId="1" applyAlignment="1" pivotButton="0" quotePrefix="0" xfId="0">
      <alignment vertical="top"/>
    </xf>
    <xf numFmtId="0" fontId="16" fillId="2" borderId="0" applyAlignment="1" applyProtection="1" pivotButton="0" quotePrefix="0" xfId="0">
      <alignment vertical="top"/>
      <protection locked="0" hidden="0"/>
    </xf>
    <xf numFmtId="0" fontId="14" fillId="2" borderId="0" applyAlignment="1" applyProtection="1" pivotButton="0" quotePrefix="0" xfId="0">
      <alignment vertical="top"/>
      <protection locked="0" hidden="0"/>
    </xf>
    <xf numFmtId="0" fontId="14" fillId="0" borderId="0" applyAlignment="1" pivotButton="0" quotePrefix="0" xfId="0">
      <alignment vertical="top"/>
    </xf>
    <xf numFmtId="9" fontId="12" fillId="0" borderId="0" applyAlignment="1" applyProtection="1" pivotButton="0" quotePrefix="0" xfId="0">
      <alignment vertical="top"/>
      <protection locked="0" hidden="0"/>
    </xf>
    <xf numFmtId="0" fontId="18" fillId="2"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10" fillId="0" borderId="0" applyAlignment="1" pivotButton="0" quotePrefix="0" xfId="0">
      <alignment horizontal="center" vertical="center"/>
    </xf>
    <xf numFmtId="0" fontId="10" fillId="2" borderId="0" applyAlignment="1" applyProtection="1" pivotButton="0" quotePrefix="0" xfId="0">
      <alignment horizontal="center" vertical="center" wrapText="1"/>
      <protection locked="0" hidden="0"/>
    </xf>
    <xf numFmtId="0" fontId="10" fillId="2" borderId="0" applyAlignment="1" applyProtection="1" pivotButton="0" quotePrefix="0" xfId="0">
      <alignment horizontal="center" vertical="center"/>
      <protection locked="0" hidden="0"/>
    </xf>
    <xf numFmtId="0" fontId="10" fillId="0" borderId="0" applyAlignment="1" applyProtection="1" pivotButton="0" quotePrefix="0" xfId="0">
      <alignment horizontal="center" vertical="center"/>
      <protection locked="0" hidden="0"/>
    </xf>
    <xf numFmtId="0" fontId="24"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3" fillId="0" borderId="0" applyAlignment="1" applyProtection="1" pivotButton="0" quotePrefix="0" xfId="0">
      <alignment vertical="center"/>
      <protection locked="0" hidden="0"/>
    </xf>
    <xf numFmtId="0" fontId="12" fillId="0" borderId="0" applyAlignment="1" pivotButton="0" quotePrefix="0" xfId="0">
      <alignment vertical="center"/>
    </xf>
    <xf numFmtId="0" fontId="13" fillId="0" borderId="1" applyAlignment="1" applyProtection="1" pivotButton="0" quotePrefix="0" xfId="0">
      <alignment vertical="center"/>
      <protection locked="0" hidden="0"/>
    </xf>
    <xf numFmtId="0" fontId="12" fillId="0" borderId="1" applyAlignment="1" applyProtection="1" pivotButton="0" quotePrefix="0" xfId="0">
      <alignment vertical="center"/>
      <protection locked="0" hidden="0"/>
    </xf>
    <xf numFmtId="0" fontId="10" fillId="0" borderId="0" applyAlignment="1" pivotButton="0" quotePrefix="0" xfId="0">
      <alignment vertical="center"/>
    </xf>
    <xf numFmtId="0" fontId="10"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8" fillId="0" borderId="0" applyAlignment="1" applyProtection="1" pivotButton="0" quotePrefix="0" xfId="0">
      <alignment vertical="center"/>
      <protection locked="0" hidden="0"/>
    </xf>
    <xf numFmtId="0" fontId="28" fillId="0" borderId="0" applyAlignment="1" pivotButton="0" quotePrefix="0" xfId="0">
      <alignment vertical="center"/>
    </xf>
    <xf numFmtId="0" fontId="13" fillId="0" borderId="0" applyAlignment="1" pivotButton="0" quotePrefix="0" xfId="0">
      <alignment vertical="center"/>
    </xf>
    <xf numFmtId="0" fontId="12" fillId="0" borderId="1" applyAlignment="1" pivotButton="0" quotePrefix="0" xfId="0">
      <alignment vertical="center"/>
    </xf>
    <xf numFmtId="0" fontId="12" fillId="0" borderId="0" applyAlignment="1" applyProtection="1" pivotButton="0" quotePrefix="0" xfId="0">
      <alignment vertical="center"/>
      <protection locked="0" hidden="0"/>
    </xf>
    <xf numFmtId="0" fontId="0" fillId="0" borderId="1" applyAlignment="1" pivotButton="0" quotePrefix="0" xfId="0">
      <alignment vertical="center"/>
    </xf>
    <xf numFmtId="0" fontId="24" fillId="0" borderId="0" applyAlignment="1" pivotButton="0" quotePrefix="0" xfId="0">
      <alignment vertical="center"/>
    </xf>
    <xf numFmtId="0" fontId="16" fillId="0" borderId="0" applyAlignment="1" applyProtection="1" pivotButton="0" quotePrefix="0" xfId="0">
      <alignment vertical="center"/>
      <protection locked="0" hidden="0"/>
    </xf>
    <xf numFmtId="0" fontId="8" fillId="0" borderId="0" applyAlignment="1" pivotButton="0" quotePrefix="0" xfId="0">
      <alignment vertical="center"/>
    </xf>
    <xf numFmtId="0" fontId="19" fillId="0" borderId="5" applyAlignment="1" pivotButton="0" quotePrefix="0" xfId="10">
      <alignment horizontal="left" vertical="center" wrapText="1"/>
    </xf>
    <xf numFmtId="0" fontId="19" fillId="0" borderId="8" applyAlignment="1" pivotButton="0" quotePrefix="0" xfId="10">
      <alignment horizontal="left" vertical="center"/>
    </xf>
    <xf numFmtId="0" fontId="20" fillId="0" borderId="19" applyAlignment="1" pivotButton="0" quotePrefix="0" xfId="5">
      <alignment vertical="center" wrapText="1"/>
    </xf>
    <xf numFmtId="0" fontId="5" fillId="5" borderId="24" applyAlignment="1" pivotButton="0" quotePrefix="0" xfId="10">
      <alignment horizontal="center" vertical="center"/>
    </xf>
    <xf numFmtId="0" fontId="20" fillId="0" borderId="22" applyAlignment="1" pivotButton="0" quotePrefix="0" xfId="10">
      <alignment horizontal="center" vertical="center" wrapText="1"/>
    </xf>
    <xf numFmtId="0" fontId="0" fillId="0" borderId="2" pivotButton="0" quotePrefix="0" xfId="0"/>
    <xf numFmtId="0" fontId="12"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10" fillId="0" borderId="7" applyAlignment="1" pivotButton="0" quotePrefix="0" xfId="0">
      <alignment horizontal="center" vertical="center" wrapText="1"/>
    </xf>
    <xf numFmtId="0" fontId="24" fillId="0" borderId="7" applyAlignment="1" pivotButton="0" quotePrefix="0" xfId="0">
      <alignment horizontal="center" vertical="center"/>
    </xf>
    <xf numFmtId="0" fontId="24" fillId="0" borderId="7" applyAlignment="1" pivotButton="0" quotePrefix="0" xfId="0">
      <alignment horizontal="center" vertical="center" wrapText="1"/>
    </xf>
    <xf numFmtId="0" fontId="12" fillId="0" borderId="7" applyAlignment="1" pivotButton="0" quotePrefix="0" xfId="0">
      <alignment horizontal="center" vertical="center"/>
    </xf>
    <xf numFmtId="0" fontId="12" fillId="0" borderId="7" applyAlignment="1" pivotButton="0" quotePrefix="0" xfId="0">
      <alignment wrapText="1"/>
    </xf>
    <xf numFmtId="0" fontId="24" fillId="0" borderId="7" applyAlignment="1" pivotButton="0" quotePrefix="0" xfId="0">
      <alignment wrapText="1"/>
    </xf>
    <xf numFmtId="0" fontId="12"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12"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31" fillId="0" borderId="0" applyAlignment="1" pivotButton="0" quotePrefix="0" xfId="0">
      <alignment vertical="center"/>
    </xf>
    <xf numFmtId="0" fontId="31" fillId="0" borderId="0" applyAlignment="1" pivotButton="0" quotePrefix="0" xfId="0">
      <alignment vertical="top"/>
    </xf>
    <xf numFmtId="0" fontId="31" fillId="0" borderId="0" applyAlignment="1" applyProtection="1" pivotButton="0" quotePrefix="0" xfId="0">
      <alignment vertical="top"/>
      <protection locked="0" hidden="0"/>
    </xf>
    <xf numFmtId="0" fontId="31" fillId="2" borderId="0" applyAlignment="1" applyProtection="1" pivotButton="0" quotePrefix="0" xfId="0">
      <alignment vertical="top" wrapText="1"/>
      <protection locked="0" hidden="0"/>
    </xf>
    <xf numFmtId="0" fontId="31" fillId="2" borderId="0" applyAlignment="1" applyProtection="1" pivotButton="0" quotePrefix="0" xfId="0">
      <alignment vertical="top"/>
      <protection locked="0" hidden="0"/>
    </xf>
    <xf numFmtId="9" fontId="13" fillId="0" borderId="0" applyAlignment="1" applyProtection="1" pivotButton="0" quotePrefix="0" xfId="0">
      <alignment vertical="top"/>
      <protection locked="0" hidden="0"/>
    </xf>
    <xf numFmtId="0" fontId="18" fillId="0" borderId="0" applyAlignment="1" applyProtection="1" pivotButton="0" quotePrefix="0" xfId="0">
      <alignment vertical="top"/>
      <protection locked="0" hidden="0"/>
    </xf>
    <xf numFmtId="0" fontId="18" fillId="0" borderId="0" applyAlignment="1" applyProtection="1" pivotButton="0" quotePrefix="0" xfId="0">
      <alignment vertical="center"/>
      <protection locked="0" hidden="0"/>
    </xf>
    <xf numFmtId="9" fontId="12" fillId="0" borderId="0" applyAlignment="1" applyProtection="1" pivotButton="0" quotePrefix="0" xfId="7">
      <alignment vertical="top" wrapText="1"/>
      <protection locked="0" hidden="0"/>
    </xf>
    <xf numFmtId="9" fontId="12" fillId="0" borderId="0" applyAlignment="1" applyProtection="1" pivotButton="0" quotePrefix="0" xfId="7">
      <alignment vertical="top"/>
      <protection locked="0" hidden="0"/>
    </xf>
    <xf numFmtId="9" fontId="24" fillId="0" borderId="17" applyAlignment="1" applyProtection="1" pivotButton="0" quotePrefix="0" xfId="7">
      <alignment vertical="top"/>
      <protection locked="0" hidden="0"/>
    </xf>
    <xf numFmtId="0" fontId="24" fillId="0" borderId="18" applyAlignment="1" applyProtection="1" pivotButton="0" quotePrefix="0" xfId="0">
      <alignment vertical="top"/>
      <protection locked="0" hidden="0"/>
    </xf>
    <xf numFmtId="0" fontId="24" fillId="2" borderId="0" applyAlignment="1" applyProtection="1" pivotButton="0" quotePrefix="0" xfId="0">
      <alignment vertical="top" wrapText="1"/>
      <protection locked="0" hidden="0"/>
    </xf>
    <xf numFmtId="0" fontId="24" fillId="2" borderId="0" applyAlignment="1" applyProtection="1" pivotButton="0" quotePrefix="0" xfId="0">
      <alignment vertical="top"/>
      <protection locked="0" hidden="0"/>
    </xf>
    <xf numFmtId="0" fontId="0" fillId="0" borderId="0" applyAlignment="1" applyProtection="1" pivotButton="0" quotePrefix="0" xfId="0">
      <alignment horizontal="left" vertical="center" wrapText="1"/>
      <protection locked="0" hidden="0"/>
    </xf>
    <xf numFmtId="1" fontId="29" fillId="2" borderId="7" applyAlignment="1" applyProtection="1" pivotButton="0" quotePrefix="0" xfId="5">
      <alignment horizontal="center" vertical="center"/>
      <protection locked="0" hidden="0"/>
    </xf>
    <xf numFmtId="0" fontId="27" fillId="0" borderId="0" applyProtection="1" pivotButton="0" quotePrefix="0" xfId="0">
      <protection locked="0" hidden="0"/>
    </xf>
    <xf numFmtId="0" fontId="31" fillId="0" borderId="0" applyAlignment="1" applyProtection="1" pivotButton="0" quotePrefix="0" xfId="0">
      <alignment vertical="center"/>
      <protection locked="0" hidden="0"/>
    </xf>
    <xf numFmtId="0" fontId="20" fillId="0" borderId="16" applyAlignment="1" pivotButton="0" quotePrefix="0" xfId="5">
      <alignment vertical="center" wrapText="1"/>
    </xf>
    <xf numFmtId="0" fontId="19" fillId="0" borderId="9" applyAlignment="1" pivotButton="0" quotePrefix="0" xfId="5">
      <alignment vertical="center" wrapText="1"/>
    </xf>
    <xf numFmtId="0" fontId="19" fillId="0" borderId="7" applyAlignment="1" pivotButton="0" quotePrefix="0" xfId="5">
      <alignment vertical="center" wrapText="1"/>
    </xf>
    <xf numFmtId="0" fontId="20" fillId="0" borderId="7" applyAlignment="1" pivotButton="0" quotePrefix="0" xfId="10">
      <alignment vertical="center" wrapText="1"/>
    </xf>
    <xf numFmtId="0" fontId="0" fillId="3" borderId="0" applyAlignment="1" applyProtection="1" pivotButton="0" quotePrefix="0" xfId="0">
      <alignment vertical="top"/>
      <protection locked="0" hidden="0"/>
    </xf>
    <xf numFmtId="0" fontId="23" fillId="0" borderId="7" applyAlignment="1" pivotButton="0" quotePrefix="0" xfId="6">
      <alignment horizontal="center" vertical="center"/>
    </xf>
    <xf numFmtId="0" fontId="4" fillId="0" borderId="2" pivotButton="0" quotePrefix="0" xfId="10"/>
    <xf numFmtId="0" fontId="4" fillId="3" borderId="7" applyAlignment="1" applyProtection="1" pivotButton="0" quotePrefix="0" xfId="10">
      <alignment horizontal="center" vertical="center"/>
      <protection locked="0" hidden="0"/>
    </xf>
    <xf numFmtId="2" fontId="4" fillId="3" borderId="7" applyAlignment="1" applyProtection="1" pivotButton="0" quotePrefix="0" xfId="10">
      <alignment horizontal="center" vertical="center"/>
      <protection locked="0" hidden="0"/>
    </xf>
    <xf numFmtId="0" fontId="12" fillId="0" borderId="0" applyAlignment="1" applyProtection="1" pivotButton="0" quotePrefix="0" xfId="0">
      <alignment horizontal="right" vertical="top"/>
      <protection locked="0" hidden="0"/>
    </xf>
    <xf numFmtId="0" fontId="24" fillId="0" borderId="17" applyAlignment="1" applyProtection="1" pivotButton="0" quotePrefix="0" xfId="0">
      <alignment horizontal="right" vertical="top"/>
      <protection locked="0" hidden="0"/>
    </xf>
    <xf numFmtId="0" fontId="10" fillId="0" borderId="33" applyAlignment="1" applyProtection="1" pivotButton="0" quotePrefix="0" xfId="0">
      <alignment horizontal="center" vertical="center" wrapText="1"/>
      <protection locked="0" hidden="0"/>
    </xf>
    <xf numFmtId="0" fontId="24" fillId="6" borderId="12" applyAlignment="1" applyProtection="1" pivotButton="0" quotePrefix="0" xfId="0">
      <alignment horizontal="center" vertical="center" wrapText="1"/>
      <protection locked="0" hidden="0"/>
    </xf>
    <xf numFmtId="9" fontId="24" fillId="6" borderId="11" applyAlignment="1" applyProtection="1" pivotButton="0" quotePrefix="0" xfId="7">
      <alignment horizontal="center" vertical="center" wrapText="1"/>
      <protection locked="0" hidden="0"/>
    </xf>
    <xf numFmtId="0" fontId="24" fillId="6" borderId="11" applyAlignment="1" applyProtection="1" pivotButton="0" quotePrefix="0" xfId="0">
      <alignment horizontal="center" vertical="center" wrapText="1"/>
      <protection locked="0" hidden="0"/>
    </xf>
    <xf numFmtId="0" fontId="23" fillId="0" borderId="20" applyProtection="1" pivotButton="0" quotePrefix="0" xfId="0">
      <protection locked="0" hidden="0"/>
    </xf>
    <xf numFmtId="0" fontId="0" fillId="0" borderId="17" applyAlignment="1" applyProtection="1" pivotButton="0" quotePrefix="0" xfId="0">
      <alignment vertical="top"/>
      <protection locked="0" hidden="0"/>
    </xf>
    <xf numFmtId="0" fontId="6" fillId="0" borderId="6" pivotButton="0" quotePrefix="0" xfId="5"/>
    <xf numFmtId="0" fontId="19" fillId="0" borderId="8" applyAlignment="1" pivotButton="0" quotePrefix="0" xfId="5">
      <alignment vertical="center"/>
    </xf>
    <xf numFmtId="0" fontId="3" fillId="3" borderId="7" applyAlignment="1" applyProtection="1" pivotButton="0" quotePrefix="0" xfId="5">
      <alignment horizontal="center" vertical="center"/>
      <protection locked="0" hidden="0"/>
    </xf>
    <xf numFmtId="0" fontId="19" fillId="0" borderId="19" applyAlignment="1" pivotButton="0" quotePrefix="0" xfId="5">
      <alignment horizontal="left" vertical="center" wrapText="1"/>
    </xf>
    <xf numFmtId="0" fontId="19" fillId="0" borderId="28" applyAlignment="1" pivotButton="0" quotePrefix="0" xfId="5">
      <alignment horizontal="center" vertical="center" wrapText="1"/>
    </xf>
    <xf numFmtId="0" fontId="6" fillId="0" borderId="23" pivotButton="0" quotePrefix="0" xfId="5"/>
    <xf numFmtId="0" fontId="6" fillId="0" borderId="2" pivotButton="0" quotePrefix="0" xfId="5"/>
    <xf numFmtId="9" fontId="13" fillId="0" borderId="0" applyAlignment="1" applyProtection="1" pivotButton="0" quotePrefix="0" xfId="7">
      <alignment vertical="top"/>
      <protection locked="0" hidden="0"/>
    </xf>
    <xf numFmtId="0" fontId="13" fillId="3" borderId="0" applyProtection="1" pivotButton="0" quotePrefix="0" xfId="0">
      <protection locked="0" hidden="0"/>
    </xf>
    <xf numFmtId="0" fontId="25" fillId="2" borderId="0" applyProtection="1" pivotButton="0" quotePrefix="0" xfId="0">
      <protection locked="0" hidden="0"/>
    </xf>
    <xf numFmtId="0" fontId="25" fillId="0" borderId="0" applyProtection="1" pivotButton="0" quotePrefix="0" xfId="0">
      <protection locked="0" hidden="0"/>
    </xf>
    <xf numFmtId="0" fontId="2" fillId="3" borderId="7" applyAlignment="1" applyProtection="1" pivotButton="0" quotePrefix="0" xfId="5">
      <alignment horizontal="center" vertical="center"/>
      <protection locked="0" hidden="0"/>
    </xf>
    <xf numFmtId="0" fontId="20" fillId="0" borderId="28" applyAlignment="1" pivotButton="0" quotePrefix="0" xfId="5">
      <alignment horizontal="center" vertical="center" wrapText="1"/>
    </xf>
    <xf numFmtId="0" fontId="20" fillId="0" borderId="36" applyAlignment="1" pivotButton="0" quotePrefix="0" xfId="5">
      <alignment horizontal="center" vertical="center" wrapText="1"/>
    </xf>
    <xf numFmtId="2" fontId="2" fillId="3" borderId="24" applyAlignment="1" applyProtection="1" pivotButton="0" quotePrefix="0" xfId="5">
      <alignment horizontal="center" vertical="center"/>
      <protection locked="0" hidden="0"/>
    </xf>
    <xf numFmtId="0" fontId="19" fillId="0" borderId="44" applyAlignment="1" pivotButton="0" quotePrefix="0" xfId="5">
      <alignment vertical="center"/>
    </xf>
    <xf numFmtId="0" fontId="19" fillId="0" borderId="34" applyAlignment="1" pivotButton="0" quotePrefix="0" xfId="5">
      <alignment vertical="center"/>
    </xf>
    <xf numFmtId="0" fontId="12" fillId="7" borderId="0" applyAlignment="1" applyProtection="1" pivotButton="0" quotePrefix="0" xfId="0">
      <alignment vertical="top"/>
      <protection locked="0" hidden="0"/>
    </xf>
    <xf numFmtId="0" fontId="0" fillId="7" borderId="0" applyAlignment="1" applyProtection="1" pivotButton="0" quotePrefix="0" xfId="0">
      <alignment vertical="top"/>
      <protection locked="0" hidden="0"/>
    </xf>
    <xf numFmtId="0" fontId="32" fillId="7" borderId="45" applyAlignment="1" applyProtection="1" pivotButton="0" quotePrefix="0" xfId="0">
      <alignment horizontal="left" vertical="center"/>
      <protection locked="0" hidden="0"/>
    </xf>
    <xf numFmtId="0" fontId="0" fillId="7" borderId="0" applyAlignment="1" applyProtection="1" pivotButton="0" quotePrefix="0" xfId="0">
      <alignment vertical="top" wrapText="1"/>
      <protection locked="0" hidden="0"/>
    </xf>
    <xf numFmtId="0" fontId="32" fillId="0" borderId="45" applyAlignment="1" applyProtection="1" pivotButton="0" quotePrefix="0" xfId="0">
      <alignment vertical="center"/>
      <protection locked="0" hidden="0"/>
    </xf>
    <xf numFmtId="0" fontId="0" fillId="7" borderId="0" applyProtection="1" pivotButton="0" quotePrefix="0" xfId="0">
      <protection locked="0" hidden="0"/>
    </xf>
    <xf numFmtId="0" fontId="33" fillId="7" borderId="0" applyAlignment="1" applyProtection="1" pivotButton="0" quotePrefix="0" xfId="0">
      <alignment horizontal="left" vertical="center" wrapText="1"/>
      <protection locked="0" hidden="0"/>
    </xf>
    <xf numFmtId="0" fontId="33" fillId="7" borderId="0" applyAlignment="1" applyProtection="1" pivotButton="0" quotePrefix="0" xfId="0">
      <alignment wrapText="1"/>
      <protection locked="0" hidden="0"/>
    </xf>
    <xf numFmtId="49" fontId="1" fillId="3" borderId="16" applyAlignment="1" applyProtection="1" pivotButton="0" quotePrefix="0" xfId="5">
      <alignment horizontal="center" vertical="center"/>
      <protection locked="0" hidden="0"/>
    </xf>
    <xf numFmtId="0" fontId="1" fillId="3" borderId="7" applyAlignment="1" applyProtection="1" pivotButton="0" quotePrefix="0" xfId="10">
      <alignment horizontal="center" vertical="center"/>
      <protection locked="0" hidden="0"/>
    </xf>
    <xf numFmtId="0" fontId="1" fillId="3" borderId="9" applyAlignment="1" applyProtection="1" pivotButton="0" quotePrefix="0" xfId="10">
      <alignment horizontal="center" vertical="center"/>
      <protection locked="0" hidden="0"/>
    </xf>
    <xf numFmtId="0" fontId="0" fillId="7" borderId="0" applyAlignment="1" applyProtection="1" pivotButton="0" quotePrefix="0" xfId="0">
      <alignment wrapText="1"/>
      <protection locked="0" hidden="0"/>
    </xf>
    <xf numFmtId="0" fontId="13" fillId="0" borderId="0" applyAlignment="1" applyProtection="1" pivotButton="0" quotePrefix="0" xfId="0">
      <alignment vertical="top"/>
      <protection locked="0" hidden="0"/>
    </xf>
    <xf numFmtId="0" fontId="13" fillId="0" borderId="0" applyAlignment="1" applyProtection="1" pivotButton="0" quotePrefix="0" xfId="0">
      <alignment vertical="top" wrapText="1"/>
      <protection locked="0" hidden="0"/>
    </xf>
    <xf numFmtId="0" fontId="12" fillId="0" borderId="0" applyAlignment="1" applyProtection="1" pivotButton="0" quotePrefix="0" xfId="0">
      <alignment vertical="top" wrapText="1"/>
      <protection locked="0" hidden="0"/>
    </xf>
    <xf numFmtId="164" fontId="12" fillId="0" borderId="0" applyAlignment="1" applyProtection="1" pivotButton="0" quotePrefix="0" xfId="0">
      <alignment horizontal="right" vertical="top"/>
      <protection locked="0" hidden="0"/>
    </xf>
    <xf numFmtId="164" fontId="12" fillId="0" borderId="0" applyAlignment="1" applyProtection="1" pivotButton="0" quotePrefix="0" xfId="0">
      <alignment vertical="top"/>
      <protection locked="0" hidden="0"/>
    </xf>
    <xf numFmtId="164" fontId="13" fillId="0" borderId="0" applyAlignment="1" applyProtection="1" pivotButton="0" quotePrefix="0" xfId="0">
      <alignment horizontal="right" vertical="top"/>
      <protection locked="0" hidden="0"/>
    </xf>
    <xf numFmtId="164" fontId="13" fillId="0" borderId="0" applyAlignment="1" applyProtection="1" pivotButton="0" quotePrefix="0" xfId="0">
      <alignment vertical="top"/>
      <protection locked="0" hidden="0"/>
    </xf>
    <xf numFmtId="164" fontId="12" fillId="0" borderId="0" applyAlignment="1" applyProtection="1" pivotButton="0" quotePrefix="0" xfId="0">
      <alignment horizontal="right" vertical="top" wrapText="1"/>
      <protection locked="0" hidden="0"/>
    </xf>
    <xf numFmtId="164" fontId="12" fillId="0" borderId="0" applyAlignment="1" applyProtection="1" pivotButton="0" quotePrefix="0" xfId="0">
      <alignment vertical="top" wrapText="1"/>
      <protection locked="0" hidden="0"/>
    </xf>
    <xf numFmtId="165" fontId="12" fillId="0" borderId="0" applyAlignment="1" applyProtection="1" pivotButton="0" quotePrefix="0" xfId="0">
      <alignment vertical="top"/>
      <protection locked="0" hidden="0"/>
    </xf>
    <xf numFmtId="165" fontId="5" fillId="2" borderId="16" applyAlignment="1" pivotButton="0" quotePrefix="0" xfId="10">
      <alignment horizontal="center" vertical="center"/>
    </xf>
    <xf numFmtId="165" fontId="5" fillId="2" borderId="7" applyAlignment="1" pivotButton="0" quotePrefix="0" xfId="10">
      <alignment horizontal="center" vertical="center"/>
    </xf>
    <xf numFmtId="165" fontId="5" fillId="2" borderId="4" applyAlignment="1" pivotButton="0" quotePrefix="0" xfId="10">
      <alignment horizontal="center" vertical="center"/>
    </xf>
    <xf numFmtId="0" fontId="0" fillId="2" borderId="0" applyAlignment="1" applyProtection="1" pivotButton="0" quotePrefix="0" xfId="0">
      <alignment vertical="center" wrapText="1"/>
      <protection locked="0" hidden="0"/>
    </xf>
    <xf numFmtId="0" fontId="32" fillId="2" borderId="45" applyAlignment="1" applyProtection="1" pivotButton="0" quotePrefix="0" xfId="2">
      <alignment horizontal="right" vertical="center" wrapText="1"/>
      <protection locked="0" hidden="0"/>
    </xf>
    <xf numFmtId="0" fontId="10" fillId="2" borderId="46" applyAlignment="1" applyProtection="1" pivotButton="0" quotePrefix="0" xfId="0">
      <alignment vertical="top" wrapText="1"/>
      <protection locked="0" hidden="0"/>
    </xf>
    <xf numFmtId="0" fontId="34" fillId="0" borderId="45" applyAlignment="1" applyProtection="1" pivotButton="0" quotePrefix="0" xfId="0">
      <alignment horizontal="right" wrapText="1"/>
      <protection locked="0" hidden="0"/>
    </xf>
    <xf numFmtId="0" fontId="32" fillId="5" borderId="45" applyAlignment="1" applyProtection="1" pivotButton="0" quotePrefix="0" xfId="0">
      <alignment horizontal="right" vertical="center"/>
      <protection locked="0" hidden="0"/>
    </xf>
    <xf numFmtId="0" fontId="35" fillId="2" borderId="0" applyAlignment="1" applyProtection="1" pivotButton="0" quotePrefix="0" xfId="0">
      <alignment wrapText="1"/>
      <protection locked="0" hidden="0"/>
    </xf>
    <xf numFmtId="0" fontId="34" fillId="2" borderId="0" applyAlignment="1" applyProtection="1" pivotButton="0" quotePrefix="0" xfId="0">
      <alignment wrapText="1"/>
      <protection locked="0" hidden="0"/>
    </xf>
    <xf numFmtId="0" fontId="36" fillId="2" borderId="0" applyAlignment="1" applyProtection="1" pivotButton="0" quotePrefix="0" xfId="0">
      <alignment wrapText="1"/>
      <protection locked="0" hidden="0"/>
    </xf>
    <xf numFmtId="0" fontId="34" fillId="2" borderId="0" applyAlignment="1" applyProtection="1" pivotButton="0" quotePrefix="0" xfId="0">
      <alignment vertical="center" wrapText="1"/>
      <protection locked="0" hidden="0"/>
    </xf>
    <xf numFmtId="0" fontId="34" fillId="2" borderId="0" applyProtection="1" pivotButton="0" quotePrefix="0" xfId="0">
      <protection locked="0" hidden="0"/>
    </xf>
    <xf numFmtId="0" fontId="10" fillId="0" borderId="0" applyAlignment="1" pivotButton="0" quotePrefix="0" xfId="0">
      <alignment horizontal="left" vertical="center" wrapText="1"/>
    </xf>
    <xf numFmtId="0" fontId="0" fillId="7" borderId="0" applyAlignment="1" applyProtection="1" pivotButton="0" quotePrefix="0" xfId="0">
      <alignment horizontal="left" vertical="center"/>
      <protection locked="0" hidden="0"/>
    </xf>
    <xf numFmtId="0" fontId="0" fillId="7" borderId="0" applyAlignment="1" applyProtection="1" pivotButton="0" quotePrefix="0" xfId="0">
      <alignment horizontal="left" vertical="center" wrapText="1"/>
      <protection locked="0" hidden="0"/>
    </xf>
    <xf numFmtId="0" fontId="0" fillId="0" borderId="0" applyAlignment="1" pivotButton="0" quotePrefix="0" xfId="0">
      <alignment horizontal="left" vertical="center" wrapText="1"/>
    </xf>
    <xf numFmtId="0" fontId="13" fillId="0" borderId="0" applyAlignment="1" applyProtection="1" pivotButton="0" quotePrefix="0" xfId="0">
      <alignment horizontal="left" vertical="center" wrapText="1"/>
      <protection locked="0" hidden="0"/>
    </xf>
    <xf numFmtId="0" fontId="13" fillId="0" borderId="1" applyAlignment="1" applyProtection="1" pivotButton="0" quotePrefix="0" xfId="0">
      <alignment horizontal="left" vertical="center" wrapText="1"/>
      <protection locked="0" hidden="0"/>
    </xf>
    <xf numFmtId="0" fontId="12" fillId="0" borderId="0" applyAlignment="1" pivotButton="0" quotePrefix="0" xfId="0">
      <alignment horizontal="left" vertical="center" wrapText="1"/>
    </xf>
    <xf numFmtId="0" fontId="12" fillId="0" borderId="1" applyAlignment="1" applyProtection="1" pivotButton="0" quotePrefix="0" xfId="0">
      <alignment horizontal="left" vertical="center" wrapText="1"/>
      <protection locked="0" hidden="0"/>
    </xf>
    <xf numFmtId="0" fontId="31" fillId="0" borderId="0" applyAlignment="1" pivotButton="0" quotePrefix="0" xfId="0">
      <alignment horizontal="left" vertical="center" wrapText="1"/>
    </xf>
    <xf numFmtId="0" fontId="12" fillId="0" borderId="1" applyAlignment="1" pivotButton="0" quotePrefix="0" xfId="0">
      <alignment horizontal="left" vertical="center" wrapText="1"/>
    </xf>
    <xf numFmtId="0" fontId="12" fillId="0" borderId="0" applyAlignment="1" applyProtection="1" pivotButton="0" quotePrefix="0" xfId="0">
      <alignment horizontal="left" vertical="center" wrapText="1"/>
      <protection locked="0" hidden="0"/>
    </xf>
    <xf numFmtId="0" fontId="0" fillId="0" borderId="1" applyAlignment="1" pivotButton="0" quotePrefix="0" xfId="0">
      <alignment horizontal="left" vertical="center" wrapText="1"/>
    </xf>
    <xf numFmtId="0" fontId="24" fillId="0" borderId="0" applyAlignment="1" pivotButton="0" quotePrefix="0" xfId="0">
      <alignment horizontal="left" vertical="center" wrapText="1"/>
    </xf>
    <xf numFmtId="0" fontId="10" fillId="0" borderId="0" applyAlignment="1" applyProtection="1" pivotButton="0" quotePrefix="0" xfId="0">
      <alignment horizontal="left" vertical="center" wrapText="1"/>
      <protection locked="0" hidden="0"/>
    </xf>
    <xf numFmtId="0" fontId="0" fillId="0" borderId="0" applyAlignment="1" pivotButton="0" quotePrefix="0" xfId="0">
      <alignment horizontal="left" vertical="center"/>
    </xf>
    <xf numFmtId="49" fontId="31" fillId="0" borderId="0" applyAlignment="1" applyProtection="1" pivotButton="0" quotePrefix="0" xfId="0">
      <alignment horizontal="left" vertical="center" wrapText="1"/>
      <protection locked="0" hidden="0"/>
    </xf>
    <xf numFmtId="49" fontId="31" fillId="0" borderId="0" applyAlignment="1" pivotButton="0" quotePrefix="0" xfId="0">
      <alignment horizontal="left" vertical="center" wrapText="1"/>
    </xf>
    <xf numFmtId="0" fontId="12" fillId="2" borderId="0" applyAlignment="1" applyProtection="1" pivotButton="0" quotePrefix="0" xfId="0">
      <alignment vertical="center" wrapText="1"/>
      <protection locked="0" hidden="0"/>
    </xf>
    <xf numFmtId="0" fontId="13" fillId="2" borderId="0" applyAlignment="1" applyProtection="1" pivotButton="0" quotePrefix="0" xfId="0">
      <alignment vertical="center" wrapText="1"/>
      <protection locked="0" hidden="0"/>
    </xf>
    <xf numFmtId="0" fontId="12" fillId="7" borderId="0" applyAlignment="1" applyProtection="1" pivotButton="0" quotePrefix="0" xfId="0">
      <alignment vertical="top" wrapText="1"/>
      <protection locked="0" hidden="0"/>
    </xf>
    <xf numFmtId="0" fontId="12" fillId="5" borderId="0" pivotButton="0" quotePrefix="0" xfId="0"/>
    <xf numFmtId="0" fontId="12" fillId="5" borderId="0" applyProtection="1" pivotButton="0" quotePrefix="0" xfId="0">
      <protection locked="0" hidden="0"/>
    </xf>
    <xf numFmtId="0" fontId="32" fillId="7" borderId="0" applyAlignment="1" applyProtection="1" pivotButton="0" quotePrefix="0" xfId="0">
      <alignment vertical="center" wrapText="1"/>
      <protection locked="0" hidden="0"/>
    </xf>
    <xf numFmtId="0" fontId="32" fillId="7" borderId="0" applyAlignment="1" applyProtection="1" pivotButton="0" quotePrefix="0" xfId="0">
      <alignment wrapText="1"/>
      <protection locked="0" hidden="0"/>
    </xf>
    <xf numFmtId="0" fontId="0" fillId="5" borderId="0" pivotButton="0" quotePrefix="0" xfId="0"/>
    <xf numFmtId="0" fontId="13" fillId="5" borderId="0" pivotButton="0" quotePrefix="0" xfId="0"/>
    <xf numFmtId="0" fontId="12" fillId="0" borderId="47" applyAlignment="1" applyProtection="1" pivotButton="0" quotePrefix="0" xfId="0">
      <alignment vertical="top"/>
      <protection locked="0" hidden="0"/>
    </xf>
    <xf numFmtId="0" fontId="13" fillId="0" borderId="47" applyAlignment="1" applyProtection="1" pivotButton="0" quotePrefix="0" xfId="0">
      <alignment vertical="top"/>
      <protection locked="0" hidden="0"/>
    </xf>
    <xf numFmtId="0" fontId="13" fillId="0" borderId="47" applyAlignment="1" applyProtection="1" pivotButton="0" quotePrefix="0" xfId="0">
      <alignment horizontal="left" vertical="center" wrapText="1"/>
      <protection locked="0" hidden="0"/>
    </xf>
    <xf numFmtId="0" fontId="13" fillId="2" borderId="47" applyAlignment="1" applyProtection="1" pivotButton="0" quotePrefix="0" xfId="0">
      <alignment vertical="top" wrapText="1"/>
      <protection locked="0" hidden="0"/>
    </xf>
    <xf numFmtId="0" fontId="13" fillId="2" borderId="47" applyAlignment="1" applyProtection="1" pivotButton="0" quotePrefix="0" xfId="0">
      <alignment vertical="top"/>
      <protection locked="0" hidden="0"/>
    </xf>
    <xf numFmtId="0" fontId="13" fillId="0" borderId="47" applyAlignment="1" applyProtection="1" pivotButton="0" quotePrefix="0" xfId="0">
      <alignment vertical="center"/>
      <protection locked="0" hidden="0"/>
    </xf>
    <xf numFmtId="0" fontId="0" fillId="0" borderId="47" applyAlignment="1" applyProtection="1" pivotButton="0" quotePrefix="0" xfId="0">
      <alignment vertical="center"/>
      <protection locked="0" hidden="0"/>
    </xf>
    <xf numFmtId="0" fontId="12" fillId="7" borderId="0" applyAlignment="1" applyProtection="1" pivotButton="0" quotePrefix="0" xfId="0">
      <alignment vertical="center"/>
      <protection locked="0" hidden="0"/>
    </xf>
    <xf numFmtId="0" fontId="24" fillId="0" borderId="0" applyAlignment="1" applyProtection="1" pivotButton="0" quotePrefix="0" xfId="0">
      <alignment vertical="center"/>
      <protection locked="0" hidden="0"/>
    </xf>
    <xf numFmtId="0" fontId="12" fillId="8" borderId="0" applyAlignment="1" applyProtection="1" pivotButton="0" quotePrefix="0" xfId="0">
      <alignment vertical="top"/>
      <protection locked="0" hidden="0"/>
    </xf>
    <xf numFmtId="0" fontId="12" fillId="8" borderId="0" applyAlignment="1" pivotButton="0" quotePrefix="0" xfId="0">
      <alignment vertical="top"/>
    </xf>
    <xf numFmtId="0" fontId="34" fillId="5" borderId="0" applyAlignment="1" applyProtection="1" pivotButton="0" quotePrefix="0" xfId="0">
      <alignment wrapText="1"/>
      <protection locked="0" hidden="0"/>
    </xf>
    <xf numFmtId="0" fontId="12" fillId="5" borderId="0" applyAlignment="1" applyProtection="1" pivotButton="0" quotePrefix="0" xfId="0">
      <alignment vertical="center"/>
      <protection locked="0" hidden="0"/>
    </xf>
    <xf numFmtId="0" fontId="34" fillId="7" borderId="0" applyAlignment="1" applyProtection="1" pivotButton="0" quotePrefix="0" xfId="0">
      <alignment wrapText="1"/>
      <protection locked="0" hidden="0"/>
    </xf>
    <xf numFmtId="0" fontId="38" fillId="0" borderId="0" applyAlignment="1" pivotButton="0" quotePrefix="0" xfId="0">
      <alignment vertical="center"/>
    </xf>
    <xf numFmtId="0" fontId="12" fillId="7" borderId="0" applyAlignment="1" applyProtection="1" pivotButton="0" quotePrefix="0" xfId="0">
      <alignment horizontal="left" vertical="center" wrapText="1"/>
      <protection locked="0" hidden="0"/>
    </xf>
    <xf numFmtId="0" fontId="12" fillId="7" borderId="0" applyAlignment="1" pivotButton="0" quotePrefix="0" xfId="0">
      <alignment vertical="top"/>
    </xf>
    <xf numFmtId="0" fontId="12" fillId="7" borderId="0" applyAlignment="1" pivotButton="0" quotePrefix="0" xfId="0">
      <alignment horizontal="left" vertical="center" wrapText="1"/>
    </xf>
    <xf numFmtId="0" fontId="0" fillId="7" borderId="0" pivotButton="0" quotePrefix="0" xfId="0"/>
    <xf numFmtId="0" fontId="24" fillId="0" borderId="0" applyAlignment="1" applyProtection="1" pivotButton="0" quotePrefix="0" xfId="0">
      <alignment horizontal="left" vertical="center" wrapText="1"/>
      <protection locked="0" hidden="0"/>
    </xf>
    <xf numFmtId="0" fontId="12" fillId="7" borderId="0" applyAlignment="1" applyProtection="1" pivotButton="0" quotePrefix="0" xfId="0">
      <alignment horizontal="left" vertical="center"/>
      <protection locked="0" hidden="0"/>
    </xf>
    <xf numFmtId="0" fontId="0" fillId="7" borderId="0" applyAlignment="1" pivotButton="0" quotePrefix="0" xfId="0">
      <alignment wrapText="1"/>
    </xf>
    <xf numFmtId="0" fontId="5" fillId="0" borderId="29" applyAlignment="1" pivotButton="0" quotePrefix="0" xfId="10">
      <alignment horizontal="center" vertical="top" textRotation="90" wrapText="1"/>
    </xf>
    <xf numFmtId="0" fontId="0" fillId="0" borderId="27" pivotButton="0" quotePrefix="0" xfId="0"/>
    <xf numFmtId="0" fontId="0" fillId="0" borderId="29" pivotButton="0" quotePrefix="0" xfId="0"/>
    <xf numFmtId="0" fontId="5" fillId="0" borderId="33" applyAlignment="1" pivotButton="0" quotePrefix="0" xfId="10">
      <alignment horizontal="center" vertical="top" textRotation="90"/>
    </xf>
    <xf numFmtId="0" fontId="5" fillId="0" borderId="33" applyAlignment="1" pivotButton="0" quotePrefix="0" xfId="10">
      <alignment horizontal="center" vertical="top" textRotation="90" wrapText="1"/>
    </xf>
    <xf numFmtId="164" fontId="12" fillId="0" borderId="0" applyAlignment="1" applyProtection="1" pivotButton="0" quotePrefix="0" xfId="0">
      <alignment horizontal="right" vertical="top"/>
      <protection locked="0" hidden="0"/>
    </xf>
    <xf numFmtId="164" fontId="12" fillId="0" borderId="0" applyAlignment="1" applyProtection="1" pivotButton="0" quotePrefix="0" xfId="0">
      <alignment vertical="top"/>
      <protection locked="0" hidden="0"/>
    </xf>
    <xf numFmtId="164" fontId="13" fillId="0" borderId="0" applyAlignment="1" applyProtection="1" pivotButton="0" quotePrefix="0" xfId="0">
      <alignment horizontal="right" vertical="top"/>
      <protection locked="0" hidden="0"/>
    </xf>
    <xf numFmtId="164" fontId="13" fillId="0" borderId="0" applyAlignment="1" applyProtection="1" pivotButton="0" quotePrefix="0" xfId="0">
      <alignment vertical="top"/>
      <protection locked="0" hidden="0"/>
    </xf>
    <xf numFmtId="164" fontId="12" fillId="0" borderId="0" applyAlignment="1" applyProtection="1" pivotButton="0" quotePrefix="0" xfId="0">
      <alignment horizontal="right" vertical="top" wrapText="1"/>
      <protection locked="0" hidden="0"/>
    </xf>
    <xf numFmtId="164" fontId="12" fillId="0" borderId="0" applyAlignment="1" applyProtection="1" pivotButton="0" quotePrefix="0" xfId="0">
      <alignment vertical="top" wrapText="1"/>
      <protection locked="0" hidden="0"/>
    </xf>
    <xf numFmtId="165" fontId="12" fillId="0" borderId="0" applyAlignment="1" applyProtection="1" pivotButton="0" quotePrefix="0" xfId="0">
      <alignment vertical="top"/>
      <protection locked="0" hidden="0"/>
    </xf>
    <xf numFmtId="165" fontId="5" fillId="2" borderId="16" applyAlignment="1" pivotButton="0" quotePrefix="0" xfId="10">
      <alignment horizontal="center" vertical="center"/>
    </xf>
    <xf numFmtId="165" fontId="5" fillId="2" borderId="7" applyAlignment="1" pivotButton="0" quotePrefix="0" xfId="10">
      <alignment horizontal="center" vertical="center"/>
    </xf>
    <xf numFmtId="165" fontId="5" fillId="2" borderId="4" applyAlignment="1" pivotButton="0" quotePrefix="0" xfId="10">
      <alignment horizontal="center" vertical="center"/>
    </xf>
  </cellXfs>
  <cellStyles count="15">
    <cellStyle name="Normal" xfId="0" builtinId="0"/>
    <cellStyle name="Normal 2" xfId="1"/>
    <cellStyle name="Normal 3" xfId="2"/>
    <cellStyle name="Normal 5" xfId="3"/>
    <cellStyle name="Normal 4" xfId="4"/>
    <cellStyle name="Normal 4 2" xfId="5"/>
    <cellStyle name="Check Cell" xfId="6" builtinId="23"/>
    <cellStyle name="Per cent" xfId="7" builtinId="5"/>
    <cellStyle name="Normal 2 2" xfId="8"/>
    <cellStyle name="Normal 4 3" xfId="9"/>
    <cellStyle name="Normal 4 2 2" xfId="10"/>
    <cellStyle name="Normal 2 3" xfId="11"/>
    <cellStyle name="Normal 3 2" xfId="12"/>
    <cellStyle name="Normal 2 2 2" xfId="13"/>
    <cellStyle name="Normal 4 4" xfId="14"/>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45"/>
  <sheetViews>
    <sheetView tabSelected="1" zoomScale="90" zoomScaleNormal="90" workbookViewId="0">
      <pane ySplit="1" topLeftCell="A119" activePane="bottomLeft" state="frozen"/>
      <selection pane="bottomLeft" activeCell="B129" sqref="B129"/>
    </sheetView>
  </sheetViews>
  <sheetFormatPr baseColWidth="8" defaultColWidth="8.6640625" defaultRowHeight="14.4"/>
  <cols>
    <col width="33.6640625" customWidth="1" style="47" min="1" max="1"/>
    <col width="25.6640625" customWidth="1" style="47" min="2" max="2"/>
    <col width="51.77734375" customWidth="1" style="161" min="3" max="3"/>
    <col width="46.77734375" customWidth="1" style="48" min="4" max="4"/>
    <col width="35.109375" customWidth="1" style="47" min="5" max="5"/>
    <col width="15.44140625" customWidth="1" style="47" min="6" max="6"/>
    <col width="8.6640625" customWidth="1" style="115" min="7" max="8"/>
    <col width="29.33203125" customWidth="1" style="115" min="9" max="9"/>
    <col width="8.6640625" customWidth="1" style="115" min="10" max="10"/>
    <col width="34.44140625" customWidth="1" style="115" min="11" max="11"/>
    <col width="8.6640625" customWidth="1" style="115" min="12" max="14"/>
    <col width="8.6640625" customWidth="1" style="47" min="15" max="18"/>
    <col hidden="1" width="9.44140625" customWidth="1" style="47" min="19" max="19"/>
    <col width="8.6640625" customWidth="1" style="47" min="20" max="20"/>
    <col width="18.33203125" customWidth="1" style="174" min="21" max="21"/>
    <col width="18.33203125" customWidth="1" style="156" min="22" max="22"/>
    <col width="14.33203125" customWidth="1" style="77" min="23" max="23"/>
    <col hidden="1" width="19.6640625" customWidth="1" style="77" min="24" max="24"/>
    <col width="8.6640625" customWidth="1" style="77" min="25" max="25"/>
    <col width="8.6640625" customWidth="1" style="47" min="26" max="26"/>
    <col width="8.6640625" customWidth="1" style="47" min="27" max="16384"/>
  </cols>
  <sheetData>
    <row r="1" ht="49.2" customFormat="1" customHeight="1" s="106" thickBot="1">
      <c r="A1" s="103" t="inlineStr">
        <is>
          <t>type</t>
        </is>
      </c>
      <c r="B1" s="103" t="inlineStr">
        <is>
          <t>name</t>
        </is>
      </c>
      <c r="C1" s="234" t="inlineStr">
        <is>
          <t>label::English (en)</t>
        </is>
      </c>
      <c r="D1" s="104" t="inlineStr">
        <is>
          <t>label:: Nepalese (np)</t>
        </is>
      </c>
      <c r="E1" s="103" t="inlineStr">
        <is>
          <t>hint::English (en)</t>
        </is>
      </c>
      <c r="F1" s="105" t="inlineStr">
        <is>
          <t>hint:: Nepalese (np)</t>
        </is>
      </c>
      <c r="G1" s="103" t="inlineStr">
        <is>
          <t>required</t>
        </is>
      </c>
      <c r="H1" s="103" t="inlineStr">
        <is>
          <t>appearance</t>
        </is>
      </c>
      <c r="I1" s="103" t="inlineStr">
        <is>
          <t>constraint</t>
        </is>
      </c>
      <c r="J1" s="103" t="inlineStr">
        <is>
          <t>constraint_message</t>
        </is>
      </c>
      <c r="K1" s="103" t="inlineStr">
        <is>
          <t>relevant</t>
        </is>
      </c>
      <c r="L1" s="103" t="inlineStr">
        <is>
          <t>choice_filter</t>
        </is>
      </c>
      <c r="M1" s="103" t="inlineStr">
        <is>
          <t>parameters</t>
        </is>
      </c>
      <c r="N1" s="103" t="inlineStr">
        <is>
          <t>calculation</t>
        </is>
      </c>
      <c r="S1" s="176" t="inlineStr">
        <is>
          <t xml:space="preserve">Mandatory </t>
        </is>
      </c>
      <c r="U1" s="177" t="inlineStr">
        <is>
          <t>New question duration (sec)</t>
        </is>
      </c>
      <c r="V1" s="178" t="inlineStr">
        <is>
          <t>Estimated percentage of repondents</t>
        </is>
      </c>
      <c r="W1" s="179" t="inlineStr">
        <is>
          <t>Weighted time</t>
        </is>
      </c>
      <c r="X1" s="38" t="inlineStr">
        <is>
          <t>Weighted time for core vars</t>
        </is>
      </c>
      <c r="Y1" s="107" t="n"/>
    </row>
    <row r="2">
      <c r="A2" s="76" t="inlineStr">
        <is>
          <t>start</t>
        </is>
      </c>
      <c r="B2" s="76" t="inlineStr">
        <is>
          <t>start</t>
        </is>
      </c>
      <c r="C2" s="237" t="n"/>
      <c r="D2" s="85" t="n"/>
      <c r="E2" s="76" t="n"/>
      <c r="F2" s="86" t="n"/>
      <c r="G2" s="108" t="n"/>
      <c r="H2" s="108" t="n"/>
      <c r="I2" s="108" t="n"/>
      <c r="J2" s="108" t="n"/>
      <c r="K2" s="108" t="n"/>
      <c r="L2" s="108" t="n"/>
      <c r="M2" s="108" t="n"/>
      <c r="N2" s="108" t="n"/>
      <c r="U2" s="287" t="n"/>
      <c r="W2" s="288">
        <f>IF(U2&lt;&gt;"",U2*V2,"")</f>
        <v/>
      </c>
      <c r="X2" s="288">
        <f>IF(AND(U2&lt;&gt;"",S2="yes"),U2*V2,"")</f>
        <v/>
      </c>
    </row>
    <row r="3">
      <c r="A3" s="76" t="inlineStr">
        <is>
          <t>end</t>
        </is>
      </c>
      <c r="B3" s="76" t="inlineStr">
        <is>
          <t>end</t>
        </is>
      </c>
      <c r="C3" s="237" t="n"/>
      <c r="D3" s="85" t="n"/>
      <c r="E3" s="76" t="n"/>
      <c r="F3" s="86" t="n"/>
      <c r="G3" s="108" t="n"/>
      <c r="H3" s="108" t="n"/>
      <c r="I3" s="108" t="n"/>
      <c r="J3" s="108" t="n"/>
      <c r="K3" s="108" t="n"/>
      <c r="L3" s="108" t="n"/>
      <c r="M3" s="108" t="n"/>
      <c r="N3" s="108" t="n"/>
      <c r="U3" s="287" t="n"/>
      <c r="W3" s="288">
        <f>IF(U3&lt;&gt;"",U3*V3,"")</f>
        <v/>
      </c>
      <c r="X3" s="288">
        <f>IF(AND(U3&lt;&gt;"",S3="yes"),U3*V3,"")</f>
        <v/>
      </c>
    </row>
    <row r="4">
      <c r="A4" s="76" t="inlineStr">
        <is>
          <t>today</t>
        </is>
      </c>
      <c r="B4" s="76" t="inlineStr">
        <is>
          <t>today</t>
        </is>
      </c>
      <c r="C4" s="237" t="n"/>
      <c r="D4" s="85" t="n"/>
      <c r="E4" s="76" t="n"/>
      <c r="F4" s="86" t="n"/>
      <c r="G4" s="108" t="n"/>
      <c r="H4" s="108" t="n"/>
      <c r="I4" s="108" t="n"/>
      <c r="J4" s="108" t="n"/>
      <c r="K4" s="108" t="n"/>
      <c r="L4" s="108" t="n"/>
      <c r="M4" s="108" t="n"/>
      <c r="N4" s="108" t="n"/>
      <c r="U4" s="287" t="n"/>
      <c r="W4" s="288">
        <f>IF(U4&lt;&gt;"",U4*V4,"")</f>
        <v/>
      </c>
      <c r="X4" s="288">
        <f>IF(AND(U4&lt;&gt;"",S4="yes"),U4*V4,"")</f>
        <v/>
      </c>
    </row>
    <row r="5">
      <c r="A5" s="76" t="inlineStr">
        <is>
          <t>deviceid</t>
        </is>
      </c>
      <c r="B5" s="76" t="inlineStr">
        <is>
          <t>deviceid</t>
        </is>
      </c>
      <c r="C5" s="237" t="n"/>
      <c r="D5" s="85" t="n"/>
      <c r="E5" s="76" t="n"/>
      <c r="F5" s="86" t="n"/>
      <c r="G5" s="108" t="n"/>
      <c r="H5" s="108" t="n"/>
      <c r="I5" s="108" t="n"/>
      <c r="J5" s="108" t="n"/>
      <c r="K5" s="108" t="n"/>
      <c r="L5" s="108" t="n"/>
      <c r="M5" s="108" t="n"/>
      <c r="N5" s="108" t="n"/>
      <c r="U5" s="287" t="n"/>
      <c r="W5" s="288">
        <f>IF(U5&lt;&gt;"",U5*V5,"")</f>
        <v/>
      </c>
      <c r="X5" s="288">
        <f>IF(AND(U5&lt;&gt;"",S5="yes"),U5*V5,"")</f>
        <v/>
      </c>
    </row>
    <row r="6">
      <c r="A6" s="76" t="inlineStr">
        <is>
          <t>audit</t>
        </is>
      </c>
      <c r="B6" s="76" t="inlineStr">
        <is>
          <t>audit</t>
        </is>
      </c>
      <c r="C6" s="237" t="n"/>
      <c r="D6" s="85" t="n"/>
      <c r="E6" s="76" t="n"/>
      <c r="F6" s="86" t="n"/>
      <c r="G6" s="108" t="n"/>
      <c r="H6" s="108" t="n"/>
      <c r="I6" s="108" t="n"/>
      <c r="J6" s="108" t="n"/>
      <c r="K6" s="108" t="n"/>
      <c r="L6" s="108" t="n"/>
      <c r="M6" s="108" t="n"/>
      <c r="N6" s="108" t="n"/>
      <c r="U6" s="287" t="n"/>
      <c r="W6" s="288" t="n"/>
      <c r="X6" s="288" t="n"/>
    </row>
    <row r="7">
      <c r="A7" s="76" t="inlineStr">
        <is>
          <t>calculate</t>
        </is>
      </c>
      <c r="B7" s="76" t="inlineStr">
        <is>
          <t>audio_random</t>
        </is>
      </c>
      <c r="C7" s="237" t="n"/>
      <c r="D7" s="85" t="n"/>
      <c r="E7" s="76" t="n"/>
      <c r="F7" s="86" t="n"/>
      <c r="G7" s="108" t="n"/>
      <c r="H7" s="108" t="n"/>
      <c r="I7" s="108" t="n"/>
      <c r="J7" s="108" t="n"/>
      <c r="K7" s="47" t="n"/>
      <c r="L7" s="108" t="n"/>
      <c r="M7" s="108" t="n"/>
      <c r="N7" s="108" t="inlineStr">
        <is>
          <t>once(random())</t>
        </is>
      </c>
      <c r="U7" s="287" t="n"/>
      <c r="W7" s="288" t="n"/>
      <c r="X7" s="288" t="n"/>
    </row>
    <row r="8">
      <c r="A8" s="76" t="inlineStr">
        <is>
          <t>background-audio</t>
        </is>
      </c>
      <c r="B8" s="76" t="inlineStr">
        <is>
          <t>background-audio</t>
        </is>
      </c>
      <c r="C8" s="237" t="n"/>
      <c r="D8" s="85" t="n"/>
      <c r="E8" s="76" t="n"/>
      <c r="F8" s="86" t="n"/>
      <c r="G8" s="108" t="n"/>
      <c r="H8" s="108" t="n"/>
      <c r="I8" s="108" t="n"/>
      <c r="J8" s="108" t="n"/>
      <c r="K8" s="108" t="inlineStr">
        <is>
          <t>${audio_random}&lt;=0.02</t>
        </is>
      </c>
      <c r="L8" s="108" t="n"/>
      <c r="M8" s="108" t="inlineStr">
        <is>
          <t>quality=low</t>
        </is>
      </c>
      <c r="N8" s="108" t="n"/>
      <c r="U8" s="287" t="n"/>
      <c r="W8" s="288" t="n"/>
      <c r="X8" s="288" t="n"/>
    </row>
    <row r="9" ht="16.2" customFormat="1" customHeight="1" s="211">
      <c r="A9" s="211" t="inlineStr">
        <is>
          <t>select_one enumteam</t>
        </is>
      </c>
      <c r="B9" s="211" t="inlineStr">
        <is>
          <t>enum_team</t>
        </is>
      </c>
      <c r="C9" s="238" t="inlineStr">
        <is>
          <t>Enumerator team number or code</t>
        </is>
      </c>
      <c r="D9" s="78" t="n"/>
      <c r="F9" s="81" t="n"/>
      <c r="G9" s="109" t="n"/>
      <c r="H9" s="109" t="n"/>
      <c r="J9" s="109" t="n"/>
      <c r="K9" s="109" t="n"/>
      <c r="L9" s="109" t="n"/>
      <c r="M9" s="109" t="n"/>
      <c r="N9" s="109" t="n"/>
      <c r="U9" s="289" t="n"/>
      <c r="V9" s="189" t="n"/>
      <c r="W9" s="290" t="n"/>
      <c r="X9" s="290" t="n"/>
    </row>
    <row r="10" ht="16.2" customHeight="1">
      <c r="A10" s="76" t="inlineStr">
        <is>
          <t>select_one enumerator</t>
        </is>
      </c>
      <c r="B10" s="76" t="inlineStr">
        <is>
          <t>enumerator</t>
        </is>
      </c>
      <c r="C10" s="237" t="inlineStr">
        <is>
          <t>Name of enumerator</t>
        </is>
      </c>
      <c r="D10" s="85" t="n"/>
      <c r="E10" s="76" t="n"/>
      <c r="F10" s="86" t="n"/>
      <c r="G10" s="108" t="inlineStr">
        <is>
          <t>true</t>
        </is>
      </c>
      <c r="H10" s="108" t="n"/>
      <c r="I10" s="108" t="n"/>
      <c r="J10" s="108" t="n"/>
      <c r="K10" s="108" t="n"/>
      <c r="L10" s="109" t="inlineStr">
        <is>
          <t>my_filter_admin=${enum_team}</t>
        </is>
      </c>
      <c r="M10" s="108" t="n"/>
      <c r="N10" s="108" t="n"/>
      <c r="S10" s="47" t="inlineStr">
        <is>
          <t>yes</t>
        </is>
      </c>
      <c r="U10" s="287" t="n"/>
      <c r="W10" s="288">
        <f>IF(U10&lt;&gt;"",U10*V10,"")</f>
        <v/>
      </c>
      <c r="X10" s="288">
        <f>IF(AND(U10&lt;&gt;"",S10="yes"),U10*V10,"")</f>
        <v/>
      </c>
    </row>
    <row r="11">
      <c r="A11" s="76" t="inlineStr">
        <is>
          <t>calculate</t>
        </is>
      </c>
      <c r="B11" s="76" t="inlineStr">
        <is>
          <t>enumerator_</t>
        </is>
      </c>
      <c r="C11" s="237" t="n"/>
      <c r="D11" s="85" t="n"/>
      <c r="E11" s="76" t="n"/>
      <c r="F11" s="86" t="n"/>
      <c r="G11" s="108" t="n"/>
      <c r="H11" s="108" t="n"/>
      <c r="I11" s="108" t="n"/>
      <c r="J11" s="108" t="n"/>
      <c r="K11" s="108" t="n"/>
      <c r="L11" s="108" t="n"/>
      <c r="M11" s="108" t="n"/>
      <c r="N11" s="108" t="inlineStr">
        <is>
          <t>jr:choice-name(${enumerator},'${enumerator}')</t>
        </is>
      </c>
      <c r="S11" s="47" t="inlineStr">
        <is>
          <t>yes</t>
        </is>
      </c>
      <c r="U11" s="287" t="n"/>
      <c r="W11" s="288">
        <f>IF(U11&lt;&gt;"",U11*V11,"")</f>
        <v/>
      </c>
      <c r="X11" s="288">
        <f>IF(AND(U11&lt;&gt;"",S11="yes"),U11*V11,"")</f>
        <v/>
      </c>
    </row>
    <row r="12" ht="16.2" customFormat="1" customHeight="1" s="211" thickBot="1">
      <c r="A12" s="82" t="n"/>
      <c r="B12" s="82" t="n"/>
      <c r="C12" s="239" t="n"/>
      <c r="D12" s="83" t="n"/>
      <c r="E12" s="82" t="n"/>
      <c r="F12" s="84" t="n"/>
      <c r="G12" s="111" t="n"/>
      <c r="H12" s="111" t="n"/>
      <c r="I12" s="111" t="n"/>
      <c r="J12" s="111" t="n"/>
      <c r="K12" s="111" t="n"/>
      <c r="L12" s="111" t="n"/>
      <c r="M12" s="111" t="n"/>
      <c r="N12" s="111" t="n"/>
      <c r="U12" s="287" t="n"/>
      <c r="V12" s="156" t="n"/>
      <c r="W12" s="288" t="n"/>
      <c r="X12" s="288" t="n"/>
      <c r="Y12" s="77" t="n"/>
    </row>
    <row r="13" ht="130.2" customHeight="1" thickTop="1">
      <c r="A13" s="76" t="inlineStr">
        <is>
          <t>note</t>
        </is>
      </c>
      <c r="B13" s="76" t="inlineStr">
        <is>
          <t>introduction</t>
        </is>
      </c>
      <c r="C13" s="161" t="inlineStr">
        <is>
          <t>Hello sir/ma'am, my name is ${enumerator_}. On behalf of the humanitarian organization called Food and Agriculture Organization of the United Nations (FAO), we are conducting a survey on households' ability to access food in your area and the impact of the recent earthquake. I would like to ask you some questions about your household.
The survey usually takes 20/30 minutes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3" s="224" t="n"/>
      <c r="E13" s="76" t="inlineStr">
        <is>
          <t>[INSTRUCTIONS: ADDRESS QUESTIONS FROM RESPONDENT, IF ANY.]</t>
        </is>
      </c>
      <c r="F13" s="86" t="n"/>
      <c r="G13" s="108" t="inlineStr">
        <is>
          <t>false</t>
        </is>
      </c>
      <c r="H13" s="108" t="n"/>
      <c r="I13" s="108" t="n"/>
      <c r="J13" s="108" t="n"/>
      <c r="K13" s="108" t="n"/>
      <c r="L13" s="108" t="n"/>
      <c r="M13" s="108" t="n"/>
      <c r="N13" s="108" t="n"/>
      <c r="S13" s="47" t="inlineStr">
        <is>
          <t>no</t>
        </is>
      </c>
      <c r="U13" s="287" t="n">
        <v>50.82254028320312</v>
      </c>
      <c r="W13" s="288">
        <f>IF(U13&lt;&gt;"",U13*V13,"")</f>
        <v/>
      </c>
      <c r="X13" s="288">
        <f>IF(AND(U13&lt;&gt;"",S13="yes"),U13*V13,"")</f>
        <v/>
      </c>
    </row>
    <row r="14" ht="16.2" customHeight="1">
      <c r="A14" s="76" t="inlineStr">
        <is>
          <t>select_one participate</t>
        </is>
      </c>
      <c r="B14" s="76" t="inlineStr">
        <is>
          <t>resp_agree</t>
        </is>
      </c>
      <c r="C14" s="237" t="inlineStr">
        <is>
          <t>Are you interested in participating in this survey?</t>
        </is>
      </c>
      <c r="D14" s="85" t="n"/>
      <c r="E14" s="76" t="n"/>
      <c r="F14" s="86" t="n"/>
      <c r="G14" s="108" t="inlineStr">
        <is>
          <t>false</t>
        </is>
      </c>
      <c r="H14" s="108" t="n"/>
      <c r="I14" s="108" t="n"/>
      <c r="J14" s="108" t="n"/>
      <c r="K14" s="108" t="n"/>
      <c r="L14" s="108" t="n"/>
      <c r="M14" s="108" t="n"/>
      <c r="N14" s="108" t="n"/>
      <c r="S14" s="47" t="inlineStr">
        <is>
          <t>yes</t>
        </is>
      </c>
      <c r="U14" s="287" t="n">
        <v>3.5</v>
      </c>
      <c r="V14" s="156">
        <f>1</f>
        <v/>
      </c>
      <c r="W14" s="288">
        <f>IF(U14&lt;&gt;"",U14*V14,"")</f>
        <v/>
      </c>
      <c r="X14" s="288">
        <f>IF(AND(U14&lt;&gt;"",S14="yes"),U14*V14,"")</f>
        <v/>
      </c>
    </row>
    <row r="15" ht="16.2" customFormat="1" customHeight="1" s="211">
      <c r="A15" s="79" t="inlineStr">
        <is>
          <t>geopoint</t>
        </is>
      </c>
      <c r="B15" s="79" t="inlineStr">
        <is>
          <t>gps_1</t>
        </is>
      </c>
      <c r="C15" s="240" t="inlineStr">
        <is>
          <t xml:space="preserve">GPS INSTRUCTION: Take a GPS measurement. </t>
        </is>
      </c>
      <c r="D15" s="85" t="n"/>
      <c r="E15" s="79" t="inlineStr">
        <is>
          <t>NOTE: It might take a few minutes for the tablet to register the GPS. Wait for it to load. If it takes longer than 3 minutes, skip to the next question. You can take the GPS reading in the end.</t>
        </is>
      </c>
      <c r="F15" s="81" t="n"/>
      <c r="G15" s="108" t="inlineStr">
        <is>
          <t>false</t>
        </is>
      </c>
      <c r="H15" s="109" t="n"/>
      <c r="I15" s="109" t="n"/>
      <c r="J15" s="109" t="n"/>
      <c r="K15" s="108" t="inlineStr">
        <is>
          <t>${resp_agree} = '1'</t>
        </is>
      </c>
      <c r="L15" s="109" t="n"/>
      <c r="M15" s="109" t="n"/>
      <c r="N15" s="109" t="n"/>
      <c r="U15" s="287" t="n">
        <v>0</v>
      </c>
      <c r="V15" s="156" t="n">
        <v>1</v>
      </c>
      <c r="W15" s="288">
        <f>IF(U15&lt;&gt;"",U15*V15,"")</f>
        <v/>
      </c>
      <c r="X15" s="288" t="n"/>
      <c r="Y15" s="77" t="n"/>
    </row>
    <row r="16" ht="16.2" customFormat="1" customHeight="1" s="77">
      <c r="A16" s="79" t="inlineStr">
        <is>
          <t>note</t>
        </is>
      </c>
      <c r="B16" s="79" t="inlineStr">
        <is>
          <t>Refusal</t>
        </is>
      </c>
      <c r="C16" s="240" t="inlineStr">
        <is>
          <t>Thank you for your time, you will be removed from today's survey.</t>
        </is>
      </c>
      <c r="D16" s="85" t="n"/>
      <c r="E16" s="79" t="n"/>
      <c r="F16" s="94" t="n"/>
      <c r="G16" s="110" t="inlineStr">
        <is>
          <t>false</t>
        </is>
      </c>
      <c r="H16" s="110" t="n"/>
      <c r="I16" s="110" t="n"/>
      <c r="J16" s="110" t="n"/>
      <c r="K16" s="110" t="inlineStr">
        <is>
          <t>${resp_agree} = '2'</t>
        </is>
      </c>
      <c r="L16" s="110" t="n"/>
      <c r="M16" s="110" t="n"/>
      <c r="N16" s="110" t="n"/>
      <c r="S16" s="77" t="inlineStr">
        <is>
          <t>no</t>
        </is>
      </c>
      <c r="U16" s="287" t="n">
        <v>0</v>
      </c>
      <c r="V16" s="156" t="n">
        <v>1</v>
      </c>
      <c r="W16" s="288">
        <f>IF(U16&lt;&gt;"",U16*V16,"")</f>
        <v/>
      </c>
      <c r="X16" s="288">
        <f>IF(AND(U16&lt;&gt;"",S16="yes"),U16*V16,"")</f>
        <v/>
      </c>
    </row>
    <row r="17" ht="16.2" customFormat="1" customHeight="1" s="77" thickBot="1">
      <c r="A17" s="87" t="n"/>
      <c r="B17" s="87" t="n"/>
      <c r="C17" s="241" t="n"/>
      <c r="D17" s="88" t="n"/>
      <c r="E17" s="87" t="n"/>
      <c r="F17" s="89" t="n"/>
      <c r="G17" s="112" t="n"/>
      <c r="H17" s="112" t="n"/>
      <c r="I17" s="112" t="n"/>
      <c r="J17" s="112" t="n"/>
      <c r="K17" s="112" t="n"/>
      <c r="L17" s="112" t="n"/>
      <c r="M17" s="112" t="n"/>
      <c r="N17" s="112" t="n"/>
      <c r="U17" s="287" t="n"/>
      <c r="V17" s="156" t="n"/>
      <c r="W17" s="288">
        <f>IF(U17&lt;&gt;"",U17*V17,"")</f>
        <v/>
      </c>
      <c r="X17" s="288">
        <f>IF(AND(U17&lt;&gt;"",S17="yes"),U17*V17,"")</f>
        <v/>
      </c>
    </row>
    <row r="18" ht="16.95" customFormat="1" customHeight="1" s="74" thickTop="1">
      <c r="A18" s="71" t="inlineStr">
        <is>
          <t>begin_group</t>
        </is>
      </c>
      <c r="B18" s="71" t="inlineStr">
        <is>
          <t>eligibility</t>
        </is>
      </c>
      <c r="C18" s="234" t="inlineStr">
        <is>
          <t>ELIGIBILITY CRITERIA</t>
        </is>
      </c>
      <c r="D18" s="72" t="n"/>
      <c r="E18" s="71" t="n"/>
      <c r="F18" s="73" t="n"/>
      <c r="G18" s="113" t="inlineStr">
        <is>
          <t>false</t>
        </is>
      </c>
      <c r="H18" s="113" t="n"/>
      <c r="I18" s="113" t="n"/>
      <c r="J18" s="113" t="n"/>
      <c r="K18" s="113" t="inlineStr">
        <is>
          <t>${resp_agree} = '1'</t>
        </is>
      </c>
      <c r="L18" s="113" t="n"/>
      <c r="M18" s="113" t="n"/>
      <c r="N18" s="113" t="n"/>
      <c r="S18" s="47" t="inlineStr">
        <is>
          <t>yes</t>
        </is>
      </c>
      <c r="U18" s="287" t="n"/>
      <c r="V18" s="156" t="n"/>
      <c r="W18" s="288">
        <f>IF(U18&lt;&gt;"",U18*V18,"")</f>
        <v/>
      </c>
      <c r="X18" s="288">
        <f>IF(AND(U18&lt;&gt;"",S18="yes"),U18*V18,"")</f>
        <v/>
      </c>
      <c r="Y18" s="75" t="n"/>
    </row>
    <row r="19" customFormat="1" s="211">
      <c r="C19" s="238" t="n"/>
      <c r="D19" s="78" t="n"/>
      <c r="F19" s="81" t="n"/>
      <c r="G19" s="109" t="n"/>
      <c r="H19" s="109" t="n"/>
      <c r="I19" s="109" t="n"/>
      <c r="J19" s="109" t="n"/>
      <c r="K19" s="109" t="n"/>
      <c r="L19" s="109" t="n"/>
      <c r="M19" s="109" t="n"/>
      <c r="N19" s="109" t="n"/>
      <c r="U19" s="287" t="n"/>
      <c r="V19" s="77" t="n"/>
      <c r="W19" s="288">
        <f>IF(U19&lt;&gt;"",U19*V19,"")</f>
        <v/>
      </c>
      <c r="X19" s="288">
        <f>IF(AND(U19&lt;&gt;"",S19="yes"),U19*V19,"")</f>
        <v/>
      </c>
      <c r="Y19" s="77" t="n"/>
    </row>
    <row r="20" ht="16.2" customFormat="1" customHeight="1" s="211">
      <c r="A20" s="79" t="inlineStr">
        <is>
          <t>text</t>
        </is>
      </c>
      <c r="B20" s="79" t="inlineStr">
        <is>
          <t>resp_firstname</t>
        </is>
      </c>
      <c r="C20" s="240" t="inlineStr">
        <is>
          <t>What is your first name?</t>
        </is>
      </c>
      <c r="D20" s="85" t="n"/>
      <c r="E20" s="77" t="inlineStr">
        <is>
          <t>[INSTRUCTIONS: RECORD THE RESPONDENT'S FIRST NAME. ENTER 999 FOR REFUSED]</t>
        </is>
      </c>
      <c r="F20" s="81" t="n"/>
      <c r="G20" s="110" t="inlineStr">
        <is>
          <t>true</t>
        </is>
      </c>
      <c r="H20" s="110" t="n"/>
      <c r="I20" s="110" t="n"/>
      <c r="J20" s="110" t="n"/>
      <c r="K20" s="110" t="n"/>
      <c r="L20" s="110" t="n"/>
      <c r="M20" s="110" t="n"/>
      <c r="N20" s="110" t="n"/>
      <c r="S20" s="77" t="inlineStr">
        <is>
          <t>yes</t>
        </is>
      </c>
      <c r="U20" s="287" t="n">
        <v>10</v>
      </c>
      <c r="V20" s="156">
        <f>1</f>
        <v/>
      </c>
      <c r="W20" s="288">
        <f>IF(U20&lt;&gt;"",U20*V20,"")</f>
        <v/>
      </c>
      <c r="X20" s="288">
        <f>IF(AND(U20&lt;&gt;"",S20="yes"),U20*V20,"")</f>
        <v/>
      </c>
      <c r="Y20" s="77" t="n"/>
    </row>
    <row r="21" ht="16.2" customFormat="1" customHeight="1" s="211">
      <c r="A21" s="79" t="inlineStr">
        <is>
          <t>text</t>
        </is>
      </c>
      <c r="B21" s="79" t="inlineStr">
        <is>
          <t>resp_lastname</t>
        </is>
      </c>
      <c r="C21" s="240" t="inlineStr">
        <is>
          <t>What is your last name?</t>
        </is>
      </c>
      <c r="D21" s="85" t="n"/>
      <c r="E21" s="77" t="inlineStr">
        <is>
          <t>[INSTRUCTIONS: RECORD THE RESPONDENT'S LAST NAME. ENTER 999 FOR REFUSED]</t>
        </is>
      </c>
      <c r="F21" s="81" t="n"/>
      <c r="G21" s="110" t="inlineStr">
        <is>
          <t>true</t>
        </is>
      </c>
      <c r="H21" s="110" t="n"/>
      <c r="I21" s="110" t="n"/>
      <c r="J21" s="110" t="n"/>
      <c r="K21" s="110" t="n"/>
      <c r="L21" s="110" t="n"/>
      <c r="M21" s="110" t="n"/>
      <c r="N21" s="110" t="n"/>
      <c r="S21" s="77" t="inlineStr">
        <is>
          <t>yes</t>
        </is>
      </c>
      <c r="U21" s="287" t="n">
        <v>10</v>
      </c>
      <c r="V21" s="156">
        <f>1</f>
        <v/>
      </c>
      <c r="W21" s="288">
        <f>IF(U21&lt;&gt;"",U21*V21,"")</f>
        <v/>
      </c>
      <c r="X21" s="288">
        <f>IF(AND(U21&lt;&gt;"",S21="yes"),U21*V21,"")</f>
        <v/>
      </c>
      <c r="Y21" s="77" t="n"/>
    </row>
    <row r="22" customFormat="1" s="211">
      <c r="C22" s="238" t="n"/>
      <c r="D22" s="78" t="n"/>
      <c r="F22" s="81" t="n"/>
      <c r="G22" s="109" t="n"/>
      <c r="H22" s="109" t="n"/>
      <c r="I22" s="109" t="n"/>
      <c r="J22" s="109" t="n"/>
      <c r="K22" s="109" t="n"/>
      <c r="L22" s="109" t="n"/>
      <c r="M22" s="109" t="n"/>
      <c r="N22" s="109" t="n"/>
      <c r="U22" s="287" t="n"/>
      <c r="V22" s="156" t="n"/>
      <c r="W22" s="288">
        <f>IF(U22&lt;&gt;"",U22*V22,"")</f>
        <v/>
      </c>
      <c r="X22" s="288">
        <f>IF(AND(U22&lt;&gt;"",S22="yes"),U22*V22,"")</f>
        <v/>
      </c>
      <c r="Y22" s="77" t="n"/>
    </row>
    <row r="23" ht="16.2" customHeight="1">
      <c r="A23" s="76" t="inlineStr">
        <is>
          <t>integer</t>
        </is>
      </c>
      <c r="B23" s="76" t="inlineStr">
        <is>
          <t>resp_age</t>
        </is>
      </c>
      <c r="C23" s="237" t="inlineStr">
        <is>
          <t>How old are you?</t>
        </is>
      </c>
      <c r="D23" s="85" t="n"/>
      <c r="E23" s="76" t="inlineStr">
        <is>
          <t>[INSTRUCTIONS: RECORD AGE IN NUMBER OF YEARS. ROUND UP TO NEAREST WHOLE NUMBER. IF THE RESPONDENT GIVES BIRTH YEAR, REPEAT THE QUESTION.]</t>
        </is>
      </c>
      <c r="F23" s="86" t="n"/>
      <c r="G23" s="108" t="inlineStr">
        <is>
          <t>true</t>
        </is>
      </c>
      <c r="H23" s="108" t="n"/>
      <c r="I23" s="108" t="inlineStr">
        <is>
          <t>. &gt;= 18 and . &lt;= 100</t>
        </is>
      </c>
      <c r="J23" s="108" t="n"/>
      <c r="K23" s="108" t="n"/>
      <c r="L23" s="108" t="n"/>
      <c r="M23" s="108" t="n"/>
      <c r="N23" s="108" t="n"/>
      <c r="S23" s="47" t="inlineStr">
        <is>
          <t>yes</t>
        </is>
      </c>
      <c r="U23" s="287" t="n">
        <v>13.75307273864746</v>
      </c>
      <c r="V23" s="156">
        <f>1</f>
        <v/>
      </c>
      <c r="W23" s="288">
        <f>IF(U23&lt;&gt;"",U23*V23,"")</f>
        <v/>
      </c>
      <c r="X23" s="288">
        <f>IF(AND(U23&lt;&gt;"",S23="yes"),U23*V23,"")</f>
        <v/>
      </c>
    </row>
    <row r="24">
      <c r="D24" s="85" t="n"/>
      <c r="F24" s="86" t="n"/>
      <c r="U24" s="287" t="n"/>
      <c r="W24" s="288">
        <f>IF(U24&lt;&gt;"",U24*V24,"")</f>
        <v/>
      </c>
      <c r="X24" s="288">
        <f>IF(AND(U24&lt;&gt;"",S24="yes"),U24*V24,"")</f>
        <v/>
      </c>
    </row>
    <row r="25" ht="16.2" customFormat="1" customHeight="1" s="211">
      <c r="A25" s="211" t="inlineStr">
        <is>
          <t>select_one gender</t>
        </is>
      </c>
      <c r="B25" s="211" t="inlineStr">
        <is>
          <t>resp_gender</t>
        </is>
      </c>
      <c r="C25" s="238" t="inlineStr">
        <is>
          <t>What is the gender of the respondent?</t>
        </is>
      </c>
      <c r="D25" s="85" t="n"/>
      <c r="E25" s="211" t="inlineStr">
        <is>
          <t>[INSTRUCTIONS: DO NOT ASK THIS QUESTIONNAIRE. LISTEN TO THE VOICE AND CHECK THE CORRECT BOX.]</t>
        </is>
      </c>
      <c r="F25" s="81" t="n"/>
      <c r="G25" s="109" t="inlineStr">
        <is>
          <t>true</t>
        </is>
      </c>
      <c r="H25" s="109" t="n"/>
      <c r="I25" s="109" t="n"/>
      <c r="J25" s="109" t="n"/>
      <c r="K25" s="109" t="n"/>
      <c r="L25" s="109" t="n"/>
      <c r="M25" s="109" t="n"/>
      <c r="N25" s="109" t="n"/>
      <c r="S25" s="211" t="inlineStr">
        <is>
          <t>no</t>
        </is>
      </c>
      <c r="U25" s="287" t="n">
        <v>2.117356061935425</v>
      </c>
      <c r="V25" s="156">
        <f>1</f>
        <v/>
      </c>
      <c r="W25" s="288">
        <f>IF(U25&lt;&gt;"",U25*V25,"")</f>
        <v/>
      </c>
      <c r="X25" s="288">
        <f>IF(AND(U25&lt;&gt;"",S25="yes"),U25*V25,"")</f>
        <v/>
      </c>
      <c r="Y25" s="77" t="n"/>
    </row>
    <row r="26" customFormat="1" s="211">
      <c r="C26" s="238" t="n"/>
      <c r="D26" s="78" t="n"/>
      <c r="F26" s="81" t="n"/>
      <c r="G26" s="118" t="n"/>
      <c r="H26" s="118" t="n"/>
      <c r="I26" s="118" t="n"/>
      <c r="J26" s="117" t="n"/>
      <c r="K26" s="118" t="n"/>
      <c r="L26" s="118" t="n"/>
      <c r="M26" s="109" t="n"/>
      <c r="N26" s="109" t="n"/>
      <c r="U26" s="287" t="n"/>
      <c r="V26" s="156" t="n"/>
      <c r="W26" s="288">
        <f>IF(U26&lt;&gt;"",U26*V26,"")</f>
        <v/>
      </c>
      <c r="X26" s="288">
        <f>IF(AND(U26&lt;&gt;"",S26="yes"),U26*V26,"")</f>
        <v/>
      </c>
      <c r="Y26" s="77" t="n"/>
    </row>
    <row r="27" ht="16.2" customFormat="1" customHeight="1" s="90">
      <c r="A27" s="148" t="inlineStr">
        <is>
          <t>text</t>
        </is>
      </c>
      <c r="B27" s="148" t="inlineStr">
        <is>
          <t>phone_number_personal</t>
        </is>
      </c>
      <c r="C27" s="242" t="inlineStr">
        <is>
          <t>What is your phone number?</t>
        </is>
      </c>
      <c r="D27" s="85" t="n"/>
      <c r="E27" s="149" t="n"/>
      <c r="F27" s="151" t="n"/>
      <c r="G27" s="147" t="n"/>
      <c r="H27" s="147" t="inlineStr">
        <is>
          <t>numbers</t>
        </is>
      </c>
      <c r="I27" s="118" t="inlineStr">
        <is>
          <t>regex(.,’^[0-9]{10}$’)</t>
        </is>
      </c>
      <c r="J27" s="147" t="inlineStr">
        <is>
          <t>Please enter the telephone number in the correct format, e.g. 0700704549</t>
        </is>
      </c>
      <c r="K27" s="147" t="n"/>
      <c r="L27" s="147" t="n"/>
      <c r="M27" s="147" t="n"/>
      <c r="N27" s="117" t="n"/>
      <c r="S27" s="149" t="inlineStr">
        <is>
          <t>yes - panel</t>
        </is>
      </c>
      <c r="U27" s="287" t="n">
        <v>10</v>
      </c>
      <c r="V27" s="156">
        <f>1</f>
        <v/>
      </c>
      <c r="W27" s="288">
        <f>IF(U27&lt;&gt;"",U27*V27,"")</f>
        <v/>
      </c>
      <c r="X27" s="288">
        <f>IF(AND(U27&lt;&gt;"",S27="yes"),U27*V27,"")</f>
        <v/>
      </c>
    </row>
    <row r="28" ht="31.95" customFormat="1" customHeight="1" s="90">
      <c r="A28" s="148" t="inlineStr">
        <is>
          <t>select_one contact_info</t>
        </is>
      </c>
      <c r="B28" s="148" t="inlineStr">
        <is>
          <t>contact_2</t>
        </is>
      </c>
      <c r="C28" s="242" t="inlineStr">
        <is>
          <t>Can you give me an additonal phone number belonging to you, a relative or a friend at which you can be reached?</t>
        </is>
      </c>
      <c r="D28" s="85" t="n"/>
      <c r="E28" s="149" t="inlineStr">
        <is>
          <t>[INSTRUCTIONS: SINGLE RESPONSE.]</t>
        </is>
      </c>
      <c r="F28" s="151" t="n"/>
      <c r="G28" s="147" t="n"/>
      <c r="H28" s="147" t="n"/>
      <c r="I28" s="117" t="n"/>
      <c r="J28" s="147" t="n"/>
      <c r="K28" s="147" t="n"/>
      <c r="L28" s="147" t="n"/>
      <c r="M28" s="147" t="n"/>
      <c r="N28" s="117" t="n"/>
      <c r="S28" s="149" t="inlineStr">
        <is>
          <t>yes - panel</t>
        </is>
      </c>
      <c r="U28" s="287" t="n">
        <v>10</v>
      </c>
      <c r="V28" s="156">
        <f>1</f>
        <v/>
      </c>
      <c r="W28" s="288">
        <f>IF(U28&lt;&gt;"",U28*V28,"")</f>
        <v/>
      </c>
      <c r="X28" s="288">
        <f>IF(AND(U28&lt;&gt;"",S28="yes"),U28*V28,"")</f>
        <v/>
      </c>
    </row>
    <row r="29" ht="16.2" customFormat="1" customHeight="1" s="90">
      <c r="A29" s="148" t="inlineStr">
        <is>
          <t>text</t>
        </is>
      </c>
      <c r="B29" s="148" t="inlineStr">
        <is>
          <t>phone_number_2</t>
        </is>
      </c>
      <c r="C29" s="242" t="inlineStr">
        <is>
          <t>What is the additional phone number?</t>
        </is>
      </c>
      <c r="D29" s="85" t="n"/>
      <c r="E29" s="149" t="n"/>
      <c r="F29" s="151" t="n"/>
      <c r="G29" s="147" t="n"/>
      <c r="H29" s="147" t="inlineStr">
        <is>
          <t>numbers</t>
        </is>
      </c>
      <c r="I29" s="118" t="inlineStr">
        <is>
          <t>regex(.,’^[0-9]{10}$’)</t>
        </is>
      </c>
      <c r="J29" s="147" t="inlineStr">
        <is>
          <t>Please enter the telephone number in the correct format, e.g. 0700704549</t>
        </is>
      </c>
      <c r="K29" s="147" t="inlineStr">
        <is>
          <t xml:space="preserve">${contact_2} = '1' or ${contact_2} = '2' </t>
        </is>
      </c>
      <c r="L29" s="147" t="n"/>
      <c r="M29" s="147" t="n"/>
      <c r="N29" s="117" t="n"/>
      <c r="S29" s="149" t="inlineStr">
        <is>
          <t>yes - panel</t>
        </is>
      </c>
      <c r="U29" s="287" t="n">
        <v>10</v>
      </c>
      <c r="V29" s="156">
        <f>1</f>
        <v/>
      </c>
      <c r="W29" s="288">
        <f>IF(U29&lt;&gt;"",U29*V29,"")</f>
        <v/>
      </c>
      <c r="X29" s="288">
        <f>IF(AND(U29&lt;&gt;"",S29="yes"),U29*V29,"")</f>
        <v/>
      </c>
    </row>
    <row r="30" ht="16.2" customFormat="1" customHeight="1" s="90">
      <c r="A30" s="148" t="inlineStr">
        <is>
          <t>text</t>
        </is>
      </c>
      <c r="B30" s="148" t="inlineStr">
        <is>
          <t>contact_2_name</t>
        </is>
      </c>
      <c r="C30" s="242" t="inlineStr">
        <is>
          <t>What is the name of the contact?</t>
        </is>
      </c>
      <c r="D30" s="85" t="n"/>
      <c r="E30" s="149" t="n"/>
      <c r="F30" s="151" t="n"/>
      <c r="G30" s="147" t="n"/>
      <c r="H30" s="147" t="n"/>
      <c r="I30" s="117" t="n"/>
      <c r="J30" s="147" t="n"/>
      <c r="K30" s="147" t="inlineStr">
        <is>
          <t xml:space="preserve">${contact_2} = '2' </t>
        </is>
      </c>
      <c r="L30" s="147" t="n"/>
      <c r="M30" s="147" t="n"/>
      <c r="N30" s="117" t="n"/>
      <c r="S30" s="149" t="inlineStr">
        <is>
          <t>yes - panel</t>
        </is>
      </c>
      <c r="U30" s="287" t="n">
        <v>10</v>
      </c>
      <c r="V30" s="156">
        <f>1</f>
        <v/>
      </c>
      <c r="W30" s="288">
        <f>IF(U30&lt;&gt;"",U30*V30,"")</f>
        <v/>
      </c>
      <c r="X30" s="288">
        <f>IF(AND(U30&lt;&gt;"",S30="yes"),U30*V30,"")</f>
        <v/>
      </c>
    </row>
    <row r="31" ht="31.95" customFormat="1" customHeight="1" s="90">
      <c r="A31" s="148" t="inlineStr">
        <is>
          <t>select_one contact_info</t>
        </is>
      </c>
      <c r="B31" s="148" t="inlineStr">
        <is>
          <t>contact_3</t>
        </is>
      </c>
      <c r="C31" s="242" t="inlineStr">
        <is>
          <t>Can you give me an additonal phone number belonging to you, a relative or a friend at which you can be reached?</t>
        </is>
      </c>
      <c r="D31" s="85" t="n"/>
      <c r="E31" s="149" t="inlineStr">
        <is>
          <t>[INSTRUCTIONS: SINGLE RESPONSE.]</t>
        </is>
      </c>
      <c r="F31" s="151" t="n"/>
      <c r="G31" s="147" t="n"/>
      <c r="H31" s="147" t="n"/>
      <c r="I31" s="117" t="n"/>
      <c r="J31" s="147" t="n"/>
      <c r="K31" s="147" t="inlineStr">
        <is>
          <t xml:space="preserve">${contact_2} ='1' or ${contact_2} = '2' </t>
        </is>
      </c>
      <c r="L31" s="147" t="n"/>
      <c r="M31" s="147" t="n"/>
      <c r="N31" s="117" t="n"/>
      <c r="S31" s="149" t="inlineStr">
        <is>
          <t>yes - panel</t>
        </is>
      </c>
      <c r="U31" s="287" t="n">
        <v>10</v>
      </c>
      <c r="V31" s="156">
        <f>1</f>
        <v/>
      </c>
      <c r="W31" s="288">
        <f>IF(U31&lt;&gt;"",U31*V31,"")</f>
        <v/>
      </c>
      <c r="X31" s="288">
        <f>IF(AND(U31&lt;&gt;"",S31="yes"),U31*V31,"")</f>
        <v/>
      </c>
    </row>
    <row r="32" ht="16.2" customFormat="1" customHeight="1" s="90">
      <c r="A32" s="148" t="inlineStr">
        <is>
          <t>text</t>
        </is>
      </c>
      <c r="B32" s="148" t="inlineStr">
        <is>
          <t>phone_number_3</t>
        </is>
      </c>
      <c r="C32" s="242" t="inlineStr">
        <is>
          <t>What is the additional phone number?</t>
        </is>
      </c>
      <c r="D32" s="85" t="n"/>
      <c r="E32" s="149" t="n"/>
      <c r="F32" s="151" t="n"/>
      <c r="G32" s="147" t="n"/>
      <c r="H32" s="147" t="inlineStr">
        <is>
          <t>numbers</t>
        </is>
      </c>
      <c r="I32" s="118" t="inlineStr">
        <is>
          <t>regex(.,’^[0-9]{10}$’)</t>
        </is>
      </c>
      <c r="J32" s="147" t="inlineStr">
        <is>
          <t>Please enter the telephone number in the correct format, e.g. 0700704549</t>
        </is>
      </c>
      <c r="K32" s="147" t="inlineStr">
        <is>
          <t xml:space="preserve">${contact_3} = '1' or ${contact_3} = '2' </t>
        </is>
      </c>
      <c r="L32" s="147" t="n"/>
      <c r="M32" s="147" t="n"/>
      <c r="N32" s="117" t="n"/>
      <c r="S32" s="149" t="inlineStr">
        <is>
          <t>yes - panel</t>
        </is>
      </c>
      <c r="U32" s="287" t="n">
        <v>10</v>
      </c>
      <c r="V32" s="156">
        <f>1</f>
        <v/>
      </c>
      <c r="W32" s="288">
        <f>IF(U32&lt;&gt;"",U32*V32,"")</f>
        <v/>
      </c>
      <c r="X32" s="288">
        <f>IF(AND(U32&lt;&gt;"",S32="yes"),U32*V32,"")</f>
        <v/>
      </c>
    </row>
    <row r="33" ht="16.2" customFormat="1" customHeight="1" s="90">
      <c r="A33" s="148" t="inlineStr">
        <is>
          <t>text</t>
        </is>
      </c>
      <c r="B33" s="148" t="inlineStr">
        <is>
          <t>contact_3_name</t>
        </is>
      </c>
      <c r="C33" s="242" t="inlineStr">
        <is>
          <t>What is the name of the contact?</t>
        </is>
      </c>
      <c r="D33" s="85" t="n"/>
      <c r="E33" s="149" t="n"/>
      <c r="F33" s="151" t="n"/>
      <c r="G33" s="147" t="n"/>
      <c r="H33" s="147" t="n"/>
      <c r="I33" s="117" t="n"/>
      <c r="J33" s="147" t="n"/>
      <c r="K33" s="147" t="inlineStr">
        <is>
          <t xml:space="preserve">${contact_3} = '2' </t>
        </is>
      </c>
      <c r="L33" s="147" t="n"/>
      <c r="M33" s="147" t="n"/>
      <c r="N33" s="117" t="n"/>
      <c r="S33" s="149" t="inlineStr">
        <is>
          <t>yes - panel</t>
        </is>
      </c>
      <c r="U33" s="287" t="n">
        <v>10</v>
      </c>
      <c r="V33" s="156">
        <f>1</f>
        <v/>
      </c>
      <c r="W33" s="288">
        <f>IF(U33&lt;&gt;"",U33*V33,"")</f>
        <v/>
      </c>
      <c r="X33" s="288">
        <f>IF(AND(U33&lt;&gt;"",S33="yes"),U33*V33,"")</f>
        <v/>
      </c>
    </row>
    <row r="34" customFormat="1" s="211">
      <c r="C34" s="238" t="n"/>
      <c r="D34" s="78" t="n"/>
      <c r="F34" s="81" t="n"/>
      <c r="G34" s="109" t="n"/>
      <c r="H34" s="109" t="n"/>
      <c r="I34" s="109" t="n"/>
      <c r="J34" s="116" t="n"/>
      <c r="K34" s="109" t="n"/>
      <c r="L34" s="109" t="n"/>
      <c r="M34" s="109" t="n"/>
      <c r="N34" s="109" t="n"/>
      <c r="U34" s="287" t="n"/>
      <c r="V34" s="156" t="n"/>
      <c r="W34" s="288">
        <f>IF(U34&lt;&gt;"",U34*V34,"")</f>
        <v/>
      </c>
      <c r="X34" s="288">
        <f>IF(AND(U34&lt;&gt;"",S34="yes"),U34*V34,"")</f>
        <v/>
      </c>
      <c r="Y34" s="77" t="n"/>
    </row>
    <row r="35" ht="43.2" customHeight="1">
      <c r="A35" s="76" t="inlineStr">
        <is>
          <t>select_one District</t>
        </is>
      </c>
      <c r="B35" s="76" t="inlineStr">
        <is>
          <t>adm2_pcode</t>
        </is>
      </c>
      <c r="C35" s="237" t="inlineStr">
        <is>
          <t>Currently, in which District does your household reside?</t>
        </is>
      </c>
      <c r="D35" s="224" t="n"/>
      <c r="E35" s="46" t="inlineStr">
        <is>
          <t>[INSTRUCTIONS: SINGLE RESPONSE.]
[HINT: HOUSEHOLD CONSISTS OF ALL MEMBERS LIVING TOGETHER, SHARING RESOURCES &amp; EATING FROM THE SAME POT.]</t>
        </is>
      </c>
      <c r="F35" s="86" t="n"/>
      <c r="G35" s="108" t="n"/>
      <c r="H35" s="108" t="inlineStr">
        <is>
          <t>minimal</t>
        </is>
      </c>
      <c r="I35" s="108" t="n"/>
      <c r="J35" s="117" t="n"/>
      <c r="K35" s="108" t="n"/>
      <c r="M35" s="108" t="n"/>
      <c r="N35" s="108" t="n"/>
      <c r="S35" s="47" t="inlineStr">
        <is>
          <t>yes</t>
        </is>
      </c>
      <c r="U35" s="287" t="n">
        <v>8.800000000000001</v>
      </c>
      <c r="V35" s="156">
        <f>1</f>
        <v/>
      </c>
      <c r="W35" s="288">
        <f>IF(U35&lt;&gt;"",U35*V35,"")</f>
        <v/>
      </c>
      <c r="X35" s="288">
        <f>IF(AND(U35&lt;&gt;"",S35="yes"),U35*V35,"")</f>
        <v/>
      </c>
    </row>
    <row r="36">
      <c r="A36" s="76" t="inlineStr">
        <is>
          <t>calculate</t>
        </is>
      </c>
      <c r="B36" s="76" t="inlineStr">
        <is>
          <t>adm2_name</t>
        </is>
      </c>
      <c r="C36" s="237" t="n"/>
      <c r="D36" s="85" t="n"/>
      <c r="E36" s="76" t="n"/>
      <c r="F36" s="86" t="n"/>
      <c r="G36" s="108" t="n"/>
      <c r="H36" s="108" t="n"/>
      <c r="I36" s="108" t="n"/>
      <c r="J36" s="108" t="n"/>
      <c r="K36" s="108" t="n"/>
      <c r="L36" s="108" t="n"/>
      <c r="M36" s="108" t="n"/>
      <c r="N36" s="108" t="inlineStr">
        <is>
          <t>jr:choice-name(${adm2_pcode},'${adm2_pcode}')</t>
        </is>
      </c>
      <c r="S36" s="47" t="inlineStr">
        <is>
          <t>yes</t>
        </is>
      </c>
      <c r="U36" s="287" t="n"/>
      <c r="V36" s="156">
        <f>1</f>
        <v/>
      </c>
      <c r="W36" s="288">
        <f>IF(U36&lt;&gt;"",U36*V36,"")</f>
        <v/>
      </c>
      <c r="X36" s="288">
        <f>IF(AND(U36&lt;&gt;"",S36="yes"),U36*V36,"")</f>
        <v/>
      </c>
    </row>
    <row r="37" ht="43.2" customHeight="1">
      <c r="A37" s="76" t="inlineStr">
        <is>
          <t>select_one Municipality</t>
        </is>
      </c>
      <c r="B37" s="76" t="inlineStr">
        <is>
          <t xml:space="preserve">adm3_pcode </t>
        </is>
      </c>
      <c r="C37" s="237" t="inlineStr">
        <is>
          <t>Currently, in which Municipality does your household reside?</t>
        </is>
      </c>
      <c r="D37" s="85" t="n"/>
      <c r="E37" s="46" t="inlineStr">
        <is>
          <t>[INSTRUCTIONS: SINGLE RESPONSE.]
[HINT: HOUSEHOLD CONSISTS OF ALL MEMBERS LIVING TOGETHER, SHARING RESOURCES &amp; EATING FROM THE SAME POT.]</t>
        </is>
      </c>
      <c r="F37" s="86" t="n"/>
      <c r="G37" s="108" t="inlineStr">
        <is>
          <t>true</t>
        </is>
      </c>
      <c r="H37" s="108" t="inlineStr">
        <is>
          <t>minimal</t>
        </is>
      </c>
      <c r="I37" s="108" t="n"/>
      <c r="J37" s="108" t="n"/>
      <c r="K37" s="108" t="n"/>
      <c r="L37" s="108" t="inlineStr">
        <is>
          <t>my_filter_admin=${adm2_pcode}</t>
        </is>
      </c>
      <c r="M37" s="108" t="n"/>
      <c r="N37" s="108" t="n"/>
      <c r="S37" s="47" t="inlineStr">
        <is>
          <t>yes</t>
        </is>
      </c>
      <c r="U37" s="287" t="n">
        <v>10.4</v>
      </c>
      <c r="V37" s="156">
        <f>1</f>
        <v/>
      </c>
      <c r="W37" s="288">
        <f>IF(U37&lt;&gt;"",U37*V37,"")</f>
        <v/>
      </c>
      <c r="X37" s="288">
        <f>IF(AND(U37&lt;&gt;"",S37="yes"),U37*V37,"")</f>
        <v/>
      </c>
    </row>
    <row r="38">
      <c r="A38" s="76" t="inlineStr">
        <is>
          <t>calculate</t>
        </is>
      </c>
      <c r="B38" s="76" t="inlineStr">
        <is>
          <t>adm3_name</t>
        </is>
      </c>
      <c r="C38" s="237" t="n"/>
      <c r="D38" s="85" t="n"/>
      <c r="E38" s="76" t="n"/>
      <c r="F38" s="86" t="n"/>
      <c r="G38" s="108" t="n"/>
      <c r="H38" s="108" t="n"/>
      <c r="I38" s="108" t="n"/>
      <c r="J38" s="108" t="n"/>
      <c r="K38" s="108" t="n"/>
      <c r="L38" s="108" t="n"/>
      <c r="M38" s="108" t="n"/>
      <c r="N38" s="108" t="inlineStr">
        <is>
          <t>jr:choice-name(${adm3_pcode},'${adm3_pcode}')</t>
        </is>
      </c>
      <c r="S38" s="47" t="inlineStr">
        <is>
          <t>yes</t>
        </is>
      </c>
      <c r="U38" s="287" t="n"/>
      <c r="V38" s="156">
        <f>1</f>
        <v/>
      </c>
      <c r="W38" s="288">
        <f>IF(U38&lt;&gt;"",U38*V38,"")</f>
        <v/>
      </c>
      <c r="X38" s="288">
        <f>IF(AND(U38&lt;&gt;"",S38="yes"),U38*V38,"")</f>
        <v/>
      </c>
    </row>
    <row r="39">
      <c r="A39" s="76" t="n"/>
      <c r="B39" s="76" t="n"/>
      <c r="C39" s="237" t="n"/>
      <c r="D39" s="85" t="n"/>
      <c r="E39" s="76" t="n"/>
      <c r="F39" s="86" t="n"/>
      <c r="G39" s="108" t="n"/>
      <c r="H39" s="108" t="n"/>
      <c r="I39" s="108" t="n"/>
      <c r="J39" s="108" t="n"/>
      <c r="K39" s="108" t="n"/>
      <c r="L39" s="108" t="n"/>
      <c r="M39" s="108" t="n"/>
      <c r="N39" s="108" t="n"/>
      <c r="U39" s="287" t="n"/>
      <c r="W39" s="288" t="n"/>
      <c r="X39" s="288" t="n"/>
    </row>
    <row r="40">
      <c r="A40" s="199" t="inlineStr">
        <is>
          <t>text</t>
        </is>
      </c>
      <c r="B40" s="200" t="inlineStr">
        <is>
          <t>o_village_name</t>
        </is>
      </c>
      <c r="C40" s="235" t="inlineStr">
        <is>
          <t>Currently, in which village/community does your household reside?</t>
        </is>
      </c>
      <c r="D40" s="202" t="n"/>
      <c r="F40" s="86" t="n"/>
      <c r="U40" s="287" t="n"/>
      <c r="V40" s="156">
        <f>1</f>
        <v/>
      </c>
      <c r="W40" s="288">
        <f>IF(U40&lt;&gt;"",U40*V40,"")</f>
        <v/>
      </c>
      <c r="X40" s="288">
        <f>IF(AND(U40&lt;&gt;"",S40="yes"),U40*V40,"")</f>
        <v/>
      </c>
    </row>
    <row r="41">
      <c r="D41" s="85" t="n"/>
      <c r="F41" s="86" t="n"/>
      <c r="U41" s="287" t="n"/>
      <c r="W41" s="288" t="n"/>
      <c r="X41" s="288" t="n"/>
    </row>
    <row r="42" ht="72" customFormat="1" customHeight="1" s="48">
      <c r="A42" s="45" t="inlineStr">
        <is>
          <t>select_one agricactivity</t>
        </is>
      </c>
      <c r="B42" s="45" t="inlineStr">
        <is>
          <t>hh_agricactivity</t>
        </is>
      </c>
      <c r="C42" s="237" t="inlineStr">
        <is>
          <t>Has anybody in your household been producing crops or livestock for household consumption or for sale in the past 12 months, including household members currently away for transhumance?</t>
        </is>
      </c>
      <c r="D42" s="224" t="n"/>
      <c r="E42" s="46" t="inlineStr">
        <is>
          <t>[INSTRUCTIONS: SINGLE RESPONSE. THIS IS THE MAIN SCREENING QUESTION. THE RESPONDENT WILL HAVE TO ANSWER. DON'T FORGET TO PROBE ABOUT TRANSHUMANCE.] 
[HINT: HOUSEHOLD CONSISTS OF ALL MEMBERS LIVING TOGETHER, SHARING RESOURCES &amp; EATING FROM THE SAME POT.]</t>
        </is>
      </c>
      <c r="F42" s="85" t="n"/>
      <c r="G42" s="45" t="inlineStr">
        <is>
          <t>true</t>
        </is>
      </c>
      <c r="H42" s="45" t="n"/>
      <c r="I42" s="45" t="n"/>
      <c r="J42" s="45" t="n"/>
      <c r="K42" s="45" t="n"/>
      <c r="L42" s="45" t="n"/>
      <c r="M42" s="45" t="n"/>
      <c r="N42" s="45" t="n"/>
      <c r="S42" s="48" t="inlineStr">
        <is>
          <t>yes</t>
        </is>
      </c>
      <c r="U42" s="291" t="n">
        <v>31.37237739562988</v>
      </c>
      <c r="V42" s="156">
        <f>1</f>
        <v/>
      </c>
      <c r="W42" s="292">
        <f>IF(U42&lt;&gt;"",U42*V42,"")</f>
        <v/>
      </c>
      <c r="X42" s="292">
        <f>IF(AND(U42&lt;&gt;"",S42="yes"),U42*V42,"")</f>
        <v/>
      </c>
      <c r="Y42" s="213" t="n"/>
    </row>
    <row r="43">
      <c r="D43" s="85" t="n"/>
      <c r="F43" s="86" t="n"/>
      <c r="U43" s="287" t="n"/>
      <c r="W43" s="288">
        <f>IF(U43&lt;&gt;"",U43*V43,"")</f>
        <v/>
      </c>
      <c r="X43" s="288">
        <f>IF(AND(U43&lt;&gt;"",S43="yes"),U43*V43,"")</f>
        <v/>
      </c>
    </row>
    <row r="44" ht="16.2" customFormat="1" customHeight="1" s="77" thickBot="1">
      <c r="A44" s="91" t="inlineStr">
        <is>
          <t>end_group</t>
        </is>
      </c>
      <c r="B44" s="91" t="n"/>
      <c r="C44" s="243" t="n"/>
      <c r="D44" s="88" t="n"/>
      <c r="E44" s="91" t="n"/>
      <c r="F44" s="89" t="n"/>
      <c r="G44" s="119" t="n"/>
      <c r="H44" s="119" t="n"/>
      <c r="I44" s="119" t="n"/>
      <c r="J44" s="119" t="n"/>
      <c r="K44" s="119" t="n"/>
      <c r="L44" s="119" t="n"/>
      <c r="M44" s="119" t="n"/>
      <c r="N44" s="119" t="n"/>
      <c r="U44" s="287" t="n"/>
      <c r="V44" s="156" t="n"/>
      <c r="W44" s="288">
        <f>IF(U44&lt;&gt;"",U44*V44,"")</f>
        <v/>
      </c>
      <c r="X44" s="288">
        <f>IF(AND(U44&lt;&gt;"",S44="yes"),U44*V44,"")</f>
        <v/>
      </c>
    </row>
    <row r="45" ht="16.95" customFormat="1" customHeight="1" s="74" thickTop="1">
      <c r="A45" s="71" t="inlineStr">
        <is>
          <t>begin_group</t>
        </is>
      </c>
      <c r="B45" s="71" t="inlineStr">
        <is>
          <t>generalInfo</t>
        </is>
      </c>
      <c r="C45" s="234" t="inlineStr">
        <is>
          <t>GENERAL INFORMATION</t>
        </is>
      </c>
      <c r="D45" s="72" t="n"/>
      <c r="E45" s="71" t="n"/>
      <c r="F45" s="73" t="n"/>
      <c r="G45" s="113" t="inlineStr">
        <is>
          <t>false</t>
        </is>
      </c>
      <c r="H45" s="113" t="n"/>
      <c r="I45" s="113" t="n"/>
      <c r="J45" s="113" t="n"/>
      <c r="K45" s="113" t="inlineStr">
        <is>
          <t>${resp_agree} = '1' and ${hh_agricactivity} != '5' and ${hh_agricactivity} != '6'</t>
        </is>
      </c>
      <c r="L45" s="113" t="n"/>
      <c r="M45" s="113" t="n"/>
      <c r="N45" s="113" t="n"/>
      <c r="S45" s="47" t="inlineStr">
        <is>
          <t>yes</t>
        </is>
      </c>
      <c r="U45" s="287" t="n"/>
      <c r="V45" s="156" t="n"/>
      <c r="W45" s="288">
        <f>IF(U45&lt;&gt;"",U45*V45,"")</f>
        <v/>
      </c>
      <c r="X45" s="288">
        <f>IF(AND(U45&lt;&gt;"",S45="yes"),U45*V45,"")</f>
        <v/>
      </c>
      <c r="Y45" s="75" t="n"/>
    </row>
    <row r="46">
      <c r="D46" s="85" t="n"/>
      <c r="F46" s="86" t="n"/>
      <c r="U46" s="287" t="n"/>
      <c r="W46" s="288">
        <f>IF(U46&lt;&gt;"",U46*V46,"")</f>
        <v/>
      </c>
      <c r="X46" s="288">
        <f>IF(AND(U46&lt;&gt;"",S46="yes"),U46*V46,"")</f>
        <v/>
      </c>
    </row>
    <row r="47" ht="16.2" customHeight="1">
      <c r="A47" s="76" t="inlineStr">
        <is>
          <t>select_one gender</t>
        </is>
      </c>
      <c r="B47" s="76" t="inlineStr">
        <is>
          <t>hh_gender</t>
        </is>
      </c>
      <c r="C47" s="237" t="inlineStr">
        <is>
          <t xml:space="preserve">Is the head of your household male or female? </t>
        </is>
      </c>
      <c r="D47" s="85" t="n"/>
      <c r="E47" s="76" t="inlineStr">
        <is>
          <t>[INSTRUCTIONS: SINGLE RESPONSE.]</t>
        </is>
      </c>
      <c r="F47" s="86" t="n"/>
      <c r="G47" s="108" t="inlineStr">
        <is>
          <t>true</t>
        </is>
      </c>
      <c r="H47" s="108" t="n"/>
      <c r="I47" s="108" t="n"/>
      <c r="J47" s="108" t="n"/>
      <c r="K47" s="108" t="n"/>
      <c r="L47" s="108" t="n"/>
      <c r="M47" s="108" t="n"/>
      <c r="N47" s="108" t="n"/>
      <c r="S47" s="47" t="inlineStr">
        <is>
          <t>yes</t>
        </is>
      </c>
      <c r="U47" s="287" t="n">
        <v>10.08573150634766</v>
      </c>
      <c r="V47" s="156">
        <f>1</f>
        <v/>
      </c>
      <c r="W47" s="288">
        <f>IF(U47&lt;&gt;"",U47*V47,"")</f>
        <v/>
      </c>
      <c r="X47" s="288">
        <f>IF(AND(U47&lt;&gt;"",S47="yes"),U47*V47,"")</f>
        <v/>
      </c>
    </row>
    <row r="48">
      <c r="D48" s="85" t="n"/>
      <c r="F48" s="86" t="n"/>
      <c r="U48" s="287" t="n"/>
      <c r="W48" s="288">
        <f>IF(U48&lt;&gt;"",U48*V48,"")</f>
        <v/>
      </c>
      <c r="X48" s="288">
        <f>IF(AND(U48&lt;&gt;"",S48="yes"),U48*V48,"")</f>
        <v/>
      </c>
    </row>
    <row r="49" ht="16.2" customHeight="1">
      <c r="A49" s="76" t="inlineStr">
        <is>
          <t>select_one edu</t>
        </is>
      </c>
      <c r="B49" s="76" t="inlineStr">
        <is>
          <t>hh_education</t>
        </is>
      </c>
      <c r="C49" s="237" t="inlineStr">
        <is>
          <t xml:space="preserve">What is the educational level attained by the head of household? </t>
        </is>
      </c>
      <c r="D49" s="85" t="n"/>
      <c r="E49" s="76" t="inlineStr">
        <is>
          <t>[INSTRUCTIONS: SINGLE RESPONSE.]</t>
        </is>
      </c>
      <c r="F49" s="86" t="n"/>
      <c r="G49" s="108" t="inlineStr">
        <is>
          <t>true</t>
        </is>
      </c>
      <c r="H49" s="108" t="n"/>
      <c r="I49" s="108" t="n"/>
      <c r="J49" s="108" t="n"/>
      <c r="K49" s="108" t="n"/>
      <c r="L49" s="108" t="n"/>
      <c r="M49" s="108" t="n"/>
      <c r="N49" s="108" t="n"/>
      <c r="S49" s="47" t="inlineStr">
        <is>
          <t>yes</t>
        </is>
      </c>
      <c r="U49" s="287" t="n">
        <v>12.89403438568115</v>
      </c>
      <c r="V49" s="156">
        <f>1</f>
        <v/>
      </c>
      <c r="W49" s="288">
        <f>IF(U49&lt;&gt;"",U49*V49,"")</f>
        <v/>
      </c>
      <c r="X49" s="288">
        <f>IF(AND(U49&lt;&gt;"",S49="yes"),U49*V49,"")</f>
        <v/>
      </c>
    </row>
    <row r="50">
      <c r="D50" s="85" t="n"/>
      <c r="F50" s="86" t="n"/>
      <c r="U50" s="287" t="n"/>
      <c r="W50" s="288">
        <f>IF(U50&lt;&gt;"",U50*V50,"")</f>
        <v/>
      </c>
      <c r="X50" s="288">
        <f>IF(AND(U50&lt;&gt;"",S50="yes"),U50*V50,"")</f>
        <v/>
      </c>
    </row>
    <row r="51" ht="16.2" customFormat="1" customHeight="1" s="77">
      <c r="A51" s="199" t="inlineStr">
        <is>
          <t>select_one water</t>
        </is>
      </c>
      <c r="B51" s="199" t="inlineStr">
        <is>
          <t>hh_wealth_water</t>
        </is>
      </c>
      <c r="C51" s="275" t="inlineStr">
        <is>
          <t>Where does the water that you drink at home come from?</t>
        </is>
      </c>
      <c r="D51" s="85" t="n"/>
      <c r="E51" s="93" t="inlineStr">
        <is>
          <t>[INSTRUCTIONS: SINGLE RESPONSE.]</t>
        </is>
      </c>
      <c r="F51" s="94" t="n"/>
      <c r="G51" s="115" t="inlineStr">
        <is>
          <t>true</t>
        </is>
      </c>
      <c r="H51" s="120" t="n"/>
      <c r="I51" s="120" t="n"/>
      <c r="J51" s="120" t="n"/>
      <c r="K51" s="120" t="n"/>
      <c r="L51" s="120" t="n"/>
      <c r="M51" s="120" t="n"/>
      <c r="N51" s="120" t="n"/>
      <c r="S51" s="77" t="inlineStr">
        <is>
          <t>yes</t>
        </is>
      </c>
      <c r="U51" s="287" t="n">
        <v>15.26582908630371</v>
      </c>
      <c r="V51" s="156">
        <f>1</f>
        <v/>
      </c>
      <c r="W51" s="288">
        <f>IF(U51&lt;&gt;"",U51*V51,"")</f>
        <v/>
      </c>
      <c r="X51" s="288">
        <f>IF(AND(U51&lt;&gt;"",S51="yes"),U51*V51,"")</f>
        <v/>
      </c>
    </row>
    <row r="52" ht="16.2" customFormat="1" customHeight="1" s="77">
      <c r="A52" s="199" t="inlineStr">
        <is>
          <t>select_one caste</t>
        </is>
      </c>
      <c r="B52" s="199" t="inlineStr">
        <is>
          <t>o_hh_caste</t>
        </is>
      </c>
      <c r="C52" s="275" t="inlineStr">
        <is>
          <t xml:space="preserve">Which caste does this household belong to? </t>
        </is>
      </c>
      <c r="D52" s="85" t="n"/>
      <c r="E52" s="93" t="n"/>
      <c r="F52" s="94" t="n"/>
      <c r="G52" s="115" t="n"/>
      <c r="H52" s="120" t="n"/>
      <c r="I52" s="120" t="n"/>
      <c r="J52" s="120" t="n"/>
      <c r="K52" s="120" t="n"/>
      <c r="L52" s="120" t="n"/>
      <c r="M52" s="120" t="n"/>
      <c r="N52" s="120" t="n"/>
      <c r="U52" s="287" t="n"/>
      <c r="V52" s="156" t="n"/>
      <c r="W52" s="288" t="n"/>
      <c r="X52" s="288" t="n"/>
    </row>
    <row r="53" ht="16.2" customHeight="1">
      <c r="A53" s="276" t="inlineStr">
        <is>
          <t>text</t>
        </is>
      </c>
      <c r="B53" s="276" t="inlineStr">
        <is>
          <t>o_hh_caste_otherspecify</t>
        </is>
      </c>
      <c r="C53" s="277" t="inlineStr">
        <is>
          <t>If other, specify.</t>
        </is>
      </c>
      <c r="D53" s="224" t="n"/>
      <c r="E53" s="77" t="inlineStr">
        <is>
          <t>[INSTRUCTIONS: RECORD THE OPEN RESPONSE GIVEN IN FEW WORDS. ENTER 888 FOR DON'T KNOW AND 999 FOR REFUSED]</t>
        </is>
      </c>
      <c r="F53" s="94" t="n"/>
      <c r="G53" s="110" t="inlineStr">
        <is>
          <t>true</t>
        </is>
      </c>
      <c r="H53" s="110" t="n"/>
      <c r="I53" s="110" t="n"/>
      <c r="J53" s="110" t="n"/>
      <c r="K53" s="110" t="inlineStr">
        <is>
          <t>${o_hh_caste}='4'</t>
        </is>
      </c>
      <c r="L53" s="110" t="n"/>
      <c r="M53" s="110" t="n"/>
      <c r="N53" s="110" t="n"/>
      <c r="S53" s="47" t="inlineStr">
        <is>
          <t>yes</t>
        </is>
      </c>
      <c r="U53" s="287" t="n"/>
      <c r="V53" s="156">
        <f>1</f>
        <v/>
      </c>
      <c r="W53" s="288">
        <f>IF(U53&lt;&gt;"",U53*V53,"")</f>
        <v/>
      </c>
      <c r="X53" s="288">
        <f>IF(AND(U53&lt;&gt;"",S53="yes"),U53*V53,"")</f>
        <v/>
      </c>
    </row>
    <row r="54" customFormat="1" s="77">
      <c r="C54" s="244" t="n"/>
      <c r="D54" s="85" t="n"/>
      <c r="E54" s="93" t="n"/>
      <c r="F54" s="94" t="n"/>
      <c r="G54" s="120" t="n"/>
      <c r="H54" s="120" t="n"/>
      <c r="I54" s="120" t="n"/>
      <c r="J54" s="120" t="n"/>
      <c r="K54" s="120" t="n"/>
      <c r="L54" s="120" t="n"/>
      <c r="M54" s="120" t="n"/>
      <c r="N54" s="120" t="n"/>
      <c r="U54" s="287" t="n"/>
      <c r="V54" s="156" t="n"/>
      <c r="W54" s="288">
        <f>IF(U54&lt;&gt;"",U54*V54,"")</f>
        <v/>
      </c>
      <c r="X54" s="288">
        <f>IF(AND(U54&lt;&gt;"",S54="yes"),U54*V54,"")</f>
        <v/>
      </c>
    </row>
    <row r="55" ht="36" customFormat="1" customHeight="1" s="211">
      <c r="A55" s="267" t="inlineStr">
        <is>
          <t>select_one yesno</t>
        </is>
      </c>
      <c r="B55" s="267" t="inlineStr">
        <is>
          <t>o_hh_migr</t>
        </is>
      </c>
      <c r="C55" s="275" t="inlineStr">
        <is>
          <t>Have any household members migrated within Nepal or abroad in search of job opportunities in the last 3 months?</t>
        </is>
      </c>
      <c r="D55" s="224" t="n"/>
      <c r="E55" s="212" t="inlineStr">
        <is>
          <t>[INSTRUCTIONS: READ OUT THE OPTIONS. SINGLE RESPONSE.]
[HINT: IF RESPONDENT IS ONLY AWAY FROM THE HOUSEHOLD FOR SHORT SEASONAL WORK (&lt;6 MONTHS) OR TRANSHUMANCE, MAKE SURE TO REFER TO THEIR HOUSEHOLD BACK WHERE THEY TYPICALLY ARE LOCATED.]</t>
        </is>
      </c>
      <c r="F55" s="81" t="n"/>
      <c r="G55" s="109" t="inlineStr">
        <is>
          <t>true</t>
        </is>
      </c>
      <c r="H55" s="109" t="n"/>
      <c r="I55" s="109" t="n"/>
      <c r="J55" s="109" t="n"/>
      <c r="K55" s="109" t="n"/>
      <c r="L55" s="109" t="n"/>
      <c r="M55" s="109" t="n"/>
      <c r="N55" s="109" t="n"/>
      <c r="S55" s="211" t="inlineStr">
        <is>
          <t>no</t>
        </is>
      </c>
      <c r="U55" s="287" t="n">
        <v>30.64618873596191</v>
      </c>
      <c r="V55" s="156">
        <f>1</f>
        <v/>
      </c>
      <c r="W55" s="288">
        <f>IF(U55&lt;&gt;"",U55*V55,"")</f>
        <v/>
      </c>
      <c r="X55" s="288">
        <f>IF(AND(U55&lt;&gt;"",S55="yes"),U55*V55,"")</f>
        <v/>
      </c>
      <c r="Y55" s="77" t="n"/>
    </row>
    <row r="56" ht="28.8" customFormat="1" customHeight="1" s="211">
      <c r="A56" s="267" t="inlineStr">
        <is>
          <t>select_multiple hhindiv</t>
        </is>
      </c>
      <c r="B56" s="267" t="inlineStr">
        <is>
          <t>o_hh_migr_who</t>
        </is>
      </c>
      <c r="C56" s="275" t="inlineStr">
        <is>
          <t>Which members of your household intend to migrate within Nepal or abroad after the earthquake in search of job opportunities?</t>
        </is>
      </c>
      <c r="D56" s="224" t="n"/>
      <c r="E56" s="212" t="n"/>
      <c r="F56" s="81" t="n"/>
      <c r="G56" s="109" t="n"/>
      <c r="H56" s="109" t="n"/>
      <c r="I56" s="109" t="n"/>
      <c r="J56" s="109" t="n"/>
      <c r="K56" s="110" t="inlineStr">
        <is>
          <t>${o_hh_migr}='1'</t>
        </is>
      </c>
      <c r="L56" s="109" t="n"/>
      <c r="M56" s="109" t="n"/>
      <c r="N56" s="109" t="n"/>
      <c r="U56" s="287" t="n"/>
      <c r="V56" s="156" t="n"/>
      <c r="W56" s="288" t="n"/>
      <c r="X56" s="288" t="n"/>
      <c r="Y56" s="77" t="n"/>
    </row>
    <row r="57" ht="30.45" customFormat="1" customHeight="1" s="211">
      <c r="A57" s="267" t="inlineStr">
        <is>
          <t>select_one yesno</t>
        </is>
      </c>
      <c r="B57" s="267" t="inlineStr">
        <is>
          <t>o_hh_migr_fut</t>
        </is>
      </c>
      <c r="C57" s="278" t="inlineStr">
        <is>
          <t xml:space="preserve">Do any members of your household intend to migrate within Nepal or abroad in search of job opportunities within the next 3 months? </t>
        </is>
      </c>
      <c r="D57" s="224" t="n"/>
      <c r="E57" s="212" t="n"/>
      <c r="F57" s="81" t="n"/>
      <c r="G57" s="109" t="n"/>
      <c r="H57" s="109" t="n"/>
      <c r="I57" s="109" t="n"/>
      <c r="J57" s="109" t="n"/>
      <c r="K57" s="110" t="n"/>
      <c r="L57" s="109" t="n"/>
      <c r="M57" s="109" t="n"/>
      <c r="N57" s="109" t="n"/>
      <c r="U57" s="287" t="n"/>
      <c r="V57" s="156" t="n"/>
      <c r="W57" s="288" t="n"/>
      <c r="X57" s="288" t="n"/>
      <c r="Y57" s="77" t="n"/>
    </row>
    <row r="58" ht="43.8" customFormat="1" customHeight="1" s="211">
      <c r="A58" s="267" t="inlineStr">
        <is>
          <t>select_multiple hhindiv</t>
        </is>
      </c>
      <c r="B58" s="267" t="inlineStr">
        <is>
          <t>o_hh_migr_fut_who</t>
        </is>
      </c>
      <c r="C58" s="278" t="inlineStr">
        <is>
          <t>which members of your household intend to migrate within Nepal or abroad after the earthquake in search of job opportunities?</t>
        </is>
      </c>
      <c r="D58" s="224" t="n"/>
      <c r="E58" s="212" t="n"/>
      <c r="F58" s="81" t="n"/>
      <c r="G58" s="109" t="n"/>
      <c r="H58" s="109" t="n"/>
      <c r="I58" s="109" t="n"/>
      <c r="J58" s="109" t="n"/>
      <c r="K58" s="110" t="n"/>
      <c r="L58" s="109" t="n"/>
      <c r="M58" s="109" t="n"/>
      <c r="N58" s="109" t="n"/>
      <c r="U58" s="287" t="n"/>
      <c r="V58" s="156" t="n"/>
      <c r="W58" s="288" t="n"/>
      <c r="X58" s="288" t="n"/>
      <c r="Y58" s="77" t="n"/>
    </row>
    <row r="59" ht="16.2" customFormat="1" customHeight="1" s="211">
      <c r="A59" s="77" t="inlineStr">
        <is>
          <t>integer</t>
        </is>
      </c>
      <c r="B59" s="77" t="inlineStr">
        <is>
          <t>hh_size</t>
        </is>
      </c>
      <c r="C59" s="244" t="inlineStr">
        <is>
          <t>How many people are part of the household?</t>
        </is>
      </c>
      <c r="D59" s="85" t="n"/>
      <c r="E59" s="211" t="inlineStr">
        <is>
          <t>[INSTRUCTIONS: RECORD NUMBER OF MEMBERS IN HOUSEHOLD. ENTER 888 FOR DON'T KNOW &amp; 999 FOR REFUSED.]</t>
        </is>
      </c>
      <c r="F59" s="81" t="n"/>
      <c r="G59" s="109" t="inlineStr">
        <is>
          <t>true</t>
        </is>
      </c>
      <c r="H59" s="109" t="n"/>
      <c r="I59" s="109" t="inlineStr">
        <is>
          <t xml:space="preserve">(. &gt;= 1 and . &lt;= 50) or . = 888 or . = 999 </t>
        </is>
      </c>
      <c r="J59" s="109" t="n"/>
      <c r="K59" s="109" t="n"/>
      <c r="L59" s="109" t="n"/>
      <c r="M59" s="109" t="n"/>
      <c r="N59" s="109" t="n"/>
      <c r="S59" s="211" t="inlineStr">
        <is>
          <t>no</t>
        </is>
      </c>
      <c r="U59" s="287" t="n">
        <v>15.21184825897217</v>
      </c>
      <c r="V59" s="156">
        <f>1</f>
        <v/>
      </c>
      <c r="W59" s="288">
        <f>IF(U59&lt;&gt;"",U59*V59,"")</f>
        <v/>
      </c>
      <c r="X59" s="288">
        <f>IF(AND(U59&lt;&gt;"",S59="yes"),U59*V59,"")</f>
        <v/>
      </c>
      <c r="Y59" s="77" t="n"/>
    </row>
    <row r="60" ht="16.2" customFormat="1" customHeight="1" s="211">
      <c r="C60" s="238" t="n"/>
      <c r="D60" s="85" t="n"/>
      <c r="F60" s="81" t="n"/>
      <c r="G60" s="109" t="n"/>
      <c r="H60" s="109" t="n"/>
      <c r="I60" s="109" t="n"/>
      <c r="J60" s="109" t="n"/>
      <c r="K60" s="109" t="n"/>
      <c r="L60" s="109" t="n"/>
      <c r="M60" s="109" t="n"/>
      <c r="N60" s="109" t="n"/>
      <c r="U60" s="287" t="n"/>
      <c r="V60" s="156" t="n"/>
      <c r="W60" s="288" t="n"/>
      <c r="X60" s="288" t="n"/>
      <c r="Y60" s="77" t="n"/>
    </row>
    <row r="61" ht="16.2" customFormat="1" customHeight="1" s="211">
      <c r="A61" s="77" t="inlineStr">
        <is>
          <t>select_one maritalstat</t>
        </is>
      </c>
      <c r="B61" s="77" t="inlineStr">
        <is>
          <t>hh_maritalstat</t>
        </is>
      </c>
      <c r="C61" s="244" t="inlineStr">
        <is>
          <t xml:space="preserve">What is the head of household’s current marital status? </t>
        </is>
      </c>
      <c r="D61" s="85" t="n"/>
      <c r="E61" s="211" t="inlineStr">
        <is>
          <t>[INSTRUCTIONS: SINGLE RESPONSE.]</t>
        </is>
      </c>
      <c r="F61" s="81" t="n"/>
      <c r="G61" s="109" t="inlineStr">
        <is>
          <t>true</t>
        </is>
      </c>
      <c r="H61" s="109" t="n"/>
      <c r="I61" s="109" t="n"/>
      <c r="J61" s="109" t="n"/>
      <c r="K61" s="109" t="n"/>
      <c r="L61" s="109" t="n"/>
      <c r="M61" s="109" t="n"/>
      <c r="N61" s="109" t="n"/>
      <c r="S61" s="211" t="inlineStr">
        <is>
          <t>no</t>
        </is>
      </c>
      <c r="U61" s="287" t="n">
        <v>17</v>
      </c>
      <c r="V61" s="156">
        <f>1</f>
        <v/>
      </c>
      <c r="W61" s="288">
        <f>IF(U61&lt;&gt;"",U61*V61,"")</f>
        <v/>
      </c>
      <c r="X61" s="288">
        <f>IF(AND(U61&lt;&gt;"",S61="yes"),U61*V61,"")</f>
        <v/>
      </c>
      <c r="Y61" s="77" t="n"/>
    </row>
    <row r="62" ht="16.2" customFormat="1" customHeight="1" s="211">
      <c r="A62" s="77" t="inlineStr">
        <is>
          <t>select_one agegroup</t>
        </is>
      </c>
      <c r="B62" s="77" t="inlineStr">
        <is>
          <t>hh_age</t>
        </is>
      </c>
      <c r="C62" s="244" t="inlineStr">
        <is>
          <t xml:space="preserve">How old is the head of household? </t>
        </is>
      </c>
      <c r="D62" s="85" t="n"/>
      <c r="E62" s="211" t="inlineStr">
        <is>
          <t>[INSTRUCTIONS: SINGLE RESPONSE.]</t>
        </is>
      </c>
      <c r="F62" s="81" t="n"/>
      <c r="G62" s="109" t="inlineStr">
        <is>
          <t>true</t>
        </is>
      </c>
      <c r="H62" s="109" t="n"/>
      <c r="I62" s="109" t="n"/>
      <c r="J62" s="109" t="n"/>
      <c r="K62" s="109" t="n"/>
      <c r="L62" s="109" t="n"/>
      <c r="M62" s="109" t="n"/>
      <c r="N62" s="109" t="n"/>
      <c r="S62" s="211" t="inlineStr">
        <is>
          <t>no</t>
        </is>
      </c>
      <c r="U62" s="287" t="n">
        <v>8.228806495666504</v>
      </c>
      <c r="V62" s="156">
        <f>1</f>
        <v/>
      </c>
      <c r="W62" s="288">
        <f>IF(U62&lt;&gt;"",U62*V62,"")</f>
        <v/>
      </c>
      <c r="X62" s="288">
        <f>IF(AND(U62&lt;&gt;"",S62="yes"),U62*V62,"")</f>
        <v/>
      </c>
      <c r="Y62" s="77" t="n"/>
    </row>
    <row r="63" customFormat="1" s="211">
      <c r="C63" s="238" t="n"/>
      <c r="D63" s="78" t="n"/>
      <c r="F63" s="81" t="n"/>
      <c r="G63" s="109" t="n"/>
      <c r="H63" s="109" t="n"/>
      <c r="I63" s="109" t="n"/>
      <c r="J63" s="109" t="n"/>
      <c r="K63" s="109" t="n"/>
      <c r="L63" s="109" t="n"/>
      <c r="M63" s="109" t="n"/>
      <c r="N63" s="109" t="n"/>
      <c r="U63" s="287" t="n"/>
      <c r="V63" s="156" t="n"/>
      <c r="W63" s="288">
        <f>IF(U63&lt;&gt;"",U63*V63,"")</f>
        <v/>
      </c>
      <c r="X63" s="288">
        <f>IF(AND(U63&lt;&gt;"",S63="yes"),U63*V63,"")</f>
        <v/>
      </c>
      <c r="Y63" s="77" t="n"/>
    </row>
    <row r="64" ht="16.2" customHeight="1" thickBot="1">
      <c r="A64" s="95" t="inlineStr">
        <is>
          <t>end_group</t>
        </is>
      </c>
      <c r="B64" s="95" t="n"/>
      <c r="C64" s="245" t="n"/>
      <c r="D64" s="101" t="n"/>
      <c r="E64" s="95" t="n"/>
      <c r="F64" s="102" t="n"/>
      <c r="G64" s="121" t="n"/>
      <c r="H64" s="121" t="n"/>
      <c r="I64" s="121" t="n"/>
      <c r="J64" s="121" t="n"/>
      <c r="K64" s="121" t="n"/>
      <c r="L64" s="121" t="n"/>
      <c r="M64" s="121" t="n"/>
      <c r="N64" s="121" t="n"/>
      <c r="U64" s="287" t="n"/>
      <c r="V64" s="156">
        <f>1</f>
        <v/>
      </c>
      <c r="W64" s="288">
        <f>IF(U64&lt;&gt;"",U64*V64,"")</f>
        <v/>
      </c>
      <c r="X64" s="288">
        <f>IF(AND(U64&lt;&gt;"",S64="yes"),U64*V64,"")</f>
        <v/>
      </c>
    </row>
    <row r="65" ht="16.95" customFormat="1" customHeight="1" s="74" thickTop="1">
      <c r="A65" s="80" t="inlineStr">
        <is>
          <t>begin_group</t>
        </is>
      </c>
      <c r="B65" s="80" t="inlineStr">
        <is>
          <t>Income_Shocks_group</t>
        </is>
      </c>
      <c r="C65" s="246" t="inlineStr">
        <is>
          <t>INCOME SOURCES, LIVELIHOODS AND SHOCKS</t>
        </is>
      </c>
      <c r="D65" s="159" t="n"/>
      <c r="E65" s="80" t="n"/>
      <c r="F65" s="160" t="n"/>
      <c r="G65" s="122" t="inlineStr">
        <is>
          <t>false</t>
        </is>
      </c>
      <c r="H65" s="122" t="n"/>
      <c r="I65" s="122" t="n"/>
      <c r="J65" s="122" t="n"/>
      <c r="K65" s="122" t="inlineStr">
        <is>
          <t>${resp_agree} = '1' and ${hh_agricactivity} != '5' and ${hh_agricactivity} != '6'</t>
        </is>
      </c>
      <c r="L65" s="122" t="n"/>
      <c r="M65" s="122" t="n"/>
      <c r="N65" s="122" t="n"/>
      <c r="S65" s="47" t="inlineStr">
        <is>
          <t>yes</t>
        </is>
      </c>
      <c r="U65" s="287" t="n"/>
      <c r="V65" s="156">
        <f>1</f>
        <v/>
      </c>
      <c r="W65" s="288">
        <f>IF(U65&lt;&gt;"",U65*V65,"")</f>
        <v/>
      </c>
      <c r="X65" s="288">
        <f>IF(AND(U65&lt;&gt;"",S65="yes"),U65*V65,"")</f>
        <v/>
      </c>
      <c r="Y65" s="75" t="n"/>
    </row>
    <row r="66">
      <c r="D66" s="85" t="n"/>
      <c r="F66" s="86" t="n"/>
      <c r="U66" s="287" t="n"/>
      <c r="W66" s="288">
        <f>IF(U66&lt;&gt;"",U66*V66,"")</f>
        <v/>
      </c>
      <c r="X66" s="288">
        <f>IF(AND(U66&lt;&gt;"",S66="yes"),U66*V66,"")</f>
        <v/>
      </c>
    </row>
    <row r="67" ht="29.55" customHeight="1">
      <c r="A67" s="79" t="inlineStr">
        <is>
          <t>select_one incomesource1</t>
        </is>
      </c>
      <c r="B67" s="79" t="inlineStr">
        <is>
          <t>income_main</t>
        </is>
      </c>
      <c r="C67" s="240" t="inlineStr">
        <is>
          <t>What has been your household's main source of income in the past 3 months?</t>
        </is>
      </c>
      <c r="D67" s="224" t="n"/>
      <c r="E67" s="77" t="inlineStr">
        <is>
          <t>[INSTRUCTIONS: SINGLE RESPONSE. REFUSED OPTIONS SHOULD BE AVOIDED AS MUCH AS POSSIBLE.]</t>
        </is>
      </c>
      <c r="F67" s="94" t="n"/>
      <c r="G67" s="110" t="inlineStr">
        <is>
          <t>true</t>
        </is>
      </c>
      <c r="H67" s="110" t="inlineStr">
        <is>
          <t>minimal</t>
        </is>
      </c>
      <c r="I67" s="110" t="n"/>
      <c r="J67" s="110" t="n"/>
      <c r="K67" s="110" t="n"/>
      <c r="L67" s="110" t="n"/>
      <c r="M67" s="110" t="n"/>
      <c r="N67" s="110" t="n"/>
      <c r="S67" s="47" t="inlineStr">
        <is>
          <t>yes</t>
        </is>
      </c>
      <c r="U67" s="287" t="n">
        <v>36.92873382568359</v>
      </c>
      <c r="V67" s="156">
        <f>1</f>
        <v/>
      </c>
      <c r="W67" s="288">
        <f>IF(U67&lt;&gt;"",U67*V67,"")</f>
        <v/>
      </c>
      <c r="X67" s="288">
        <f>IF(AND(U67&lt;&gt;"",S67="yes"),U67*V67,"")</f>
        <v/>
      </c>
    </row>
    <row r="68">
      <c r="A68" s="79" t="inlineStr">
        <is>
          <t>calculate</t>
        </is>
      </c>
      <c r="B68" s="79" t="inlineStr">
        <is>
          <t>incomemain</t>
        </is>
      </c>
      <c r="C68" s="240" t="n"/>
      <c r="D68" s="251" t="n"/>
      <c r="E68" s="77" t="n"/>
      <c r="F68" s="94" t="n"/>
      <c r="G68" s="110" t="n"/>
      <c r="H68" s="110" t="n"/>
      <c r="I68" s="110" t="n"/>
      <c r="J68" s="110" t="n"/>
      <c r="K68" s="110" t="n"/>
      <c r="L68" s="110" t="n"/>
      <c r="M68" s="110" t="n"/>
      <c r="N68" s="110" t="inlineStr">
        <is>
          <t>jr:choice-name(${income_main},'${income_main}')</t>
        </is>
      </c>
      <c r="S68" s="47" t="inlineStr">
        <is>
          <t>yes</t>
        </is>
      </c>
      <c r="U68" s="287" t="n"/>
      <c r="V68" s="156">
        <f>1</f>
        <v/>
      </c>
      <c r="W68" s="288">
        <f>IF(U68&lt;&gt;"",U68*V68,"")</f>
        <v/>
      </c>
      <c r="X68" s="288">
        <f>IF(AND(U68&lt;&gt;"",S68="yes"),U68*V68,"")</f>
        <v/>
      </c>
    </row>
    <row r="69">
      <c r="A69" s="79" t="inlineStr">
        <is>
          <t>select_one yes_no</t>
        </is>
      </c>
      <c r="B69" s="79" t="inlineStr">
        <is>
          <t>income_main_cropcheck</t>
        </is>
      </c>
      <c r="C69" s="240" t="inlineStr">
        <is>
          <t xml:space="preserve">Are the crops that you sell produced by you or anyone in your household? </t>
        </is>
      </c>
      <c r="D69" s="224" t="n"/>
      <c r="E69" s="77" t="inlineStr">
        <is>
          <t>[INSTRUCTIONS: SINGLE RESPONSE.]</t>
        </is>
      </c>
      <c r="F69" s="94" t="n"/>
      <c r="G69" s="110" t="inlineStr">
        <is>
          <t>true</t>
        </is>
      </c>
      <c r="H69" s="110" t="n"/>
      <c r="I69" s="110" t="n"/>
      <c r="J69" s="110" t="n"/>
      <c r="K69" s="110" t="inlineStr">
        <is>
          <t xml:space="preserve">${income_main} = '1' or ${income_main} = '2' or ${income_main} = '3' </t>
        </is>
      </c>
      <c r="L69" s="110" t="n"/>
      <c r="M69" s="110" t="n"/>
      <c r="N69" s="110" t="n"/>
      <c r="S69" s="47" t="inlineStr">
        <is>
          <t>yes</t>
        </is>
      </c>
      <c r="U69" s="287" t="n">
        <v>0</v>
      </c>
      <c r="V69" s="156">
        <f>1</f>
        <v/>
      </c>
      <c r="W69" s="288">
        <f>IF(U69&lt;&gt;"",U69*V69,"")</f>
        <v/>
      </c>
      <c r="X69" s="288">
        <f>IF(AND(U69&lt;&gt;"",S69="yes"),U69*V69,"")</f>
        <v/>
      </c>
    </row>
    <row r="70" ht="31.95" customHeight="1">
      <c r="A70" s="79" t="inlineStr">
        <is>
          <t>select_one yes_no</t>
        </is>
      </c>
      <c r="B70" s="79" t="inlineStr">
        <is>
          <t>income_main_lscheck</t>
        </is>
      </c>
      <c r="C70" s="240" t="inlineStr">
        <is>
          <t xml:space="preserve">Are the livestock and livestock products that you sell produced by you or anyone in your household? </t>
        </is>
      </c>
      <c r="D70" s="224" t="n"/>
      <c r="E70" s="77" t="inlineStr">
        <is>
          <t>[INSTRUCTIONS: SINGLE RESPONSE.]</t>
        </is>
      </c>
      <c r="F70" s="94" t="n"/>
      <c r="G70" s="110" t="inlineStr">
        <is>
          <t>true</t>
        </is>
      </c>
      <c r="H70" s="110" t="n"/>
      <c r="I70" s="110" t="n"/>
      <c r="J70" s="110" t="n"/>
      <c r="K70" s="110" t="inlineStr">
        <is>
          <t>${income_main} = '4'</t>
        </is>
      </c>
      <c r="L70" s="110" t="n"/>
      <c r="M70" s="110" t="n"/>
      <c r="N70" s="110" t="n"/>
      <c r="S70" s="47" t="inlineStr">
        <is>
          <t>yes</t>
        </is>
      </c>
      <c r="U70" s="287" t="n">
        <v>0</v>
      </c>
      <c r="V70" s="156">
        <f>1</f>
        <v/>
      </c>
      <c r="W70" s="288">
        <f>IF(U70&lt;&gt;"",U70*V70,"")</f>
        <v/>
      </c>
      <c r="X70" s="288">
        <f>IF(AND(U70&lt;&gt;"",S70="yes"),U70*V70,"")</f>
        <v/>
      </c>
    </row>
    <row r="71">
      <c r="A71" s="79" t="inlineStr">
        <is>
          <t>select_one yes_no</t>
        </is>
      </c>
      <c r="B71" s="79" t="inlineStr">
        <is>
          <t>income_main_fishcheck</t>
        </is>
      </c>
      <c r="C71" s="240" t="inlineStr">
        <is>
          <t xml:space="preserve">Are the fish products that you sell produced by you or anyone in your household? </t>
        </is>
      </c>
      <c r="D71" s="224" t="n"/>
      <c r="E71" s="77" t="inlineStr">
        <is>
          <t>[INSTRUCTIONS: SINGLE RESPONSE.]</t>
        </is>
      </c>
      <c r="F71" s="94" t="n"/>
      <c r="G71" s="110" t="inlineStr">
        <is>
          <t>true</t>
        </is>
      </c>
      <c r="H71" s="110" t="n"/>
      <c r="I71" s="110" t="n"/>
      <c r="J71" s="110" t="n"/>
      <c r="K71" s="110" t="inlineStr">
        <is>
          <t>${income_main} = '5'</t>
        </is>
      </c>
      <c r="L71" s="110" t="n"/>
      <c r="M71" s="110" t="n"/>
      <c r="N71" s="110" t="n"/>
      <c r="S71" s="47" t="inlineStr">
        <is>
          <t>yes</t>
        </is>
      </c>
      <c r="U71" s="287" t="n">
        <v>0</v>
      </c>
      <c r="V71" s="156">
        <f>1</f>
        <v/>
      </c>
      <c r="W71" s="288">
        <f>IF(U71&lt;&gt;"",U71*V71,"")</f>
        <v/>
      </c>
      <c r="X71" s="288">
        <f>IF(AND(U71&lt;&gt;"",S71="yes"),U71*V71,"")</f>
        <v/>
      </c>
    </row>
    <row r="72" customFormat="1" s="211">
      <c r="C72" s="238" t="n"/>
      <c r="D72" s="252" t="n"/>
      <c r="F72" s="81" t="n"/>
      <c r="G72" s="109" t="n"/>
      <c r="H72" s="109" t="n"/>
      <c r="I72" s="109" t="n"/>
      <c r="J72" s="109" t="n"/>
      <c r="K72" s="109" t="n"/>
      <c r="L72" s="109" t="n"/>
      <c r="M72" s="109" t="n"/>
      <c r="N72" s="109" t="n"/>
      <c r="U72" s="287" t="n"/>
      <c r="V72" s="156" t="n"/>
      <c r="W72" s="288">
        <f>IF(U72&lt;&gt;"",U72*V72,"")</f>
        <v/>
      </c>
      <c r="X72" s="288">
        <f>IF(AND(U72&lt;&gt;"",S72="yes"),U72*V72,"")</f>
        <v/>
      </c>
      <c r="Y72" s="77" t="n"/>
    </row>
    <row r="73" ht="31.95" customHeight="1">
      <c r="A73" s="79" t="inlineStr">
        <is>
          <t>select_one change</t>
        </is>
      </c>
      <c r="B73" s="79" t="inlineStr">
        <is>
          <t>income_main_comp</t>
        </is>
      </c>
      <c r="C73" s="240" t="inlineStr">
        <is>
          <t>Has your household's income from ${incomemain} changed in the last 3 months compared to the same period of a normal year?</t>
        </is>
      </c>
      <c r="D73" s="224" t="n"/>
      <c r="E73" s="79" t="inlineStr">
        <is>
          <t>[INSTRUCTIONS: SINGLE RESPONSE.]</t>
        </is>
      </c>
      <c r="F73" s="94" t="n"/>
      <c r="G73" s="110" t="inlineStr">
        <is>
          <t>true</t>
        </is>
      </c>
      <c r="H73" s="110" t="n"/>
      <c r="I73" s="110" t="n"/>
      <c r="J73" s="110" t="n"/>
      <c r="K73" s="110" t="inlineStr">
        <is>
          <t xml:space="preserve">${income_main} != '19' and ${income_main} != '20' and ${income_main} != '21' </t>
        </is>
      </c>
      <c r="L73" s="110" t="n"/>
      <c r="M73" s="110" t="n"/>
      <c r="N73" s="110" t="n"/>
      <c r="S73" s="47" t="inlineStr">
        <is>
          <t>yes</t>
        </is>
      </c>
      <c r="U73" s="287" t="n">
        <v>27.24216651916504</v>
      </c>
      <c r="V73" s="156">
        <f>1</f>
        <v/>
      </c>
      <c r="W73" s="288">
        <f>IF(U73&lt;&gt;"",U73*V73,"")</f>
        <v/>
      </c>
      <c r="X73" s="288">
        <f>IF(AND(U73&lt;&gt;"",S73="yes"),U73*V73,"")</f>
        <v/>
      </c>
    </row>
    <row r="74">
      <c r="D74" s="224" t="n"/>
      <c r="F74" s="86" t="n"/>
      <c r="U74" s="287" t="n"/>
      <c r="W74" s="288">
        <f>IF(U74&lt;&gt;"",U74*V74,"")</f>
        <v/>
      </c>
      <c r="X74" s="288">
        <f>IF(AND(U74&lt;&gt;"",S74="yes"),U74*V74,"")</f>
        <v/>
      </c>
    </row>
    <row r="75" ht="31.95" customHeight="1">
      <c r="A75" s="79" t="inlineStr">
        <is>
          <t>select_one incomesource2</t>
        </is>
      </c>
      <c r="B75" s="79" t="inlineStr">
        <is>
          <t>income_sec</t>
        </is>
      </c>
      <c r="C75" s="240" t="inlineStr">
        <is>
          <t>What has been your household's second most important source of income in the past 3 months?</t>
        </is>
      </c>
      <c r="D75" s="224" t="n"/>
      <c r="E75" s="77" t="inlineStr">
        <is>
          <t>[INSTRUCTIONS: SINGLE RESPONSE. DON'T KNOW AND REFUSED OPTIONS SHOULD BE AVOIDED AS MUCH AS POSSIBLE.]</t>
        </is>
      </c>
      <c r="F75" s="94" t="n"/>
      <c r="G75" s="110" t="inlineStr">
        <is>
          <t>true</t>
        </is>
      </c>
      <c r="H75" s="110" t="inlineStr">
        <is>
          <t>minimal</t>
        </is>
      </c>
      <c r="I75" s="110" t="n"/>
      <c r="J75" s="110" t="n"/>
      <c r="K75" s="110" t="inlineStr">
        <is>
          <t xml:space="preserve">${income_main} != '19' and ${income_main} != '20' and ${income_main} != '21' </t>
        </is>
      </c>
      <c r="L75" s="110" t="inlineStr">
        <is>
          <t>not(selected(${income_main}, name))</t>
        </is>
      </c>
      <c r="M75" s="110" t="n"/>
      <c r="N75" s="110" t="n"/>
      <c r="S75" s="47" t="inlineStr">
        <is>
          <t>yes</t>
        </is>
      </c>
      <c r="U75" s="287" t="n">
        <v>25.30800437927246</v>
      </c>
      <c r="V75" s="156">
        <f>1</f>
        <v/>
      </c>
      <c r="W75" s="288">
        <f>IF(U75&lt;&gt;"",U75*V75,"")</f>
        <v/>
      </c>
      <c r="X75" s="288">
        <f>IF(AND(U75&lt;&gt;"",S75="yes"),U75*V75,"")</f>
        <v/>
      </c>
    </row>
    <row r="76">
      <c r="A76" s="79" t="inlineStr">
        <is>
          <t>calculate</t>
        </is>
      </c>
      <c r="B76" s="79" t="inlineStr">
        <is>
          <t>incomesec</t>
        </is>
      </c>
      <c r="C76" s="240" t="n"/>
      <c r="D76" s="251" t="n"/>
      <c r="E76" s="77" t="n"/>
      <c r="F76" s="94" t="n"/>
      <c r="G76" s="110" t="n"/>
      <c r="H76" s="110" t="n"/>
      <c r="I76" s="110" t="n"/>
      <c r="J76" s="110" t="n"/>
      <c r="K76" s="110" t="n"/>
      <c r="L76" s="110" t="n"/>
      <c r="M76" s="110" t="n"/>
      <c r="N76" s="110" t="inlineStr">
        <is>
          <t>jr:choice-name(${income_sec},'${income_sec}')</t>
        </is>
      </c>
      <c r="S76" s="47" t="inlineStr">
        <is>
          <t>yes</t>
        </is>
      </c>
      <c r="U76" s="287" t="n"/>
      <c r="V76" s="156">
        <f>1</f>
        <v/>
      </c>
      <c r="W76" s="288">
        <f>IF(U76&lt;&gt;"",U76*V76,"")</f>
        <v/>
      </c>
      <c r="X76" s="288">
        <f>IF(AND(U76&lt;&gt;"",S76="yes"),U76*V76,"")</f>
        <v/>
      </c>
    </row>
    <row r="77" ht="16.2" customHeight="1">
      <c r="A77" s="79" t="inlineStr">
        <is>
          <t>select_one yes_no</t>
        </is>
      </c>
      <c r="B77" s="79" t="inlineStr">
        <is>
          <t>income_sec_cropcheck</t>
        </is>
      </c>
      <c r="C77" s="240" t="inlineStr">
        <is>
          <t xml:space="preserve">Are the crops that you sell produced by you or anyone in your household? </t>
        </is>
      </c>
      <c r="D77" s="224" t="n"/>
      <c r="E77" s="77" t="inlineStr">
        <is>
          <t>[INSTRUCTIONS: SINGLE RESPONSE.]</t>
        </is>
      </c>
      <c r="F77" s="94" t="n"/>
      <c r="G77" s="110" t="inlineStr">
        <is>
          <t>true</t>
        </is>
      </c>
      <c r="H77" s="110" t="n"/>
      <c r="I77" s="110" t="n"/>
      <c r="J77" s="110" t="n"/>
      <c r="K77" s="110" t="inlineStr">
        <is>
          <t xml:space="preserve">${income_sec} = '1' or ${income_sec} = '2' or ${income_sec} = '3' </t>
        </is>
      </c>
      <c r="L77" s="110" t="n"/>
      <c r="M77" s="110" t="n"/>
      <c r="N77" s="110" t="n"/>
      <c r="S77" s="47" t="inlineStr">
        <is>
          <t>yes</t>
        </is>
      </c>
      <c r="U77" s="287" t="n">
        <v>0</v>
      </c>
      <c r="V77" s="156">
        <f>1</f>
        <v/>
      </c>
      <c r="W77" s="288">
        <f>IF(U77&lt;&gt;"",U77*V77,"")</f>
        <v/>
      </c>
      <c r="X77" s="288">
        <f>IF(AND(U77&lt;&gt;"",S77="yes"),U77*V77,"")</f>
        <v/>
      </c>
    </row>
    <row r="78" ht="31.95" customHeight="1">
      <c r="A78" s="79" t="inlineStr">
        <is>
          <t>select_one yes_no</t>
        </is>
      </c>
      <c r="B78" s="79" t="inlineStr">
        <is>
          <t>income_sec_lscheck</t>
        </is>
      </c>
      <c r="C78" s="240" t="inlineStr">
        <is>
          <t xml:space="preserve">Are the livestock and livestock products that you sell produced by you or anyone in your household? </t>
        </is>
      </c>
      <c r="D78" s="224" t="n"/>
      <c r="E78" s="77" t="inlineStr">
        <is>
          <t>[INSTRUCTIONS: SINGLE RESPONSE.]</t>
        </is>
      </c>
      <c r="F78" s="94" t="n"/>
      <c r="G78" s="110" t="inlineStr">
        <is>
          <t>true</t>
        </is>
      </c>
      <c r="H78" s="110" t="n"/>
      <c r="I78" s="110" t="n"/>
      <c r="J78" s="110" t="n"/>
      <c r="K78" s="110" t="inlineStr">
        <is>
          <t>${income_sec} = '4'</t>
        </is>
      </c>
      <c r="L78" s="110" t="n"/>
      <c r="M78" s="110" t="n"/>
      <c r="N78" s="110" t="n"/>
      <c r="S78" s="47" t="inlineStr">
        <is>
          <t>yes</t>
        </is>
      </c>
      <c r="U78" s="287" t="n">
        <v>0</v>
      </c>
      <c r="V78" s="156">
        <f>1</f>
        <v/>
      </c>
      <c r="W78" s="288">
        <f>IF(U78&lt;&gt;"",U78*V78,"")</f>
        <v/>
      </c>
      <c r="X78" s="288">
        <f>IF(AND(U78&lt;&gt;"",S78="yes"),U78*V78,"")</f>
        <v/>
      </c>
    </row>
    <row r="79">
      <c r="A79" s="79" t="inlineStr">
        <is>
          <t>select_one yes_no</t>
        </is>
      </c>
      <c r="B79" s="79" t="inlineStr">
        <is>
          <t>income_sec_fishcheck</t>
        </is>
      </c>
      <c r="C79" s="240" t="inlineStr">
        <is>
          <t xml:space="preserve">Are the fish products that you sell produced by you or anyone in your household? </t>
        </is>
      </c>
      <c r="D79" s="224" t="n"/>
      <c r="E79" s="77" t="inlineStr">
        <is>
          <t>[INSTRUCTIONS: SINGLE RESPONSE.]</t>
        </is>
      </c>
      <c r="F79" s="94" t="n"/>
      <c r="G79" s="110" t="inlineStr">
        <is>
          <t>true</t>
        </is>
      </c>
      <c r="H79" s="110" t="n"/>
      <c r="I79" s="110" t="n"/>
      <c r="J79" s="110" t="n"/>
      <c r="K79" s="110" t="inlineStr">
        <is>
          <t>${income_sec} = '5'</t>
        </is>
      </c>
      <c r="L79" s="110" t="n"/>
      <c r="M79" s="110" t="n"/>
      <c r="N79" s="110" t="n"/>
      <c r="S79" s="47" t="inlineStr">
        <is>
          <t>yes</t>
        </is>
      </c>
      <c r="U79" s="287" t="n">
        <v>0</v>
      </c>
      <c r="V79" s="156">
        <f>1</f>
        <v/>
      </c>
      <c r="W79" s="288">
        <f>IF(U79&lt;&gt;"",U79*V79,"")</f>
        <v/>
      </c>
      <c r="X79" s="288">
        <f>IF(AND(U79&lt;&gt;"",S79="yes"),U79*V79,"")</f>
        <v/>
      </c>
    </row>
    <row r="80">
      <c r="D80" s="224" t="n"/>
      <c r="F80" s="86" t="n"/>
      <c r="U80" s="287" t="n"/>
      <c r="W80" s="288">
        <f>IF(U80&lt;&gt;"",U80*V80,"")</f>
        <v/>
      </c>
      <c r="X80" s="288">
        <f>IF(AND(U80&lt;&gt;"",S80="yes"),U80*V80,"")</f>
        <v/>
      </c>
    </row>
    <row r="81" ht="31.95" customHeight="1">
      <c r="A81" s="79" t="inlineStr">
        <is>
          <t>select_one change</t>
        </is>
      </c>
      <c r="B81" s="79" t="inlineStr">
        <is>
          <t>income_sec_comp</t>
        </is>
      </c>
      <c r="C81" s="240" t="inlineStr">
        <is>
          <t>Has your household's income from ${incomesec} changed in the last 3 months compared to the same period of a normal year?</t>
        </is>
      </c>
      <c r="D81" s="224" t="n"/>
      <c r="E81" s="79" t="inlineStr">
        <is>
          <t>[INSTRUCTIONS: SINGLE RESPONSE.]</t>
        </is>
      </c>
      <c r="F81" s="94" t="n"/>
      <c r="G81" s="110" t="inlineStr">
        <is>
          <t>true</t>
        </is>
      </c>
      <c r="H81" s="110" t="n"/>
      <c r="I81" s="110" t="n"/>
      <c r="J81" s="110" t="n"/>
      <c r="K81" s="110" t="inlineStr">
        <is>
          <t xml:space="preserve">${income_main} != '19' and ${income_main} != '20' and ${income_main} != '21' and ${income_sec} != '19' and ${income_sec} != '20' and ${income_sec} != '21' </t>
        </is>
      </c>
      <c r="L81" s="110" t="n"/>
      <c r="M81" s="110" t="n"/>
      <c r="N81" s="110" t="n"/>
      <c r="S81" s="47" t="inlineStr">
        <is>
          <t>yes</t>
        </is>
      </c>
      <c r="U81" s="287" t="n">
        <v>21.19325637817383</v>
      </c>
      <c r="V81" s="156">
        <f>1</f>
        <v/>
      </c>
      <c r="W81" s="288">
        <f>IF(U81&lt;&gt;"",U81*V81,"")</f>
        <v/>
      </c>
      <c r="X81" s="288">
        <f>IF(AND(U81&lt;&gt;"",S81="yes"),U81*V81,"")</f>
        <v/>
      </c>
    </row>
    <row r="82">
      <c r="D82" s="224" t="n"/>
      <c r="F82" s="86" t="n"/>
      <c r="K82" s="120" t="n"/>
      <c r="U82" s="287" t="n"/>
      <c r="W82" s="288">
        <f>IF(U82&lt;&gt;"",U82*V82,"")</f>
        <v/>
      </c>
      <c r="X82" s="288">
        <f>IF(AND(U82&lt;&gt;"",S82="yes"),U82*V82,"")</f>
        <v/>
      </c>
    </row>
    <row r="83" ht="31.95" customHeight="1">
      <c r="A83" s="79" t="inlineStr">
        <is>
          <t>select_one incomesource3</t>
        </is>
      </c>
      <c r="B83" s="79" t="inlineStr">
        <is>
          <t>income_third</t>
        </is>
      </c>
      <c r="C83" s="240" t="inlineStr">
        <is>
          <t>What has been your household's third most important source of income in the past 3 months?</t>
        </is>
      </c>
      <c r="D83" s="224" t="n"/>
      <c r="E83" s="77" t="inlineStr">
        <is>
          <t>[INSTRUCTIONS: SINGLE RESPONSE. DON'T KNOW AND REFUSED OPTIONS SHOULD BE AVOIDED AS MUCH AS POSSIBLE.]</t>
        </is>
      </c>
      <c r="F83" s="94" t="n"/>
      <c r="G83" s="110" t="inlineStr">
        <is>
          <t>true</t>
        </is>
      </c>
      <c r="H83" s="110" t="inlineStr">
        <is>
          <t>minimal</t>
        </is>
      </c>
      <c r="I83" s="110" t="n"/>
      <c r="J83" s="110" t="n"/>
      <c r="K83" s="110" t="inlineStr">
        <is>
          <t xml:space="preserve">${income_main} != '19' and ${income_main} != '20' and ${income_main} != '21' and ${income_sec} != '19' and ${income_sec} != '20' and ${income_sec} != '21' </t>
        </is>
      </c>
      <c r="L83" s="110" t="inlineStr">
        <is>
          <t>not(selected(${income_main}, name) or selected(${income_sec}, name))</t>
        </is>
      </c>
      <c r="M83" s="110" t="n"/>
      <c r="N83" s="110" t="n"/>
      <c r="S83" s="47" t="inlineStr">
        <is>
          <t>yes</t>
        </is>
      </c>
      <c r="U83" s="287" t="n">
        <v>20.22992706298828</v>
      </c>
      <c r="V83" s="156">
        <f>1</f>
        <v/>
      </c>
      <c r="W83" s="288">
        <f>IF(U83&lt;&gt;"",U83*V83,"")</f>
        <v/>
      </c>
      <c r="X83" s="288">
        <f>IF(AND(U83&lt;&gt;"",S83="yes"),U83*V83,"")</f>
        <v/>
      </c>
    </row>
    <row r="84">
      <c r="A84" s="79" t="inlineStr">
        <is>
          <t>calculate</t>
        </is>
      </c>
      <c r="B84" s="79" t="inlineStr">
        <is>
          <t>incomethird</t>
        </is>
      </c>
      <c r="C84" s="240" t="n"/>
      <c r="D84" s="251" t="n"/>
      <c r="E84" s="77" t="n"/>
      <c r="F84" s="94" t="n"/>
      <c r="G84" s="110" t="n"/>
      <c r="H84" s="110" t="n"/>
      <c r="I84" s="110" t="n"/>
      <c r="J84" s="110" t="n"/>
      <c r="K84" s="110" t="n"/>
      <c r="L84" s="110" t="n"/>
      <c r="M84" s="110" t="n"/>
      <c r="N84" s="110" t="inlineStr">
        <is>
          <t>jr:choice-name(${income_third},'${income_third}')</t>
        </is>
      </c>
      <c r="S84" s="47" t="inlineStr">
        <is>
          <t>yes</t>
        </is>
      </c>
      <c r="U84" s="287" t="n"/>
      <c r="V84" s="156">
        <f>1</f>
        <v/>
      </c>
      <c r="W84" s="288">
        <f>IF(U84&lt;&gt;"",U84*V84,"")</f>
        <v/>
      </c>
      <c r="X84" s="288">
        <f>IF(AND(U84&lt;&gt;"",S84="yes"),U84*V84,"")</f>
        <v/>
      </c>
    </row>
    <row r="85" ht="16.2" customHeight="1">
      <c r="A85" s="79" t="inlineStr">
        <is>
          <t>select_one yes_no</t>
        </is>
      </c>
      <c r="B85" s="79" t="inlineStr">
        <is>
          <t>income_third_cropcheck</t>
        </is>
      </c>
      <c r="C85" s="240" t="inlineStr">
        <is>
          <t xml:space="preserve">Are the crops that you sell produced by you or anyone in your household? </t>
        </is>
      </c>
      <c r="D85" s="224" t="n"/>
      <c r="E85" s="77" t="inlineStr">
        <is>
          <t>[INSTRUCTIONS: SINGLE RESPONSE.]</t>
        </is>
      </c>
      <c r="F85" s="94" t="n"/>
      <c r="G85" s="110" t="inlineStr">
        <is>
          <t>true</t>
        </is>
      </c>
      <c r="H85" s="110" t="n"/>
      <c r="I85" s="110" t="n"/>
      <c r="J85" s="110" t="n"/>
      <c r="K85" s="110" t="inlineStr">
        <is>
          <t xml:space="preserve">${income_third} = '1' or ${income_third} = '2' or ${income_third} = '3' </t>
        </is>
      </c>
      <c r="L85" s="110" t="n"/>
      <c r="M85" s="110" t="n"/>
      <c r="N85" s="110" t="n"/>
      <c r="S85" s="47" t="inlineStr">
        <is>
          <t>yes</t>
        </is>
      </c>
      <c r="U85" s="287" t="n">
        <v>0</v>
      </c>
      <c r="V85" s="156">
        <f>1</f>
        <v/>
      </c>
      <c r="W85" s="288">
        <f>IF(U85&lt;&gt;"",U85*V85,"")</f>
        <v/>
      </c>
      <c r="X85" s="288">
        <f>IF(AND(U85&lt;&gt;"",S85="yes"),U85*V85,"")</f>
        <v/>
      </c>
    </row>
    <row r="86" ht="31.95" customHeight="1">
      <c r="A86" s="79" t="inlineStr">
        <is>
          <t>select_one yes_no</t>
        </is>
      </c>
      <c r="B86" s="79" t="inlineStr">
        <is>
          <t>income_third_lscheck</t>
        </is>
      </c>
      <c r="C86" s="240" t="inlineStr">
        <is>
          <t xml:space="preserve">Are the livestock and livestock products that you sell produced by you or anyone in your household? </t>
        </is>
      </c>
      <c r="D86" s="224" t="n"/>
      <c r="E86" s="77" t="inlineStr">
        <is>
          <t>[INSTRUCTIONS: SINGLE RESPONSE.]</t>
        </is>
      </c>
      <c r="F86" s="94" t="n"/>
      <c r="G86" s="110" t="inlineStr">
        <is>
          <t>true</t>
        </is>
      </c>
      <c r="H86" s="110" t="n"/>
      <c r="I86" s="110" t="n"/>
      <c r="J86" s="110" t="n"/>
      <c r="K86" s="110" t="inlineStr">
        <is>
          <t>${income_third} = '4'</t>
        </is>
      </c>
      <c r="L86" s="110" t="n"/>
      <c r="M86" s="110" t="n"/>
      <c r="N86" s="110" t="n"/>
      <c r="S86" s="47" t="inlineStr">
        <is>
          <t>yes</t>
        </is>
      </c>
      <c r="U86" s="287" t="n">
        <v>0</v>
      </c>
      <c r="V86" s="156">
        <f>1</f>
        <v/>
      </c>
      <c r="W86" s="288">
        <f>IF(U86&lt;&gt;"",U86*V86,"")</f>
        <v/>
      </c>
      <c r="X86" s="288">
        <f>IF(AND(U86&lt;&gt;"",S86="yes"),U86*V86,"")</f>
        <v/>
      </c>
    </row>
    <row r="87">
      <c r="A87" s="79" t="inlineStr">
        <is>
          <t>select_one yes_no</t>
        </is>
      </c>
      <c r="B87" s="79" t="inlineStr">
        <is>
          <t>income_third_fishcheck</t>
        </is>
      </c>
      <c r="C87" s="240" t="inlineStr">
        <is>
          <t xml:space="preserve">Are the fish products that you sell produced by you or anyone in your household? </t>
        </is>
      </c>
      <c r="D87" s="224" t="n"/>
      <c r="E87" s="77" t="inlineStr">
        <is>
          <t>[INSTRUCTIONS: SINGLE RESPONSE.]</t>
        </is>
      </c>
      <c r="F87" s="94" t="n"/>
      <c r="G87" s="110" t="inlineStr">
        <is>
          <t>true</t>
        </is>
      </c>
      <c r="H87" s="110" t="n"/>
      <c r="I87" s="110" t="n"/>
      <c r="J87" s="110" t="n"/>
      <c r="K87" s="110" t="inlineStr">
        <is>
          <t>${income_third} = '5'</t>
        </is>
      </c>
      <c r="L87" s="110" t="n"/>
      <c r="M87" s="110" t="n"/>
      <c r="N87" s="110" t="n"/>
      <c r="S87" s="47" t="inlineStr">
        <is>
          <t>yes</t>
        </is>
      </c>
      <c r="U87" s="287" t="n">
        <v>0</v>
      </c>
      <c r="V87" s="156">
        <f>1</f>
        <v/>
      </c>
      <c r="W87" s="288">
        <f>IF(U87&lt;&gt;"",U87*V87,"")</f>
        <v/>
      </c>
      <c r="X87" s="288">
        <f>IF(AND(U87&lt;&gt;"",S87="yes"),U87*V87,"")</f>
        <v/>
      </c>
    </row>
    <row r="88" customFormat="1" s="211">
      <c r="C88" s="238" t="n"/>
      <c r="D88" s="252" t="n"/>
      <c r="F88" s="96" t="n"/>
      <c r="G88" s="109" t="n"/>
      <c r="H88" s="109" t="n"/>
      <c r="I88" s="109" t="n"/>
      <c r="J88" s="109" t="n"/>
      <c r="K88" s="123" t="n"/>
      <c r="L88" s="109" t="n"/>
      <c r="M88" s="109" t="n"/>
      <c r="N88" s="109" t="n"/>
      <c r="U88" s="287" t="n"/>
      <c r="V88" s="156" t="n"/>
      <c r="W88" s="288">
        <f>IF(U88&lt;&gt;"",U88*V88,"")</f>
        <v/>
      </c>
      <c r="X88" s="288">
        <f>IF(AND(U88&lt;&gt;"",S88="yes"),U88*V88,"")</f>
        <v/>
      </c>
      <c r="Y88" s="77" t="n"/>
    </row>
    <row r="89" ht="31.95" customHeight="1">
      <c r="A89" s="79" t="inlineStr">
        <is>
          <t>select_one change</t>
        </is>
      </c>
      <c r="B89" s="79" t="inlineStr">
        <is>
          <t>income_third_comp</t>
        </is>
      </c>
      <c r="C89" s="240" t="inlineStr">
        <is>
          <t>Has your household's income from ${incomethird} changed in the last 3 months compared to the same period of a normal year?</t>
        </is>
      </c>
      <c r="D89" s="224" t="n"/>
      <c r="E89" s="79" t="inlineStr">
        <is>
          <t>[INSTRUCTIONS: SINGLE RESPONSE.]</t>
        </is>
      </c>
      <c r="F89" s="94" t="n"/>
      <c r="G89" s="110" t="inlineStr">
        <is>
          <t>true</t>
        </is>
      </c>
      <c r="H89" s="110" t="n"/>
      <c r="I89" s="110" t="n"/>
      <c r="J89" s="110" t="n"/>
      <c r="K89" s="110" t="inlineStr">
        <is>
          <t xml:space="preserve">${income_main} != '19' and ${income_main} != '20' and ${income_main} != '21' and ${income_sec} != '19' and ${income_sec} != '20' and ${income_sec} != '21' and ${income_third} != '19' and ${income_third} != '20' and ${income_third} != '21' </t>
        </is>
      </c>
      <c r="L89" s="110" t="n"/>
      <c r="M89" s="110" t="n"/>
      <c r="N89" s="110" t="n"/>
      <c r="S89" s="47" t="inlineStr">
        <is>
          <t>yes</t>
        </is>
      </c>
      <c r="U89" s="287" t="n">
        <v>16.34839630126953</v>
      </c>
      <c r="V89" s="156">
        <f>1</f>
        <v/>
      </c>
      <c r="W89" s="288">
        <f>IF(U89&lt;&gt;"",U89*V89,"")</f>
        <v/>
      </c>
      <c r="X89" s="288">
        <f>IF(AND(U89&lt;&gt;"",S89="yes"),U89*V89,"")</f>
        <v/>
      </c>
    </row>
    <row r="90" customFormat="1" s="211">
      <c r="A90" s="211" t="inlineStr">
        <is>
          <t>decimal</t>
        </is>
      </c>
      <c r="B90" s="211" t="inlineStr">
        <is>
          <t>o_income</t>
        </is>
      </c>
      <c r="C90" s="238" t="inlineStr">
        <is>
          <t>In a typical year, what is your annual income?</t>
        </is>
      </c>
      <c r="D90" s="252" t="n"/>
      <c r="F90" s="81" t="n"/>
      <c r="G90" s="109" t="n"/>
      <c r="H90" s="109" t="n"/>
      <c r="I90" s="109" t="n"/>
      <c r="J90" s="109" t="n"/>
      <c r="K90" s="109" t="n"/>
      <c r="L90" s="109" t="n"/>
      <c r="M90" s="109" t="n"/>
      <c r="N90" s="109" t="n"/>
      <c r="U90" s="287" t="n"/>
      <c r="V90" s="156" t="n"/>
      <c r="W90" s="288">
        <f>IF(U90&lt;&gt;"",U90*V90,"")</f>
        <v/>
      </c>
      <c r="X90" s="288">
        <f>IF(AND(U90&lt;&gt;"",S90="yes"),U90*V90,"")</f>
        <v/>
      </c>
      <c r="Y90" s="77" t="n"/>
    </row>
    <row r="91" ht="48" customHeight="1">
      <c r="A91" s="79" t="inlineStr">
        <is>
          <t>select_multiple shock</t>
        </is>
      </c>
      <c r="B91" s="79" t="inlineStr">
        <is>
          <t>shock</t>
        </is>
      </c>
      <c r="C91" s="240" t="inlineStr">
        <is>
          <t xml:space="preserve">Has your household faced any particular disaster or crisis affecting your community or your household that affected your ability to raise an income and/or to produce food for self consumption in the last 3 months? </t>
        </is>
      </c>
      <c r="D91" s="224" t="n"/>
      <c r="E91" s="79" t="inlineStr">
        <is>
          <t>[INSTRUCTIONS: SELECT RELEVANT SHOCKS EXPERIENCED BY THE HOUSEHOLD. MULTIPLE RESPONSES POSSIBLE. REFER TO ECONOMIC SHOCKS, CROP AND LIVESTOCK SHOCKS, INTRA-HOUSEHOLD SHOCK, NATURAL HAZARDS AND MAN-MADE HAZARDS.]</t>
        </is>
      </c>
      <c r="F91" s="94" t="n"/>
      <c r="G91" s="110" t="inlineStr">
        <is>
          <t>true</t>
        </is>
      </c>
      <c r="H91" s="110" t="n"/>
      <c r="I91" s="110" t="inlineStr">
        <is>
          <t>if(selected(.,'noshock') or selected(.,'dk') or selected(.,'ref'), count-selected(.) = 1, count-selected(.) &gt;= 1)</t>
        </is>
      </c>
      <c r="J91" s="110" t="n"/>
      <c r="K91" s="110" t="n"/>
      <c r="L91" s="110" t="n"/>
      <c r="M91" s="110" t="n"/>
      <c r="N91" s="110" t="n"/>
      <c r="S91" s="47" t="inlineStr">
        <is>
          <t>yes</t>
        </is>
      </c>
      <c r="U91" s="287" t="n">
        <v>46.24752807617188</v>
      </c>
      <c r="V91" s="156">
        <f>1</f>
        <v/>
      </c>
      <c r="W91" s="288">
        <f>IF(U91&lt;&gt;"",U91*V91,"")</f>
        <v/>
      </c>
      <c r="X91" s="288">
        <f>IF(AND(U91&lt;&gt;"",S91="yes"),U91*V91,"")</f>
        <v/>
      </c>
    </row>
    <row r="92" customFormat="1" s="211">
      <c r="A92" s="269" t="inlineStr">
        <is>
          <t>select_one yes_no</t>
        </is>
      </c>
      <c r="B92" s="269" t="inlineStr">
        <is>
          <t>affectedbyearthquake</t>
        </is>
      </c>
      <c r="C92" s="269" t="inlineStr">
        <is>
          <t>Have you been affected by the earthquake?</t>
        </is>
      </c>
      <c r="D92" s="269" t="n"/>
      <c r="F92" s="81" t="n"/>
      <c r="G92" s="120" t="inlineStr">
        <is>
          <t>true</t>
        </is>
      </c>
      <c r="H92" s="109" t="n"/>
      <c r="I92" s="115" t="n"/>
      <c r="J92" s="109" t="n"/>
      <c r="K92" s="109" t="n"/>
      <c r="L92" s="109" t="n"/>
      <c r="M92" s="109" t="n"/>
      <c r="N92" s="109" t="n"/>
      <c r="U92" s="287" t="n"/>
      <c r="V92" s="156" t="n"/>
      <c r="W92" s="288" t="n"/>
      <c r="X92" s="288" t="n"/>
      <c r="Y92" s="77" t="n"/>
    </row>
    <row r="93" customFormat="1" s="211">
      <c r="A93" s="269" t="n"/>
      <c r="B93" s="269" t="n"/>
      <c r="C93" s="269" t="n"/>
      <c r="D93" s="269" t="n"/>
      <c r="F93" s="81" t="n"/>
      <c r="G93" s="120" t="n"/>
      <c r="H93" s="109" t="n"/>
      <c r="I93" s="115" t="n"/>
      <c r="J93" s="109" t="n"/>
      <c r="K93" s="109" t="n"/>
      <c r="L93" s="109" t="n"/>
      <c r="M93" s="109" t="n"/>
      <c r="N93" s="109" t="n"/>
      <c r="U93" s="287" t="n"/>
      <c r="V93" s="156" t="n"/>
      <c r="W93" s="288" t="n"/>
      <c r="X93" s="288" t="n"/>
      <c r="Y93" s="77" t="n"/>
    </row>
    <row r="94" ht="15" customFormat="1" customHeight="1" s="211" thickBot="1">
      <c r="A94" s="260" t="inlineStr">
        <is>
          <t>end_group</t>
        </is>
      </c>
      <c r="B94" s="261" t="n"/>
      <c r="C94" s="262" t="n"/>
      <c r="D94" s="263" t="n"/>
      <c r="E94" s="261" t="n"/>
      <c r="F94" s="264" t="n"/>
      <c r="G94" s="265" t="n"/>
      <c r="H94" s="265" t="n"/>
      <c r="I94" s="266" t="n"/>
      <c r="J94" s="265" t="n"/>
      <c r="K94" s="265" t="n"/>
      <c r="L94" s="265" t="n"/>
      <c r="M94" s="265" t="n"/>
      <c r="N94" s="265" t="n"/>
      <c r="U94" s="287" t="n"/>
      <c r="V94" s="156" t="n"/>
      <c r="W94" s="288" t="n"/>
      <c r="X94" s="288" t="n"/>
      <c r="Y94" s="77" t="n"/>
    </row>
    <row r="95" customFormat="1" s="211">
      <c r="A95" s="269" t="inlineStr">
        <is>
          <t>begin_group</t>
        </is>
      </c>
      <c r="B95" s="269" t="inlineStr">
        <is>
          <t>earthquake_impact</t>
        </is>
      </c>
      <c r="C95" s="269" t="inlineStr">
        <is>
          <t>Earthquake Impact</t>
        </is>
      </c>
      <c r="D95" s="269" t="n"/>
      <c r="F95" s="81" t="n"/>
      <c r="G95" s="268" t="inlineStr">
        <is>
          <t>false</t>
        </is>
      </c>
      <c r="H95" s="109" t="n"/>
      <c r="I95" s="115" t="n"/>
      <c r="J95" s="109" t="n"/>
      <c r="K95" s="115" t="inlineStr">
        <is>
          <t>${resp_agree} = '1' and ${affectedbyearthquake} = '1'</t>
        </is>
      </c>
      <c r="L95" s="109" t="n"/>
      <c r="M95" s="109" t="n"/>
      <c r="N95" s="109" t="n"/>
      <c r="U95" s="287" t="n"/>
      <c r="V95" s="156" t="n"/>
      <c r="W95" s="288" t="n"/>
      <c r="X95" s="288" t="n"/>
      <c r="Y95" s="77" t="n"/>
    </row>
    <row r="96" customFormat="1" s="211">
      <c r="A96" s="269" t="n"/>
      <c r="B96" s="269" t="n"/>
      <c r="C96" s="269" t="n"/>
      <c r="D96" s="269" t="n"/>
      <c r="F96" s="81" t="n"/>
      <c r="G96" s="268" t="n"/>
      <c r="H96" s="109" t="n"/>
      <c r="I96" s="115" t="n"/>
      <c r="J96" s="109" t="n"/>
      <c r="K96" s="115" t="n"/>
      <c r="L96" s="109" t="n"/>
      <c r="M96" s="109" t="n"/>
      <c r="N96" s="109" t="n"/>
      <c r="U96" s="287" t="n"/>
      <c r="V96" s="156" t="n"/>
      <c r="W96" s="288" t="n"/>
      <c r="X96" s="288" t="n"/>
      <c r="Y96" s="77" t="n"/>
    </row>
    <row r="97"/>
    <row r="98" customFormat="1" s="211">
      <c r="A98" s="269" t="inlineStr">
        <is>
          <t>select_one severity</t>
        </is>
      </c>
      <c r="B98" s="269" t="inlineStr">
        <is>
          <t>earthquakeseverity</t>
        </is>
      </c>
      <c r="C98" s="269" t="inlineStr">
        <is>
          <t>How severe the earthquake in your area was?</t>
        </is>
      </c>
      <c r="D98" s="269" t="n"/>
      <c r="F98" s="81" t="n"/>
      <c r="G98" s="120" t="n"/>
      <c r="H98" s="109" t="n"/>
      <c r="I98" s="115" t="n"/>
      <c r="J98" s="109" t="n"/>
      <c r="K98" s="120" t="inlineStr">
        <is>
          <t>${affectedbyearthquake} = '1'</t>
        </is>
      </c>
      <c r="L98" s="109" t="n"/>
      <c r="M98" s="109" t="n"/>
      <c r="N98" s="109" t="n"/>
      <c r="U98" s="287" t="n"/>
      <c r="V98" s="156" t="n"/>
      <c r="W98" s="288" t="n"/>
      <c r="X98" s="288" t="n"/>
      <c r="Y98" s="77" t="n"/>
    </row>
    <row r="99" customFormat="1" s="211">
      <c r="A99" s="269" t="inlineStr">
        <is>
          <t>select_one yes_no</t>
        </is>
      </c>
      <c r="B99" s="269" t="inlineStr">
        <is>
          <t>hhmembersdied</t>
        </is>
      </c>
      <c r="C99" s="269" t="inlineStr">
        <is>
          <t>Did any of your household members died as the result of earthquake?</t>
        </is>
      </c>
      <c r="D99" s="269" t="n"/>
      <c r="F99" s="81" t="n"/>
      <c r="G99" s="120" t="n"/>
      <c r="H99" s="109" t="n"/>
      <c r="I99" s="115" t="n"/>
      <c r="J99" s="109" t="n"/>
      <c r="K99" s="120" t="inlineStr">
        <is>
          <t>${affectedbyearthquake} = '1'</t>
        </is>
      </c>
      <c r="L99" s="109" t="n"/>
      <c r="M99" s="109" t="n"/>
      <c r="N99" s="109" t="n"/>
      <c r="U99" s="287" t="n"/>
      <c r="V99" s="156" t="n"/>
      <c r="W99" s="288" t="n"/>
      <c r="X99" s="288" t="n"/>
      <c r="Y99" s="77" t="n"/>
    </row>
    <row r="100" customFormat="1" s="211">
      <c r="A100" s="269" t="inlineStr">
        <is>
          <t>integer</t>
        </is>
      </c>
      <c r="B100" s="269" t="inlineStr">
        <is>
          <t>maledied</t>
        </is>
      </c>
      <c r="C100" s="269" t="inlineStr">
        <is>
          <t>how many male members died?</t>
        </is>
      </c>
      <c r="D100" s="269" t="n"/>
      <c r="F100" s="81" t="n"/>
      <c r="G100" s="120" t="n"/>
      <c r="H100" s="109" t="n"/>
      <c r="I100" s="115" t="n"/>
      <c r="J100" s="109" t="n"/>
      <c r="K100" s="120" t="inlineStr">
        <is>
          <t>${hhmembersdied} = '1'</t>
        </is>
      </c>
      <c r="L100" s="109" t="n"/>
      <c r="M100" s="109" t="n"/>
      <c r="N100" s="109" t="n"/>
      <c r="U100" s="287" t="n"/>
      <c r="V100" s="156" t="n"/>
      <c r="W100" s="288" t="n"/>
      <c r="X100" s="288" t="n"/>
      <c r="Y100" s="77" t="n"/>
    </row>
    <row r="101" customFormat="1" s="211">
      <c r="A101" s="269" t="inlineStr">
        <is>
          <t>integer</t>
        </is>
      </c>
      <c r="B101" s="269" t="inlineStr">
        <is>
          <t>femaledied</t>
        </is>
      </c>
      <c r="C101" s="269" t="inlineStr">
        <is>
          <t>how many female members died?</t>
        </is>
      </c>
      <c r="D101" s="269" t="n"/>
      <c r="F101" s="81" t="n"/>
      <c r="G101" s="120" t="n"/>
      <c r="H101" s="109" t="n"/>
      <c r="I101" s="115" t="n"/>
      <c r="J101" s="109" t="n"/>
      <c r="K101" s="120" t="inlineStr">
        <is>
          <t>${hhmembersdied} = '1'</t>
        </is>
      </c>
      <c r="L101" s="109" t="n"/>
      <c r="M101" s="109" t="n"/>
      <c r="N101" s="109" t="n"/>
      <c r="U101" s="287" t="n"/>
      <c r="V101" s="156" t="n"/>
      <c r="W101" s="288" t="n"/>
      <c r="X101" s="288" t="n"/>
      <c r="Y101" s="77" t="n"/>
    </row>
    <row r="102" customFormat="1" s="211">
      <c r="A102" s="269" t="inlineStr">
        <is>
          <t>integer</t>
        </is>
      </c>
      <c r="B102" s="269" t="inlineStr">
        <is>
          <t>childrendied</t>
        </is>
      </c>
      <c r="C102" s="269" t="inlineStr">
        <is>
          <t>how many children died?</t>
        </is>
      </c>
      <c r="D102" s="269" t="n"/>
      <c r="F102" s="81" t="n"/>
      <c r="G102" s="120" t="n"/>
      <c r="H102" s="109" t="n"/>
      <c r="I102" s="115" t="n"/>
      <c r="J102" s="109" t="n"/>
      <c r="K102" s="120" t="inlineStr">
        <is>
          <t>${hhmembersdied} = '1'</t>
        </is>
      </c>
      <c r="L102" s="109" t="n"/>
      <c r="M102" s="109" t="n"/>
      <c r="N102" s="109" t="n"/>
      <c r="U102" s="287" t="n"/>
      <c r="V102" s="156" t="n"/>
      <c r="W102" s="288" t="n"/>
      <c r="X102" s="288" t="n"/>
      <c r="Y102" s="77" t="n"/>
    </row>
    <row r="103" customFormat="1" s="211">
      <c r="A103" s="269" t="n"/>
      <c r="B103" s="269" t="n"/>
      <c r="C103" s="269" t="n"/>
      <c r="D103" s="269" t="n"/>
      <c r="F103" s="81" t="n"/>
      <c r="G103" s="120" t="n"/>
      <c r="H103" s="109" t="n"/>
      <c r="I103" s="115" t="n"/>
      <c r="J103" s="109" t="n"/>
      <c r="K103" s="120" t="n"/>
      <c r="L103" s="109" t="n"/>
      <c r="M103" s="109" t="n"/>
      <c r="N103" s="109" t="n"/>
      <c r="U103" s="287" t="n"/>
      <c r="V103" s="156" t="n"/>
      <c r="W103" s="288" t="n"/>
      <c r="X103" s="288" t="n"/>
      <c r="Y103" s="77" t="n"/>
    </row>
    <row r="104" customFormat="1" s="211">
      <c r="A104" s="269" t="inlineStr">
        <is>
          <t>begin_group</t>
        </is>
      </c>
      <c r="B104" s="269" t="inlineStr">
        <is>
          <t>impact_crops</t>
        </is>
      </c>
      <c r="C104" s="269" t="inlineStr">
        <is>
          <t>impact on farming</t>
        </is>
      </c>
      <c r="D104" s="269" t="n"/>
      <c r="F104" s="81" t="n"/>
      <c r="G104" s="120" t="n"/>
      <c r="H104" s="109" t="n"/>
      <c r="I104" s="115" t="n"/>
      <c r="J104" s="109" t="n"/>
      <c r="K104" s="120" t="inlineStr">
        <is>
          <t>${affectedbyearthquake} = '1' and (${hh_agricactivity}='1' or ${hh_agricactivity} = '3' or ${income_main_cropcheck}='1' or ${income_sec_cropcheck}='1' or ${income_third_cropcheck}='1')</t>
        </is>
      </c>
      <c r="L104" s="109" t="n"/>
      <c r="M104" s="109" t="n"/>
      <c r="N104" s="109" t="n"/>
      <c r="U104" s="287" t="n"/>
      <c r="V104" s="156" t="n"/>
      <c r="W104" s="288" t="n"/>
      <c r="X104" s="288" t="n"/>
      <c r="Y104" s="77" t="n"/>
    </row>
    <row r="105" customFormat="1" s="211">
      <c r="A105" s="269" t="inlineStr">
        <is>
          <t>select_one yes_no</t>
        </is>
      </c>
      <c r="B105" s="269" t="inlineStr">
        <is>
          <t>cropdamageloss</t>
        </is>
      </c>
      <c r="C105" s="269" t="inlineStr">
        <is>
          <t>Was your crop lost or damaged due to earthquake?</t>
        </is>
      </c>
      <c r="D105" s="269" t="n"/>
      <c r="F105" s="81" t="n"/>
      <c r="G105" s="120" t="n"/>
      <c r="H105" s="109" t="n"/>
      <c r="I105" s="115" t="n"/>
      <c r="J105" s="109" t="n"/>
      <c r="L105" s="109" t="n"/>
      <c r="M105" s="109" t="n"/>
      <c r="N105" s="109" t="n"/>
      <c r="U105" s="287" t="n"/>
      <c r="V105" s="156" t="n"/>
      <c r="W105" s="288" t="n"/>
      <c r="X105" s="288" t="n"/>
      <c r="Y105" s="77" t="n"/>
    </row>
    <row r="106" customFormat="1" s="211">
      <c r="A106" s="269" t="inlineStr">
        <is>
          <t>select_one yes_no</t>
        </is>
      </c>
      <c r="B106" s="269" t="inlineStr">
        <is>
          <t>storedcropdestroyed</t>
        </is>
      </c>
      <c r="C106" s="269" t="inlineStr">
        <is>
          <t>Have Stored crops destroyed as the result of earthquake?</t>
        </is>
      </c>
      <c r="D106" s="269" t="n"/>
      <c r="F106" s="81" t="n"/>
      <c r="G106" s="120" t="n"/>
      <c r="H106" s="109" t="n"/>
      <c r="I106" s="115" t="n"/>
      <c r="J106" s="109" t="n"/>
      <c r="K106" s="120" t="inlineStr">
        <is>
          <t>${cropdamageloss} = '1'</t>
        </is>
      </c>
      <c r="L106" s="109" t="n"/>
      <c r="M106" s="109" t="n"/>
      <c r="N106" s="109" t="n"/>
      <c r="U106" s="287" t="n"/>
      <c r="V106" s="156" t="n"/>
      <c r="W106" s="288" t="n"/>
      <c r="X106" s="288" t="n"/>
      <c r="Y106" s="77" t="n"/>
    </row>
    <row r="107" customFormat="1" s="211">
      <c r="A107" s="269" t="inlineStr">
        <is>
          <t>decimal</t>
        </is>
      </c>
      <c r="B107" s="269" t="inlineStr">
        <is>
          <t>storedcropdestroyedkg</t>
        </is>
      </c>
      <c r="C107" s="269" t="inlineStr">
        <is>
          <t>Stored crops destroyed in Kilogram</t>
        </is>
      </c>
      <c r="D107" s="269" t="n"/>
      <c r="F107" s="81" t="n"/>
      <c r="G107" s="120" t="n"/>
      <c r="H107" s="109" t="n"/>
      <c r="I107" s="115" t="n"/>
      <c r="J107" s="109" t="n"/>
      <c r="K107" s="267" t="inlineStr">
        <is>
          <t>${cropdamageloss} = '1'</t>
        </is>
      </c>
      <c r="L107" s="109" t="n"/>
      <c r="M107" s="109" t="n"/>
      <c r="N107" s="109" t="n"/>
      <c r="U107" s="287" t="n"/>
      <c r="V107" s="156" t="n"/>
      <c r="W107" s="288" t="n"/>
      <c r="X107" s="288" t="n"/>
      <c r="Y107" s="77" t="n"/>
    </row>
    <row r="108" customFormat="1" s="211">
      <c r="A108" s="269" t="inlineStr">
        <is>
          <t>select one losesranges</t>
        </is>
      </c>
      <c r="B108" s="269" t="inlineStr">
        <is>
          <t>wheatloses</t>
        </is>
      </c>
      <c r="C108" s="269" t="inlineStr">
        <is>
          <t>How much of your stored wheat lost?</t>
        </is>
      </c>
      <c r="D108" s="269" t="n"/>
      <c r="F108" s="81" t="n"/>
      <c r="G108" s="120" t="n"/>
      <c r="H108" s="109" t="n"/>
      <c r="I108" s="115" t="n"/>
      <c r="J108" s="109" t="n"/>
      <c r="K108" s="267" t="inlineStr">
        <is>
          <t>${storedcropdestroyed} = '1'</t>
        </is>
      </c>
      <c r="L108" s="109" t="n"/>
      <c r="M108" s="109" t="n"/>
      <c r="N108" s="109" t="n"/>
      <c r="U108" s="287" t="n"/>
      <c r="V108" s="156" t="n"/>
      <c r="W108" s="288" t="n"/>
      <c r="X108" s="288" t="n"/>
      <c r="Y108" s="77" t="n"/>
    </row>
    <row r="109" customFormat="1" s="211">
      <c r="A109" s="269" t="inlineStr">
        <is>
          <t>select one losesranges</t>
        </is>
      </c>
      <c r="B109" s="269" t="inlineStr">
        <is>
          <t>riceloses</t>
        </is>
      </c>
      <c r="C109" s="269" t="inlineStr">
        <is>
          <t>How much of your stored rice lost?</t>
        </is>
      </c>
      <c r="D109" s="269" t="n"/>
      <c r="F109" s="81" t="n"/>
      <c r="G109" s="120" t="n"/>
      <c r="H109" s="109" t="n"/>
      <c r="I109" s="115" t="n"/>
      <c r="J109" s="109" t="n"/>
      <c r="K109" s="267" t="inlineStr">
        <is>
          <t>${storedcropdestroyed} = '1'</t>
        </is>
      </c>
      <c r="L109" s="109" t="n"/>
      <c r="M109" s="109" t="n"/>
      <c r="N109" s="109" t="n"/>
      <c r="U109" s="287" t="n"/>
      <c r="V109" s="156" t="n"/>
      <c r="W109" s="288" t="n"/>
      <c r="X109" s="288" t="n"/>
      <c r="Y109" s="77" t="n"/>
    </row>
    <row r="110" customFormat="1" s="211">
      <c r="A110" s="269" t="inlineStr">
        <is>
          <t>select one losesranges</t>
        </is>
      </c>
      <c r="B110" s="269" t="inlineStr">
        <is>
          <t>milletloses</t>
        </is>
      </c>
      <c r="C110" s="269" t="inlineStr">
        <is>
          <t>How much of your stored millet lost?</t>
        </is>
      </c>
      <c r="D110" s="269" t="n"/>
      <c r="F110" s="81" t="n"/>
      <c r="G110" s="120" t="n"/>
      <c r="H110" s="109" t="n"/>
      <c r="I110" s="115" t="n"/>
      <c r="J110" s="109" t="n"/>
      <c r="K110" s="267" t="inlineStr">
        <is>
          <t>${storedcropdestroyed} = '1'</t>
        </is>
      </c>
      <c r="L110" s="109" t="n"/>
      <c r="M110" s="109" t="n"/>
      <c r="N110" s="109" t="n"/>
      <c r="U110" s="287" t="n"/>
      <c r="V110" s="156" t="n"/>
      <c r="W110" s="288" t="n"/>
      <c r="X110" s="288" t="n"/>
      <c r="Y110" s="77" t="n"/>
    </row>
    <row r="111" customFormat="1" s="211">
      <c r="A111" s="269" t="inlineStr">
        <is>
          <t>select one losesranges</t>
        </is>
      </c>
      <c r="B111" s="269" t="inlineStr">
        <is>
          <t>maizeloses</t>
        </is>
      </c>
      <c r="C111" s="269" t="inlineStr">
        <is>
          <t>How much of your stored maize lost?</t>
        </is>
      </c>
      <c r="D111" s="269" t="n"/>
      <c r="F111" s="81" t="n"/>
      <c r="G111" s="120" t="n"/>
      <c r="H111" s="109" t="n"/>
      <c r="I111" s="115" t="n"/>
      <c r="J111" s="109" t="n"/>
      <c r="K111" s="267" t="inlineStr">
        <is>
          <t>${storedcropdestroyed} = '1'</t>
        </is>
      </c>
      <c r="L111" s="109" t="n"/>
      <c r="M111" s="109" t="n"/>
      <c r="N111" s="109" t="n"/>
      <c r="U111" s="287" t="n"/>
      <c r="V111" s="156" t="n"/>
      <c r="W111" s="288" t="n"/>
      <c r="X111" s="288" t="n"/>
      <c r="Y111" s="77" t="n"/>
    </row>
    <row r="112" customFormat="1" s="211">
      <c r="A112" s="269" t="inlineStr">
        <is>
          <t>select one losesranges</t>
        </is>
      </c>
      <c r="B112" s="269" t="inlineStr">
        <is>
          <t>beansloses</t>
        </is>
      </c>
      <c r="C112" s="269" t="inlineStr">
        <is>
          <t>How much of your stored beans lost?</t>
        </is>
      </c>
      <c r="D112" s="269" t="n"/>
      <c r="F112" s="81" t="n"/>
      <c r="G112" s="120" t="n"/>
      <c r="H112" s="109" t="n"/>
      <c r="I112" s="115" t="n"/>
      <c r="J112" s="109" t="n"/>
      <c r="K112" s="267" t="inlineStr">
        <is>
          <t>${storedcropdestroyed} = '1'</t>
        </is>
      </c>
      <c r="L112" s="109" t="n"/>
      <c r="M112" s="109" t="n"/>
      <c r="N112" s="109" t="n"/>
      <c r="U112" s="287" t="n"/>
      <c r="V112" s="156" t="n"/>
      <c r="W112" s="288" t="n"/>
      <c r="X112" s="288" t="n"/>
      <c r="Y112" s="77" t="n"/>
    </row>
    <row r="113" customFormat="1" s="211">
      <c r="A113" s="269" t="inlineStr">
        <is>
          <t>select one losesranges</t>
        </is>
      </c>
      <c r="B113" s="269" t="inlineStr">
        <is>
          <t>peasloses</t>
        </is>
      </c>
      <c r="C113" s="269" t="inlineStr">
        <is>
          <t>How much of your stored potatoes lost?</t>
        </is>
      </c>
      <c r="D113" s="269" t="n"/>
      <c r="F113" s="81" t="n"/>
      <c r="G113" s="120" t="n"/>
      <c r="H113" s="109" t="n"/>
      <c r="I113" s="115" t="n"/>
      <c r="J113" s="109" t="n"/>
      <c r="K113" s="267" t="inlineStr">
        <is>
          <t>${storedcropdestroyed} = '1'</t>
        </is>
      </c>
      <c r="L113" s="109" t="n"/>
      <c r="M113" s="109" t="n"/>
      <c r="N113" s="109" t="n"/>
      <c r="U113" s="287" t="n"/>
      <c r="V113" s="156" t="n"/>
      <c r="W113" s="288" t="n"/>
      <c r="X113" s="288" t="n"/>
      <c r="Y113" s="77" t="n"/>
    </row>
    <row r="114" customFormat="1" s="211">
      <c r="A114" s="269" t="inlineStr">
        <is>
          <t>select one losesranges</t>
        </is>
      </c>
      <c r="B114" s="269" t="inlineStr">
        <is>
          <t>othercropsloses</t>
        </is>
      </c>
      <c r="C114" s="269" t="inlineStr">
        <is>
          <t>How much of your stored other crops lost?</t>
        </is>
      </c>
      <c r="D114" s="269" t="n"/>
      <c r="F114" s="81" t="n"/>
      <c r="G114" s="120" t="n"/>
      <c r="H114" s="109" t="n"/>
      <c r="I114" s="115" t="n"/>
      <c r="J114" s="109" t="n"/>
      <c r="K114" s="267" t="inlineStr">
        <is>
          <t>${storedcropdestroyed} = '1'</t>
        </is>
      </c>
      <c r="L114" s="109" t="n"/>
      <c r="M114" s="109" t="n"/>
      <c r="N114" s="109" t="n"/>
      <c r="U114" s="287" t="n"/>
      <c r="V114" s="156" t="n"/>
      <c r="W114" s="288" t="n"/>
      <c r="X114" s="288" t="n"/>
      <c r="Y114" s="77" t="n"/>
    </row>
    <row r="115" customFormat="1" s="211">
      <c r="A115" s="269" t="inlineStr">
        <is>
          <t>select_one yes_no</t>
        </is>
      </c>
      <c r="B115" s="269" t="inlineStr">
        <is>
          <t>seedfooddestroyed</t>
        </is>
      </c>
      <c r="C115" s="269" t="inlineStr">
        <is>
          <t xml:space="preserve">Has Seed or food destroyed as the result of earthquake? </t>
        </is>
      </c>
      <c r="D115" s="269" t="n"/>
      <c r="F115" s="81" t="n"/>
      <c r="G115" s="120" t="n"/>
      <c r="H115" s="109" t="n"/>
      <c r="I115" s="115" t="n"/>
      <c r="J115" s="109" t="n"/>
      <c r="K115" s="120" t="inlineStr">
        <is>
          <t>${affectedbyearthquake} = '1'</t>
        </is>
      </c>
      <c r="L115" s="109" t="n"/>
      <c r="M115" s="109" t="n"/>
      <c r="N115" s="109" t="n"/>
      <c r="U115" s="287" t="n"/>
      <c r="V115" s="156" t="n"/>
      <c r="W115" s="288" t="n"/>
      <c r="X115" s="288" t="n"/>
      <c r="Y115" s="77" t="n"/>
    </row>
    <row r="116" customFormat="1" s="211">
      <c r="A116" s="269" t="inlineStr">
        <is>
          <t>decimal</t>
        </is>
      </c>
      <c r="B116" s="269" t="inlineStr">
        <is>
          <t>seedfooddestroyedkg</t>
        </is>
      </c>
      <c r="C116" s="269" t="inlineStr">
        <is>
          <t xml:space="preserve">Seed or food destroyed in Kilogram </t>
        </is>
      </c>
      <c r="D116" s="269" t="n"/>
      <c r="F116" s="81" t="n"/>
      <c r="G116" s="120" t="inlineStr">
        <is>
          <t>true</t>
        </is>
      </c>
      <c r="H116" s="109" t="n"/>
      <c r="I116" s="115" t="n"/>
      <c r="J116" s="109" t="n"/>
      <c r="K116" s="267" t="inlineStr">
        <is>
          <t>${seedfooddestroyed} = '1'</t>
        </is>
      </c>
      <c r="L116" s="109" t="n"/>
      <c r="M116" s="109" t="n"/>
      <c r="N116" s="109" t="n"/>
      <c r="U116" s="287" t="n"/>
      <c r="V116" s="156" t="n"/>
      <c r="W116" s="288" t="n"/>
      <c r="X116" s="288" t="n"/>
      <c r="Y116" s="77" t="n"/>
    </row>
    <row r="117" customFormat="1" s="211">
      <c r="A117" s="269" t="inlineStr">
        <is>
          <t>select one losesranges</t>
        </is>
      </c>
      <c r="B117" s="269" t="inlineStr">
        <is>
          <t>seedfoodhowdestroyed</t>
        </is>
      </c>
      <c r="C117" s="269" t="inlineStr">
        <is>
          <t>How much of the seed or food destroyed?</t>
        </is>
      </c>
      <c r="D117" s="269" t="n"/>
      <c r="F117" s="81" t="n"/>
      <c r="G117" s="272" t="inlineStr">
        <is>
          <t>true</t>
        </is>
      </c>
      <c r="H117" s="109" t="n"/>
      <c r="I117" s="115" t="n"/>
      <c r="J117" s="109" t="n"/>
      <c r="K117" s="267" t="inlineStr">
        <is>
          <t>${seedfooddestroyed} = '1'</t>
        </is>
      </c>
      <c r="L117" s="109" t="n"/>
      <c r="M117" s="109" t="n"/>
      <c r="N117" s="109" t="n"/>
      <c r="U117" s="287" t="n"/>
      <c r="V117" s="156" t="n"/>
      <c r="W117" s="288" t="n"/>
      <c r="X117" s="288" t="n"/>
      <c r="Y117" s="77" t="n"/>
    </row>
    <row r="118" customFormat="1" s="211">
      <c r="A118" s="269" t="inlineStr">
        <is>
          <t>select_one yes_no</t>
        </is>
      </c>
      <c r="B118" s="269" t="inlineStr">
        <is>
          <t>storedfertilizerdestroyed</t>
        </is>
      </c>
      <c r="C118" s="269" t="inlineStr">
        <is>
          <t>Has Stored fertilizer destroyed as the result of earthquake?</t>
        </is>
      </c>
      <c r="D118" s="269" t="n"/>
      <c r="F118" s="81" t="n"/>
      <c r="G118" s="120" t="inlineStr">
        <is>
          <t>true</t>
        </is>
      </c>
      <c r="H118" s="109" t="n"/>
      <c r="I118" s="115" t="n"/>
      <c r="J118" s="109" t="n"/>
      <c r="K118" s="120" t="inlineStr">
        <is>
          <t>${affectedbyearthquake} = '1'</t>
        </is>
      </c>
      <c r="L118" s="109" t="n"/>
      <c r="M118" s="109" t="n"/>
      <c r="N118" s="109" t="n"/>
      <c r="U118" s="287" t="n"/>
      <c r="V118" s="156" t="n"/>
      <c r="W118" s="288" t="n"/>
      <c r="X118" s="288" t="n"/>
      <c r="Y118" s="77" t="n"/>
    </row>
    <row r="119" customFormat="1" s="211">
      <c r="A119" s="269" t="inlineStr">
        <is>
          <t>decimal</t>
        </is>
      </c>
      <c r="B119" s="269" t="inlineStr">
        <is>
          <t>storedfertilizerdestroyedkg</t>
        </is>
      </c>
      <c r="C119" s="269" t="inlineStr">
        <is>
          <t xml:space="preserve">Stored fertilizer destroyed in Kilogram </t>
        </is>
      </c>
      <c r="D119" s="269" t="n"/>
      <c r="F119" s="81" t="n"/>
      <c r="G119" s="120" t="inlineStr">
        <is>
          <t>true</t>
        </is>
      </c>
      <c r="H119" s="109" t="n"/>
      <c r="I119" s="115" t="n"/>
      <c r="J119" s="109" t="n"/>
      <c r="K119" s="267" t="inlineStr">
        <is>
          <t>${storedfertilizerdestroyed} = '1'</t>
        </is>
      </c>
      <c r="L119" s="109" t="n"/>
      <c r="M119" s="109" t="n"/>
      <c r="N119" s="109" t="n"/>
      <c r="U119" s="287" t="n"/>
      <c r="V119" s="156" t="n"/>
      <c r="W119" s="288" t="n"/>
      <c r="X119" s="288" t="n"/>
      <c r="Y119" s="77" t="n"/>
    </row>
    <row r="120" customFormat="1" s="211">
      <c r="A120" s="269" t="inlineStr">
        <is>
          <t>select one losesranges</t>
        </is>
      </c>
      <c r="B120" s="269" t="inlineStr">
        <is>
          <t>fertilizerhowmuchdestroyed</t>
        </is>
      </c>
      <c r="C120" s="269" t="inlineStr">
        <is>
          <t>How much of the fertilizer destroyed?</t>
        </is>
      </c>
      <c r="D120" s="269" t="n"/>
      <c r="F120" s="81" t="n"/>
      <c r="G120" s="120" t="inlineStr">
        <is>
          <t>true</t>
        </is>
      </c>
      <c r="H120" s="109" t="n"/>
      <c r="I120" s="115" t="n"/>
      <c r="J120" s="109" t="n"/>
      <c r="K120" s="267" t="inlineStr">
        <is>
          <t>${storedfertilizerdestroyed} = '1'</t>
        </is>
      </c>
      <c r="L120" s="109" t="n"/>
      <c r="M120" s="109" t="n"/>
      <c r="N120" s="109" t="n"/>
      <c r="U120" s="287" t="n"/>
      <c r="V120" s="156" t="n"/>
      <c r="W120" s="288" t="n"/>
      <c r="X120" s="288" t="n"/>
      <c r="Y120" s="77" t="n"/>
    </row>
    <row r="121" customFormat="1" s="211">
      <c r="A121" s="269" t="inlineStr">
        <is>
          <t>select_one yes_no</t>
        </is>
      </c>
      <c r="B121" s="269" t="inlineStr">
        <is>
          <t>handtoolsdestroyed</t>
        </is>
      </c>
      <c r="C121" s="269" t="inlineStr">
        <is>
          <t>Have Hand tools destroyed as the result of earthquake?</t>
        </is>
      </c>
      <c r="D121" s="269" t="n"/>
      <c r="F121" s="81" t="n"/>
      <c r="G121" s="120" t="inlineStr">
        <is>
          <t>true</t>
        </is>
      </c>
      <c r="H121" s="109" t="n"/>
      <c r="I121" s="115" t="n"/>
      <c r="J121" s="109" t="n"/>
      <c r="K121" s="120" t="inlineStr">
        <is>
          <t>${affectedbyearthquake} = '1'</t>
        </is>
      </c>
      <c r="L121" s="109" t="n"/>
      <c r="M121" s="109" t="n"/>
      <c r="N121" s="109" t="n"/>
      <c r="U121" s="287" t="n"/>
      <c r="V121" s="156" t="n"/>
      <c r="W121" s="288" t="n"/>
      <c r="X121" s="288" t="n"/>
      <c r="Y121" s="77" t="n"/>
    </row>
    <row r="122" customFormat="1" s="211">
      <c r="A122" s="269" t="inlineStr">
        <is>
          <t>integer</t>
        </is>
      </c>
      <c r="B122" s="269" t="inlineStr">
        <is>
          <t>handtoolsdestroyednumber</t>
        </is>
      </c>
      <c r="C122" s="269" t="inlineStr">
        <is>
          <t xml:space="preserve">number of Hand tools destroyed </t>
        </is>
      </c>
      <c r="D122" s="269" t="n"/>
      <c r="F122" s="81" t="n"/>
      <c r="G122" s="120" t="inlineStr">
        <is>
          <t>true</t>
        </is>
      </c>
      <c r="H122" s="109" t="n"/>
      <c r="I122" s="115" t="n"/>
      <c r="J122" s="109" t="n"/>
      <c r="K122" s="267" t="inlineStr">
        <is>
          <t>${handtoolsdestroyed} = '1'</t>
        </is>
      </c>
      <c r="L122" s="109" t="n"/>
      <c r="M122" s="109" t="n"/>
      <c r="N122" s="109" t="n"/>
      <c r="U122" s="287" t="n"/>
      <c r="V122" s="156" t="n"/>
      <c r="W122" s="288" t="n"/>
      <c r="X122" s="288" t="n"/>
      <c r="Y122" s="77" t="n"/>
    </row>
    <row r="123" customFormat="1" s="211">
      <c r="A123" s="269" t="inlineStr">
        <is>
          <t>select_one yes_no</t>
        </is>
      </c>
      <c r="B123" s="269" t="inlineStr">
        <is>
          <t>agriculturemachinesdestroyed</t>
        </is>
      </c>
      <c r="C123" s="269" t="inlineStr">
        <is>
          <t>Have Agriculture machines (tractors, threshers) destroyed in the earthauke?</t>
        </is>
      </c>
      <c r="D123" s="269" t="n"/>
      <c r="F123" s="81" t="n"/>
      <c r="G123" s="120" t="inlineStr">
        <is>
          <t>true</t>
        </is>
      </c>
      <c r="H123" s="109" t="n"/>
      <c r="I123" s="115" t="n"/>
      <c r="J123" s="109" t="n"/>
      <c r="K123" s="120" t="inlineStr">
        <is>
          <t>${affectedbyearthquake} = '1'</t>
        </is>
      </c>
      <c r="L123" s="109" t="n"/>
      <c r="M123" s="109" t="n"/>
      <c r="N123" s="109" t="n"/>
      <c r="U123" s="287" t="n"/>
      <c r="V123" s="156" t="n"/>
      <c r="W123" s="288" t="n"/>
      <c r="X123" s="288" t="n"/>
      <c r="Y123" s="77" t="n"/>
    </row>
    <row r="124" customFormat="1" s="211">
      <c r="A124" s="269" t="inlineStr">
        <is>
          <t>integer</t>
        </is>
      </c>
      <c r="B124" s="269" t="inlineStr">
        <is>
          <t>agrimachinesdestroyednumber</t>
        </is>
      </c>
      <c r="C124" s="269" t="inlineStr">
        <is>
          <t xml:space="preserve">number of Agriculture machines (tractors, threshers) destroyed </t>
        </is>
      </c>
      <c r="D124" s="269" t="n"/>
      <c r="F124" s="81" t="n"/>
      <c r="G124" s="120" t="inlineStr">
        <is>
          <t>true</t>
        </is>
      </c>
      <c r="H124" s="109" t="n"/>
      <c r="I124" s="115" t="n"/>
      <c r="J124" s="109" t="n"/>
      <c r="K124" s="267" t="inlineStr">
        <is>
          <t>${agriculturemachinesdestroyed} = '1'</t>
        </is>
      </c>
      <c r="L124" s="109" t="n"/>
      <c r="M124" s="109" t="n"/>
      <c r="N124" s="109" t="n"/>
      <c r="U124" s="287" t="n"/>
      <c r="V124" s="156" t="n"/>
      <c r="W124" s="288" t="n"/>
      <c r="X124" s="288" t="n"/>
      <c r="Y124" s="77" t="n"/>
    </row>
    <row r="125" customFormat="1" s="211">
      <c r="A125" s="269" t="inlineStr">
        <is>
          <t>select_one yes_no</t>
        </is>
      </c>
      <c r="B125" s="269" t="inlineStr">
        <is>
          <t>agrilanddestroyed</t>
        </is>
      </c>
      <c r="C125" s="269" t="inlineStr">
        <is>
          <t>Have your land destroyed as the result of earthquake?</t>
        </is>
      </c>
      <c r="D125" s="269" t="n"/>
      <c r="F125" s="81" t="n"/>
      <c r="G125" s="120" t="inlineStr">
        <is>
          <t>true</t>
        </is>
      </c>
      <c r="H125" s="109" t="n"/>
      <c r="I125" s="115" t="n"/>
      <c r="J125" s="109" t="n"/>
      <c r="K125" s="120" t="inlineStr">
        <is>
          <t>${affectedbyearthquake} = '1'</t>
        </is>
      </c>
      <c r="L125" s="109" t="n"/>
      <c r="M125" s="109" t="n"/>
      <c r="N125" s="109" t="n"/>
      <c r="U125" s="287" t="n"/>
      <c r="V125" s="156" t="n"/>
      <c r="W125" s="288" t="n"/>
      <c r="X125" s="288" t="n"/>
      <c r="Y125" s="77" t="n"/>
    </row>
    <row r="126" customFormat="1" s="211">
      <c r="A126" s="269" t="inlineStr">
        <is>
          <t>select one losesranges</t>
        </is>
      </c>
      <c r="B126" s="199" t="inlineStr">
        <is>
          <t>landhighdamage</t>
        </is>
      </c>
      <c r="C126" s="269" t="inlineStr">
        <is>
          <t>How much of your land was destroyed?</t>
        </is>
      </c>
      <c r="D126" s="269" t="n"/>
      <c r="F126" s="81" t="n"/>
      <c r="G126" s="120" t="inlineStr">
        <is>
          <t>true</t>
        </is>
      </c>
      <c r="H126" s="109" t="n"/>
      <c r="I126" s="115" t="n"/>
      <c r="J126" s="109" t="n"/>
      <c r="K126" s="267" t="inlineStr">
        <is>
          <t>${agrilanddestroyed} = '1'</t>
        </is>
      </c>
      <c r="L126" s="109" t="n"/>
      <c r="M126" s="109" t="n"/>
      <c r="N126" s="109" t="n"/>
      <c r="U126" s="287" t="n"/>
      <c r="V126" s="156" t="n"/>
      <c r="W126" s="288" t="n"/>
      <c r="X126" s="288" t="n"/>
      <c r="Y126" s="77" t="n"/>
    </row>
    <row r="127" customFormat="1" s="211">
      <c r="A127" s="269" t="inlineStr">
        <is>
          <t>select_one yes_no</t>
        </is>
      </c>
      <c r="B127" s="269" t="inlineStr">
        <is>
          <t>orcharddamaged</t>
        </is>
      </c>
      <c r="C127" s="269" t="inlineStr">
        <is>
          <t>Did your orchard damage as the result of the earthquake</t>
        </is>
      </c>
      <c r="D127" s="269" t="n"/>
      <c r="F127" s="81" t="n"/>
      <c r="G127" s="120" t="inlineStr">
        <is>
          <t>true</t>
        </is>
      </c>
      <c r="H127" s="109" t="n"/>
      <c r="I127" s="115" t="n"/>
      <c r="J127" s="109" t="n"/>
      <c r="K127" s="120" t="inlineStr">
        <is>
          <t>${affectedbyearthquake} = '1'</t>
        </is>
      </c>
      <c r="L127" s="109" t="n"/>
      <c r="M127" s="109" t="n"/>
      <c r="N127" s="109" t="n"/>
      <c r="U127" s="287" t="n"/>
      <c r="V127" s="156" t="n"/>
      <c r="W127" s="288" t="n"/>
      <c r="X127" s="288" t="n"/>
      <c r="Y127" s="77" t="n"/>
    </row>
    <row r="128" customFormat="1" s="211">
      <c r="A128" s="269" t="inlineStr">
        <is>
          <t>select_one yes_no</t>
        </is>
      </c>
      <c r="B128" s="269" t="inlineStr">
        <is>
          <t>cultivationlostdestroyed</t>
        </is>
      </c>
      <c r="C128" s="269" t="inlineStr">
        <is>
          <t>Was your standing cultivation lost or damaged due to the earthquake?</t>
        </is>
      </c>
      <c r="D128" s="269" t="n"/>
      <c r="F128" s="81" t="n"/>
      <c r="G128" s="120" t="inlineStr">
        <is>
          <t>true</t>
        </is>
      </c>
      <c r="H128" s="109" t="n"/>
      <c r="I128" s="115" t="n"/>
      <c r="J128" s="109" t="n"/>
      <c r="K128" s="120" t="inlineStr">
        <is>
          <t>${affectedbyearthquake} = '1'</t>
        </is>
      </c>
      <c r="L128" s="109" t="n"/>
      <c r="M128" s="109" t="n"/>
      <c r="N128" s="109" t="n"/>
      <c r="U128" s="287" t="n"/>
      <c r="V128" s="156" t="n"/>
      <c r="W128" s="288" t="n"/>
      <c r="X128" s="288" t="n"/>
      <c r="Y128" s="77" t="n"/>
    </row>
    <row r="129" customFormat="1" s="211">
      <c r="A129" s="269" t="inlineStr">
        <is>
          <t>select one losesranges</t>
        </is>
      </c>
      <c r="B129" s="269" t="inlineStr">
        <is>
          <t>cultivationhowdestroyed</t>
        </is>
      </c>
      <c r="C129" s="269" t="inlineStr">
        <is>
          <t>How much of standing cultivation destroyed?</t>
        </is>
      </c>
      <c r="D129" s="269" t="n"/>
      <c r="F129" s="81" t="n"/>
      <c r="G129" s="120" t="inlineStr">
        <is>
          <t>true</t>
        </is>
      </c>
      <c r="H129" s="109" t="n"/>
      <c r="I129" s="115" t="n"/>
      <c r="J129" s="109" t="n"/>
      <c r="K129" s="267" t="inlineStr">
        <is>
          <t>${cultivationlostdestroyed} = '1'</t>
        </is>
      </c>
      <c r="L129" s="109" t="n"/>
      <c r="M129" s="109" t="n"/>
      <c r="N129" s="109" t="n"/>
      <c r="U129" s="287" t="n"/>
      <c r="V129" s="156" t="n"/>
      <c r="W129" s="288" t="n"/>
      <c r="X129" s="288" t="n"/>
      <c r="Y129" s="77" t="n"/>
    </row>
    <row r="130" customFormat="1" s="211">
      <c r="A130" s="269" t="inlineStr">
        <is>
          <t>decimal</t>
        </is>
      </c>
      <c r="B130" s="269" t="inlineStr">
        <is>
          <t>estimatedyeildlost</t>
        </is>
      </c>
      <c r="C130" s="269" t="inlineStr">
        <is>
          <t>Estimated yield loss in tons for cultivated crop</t>
        </is>
      </c>
      <c r="D130" s="269" t="n"/>
      <c r="F130" s="81" t="n"/>
      <c r="G130" s="120" t="inlineStr">
        <is>
          <t>true</t>
        </is>
      </c>
      <c r="H130" s="109" t="n"/>
      <c r="I130" s="115" t="n"/>
      <c r="J130" s="109" t="n"/>
      <c r="K130" s="267" t="inlineStr">
        <is>
          <t>${cultivationlostdestroyed} = '1'</t>
        </is>
      </c>
      <c r="L130" s="109" t="n"/>
      <c r="M130" s="109" t="n"/>
      <c r="N130" s="109" t="n"/>
      <c r="U130" s="287" t="n"/>
      <c r="V130" s="156" t="n"/>
      <c r="W130" s="288" t="n"/>
      <c r="X130" s="288" t="n"/>
      <c r="Y130" s="77" t="n"/>
    </row>
    <row r="131" customFormat="1" s="211">
      <c r="A131" s="269" t="inlineStr">
        <is>
          <t>select_one yes_no</t>
        </is>
      </c>
      <c r="B131" s="269" t="inlineStr">
        <is>
          <t>irrigationsystdestroyed</t>
        </is>
      </c>
      <c r="C131" s="269" t="inlineStr">
        <is>
          <t>Has any irrigation system destroyed?</t>
        </is>
      </c>
      <c r="D131" s="269" t="n"/>
      <c r="F131" s="81" t="n"/>
      <c r="G131" s="120" t="inlineStr">
        <is>
          <t>true</t>
        </is>
      </c>
      <c r="H131" s="109" t="n"/>
      <c r="I131" s="115" t="n"/>
      <c r="J131" s="109" t="n"/>
      <c r="K131" s="120" t="inlineStr">
        <is>
          <t>${affectedbyearthquake} = '1'</t>
        </is>
      </c>
      <c r="L131" s="109" t="n"/>
      <c r="M131" s="109" t="n"/>
      <c r="N131" s="109" t="n"/>
      <c r="U131" s="287" t="n"/>
      <c r="V131" s="156" t="n"/>
      <c r="W131" s="288" t="n"/>
      <c r="X131" s="288" t="n"/>
      <c r="Y131" s="77" t="n"/>
    </row>
    <row r="132" customFormat="1" s="211">
      <c r="A132" s="269" t="inlineStr">
        <is>
          <t>integer</t>
        </is>
      </c>
      <c r="B132" s="269" t="inlineStr">
        <is>
          <t>landaffected</t>
        </is>
      </c>
      <c r="C132" s="269" t="inlineStr">
        <is>
          <t>How many irrigated land affected?</t>
        </is>
      </c>
      <c r="D132" s="269" t="n"/>
      <c r="F132" s="81" t="n"/>
      <c r="G132" s="120" t="inlineStr">
        <is>
          <t>true</t>
        </is>
      </c>
      <c r="H132" s="109" t="n"/>
      <c r="I132" s="115" t="n"/>
      <c r="J132" s="109" t="n"/>
      <c r="K132" s="120" t="inlineStr">
        <is>
          <t>${irrigationsystdestroyed} = '1'</t>
        </is>
      </c>
      <c r="L132" s="109" t="n"/>
      <c r="M132" s="109" t="n"/>
      <c r="N132" s="109" t="n"/>
      <c r="U132" s="287" t="n"/>
      <c r="V132" s="156" t="n"/>
      <c r="W132" s="288" t="n"/>
      <c r="X132" s="288" t="n"/>
      <c r="Y132" s="77" t="n"/>
    </row>
    <row r="133" customFormat="1" s="211">
      <c r="A133" s="269" t="inlineStr">
        <is>
          <t>select one losesranges</t>
        </is>
      </c>
      <c r="B133" s="269" t="inlineStr">
        <is>
          <t>irrigatedlandaffected</t>
        </is>
      </c>
      <c r="C133" s="269" t="inlineStr">
        <is>
          <t>How your irrigated land affected?</t>
        </is>
      </c>
      <c r="D133" s="269" t="n"/>
      <c r="F133" s="81" t="n"/>
      <c r="G133" s="120" t="inlineStr">
        <is>
          <t>true</t>
        </is>
      </c>
      <c r="H133" s="109" t="n"/>
      <c r="I133" s="115" t="n"/>
      <c r="J133" s="109" t="n"/>
      <c r="K133" s="120" t="inlineStr">
        <is>
          <t>${irrigationsystdestroyed} = '1'</t>
        </is>
      </c>
      <c r="L133" s="109" t="n"/>
      <c r="M133" s="109" t="n"/>
      <c r="N133" s="109" t="n"/>
      <c r="U133" s="287" t="n"/>
      <c r="V133" s="156" t="n"/>
      <c r="W133" s="288" t="n"/>
      <c r="X133" s="288" t="n"/>
      <c r="Y133" s="77" t="n"/>
    </row>
    <row r="134" customFormat="1" s="211">
      <c r="A134" s="269" t="inlineStr">
        <is>
          <t>select_one yes_no</t>
        </is>
      </c>
      <c r="B134" s="269" t="inlineStr">
        <is>
          <t>foodmarketfuctional</t>
        </is>
      </c>
      <c r="C134" s="269" t="inlineStr">
        <is>
          <t>Did the market from which you buy most of your food [rice, lentil, cooking oil] remain functional after the earthquake?</t>
        </is>
      </c>
      <c r="D134" s="269" t="n"/>
      <c r="F134" s="81" t="n"/>
      <c r="G134" s="120" t="inlineStr">
        <is>
          <t>true</t>
        </is>
      </c>
      <c r="H134" s="109" t="n"/>
      <c r="I134" s="115" t="n"/>
      <c r="J134" s="109" t="n"/>
      <c r="K134" s="120" t="inlineStr">
        <is>
          <t>${affectedbyearthquake} = '1'</t>
        </is>
      </c>
      <c r="L134" s="109" t="n"/>
      <c r="M134" s="109" t="n"/>
      <c r="N134" s="109" t="n"/>
      <c r="U134" s="287" t="n"/>
      <c r="V134" s="156" t="n"/>
      <c r="W134" s="288" t="n"/>
      <c r="X134" s="288" t="n"/>
      <c r="Y134" s="77" t="n"/>
    </row>
    <row r="135" customFormat="1" s="211">
      <c r="A135" s="269" t="inlineStr">
        <is>
          <t>select_one yes_no</t>
        </is>
      </c>
      <c r="B135" s="269" t="inlineStr">
        <is>
          <t>agriinputmarketfuctional</t>
        </is>
      </c>
      <c r="C135" s="269" t="inlineStr">
        <is>
          <t>Did the market from which you buy most of your agricultural inputs for both crop and livestock remain functional after the earthquake?</t>
        </is>
      </c>
      <c r="D135" s="269" t="n"/>
      <c r="F135" s="81" t="n"/>
      <c r="G135" s="120" t="inlineStr">
        <is>
          <t>true</t>
        </is>
      </c>
      <c r="H135" s="109" t="n"/>
      <c r="I135" s="115" t="n"/>
      <c r="J135" s="109" t="n"/>
      <c r="K135" s="120" t="inlineStr">
        <is>
          <t>${affectedbyearthquake} = '1'</t>
        </is>
      </c>
      <c r="L135" s="109" t="n"/>
      <c r="M135" s="109" t="n"/>
      <c r="N135" s="109" t="n"/>
      <c r="U135" s="287" t="n"/>
      <c r="V135" s="156" t="n"/>
      <c r="W135" s="288" t="n"/>
      <c r="X135" s="288" t="n"/>
      <c r="Y135" s="77" t="n"/>
    </row>
    <row r="136" customFormat="1" s="211">
      <c r="A136" s="269" t="inlineStr">
        <is>
          <t>select_one change</t>
        </is>
      </c>
      <c r="B136" s="269" t="inlineStr">
        <is>
          <t>cropprodinputchange</t>
        </is>
      </c>
      <c r="C136" s="269" t="inlineStr">
        <is>
          <t>How the prices of crop production inputs changed?</t>
        </is>
      </c>
      <c r="D136" s="269" t="n"/>
      <c r="F136" s="81" t="n"/>
      <c r="G136" s="120" t="inlineStr">
        <is>
          <t>true</t>
        </is>
      </c>
      <c r="H136" s="109" t="n"/>
      <c r="I136" s="115" t="n"/>
      <c r="J136" s="109" t="n"/>
      <c r="K136" s="120" t="inlineStr">
        <is>
          <t>${affectedbyearthquake} = '1'</t>
        </is>
      </c>
      <c r="L136" s="109" t="n"/>
      <c r="M136" s="109" t="n"/>
      <c r="N136" s="109" t="n"/>
      <c r="U136" s="287" t="n"/>
      <c r="V136" s="156" t="n"/>
      <c r="W136" s="288" t="n"/>
      <c r="X136" s="288" t="n"/>
      <c r="Y136" s="77" t="n"/>
    </row>
    <row r="137" customFormat="1" s="211">
      <c r="A137" s="269" t="inlineStr">
        <is>
          <t>select_one change</t>
        </is>
      </c>
      <c r="B137" s="269" t="inlineStr">
        <is>
          <t>livestockprodinputchange</t>
        </is>
      </c>
      <c r="C137" s="269" t="inlineStr">
        <is>
          <t>How the prices of livestock production inputs changed?</t>
        </is>
      </c>
      <c r="D137" s="269" t="n"/>
      <c r="F137" s="81" t="n"/>
      <c r="G137" s="120" t="inlineStr">
        <is>
          <t>true</t>
        </is>
      </c>
      <c r="H137" s="109" t="n"/>
      <c r="I137" s="115" t="n"/>
      <c r="J137" s="109" t="n"/>
      <c r="K137" s="120" t="inlineStr">
        <is>
          <t>${affectedbyearthquake} = '1'</t>
        </is>
      </c>
      <c r="L137" s="109" t="n"/>
      <c r="M137" s="109" t="n"/>
      <c r="N137" s="109" t="n"/>
      <c r="U137" s="287" t="n"/>
      <c r="V137" s="156" t="n"/>
      <c r="W137" s="288" t="n"/>
      <c r="X137" s="288" t="n"/>
      <c r="Y137" s="77" t="n"/>
    </row>
    <row r="138" customFormat="1" s="211">
      <c r="A138" s="269" t="inlineStr">
        <is>
          <t>text</t>
        </is>
      </c>
      <c r="B138" s="269" t="inlineStr">
        <is>
          <t>otherdamages</t>
        </is>
      </c>
      <c r="C138" s="269" t="inlineStr">
        <is>
          <t xml:space="preserve">Any other damages to agriculture and livestock based livelihoods? </t>
        </is>
      </c>
      <c r="D138" s="269" t="n"/>
      <c r="F138" s="81" t="n"/>
      <c r="G138" s="120" t="inlineStr">
        <is>
          <t>true</t>
        </is>
      </c>
      <c r="H138" s="109" t="n"/>
      <c r="I138" s="115" t="n"/>
      <c r="J138" s="109" t="n"/>
      <c r="K138" s="120" t="inlineStr">
        <is>
          <t>${affectedbyearthquake} = '1'</t>
        </is>
      </c>
      <c r="L138" s="109" t="n"/>
      <c r="M138" s="109" t="n"/>
      <c r="N138" s="109" t="n"/>
      <c r="U138" s="287" t="n"/>
      <c r="V138" s="156" t="n"/>
      <c r="W138" s="288" t="n"/>
      <c r="X138" s="288" t="n"/>
      <c r="Y138" s="77" t="n"/>
    </row>
    <row r="139" customFormat="1" s="211">
      <c r="A139" s="269" t="inlineStr">
        <is>
          <t>select_multiple farmassets</t>
        </is>
      </c>
      <c r="B139" s="269" t="inlineStr">
        <is>
          <t>farm_assets_before</t>
        </is>
      </c>
      <c r="C139" s="269" t="inlineStr">
        <is>
          <t>did you own the following assets before the earthquake?</t>
        </is>
      </c>
      <c r="D139" s="269" t="n"/>
      <c r="F139" s="81" t="n"/>
      <c r="G139" s="120" t="n"/>
      <c r="H139" s="109" t="n"/>
      <c r="I139" s="115" t="n"/>
      <c r="J139" s="109" t="n"/>
      <c r="K139" s="120" t="n"/>
      <c r="L139" s="109" t="n"/>
      <c r="M139" s="109" t="n"/>
      <c r="N139" s="109" t="n"/>
      <c r="U139" s="287" t="n"/>
      <c r="V139" s="156" t="n"/>
      <c r="W139" s="288" t="n"/>
      <c r="X139" s="288" t="n"/>
      <c r="Y139" s="77" t="n"/>
    </row>
    <row r="140" customFormat="1" s="211">
      <c r="A140" s="269" t="inlineStr">
        <is>
          <t>select_multiple farmassets</t>
        </is>
      </c>
      <c r="B140" s="269" t="inlineStr">
        <is>
          <t>farm_assets_after</t>
        </is>
      </c>
      <c r="C140" s="269" t="inlineStr">
        <is>
          <t>what did you lose (if anything) due to the earthquake?</t>
        </is>
      </c>
      <c r="D140" s="269" t="n"/>
      <c r="F140" s="81" t="n"/>
      <c r="G140" s="109" t="n"/>
      <c r="H140" s="109" t="n"/>
      <c r="I140" s="115" t="n"/>
      <c r="J140" s="109" t="n"/>
      <c r="K140" s="109" t="n"/>
      <c r="L140" s="109" t="n"/>
      <c r="M140" s="109" t="n"/>
      <c r="N140" s="109" t="n"/>
      <c r="U140" s="287" t="n"/>
      <c r="V140" s="156" t="n"/>
      <c r="W140" s="288" t="n"/>
      <c r="X140" s="288" t="n"/>
      <c r="Y140" s="77" t="n"/>
    </row>
    <row r="141" ht="15" customFormat="1" customHeight="1" s="211" thickBot="1">
      <c r="A141" s="260" t="inlineStr">
        <is>
          <t>end_group</t>
        </is>
      </c>
      <c r="B141" s="269" t="n"/>
      <c r="C141" s="269" t="n"/>
      <c r="D141" s="269" t="n"/>
      <c r="F141" s="81" t="n"/>
      <c r="G141" s="120" t="n"/>
      <c r="H141" s="109" t="n"/>
      <c r="I141" s="115" t="n"/>
      <c r="J141" s="109" t="n"/>
      <c r="K141" s="267" t="n"/>
      <c r="L141" s="109" t="n"/>
      <c r="M141" s="109" t="n"/>
      <c r="N141" s="109" t="n"/>
      <c r="U141" s="287" t="n"/>
      <c r="V141" s="156" t="n"/>
      <c r="W141" s="288" t="n"/>
      <c r="X141" s="288" t="n"/>
      <c r="Y141" s="77" t="n"/>
    </row>
    <row r="142" customFormat="1" s="211">
      <c r="A142" s="269" t="inlineStr">
        <is>
          <t>begin_group</t>
        </is>
      </c>
      <c r="B142" s="269" t="inlineStr">
        <is>
          <t>impact on livestock</t>
        </is>
      </c>
      <c r="C142" s="269" t="n"/>
      <c r="D142" s="269" t="n"/>
      <c r="F142" s="81" t="n"/>
      <c r="G142" s="120" t="n"/>
      <c r="H142" s="109" t="n"/>
      <c r="I142" s="115" t="n"/>
      <c r="J142" s="109" t="n"/>
      <c r="K142" s="109" t="n"/>
      <c r="L142" s="109" t="n"/>
      <c r="M142" s="109" t="n"/>
      <c r="N142" s="109" t="n"/>
      <c r="U142" s="287" t="n"/>
      <c r="V142" s="156" t="n"/>
      <c r="W142" s="288" t="n"/>
      <c r="X142" s="288" t="n"/>
      <c r="Y142" s="77" t="n"/>
    </row>
    <row r="143" customFormat="1" s="211">
      <c r="A143" s="269" t="inlineStr">
        <is>
          <t>select_one yes_no</t>
        </is>
      </c>
      <c r="B143" s="269" t="inlineStr">
        <is>
          <t>livestockaffected</t>
        </is>
      </c>
      <c r="C143" s="269" t="inlineStr">
        <is>
          <t xml:space="preserve">Did earthquake affect your livestock? </t>
        </is>
      </c>
      <c r="D143" s="269" t="n"/>
      <c r="F143" s="81" t="n"/>
      <c r="G143" s="120" t="inlineStr">
        <is>
          <t>true</t>
        </is>
      </c>
      <c r="H143" s="109" t="n"/>
      <c r="I143" s="115" t="n"/>
      <c r="J143" s="109" t="n"/>
      <c r="K143" s="120" t="inlineStr">
        <is>
          <t>${affectedbyearthquake} = '1' and (${hh_agricactivity}='2' or ${hh_agricactivity} = '3' or ${income_main_lscheck}='1' or ${income_sec_lscheck}='1' or ${income_third_lscheck}='1')</t>
        </is>
      </c>
      <c r="L143" s="109" t="n"/>
      <c r="M143" s="109" t="n"/>
      <c r="N143" s="109" t="n"/>
      <c r="U143" s="287" t="n"/>
      <c r="V143" s="156" t="n"/>
      <c r="W143" s="288" t="n"/>
      <c r="X143" s="288" t="n"/>
      <c r="Y143" s="77" t="n"/>
    </row>
    <row r="144" customFormat="1" s="211">
      <c r="A144" s="199" t="inlineStr">
        <is>
          <t>select_multiple ls_affected</t>
        </is>
      </c>
      <c r="B144" s="269" t="inlineStr">
        <is>
          <t>affectedspecies</t>
        </is>
      </c>
      <c r="C144" s="269" t="inlineStr">
        <is>
          <t>Did you have the following animals before the earthquake (select all that apply)</t>
        </is>
      </c>
      <c r="D144" s="269" t="n"/>
      <c r="F144" s="81" t="n"/>
      <c r="G144" s="120" t="n"/>
      <c r="H144" s="109" t="n"/>
      <c r="I144" s="115" t="n"/>
      <c r="J144" s="109" t="n"/>
      <c r="K144" s="120" t="n"/>
      <c r="L144" s="109" t="n"/>
      <c r="M144" s="109" t="n"/>
      <c r="N144" s="109" t="n"/>
      <c r="U144" s="287" t="n"/>
      <c r="V144" s="156" t="n"/>
      <c r="W144" s="288" t="n"/>
      <c r="X144" s="288" t="n"/>
      <c r="Y144" s="77" t="n"/>
    </row>
    <row r="145" customFormat="1" s="211">
      <c r="A145" s="269" t="inlineStr">
        <is>
          <t>integer</t>
        </is>
      </c>
      <c r="B145" s="269" t="inlineStr">
        <is>
          <t>cowsnumb</t>
        </is>
      </c>
      <c r="C145" s="269" t="inlineStr">
        <is>
          <t>How many cows did you have before the earthquake?</t>
        </is>
      </c>
      <c r="D145" s="269" t="n"/>
      <c r="F145" s="81" t="n"/>
      <c r="G145" s="120" t="n"/>
      <c r="H145" s="109" t="n"/>
      <c r="I145" s="115" t="n"/>
      <c r="J145" s="109" t="n"/>
      <c r="K145" s="267" t="inlineStr">
        <is>
          <t>${affectedspecies} = '1'</t>
        </is>
      </c>
      <c r="L145" s="109" t="n"/>
      <c r="M145" s="109" t="n"/>
      <c r="N145" s="109" t="n"/>
      <c r="U145" s="287" t="n"/>
      <c r="V145" s="156" t="n"/>
      <c r="W145" s="288" t="n"/>
      <c r="X145" s="288" t="n"/>
      <c r="Y145" s="77" t="n"/>
    </row>
    <row r="146" customFormat="1" s="211">
      <c r="A146" s="269" t="inlineStr">
        <is>
          <t>integer</t>
        </is>
      </c>
      <c r="B146" s="199" t="inlineStr">
        <is>
          <t>sheepnumb</t>
        </is>
      </c>
      <c r="C146" s="269" t="inlineStr">
        <is>
          <t>How many sheep did you have before the earthquake?</t>
        </is>
      </c>
      <c r="D146" s="269" t="n"/>
      <c r="F146" s="81" t="n"/>
      <c r="G146" s="120" t="n"/>
      <c r="H146" s="109" t="n"/>
      <c r="I146" s="115" t="n"/>
      <c r="J146" s="109" t="n"/>
      <c r="K146" s="267" t="inlineStr">
        <is>
          <t>${affectedspecies} = '2'</t>
        </is>
      </c>
      <c r="L146" s="109" t="n"/>
      <c r="M146" s="109" t="n"/>
      <c r="N146" s="109" t="n"/>
      <c r="U146" s="287" t="n"/>
      <c r="V146" s="156" t="n"/>
      <c r="W146" s="288" t="n"/>
      <c r="X146" s="288" t="n"/>
      <c r="Y146" s="77" t="n"/>
    </row>
    <row r="147" customFormat="1" s="211">
      <c r="A147" s="269" t="inlineStr">
        <is>
          <t>integer</t>
        </is>
      </c>
      <c r="B147" s="199" t="inlineStr">
        <is>
          <t>goatnumb</t>
        </is>
      </c>
      <c r="C147" s="269" t="inlineStr">
        <is>
          <t>How many goats did you have before the earthquake?</t>
        </is>
      </c>
      <c r="D147" s="269" t="n"/>
      <c r="F147" s="81" t="n"/>
      <c r="G147" s="120" t="n"/>
      <c r="H147" s="109" t="n"/>
      <c r="I147" s="115" t="n"/>
      <c r="J147" s="109" t="n"/>
      <c r="K147" s="267" t="inlineStr">
        <is>
          <t>${affectedspecies} = '3'</t>
        </is>
      </c>
      <c r="L147" s="109" t="n"/>
      <c r="M147" s="109" t="n"/>
      <c r="N147" s="109" t="n"/>
      <c r="U147" s="287" t="n"/>
      <c r="V147" s="156" t="n"/>
      <c r="W147" s="288" t="n"/>
      <c r="X147" s="288" t="n"/>
      <c r="Y147" s="77" t="n"/>
    </row>
    <row r="148" customFormat="1" s="211">
      <c r="A148" s="269" t="inlineStr">
        <is>
          <t>integer</t>
        </is>
      </c>
      <c r="B148" s="199" t="inlineStr">
        <is>
          <t>chickenbefore</t>
        </is>
      </c>
      <c r="C148" s="269" t="inlineStr">
        <is>
          <t>How many chicken did you have before the earthquake?</t>
        </is>
      </c>
      <c r="D148" s="269" t="n"/>
      <c r="F148" s="81" t="n"/>
      <c r="G148" s="120" t="n"/>
      <c r="H148" s="109" t="n"/>
      <c r="I148" s="115" t="n"/>
      <c r="J148" s="109" t="n"/>
      <c r="K148" s="267" t="inlineStr">
        <is>
          <t>${affectedspecies} = '7'</t>
        </is>
      </c>
      <c r="L148" s="109" t="n"/>
      <c r="M148" s="109" t="n"/>
      <c r="N148" s="109" t="n"/>
      <c r="U148" s="287" t="n"/>
      <c r="V148" s="156" t="n"/>
      <c r="W148" s="288" t="n"/>
      <c r="X148" s="288" t="n"/>
      <c r="Y148" s="77" t="n"/>
    </row>
    <row r="149" customFormat="1" s="211">
      <c r="A149" s="269" t="inlineStr">
        <is>
          <t>integer</t>
        </is>
      </c>
      <c r="B149" s="199" t="inlineStr">
        <is>
          <t>pigsbefore</t>
        </is>
      </c>
      <c r="C149" s="269" t="inlineStr">
        <is>
          <t>How many pigs did you have before the earthquake?</t>
        </is>
      </c>
      <c r="D149" s="269" t="n"/>
      <c r="F149" s="81" t="n"/>
      <c r="G149" s="120" t="n"/>
      <c r="H149" s="109" t="n"/>
      <c r="I149" s="115" t="n"/>
      <c r="J149" s="109" t="n"/>
      <c r="K149" s="267" t="inlineStr">
        <is>
          <t>${affectedspecies} = '4'</t>
        </is>
      </c>
      <c r="L149" s="109" t="n"/>
      <c r="M149" s="109" t="n"/>
      <c r="N149" s="109" t="n"/>
      <c r="U149" s="287" t="n"/>
      <c r="V149" s="156" t="n"/>
      <c r="W149" s="288" t="n"/>
      <c r="X149" s="288" t="n"/>
      <c r="Y149" s="77" t="n"/>
    </row>
    <row r="150" customFormat="1" s="211">
      <c r="A150" s="269" t="inlineStr">
        <is>
          <t>select_one yes_no</t>
        </is>
      </c>
      <c r="B150" s="269" t="inlineStr">
        <is>
          <t>cowdied</t>
        </is>
      </c>
      <c r="C150" s="269" t="inlineStr">
        <is>
          <t>Did your cow (s) die due to earthquake?</t>
        </is>
      </c>
      <c r="D150" s="269" t="n"/>
      <c r="F150" s="81" t="n"/>
      <c r="G150" s="120" t="inlineStr">
        <is>
          <t>true</t>
        </is>
      </c>
      <c r="H150" s="109" t="n"/>
      <c r="I150" s="115" t="n"/>
      <c r="J150" s="109" t="n"/>
      <c r="K150" s="267" t="inlineStr">
        <is>
          <t>${livestockaffected} = '1'</t>
        </is>
      </c>
      <c r="L150" s="109" t="n"/>
      <c r="M150" s="109" t="n"/>
      <c r="N150" s="109" t="n"/>
      <c r="U150" s="287" t="n"/>
      <c r="V150" s="156" t="n"/>
      <c r="W150" s="288" t="n"/>
      <c r="X150" s="288" t="n"/>
      <c r="Y150" s="77" t="n"/>
    </row>
    <row r="151" customFormat="1" s="211">
      <c r="A151" s="269" t="inlineStr">
        <is>
          <t>integer</t>
        </is>
      </c>
      <c r="B151" s="269" t="inlineStr">
        <is>
          <t>numberofcowdied</t>
        </is>
      </c>
      <c r="C151" s="269" t="inlineStr">
        <is>
          <t>How many died?</t>
        </is>
      </c>
      <c r="D151" s="269" t="n"/>
      <c r="F151" s="81" t="n"/>
      <c r="G151" s="120" t="inlineStr">
        <is>
          <t>true</t>
        </is>
      </c>
      <c r="H151" s="109" t="n"/>
      <c r="I151" s="115" t="n"/>
      <c r="J151" s="109" t="n"/>
      <c r="K151" s="267" t="inlineStr">
        <is>
          <t>${cowdied} = '1'</t>
        </is>
      </c>
      <c r="L151" s="109" t="n"/>
      <c r="M151" s="109" t="n"/>
      <c r="N151" s="109" t="n"/>
      <c r="U151" s="287" t="n"/>
      <c r="V151" s="156" t="n"/>
      <c r="W151" s="288" t="n"/>
      <c r="X151" s="288" t="n"/>
      <c r="Y151" s="77" t="n"/>
    </row>
    <row r="152" customFormat="1" s="211">
      <c r="A152" s="269" t="inlineStr">
        <is>
          <t>select_one yes_no</t>
        </is>
      </c>
      <c r="B152" s="269" t="inlineStr">
        <is>
          <t>cowinjured</t>
        </is>
      </c>
      <c r="C152" s="269" t="inlineStr">
        <is>
          <t>Did your cow (s) injure due to earthquake?</t>
        </is>
      </c>
      <c r="D152" s="269" t="n"/>
      <c r="F152" s="81" t="n"/>
      <c r="G152" s="120" t="inlineStr">
        <is>
          <t>true</t>
        </is>
      </c>
      <c r="H152" s="109" t="n"/>
      <c r="I152" s="115" t="n"/>
      <c r="J152" s="109" t="n"/>
      <c r="K152" s="267" t="inlineStr">
        <is>
          <t>${livestockaffected} = '1'</t>
        </is>
      </c>
      <c r="L152" s="109" t="n"/>
      <c r="M152" s="109" t="n"/>
      <c r="N152" s="109" t="n"/>
      <c r="U152" s="287" t="n"/>
      <c r="V152" s="156" t="n"/>
      <c r="W152" s="288" t="n"/>
      <c r="X152" s="288" t="n"/>
      <c r="Y152" s="77" t="n"/>
    </row>
    <row r="153" customFormat="1" s="211">
      <c r="A153" s="269" t="inlineStr">
        <is>
          <t>integer</t>
        </is>
      </c>
      <c r="B153" s="269" t="inlineStr">
        <is>
          <t>howmanycowinjured</t>
        </is>
      </c>
      <c r="C153" s="269" t="inlineStr">
        <is>
          <t>How many injured?</t>
        </is>
      </c>
      <c r="D153" s="269" t="n"/>
      <c r="F153" s="81" t="n"/>
      <c r="G153" s="120" t="inlineStr">
        <is>
          <t>true</t>
        </is>
      </c>
      <c r="H153" s="109" t="n"/>
      <c r="I153" s="115" t="n"/>
      <c r="J153" s="109" t="n"/>
      <c r="K153" s="267" t="inlineStr">
        <is>
          <t>${cowinjured} = '1'</t>
        </is>
      </c>
      <c r="L153" s="109" t="n"/>
      <c r="M153" s="109" t="n"/>
      <c r="N153" s="109" t="n"/>
      <c r="U153" s="287" t="n"/>
      <c r="V153" s="156" t="n"/>
      <c r="W153" s="288" t="n"/>
      <c r="X153" s="288" t="n"/>
      <c r="Y153" s="77" t="n"/>
    </row>
    <row r="154" customFormat="1" s="211">
      <c r="A154" s="269" t="inlineStr">
        <is>
          <t>select_one yes_no</t>
        </is>
      </c>
      <c r="B154" s="269" t="inlineStr">
        <is>
          <t>sheepdied</t>
        </is>
      </c>
      <c r="C154" s="269" t="inlineStr">
        <is>
          <t>Did your sheep die due to earthquake?</t>
        </is>
      </c>
      <c r="D154" s="269" t="n"/>
      <c r="F154" s="81" t="n"/>
      <c r="G154" s="120" t="inlineStr">
        <is>
          <t>true</t>
        </is>
      </c>
      <c r="H154" s="109" t="n"/>
      <c r="I154" s="115" t="n"/>
      <c r="J154" s="109" t="n"/>
      <c r="K154" s="267" t="inlineStr">
        <is>
          <t>${livestockaffected} = '1'</t>
        </is>
      </c>
      <c r="L154" s="109" t="n"/>
      <c r="M154" s="109" t="n"/>
      <c r="N154" s="109" t="n"/>
      <c r="U154" s="287" t="n"/>
      <c r="V154" s="156" t="n"/>
      <c r="W154" s="288" t="n"/>
      <c r="X154" s="288" t="n"/>
      <c r="Y154" s="77" t="n"/>
    </row>
    <row r="155" customFormat="1" s="211">
      <c r="A155" s="269" t="inlineStr">
        <is>
          <t>integer</t>
        </is>
      </c>
      <c r="B155" s="269" t="inlineStr">
        <is>
          <t>numberofsheepdied</t>
        </is>
      </c>
      <c r="C155" s="269" t="inlineStr">
        <is>
          <t>How many died?</t>
        </is>
      </c>
      <c r="D155" s="269" t="n"/>
      <c r="F155" s="81" t="n"/>
      <c r="G155" s="120" t="inlineStr">
        <is>
          <t>true</t>
        </is>
      </c>
      <c r="H155" s="109" t="n"/>
      <c r="I155" s="115" t="n"/>
      <c r="J155" s="109" t="n"/>
      <c r="K155" s="267" t="inlineStr">
        <is>
          <t>${sheepdied} = '1'</t>
        </is>
      </c>
      <c r="L155" s="109" t="n"/>
      <c r="M155" s="109" t="n"/>
      <c r="N155" s="109" t="n"/>
      <c r="U155" s="287" t="n"/>
      <c r="V155" s="156" t="n"/>
      <c r="W155" s="288" t="n"/>
      <c r="X155" s="288" t="n"/>
      <c r="Y155" s="77" t="n"/>
    </row>
    <row r="156" customFormat="1" s="211">
      <c r="A156" s="269" t="inlineStr">
        <is>
          <t>select_one yes_no</t>
        </is>
      </c>
      <c r="B156" s="269" t="inlineStr">
        <is>
          <t>sheepinjured</t>
        </is>
      </c>
      <c r="C156" s="269" t="inlineStr">
        <is>
          <t>Did your sheep injure due to earthquake?</t>
        </is>
      </c>
      <c r="D156" s="269" t="n"/>
      <c r="F156" s="81" t="n"/>
      <c r="G156" s="120" t="inlineStr">
        <is>
          <t>true</t>
        </is>
      </c>
      <c r="H156" s="109" t="n"/>
      <c r="I156" s="115" t="n"/>
      <c r="J156" s="109" t="n"/>
      <c r="K156" s="267" t="inlineStr">
        <is>
          <t>${livestockaffected} = '1'</t>
        </is>
      </c>
      <c r="L156" s="109" t="n"/>
      <c r="M156" s="109" t="n"/>
      <c r="N156" s="109" t="n"/>
      <c r="U156" s="287" t="n"/>
      <c r="V156" s="156" t="n"/>
      <c r="W156" s="288" t="n"/>
      <c r="X156" s="288" t="n"/>
      <c r="Y156" s="77" t="n"/>
    </row>
    <row r="157" customFormat="1" s="211">
      <c r="A157" s="269" t="inlineStr">
        <is>
          <t>integer</t>
        </is>
      </c>
      <c r="B157" s="269" t="inlineStr">
        <is>
          <t>howmanysheepinjured</t>
        </is>
      </c>
      <c r="C157" s="269" t="inlineStr">
        <is>
          <t>How many injured?</t>
        </is>
      </c>
      <c r="D157" s="269" t="n"/>
      <c r="F157" s="81" t="n"/>
      <c r="G157" s="120" t="inlineStr">
        <is>
          <t>true</t>
        </is>
      </c>
      <c r="H157" s="109" t="n"/>
      <c r="I157" s="115" t="n"/>
      <c r="J157" s="109" t="n"/>
      <c r="K157" s="267" t="inlineStr">
        <is>
          <t>${sheepinjured} = '1'</t>
        </is>
      </c>
      <c r="L157" s="109" t="n"/>
      <c r="M157" s="109" t="n"/>
      <c r="N157" s="109" t="n"/>
      <c r="U157" s="287" t="n"/>
      <c r="V157" s="156" t="n"/>
      <c r="W157" s="288" t="n"/>
      <c r="X157" s="288" t="n"/>
      <c r="Y157" s="77" t="n"/>
    </row>
    <row r="158" customFormat="1" s="211">
      <c r="A158" s="269" t="inlineStr">
        <is>
          <t>select_one yes_no</t>
        </is>
      </c>
      <c r="B158" s="269" t="inlineStr">
        <is>
          <t>goatdied</t>
        </is>
      </c>
      <c r="C158" s="269" t="inlineStr">
        <is>
          <t>Did your goat die due to earthquake?</t>
        </is>
      </c>
      <c r="D158" s="269" t="n"/>
      <c r="F158" s="81" t="n"/>
      <c r="G158" s="120" t="inlineStr">
        <is>
          <t>true</t>
        </is>
      </c>
      <c r="H158" s="109" t="n"/>
      <c r="I158" s="115" t="n"/>
      <c r="J158" s="109" t="n"/>
      <c r="K158" s="267" t="inlineStr">
        <is>
          <t>${livestockaffected} = '1'</t>
        </is>
      </c>
      <c r="L158" s="109" t="n"/>
      <c r="M158" s="109" t="n"/>
      <c r="N158" s="109" t="n"/>
      <c r="U158" s="287" t="n"/>
      <c r="V158" s="156" t="n"/>
      <c r="W158" s="288" t="n"/>
      <c r="X158" s="288" t="n"/>
      <c r="Y158" s="77" t="n"/>
    </row>
    <row r="159" customFormat="1" s="211">
      <c r="A159" s="269" t="inlineStr">
        <is>
          <t>integer</t>
        </is>
      </c>
      <c r="B159" s="269" t="inlineStr">
        <is>
          <t>numberofgoatdied</t>
        </is>
      </c>
      <c r="C159" s="269" t="inlineStr">
        <is>
          <t>How many died?</t>
        </is>
      </c>
      <c r="D159" s="269" t="n"/>
      <c r="F159" s="81" t="n"/>
      <c r="G159" s="120" t="inlineStr">
        <is>
          <t>true</t>
        </is>
      </c>
      <c r="H159" s="109" t="n"/>
      <c r="I159" s="115" t="n"/>
      <c r="J159" s="109" t="n"/>
      <c r="K159" s="267" t="inlineStr">
        <is>
          <t>${goatdied} = '1'</t>
        </is>
      </c>
      <c r="L159" s="109" t="n"/>
      <c r="M159" s="109" t="n"/>
      <c r="N159" s="109" t="n"/>
      <c r="U159" s="287" t="n"/>
      <c r="V159" s="156" t="n"/>
      <c r="W159" s="288" t="n"/>
      <c r="X159" s="288" t="n"/>
      <c r="Y159" s="77" t="n"/>
    </row>
    <row r="160" customFormat="1" s="211">
      <c r="A160" s="269" t="inlineStr">
        <is>
          <t>select_one yes_no</t>
        </is>
      </c>
      <c r="B160" s="269" t="inlineStr">
        <is>
          <t>goatinjured</t>
        </is>
      </c>
      <c r="C160" s="269" t="inlineStr">
        <is>
          <t>Did your goat injure due to earthquake?</t>
        </is>
      </c>
      <c r="D160" s="269" t="n"/>
      <c r="F160" s="81" t="n"/>
      <c r="G160" s="120" t="inlineStr">
        <is>
          <t>true</t>
        </is>
      </c>
      <c r="H160" s="109" t="n"/>
      <c r="I160" s="115" t="n"/>
      <c r="J160" s="109" t="n"/>
      <c r="K160" s="267" t="inlineStr">
        <is>
          <t>${livestockaffected} = '1'</t>
        </is>
      </c>
      <c r="L160" s="109" t="n"/>
      <c r="M160" s="109" t="n"/>
      <c r="N160" s="109" t="n"/>
      <c r="U160" s="287" t="n"/>
      <c r="V160" s="156" t="n"/>
      <c r="W160" s="288" t="n"/>
      <c r="X160" s="288" t="n"/>
      <c r="Y160" s="77" t="n"/>
    </row>
    <row r="161" customFormat="1" s="211">
      <c r="A161" s="269" t="inlineStr">
        <is>
          <t>integer</t>
        </is>
      </c>
      <c r="B161" s="269" t="inlineStr">
        <is>
          <t>howmanygoatinjured</t>
        </is>
      </c>
      <c r="C161" s="269" t="inlineStr">
        <is>
          <t>How many injured?</t>
        </is>
      </c>
      <c r="D161" s="269" t="n"/>
      <c r="F161" s="81" t="n"/>
      <c r="G161" s="120" t="inlineStr">
        <is>
          <t>true</t>
        </is>
      </c>
      <c r="H161" s="109" t="n"/>
      <c r="I161" s="115" t="n"/>
      <c r="J161" s="109" t="n"/>
      <c r="K161" s="267" t="inlineStr">
        <is>
          <t>${goatinjured} = '1'</t>
        </is>
      </c>
      <c r="L161" s="109" t="n"/>
      <c r="M161" s="109" t="n"/>
      <c r="N161" s="109" t="n"/>
      <c r="U161" s="287" t="n"/>
      <c r="V161" s="156" t="n"/>
      <c r="W161" s="288" t="n"/>
      <c r="X161" s="288" t="n"/>
      <c r="Y161" s="77" t="n"/>
    </row>
    <row r="162" customFormat="1" s="211">
      <c r="A162" s="269" t="inlineStr">
        <is>
          <t>select_one yes_no</t>
        </is>
      </c>
      <c r="B162" s="269" t="inlineStr">
        <is>
          <t>chickendied</t>
        </is>
      </c>
      <c r="C162" s="269" t="inlineStr">
        <is>
          <t>Did your chicken die due to earthquake?</t>
        </is>
      </c>
      <c r="D162" s="269" t="n"/>
      <c r="F162" s="81" t="n"/>
      <c r="G162" s="120" t="inlineStr">
        <is>
          <t>true</t>
        </is>
      </c>
      <c r="H162" s="109" t="n"/>
      <c r="I162" s="115" t="n"/>
      <c r="J162" s="109" t="n"/>
      <c r="K162" s="267" t="inlineStr">
        <is>
          <t>${livestockaffected} = '1'</t>
        </is>
      </c>
      <c r="L162" s="109" t="n"/>
      <c r="M162" s="109" t="n"/>
      <c r="N162" s="109" t="n"/>
      <c r="U162" s="287" t="n"/>
      <c r="V162" s="156" t="n"/>
      <c r="W162" s="288" t="n"/>
      <c r="X162" s="288" t="n"/>
      <c r="Y162" s="77" t="n"/>
    </row>
    <row r="163" customFormat="1" s="211">
      <c r="A163" s="269" t="inlineStr">
        <is>
          <t>integer</t>
        </is>
      </c>
      <c r="B163" s="269" t="inlineStr">
        <is>
          <t>numberofchickendied</t>
        </is>
      </c>
      <c r="C163" s="269" t="inlineStr">
        <is>
          <t>How many died?</t>
        </is>
      </c>
      <c r="D163" s="269" t="n"/>
      <c r="F163" s="81" t="n"/>
      <c r="G163" s="120" t="inlineStr">
        <is>
          <t>true</t>
        </is>
      </c>
      <c r="H163" s="109" t="n"/>
      <c r="I163" s="115" t="n"/>
      <c r="J163" s="109" t="n"/>
      <c r="K163" s="267" t="inlineStr">
        <is>
          <t>${chickendied} = '1'</t>
        </is>
      </c>
      <c r="L163" s="109" t="n"/>
      <c r="M163" s="109" t="n"/>
      <c r="N163" s="109" t="n"/>
      <c r="U163" s="287" t="n"/>
      <c r="V163" s="156" t="n"/>
      <c r="W163" s="288" t="n"/>
      <c r="X163" s="288" t="n"/>
      <c r="Y163" s="77" t="n"/>
    </row>
    <row r="164" customFormat="1" s="211">
      <c r="A164" s="269" t="inlineStr">
        <is>
          <t>select_one yes_no</t>
        </is>
      </c>
      <c r="B164" s="269" t="inlineStr">
        <is>
          <t>pigsdied</t>
        </is>
      </c>
      <c r="C164" s="269" t="inlineStr">
        <is>
          <t>Did your pigs die due to earthquake?</t>
        </is>
      </c>
      <c r="D164" s="269" t="n"/>
      <c r="F164" s="81" t="n"/>
      <c r="G164" s="120" t="inlineStr">
        <is>
          <t>true</t>
        </is>
      </c>
      <c r="H164" s="109" t="n"/>
      <c r="J164" s="109" t="n"/>
      <c r="K164" s="267" t="inlineStr">
        <is>
          <t>${livestockaffected} = '1'</t>
        </is>
      </c>
      <c r="L164" s="109" t="n"/>
      <c r="M164" s="109" t="n"/>
      <c r="N164" s="109" t="n"/>
      <c r="U164" s="287" t="n"/>
      <c r="V164" s="156" t="n"/>
      <c r="W164" s="288" t="n"/>
      <c r="X164" s="288" t="n"/>
      <c r="Y164" s="77" t="n"/>
    </row>
    <row r="165" customFormat="1" s="211">
      <c r="A165" s="269" t="inlineStr">
        <is>
          <t>integer</t>
        </is>
      </c>
      <c r="B165" s="269" t="inlineStr">
        <is>
          <t>numberofpigsdied</t>
        </is>
      </c>
      <c r="C165" s="269" t="inlineStr">
        <is>
          <t>How many died?</t>
        </is>
      </c>
      <c r="D165" s="269" t="n"/>
      <c r="F165" s="81" t="n"/>
      <c r="G165" s="120" t="inlineStr">
        <is>
          <t>true</t>
        </is>
      </c>
      <c r="H165" s="109" t="n"/>
      <c r="I165" s="115" t="n"/>
      <c r="J165" s="109" t="n"/>
      <c r="K165" s="267" t="inlineStr">
        <is>
          <t>${pigsdied} = '1'</t>
        </is>
      </c>
      <c r="L165" s="109" t="n"/>
      <c r="M165" s="109" t="n"/>
      <c r="N165" s="109" t="n"/>
      <c r="U165" s="287" t="n"/>
      <c r="V165" s="156" t="n"/>
      <c r="W165" s="288" t="n"/>
      <c r="X165" s="288" t="n"/>
      <c r="Y165" s="77" t="n"/>
    </row>
    <row r="166" customFormat="1" s="211">
      <c r="A166" s="269" t="inlineStr">
        <is>
          <t>select_one yes_no</t>
        </is>
      </c>
      <c r="B166" s="269" t="inlineStr">
        <is>
          <t>animalshelterdestroy</t>
        </is>
      </c>
      <c r="C166" s="269" t="inlineStr">
        <is>
          <t>Did Animal shelters destroy?</t>
        </is>
      </c>
      <c r="D166" s="269" t="n"/>
      <c r="F166" s="81" t="n"/>
      <c r="G166" s="120" t="inlineStr">
        <is>
          <t>true</t>
        </is>
      </c>
      <c r="H166" s="109" t="n"/>
      <c r="I166" s="115" t="n"/>
      <c r="J166" s="109" t="n"/>
      <c r="K166" s="120" t="inlineStr">
        <is>
          <t>${affectedbyearthquake} = '1'</t>
        </is>
      </c>
      <c r="L166" s="109" t="n"/>
      <c r="M166" s="109" t="n"/>
      <c r="N166" s="109" t="n"/>
      <c r="U166" s="287" t="n"/>
      <c r="V166" s="156" t="n"/>
      <c r="W166" s="288" t="n"/>
      <c r="X166" s="288" t="n"/>
      <c r="Y166" s="77" t="n"/>
    </row>
    <row r="167" customFormat="1" s="211">
      <c r="A167" s="269" t="inlineStr">
        <is>
          <t>integer</t>
        </is>
      </c>
      <c r="B167" s="269" t="inlineStr">
        <is>
          <t>numbershleterpartdamage</t>
        </is>
      </c>
      <c r="C167" s="269" t="inlineStr">
        <is>
          <t>number of Shelter partially damaged</t>
        </is>
      </c>
      <c r="D167" s="269" t="n"/>
      <c r="F167" s="81" t="n"/>
      <c r="G167" s="120" t="inlineStr">
        <is>
          <t>true</t>
        </is>
      </c>
      <c r="H167" s="109" t="n"/>
      <c r="I167" s="115" t="n"/>
      <c r="J167" s="109" t="n"/>
      <c r="K167" s="267" t="inlineStr">
        <is>
          <t>${animalshelterdestroy} = '1'</t>
        </is>
      </c>
      <c r="L167" s="109" t="n"/>
      <c r="M167" s="109" t="n"/>
      <c r="N167" s="109" t="n"/>
      <c r="U167" s="287" t="n"/>
      <c r="V167" s="156" t="n"/>
      <c r="W167" s="288" t="n"/>
      <c r="X167" s="288" t="n"/>
      <c r="Y167" s="77" t="n"/>
    </row>
    <row r="168" customFormat="1" s="211">
      <c r="A168" s="269" t="inlineStr">
        <is>
          <t>integer</t>
        </is>
      </c>
      <c r="B168" s="269" t="inlineStr">
        <is>
          <t>numbershletertotaldamage</t>
        </is>
      </c>
      <c r="C168" s="269" t="inlineStr">
        <is>
          <t>number of Shelter totally destroyed</t>
        </is>
      </c>
      <c r="D168" s="269" t="n"/>
      <c r="F168" s="81" t="n"/>
      <c r="G168" s="120" t="inlineStr">
        <is>
          <t>true</t>
        </is>
      </c>
      <c r="H168" s="109" t="n"/>
      <c r="I168" s="115" t="n"/>
      <c r="J168" s="109" t="n"/>
      <c r="K168" s="267" t="inlineStr">
        <is>
          <t>${animalshelterdestroy} = '1'</t>
        </is>
      </c>
      <c r="L168" s="109" t="n"/>
      <c r="M168" s="109" t="n"/>
      <c r="N168" s="109" t="n"/>
      <c r="U168" s="287" t="n"/>
      <c r="V168" s="156" t="n"/>
      <c r="W168" s="288" t="n"/>
      <c r="X168" s="288" t="n"/>
      <c r="Y168" s="77" t="n"/>
    </row>
    <row r="169" customFormat="1" s="211">
      <c r="A169" s="269" t="inlineStr">
        <is>
          <t>select_one yes_no</t>
        </is>
      </c>
      <c r="B169" s="269" t="inlineStr">
        <is>
          <t>fooderdestroyed</t>
        </is>
      </c>
      <c r="C169" s="269" t="inlineStr">
        <is>
          <t>Have Stored fodder destroyed?</t>
        </is>
      </c>
      <c r="D169" s="269" t="n"/>
      <c r="F169" s="81" t="n"/>
      <c r="G169" s="120" t="inlineStr">
        <is>
          <t>true</t>
        </is>
      </c>
      <c r="H169" s="109" t="n"/>
      <c r="I169" s="115" t="n"/>
      <c r="J169" s="109" t="n"/>
      <c r="K169" s="120" t="inlineStr">
        <is>
          <t>${affectedbyearthquake} = '1'</t>
        </is>
      </c>
      <c r="L169" s="109" t="n"/>
      <c r="M169" s="109" t="n"/>
      <c r="N169" s="109" t="n"/>
      <c r="U169" s="287" t="n"/>
      <c r="V169" s="156" t="n"/>
      <c r="W169" s="288" t="n"/>
      <c r="X169" s="288" t="n"/>
      <c r="Y169" s="77" t="n"/>
    </row>
    <row r="170" customFormat="1" s="211">
      <c r="A170" s="269" t="inlineStr">
        <is>
          <t>decimal</t>
        </is>
      </c>
      <c r="B170" s="269" t="inlineStr">
        <is>
          <t>fooderdestroyedinkg</t>
        </is>
      </c>
      <c r="C170" s="269" t="inlineStr">
        <is>
          <t>Stored fodder destroyed in Kilogram?</t>
        </is>
      </c>
      <c r="D170" s="269" t="n"/>
      <c r="F170" s="81" t="n"/>
      <c r="G170" s="120" t="inlineStr">
        <is>
          <t>true</t>
        </is>
      </c>
      <c r="H170" s="109" t="n"/>
      <c r="I170" s="115" t="n"/>
      <c r="J170" s="109" t="n"/>
      <c r="K170" s="267" t="inlineStr">
        <is>
          <t>${fooderdestroyed} = '1'</t>
        </is>
      </c>
      <c r="L170" s="109" t="n"/>
      <c r="M170" s="109" t="n"/>
      <c r="N170" s="109" t="n"/>
      <c r="U170" s="287" t="n"/>
      <c r="V170" s="156" t="n"/>
      <c r="W170" s="288" t="n"/>
      <c r="X170" s="288" t="n"/>
      <c r="Y170" s="77" t="n"/>
    </row>
    <row r="171" customFormat="1" s="211">
      <c r="A171" s="269" t="inlineStr">
        <is>
          <t>select_one yes_no</t>
        </is>
      </c>
      <c r="B171" s="269" t="inlineStr">
        <is>
          <t>dryhaydestroyed</t>
        </is>
      </c>
      <c r="C171" s="269" t="inlineStr">
        <is>
          <t>Have Stored dry hay destroyed?</t>
        </is>
      </c>
      <c r="D171" s="269" t="n"/>
      <c r="F171" s="81" t="n"/>
      <c r="G171" s="120" t="inlineStr">
        <is>
          <t>true</t>
        </is>
      </c>
      <c r="H171" s="109" t="n"/>
      <c r="I171" s="115" t="n"/>
      <c r="J171" s="109" t="n"/>
      <c r="K171" s="120" t="inlineStr">
        <is>
          <t>${affectedbyearthquake} = '1'</t>
        </is>
      </c>
      <c r="L171" s="109" t="n"/>
      <c r="M171" s="109" t="n"/>
      <c r="N171" s="109" t="n"/>
      <c r="U171" s="287" t="n"/>
      <c r="V171" s="156" t="n"/>
      <c r="W171" s="288" t="n"/>
      <c r="X171" s="288" t="n"/>
      <c r="Y171" s="77" t="n"/>
    </row>
    <row r="172" customFormat="1" s="211">
      <c r="A172" s="269" t="inlineStr">
        <is>
          <t>decimal</t>
        </is>
      </c>
      <c r="B172" s="269" t="inlineStr">
        <is>
          <t>dryhaydestroyedinkg</t>
        </is>
      </c>
      <c r="C172" s="269" t="inlineStr">
        <is>
          <t>Stored dry hay destroyed in Kilogram?</t>
        </is>
      </c>
      <c r="D172" s="269" t="n"/>
      <c r="F172" s="81" t="n"/>
      <c r="G172" s="120" t="inlineStr">
        <is>
          <t>true</t>
        </is>
      </c>
      <c r="H172" s="109" t="n"/>
      <c r="I172" s="115" t="n"/>
      <c r="J172" s="109" t="n"/>
      <c r="K172" s="267" t="inlineStr">
        <is>
          <t>${dryhaydestroyed} = '1'</t>
        </is>
      </c>
      <c r="L172" s="109" t="n"/>
      <c r="M172" s="109" t="n"/>
      <c r="N172" s="109" t="n"/>
      <c r="U172" s="287" t="n"/>
      <c r="V172" s="156" t="n"/>
      <c r="W172" s="288" t="n"/>
      <c r="X172" s="288" t="n"/>
      <c r="Y172" s="77" t="n"/>
    </row>
    <row r="173" customFormat="1" s="211">
      <c r="A173" s="269" t="inlineStr">
        <is>
          <t>select_one yes_no</t>
        </is>
      </c>
      <c r="B173" s="269" t="inlineStr">
        <is>
          <t>animalvaccinesdestroyed</t>
        </is>
      </c>
      <c r="C173" s="269" t="inlineStr">
        <is>
          <t>Have animal medication and vaccines destroyed?</t>
        </is>
      </c>
      <c r="D173" s="269" t="n"/>
      <c r="F173" s="81" t="n"/>
      <c r="G173" s="120" t="inlineStr">
        <is>
          <t>true</t>
        </is>
      </c>
      <c r="H173" s="109" t="n"/>
      <c r="I173" s="115" t="n"/>
      <c r="J173" s="109" t="n"/>
      <c r="K173" s="120" t="inlineStr">
        <is>
          <t>${affectedbyearthquake} = '1'</t>
        </is>
      </c>
      <c r="L173" s="109" t="n"/>
      <c r="M173" s="109" t="n"/>
      <c r="N173" s="109" t="n"/>
      <c r="U173" s="287" t="n"/>
      <c r="V173" s="156" t="n"/>
      <c r="W173" s="288" t="n"/>
      <c r="X173" s="288" t="n"/>
      <c r="Y173" s="77" t="n"/>
    </row>
    <row r="174" customFormat="1" s="211">
      <c r="A174" s="269" t="inlineStr">
        <is>
          <t>select_one yes_no</t>
        </is>
      </c>
      <c r="B174" s="269" t="inlineStr">
        <is>
          <t>storedanimalproddestroy</t>
        </is>
      </c>
      <c r="C174" s="269" t="inlineStr">
        <is>
          <t>Have Stored animal products lost?</t>
        </is>
      </c>
      <c r="D174" s="269" t="n"/>
      <c r="F174" s="81" t="n"/>
      <c r="G174" s="120" t="inlineStr">
        <is>
          <t>true</t>
        </is>
      </c>
      <c r="H174" s="109" t="n"/>
      <c r="I174" s="115" t="n"/>
      <c r="J174" s="109" t="n"/>
      <c r="K174" s="120" t="inlineStr">
        <is>
          <t>${affectedbyearthquake} = '1'</t>
        </is>
      </c>
      <c r="L174" s="109" t="n"/>
      <c r="M174" s="109" t="n"/>
      <c r="N174" s="109" t="n"/>
      <c r="U174" s="287" t="n"/>
      <c r="V174" s="156" t="n"/>
      <c r="W174" s="288" t="n"/>
      <c r="X174" s="288" t="n"/>
      <c r="Y174" s="77" t="n"/>
    </row>
    <row r="175" customFormat="1" s="211">
      <c r="A175" s="269" t="inlineStr">
        <is>
          <t>integer</t>
        </is>
      </c>
      <c r="B175" s="269" t="inlineStr">
        <is>
          <t>milkdestroyedliter</t>
        </is>
      </c>
      <c r="C175" s="269" t="inlineStr">
        <is>
          <t>How many litres of milk destroyed?</t>
        </is>
      </c>
      <c r="D175" s="269" t="n"/>
      <c r="F175" s="81" t="n"/>
      <c r="G175" s="120" t="inlineStr">
        <is>
          <t>true</t>
        </is>
      </c>
      <c r="H175" s="109" t="n"/>
      <c r="I175" s="115" t="n"/>
      <c r="J175" s="109" t="n"/>
      <c r="K175" s="267" t="inlineStr">
        <is>
          <t>${storedanimalproddestroy} = '1'</t>
        </is>
      </c>
      <c r="L175" s="109" t="n"/>
      <c r="M175" s="109" t="n"/>
      <c r="N175" s="109" t="n"/>
      <c r="U175" s="287" t="n"/>
      <c r="V175" s="156" t="n"/>
      <c r="W175" s="288" t="n"/>
      <c r="X175" s="288" t="n"/>
      <c r="Y175" s="77" t="n"/>
    </row>
    <row r="176" customFormat="1" s="211">
      <c r="A176" s="269" t="inlineStr">
        <is>
          <t>integer</t>
        </is>
      </c>
      <c r="B176" s="269" t="inlineStr">
        <is>
          <t>cheesdestroyedKg</t>
        </is>
      </c>
      <c r="C176" s="269" t="inlineStr">
        <is>
          <t>How many Kilogram of chees destroyed?</t>
        </is>
      </c>
      <c r="D176" s="269" t="n"/>
      <c r="F176" s="81" t="n"/>
      <c r="G176" s="120" t="inlineStr">
        <is>
          <t>true</t>
        </is>
      </c>
      <c r="H176" s="109" t="n"/>
      <c r="I176" s="115" t="n"/>
      <c r="J176" s="109" t="n"/>
      <c r="K176" s="267" t="inlineStr">
        <is>
          <t>${storedanimalproddestroy} = '1'</t>
        </is>
      </c>
      <c r="L176" s="109" t="n"/>
      <c r="M176" s="109" t="n"/>
      <c r="N176" s="109" t="n"/>
      <c r="U176" s="287" t="n"/>
      <c r="V176" s="156" t="n"/>
      <c r="W176" s="288" t="n"/>
      <c r="X176" s="288" t="n"/>
      <c r="Y176" s="77" t="n"/>
    </row>
    <row r="177" customFormat="1" s="211">
      <c r="A177" s="269" t="inlineStr">
        <is>
          <t>integer</t>
        </is>
      </c>
      <c r="B177" s="269" t="inlineStr">
        <is>
          <t>yogurtdestroyedKg</t>
        </is>
      </c>
      <c r="C177" s="269" t="inlineStr">
        <is>
          <t>How many Kilogram of yogurt destroyed?</t>
        </is>
      </c>
      <c r="D177" s="269" t="n"/>
      <c r="F177" s="81" t="n"/>
      <c r="G177" s="120" t="inlineStr">
        <is>
          <t>true</t>
        </is>
      </c>
      <c r="H177" s="109" t="n"/>
      <c r="I177" s="115" t="n"/>
      <c r="J177" s="109" t="n"/>
      <c r="K177" s="267" t="inlineStr">
        <is>
          <t>${storedanimalproddestroy} = '1'</t>
        </is>
      </c>
      <c r="L177" s="109" t="n"/>
      <c r="M177" s="109" t="n"/>
      <c r="N177" s="109" t="n"/>
      <c r="U177" s="287" t="n"/>
      <c r="V177" s="156" t="n"/>
      <c r="W177" s="288" t="n"/>
      <c r="X177" s="288" t="n"/>
      <c r="Y177" s="77" t="n"/>
    </row>
    <row r="178" customFormat="1" s="211">
      <c r="A178" s="269" t="inlineStr">
        <is>
          <t>integer</t>
        </is>
      </c>
      <c r="B178" s="269" t="inlineStr">
        <is>
          <t>eggsdestroyedegg</t>
        </is>
      </c>
      <c r="C178" s="269" t="inlineStr">
        <is>
          <t>How many eggs destroyed?</t>
        </is>
      </c>
      <c r="D178" s="269" t="n"/>
      <c r="F178" s="81" t="n"/>
      <c r="G178" s="120" t="inlineStr">
        <is>
          <t>true</t>
        </is>
      </c>
      <c r="H178" s="109" t="n"/>
      <c r="I178" s="115" t="n"/>
      <c r="J178" s="109" t="n"/>
      <c r="K178" s="267" t="inlineStr">
        <is>
          <t>${storedanimalproddestroy} = '1'</t>
        </is>
      </c>
      <c r="L178" s="109" t="n"/>
      <c r="M178" s="109" t="n"/>
      <c r="N178" s="109" t="n"/>
      <c r="U178" s="287" t="n"/>
      <c r="V178" s="156" t="n"/>
      <c r="W178" s="288" t="n"/>
      <c r="X178" s="288" t="n"/>
      <c r="Y178" s="77" t="n"/>
    </row>
    <row r="179" customFormat="1" s="211">
      <c r="A179" s="269" t="inlineStr">
        <is>
          <t>end_group</t>
        </is>
      </c>
      <c r="B179" s="269" t="n"/>
      <c r="C179" s="269" t="n"/>
      <c r="D179" s="269" t="n"/>
      <c r="F179" s="81" t="n"/>
      <c r="G179" s="120" t="n"/>
      <c r="H179" s="109" t="n"/>
      <c r="I179" s="115" t="n"/>
      <c r="J179" s="109" t="n"/>
      <c r="K179" s="267" t="n"/>
      <c r="L179" s="109" t="n"/>
      <c r="M179" s="109" t="n"/>
      <c r="N179" s="109" t="n"/>
      <c r="U179" s="287" t="n"/>
      <c r="V179" s="156" t="n"/>
      <c r="W179" s="288" t="n"/>
      <c r="X179" s="288" t="n"/>
      <c r="Y179" s="77" t="n"/>
    </row>
    <row r="180" customFormat="1" s="211">
      <c r="A180" s="269" t="n"/>
      <c r="B180" s="269" t="n"/>
      <c r="C180" s="269" t="n"/>
      <c r="D180" s="269" t="n"/>
      <c r="F180" s="81" t="n"/>
      <c r="G180" s="109" t="n"/>
      <c r="H180" s="109" t="n"/>
      <c r="I180" s="115" t="n"/>
      <c r="J180" s="109" t="n"/>
      <c r="K180" s="109" t="n"/>
      <c r="L180" s="109" t="n"/>
      <c r="M180" s="109" t="n"/>
      <c r="N180" s="109" t="n"/>
      <c r="U180" s="287" t="n"/>
      <c r="V180" s="156" t="n"/>
      <c r="W180" s="288" t="n"/>
      <c r="X180" s="288" t="n"/>
      <c r="Y180" s="77" t="n"/>
    </row>
    <row r="181" ht="16.2" customHeight="1" thickBot="1">
      <c r="A181" s="270" t="inlineStr">
        <is>
          <t>end_group</t>
        </is>
      </c>
      <c r="B181" s="270" t="n"/>
      <c r="C181" s="270" t="n"/>
      <c r="D181" s="269" t="n"/>
      <c r="E181" s="91" t="n"/>
      <c r="F181" s="89" t="n"/>
      <c r="G181" s="119" t="n"/>
      <c r="H181" s="119" t="n"/>
      <c r="I181" s="119" t="n"/>
      <c r="J181" s="119" t="n"/>
      <c r="K181" s="119" t="n"/>
      <c r="L181" s="119" t="n"/>
      <c r="M181" s="119" t="n"/>
      <c r="N181" s="119" t="n"/>
      <c r="U181" s="287" t="n"/>
      <c r="V181" s="77" t="n"/>
      <c r="W181" s="288">
        <f>IF(U181&lt;&gt;"",U181*V181,"")</f>
        <v/>
      </c>
      <c r="X181" s="288">
        <f>IF(AND(U181&lt;&gt;"",S181="yes"),U181*V181,"")</f>
        <v/>
      </c>
    </row>
    <row r="182" ht="16.2" customHeight="1" thickTop="1">
      <c r="A182" s="270" t="n"/>
      <c r="B182" s="270" t="n"/>
      <c r="C182" s="270" t="n"/>
      <c r="D182" s="269" t="n"/>
      <c r="E182" s="79" t="n"/>
      <c r="F182" s="94" t="n"/>
      <c r="G182" s="110" t="n"/>
      <c r="H182" s="110" t="n"/>
      <c r="I182" s="110" t="n"/>
      <c r="J182" s="110" t="n"/>
      <c r="K182" s="110" t="n"/>
      <c r="L182" s="110" t="n"/>
      <c r="M182" s="110" t="n"/>
      <c r="N182" s="110" t="n"/>
      <c r="U182" s="287" t="n"/>
      <c r="V182" s="77" t="n"/>
      <c r="W182" s="288" t="n"/>
      <c r="X182" s="288" t="n"/>
    </row>
    <row r="183" ht="16.95" customFormat="1" customHeight="1" s="74">
      <c r="A183" s="71" t="inlineStr">
        <is>
          <t>begin_group</t>
        </is>
      </c>
      <c r="B183" s="71" t="inlineStr">
        <is>
          <t>CropProduction_group</t>
        </is>
      </c>
      <c r="C183" s="234" t="inlineStr">
        <is>
          <t>CROP PRODUCTION</t>
        </is>
      </c>
      <c r="D183" s="72" t="n"/>
      <c r="E183" s="71" t="n"/>
      <c r="F183" s="73" t="n"/>
      <c r="G183" s="113" t="inlineStr">
        <is>
          <t>false</t>
        </is>
      </c>
      <c r="H183" s="113" t="n"/>
      <c r="I183" s="113" t="n"/>
      <c r="J183" s="113" t="n"/>
      <c r="K183" s="113" t="inlineStr">
        <is>
          <t>${resp_agree} = '1' and (${hh_agricactivity}='1' or ${hh_agricactivity} = '3' or ${income_main_cropcheck}='1' or ${income_sec_cropcheck}='1' or ${income_third_cropcheck}='1')</t>
        </is>
      </c>
      <c r="L183" s="113" t="n"/>
      <c r="M183" s="113" t="n"/>
      <c r="N183" s="113" t="n"/>
      <c r="S183" s="47" t="inlineStr">
        <is>
          <t>yes</t>
        </is>
      </c>
      <c r="U183" s="287" t="n"/>
      <c r="V183" s="75" t="n"/>
      <c r="W183" s="288">
        <f>IF(U183&lt;&gt;"",U183*V183,"")</f>
        <v/>
      </c>
      <c r="X183" s="288">
        <f>IF(AND(U183&lt;&gt;"",S183="yes"),U183*V183,"")</f>
        <v/>
      </c>
      <c r="Y183" s="75" t="n"/>
    </row>
    <row r="184" ht="28.8" customFormat="1" customHeight="1" s="48">
      <c r="A184" s="46" t="inlineStr">
        <is>
          <t>note</t>
        </is>
      </c>
      <c r="B184" s="46" t="inlineStr">
        <is>
          <t>crp_intro</t>
        </is>
      </c>
      <c r="C184" s="237" t="inlineStr">
        <is>
          <t>We will now ask you some questions about crop production which apply to you and anyone in your household that is involved in crop production or sales. All questions refer to the crops grown during spring/ongoing season.</t>
        </is>
      </c>
      <c r="D184" s="85" t="n"/>
      <c r="E184" s="46" t="n"/>
      <c r="F184" s="85" t="n"/>
      <c r="G184" s="45" t="n"/>
      <c r="H184" s="45" t="n"/>
      <c r="I184" s="45" t="n"/>
      <c r="J184" s="45" t="n"/>
      <c r="K184" s="45" t="n"/>
      <c r="L184" s="45" t="n"/>
      <c r="M184" s="45" t="n"/>
      <c r="N184" s="45" t="n"/>
      <c r="S184" s="48" t="inlineStr">
        <is>
          <t>yes</t>
        </is>
      </c>
      <c r="U184" s="291" t="n">
        <v>7.5</v>
      </c>
      <c r="V184" s="155">
        <f>'Additional information'!$D$18</f>
        <v/>
      </c>
      <c r="W184" s="292">
        <f>IF(U184&lt;&gt;"",U184*V184,"")</f>
        <v/>
      </c>
      <c r="X184" s="292">
        <f>IF(AND(U184&lt;&gt;"",S184="yes"),U184*V184,"")</f>
        <v/>
      </c>
      <c r="Y184" s="213" t="n"/>
    </row>
    <row r="185">
      <c r="D185" s="85" t="n"/>
      <c r="F185" s="86" t="n"/>
      <c r="U185" s="287" t="n"/>
      <c r="W185" s="288">
        <f>IF(U185&lt;&gt;"",U185*V185,"")</f>
        <v/>
      </c>
      <c r="X185" s="288">
        <f>IF(AND(U185&lt;&gt;"",S185="yes"),U185*V185,"")</f>
        <v/>
      </c>
    </row>
    <row r="186" ht="16.2" customFormat="1" customHeight="1" s="77">
      <c r="A186" s="79" t="inlineStr">
        <is>
          <t>decimal</t>
        </is>
      </c>
      <c r="B186" s="79" t="inlineStr">
        <is>
          <t>crp_landsize_num</t>
        </is>
      </c>
      <c r="C186" s="240" t="inlineStr">
        <is>
          <t>What is the total size of the land you can cultivate?</t>
        </is>
      </c>
      <c r="D186" s="85" t="n"/>
      <c r="E186" s="79" t="inlineStr">
        <is>
          <t>[INSTRUCTIONS: RECORD THE TOTAL LAND SIZE PROVIDED BY THE RESPONDENT. WRITE 888 FOR DON'T KNOW AND 999 FOR REFUSED. MEASUREMENT UNIT WILL BE SPECIFIED IN THE FOLLOWING QUESTION.]</t>
        </is>
      </c>
      <c r="F186" s="94" t="n"/>
      <c r="G186" s="110" t="inlineStr">
        <is>
          <t>true</t>
        </is>
      </c>
      <c r="H186" s="110" t="n"/>
      <c r="I186" s="110" t="inlineStr">
        <is>
          <t>. &gt;= 0</t>
        </is>
      </c>
      <c r="J186" s="110" t="n"/>
      <c r="K186" s="110" t="n"/>
      <c r="L186" s="110" t="n"/>
      <c r="M186" s="110" t="n"/>
      <c r="N186" s="110" t="n"/>
      <c r="S186" s="77" t="inlineStr">
        <is>
          <t>yes</t>
        </is>
      </c>
      <c r="U186" s="287" t="n">
        <v>17</v>
      </c>
      <c r="V186" s="156">
        <f>'Additional information'!$D$18</f>
        <v/>
      </c>
      <c r="W186" s="288">
        <f>IF(U186&lt;&gt;"",U186*V186,"")</f>
        <v/>
      </c>
      <c r="X186" s="288">
        <f>IF(AND(U186&lt;&gt;"",S186="yes"),U186*V186,"")</f>
        <v/>
      </c>
    </row>
    <row r="187" ht="16.2" customFormat="1" customHeight="1" s="77">
      <c r="A187" s="79" t="inlineStr">
        <is>
          <t>select_one landsize_unit</t>
        </is>
      </c>
      <c r="B187" s="79" t="inlineStr">
        <is>
          <t>crp_landsize_unit</t>
        </is>
      </c>
      <c r="C187" s="240" t="inlineStr">
        <is>
          <t xml:space="preserve">Unit of measurement for land size: </t>
        </is>
      </c>
      <c r="D187" s="85" t="n"/>
      <c r="E187" s="79" t="inlineStr">
        <is>
          <t>[INSTRUCTIONS: DO NOT READ QUESTION. SELECT UNIT OF MEASUREMENT IN WHICH LAND SIZE WAS PROVIDED.]</t>
        </is>
      </c>
      <c r="F187" s="94" t="n"/>
      <c r="G187" s="110" t="inlineStr">
        <is>
          <t>true</t>
        </is>
      </c>
      <c r="H187" s="110" t="n"/>
      <c r="I187" s="110" t="n"/>
      <c r="J187" s="110" t="n"/>
      <c r="K187" s="110" t="inlineStr">
        <is>
          <t>${crp_landsize_num} != 888 and ${crp_landsize_num} != 999</t>
        </is>
      </c>
      <c r="L187" s="110" t="n"/>
      <c r="M187" s="110" t="n"/>
      <c r="N187" s="110" t="n"/>
      <c r="S187" s="77" t="inlineStr">
        <is>
          <t>yes</t>
        </is>
      </c>
      <c r="U187" s="287" t="n">
        <v>0</v>
      </c>
      <c r="V187" s="156">
        <f>'Additional information'!$D$18</f>
        <v/>
      </c>
      <c r="W187" s="288">
        <f>IF(U187&lt;&gt;"",U187*V187,"")</f>
        <v/>
      </c>
      <c r="X187" s="288">
        <f>IF(AND(U187&lt;&gt;"",S187="yes"),U187*V187,"")</f>
        <v/>
      </c>
    </row>
    <row r="188" customFormat="1" s="74">
      <c r="C188" s="247" t="n"/>
      <c r="D188" s="85" t="n"/>
      <c r="F188" s="73" t="n"/>
      <c r="G188" s="114" t="n"/>
      <c r="H188" s="114" t="n"/>
      <c r="I188" s="114" t="n"/>
      <c r="J188" s="114" t="n"/>
      <c r="K188" s="114" t="n"/>
      <c r="L188" s="114" t="n"/>
      <c r="M188" s="114" t="n"/>
      <c r="N188" s="114" t="n"/>
      <c r="S188" s="47" t="n"/>
      <c r="U188" s="287" t="n"/>
      <c r="V188" s="156" t="n"/>
      <c r="W188" s="288">
        <f>IF(U188&lt;&gt;"",U188*V188,"")</f>
        <v/>
      </c>
      <c r="X188" s="288">
        <f>IF(AND(U188&lt;&gt;"",S188="yes"),U188*V188,"")</f>
        <v/>
      </c>
      <c r="Y188" s="75" t="n"/>
    </row>
    <row r="189" ht="31.95" customHeight="1">
      <c r="A189" s="76" t="inlineStr">
        <is>
          <t>select_one crop</t>
        </is>
      </c>
      <c r="B189" s="76" t="inlineStr">
        <is>
          <t>crp_main</t>
        </is>
      </c>
      <c r="C189" s="237" t="inlineStr">
        <is>
          <t>What is the main crop that your household grows for food and income generation in spring/ongoing season, if any?</t>
        </is>
      </c>
      <c r="D189" s="85" t="n"/>
      <c r="E189" s="76" t="inlineStr">
        <is>
          <t>[INSTRUCTIONS: SINGLE RESPONSE. "NO CROP PRODUCTION" APPEARS AT THE END OF THE LIST OF OPTIONS.]</t>
        </is>
      </c>
      <c r="F189" s="86" t="n"/>
      <c r="G189" s="108" t="inlineStr">
        <is>
          <t>true</t>
        </is>
      </c>
      <c r="H189" s="108" t="inlineStr">
        <is>
          <t>minimal</t>
        </is>
      </c>
      <c r="I189" s="108" t="n"/>
      <c r="J189" s="108" t="n"/>
      <c r="K189" s="108" t="n"/>
      <c r="L189" s="108" t="n"/>
      <c r="M189" s="108" t="n"/>
      <c r="N189" s="108" t="n"/>
      <c r="S189" s="47" t="inlineStr">
        <is>
          <t>yes</t>
        </is>
      </c>
      <c r="U189" s="287" t="n">
        <v>27.05755233764648</v>
      </c>
      <c r="V189" s="156">
        <f>'Additional information'!$D$18</f>
        <v/>
      </c>
      <c r="W189" s="288">
        <f>IF(U189&lt;&gt;"",U189*V189,"")</f>
        <v/>
      </c>
      <c r="X189" s="288">
        <f>IF(AND(U189&lt;&gt;"",S189="yes"),U189*V189,"")</f>
        <v/>
      </c>
    </row>
    <row r="190">
      <c r="A190" s="76" t="inlineStr">
        <is>
          <t>calculate</t>
        </is>
      </c>
      <c r="B190" s="76" t="inlineStr">
        <is>
          <t>crpmain</t>
        </is>
      </c>
      <c r="C190" s="237" t="n"/>
      <c r="D190" s="85" t="n"/>
      <c r="F190" s="86" t="n"/>
      <c r="G190" s="108" t="n"/>
      <c r="H190" s="108" t="n"/>
      <c r="I190" s="108" t="n"/>
      <c r="J190" s="108" t="n"/>
      <c r="K190" s="108" t="n"/>
      <c r="L190" s="108" t="n"/>
      <c r="M190" s="108" t="n"/>
      <c r="N190" s="108" t="inlineStr">
        <is>
          <t>jr:choice-name(${crp_main},'${crp_main}')</t>
        </is>
      </c>
      <c r="S190" s="47" t="inlineStr">
        <is>
          <t>yes</t>
        </is>
      </c>
      <c r="U190" s="287" t="n"/>
      <c r="V190" s="156">
        <f>'Additional information'!$D$18</f>
        <v/>
      </c>
      <c r="W190" s="288">
        <f>IF(U190&lt;&gt;"",U190*V190,"")</f>
        <v/>
      </c>
      <c r="X190" s="288">
        <f>IF(AND(U190&lt;&gt;"",S190="yes"),U190*V190,"")</f>
        <v/>
      </c>
    </row>
    <row r="191" ht="16.2" customHeight="1">
      <c r="A191" s="76" t="inlineStr">
        <is>
          <t>select_one cropcheck</t>
        </is>
      </c>
      <c r="B191" s="76" t="inlineStr">
        <is>
          <t>crp_main_check</t>
        </is>
      </c>
      <c r="C191" s="237" t="inlineStr">
        <is>
          <t>Why did you not produce any crops in monsoon season?</t>
        </is>
      </c>
      <c r="D191" s="85" t="n"/>
      <c r="E191" s="47" t="inlineStr">
        <is>
          <t>[INSTRUCTIONS: SINGLE RESPONSE.]</t>
        </is>
      </c>
      <c r="F191" s="86" t="n"/>
      <c r="G191" s="108" t="inlineStr">
        <is>
          <t>true</t>
        </is>
      </c>
      <c r="H191" s="108" t="n"/>
      <c r="I191" s="108" t="n"/>
      <c r="J191" s="108" t="n"/>
      <c r="K191" s="108" t="inlineStr">
        <is>
          <t>${crp_main}='777'</t>
        </is>
      </c>
      <c r="L191" s="108" t="n"/>
      <c r="M191" s="108" t="n"/>
      <c r="N191" s="108" t="n"/>
      <c r="S191" s="47" t="inlineStr">
        <is>
          <t>yes</t>
        </is>
      </c>
      <c r="U191" s="287" t="n">
        <v>0</v>
      </c>
      <c r="V191" s="156">
        <f>'Additional information'!$D$18</f>
        <v/>
      </c>
      <c r="W191" s="288">
        <f>IF(U191&lt;&gt;"",U191*V191,"")</f>
        <v/>
      </c>
      <c r="X191" s="288">
        <f>IF(AND(U191&lt;&gt;"",S191="yes"),U191*V191,"")</f>
        <v/>
      </c>
    </row>
    <row r="192" customFormat="1" s="77">
      <c r="C192" s="244" t="n"/>
      <c r="D192" s="85" t="n"/>
      <c r="F192" s="94" t="n"/>
      <c r="G192" s="120" t="n"/>
      <c r="H192" s="120" t="n"/>
      <c r="I192" s="120" t="n"/>
      <c r="J192" s="120" t="n"/>
      <c r="K192" s="120" t="n"/>
      <c r="L192" s="120" t="n"/>
      <c r="M192" s="120" t="n"/>
      <c r="N192" s="120" t="n"/>
      <c r="U192" s="287" t="n"/>
      <c r="V192" s="156" t="n"/>
      <c r="W192" s="288">
        <f>IF(U192&lt;&gt;"",U192*V192,"")</f>
        <v/>
      </c>
      <c r="X192" s="288">
        <f>IF(AND(U192&lt;&gt;"",S192="yes"),U192*V192,"")</f>
        <v/>
      </c>
    </row>
    <row r="193" ht="31.95" customHeight="1">
      <c r="A193" s="76" t="inlineStr">
        <is>
          <t>select_one irrigation</t>
        </is>
      </c>
      <c r="B193" s="76" t="inlineStr">
        <is>
          <t>crp_irrigation</t>
        </is>
      </c>
      <c r="C193" s="248" t="inlineStr">
        <is>
          <t xml:space="preserve">How do you normally access water for ${crpmain}? </t>
        </is>
      </c>
      <c r="D193" s="85" t="n"/>
      <c r="E193" s="47" t="inlineStr">
        <is>
          <t>[INSTRUCTIONS: SINGLE RESPONSE.]</t>
        </is>
      </c>
      <c r="F193" s="86" t="n"/>
      <c r="G193" s="108" t="inlineStr">
        <is>
          <t>true</t>
        </is>
      </c>
      <c r="H193" s="108" t="n"/>
      <c r="I193" s="108" t="n"/>
      <c r="J193" s="108" t="n"/>
      <c r="K193" s="108" t="inlineStr">
        <is>
          <t>${crp_main} != '777' and ${crp_main} != '888' and ${crp_main} != '999'</t>
        </is>
      </c>
      <c r="L193" s="108" t="n"/>
      <c r="M193" s="108" t="n"/>
      <c r="N193" s="108" t="n"/>
      <c r="S193" s="47" t="inlineStr">
        <is>
          <t>yes</t>
        </is>
      </c>
      <c r="U193" s="287" t="n">
        <v>15.95429515838623</v>
      </c>
      <c r="V193" s="156">
        <f>'Additional information'!$D$18</f>
        <v/>
      </c>
      <c r="W193" s="288">
        <f>IF(U193&lt;&gt;"",U193*V193,"")</f>
        <v/>
      </c>
      <c r="X193" s="288">
        <f>IF(AND(U193&lt;&gt;"",S193="yes"),U193*V193,"")</f>
        <v/>
      </c>
    </row>
    <row r="194" ht="15.75" customHeight="1">
      <c r="A194" s="76" t="inlineStr">
        <is>
          <t>text</t>
        </is>
      </c>
      <c r="B194" s="76" t="inlineStr">
        <is>
          <t>crp_irrigation_otherspecify</t>
        </is>
      </c>
      <c r="C194" s="240" t="inlineStr">
        <is>
          <t>If other, specify.</t>
        </is>
      </c>
      <c r="D194" s="85" t="n"/>
      <c r="E194" s="77" t="inlineStr">
        <is>
          <t>[INSTRUCTIONS: RECORD THE OPEN RESPONSE GIVEN IN FEW WORDS. ENTER 888 FOR DON'T KNOW AND 999 FOR REFUSED]</t>
        </is>
      </c>
      <c r="F194" s="86" t="n"/>
      <c r="G194" s="108" t="inlineStr">
        <is>
          <t>true</t>
        </is>
      </c>
      <c r="H194" s="108" t="n"/>
      <c r="I194" s="108" t="n"/>
      <c r="J194" s="108" t="n"/>
      <c r="K194" s="108" t="inlineStr">
        <is>
          <t>selected(${crp_irrigation}, '6') and (${crp_main} != '777' and ${crp_main} != '888' and ${crp_main} != '999')</t>
        </is>
      </c>
      <c r="L194" s="108" t="n"/>
      <c r="M194" s="108" t="n"/>
      <c r="N194" s="108" t="n"/>
      <c r="S194" s="47" t="inlineStr">
        <is>
          <t>yes</t>
        </is>
      </c>
      <c r="U194" s="287" t="n"/>
      <c r="V194" s="156">
        <f>'Additional information'!$D$18</f>
        <v/>
      </c>
      <c r="W194" s="288">
        <f>IF(U194&lt;&gt;"",U194*V194,"")</f>
        <v/>
      </c>
      <c r="X194" s="288">
        <f>IF(AND(U194&lt;&gt;"",S194="yes"),U194*V194,"")</f>
        <v/>
      </c>
    </row>
    <row r="195" ht="15.75" customFormat="1" customHeight="1" s="211">
      <c r="A195" s="211" t="inlineStr">
        <is>
          <t>select_one function</t>
        </is>
      </c>
      <c r="B195" s="211" t="inlineStr">
        <is>
          <t>o_irr_function</t>
        </is>
      </c>
      <c r="C195" s="238" t="inlineStr">
        <is>
          <t>What is the current status of the system?</t>
        </is>
      </c>
      <c r="D195" s="78" t="n"/>
      <c r="F195" s="81" t="n"/>
      <c r="G195" s="109" t="n"/>
      <c r="H195" s="109" t="n"/>
      <c r="I195" s="109" t="n"/>
      <c r="J195" s="109" t="n"/>
      <c r="K195" s="109" t="n"/>
      <c r="L195" s="109" t="n"/>
      <c r="M195" s="109" t="n"/>
      <c r="N195" s="109" t="n"/>
      <c r="U195" s="287" t="n"/>
      <c r="V195" s="156" t="n"/>
      <c r="W195" s="288">
        <f>IF(U195&lt;&gt;"",U195*V195,"")</f>
        <v/>
      </c>
      <c r="X195" s="288">
        <f>IF(AND(U195&lt;&gt;"",S195="yes"),U195*V195,"")</f>
        <v/>
      </c>
      <c r="Y195" s="77" t="n"/>
    </row>
    <row r="196" ht="16.2" customFormat="1" customHeight="1" s="211">
      <c r="A196" s="211" t="inlineStr">
        <is>
          <t xml:space="preserve">select_multiple seedsupply </t>
        </is>
      </c>
      <c r="B196" s="211" t="inlineStr">
        <is>
          <t>crp_seed</t>
        </is>
      </c>
      <c r="C196" s="238" t="inlineStr">
        <is>
          <t xml:space="preserve">Where do you normally procure your seeds? </t>
        </is>
      </c>
      <c r="D196" s="85" t="n"/>
      <c r="E196" s="211" t="inlineStr">
        <is>
          <t>[INSTRUCTIONS: MULTIPLE RESPONSES POSSIBLE.]</t>
        </is>
      </c>
      <c r="F196" s="81" t="n"/>
      <c r="G196" s="109" t="inlineStr">
        <is>
          <t>true</t>
        </is>
      </c>
      <c r="H196" s="109" t="n"/>
      <c r="I196" s="109" t="inlineStr">
        <is>
          <t>if(selected(., 'ref') or selected(., 'dk'), count-selected(.) = 1, count-selected(.) &gt;= 1)</t>
        </is>
      </c>
      <c r="J196" s="109" t="n"/>
      <c r="K196" s="109" t="inlineStr">
        <is>
          <t>${crp_main} != '777' and ${crp_main} != '888' and ${crp_main} != '999'</t>
        </is>
      </c>
      <c r="L196" s="109" t="n"/>
      <c r="M196" s="109" t="n"/>
      <c r="N196" s="109" t="n"/>
      <c r="S196" s="211" t="inlineStr">
        <is>
          <t>no</t>
        </is>
      </c>
      <c r="U196" s="287" t="n">
        <v>17.92890930175781</v>
      </c>
      <c r="V196" s="156">
        <f>'Additional information'!$D$18</f>
        <v/>
      </c>
      <c r="W196" s="288">
        <f>IF(U196&lt;&gt;"",U196*V196,"")</f>
        <v/>
      </c>
      <c r="X196" s="288">
        <f>IF(AND(U196&lt;&gt;"",S196="yes"),U196*V196,"")</f>
        <v/>
      </c>
      <c r="Y196" s="77" t="n"/>
    </row>
    <row r="197" customFormat="1" s="211">
      <c r="C197" s="238" t="n"/>
      <c r="D197" s="78" t="n"/>
      <c r="F197" s="81" t="n"/>
      <c r="G197" s="109" t="n"/>
      <c r="H197" s="109" t="n"/>
      <c r="I197" s="109" t="n"/>
      <c r="J197" s="109" t="n"/>
      <c r="K197" s="109" t="n"/>
      <c r="L197" s="109" t="n"/>
      <c r="M197" s="109" t="n"/>
      <c r="N197" s="109" t="n"/>
      <c r="U197" s="287" t="n"/>
      <c r="V197" s="156" t="n"/>
      <c r="W197" s="288" t="n"/>
      <c r="X197" s="288" t="n"/>
      <c r="Y197" s="77" t="n"/>
    </row>
    <row r="198" ht="31.95" customFormat="1" customHeight="1" s="211">
      <c r="A198" s="201" t="inlineStr">
        <is>
          <t>select_one o_difficulty_seed</t>
        </is>
      </c>
      <c r="B198" s="201" t="inlineStr">
        <is>
          <t>o_difficulty_seed</t>
        </is>
      </c>
      <c r="C198" s="236" t="inlineStr">
        <is>
          <t>Have you been facing any particular difficulty accessing seeds over the past three months?</t>
        </is>
      </c>
      <c r="D198" s="202" t="n"/>
      <c r="F198" s="81" t="n"/>
      <c r="G198" s="109" t="n"/>
      <c r="H198" s="109" t="n"/>
      <c r="I198" s="109" t="n"/>
      <c r="J198" s="109" t="n"/>
      <c r="K198" s="109" t="n"/>
      <c r="L198" s="109" t="n"/>
      <c r="M198" s="109" t="n"/>
      <c r="N198" s="109" t="n"/>
      <c r="U198" s="287" t="n"/>
      <c r="V198" s="156" t="n"/>
      <c r="W198" s="288" t="n"/>
      <c r="X198" s="288" t="n"/>
      <c r="Y198" s="77" t="n"/>
    </row>
    <row r="199" customFormat="1" s="211">
      <c r="A199" s="201" t="inlineStr">
        <is>
          <t>select_one o_difficulty_seed_type</t>
        </is>
      </c>
      <c r="B199" s="201" t="inlineStr">
        <is>
          <t>o_difficulty_seed_type</t>
        </is>
      </c>
      <c r="C199" s="236" t="inlineStr">
        <is>
          <t>What has been the main difficulty in accessing seeds [over the past three months?</t>
        </is>
      </c>
      <c r="D199" s="202" t="n"/>
      <c r="F199" s="81" t="n"/>
      <c r="G199" s="109" t="n"/>
      <c r="H199" s="109" t="n"/>
      <c r="I199" s="109" t="n"/>
      <c r="J199" s="109" t="n"/>
      <c r="K199" s="203" t="inlineStr">
        <is>
          <t>${o_difficulty_seed} = 'yes_difficulties'</t>
        </is>
      </c>
      <c r="L199" s="109" t="n"/>
      <c r="M199" s="109" t="n"/>
      <c r="N199" s="109" t="n"/>
      <c r="U199" s="287" t="n"/>
      <c r="V199" s="156" t="n"/>
      <c r="W199" s="288" t="n"/>
      <c r="X199" s="288" t="n"/>
      <c r="Y199" s="77" t="n"/>
    </row>
    <row r="200" ht="16.2" customFormat="1" customHeight="1" s="211">
      <c r="A200" s="201" t="inlineStr">
        <is>
          <t>text</t>
        </is>
      </c>
      <c r="B200" s="201" t="inlineStr">
        <is>
          <t>o_difficulty_seed_type_other</t>
        </is>
      </c>
      <c r="C200" s="236" t="inlineStr">
        <is>
          <t>Other, Please Specify</t>
        </is>
      </c>
      <c r="D200" s="202" t="n"/>
      <c r="F200" s="81" t="n"/>
      <c r="G200" s="109" t="n"/>
      <c r="H200" s="109" t="n"/>
      <c r="I200" s="109" t="n"/>
      <c r="J200" s="109" t="n"/>
      <c r="K200" s="203" t="inlineStr">
        <is>
          <t>${o_difficulty_seed_type} = 'other'</t>
        </is>
      </c>
      <c r="L200" s="109" t="n"/>
      <c r="M200" s="109" t="n"/>
      <c r="N200" s="109" t="n"/>
      <c r="U200" s="287" t="n"/>
      <c r="V200" s="156" t="n"/>
      <c r="W200" s="288" t="n"/>
      <c r="X200" s="288" t="n"/>
      <c r="Y200" s="77" t="n"/>
    </row>
    <row r="201" customFormat="1" s="211">
      <c r="C201" s="238" t="n"/>
      <c r="D201" s="78" t="n"/>
      <c r="F201" s="81" t="n"/>
      <c r="G201" s="109" t="n"/>
      <c r="H201" s="109" t="n"/>
      <c r="I201" s="109" t="n"/>
      <c r="J201" s="109" t="n"/>
      <c r="K201" s="109" t="n"/>
      <c r="L201" s="109" t="n"/>
      <c r="M201" s="109" t="n"/>
      <c r="N201" s="109" t="n"/>
      <c r="U201" s="287" t="n"/>
      <c r="V201" s="156" t="n"/>
      <c r="W201" s="288">
        <f>IF(U201&lt;&gt;"",U201*V201,"")</f>
        <v/>
      </c>
      <c r="X201" s="288">
        <f>IF(AND(U201&lt;&gt;"",S201="yes"),U201*V201,"")</f>
        <v/>
      </c>
      <c r="Y201" s="77" t="n"/>
    </row>
    <row r="202" ht="31.95" customHeight="1">
      <c r="A202" s="76" t="inlineStr">
        <is>
          <t>select_one change</t>
        </is>
      </c>
      <c r="B202" s="76" t="inlineStr">
        <is>
          <t>crp_area_change</t>
        </is>
      </c>
      <c r="C202" s="237" t="inlineStr">
        <is>
          <t>How did the ***area planted*** for ${crpmain} from spring/ongoing season compare to a normal year?</t>
        </is>
      </c>
      <c r="D202" s="92" t="n"/>
      <c r="E202" s="76" t="inlineStr">
        <is>
          <t>[INSTRUCTIONS: SINGLE RESPONSE.]</t>
        </is>
      </c>
      <c r="F202" s="86" t="n"/>
      <c r="G202" s="108" t="inlineStr">
        <is>
          <t>true</t>
        </is>
      </c>
      <c r="H202" s="108" t="n"/>
      <c r="I202" s="108" t="n"/>
      <c r="J202" s="108" t="n"/>
      <c r="K202" s="110" t="inlineStr">
        <is>
          <t>${crp_main} != '777' and ${crp_main} != '888' and ${crp_main} != '999'</t>
        </is>
      </c>
      <c r="L202" s="108" t="n"/>
      <c r="M202" s="108" t="n"/>
      <c r="N202" s="108" t="n"/>
      <c r="S202" s="47" t="inlineStr">
        <is>
          <t>yes</t>
        </is>
      </c>
      <c r="U202" s="287" t="n">
        <v>25.43687438964844</v>
      </c>
      <c r="V202" s="156">
        <f>'Additional information'!$D$18</f>
        <v/>
      </c>
      <c r="W202" s="288">
        <f>IF(U202&lt;&gt;"",U202*V202,"")</f>
        <v/>
      </c>
      <c r="X202" s="288">
        <f>IF(AND(U202&lt;&gt;"",S202="yes"),U202*V202,"")</f>
        <v/>
      </c>
    </row>
    <row r="203">
      <c r="D203" s="85" t="n"/>
      <c r="F203" s="86" t="n"/>
      <c r="K203" s="120" t="n"/>
      <c r="U203" s="287" t="n"/>
      <c r="W203" s="288">
        <f>IF(U203&lt;&gt;"",U203*V203,"")</f>
        <v/>
      </c>
      <c r="X203" s="288">
        <f>IF(AND(U203&lt;&gt;"",S203="yes"),U203*V203,"")</f>
        <v/>
      </c>
    </row>
    <row r="204">
      <c r="D204" s="85" t="n"/>
      <c r="F204" s="86" t="n"/>
      <c r="U204" s="287" t="n"/>
      <c r="W204" s="288" t="n"/>
      <c r="X204" s="288" t="n"/>
    </row>
    <row r="205" ht="31.95" customHeight="1">
      <c r="A205" s="76" t="inlineStr">
        <is>
          <t>select_one change</t>
        </is>
      </c>
      <c r="B205" s="76" t="inlineStr">
        <is>
          <t>crp_harv_change</t>
        </is>
      </c>
      <c r="C205" s="237" t="inlineStr">
        <is>
          <t xml:space="preserve">How does the  ***harvest*** of ${crpmain} in the spring/ongoing season compare to a normal year? </t>
        </is>
      </c>
      <c r="D205" s="225" t="n"/>
      <c r="E205" s="47" t="inlineStr">
        <is>
          <t>[INSTRUCTIONS: SINGLE RESPONSE.]</t>
        </is>
      </c>
      <c r="F205" s="86" t="n"/>
      <c r="G205" s="108" t="inlineStr">
        <is>
          <t>true</t>
        </is>
      </c>
      <c r="H205" s="108" t="n"/>
      <c r="I205" s="108" t="n"/>
      <c r="J205" s="108" t="n"/>
      <c r="K205" s="110" t="inlineStr">
        <is>
          <t>${crp_main} != '777' and ${crp_main} != '888' and ${crp_main} != '999'</t>
        </is>
      </c>
      <c r="L205" s="108" t="n"/>
      <c r="M205" s="108" t="n"/>
      <c r="N205" s="108" t="n"/>
      <c r="S205" s="47" t="inlineStr">
        <is>
          <t>yes</t>
        </is>
      </c>
      <c r="U205" s="287" t="n">
        <v>19.36494636535645</v>
      </c>
      <c r="V205" s="156">
        <f>'Additional information'!$D$18</f>
        <v/>
      </c>
      <c r="W205" s="288">
        <f>IF(U205&lt;&gt;"",U205*V205,"")</f>
        <v/>
      </c>
      <c r="X205" s="288">
        <f>IF(AND(U205&lt;&gt;"",S205="yes"),U205*V205,"")</f>
        <v/>
      </c>
    </row>
    <row r="206" customFormat="1" s="211">
      <c r="C206" s="238" t="n"/>
      <c r="D206" s="78" t="n"/>
      <c r="F206" s="81" t="n"/>
      <c r="G206" s="109" t="n"/>
      <c r="H206" s="109" t="n"/>
      <c r="I206" s="109" t="n"/>
      <c r="J206" s="109" t="n"/>
      <c r="K206" s="109" t="n"/>
      <c r="L206" s="109" t="n"/>
      <c r="M206" s="109" t="n"/>
      <c r="N206" s="109" t="n"/>
      <c r="U206" s="287" t="n"/>
      <c r="V206" s="156" t="n"/>
      <c r="W206" s="288">
        <f>IF(U206&lt;&gt;"",U206*V206,"")</f>
        <v/>
      </c>
      <c r="X206" s="288">
        <f>IF(AND(U206&lt;&gt;"",S206="yes"),U206*V206,"")</f>
        <v/>
      </c>
      <c r="Y206" s="77" t="n"/>
    </row>
    <row r="207" ht="31.95" customHeight="1">
      <c r="A207" s="76" t="inlineStr">
        <is>
          <t>select_one yes_no</t>
        </is>
      </c>
      <c r="B207" s="76" t="inlineStr">
        <is>
          <t>crp_proddif</t>
        </is>
      </c>
      <c r="C207" s="237" t="inlineStr">
        <is>
          <t>Has your household faced any difficulty ***in terms of crop production*** in spring/ongoing season?</t>
        </is>
      </c>
      <c r="D207" s="85" t="n"/>
      <c r="E207" s="47" t="inlineStr">
        <is>
          <t>[INSTRUCTIONS: SINGLE RESPONSE.]</t>
        </is>
      </c>
      <c r="F207" s="86" t="n"/>
      <c r="G207" s="108" t="inlineStr">
        <is>
          <t>true</t>
        </is>
      </c>
      <c r="H207" s="108" t="n"/>
      <c r="I207" s="108" t="n"/>
      <c r="J207" s="108" t="n"/>
      <c r="K207" s="110" t="inlineStr">
        <is>
          <t>${crp_main} != '888' and ${crp_main} != '999' and ${crp_main_check} != 1</t>
        </is>
      </c>
      <c r="L207" s="108" t="n"/>
      <c r="M207" s="108" t="n"/>
      <c r="N207" s="108" t="n"/>
      <c r="S207" s="47" t="inlineStr">
        <is>
          <t>yes</t>
        </is>
      </c>
      <c r="U207" s="287" t="n">
        <v>13.45886421203613</v>
      </c>
      <c r="V207" s="156">
        <f>'Additional information'!$D$18</f>
        <v/>
      </c>
      <c r="W207" s="288">
        <f>IF(U207&lt;&gt;"",U207*V207,"")</f>
        <v/>
      </c>
      <c r="X207" s="288">
        <f>IF(AND(U207&lt;&gt;"",S207="yes"),U207*V207,"")</f>
        <v/>
      </c>
    </row>
    <row r="208">
      <c r="A208" s="76" t="inlineStr">
        <is>
          <t>select_multiple cropproddiff</t>
        </is>
      </c>
      <c r="B208" s="76" t="inlineStr">
        <is>
          <t>crp_proddif_</t>
        </is>
      </c>
      <c r="C208" s="237" t="inlineStr">
        <is>
          <t>Which difficulties has your household faced with crop production in spring/ongoing season?</t>
        </is>
      </c>
      <c r="D208" s="92" t="n"/>
      <c r="E208" s="47" t="inlineStr">
        <is>
          <t>[INSTRUCTIONS: MULTIPLE RESPONSES POSSIBLE. SELECT OPTION(S) THAT BEST FIT THE INFORMATION PROVIDED BY THE RESPONDENTS.]</t>
        </is>
      </c>
      <c r="F208" s="86" t="n"/>
      <c r="G208" s="108" t="inlineStr">
        <is>
          <t>true</t>
        </is>
      </c>
      <c r="H208" s="108" t="n"/>
      <c r="I208" s="110" t="inlineStr">
        <is>
          <t>if(selected(., 'ref') or selected(., 'dk'), count-selected(.) = 1, count-selected(.) &gt;= 1)</t>
        </is>
      </c>
      <c r="J208" s="108" t="n"/>
      <c r="K208" s="110" t="inlineStr">
        <is>
          <t>${crp_proddif} = '1' and (${crp_main} != '888' and ${crp_main} != '999' and ${crp_main_check} != 1)</t>
        </is>
      </c>
      <c r="L208" s="108" t="n"/>
      <c r="M208" s="108" t="n"/>
      <c r="N208" s="108" t="n"/>
      <c r="S208" s="47" t="inlineStr">
        <is>
          <t>yes</t>
        </is>
      </c>
      <c r="U208" s="287" t="n">
        <v>37.52328872680664</v>
      </c>
      <c r="V208" s="156">
        <f>'Additional information'!$D$18</f>
        <v/>
      </c>
      <c r="W208" s="288">
        <f>IF(U208&lt;&gt;"",U208*V208,"")</f>
        <v/>
      </c>
      <c r="X208" s="288">
        <f>IF(AND(U208&lt;&gt;"",S208="yes"),U208*V208,"")</f>
        <v/>
      </c>
    </row>
    <row r="209">
      <c r="D209" s="85" t="n"/>
      <c r="F209" s="86" t="n"/>
      <c r="K209" s="120" t="n"/>
      <c r="U209" s="287" t="n"/>
      <c r="W209" s="288">
        <f>IF(U209&lt;&gt;"",U209*V209,"")</f>
        <v/>
      </c>
      <c r="X209" s="288">
        <f>IF(AND(U209&lt;&gt;"",S209="yes"),U209*V209,"")</f>
        <v/>
      </c>
    </row>
    <row r="210" ht="16.2" customHeight="1" thickBot="1">
      <c r="A210" s="95" t="inlineStr">
        <is>
          <t>end_group</t>
        </is>
      </c>
      <c r="B210" s="95" t="n"/>
      <c r="C210" s="245" t="n"/>
      <c r="D210" s="101" t="n"/>
      <c r="E210" s="95" t="n"/>
      <c r="F210" s="102" t="n"/>
      <c r="G210" s="121" t="n"/>
      <c r="H210" s="121" t="n"/>
      <c r="I210" s="121" t="n"/>
      <c r="J210" s="121" t="n"/>
      <c r="K210" s="121" t="n"/>
      <c r="L210" s="121" t="n"/>
      <c r="M210" s="121" t="n"/>
      <c r="N210" s="121" t="n"/>
      <c r="U210" s="287" t="n"/>
      <c r="W210" s="288">
        <f>IF(U210&lt;&gt;"",U210*V210,"")</f>
        <v/>
      </c>
      <c r="X210" s="288">
        <f>IF(AND(U210&lt;&gt;"",S210="yes"),U210*V210,"")</f>
        <v/>
      </c>
    </row>
    <row r="211" ht="16.95" customFormat="1" customHeight="1" s="74" thickTop="1">
      <c r="A211" s="71" t="inlineStr">
        <is>
          <t>begin_group</t>
        </is>
      </c>
      <c r="B211" s="71" t="inlineStr">
        <is>
          <t>CropSales_group</t>
        </is>
      </c>
      <c r="C211" s="234" t="inlineStr">
        <is>
          <t>CROP MARKETING</t>
        </is>
      </c>
      <c r="D211" s="226" t="n"/>
      <c r="E211" s="71" t="n"/>
      <c r="F211" s="73" t="n"/>
      <c r="G211" s="113" t="inlineStr">
        <is>
          <t>false</t>
        </is>
      </c>
      <c r="H211" s="113" t="n"/>
      <c r="I211" s="113" t="n"/>
      <c r="J211" s="113" t="n"/>
      <c r="K211" s="113" t="inlineStr">
        <is>
          <t>${resp_agree} = '1' and (${income_main}='1' or ${income_sec}='1' or ${income_third}='1' or ${income_main}='2' or ${income_sec}='2' or ${income_third}='2' or ${income_main}='3' or ${income_sec}='3' or ${income_third}='3')</t>
        </is>
      </c>
      <c r="L211" s="113" t="n"/>
      <c r="M211" s="113" t="n"/>
      <c r="N211" s="113" t="n"/>
      <c r="S211" s="47" t="inlineStr">
        <is>
          <t>yes</t>
        </is>
      </c>
      <c r="U211" s="287" t="n"/>
      <c r="V211" s="156" t="n"/>
      <c r="W211" s="288">
        <f>IF(U211&lt;&gt;"",U211*V211,"")</f>
        <v/>
      </c>
      <c r="X211" s="288">
        <f>IF(AND(U211&lt;&gt;"",S211="yes"),U211*V211,"")</f>
        <v/>
      </c>
      <c r="Y211" s="75" t="n"/>
    </row>
    <row r="212" ht="16.2" customHeight="1">
      <c r="A212" s="76" t="inlineStr">
        <is>
          <t>select_one yes_no</t>
        </is>
      </c>
      <c r="B212" s="76" t="inlineStr">
        <is>
          <t>crp_sales_main_1</t>
        </is>
      </c>
      <c r="C212" s="240" t="inlineStr">
        <is>
          <t xml:space="preserve">Is ${crpmain} the main crop that you have sold over the *last 3 months*? </t>
        </is>
      </c>
      <c r="D212" s="85" t="n"/>
      <c r="E212" s="47" t="inlineStr">
        <is>
          <t>[INSTRUCTIONS: SINGLE RESPONSE.]</t>
        </is>
      </c>
      <c r="F212" s="86" t="n"/>
      <c r="G212" s="110" t="inlineStr">
        <is>
          <t>true</t>
        </is>
      </c>
      <c r="H212" s="110" t="n"/>
      <c r="I212" s="110" t="n"/>
      <c r="J212" s="110" t="n"/>
      <c r="K212" s="110" t="n"/>
      <c r="L212" s="79" t="n"/>
      <c r="M212" s="110" t="n"/>
      <c r="N212" s="110" t="n"/>
      <c r="S212" s="47" t="inlineStr">
        <is>
          <t>yes</t>
        </is>
      </c>
      <c r="U212" s="287" t="n">
        <v>13.55</v>
      </c>
      <c r="V212" s="156">
        <f>'Additional information'!$D$18</f>
        <v/>
      </c>
      <c r="W212" s="288">
        <f>IF(U212&lt;&gt;"",U212*V212,"")</f>
        <v/>
      </c>
      <c r="X212" s="288" t="n"/>
    </row>
    <row r="213" ht="16.2" customHeight="1">
      <c r="A213" s="76" t="inlineStr">
        <is>
          <t>select_one crop3</t>
        </is>
      </c>
      <c r="B213" s="76" t="inlineStr">
        <is>
          <t>crp_sales_main_2</t>
        </is>
      </c>
      <c r="C213" s="237" t="inlineStr">
        <is>
          <t>What has been the main crop that you have sold over the *last 3 months*?</t>
        </is>
      </c>
      <c r="D213" s="92" t="n"/>
      <c r="E213" s="47" t="inlineStr">
        <is>
          <t>[INSTRUCTIONS: SINGLE RESPONSE.]</t>
        </is>
      </c>
      <c r="F213" s="86" t="n"/>
      <c r="G213" s="110" t="inlineStr">
        <is>
          <t>true</t>
        </is>
      </c>
      <c r="H213" s="110" t="n"/>
      <c r="I213" s="110" t="n"/>
      <c r="J213" s="110" t="n"/>
      <c r="K213" s="110" t="inlineStr">
        <is>
          <t>${crp_sales_main_1}='2'</t>
        </is>
      </c>
      <c r="L213" s="110" t="inlineStr">
        <is>
          <t>not(selected(${crp_main}, name))</t>
        </is>
      </c>
      <c r="M213" s="110" t="n"/>
      <c r="N213" s="110" t="n"/>
      <c r="S213" s="47" t="inlineStr">
        <is>
          <t>yes</t>
        </is>
      </c>
      <c r="U213" s="287" t="n">
        <v>13.55</v>
      </c>
      <c r="V213" s="156">
        <f>'Additional information'!$D$18</f>
        <v/>
      </c>
      <c r="W213" s="288">
        <f>IF(U213&lt;&gt;"",U213*V213,"")</f>
        <v/>
      </c>
      <c r="X213" s="288" t="n"/>
    </row>
    <row r="214">
      <c r="A214" s="76" t="inlineStr">
        <is>
          <t>calculate</t>
        </is>
      </c>
      <c r="B214" s="76" t="inlineStr">
        <is>
          <t>crp_salesmain</t>
        </is>
      </c>
      <c r="C214" s="237" t="n"/>
      <c r="D214" s="92" t="n"/>
      <c r="F214" s="86" t="n"/>
      <c r="G214" s="110" t="n"/>
      <c r="H214" s="110" t="n"/>
      <c r="I214" s="110" t="n"/>
      <c r="J214" s="110" t="n"/>
      <c r="K214" s="110" t="n"/>
      <c r="L214" s="110" t="n"/>
      <c r="M214" s="110" t="n"/>
      <c r="N214" s="110" t="inlineStr">
        <is>
          <t>if(${crp_sales_main_1}='1',${crp_main},${crp_sales_main_2})</t>
        </is>
      </c>
      <c r="S214" s="47" t="inlineStr">
        <is>
          <t>yes</t>
        </is>
      </c>
      <c r="U214" s="287" t="n"/>
      <c r="V214" s="156">
        <f>'Additional information'!$D$18</f>
        <v/>
      </c>
      <c r="W214" s="288" t="n"/>
      <c r="X214" s="288" t="n"/>
    </row>
    <row r="215">
      <c r="A215" s="76" t="inlineStr">
        <is>
          <t>calculate</t>
        </is>
      </c>
      <c r="B215" s="76" t="inlineStr">
        <is>
          <t>crp_sales_main</t>
        </is>
      </c>
      <c r="C215" s="237" t="n"/>
      <c r="D215" s="92" t="n"/>
      <c r="F215" s="86" t="n"/>
      <c r="G215" s="110" t="n"/>
      <c r="H215" s="110" t="n"/>
      <c r="I215" s="110" t="n"/>
      <c r="J215" s="110" t="n"/>
      <c r="K215" s="110" t="n"/>
      <c r="L215" s="110" t="n"/>
      <c r="M215" s="110" t="n"/>
      <c r="N215" s="110" t="inlineStr">
        <is>
          <t>if(${crp_sales_main_1}='1',${crpmain},jr:choice-name(${crp_sales_main_2},'${crp_sales_main_2}'))</t>
        </is>
      </c>
      <c r="S215" s="47" t="inlineStr">
        <is>
          <t>yes</t>
        </is>
      </c>
      <c r="U215" s="287" t="n"/>
      <c r="V215" s="156">
        <f>'Additional information'!$D$18</f>
        <v/>
      </c>
      <c r="W215" s="288" t="n"/>
      <c r="X215" s="288" t="n"/>
    </row>
    <row r="216">
      <c r="D216" s="92" t="n"/>
      <c r="F216" s="86" t="n"/>
      <c r="U216" s="287" t="n"/>
      <c r="W216" s="288" t="n"/>
      <c r="X216" s="288" t="n"/>
    </row>
    <row r="217" ht="31.95" customHeight="1">
      <c r="A217" s="76" t="inlineStr">
        <is>
          <t>select_one yes_no</t>
        </is>
      </c>
      <c r="B217" s="76" t="inlineStr">
        <is>
          <t>crp_salesdif</t>
        </is>
      </c>
      <c r="C217" s="237" t="inlineStr">
        <is>
          <t>Has your household faced any difficulty in the *last 3 months* in **selling** your ${crp_sales_main}?</t>
        </is>
      </c>
      <c r="D217" s="92" t="n"/>
      <c r="E217" s="93" t="inlineStr">
        <is>
          <t>[INSTRUCTIONS: SINGLE RESPONSE.]</t>
        </is>
      </c>
      <c r="F217" s="97" t="n"/>
      <c r="G217" s="108" t="inlineStr">
        <is>
          <t>true</t>
        </is>
      </c>
      <c r="H217" s="108" t="n"/>
      <c r="I217" s="108" t="n"/>
      <c r="J217" s="108" t="n"/>
      <c r="K217" s="108" t="n"/>
      <c r="L217" s="108" t="n"/>
      <c r="M217" s="108" t="n"/>
      <c r="N217" s="108" t="n"/>
      <c r="S217" s="47" t="inlineStr">
        <is>
          <t>yes</t>
        </is>
      </c>
      <c r="U217" s="287" t="n">
        <v>12.68148708343506</v>
      </c>
      <c r="V217" s="156">
        <f>'Additional information'!$D$18</f>
        <v/>
      </c>
      <c r="W217" s="288">
        <f>IF(U217&lt;&gt;"",U217*V217,"")</f>
        <v/>
      </c>
      <c r="X217" s="288">
        <f>IF(AND(U217&lt;&gt;"",S217="yes"),U217*V217,"")</f>
        <v/>
      </c>
    </row>
    <row r="218" ht="31.95" customHeight="1">
      <c r="A218" s="76" t="inlineStr">
        <is>
          <t>select_multiple cropsalesdiff</t>
        </is>
      </c>
      <c r="B218" s="76" t="inlineStr">
        <is>
          <t>crp_saledif</t>
        </is>
      </c>
      <c r="C218" s="240" t="inlineStr">
        <is>
          <t xml:space="preserve">Which difficulties has your household faced in the last 3 months when selling your ${crp_sales_main}? </t>
        </is>
      </c>
      <c r="D218" s="92" t="n"/>
      <c r="E218" s="47" t="inlineStr">
        <is>
          <t>[INSTRUCTIONS: MULTIPLE RESPONSES POSSIBLE. SELECT OPTION(S) THAT BEST FIT THE INFORMATION PROVIDED BY THE RESPONDENTS.]</t>
        </is>
      </c>
      <c r="F218" s="86" t="n"/>
      <c r="G218" s="108" t="inlineStr">
        <is>
          <t>true</t>
        </is>
      </c>
      <c r="H218" s="108" t="n"/>
      <c r="I218" s="110" t="inlineStr">
        <is>
          <t>if(selected(., 'dk') or selected(., 'ref'), count-selected(.) = 1, count-selected(.) &gt;= 1)</t>
        </is>
      </c>
      <c r="J218" s="108" t="n"/>
      <c r="K218" s="110" t="inlineStr">
        <is>
          <t xml:space="preserve">${crp_salesdif} = '1' </t>
        </is>
      </c>
      <c r="L218" s="108" t="n"/>
      <c r="M218" s="108" t="n"/>
      <c r="N218" s="108" t="n"/>
      <c r="S218" s="47" t="inlineStr">
        <is>
          <t>yes</t>
        </is>
      </c>
      <c r="U218" s="287" t="n">
        <v>22.61360931396484</v>
      </c>
      <c r="V218" s="156">
        <f>'Additional information'!$D$18</f>
        <v/>
      </c>
      <c r="W218" s="288">
        <f>IF(U218&lt;&gt;"",U218*V218,"")</f>
        <v/>
      </c>
      <c r="X218" s="288">
        <f>IF(AND(U218&lt;&gt;"",S218="yes"),U218*V218,"")</f>
        <v/>
      </c>
    </row>
    <row r="219">
      <c r="D219" s="92" t="n"/>
      <c r="F219" s="86" t="n"/>
      <c r="K219" s="120" t="n"/>
      <c r="U219" s="287" t="n"/>
      <c r="W219" s="288">
        <f>IF(U219&lt;&gt;"",U219*V219,"")</f>
        <v/>
      </c>
      <c r="X219" s="288">
        <f>IF(AND(U219&lt;&gt;"",S219="yes"),U219*V219,"")</f>
        <v/>
      </c>
    </row>
    <row r="220" ht="31.95" customHeight="1">
      <c r="A220" s="76" t="inlineStr">
        <is>
          <t>select_one change</t>
        </is>
      </c>
      <c r="B220" s="76" t="inlineStr">
        <is>
          <t>crp_salesprice</t>
        </is>
      </c>
      <c r="C220" s="240" t="inlineStr">
        <is>
          <t>How does the current price of your household's ${crp_sales_main} compare to the average price in the same period of a normal year?</t>
        </is>
      </c>
      <c r="D220" s="92" t="n"/>
      <c r="E220" s="98" t="inlineStr">
        <is>
          <t>[INSTRUCTIONS: SINGLE RESPONSE. INSIST ON THE MAIN PRODUCT MENTIONED.]</t>
        </is>
      </c>
      <c r="F220" s="97" t="n"/>
      <c r="G220" s="108" t="inlineStr">
        <is>
          <t>true</t>
        </is>
      </c>
      <c r="H220" s="108" t="n"/>
      <c r="I220" s="108" t="n"/>
      <c r="J220" s="108" t="n"/>
      <c r="K220" s="110" t="n"/>
      <c r="L220" s="108" t="n"/>
      <c r="M220" s="108" t="n"/>
      <c r="N220" s="108" t="n"/>
      <c r="S220" s="47" t="inlineStr">
        <is>
          <t>yes</t>
        </is>
      </c>
      <c r="U220" s="287" t="n">
        <v>21.70190811157227</v>
      </c>
      <c r="V220" s="156">
        <f>'Additional information'!$D$18</f>
        <v/>
      </c>
      <c r="W220" s="288">
        <f>IF(U220&lt;&gt;"",U220*V220,"")</f>
        <v/>
      </c>
      <c r="X220" s="288">
        <f>IF(AND(U220&lt;&gt;"",S220="yes"),U220*V220,"")</f>
        <v/>
      </c>
    </row>
    <row r="221">
      <c r="C221" s="244" t="n"/>
      <c r="D221" s="92" t="n"/>
      <c r="E221" s="93" t="n"/>
      <c r="F221" s="97" t="n"/>
      <c r="K221" s="120" t="n"/>
      <c r="U221" s="287" t="n"/>
      <c r="W221" s="288">
        <f>IF(U221&lt;&gt;"",U221*V221,"")</f>
        <v/>
      </c>
      <c r="X221" s="288">
        <f>IF(AND(U221&lt;&gt;"",S221="yes"),U221*V221,"")</f>
        <v/>
      </c>
    </row>
    <row r="222" ht="16.2" customHeight="1" thickBot="1">
      <c r="A222" s="95" t="inlineStr">
        <is>
          <t>end_group</t>
        </is>
      </c>
      <c r="B222" s="95" t="n"/>
      <c r="C222" s="245" t="n"/>
      <c r="D222" s="101" t="n"/>
      <c r="E222" s="95" t="n"/>
      <c r="F222" s="102" t="n"/>
      <c r="G222" s="121" t="n"/>
      <c r="H222" s="121" t="n"/>
      <c r="I222" s="121" t="n"/>
      <c r="J222" s="121" t="n"/>
      <c r="K222" s="121" t="n"/>
      <c r="L222" s="121" t="n"/>
      <c r="M222" s="121" t="n"/>
      <c r="N222" s="121" t="n"/>
      <c r="U222" s="287" t="n"/>
      <c r="W222" s="288">
        <f>IF(U222&lt;&gt;"",U222*V222,"")</f>
        <v/>
      </c>
      <c r="X222" s="288">
        <f>IF(AND(U222&lt;&gt;"",S222="yes"),U222*V222,"")</f>
        <v/>
      </c>
    </row>
    <row r="223" ht="16.95" customFormat="1" customHeight="1" s="74" thickTop="1">
      <c r="A223" s="71" t="inlineStr">
        <is>
          <t>begin_group</t>
        </is>
      </c>
      <c r="B223" s="71" t="inlineStr">
        <is>
          <t>Livestock_group</t>
        </is>
      </c>
      <c r="C223" s="234" t="inlineStr">
        <is>
          <t>LIVESTOCK PRODUCTION</t>
        </is>
      </c>
      <c r="D223" s="226" t="n"/>
      <c r="E223" s="71" t="n"/>
      <c r="F223" s="73" t="n"/>
      <c r="G223" s="113" t="inlineStr">
        <is>
          <t>false</t>
        </is>
      </c>
      <c r="H223" s="113" t="n"/>
      <c r="I223" s="113" t="n"/>
      <c r="J223" s="113" t="n"/>
      <c r="K223" s="113" t="inlineStr">
        <is>
          <t>${resp_agree} = '1' and (${hh_agricactivity}='2' or ${hh_agricactivity} = '3' or ${income_main_lscheck}='1' or ${income_sec_lscheck}='1' or ${income_third_lscheck}='1')</t>
        </is>
      </c>
      <c r="L223" s="113" t="n"/>
      <c r="M223" s="113" t="n"/>
      <c r="N223" s="113" t="n"/>
      <c r="S223" s="47" t="inlineStr">
        <is>
          <t>yes</t>
        </is>
      </c>
      <c r="U223" s="287" t="n"/>
      <c r="V223" s="75" t="n"/>
      <c r="W223" s="288">
        <f>IF(U223&lt;&gt;"",U223*V223,"")</f>
        <v/>
      </c>
      <c r="X223" s="288">
        <f>IF(AND(U223&lt;&gt;"",S223="yes"),U223*V223,"")</f>
        <v/>
      </c>
      <c r="Y223" s="75" t="n"/>
    </row>
    <row r="224" ht="31.95" customHeight="1">
      <c r="A224" s="76" t="inlineStr">
        <is>
          <t>note</t>
        </is>
      </c>
      <c r="B224" s="76" t="inlineStr">
        <is>
          <t>ls_intro</t>
        </is>
      </c>
      <c r="C224" s="237" t="inlineStr">
        <is>
          <t xml:space="preserve">We will now ask you some questions about livestock production which apply to you and anyone in your household that is involved in livestock production or sales. </t>
        </is>
      </c>
      <c r="D224" s="92" t="n"/>
      <c r="E224" s="76" t="n"/>
      <c r="F224" s="86" t="n"/>
      <c r="G224" s="108" t="n"/>
      <c r="H224" s="108" t="n"/>
      <c r="I224" s="108" t="n"/>
      <c r="J224" s="108" t="n"/>
      <c r="K224" s="108" t="n"/>
      <c r="L224" s="108" t="n"/>
      <c r="M224" s="108" t="n"/>
      <c r="N224" s="108" t="n"/>
      <c r="S224" s="47" t="inlineStr">
        <is>
          <t>yes</t>
        </is>
      </c>
      <c r="U224" s="287" t="n">
        <v>7.5</v>
      </c>
      <c r="V224" s="293">
        <f>'Additional information'!$D$19</f>
        <v/>
      </c>
      <c r="W224" s="288">
        <f>IF(U224&lt;&gt;"",U224*V224,"")</f>
        <v/>
      </c>
      <c r="X224" s="288">
        <f>IF(AND(U224&lt;&gt;"",S224="yes"),U224*V224,"")</f>
        <v/>
      </c>
    </row>
    <row r="225" customFormat="1" s="74">
      <c r="C225" s="247" t="n"/>
      <c r="D225" s="72" t="n"/>
      <c r="F225" s="73" t="n"/>
      <c r="G225" s="114" t="n"/>
      <c r="H225" s="114" t="n"/>
      <c r="I225" s="114" t="n"/>
      <c r="J225" s="114" t="n"/>
      <c r="K225" s="114" t="n"/>
      <c r="L225" s="114" t="n"/>
      <c r="M225" s="114" t="n"/>
      <c r="N225" s="114" t="n"/>
      <c r="S225" s="47" t="n"/>
      <c r="U225" s="287" t="n"/>
      <c r="V225" s="293" t="n"/>
      <c r="W225" s="288">
        <f>IF(U225&lt;&gt;"",U225*V225,"")</f>
        <v/>
      </c>
      <c r="X225" s="288">
        <f>IF(AND(U225&lt;&gt;"",S225="yes"),U225*V225,"")</f>
        <v/>
      </c>
      <c r="Y225" s="75" t="n"/>
    </row>
    <row r="226" ht="31.95" customHeight="1">
      <c r="A226" s="76" t="inlineStr">
        <is>
          <t>select_one lsmain</t>
        </is>
      </c>
      <c r="B226" s="76" t="inlineStr">
        <is>
          <t>ls_main</t>
        </is>
      </c>
      <c r="C226" s="237" t="inlineStr">
        <is>
          <t>What has been the main animal your household raised for food and income generation in the last 12 months?</t>
        </is>
      </c>
      <c r="D226" s="92" t="n"/>
      <c r="E226" s="47" t="inlineStr">
        <is>
          <t>[INSTRUCTIONS: SINGLE RESPONSE. ASK ABOUT THE MOST IMPORTANT ANIMAL ONLY.] [HINT: DON'T FORGET TO PROBE ABOUT TRANSHUMANCE - MOVING LIVESTOCK FROM ONE GRAZING GROUND TO ANOTHER.]</t>
        </is>
      </c>
      <c r="F226" s="86" t="n"/>
      <c r="G226" s="108" t="inlineStr">
        <is>
          <t>true</t>
        </is>
      </c>
      <c r="H226" s="108" t="inlineStr">
        <is>
          <t>minimal</t>
        </is>
      </c>
      <c r="I226" s="108" t="n"/>
      <c r="J226" s="108" t="n"/>
      <c r="K226" s="108" t="n"/>
      <c r="L226" s="108" t="n"/>
      <c r="M226" s="108" t="n"/>
      <c r="N226" s="108" t="n"/>
      <c r="S226" s="47" t="inlineStr">
        <is>
          <t>yes</t>
        </is>
      </c>
      <c r="U226" s="287" t="n">
        <v>20.2944221496582</v>
      </c>
      <c r="V226" s="293">
        <f>'Additional information'!$D$19</f>
        <v/>
      </c>
      <c r="W226" s="288">
        <f>IF(U226&lt;&gt;"",U226*V226,"")</f>
        <v/>
      </c>
      <c r="X226" s="288">
        <f>IF(AND(U226&lt;&gt;"",S226="yes"),U226*V226,"")</f>
        <v/>
      </c>
    </row>
    <row r="227">
      <c r="A227" s="76" t="inlineStr">
        <is>
          <t>calculate</t>
        </is>
      </c>
      <c r="B227" s="76" t="inlineStr">
        <is>
          <t>lsmain</t>
        </is>
      </c>
      <c r="C227" s="237" t="n"/>
      <c r="D227" s="85" t="n"/>
      <c r="F227" s="86" t="n"/>
      <c r="G227" s="108" t="n"/>
      <c r="H227" s="108" t="n"/>
      <c r="I227" s="108" t="n"/>
      <c r="J227" s="108" t="n"/>
      <c r="K227" s="108" t="n"/>
      <c r="L227" s="108" t="n"/>
      <c r="M227" s="108" t="n"/>
      <c r="N227" s="108" t="inlineStr">
        <is>
          <t>jr:choice-name(${ls_main},'${ls_main}')</t>
        </is>
      </c>
      <c r="S227" s="47" t="inlineStr">
        <is>
          <t>yes</t>
        </is>
      </c>
      <c r="U227" s="287" t="n"/>
      <c r="V227" s="293">
        <f>'Additional information'!$D$19</f>
        <v/>
      </c>
      <c r="W227" s="288">
        <f>IF(U227&lt;&gt;"",U227*V227,"")</f>
        <v/>
      </c>
      <c r="X227" s="288">
        <f>IF(AND(U227&lt;&gt;"",S227="yes"),U227*V227,"")</f>
        <v/>
      </c>
    </row>
    <row r="228">
      <c r="D228" s="85" t="n"/>
      <c r="F228" s="86" t="n"/>
      <c r="K228" s="120" t="n"/>
      <c r="U228" s="287" t="n"/>
      <c r="V228" s="293" t="n"/>
      <c r="W228" s="288">
        <f>IF(U228&lt;&gt;"",U228*V228,"")</f>
        <v/>
      </c>
      <c r="X228" s="288">
        <f>IF(AND(U228&lt;&gt;"",S228="yes"),U228*V228,"")</f>
        <v/>
      </c>
    </row>
    <row r="229" ht="16.2" customHeight="1">
      <c r="A229" s="76" t="inlineStr">
        <is>
          <t>integer</t>
        </is>
      </c>
      <c r="B229" s="76" t="inlineStr">
        <is>
          <t>ls_num_lastyr</t>
        </is>
      </c>
      <c r="C229" s="237" t="inlineStr">
        <is>
          <t>How many ${lsmain} did you have at the same time last year?</t>
        </is>
      </c>
      <c r="D229" s="92" t="n"/>
      <c r="E229" s="76" t="inlineStr">
        <is>
          <t>[INSTRUCTIONS: RECORD THE NUMBER OF ANIMALS. ENTER 888 FOR DON'T KNOW AND 999 FOR REFUSED.]</t>
        </is>
      </c>
      <c r="F229" s="86" t="n"/>
      <c r="G229" s="108" t="inlineStr">
        <is>
          <t>true</t>
        </is>
      </c>
      <c r="H229" s="108" t="n"/>
      <c r="I229" s="108" t="inlineStr">
        <is>
          <t xml:space="preserve">. &gt;= 0 </t>
        </is>
      </c>
      <c r="J229" s="108" t="n"/>
      <c r="K229" s="108" t="inlineStr">
        <is>
          <t>${ls_main} != '10' or ${ls_main} != '11'</t>
        </is>
      </c>
      <c r="L229" s="108" t="n"/>
      <c r="M229" s="108" t="n"/>
      <c r="N229" s="108" t="n"/>
      <c r="S229" s="47" t="inlineStr">
        <is>
          <t>yes</t>
        </is>
      </c>
      <c r="U229" s="287" t="n">
        <v>18.53907775878906</v>
      </c>
      <c r="V229" s="293">
        <f>'Additional information'!$D$19</f>
        <v/>
      </c>
      <c r="W229" s="288">
        <f>IF(U229&lt;&gt;"",U229*V229,"")</f>
        <v/>
      </c>
      <c r="X229" s="288">
        <f>IF(AND(U229&lt;&gt;"",S229="yes"),U229*V229,"")</f>
        <v/>
      </c>
    </row>
    <row r="230" ht="16.2" customHeight="1">
      <c r="A230" s="76" t="inlineStr">
        <is>
          <t>integer</t>
        </is>
      </c>
      <c r="B230" s="76" t="inlineStr">
        <is>
          <t>ls_num_now</t>
        </is>
      </c>
      <c r="C230" s="237" t="inlineStr">
        <is>
          <t>How many ${lsmain} do you have now?</t>
        </is>
      </c>
      <c r="D230" s="92" t="n"/>
      <c r="E230" s="76" t="inlineStr">
        <is>
          <t>[INSTRUCTIONS: RECORD THE NUMBER OF ANIMALS. ENTER 888 FOR DON'T KNOW AND 999 FOR REFUSED.]</t>
        </is>
      </c>
      <c r="F230" s="86" t="n"/>
      <c r="G230" s="108" t="inlineStr">
        <is>
          <t>true</t>
        </is>
      </c>
      <c r="H230" s="108" t="n"/>
      <c r="I230" s="108" t="inlineStr">
        <is>
          <t xml:space="preserve">. &gt;= 0 </t>
        </is>
      </c>
      <c r="J230" s="108" t="n"/>
      <c r="K230" s="108" t="inlineStr">
        <is>
          <t>${ls_main} != '10' or ${ls_main} != '11'</t>
        </is>
      </c>
      <c r="L230" s="108" t="n"/>
      <c r="M230" s="108" t="n"/>
      <c r="N230" s="108" t="n"/>
      <c r="S230" s="47" t="inlineStr">
        <is>
          <t>yes</t>
        </is>
      </c>
      <c r="U230" s="287" t="n">
        <v>8.915891647338867</v>
      </c>
      <c r="V230" s="293">
        <f>'Additional information'!$D$19</f>
        <v/>
      </c>
      <c r="W230" s="288">
        <f>IF(U230&lt;&gt;"",U230*V230,"")</f>
        <v/>
      </c>
      <c r="X230" s="288">
        <f>IF(AND(U230&lt;&gt;"",S230="yes"),U230*V230,"")</f>
        <v/>
      </c>
    </row>
    <row r="231" ht="16.2" customHeight="1">
      <c r="A231" s="76" t="inlineStr">
        <is>
          <t>calculate</t>
        </is>
      </c>
      <c r="B231" s="76" t="inlineStr">
        <is>
          <t>ls_num_diff</t>
        </is>
      </c>
      <c r="C231" s="237" t="inlineStr">
        <is>
          <t xml:space="preserve">Change in ${lsmain}: </t>
        </is>
      </c>
      <c r="D231" s="92" t="n"/>
      <c r="E231" s="76" t="n"/>
      <c r="F231" s="86" t="n"/>
      <c r="G231" s="108" t="inlineStr">
        <is>
          <t>true</t>
        </is>
      </c>
      <c r="H231" s="108" t="n"/>
      <c r="I231" s="108" t="n"/>
      <c r="J231" s="108" t="n"/>
      <c r="K231" s="108" t="inlineStr">
        <is>
          <t>(${ls_main} != '10' or ${ls_main} != '11') and (${ls_num_lastyr} != '888' and ${ls_num_lastyr} != '999' and ${ls_num_now} != '888' and ${ls_num_now} != '999')</t>
        </is>
      </c>
      <c r="L231" s="108" t="n"/>
      <c r="M231" s="108" t="n"/>
      <c r="N231" s="108" t="inlineStr">
        <is>
          <t>${ls_num_now} - ${ls_num_lastyr}</t>
        </is>
      </c>
      <c r="S231" s="47" t="inlineStr">
        <is>
          <t>yes</t>
        </is>
      </c>
      <c r="U231" s="287" t="n"/>
      <c r="V231" s="293">
        <f>'Additional information'!$D$19</f>
        <v/>
      </c>
      <c r="W231" s="288">
        <f>IF(U231&lt;&gt;"",U231*V231,"")</f>
        <v/>
      </c>
      <c r="X231" s="288">
        <f>IF(AND(U231&lt;&gt;"",S231="yes"),U231*V231,"")</f>
        <v/>
      </c>
    </row>
    <row r="232">
      <c r="D232" s="85" t="n"/>
      <c r="F232" s="86" t="n"/>
      <c r="U232" s="287" t="n"/>
      <c r="V232" s="293" t="n"/>
      <c r="W232" s="288">
        <f>IF(U232&lt;&gt;"",U232*V232,"")</f>
        <v/>
      </c>
      <c r="X232" s="288">
        <f>IF(AND(U232&lt;&gt;"",S232="yes"),U232*V232,"")</f>
        <v/>
      </c>
    </row>
    <row r="233" ht="16.2" customHeight="1">
      <c r="A233" s="76" t="inlineStr">
        <is>
          <t>select_multiple lsnum</t>
        </is>
      </c>
      <c r="B233" s="76" t="inlineStr">
        <is>
          <t>ls_num</t>
        </is>
      </c>
      <c r="C233" s="237" t="inlineStr">
        <is>
          <t>Why did the number of livestock change?</t>
        </is>
      </c>
      <c r="D233" s="92" t="n"/>
      <c r="E233" s="47" t="inlineStr">
        <is>
          <t>[INSTRUCTIONS: MULTIPLE RESPONSES POSSIBLE.]</t>
        </is>
      </c>
      <c r="F233" s="86" t="n"/>
      <c r="G233" s="108" t="inlineStr">
        <is>
          <t>true</t>
        </is>
      </c>
      <c r="H233" s="108" t="n"/>
      <c r="I233" s="108" t="inlineStr">
        <is>
          <t>if(selected(., 'inc_dec_dk') or selected(., 'inc_dec_ref'), count-selected(.) = 1, count-selected(.) &gt;= 1)</t>
        </is>
      </c>
      <c r="J233" s="108" t="n"/>
      <c r="K233" s="108" t="inlineStr">
        <is>
          <t>${ls_main} != '10' or ${ls_main} != '11'</t>
        </is>
      </c>
      <c r="L233" s="108" t="n"/>
      <c r="M233" s="108" t="n"/>
      <c r="N233" s="108" t="n"/>
      <c r="S233" s="47" t="inlineStr">
        <is>
          <t>yes</t>
        </is>
      </c>
      <c r="U233" s="287" t="n">
        <v>25.81001091003418</v>
      </c>
      <c r="V233" s="293">
        <f>'Additional information'!$D$19</f>
        <v/>
      </c>
      <c r="W233" s="288">
        <f>IF(U233&lt;&gt;"",U233*V233,"")</f>
        <v/>
      </c>
      <c r="X233" s="288">
        <f>IF(AND(U233&lt;&gt;"",S233="yes"),U233*V233,"")</f>
        <v/>
      </c>
    </row>
    <row r="234">
      <c r="D234" s="85" t="n"/>
      <c r="F234" s="86" t="n"/>
      <c r="K234" s="120" t="n"/>
      <c r="U234" s="287" t="n"/>
      <c r="V234" s="293" t="n"/>
      <c r="W234" s="288">
        <f>IF(U234&lt;&gt;"",U234*V234,"")</f>
        <v/>
      </c>
      <c r="X234" s="288">
        <f>IF(AND(U234&lt;&gt;"",S234="yes"),U234*V234,"")</f>
        <v/>
      </c>
    </row>
    <row r="235" ht="16.2" customFormat="1" customHeight="1" s="211">
      <c r="A235" s="211" t="inlineStr">
        <is>
          <t>select_multiple lsfood</t>
        </is>
      </c>
      <c r="B235" s="211" t="inlineStr">
        <is>
          <t>ls_food_supply</t>
        </is>
      </c>
      <c r="C235" s="238" t="inlineStr">
        <is>
          <t xml:space="preserve">Where do you usually access food for your ${lsmain}? </t>
        </is>
      </c>
      <c r="D235" s="92" t="n"/>
      <c r="E235" s="211" t="inlineStr">
        <is>
          <t>[INSTRUCTIONS: MULTIPLE RESPONSES POSSIBLE.]</t>
        </is>
      </c>
      <c r="F235" s="81" t="n"/>
      <c r="G235" s="109" t="inlineStr">
        <is>
          <t>true</t>
        </is>
      </c>
      <c r="H235" s="109" t="n"/>
      <c r="I235" s="109" t="inlineStr">
        <is>
          <t>if(selected(., 'dk') or selected(., 'ref'), count-selected(.) = 1, count-selected(.) &gt;= 1)</t>
        </is>
      </c>
      <c r="J235" s="109" t="n"/>
      <c r="K235" s="109" t="n"/>
      <c r="L235" s="109" t="n"/>
      <c r="M235" s="109" t="n"/>
      <c r="N235" s="109" t="n"/>
      <c r="S235" s="211" t="inlineStr">
        <is>
          <t>no</t>
        </is>
      </c>
      <c r="U235" s="287" t="n">
        <v>19.55319786071777</v>
      </c>
      <c r="V235" s="293">
        <f>'Additional information'!$D$19</f>
        <v/>
      </c>
      <c r="W235" s="288">
        <f>IF(U235&lt;&gt;"",U235*V235,"")</f>
        <v/>
      </c>
      <c r="X235" s="288">
        <f>IF(AND(U235&lt;&gt;"",S235="yes"),U235*V235,"")</f>
        <v/>
      </c>
      <c r="Y235" s="77" t="n"/>
    </row>
    <row r="236" customFormat="1" s="211">
      <c r="C236" s="238" t="n"/>
      <c r="D236" s="78" t="n"/>
      <c r="F236" s="81" t="n"/>
      <c r="G236" s="109" t="n"/>
      <c r="H236" s="109" t="n"/>
      <c r="I236" s="109" t="n"/>
      <c r="J236" s="109" t="n"/>
      <c r="K236" s="109" t="n"/>
      <c r="L236" s="109" t="n"/>
      <c r="M236" s="109" t="n"/>
      <c r="N236" s="109" t="n"/>
      <c r="U236" s="287" t="n"/>
      <c r="V236" s="293" t="n"/>
      <c r="W236" s="288">
        <f>IF(U236&lt;&gt;"",U236*V236,"")</f>
        <v/>
      </c>
      <c r="X236" s="288">
        <f>IF(AND(U236&lt;&gt;"",S236="yes"),U236*V236,"")</f>
        <v/>
      </c>
      <c r="Y236" s="77" t="n"/>
    </row>
    <row r="237" ht="31.95" customHeight="1">
      <c r="A237" s="76" t="inlineStr">
        <is>
          <t>select_one yes_no</t>
        </is>
      </c>
      <c r="B237" s="76" t="inlineStr">
        <is>
          <t>ls_proddif</t>
        </is>
      </c>
      <c r="C237" s="237" t="inlineStr">
        <is>
          <t>Has your household faced any difficulty with livestock production over the last 3 months?</t>
        </is>
      </c>
      <c r="D237" s="92" t="n"/>
      <c r="E237" s="47" t="inlineStr">
        <is>
          <t>[INSTRUCTIONS: SINGLE RESPONSE.]</t>
        </is>
      </c>
      <c r="F237" s="86" t="n"/>
      <c r="G237" s="108" t="inlineStr">
        <is>
          <t>true</t>
        </is>
      </c>
      <c r="H237" s="108" t="n"/>
      <c r="I237" s="108" t="n"/>
      <c r="J237" s="108" t="n"/>
      <c r="K237" s="110" t="n"/>
      <c r="L237" s="108" t="n"/>
      <c r="M237" s="108" t="n"/>
      <c r="N237" s="108" t="n"/>
      <c r="S237" s="47" t="inlineStr">
        <is>
          <t>yes</t>
        </is>
      </c>
      <c r="U237" s="287" t="n">
        <v>13.61331653594971</v>
      </c>
      <c r="V237" s="293">
        <f>'Additional information'!$D$19</f>
        <v/>
      </c>
      <c r="W237" s="288">
        <f>IF(U237&lt;&gt;"",U237*V237,"")</f>
        <v/>
      </c>
      <c r="X237" s="288">
        <f>IF(AND(U237&lt;&gt;"",S237="yes"),U237*V237,"")</f>
        <v/>
      </c>
    </row>
    <row r="238" ht="31.95" customHeight="1">
      <c r="A238" s="76" t="inlineStr">
        <is>
          <t>select_multiple lsproddiff</t>
        </is>
      </c>
      <c r="B238" s="76" t="inlineStr">
        <is>
          <t>ls_proddif_</t>
        </is>
      </c>
      <c r="C238" s="237" t="inlineStr">
        <is>
          <t>Which difficulties has your household faced with livestock production in the last 3 months?</t>
        </is>
      </c>
      <c r="D238" s="92" t="n"/>
      <c r="E238" s="47" t="inlineStr">
        <is>
          <t>[INSTRUCTIONS: MULTIPLE RESPONSES POSSIBLE. SELECT OPTION(S) THAT BEST FIT THE INFORMATION PROVIDED BY THE RESPONDENTS.]</t>
        </is>
      </c>
      <c r="F238" s="86" t="n"/>
      <c r="G238" s="108" t="inlineStr">
        <is>
          <t>true</t>
        </is>
      </c>
      <c r="H238" s="108" t="n"/>
      <c r="I238" s="110" t="inlineStr">
        <is>
          <t>if(selected(., 'dk') or selected(., 'ref'), count-selected(.) = 1, count-selected(.) &gt;= 1)</t>
        </is>
      </c>
      <c r="J238" s="108" t="n"/>
      <c r="K238" s="110" t="inlineStr">
        <is>
          <t>${ls_proddif}='1'</t>
        </is>
      </c>
      <c r="L238" s="108" t="n"/>
      <c r="M238" s="108" t="n"/>
      <c r="N238" s="108" t="n"/>
      <c r="S238" s="47" t="inlineStr">
        <is>
          <t>yes</t>
        </is>
      </c>
      <c r="U238" s="287" t="n">
        <v>27.75464820861816</v>
      </c>
      <c r="V238" s="293">
        <f>'Additional information'!$D$19</f>
        <v/>
      </c>
      <c r="W238" s="288">
        <f>IF(U238&lt;&gt;"",U238*V238,"")</f>
        <v/>
      </c>
      <c r="X238" s="288">
        <f>IF(AND(U238&lt;&gt;"",S238="yes"),U238*V238,"")</f>
        <v/>
      </c>
    </row>
    <row r="239">
      <c r="D239" s="85" t="n"/>
      <c r="F239" s="86" t="n"/>
      <c r="K239" s="120" t="n"/>
      <c r="U239" s="287" t="n"/>
      <c r="V239" s="293" t="n"/>
      <c r="W239" s="288">
        <f>IF(U239&lt;&gt;"",U239*V239,"")</f>
        <v/>
      </c>
      <c r="X239" s="288">
        <f>IF(AND(U239&lt;&gt;"",S239="yes"),U239*V239,"")</f>
        <v/>
      </c>
    </row>
    <row r="240">
      <c r="A240" s="200" t="inlineStr">
        <is>
          <t>select_one o_pastures</t>
        </is>
      </c>
      <c r="B240" s="200" t="inlineStr">
        <is>
          <t>o_pasture</t>
        </is>
      </c>
      <c r="C240" s="235" t="inlineStr">
        <is>
          <t>How are pastures during the last 6 months compared to the usual?</t>
        </is>
      </c>
      <c r="D240" s="253" t="n"/>
      <c r="F240" s="86" t="n"/>
      <c r="G240" s="109" t="inlineStr">
        <is>
          <t>true</t>
        </is>
      </c>
      <c r="K240" s="120" t="n"/>
      <c r="U240" s="287" t="n"/>
      <c r="V240" s="293">
        <f>'Additional information'!$D$19</f>
        <v/>
      </c>
      <c r="W240" s="288">
        <f>IF(U240&lt;&gt;"",U240*V240,"")</f>
        <v/>
      </c>
      <c r="X240" s="288">
        <f>IF(AND(U240&lt;&gt;"",S240="yes"),U240*V240,"")</f>
        <v/>
      </c>
    </row>
    <row r="241" ht="16.2" customHeight="1" thickBot="1">
      <c r="A241" s="95" t="inlineStr">
        <is>
          <t>end_group</t>
        </is>
      </c>
      <c r="B241" s="95" t="n"/>
      <c r="C241" s="245" t="n"/>
      <c r="D241" s="101" t="n"/>
      <c r="E241" s="95" t="n"/>
      <c r="F241" s="102" t="n"/>
      <c r="G241" s="121" t="n"/>
      <c r="H241" s="121" t="n"/>
      <c r="I241" s="121" t="n"/>
      <c r="J241" s="121" t="n"/>
      <c r="K241" s="121" t="n"/>
      <c r="L241" s="121" t="n"/>
      <c r="M241" s="121" t="n"/>
      <c r="N241" s="121" t="n"/>
      <c r="U241" s="287" t="n"/>
      <c r="W241" s="288">
        <f>IF(U241&lt;&gt;"",U241*V241,"")</f>
        <v/>
      </c>
      <c r="X241" s="288">
        <f>IF(AND(U241&lt;&gt;"",S241="yes"),U241*V241,"")</f>
        <v/>
      </c>
    </row>
    <row r="242" ht="16.95" customFormat="1" customHeight="1" s="74" thickTop="1">
      <c r="A242" s="71" t="inlineStr">
        <is>
          <t>begin_group</t>
        </is>
      </c>
      <c r="B242" s="71" t="inlineStr">
        <is>
          <t>LivestockSales_group</t>
        </is>
      </c>
      <c r="C242" s="234" t="inlineStr">
        <is>
          <t xml:space="preserve">LIVESTOCK &amp; LIVESTOCK PRODUCT MARKETING </t>
        </is>
      </c>
      <c r="D242" s="226" t="n"/>
      <c r="E242" s="71" t="n"/>
      <c r="F242" s="73" t="n"/>
      <c r="G242" s="113" t="inlineStr">
        <is>
          <t>false</t>
        </is>
      </c>
      <c r="H242" s="113" t="n"/>
      <c r="I242" s="113" t="n"/>
      <c r="J242" s="113" t="n"/>
      <c r="K242" s="113" t="inlineStr">
        <is>
          <t>${resp_agree} = '1' and (${income_main}='4' or ${income_sec}='4' or ${income_third}='4')</t>
        </is>
      </c>
      <c r="L242" s="113" t="n"/>
      <c r="M242" s="113" t="n"/>
      <c r="N242" s="113" t="n"/>
      <c r="S242" s="47" t="inlineStr">
        <is>
          <t>yes</t>
        </is>
      </c>
      <c r="U242" s="287" t="n"/>
      <c r="V242" s="156" t="n"/>
      <c r="W242" s="288">
        <f>IF(U242&lt;&gt;"",U242*V242,"")</f>
        <v/>
      </c>
      <c r="X242" s="288">
        <f>IF(AND(U242&lt;&gt;"",S242="yes"),U242*V242,"")</f>
        <v/>
      </c>
      <c r="Y242" s="75" t="n"/>
    </row>
    <row r="243" customFormat="1" s="74">
      <c r="C243" s="247" t="n"/>
      <c r="D243" s="72" t="n"/>
      <c r="F243" s="73" t="n"/>
      <c r="G243" s="114" t="n"/>
      <c r="H243" s="114" t="n"/>
      <c r="I243" s="114" t="n"/>
      <c r="J243" s="114" t="n"/>
      <c r="K243" s="114" t="n"/>
      <c r="L243" s="114" t="n"/>
      <c r="M243" s="114" t="n"/>
      <c r="N243" s="114" t="n"/>
      <c r="S243" s="47" t="n"/>
      <c r="U243" s="287" t="n"/>
      <c r="V243" s="293" t="n"/>
      <c r="W243" s="288">
        <f>IF(U243&lt;&gt;"",U243*V243,"")</f>
        <v/>
      </c>
      <c r="X243" s="288">
        <f>IF(AND(U243&lt;&gt;"",S243="yes"),U243*V243,"")</f>
        <v/>
      </c>
      <c r="Y243" s="75" t="n"/>
    </row>
    <row r="244" ht="31.95" customFormat="1" customHeight="1" s="74">
      <c r="A244" s="76" t="inlineStr">
        <is>
          <t>select_one salesmain</t>
        </is>
      </c>
      <c r="B244" s="76" t="inlineStr">
        <is>
          <t>ls_salesmain</t>
        </is>
      </c>
      <c r="C244" s="237" t="inlineStr">
        <is>
          <t>What has been the main livestock or livestock product sold by the household in the last 3 months?</t>
        </is>
      </c>
      <c r="D244" s="92" t="n"/>
      <c r="E244" s="47" t="inlineStr">
        <is>
          <t>[INSTRUCTIONS: SINGLE RESPONSE.]</t>
        </is>
      </c>
      <c r="F244" s="86" t="n"/>
      <c r="G244" s="108" t="inlineStr">
        <is>
          <t>true</t>
        </is>
      </c>
      <c r="H244" s="108" t="inlineStr">
        <is>
          <t>minimal</t>
        </is>
      </c>
      <c r="I244" s="113" t="n"/>
      <c r="J244" s="113" t="n"/>
      <c r="K244" s="113" t="n"/>
      <c r="L244" s="113" t="n"/>
      <c r="M244" s="113" t="n"/>
      <c r="N244" s="113" t="n"/>
      <c r="S244" s="47" t="inlineStr">
        <is>
          <t>yes</t>
        </is>
      </c>
      <c r="U244" s="287" t="n">
        <v>13.99939060211182</v>
      </c>
      <c r="V244" s="293">
        <f>'Additional information'!$D$19</f>
        <v/>
      </c>
      <c r="W244" s="288">
        <f>IF(U244&lt;&gt;"",U244*V244,"")</f>
        <v/>
      </c>
      <c r="X244" s="288">
        <f>IF(AND(U244&lt;&gt;"",S244="yes"),U244*V244,"")</f>
        <v/>
      </c>
      <c r="Y244" s="75" t="n"/>
    </row>
    <row r="245">
      <c r="A245" s="76" t="inlineStr">
        <is>
          <t>calculate</t>
        </is>
      </c>
      <c r="B245" s="76" t="inlineStr">
        <is>
          <t>lssalesmain</t>
        </is>
      </c>
      <c r="C245" s="237" t="n"/>
      <c r="D245" s="92" t="n"/>
      <c r="F245" s="86" t="n"/>
      <c r="G245" s="108" t="n"/>
      <c r="H245" s="108" t="n"/>
      <c r="I245" s="108" t="n"/>
      <c r="J245" s="108" t="n"/>
      <c r="K245" s="108" t="n"/>
      <c r="L245" s="108" t="n"/>
      <c r="M245" s="108" t="n"/>
      <c r="N245" s="108" t="inlineStr">
        <is>
          <t>jr:choice-name(${ls_salesmain},'${ls_salesmain}')</t>
        </is>
      </c>
      <c r="S245" s="47" t="inlineStr">
        <is>
          <t>yes</t>
        </is>
      </c>
      <c r="U245" s="287" t="n"/>
      <c r="V245" s="293">
        <f>'Additional information'!$D$19</f>
        <v/>
      </c>
      <c r="W245" s="288">
        <f>IF(U245&lt;&gt;"",U245*V245,"")</f>
        <v/>
      </c>
      <c r="X245" s="288">
        <f>IF(AND(U245&lt;&gt;"",S245="yes"),U245*V245,"")</f>
        <v/>
      </c>
    </row>
    <row r="246">
      <c r="D246" s="92" t="n"/>
      <c r="F246" s="86" t="n"/>
      <c r="U246" s="287" t="n"/>
      <c r="V246" s="293" t="n"/>
      <c r="W246" s="288">
        <f>IF(U246&lt;&gt;"",U246*V246,"")</f>
        <v/>
      </c>
      <c r="X246" s="288">
        <f>IF(AND(U246&lt;&gt;"",S246="yes"),U246*V246,"")</f>
        <v/>
      </c>
    </row>
    <row r="247" ht="31.95" customHeight="1">
      <c r="A247" s="76" t="inlineStr">
        <is>
          <t>select_one yes_no</t>
        </is>
      </c>
      <c r="B247" s="76" t="inlineStr">
        <is>
          <t>ls_salesdif</t>
        </is>
      </c>
      <c r="C247" s="237" t="inlineStr">
        <is>
          <t>Has your household faced any difficulty in the last 3 months in selling your ${lssalesmain}?</t>
        </is>
      </c>
      <c r="D247" s="92" t="n"/>
      <c r="E247" s="47" t="inlineStr">
        <is>
          <t>[INSTRUCTIONS: SINGLE RESPONSE.]</t>
        </is>
      </c>
      <c r="F247" s="86" t="n"/>
      <c r="G247" s="108" t="inlineStr">
        <is>
          <t>true</t>
        </is>
      </c>
      <c r="H247" s="108" t="n"/>
      <c r="I247" s="108" t="n"/>
      <c r="J247" s="108" t="n"/>
      <c r="K247" s="108" t="n"/>
      <c r="L247" s="108" t="n"/>
      <c r="M247" s="108" t="n"/>
      <c r="N247" s="108" t="n"/>
      <c r="S247" s="47" t="inlineStr">
        <is>
          <t>yes</t>
        </is>
      </c>
      <c r="U247" s="287" t="n">
        <v>10.25279426574707</v>
      </c>
      <c r="V247" s="293">
        <f>'Additional information'!$D$19</f>
        <v/>
      </c>
      <c r="W247" s="288">
        <f>IF(U247&lt;&gt;"",U247*V247,"")</f>
        <v/>
      </c>
      <c r="X247" s="288">
        <f>IF(AND(U247&lt;&gt;"",S247="yes"),U247*V247,"")</f>
        <v/>
      </c>
    </row>
    <row r="248" ht="31.95" customHeight="1">
      <c r="A248" s="76" t="inlineStr">
        <is>
          <t>select_multiple lssalesdif</t>
        </is>
      </c>
      <c r="B248" s="76" t="inlineStr">
        <is>
          <t>ls_salesdif_</t>
        </is>
      </c>
      <c r="C248" s="237" t="inlineStr">
        <is>
          <t>What difficulties has your household faced in the last 3 months in selling your ${lssalesmain}?</t>
        </is>
      </c>
      <c r="D248" s="92" t="n"/>
      <c r="E248" s="47" t="inlineStr">
        <is>
          <t>[INSTRUCTIONS: MULTIPLE RESPONSES POSSIBLE. SELECT OPTION(S) THAT BEST FIT THE INFORMATION PROVIDED BY THE RESPONDENTS.]</t>
        </is>
      </c>
      <c r="F248" s="86" t="n"/>
      <c r="G248" s="108" t="inlineStr">
        <is>
          <t>true</t>
        </is>
      </c>
      <c r="H248" s="108" t="n"/>
      <c r="I248" s="110" t="inlineStr">
        <is>
          <t>if(selected(., 'dk') or selected(., 'ref'), count-selected(.) = 1, count-selected(.) &gt;= 1)</t>
        </is>
      </c>
      <c r="J248" s="110" t="n"/>
      <c r="K248" s="110" t="inlineStr">
        <is>
          <t xml:space="preserve">${ls_salesdif} = '1' </t>
        </is>
      </c>
      <c r="L248" s="108" t="n"/>
      <c r="M248" s="108" t="n"/>
      <c r="N248" s="108" t="n"/>
      <c r="S248" s="47" t="inlineStr">
        <is>
          <t>yes</t>
        </is>
      </c>
      <c r="U248" s="287" t="n">
        <v>24.19434356689453</v>
      </c>
      <c r="V248" s="293">
        <f>'Additional information'!$D$19</f>
        <v/>
      </c>
      <c r="W248" s="288">
        <f>IF(U248&lt;&gt;"",U248*V248,"")</f>
        <v/>
      </c>
      <c r="X248" s="288">
        <f>IF(AND(U248&lt;&gt;"",S248="yes"),U248*V248,"")</f>
        <v/>
      </c>
    </row>
    <row r="249">
      <c r="D249" s="92" t="n"/>
      <c r="F249" s="86" t="n"/>
      <c r="K249" s="120" t="n"/>
      <c r="U249" s="287" t="n"/>
      <c r="V249" s="293" t="n"/>
      <c r="W249" s="288">
        <f>IF(U249&lt;&gt;"",U249*V249,"")</f>
        <v/>
      </c>
      <c r="X249" s="288">
        <f>IF(AND(U249&lt;&gt;"",S249="yes"),U249*V249,"")</f>
        <v/>
      </c>
    </row>
    <row r="250" ht="31.95" customHeight="1">
      <c r="A250" s="76" t="inlineStr">
        <is>
          <t>select_one change</t>
        </is>
      </c>
      <c r="B250" s="76" t="inlineStr">
        <is>
          <t>ls_salesprice</t>
        </is>
      </c>
      <c r="C250" s="240" t="inlineStr">
        <is>
          <t>How does the current price of your household's ${lssalesmain} compare to the average price in the same period of a normal year?</t>
        </is>
      </c>
      <c r="D250" s="92" t="n"/>
      <c r="E250" s="76" t="inlineStr">
        <is>
          <t>[INSTRUCTIONS: SINGLE RESPONSE. INSIST ON THE MAIN PRODUCT MENTIONED.]</t>
        </is>
      </c>
      <c r="F250" s="86" t="n"/>
      <c r="G250" s="108" t="inlineStr">
        <is>
          <t>true</t>
        </is>
      </c>
      <c r="H250" s="108" t="n"/>
      <c r="I250" s="108" t="n"/>
      <c r="J250" s="108" t="n"/>
      <c r="K250" s="110" t="n"/>
      <c r="L250" s="108" t="n"/>
      <c r="M250" s="108" t="n"/>
      <c r="N250" s="108" t="n"/>
      <c r="S250" s="47" t="inlineStr">
        <is>
          <t>yes</t>
        </is>
      </c>
      <c r="U250" s="287" t="n">
        <v>19.32173728942871</v>
      </c>
      <c r="V250" s="293">
        <f>'Additional information'!$D$19</f>
        <v/>
      </c>
      <c r="W250" s="288">
        <f>IF(U250&lt;&gt;"",U250*V250,"")</f>
        <v/>
      </c>
      <c r="X250" s="288">
        <f>IF(AND(U250&lt;&gt;"",S250="yes"),U250*V250,"")</f>
        <v/>
      </c>
    </row>
    <row r="251">
      <c r="C251" s="244" t="n"/>
      <c r="D251" s="85" t="n"/>
      <c r="F251" s="86" t="n"/>
      <c r="K251" s="120" t="n"/>
      <c r="U251" s="287" t="n"/>
      <c r="V251" s="293" t="n"/>
      <c r="W251" s="288">
        <f>IF(U251&lt;&gt;"",U251*V251,"")</f>
        <v/>
      </c>
      <c r="X251" s="288">
        <f>IF(AND(U251&lt;&gt;"",S251="yes"),U251*V251,"")</f>
        <v/>
      </c>
    </row>
    <row r="252" ht="16.2" customHeight="1" thickBot="1">
      <c r="A252" s="95" t="inlineStr">
        <is>
          <t>end_group</t>
        </is>
      </c>
      <c r="B252" s="95" t="n"/>
      <c r="C252" s="245" t="n"/>
      <c r="D252" s="101" t="n"/>
      <c r="E252" s="95" t="n"/>
      <c r="F252" s="102" t="n"/>
      <c r="G252" s="121" t="n"/>
      <c r="H252" s="121" t="n"/>
      <c r="I252" s="121" t="n"/>
      <c r="J252" s="121" t="n"/>
      <c r="K252" s="121" t="n"/>
      <c r="L252" s="121" t="n"/>
      <c r="M252" s="121" t="n"/>
      <c r="N252" s="121" t="n"/>
      <c r="U252" s="287" t="n"/>
      <c r="W252" s="288">
        <f>IF(U252&lt;&gt;"",U252*V252,"")</f>
        <v/>
      </c>
      <c r="X252" s="288">
        <f>IF(AND(U252&lt;&gt;"",S252="yes"),U252*V252,"")</f>
        <v/>
      </c>
    </row>
    <row r="253" ht="16.95" customFormat="1" customHeight="1" s="74" thickTop="1">
      <c r="A253" s="71" t="inlineStr">
        <is>
          <t>begin_group</t>
        </is>
      </c>
      <c r="B253" s="71" t="inlineStr">
        <is>
          <t>FSI</t>
        </is>
      </c>
      <c r="C253" s="234" t="inlineStr">
        <is>
          <t>FOOD SECURITY INDICATORS</t>
        </is>
      </c>
      <c r="D253" s="72" t="n"/>
      <c r="E253" s="71" t="n"/>
      <c r="F253" s="73" t="n"/>
      <c r="G253" s="113" t="inlineStr">
        <is>
          <t>false</t>
        </is>
      </c>
      <c r="H253" s="113" t="n"/>
      <c r="I253" s="113" t="n"/>
      <c r="J253" s="113" t="n"/>
      <c r="K253" s="113" t="inlineStr">
        <is>
          <t>${resp_agree} = '1' and ${hh_agricactivity} != '5' and ${hh_agricactivity} != '6'</t>
        </is>
      </c>
      <c r="L253" s="113" t="n"/>
      <c r="M253" s="113" t="n"/>
      <c r="N253" s="113" t="n"/>
      <c r="S253" s="47" t="inlineStr">
        <is>
          <t>yes</t>
        </is>
      </c>
      <c r="U253" s="287" t="n"/>
      <c r="V253" s="75" t="n"/>
      <c r="W253" s="288">
        <f>IF(U253&lt;&gt;"",U253*V253,"")</f>
        <v/>
      </c>
      <c r="X253" s="288">
        <f>IF(AND(U253&lt;&gt;"",S253="yes"),U253*V253,"")</f>
        <v/>
      </c>
      <c r="Y253" s="75" t="n"/>
    </row>
    <row r="254">
      <c r="C254" s="244" t="n"/>
      <c r="D254" s="85" t="n"/>
      <c r="F254" s="86" t="n"/>
      <c r="K254" s="120" t="n"/>
      <c r="U254" s="287" t="n"/>
      <c r="V254" s="293" t="n"/>
      <c r="W254" s="288">
        <f>IF(U254&lt;&gt;"",U254*V254,"")</f>
        <v/>
      </c>
      <c r="X254" s="288">
        <f>IF(AND(U254&lt;&gt;"",S254="yes"),U254*V254,"")</f>
        <v/>
      </c>
    </row>
    <row r="255" ht="48" customFormat="1" customHeight="1" s="74">
      <c r="A255" s="76" t="inlineStr">
        <is>
          <t>note</t>
        </is>
      </c>
      <c r="B255" s="76" t="inlineStr">
        <is>
          <t>intro_foodsec</t>
        </is>
      </c>
      <c r="C255" s="237" t="inlineStr">
        <is>
          <t>Now I would like to ask you some questions about food consumption, food utilization and coping mechanisms. Make sure to refer to the correct time period for each set of questions.</t>
        </is>
      </c>
      <c r="D255" s="92" t="n"/>
      <c r="F255" s="73" t="n"/>
      <c r="G255" s="113" t="n"/>
      <c r="H255" s="113" t="n"/>
      <c r="I255" s="113" t="n"/>
      <c r="J255" s="113" t="n"/>
      <c r="K255" s="113" t="n"/>
      <c r="L255" s="113" t="n"/>
      <c r="M255" s="113" t="n"/>
      <c r="N255" s="113" t="n"/>
      <c r="S255" s="47" t="inlineStr">
        <is>
          <t>no</t>
        </is>
      </c>
      <c r="U255" s="287" t="n"/>
      <c r="V255" s="99" t="n">
        <v>1</v>
      </c>
      <c r="W255" s="288">
        <f>IF(U255&lt;&gt;"",U255*V255,"")</f>
        <v/>
      </c>
      <c r="X255" s="288">
        <f>IF(AND(U255&lt;&gt;"",S255="yes"),U255*V255,"")</f>
        <v/>
      </c>
      <c r="Y255" s="75" t="n"/>
    </row>
    <row r="256">
      <c r="C256" s="244" t="n"/>
      <c r="D256" s="92" t="n"/>
      <c r="F256" s="86" t="n"/>
      <c r="K256" s="120" t="n"/>
      <c r="U256" s="287" t="n"/>
      <c r="V256" s="293" t="n"/>
      <c r="W256" s="288">
        <f>IF(U256&lt;&gt;"",U256*V256,"")</f>
        <v/>
      </c>
      <c r="X256" s="288">
        <f>IF(AND(U256&lt;&gt;"",S256="yes"),U256*V256,"")</f>
        <v/>
      </c>
    </row>
    <row r="257" ht="16.2" customFormat="1" customHeight="1" s="74">
      <c r="A257" s="76" t="inlineStr">
        <is>
          <t>begin_group</t>
        </is>
      </c>
      <c r="B257" s="76" t="inlineStr">
        <is>
          <t>intro_fies</t>
        </is>
      </c>
      <c r="C257" s="234" t="inlineStr">
        <is>
          <t>FIES</t>
        </is>
      </c>
      <c r="D257" s="159" t="n"/>
      <c r="E257" s="71" t="n"/>
      <c r="F257" s="73" t="n"/>
      <c r="G257" s="113" t="n"/>
      <c r="H257" s="113" t="n"/>
      <c r="I257" s="113" t="n"/>
      <c r="J257" s="113" t="n"/>
      <c r="K257" s="113" t="n"/>
      <c r="L257" s="113" t="n"/>
      <c r="M257" s="113" t="n"/>
      <c r="N257" s="113" t="n"/>
      <c r="S257" s="47" t="n"/>
      <c r="U257" s="287" t="n"/>
      <c r="V257" s="99" t="n">
        <v>1</v>
      </c>
      <c r="W257" s="288">
        <f>IF(U257&lt;&gt;"",U257*V257,"")</f>
        <v/>
      </c>
      <c r="X257" s="288">
        <f>IF(AND(U257&lt;&gt;"",S257="yes"),U257*V257,"")</f>
        <v/>
      </c>
      <c r="Y257" s="75" t="n"/>
    </row>
    <row r="258" ht="31.95" customHeight="1">
      <c r="A258" s="76" t="inlineStr">
        <is>
          <t>note</t>
        </is>
      </c>
      <c r="B258" s="76" t="inlineStr">
        <is>
          <t>fies</t>
        </is>
      </c>
      <c r="C258" s="237" t="inlineStr">
        <is>
          <t xml:space="preserve">The first set of questions refers to experiences faced by your or any of your household members over the past 30 days. </t>
        </is>
      </c>
      <c r="D258" s="227" t="n"/>
      <c r="E258" s="76" t="n"/>
      <c r="F258" s="86" t="n"/>
      <c r="G258" s="108" t="inlineStr">
        <is>
          <t>false</t>
        </is>
      </c>
      <c r="H258" s="108" t="n"/>
      <c r="I258" s="108" t="n"/>
      <c r="J258" s="108" t="n"/>
      <c r="K258" s="108" t="n"/>
      <c r="L258" s="108" t="n"/>
      <c r="M258" s="108" t="n"/>
      <c r="N258" s="108" t="n"/>
      <c r="S258" s="47" t="inlineStr">
        <is>
          <t>yes</t>
        </is>
      </c>
      <c r="U258" s="287" t="n">
        <v>12.77690315246582</v>
      </c>
      <c r="V258" s="99" t="n">
        <v>1</v>
      </c>
      <c r="W258" s="288">
        <f>IF(U258&lt;&gt;"",U258*V258,"")</f>
        <v/>
      </c>
      <c r="X258" s="288">
        <f>IF(AND(U258&lt;&gt;"",S258="yes"),U258*V258,"")</f>
        <v/>
      </c>
    </row>
    <row r="259" ht="48" customHeight="1">
      <c r="A259" s="76" t="inlineStr">
        <is>
          <t>select_one yes_no</t>
        </is>
      </c>
      <c r="B259" s="76" t="inlineStr">
        <is>
          <t>fies_worried</t>
        </is>
      </c>
      <c r="C259" s="237" t="inlineStr">
        <is>
          <t>During the *last 30 days*, was there a time when you or others in your household were **worried about not having enough food to eat** because of lack of money or other resources?</t>
        </is>
      </c>
      <c r="D259" s="227" t="n"/>
      <c r="E259" s="76" t="n"/>
      <c r="F259" s="86" t="n"/>
      <c r="G259" s="108" t="inlineStr">
        <is>
          <t>true</t>
        </is>
      </c>
      <c r="H259" s="108" t="n"/>
      <c r="I259" s="108" t="n"/>
      <c r="J259" s="108" t="n"/>
      <c r="K259" s="108" t="n"/>
      <c r="L259" s="108" t="n"/>
      <c r="M259" s="108" t="n"/>
      <c r="N259" s="108" t="n"/>
      <c r="S259" s="47" t="inlineStr">
        <is>
          <t>yes</t>
        </is>
      </c>
      <c r="U259" s="287" t="n">
        <v>21.39860534667969</v>
      </c>
      <c r="V259" s="99" t="n">
        <v>1</v>
      </c>
      <c r="W259" s="288">
        <f>IF(U259&lt;&gt;"",U259*V259,"")</f>
        <v/>
      </c>
      <c r="X259" s="288">
        <f>IF(AND(U259&lt;&gt;"",S259="yes"),U259*V259,"")</f>
        <v/>
      </c>
    </row>
    <row r="260" ht="48" customHeight="1">
      <c r="A260" s="76" t="inlineStr">
        <is>
          <t>select_one yes_no</t>
        </is>
      </c>
      <c r="B260" s="76" t="inlineStr">
        <is>
          <t>fies_healthy</t>
        </is>
      </c>
      <c r="C260" s="237" t="inlineStr">
        <is>
          <t>During the *last 30 days*, was there a time when you or others in your household were **unable to eat healthy and nutritious food** because of lack of money or other resources?</t>
        </is>
      </c>
      <c r="D260" s="227" t="n"/>
      <c r="E260" s="76" t="n"/>
      <c r="F260" s="86" t="n"/>
      <c r="G260" s="108" t="inlineStr">
        <is>
          <t>true</t>
        </is>
      </c>
      <c r="H260" s="108" t="n"/>
      <c r="I260" s="108" t="n"/>
      <c r="J260" s="108" t="n"/>
      <c r="K260" s="108" t="n"/>
      <c r="L260" s="108" t="n"/>
      <c r="M260" s="108" t="n"/>
      <c r="N260" s="108" t="n"/>
      <c r="S260" s="47" t="inlineStr">
        <is>
          <t>yes</t>
        </is>
      </c>
      <c r="U260" s="287" t="n">
        <v>14.98074054718018</v>
      </c>
      <c r="V260" s="99" t="n">
        <v>1</v>
      </c>
      <c r="W260" s="288">
        <f>IF(U260&lt;&gt;"",U260*V260,"")</f>
        <v/>
      </c>
      <c r="X260" s="288">
        <f>IF(AND(U260&lt;&gt;"",S260="yes"),U260*V260,"")</f>
        <v/>
      </c>
    </row>
    <row r="261" ht="31.95" customHeight="1">
      <c r="A261" s="76" t="inlineStr">
        <is>
          <t>select_one yes_no</t>
        </is>
      </c>
      <c r="B261" s="76" t="inlineStr">
        <is>
          <t>fies_fewfoods</t>
        </is>
      </c>
      <c r="C261" s="237" t="inlineStr">
        <is>
          <t>During the *last 30 days*, was there a time when you or others in your household **ate only a few kinds of foods** because of lack of money or other resources?</t>
        </is>
      </c>
      <c r="D261" s="227" t="n"/>
      <c r="E261" s="76" t="n"/>
      <c r="F261" s="86" t="n"/>
      <c r="G261" s="108" t="inlineStr">
        <is>
          <t>true</t>
        </is>
      </c>
      <c r="H261" s="108" t="n"/>
      <c r="I261" s="108" t="n"/>
      <c r="J261" s="108" t="n"/>
      <c r="K261" s="108" t="n"/>
      <c r="L261" s="108" t="n"/>
      <c r="M261" s="108" t="n"/>
      <c r="N261" s="108" t="n"/>
      <c r="S261" s="47" t="inlineStr">
        <is>
          <t>yes</t>
        </is>
      </c>
      <c r="U261" s="287" t="n">
        <v>13.72302150726318</v>
      </c>
      <c r="V261" s="99" t="n">
        <v>1</v>
      </c>
      <c r="W261" s="288">
        <f>IF(U261&lt;&gt;"",U261*V261,"")</f>
        <v/>
      </c>
      <c r="X261" s="288">
        <f>IF(AND(U261&lt;&gt;"",S261="yes"),U261*V261,"")</f>
        <v/>
      </c>
    </row>
    <row r="262" ht="31.95" customHeight="1">
      <c r="A262" s="76" t="inlineStr">
        <is>
          <t>select_one yes_no</t>
        </is>
      </c>
      <c r="B262" s="76" t="inlineStr">
        <is>
          <t>fies_skipped</t>
        </is>
      </c>
      <c r="C262" s="237" t="inlineStr">
        <is>
          <t>During the *last 30 days*, was there a time when you or others in your household **had to skip a meal** because of lack of money or other resources to get food?</t>
        </is>
      </c>
      <c r="D262" s="227" t="n"/>
      <c r="E262" s="76" t="n"/>
      <c r="F262" s="86" t="n"/>
      <c r="G262" s="108" t="inlineStr">
        <is>
          <t>true</t>
        </is>
      </c>
      <c r="H262" s="108" t="n"/>
      <c r="I262" s="108" t="n"/>
      <c r="J262" s="108" t="n"/>
      <c r="K262" s="108" t="n"/>
      <c r="L262" s="108" t="n"/>
      <c r="M262" s="108" t="n"/>
      <c r="N262" s="108" t="n"/>
      <c r="S262" s="47" t="inlineStr">
        <is>
          <t>yes</t>
        </is>
      </c>
      <c r="U262" s="287" t="n">
        <v>13.06220054626465</v>
      </c>
      <c r="V262" s="99" t="n">
        <v>1</v>
      </c>
      <c r="W262" s="288">
        <f>IF(U262&lt;&gt;"",U262*V262,"")</f>
        <v/>
      </c>
      <c r="X262" s="288">
        <f>IF(AND(U262&lt;&gt;"",S262="yes"),U262*V262,"")</f>
        <v/>
      </c>
    </row>
    <row r="263" ht="48" customHeight="1">
      <c r="A263" s="76" t="inlineStr">
        <is>
          <t>select_one yes_no</t>
        </is>
      </c>
      <c r="B263" s="76" t="inlineStr">
        <is>
          <t>fies_ateless</t>
        </is>
      </c>
      <c r="C263" s="237" t="inlineStr">
        <is>
          <t>During the *last 30 days*, was there a time when you or others in your household **ate less than you thought you should** because of lack of money or other resources?</t>
        </is>
      </c>
      <c r="D263" s="227" t="n"/>
      <c r="E263" s="76" t="n"/>
      <c r="F263" s="86" t="n"/>
      <c r="G263" s="108" t="inlineStr">
        <is>
          <t>true</t>
        </is>
      </c>
      <c r="H263" s="108" t="n"/>
      <c r="I263" s="108" t="n"/>
      <c r="J263" s="108" t="n"/>
      <c r="K263" s="108" t="n"/>
      <c r="L263" s="108" t="n"/>
      <c r="M263" s="108" t="n"/>
      <c r="N263" s="108" t="n"/>
      <c r="S263" s="47" t="inlineStr">
        <is>
          <t>yes</t>
        </is>
      </c>
      <c r="U263" s="287" t="n">
        <v>13.09532356262207</v>
      </c>
      <c r="V263" s="99" t="n">
        <v>1</v>
      </c>
      <c r="W263" s="288">
        <f>IF(U263&lt;&gt;"",U263*V263,"")</f>
        <v/>
      </c>
      <c r="X263" s="288">
        <f>IF(AND(U263&lt;&gt;"",S263="yes"),U263*V263,"")</f>
        <v/>
      </c>
    </row>
    <row r="264" ht="31.95" customHeight="1">
      <c r="A264" s="76" t="inlineStr">
        <is>
          <t>select_one yes_no</t>
        </is>
      </c>
      <c r="B264" s="76" t="inlineStr">
        <is>
          <t>fies_ranout</t>
        </is>
      </c>
      <c r="C264" s="237" t="inlineStr">
        <is>
          <t>In the *past 30 days*, was there ever **no food to eat of any kind** in your house because of lack of resources to get food?</t>
        </is>
      </c>
      <c r="D264" s="227" t="n"/>
      <c r="E264" s="76" t="n"/>
      <c r="F264" s="86" t="n"/>
      <c r="G264" s="108" t="inlineStr">
        <is>
          <t>true</t>
        </is>
      </c>
      <c r="H264" s="108" t="n"/>
      <c r="I264" s="108" t="n"/>
      <c r="J264" s="108" t="n"/>
      <c r="K264" s="108" t="n"/>
      <c r="L264" s="108" t="n"/>
      <c r="M264" s="108" t="n"/>
      <c r="N264" s="108" t="n"/>
      <c r="S264" s="47" t="inlineStr">
        <is>
          <t>yes</t>
        </is>
      </c>
      <c r="U264" s="287" t="n">
        <v>16.10101918465228</v>
      </c>
      <c r="V264" s="99" t="n">
        <v>1</v>
      </c>
      <c r="W264" s="288">
        <f>IF(U264&lt;&gt;"",U264*V264,"")</f>
        <v/>
      </c>
      <c r="X264" s="288">
        <f>IF(AND(U264&lt;&gt;"",S264="yes"),U264*V264,"")</f>
        <v/>
      </c>
    </row>
    <row r="265" ht="16.2" customFormat="1" customHeight="1" s="77">
      <c r="A265" s="79" t="inlineStr">
        <is>
          <t>select_one frequency</t>
        </is>
      </c>
      <c r="B265" s="79" t="inlineStr">
        <is>
          <t>fies_ranout_hhs</t>
        </is>
      </c>
      <c r="C265" s="240" t="inlineStr">
        <is>
          <t xml:space="preserve">How often did this happen? </t>
        </is>
      </c>
      <c r="D265" s="228" t="n"/>
      <c r="E265" s="79" t="n"/>
      <c r="F265" s="94" t="n"/>
      <c r="G265" s="110" t="inlineStr">
        <is>
          <t>true</t>
        </is>
      </c>
      <c r="H265" s="110" t="n"/>
      <c r="I265" s="110" t="n"/>
      <c r="J265" s="110" t="n"/>
      <c r="K265" s="110" t="inlineStr">
        <is>
          <t>${fies_ranout} = '1'</t>
        </is>
      </c>
      <c r="L265" s="110" t="n"/>
      <c r="M265" s="110" t="n"/>
      <c r="N265" s="110" t="n"/>
      <c r="S265" s="77" t="inlineStr">
        <is>
          <t>yes</t>
        </is>
      </c>
      <c r="U265" s="287" t="n">
        <v>11.76504325866699</v>
      </c>
      <c r="V265" s="99" t="n">
        <v>1</v>
      </c>
      <c r="W265" s="288">
        <f>IF(U265&lt;&gt;"",U265*V265,"")</f>
        <v/>
      </c>
      <c r="X265" s="288">
        <f>IF(AND(U265&lt;&gt;"",S265="yes"),U265*V265,"")</f>
        <v/>
      </c>
    </row>
    <row r="266" ht="31.95" customFormat="1" customHeight="1" s="77">
      <c r="A266" s="79" t="inlineStr">
        <is>
          <t>select_one yes_no</t>
        </is>
      </c>
      <c r="B266" s="79" t="inlineStr">
        <is>
          <t>fies_hungry</t>
        </is>
      </c>
      <c r="C266" s="240" t="inlineStr">
        <is>
          <t>In the *past 30 days*, did you or any household member ever **go to sleep at night hungry**because there was not enough food?</t>
        </is>
      </c>
      <c r="D266" s="227" t="n"/>
      <c r="E266" s="79" t="n"/>
      <c r="F266" s="94" t="n"/>
      <c r="G266" s="110" t="inlineStr">
        <is>
          <t>true</t>
        </is>
      </c>
      <c r="H266" s="110" t="n"/>
      <c r="I266" s="110" t="n"/>
      <c r="J266" s="110" t="n"/>
      <c r="K266" s="110" t="n"/>
      <c r="L266" s="110" t="n"/>
      <c r="M266" s="110" t="n"/>
      <c r="N266" s="110" t="n"/>
      <c r="S266" s="77" t="inlineStr">
        <is>
          <t>yes</t>
        </is>
      </c>
      <c r="U266" s="287" t="n">
        <v>12.43247890472412</v>
      </c>
      <c r="V266" s="99" t="n">
        <v>1</v>
      </c>
      <c r="W266" s="288">
        <f>IF(U266&lt;&gt;"",U266*V266,"")</f>
        <v/>
      </c>
      <c r="X266" s="288">
        <f>IF(AND(U266&lt;&gt;"",S266="yes"),U266*V266,"")</f>
        <v/>
      </c>
    </row>
    <row r="267" ht="16.2" customFormat="1" customHeight="1" s="77">
      <c r="A267" s="79" t="inlineStr">
        <is>
          <t>select_one frequency</t>
        </is>
      </c>
      <c r="B267" s="79" t="inlineStr">
        <is>
          <t>fies_hungry_hhs</t>
        </is>
      </c>
      <c r="C267" s="240" t="inlineStr">
        <is>
          <t xml:space="preserve">How often did this happen? </t>
        </is>
      </c>
      <c r="D267" s="228" t="n"/>
      <c r="E267" s="79" t="n"/>
      <c r="F267" s="94" t="n"/>
      <c r="G267" s="110" t="inlineStr">
        <is>
          <t>true</t>
        </is>
      </c>
      <c r="H267" s="110" t="n"/>
      <c r="I267" s="110" t="n"/>
      <c r="J267" s="110" t="n"/>
      <c r="K267" s="110" t="inlineStr">
        <is>
          <t>${fies_hungry} = '1'</t>
        </is>
      </c>
      <c r="L267" s="110" t="n"/>
      <c r="M267" s="110" t="n"/>
      <c r="N267" s="110" t="n"/>
      <c r="S267" s="77" t="inlineStr">
        <is>
          <t>yes</t>
        </is>
      </c>
      <c r="U267" s="287" t="n">
        <v>8.980183601379395</v>
      </c>
      <c r="V267" s="99" t="n">
        <v>1</v>
      </c>
      <c r="W267" s="288">
        <f>IF(U267&lt;&gt;"",U267*V267,"")</f>
        <v/>
      </c>
      <c r="X267" s="288">
        <f>IF(AND(U267&lt;&gt;"",S267="yes"),U267*V267,"")</f>
        <v/>
      </c>
    </row>
    <row r="268" ht="31.95" customFormat="1" customHeight="1" s="77">
      <c r="A268" s="79" t="inlineStr">
        <is>
          <t>select_one yes_no</t>
        </is>
      </c>
      <c r="B268" s="79" t="inlineStr">
        <is>
          <t>fies_whlday</t>
        </is>
      </c>
      <c r="C268" s="240" t="inlineStr">
        <is>
          <t>In the *past 30 days*, did you or any household member ever **go a whole day and night without eating anything at all** because there was not enough food?</t>
        </is>
      </c>
      <c r="D268" s="227" t="n"/>
      <c r="E268" s="79" t="n"/>
      <c r="F268" s="94" t="n"/>
      <c r="G268" s="110" t="inlineStr">
        <is>
          <t>true</t>
        </is>
      </c>
      <c r="H268" s="110" t="n"/>
      <c r="I268" s="110" t="n"/>
      <c r="J268" s="110" t="n"/>
      <c r="K268" s="110" t="n"/>
      <c r="L268" s="110" t="n"/>
      <c r="M268" s="110" t="n"/>
      <c r="N268" s="110" t="n"/>
      <c r="S268" s="77" t="inlineStr">
        <is>
          <t>yes</t>
        </is>
      </c>
      <c r="U268" s="287" t="n">
        <v>11.08932876586914</v>
      </c>
      <c r="V268" s="99" t="n">
        <v>1</v>
      </c>
      <c r="W268" s="288">
        <f>IF(U268&lt;&gt;"",U268*V268,"")</f>
        <v/>
      </c>
      <c r="X268" s="288">
        <f>IF(AND(U268&lt;&gt;"",S268="yes"),U268*V268,"")</f>
        <v/>
      </c>
    </row>
    <row r="269" ht="16.2" customFormat="1" customHeight="1" s="77">
      <c r="A269" s="79" t="inlineStr">
        <is>
          <t>select_one frequency</t>
        </is>
      </c>
      <c r="B269" s="79" t="inlineStr">
        <is>
          <t>fies_whlday_hhs</t>
        </is>
      </c>
      <c r="C269" s="240" t="inlineStr">
        <is>
          <t xml:space="preserve">How often did this happen? </t>
        </is>
      </c>
      <c r="D269" s="228" t="n"/>
      <c r="E269" s="79" t="n"/>
      <c r="F269" s="94" t="n"/>
      <c r="G269" s="110" t="inlineStr">
        <is>
          <t>true</t>
        </is>
      </c>
      <c r="H269" s="110" t="n"/>
      <c r="I269" s="110" t="n"/>
      <c r="J269" s="110" t="n"/>
      <c r="K269" s="110" t="inlineStr">
        <is>
          <t>${fies_whlday} = '1'</t>
        </is>
      </c>
      <c r="L269" s="110" t="n"/>
      <c r="M269" s="110" t="n"/>
      <c r="N269" s="110" t="n"/>
      <c r="S269" s="77" t="inlineStr">
        <is>
          <t>yes</t>
        </is>
      </c>
      <c r="U269" s="287" t="n">
        <v>8.06833553314209</v>
      </c>
      <c r="V269" s="99" t="n">
        <v>1</v>
      </c>
      <c r="W269" s="288">
        <f>IF(U269&lt;&gt;"",U269*V269,"")</f>
        <v/>
      </c>
      <c r="X269" s="288">
        <f>IF(AND(U269&lt;&gt;"",S269="yes"),U269*V269,"")</f>
        <v/>
      </c>
    </row>
    <row r="270">
      <c r="A270" s="79" t="inlineStr">
        <is>
          <t>end_group</t>
        </is>
      </c>
      <c r="B270" s="79" t="n"/>
      <c r="C270" s="237" t="n"/>
      <c r="D270" s="85" t="n"/>
      <c r="E270" s="76" t="n"/>
      <c r="F270" s="86" t="n"/>
      <c r="G270" s="108" t="n"/>
      <c r="H270" s="108" t="n"/>
      <c r="I270" s="108" t="n"/>
      <c r="J270" s="108" t="n"/>
      <c r="K270" s="108" t="n"/>
      <c r="L270" s="108" t="n"/>
      <c r="M270" s="108" t="n"/>
      <c r="N270" s="108" t="n"/>
      <c r="U270" s="287" t="n"/>
      <c r="V270" s="99" t="n">
        <v>1</v>
      </c>
      <c r="W270" s="288">
        <f>IF(U270&lt;&gt;"",U270*V270,"")</f>
        <v/>
      </c>
      <c r="X270" s="288">
        <f>IF(AND(U270&lt;&gt;"",S270="yes"),U270*V270,"")</f>
        <v/>
      </c>
    </row>
    <row r="271">
      <c r="A271" s="77" t="n"/>
      <c r="B271" s="77" t="n"/>
      <c r="D271" s="85" t="n"/>
      <c r="F271" s="86" t="n"/>
      <c r="U271" s="287" t="n"/>
      <c r="V271" s="99" t="n"/>
      <c r="W271" s="288">
        <f>IF(U271&lt;&gt;"",U271*V271,"")</f>
        <v/>
      </c>
      <c r="X271" s="288">
        <f>IF(AND(U271&lt;&gt;"",S271="yes"),U271*V271,"")</f>
        <v/>
      </c>
    </row>
    <row r="272" ht="16.2" customFormat="1" customHeight="1" s="211">
      <c r="A272" s="77" t="inlineStr">
        <is>
          <t>begin_group</t>
        </is>
      </c>
      <c r="B272" s="77" t="inlineStr">
        <is>
          <t>intro_cs</t>
        </is>
      </c>
      <c r="C272" s="279" t="inlineStr">
        <is>
          <t>LCSI</t>
        </is>
      </c>
      <c r="D272" s="159" t="n"/>
      <c r="F272" s="81" t="n"/>
      <c r="G272" s="109" t="n"/>
      <c r="H272" s="109" t="n"/>
      <c r="I272" s="109" t="n"/>
      <c r="J272" s="109" t="n"/>
      <c r="K272" s="109" t="n"/>
      <c r="L272" s="109" t="n"/>
      <c r="M272" s="109" t="n"/>
      <c r="N272" s="109" t="n"/>
      <c r="U272" s="289" t="n"/>
      <c r="V272" s="152" t="n">
        <v>1</v>
      </c>
      <c r="W272" s="290">
        <f>IF(U272&lt;&gt;"",U272*V272,"")</f>
        <v/>
      </c>
      <c r="X272" s="290">
        <f>IF(AND(U272&lt;&gt;"",S272="yes"),U272*V272,"")</f>
        <v/>
      </c>
    </row>
    <row r="273" ht="79.95" customFormat="1" customHeight="1" s="211">
      <c r="A273" s="77" t="inlineStr">
        <is>
          <t>note</t>
        </is>
      </c>
      <c r="B273" s="77" t="inlineStr">
        <is>
          <t>copingstrategies</t>
        </is>
      </c>
      <c r="C273" s="244" t="inlineStr">
        <is>
          <t xml:space="preserve">Now I would like to ask you about the 2nd set of questions on coping strategies, referring to the *past 30 days*. Think about whether you or anyone in your household had to resort to the following strategies that you would otherwise avoid because you **did not have enough food or money to feed the household members**. </t>
        </is>
      </c>
      <c r="D273" s="92" t="n"/>
      <c r="F273" s="81" t="n"/>
      <c r="G273" s="109" t="n"/>
      <c r="H273" s="109" t="n"/>
      <c r="I273" s="109" t="n"/>
      <c r="J273" s="109" t="n"/>
      <c r="K273" s="109" t="n"/>
      <c r="L273" s="109" t="n"/>
      <c r="M273" s="109" t="n"/>
      <c r="N273" s="109" t="n"/>
      <c r="S273" s="211" t="inlineStr">
        <is>
          <t>no</t>
        </is>
      </c>
      <c r="U273" s="289" t="n">
        <v>5.711253643035889</v>
      </c>
      <c r="V273" s="152" t="n">
        <v>1</v>
      </c>
      <c r="W273" s="290">
        <f>IF(U273&lt;&gt;"",U273*V273,"")</f>
        <v/>
      </c>
      <c r="X273" s="290">
        <f>IF(AND(U273&lt;&gt;"",S273="yes"),U273*V273,"")</f>
        <v/>
      </c>
    </row>
    <row r="274" ht="31.95" customFormat="1" customHeight="1" s="153">
      <c r="A274" s="199" t="inlineStr">
        <is>
          <t>select_one coping</t>
        </is>
      </c>
      <c r="B274" s="199" t="inlineStr">
        <is>
          <t>cs_stress_hh_assets</t>
        </is>
      </c>
      <c r="C274" s="275" t="inlineStr">
        <is>
          <t>**sell non-productive household assets / goods** (clothes, carpet, furniture, radio, television, refrigerator, jewelry, etc.)</t>
        </is>
      </c>
      <c r="D274" s="253" t="n"/>
      <c r="F274" s="100" t="n"/>
      <c r="G274" s="109" t="inlineStr">
        <is>
          <t>true</t>
        </is>
      </c>
      <c r="H274" s="154" t="n"/>
      <c r="I274" s="154" t="n"/>
      <c r="J274" s="154" t="n"/>
      <c r="K274" s="154" t="n"/>
      <c r="L274" s="154" t="n"/>
      <c r="M274" s="154" t="n"/>
      <c r="N274" s="154" t="n"/>
      <c r="S274" s="211" t="inlineStr">
        <is>
          <t>no</t>
        </is>
      </c>
      <c r="U274" s="287" t="n">
        <v>19.85153007507324</v>
      </c>
      <c r="V274" s="99" t="n">
        <v>1</v>
      </c>
      <c r="W274" s="288">
        <f>IF(U274&lt;&gt;"",U274*V274,"")</f>
        <v/>
      </c>
      <c r="X274" s="288">
        <f>IF(AND(U274&lt;&gt;"",S274="yes"),U274*V274,"")</f>
        <v/>
      </c>
      <c r="Y274" s="77" t="n"/>
    </row>
    <row r="275" customFormat="1" s="153">
      <c r="A275" s="199" t="inlineStr">
        <is>
          <t>select_one coping</t>
        </is>
      </c>
      <c r="B275" s="199" t="inlineStr">
        <is>
          <t>cs_stress_spent_savings</t>
        </is>
      </c>
      <c r="C275" s="280" t="inlineStr">
        <is>
          <t>**spend savings and skipped debt payment**</t>
        </is>
      </c>
      <c r="D275" s="253" t="n"/>
      <c r="F275" s="100" t="n"/>
      <c r="G275" s="109" t="inlineStr">
        <is>
          <t>true</t>
        </is>
      </c>
      <c r="H275" s="154" t="n"/>
      <c r="I275" s="154" t="n"/>
      <c r="J275" s="154" t="n"/>
      <c r="K275" s="154" t="n"/>
      <c r="L275" s="154" t="n"/>
      <c r="M275" s="154" t="n"/>
      <c r="N275" s="154" t="n"/>
      <c r="S275" s="211" t="inlineStr">
        <is>
          <t>no</t>
        </is>
      </c>
      <c r="U275" s="287" t="n">
        <v>15.43667125701904</v>
      </c>
      <c r="V275" s="99" t="n">
        <v>1</v>
      </c>
      <c r="W275" s="288">
        <f>IF(U275&lt;&gt;"",U275*V275,"")</f>
        <v/>
      </c>
      <c r="X275" s="288">
        <f>IF(AND(U275&lt;&gt;"",S275="yes"),U275*V275,"")</f>
        <v/>
      </c>
      <c r="Y275" s="77" t="n"/>
    </row>
    <row r="276" customFormat="1" s="153">
      <c r="A276" s="199" t="inlineStr">
        <is>
          <t>select_one coping</t>
        </is>
      </c>
      <c r="B276" s="199" t="inlineStr">
        <is>
          <t>cs_stress_sold_more_animals</t>
        </is>
      </c>
      <c r="C276" s="280" t="inlineStr">
        <is>
          <t>**sell more animals (non-productive) than usual (on a sustainable basis)**</t>
        </is>
      </c>
      <c r="D276" s="253" t="n"/>
      <c r="F276" s="100" t="n"/>
      <c r="G276" s="109" t="inlineStr">
        <is>
          <t>true</t>
        </is>
      </c>
      <c r="H276" s="154" t="n"/>
      <c r="I276" s="154" t="n"/>
      <c r="J276" s="154" t="n"/>
      <c r="K276" s="154" t="n"/>
      <c r="L276" s="154" t="n"/>
      <c r="M276" s="154" t="n"/>
      <c r="N276" s="154" t="n"/>
      <c r="S276" s="211" t="inlineStr">
        <is>
          <t>no</t>
        </is>
      </c>
      <c r="U276" s="287" t="n">
        <v>13.39993858337402</v>
      </c>
      <c r="V276" s="99" t="n">
        <v>1</v>
      </c>
      <c r="W276" s="288">
        <f>IF(U276&lt;&gt;"",U276*V276,"")</f>
        <v/>
      </c>
      <c r="X276" s="288">
        <f>IF(AND(U276&lt;&gt;"",S276="yes"),U276*V276,"")</f>
        <v/>
      </c>
      <c r="Y276" s="77" t="n"/>
    </row>
    <row r="277" customFormat="1" s="153">
      <c r="A277" s="199" t="inlineStr">
        <is>
          <t>select_one coping</t>
        </is>
      </c>
      <c r="B277" s="199" t="inlineStr">
        <is>
          <t>cs_stress_borrowed_money</t>
        </is>
      </c>
      <c r="C277" s="280" t="inlineStr">
        <is>
          <t>**borrow money (from a formal lender/bank/non-relatives)**</t>
        </is>
      </c>
      <c r="D277" s="253" t="n"/>
      <c r="F277" s="100" t="n"/>
      <c r="G277" s="109" t="inlineStr">
        <is>
          <t>true</t>
        </is>
      </c>
      <c r="H277" s="154" t="n"/>
      <c r="I277" s="154" t="n"/>
      <c r="J277" s="154" t="n"/>
      <c r="K277" s="154" t="n"/>
      <c r="L277" s="154" t="n"/>
      <c r="M277" s="154" t="n"/>
      <c r="N277" s="154" t="n"/>
      <c r="S277" s="211" t="inlineStr">
        <is>
          <t>no</t>
        </is>
      </c>
      <c r="U277" s="287" t="n">
        <v>14.62593364715576</v>
      </c>
      <c r="V277" s="99" t="n">
        <v>1</v>
      </c>
      <c r="W277" s="288">
        <f>IF(U277&lt;&gt;"",U277*V277,"")</f>
        <v/>
      </c>
      <c r="X277" s="288">
        <f>IF(AND(U277&lt;&gt;"",S277="yes"),U277*V277,"")</f>
        <v/>
      </c>
      <c r="Y277" s="77" t="n"/>
    </row>
    <row r="278" customFormat="1" s="153">
      <c r="A278" s="199" t="inlineStr">
        <is>
          <t>select_one coping</t>
        </is>
      </c>
      <c r="B278" s="199" t="inlineStr">
        <is>
          <t>cs_stress_reduced_expenses</t>
        </is>
      </c>
      <c r="C278" s="280" t="inlineStr">
        <is>
          <t>**reduce essential non-food expenses on health (including drugs) and education**</t>
        </is>
      </c>
      <c r="D278" s="253" t="n"/>
      <c r="F278" s="100" t="n"/>
      <c r="G278" s="109" t="inlineStr">
        <is>
          <t>true</t>
        </is>
      </c>
      <c r="H278" s="154" t="n"/>
      <c r="I278" s="154" t="n"/>
      <c r="J278" s="154" t="n"/>
      <c r="K278" s="154" t="n"/>
      <c r="L278" s="154" t="n"/>
      <c r="M278" s="154" t="n"/>
      <c r="N278" s="154" t="n"/>
      <c r="S278" s="211" t="inlineStr">
        <is>
          <t>no</t>
        </is>
      </c>
      <c r="U278" s="287" t="n">
        <v>11.78780174255371</v>
      </c>
      <c r="V278" s="99" t="n">
        <v>1</v>
      </c>
      <c r="W278" s="288">
        <f>IF(U278&lt;&gt;"",U278*V278,"")</f>
        <v/>
      </c>
      <c r="X278" s="288">
        <f>IF(AND(U278&lt;&gt;"",S278="yes"),U278*V278,"")</f>
        <v/>
      </c>
      <c r="Y278" s="77" t="n"/>
    </row>
    <row r="279" customFormat="1" s="153">
      <c r="A279" s="199" t="inlineStr">
        <is>
          <t>select_one coping</t>
        </is>
      </c>
      <c r="B279" s="199" t="inlineStr">
        <is>
          <t>cs_crisis_harvest_immature_crops</t>
        </is>
      </c>
      <c r="C279" s="280" t="inlineStr">
        <is>
          <t>**Harvest immature crops or let animals graze immature crops**</t>
        </is>
      </c>
      <c r="D279" s="253" t="n"/>
      <c r="F279" s="100" t="n"/>
      <c r="G279" s="109" t="inlineStr">
        <is>
          <t>true</t>
        </is>
      </c>
      <c r="H279" s="154" t="n"/>
      <c r="I279" s="154" t="n"/>
      <c r="J279" s="154" t="n"/>
      <c r="K279" s="154" t="n"/>
      <c r="L279" s="154" t="n"/>
      <c r="M279" s="154" t="n"/>
      <c r="N279" s="154" t="n"/>
      <c r="S279" s="211" t="inlineStr">
        <is>
          <t>no</t>
        </is>
      </c>
      <c r="U279" s="287" t="n">
        <v>12.4080867767334</v>
      </c>
      <c r="V279" s="99" t="n">
        <v>1</v>
      </c>
      <c r="W279" s="288">
        <f>IF(U279&lt;&gt;"",U279*V279,"")</f>
        <v/>
      </c>
      <c r="X279" s="288">
        <f>IF(AND(U279&lt;&gt;"",S279="yes"),U279*V279,"")</f>
        <v/>
      </c>
      <c r="Y279" s="77" t="n"/>
    </row>
    <row r="280" ht="31.95" customFormat="1" customHeight="1" s="153">
      <c r="A280" s="199" t="inlineStr">
        <is>
          <t>select_one coping</t>
        </is>
      </c>
      <c r="B280" s="199" t="inlineStr">
        <is>
          <t>cs_crisis_sell_prod_assets</t>
        </is>
      </c>
      <c r="C280" s="275" t="inlineStr">
        <is>
          <t xml:space="preserve">**sell productive assets or means of transport** (sewing machine, wheelbarrow, tools, animals, bicycle, motorbike, car, etc.) </t>
        </is>
      </c>
      <c r="D280" s="253" t="n"/>
      <c r="F280" s="100" t="n"/>
      <c r="G280" s="109" t="inlineStr">
        <is>
          <t>true</t>
        </is>
      </c>
      <c r="H280" s="154" t="n"/>
      <c r="I280" s="154" t="n"/>
      <c r="J280" s="154" t="n"/>
      <c r="K280" s="154" t="n"/>
      <c r="L280" s="154" t="n"/>
      <c r="M280" s="154" t="n"/>
      <c r="N280" s="154" t="n"/>
      <c r="S280" s="211" t="inlineStr">
        <is>
          <t>no</t>
        </is>
      </c>
      <c r="U280" s="287" t="n">
        <v>9.289467811584473</v>
      </c>
      <c r="V280" s="99" t="n">
        <v>1</v>
      </c>
      <c r="W280" s="288">
        <f>IF(U280&lt;&gt;"",U280*V280,"")</f>
        <v/>
      </c>
      <c r="X280" s="288">
        <f>IF(AND(U280&lt;&gt;"",S280="yes"),U280*V280,"")</f>
        <v/>
      </c>
      <c r="Y280" s="77" t="n"/>
    </row>
    <row r="281" customFormat="1" s="153">
      <c r="A281" s="199" t="inlineStr">
        <is>
          <t>select_one coping</t>
        </is>
      </c>
      <c r="B281" s="199" t="inlineStr">
        <is>
          <t>cs_crisis_consumed_seed_stocks</t>
        </is>
      </c>
      <c r="C281" s="280" t="inlineStr">
        <is>
          <t>**consume seed stocks that were to be held/saved for the next planting season**</t>
        </is>
      </c>
      <c r="D281" s="253" t="n"/>
      <c r="F281" s="100" t="n"/>
      <c r="G281" s="109" t="inlineStr">
        <is>
          <t>true</t>
        </is>
      </c>
      <c r="H281" s="154" t="n"/>
      <c r="I281" s="154" t="n"/>
      <c r="J281" s="154" t="n"/>
      <c r="K281" s="154" t="n"/>
      <c r="L281" s="154" t="n"/>
      <c r="M281" s="154" t="n"/>
      <c r="N281" s="154" t="n"/>
      <c r="S281" s="211" t="inlineStr">
        <is>
          <t>no</t>
        </is>
      </c>
      <c r="U281" s="287" t="n">
        <v>12</v>
      </c>
      <c r="V281" s="99" t="n">
        <v>1</v>
      </c>
      <c r="W281" s="288">
        <f>IF(U281&lt;&gt;"",U281*V281,"")</f>
        <v/>
      </c>
      <c r="X281" s="288">
        <f>IF(AND(U281&lt;&gt;"",S281="yes"),U281*V281,"")</f>
        <v/>
      </c>
      <c r="Y281" s="77" t="n"/>
    </row>
    <row r="282" customFormat="1" s="153">
      <c r="A282" s="199" t="inlineStr">
        <is>
          <t>select_one coping</t>
        </is>
      </c>
      <c r="B282" s="199" t="inlineStr">
        <is>
          <t>cs_crisis_decrease_expend_farming_inputs</t>
        </is>
      </c>
      <c r="C282" s="280" t="inlineStr">
        <is>
          <t>**decrease expenditures on farming  or livestock inputs** (fertilizer, pesticide, seeds etc.)</t>
        </is>
      </c>
      <c r="D282" s="253" t="n"/>
      <c r="F282" s="100" t="n"/>
      <c r="G282" s="109" t="inlineStr">
        <is>
          <t>true</t>
        </is>
      </c>
      <c r="H282" s="154" t="n"/>
      <c r="I282" s="154" t="n"/>
      <c r="J282" s="154" t="n"/>
      <c r="K282" s="154" t="n"/>
      <c r="L282" s="154" t="n"/>
      <c r="M282" s="154" t="n"/>
      <c r="N282" s="154" t="n"/>
      <c r="S282" s="211" t="inlineStr">
        <is>
          <t>no</t>
        </is>
      </c>
      <c r="U282" s="287" t="n">
        <v>14.41095890410959</v>
      </c>
      <c r="V282" s="99" t="n">
        <v>1</v>
      </c>
      <c r="W282" s="288">
        <f>IF(U282&lt;&gt;"",U282*V282,"")</f>
        <v/>
      </c>
      <c r="X282" s="288">
        <f>IF(AND(U282&lt;&gt;"",S282="yes"),U282*V282,"")</f>
        <v/>
      </c>
      <c r="Y282" s="77" t="n"/>
    </row>
    <row r="283" customFormat="1" s="153">
      <c r="A283" s="199" t="inlineStr">
        <is>
          <t>select_one coping</t>
        </is>
      </c>
      <c r="B283" s="199" t="inlineStr">
        <is>
          <t>cs_crisis_school_child</t>
        </is>
      </c>
      <c r="C283" s="280" t="inlineStr">
        <is>
          <t xml:space="preserve">**withdraw children from school** </t>
        </is>
      </c>
      <c r="D283" s="253" t="n"/>
      <c r="F283" s="100" t="n"/>
      <c r="G283" s="109" t="inlineStr">
        <is>
          <t>true</t>
        </is>
      </c>
      <c r="H283" s="154" t="n"/>
      <c r="I283" s="154" t="n"/>
      <c r="J283" s="154" t="n"/>
      <c r="K283" s="154" t="n"/>
      <c r="L283" s="154" t="n"/>
      <c r="M283" s="154" t="n"/>
      <c r="N283" s="154" t="n"/>
      <c r="S283" s="211" t="inlineStr">
        <is>
          <t>no</t>
        </is>
      </c>
      <c r="U283" s="287" t="n">
        <v>15.40838527679443</v>
      </c>
      <c r="V283" s="99" t="n">
        <v>1</v>
      </c>
      <c r="W283" s="288">
        <f>IF(U283&lt;&gt;"",U283*V283,"")</f>
        <v/>
      </c>
      <c r="X283" s="288">
        <f>IF(AND(U283&lt;&gt;"",S283="yes"),U283*V283,"")</f>
        <v/>
      </c>
      <c r="Y283" s="77" t="n"/>
    </row>
    <row r="284" customFormat="1" s="153">
      <c r="A284" s="199" t="inlineStr">
        <is>
          <t>select_one coping</t>
        </is>
      </c>
      <c r="B284" s="199" t="inlineStr">
        <is>
          <t>cs_crisis_sell_all_prod_animals</t>
        </is>
      </c>
      <c r="C284" s="280" t="inlineStr">
        <is>
          <t>**sell all productive animals**</t>
        </is>
      </c>
      <c r="D284" s="253" t="n"/>
      <c r="F284" s="100" t="n"/>
      <c r="G284" s="109" t="inlineStr">
        <is>
          <t>true</t>
        </is>
      </c>
      <c r="H284" s="154" t="n"/>
      <c r="I284" s="154" t="n"/>
      <c r="J284" s="154" t="n"/>
      <c r="K284" s="154" t="n"/>
      <c r="L284" s="154" t="n"/>
      <c r="M284" s="154" t="n"/>
      <c r="N284" s="154" t="n"/>
      <c r="S284" s="211" t="inlineStr">
        <is>
          <t>no</t>
        </is>
      </c>
      <c r="U284" s="287" t="n">
        <v>15.54398632049561</v>
      </c>
      <c r="V284" s="99" t="n">
        <v>1</v>
      </c>
      <c r="W284" s="288">
        <f>IF(U284&lt;&gt;"",U284*V284,"")</f>
        <v/>
      </c>
      <c r="X284" s="288">
        <f>IF(AND(U284&lt;&gt;"",S284="yes"),U284*V284,"")</f>
        <v/>
      </c>
      <c r="Y284" s="77" t="n"/>
    </row>
    <row r="285" ht="31.95" customFormat="1" customHeight="1" s="153">
      <c r="A285" s="199" t="inlineStr">
        <is>
          <t>select_one coping</t>
        </is>
      </c>
      <c r="B285" s="199" t="inlineStr">
        <is>
          <t>cs_crisis_send_family_members_wage_labour</t>
        </is>
      </c>
      <c r="C285" s="275" t="inlineStr">
        <is>
          <t>**send family members for wage labour**(near villages/district center or provincial center)</t>
        </is>
      </c>
      <c r="D285" s="253" t="n"/>
      <c r="F285" s="100" t="n"/>
      <c r="G285" s="109" t="inlineStr">
        <is>
          <t>true</t>
        </is>
      </c>
      <c r="H285" s="154" t="n"/>
      <c r="I285" s="154" t="n"/>
      <c r="J285" s="154" t="n"/>
      <c r="K285" s="154" t="n"/>
      <c r="L285" s="154" t="n"/>
      <c r="M285" s="154" t="n"/>
      <c r="N285" s="154" t="n"/>
      <c r="S285" s="211" t="inlineStr">
        <is>
          <t>no</t>
        </is>
      </c>
      <c r="U285" s="287" t="n">
        <v>12.99618148803711</v>
      </c>
      <c r="V285" s="99" t="n">
        <v>1</v>
      </c>
      <c r="W285" s="288">
        <f>IF(U285&lt;&gt;"",U285*V285,"")</f>
        <v/>
      </c>
      <c r="X285" s="288">
        <f>IF(AND(U285&lt;&gt;"",S285="yes"),U285*V285,"")</f>
        <v/>
      </c>
      <c r="Y285" s="77" t="n"/>
    </row>
    <row r="286" customFormat="1" s="153">
      <c r="A286" s="199" t="inlineStr">
        <is>
          <t>select_one coping</t>
        </is>
      </c>
      <c r="B286" s="199" t="inlineStr">
        <is>
          <t>cs_emergency_migr_child</t>
        </is>
      </c>
      <c r="C286" s="280" t="inlineStr">
        <is>
          <t>**have child (under 15) household members migrate**</t>
        </is>
      </c>
      <c r="D286" s="253" t="n"/>
      <c r="F286" s="100" t="n"/>
      <c r="G286" s="109" t="inlineStr">
        <is>
          <t>true</t>
        </is>
      </c>
      <c r="H286" s="154" t="n"/>
      <c r="I286" s="154" t="n"/>
      <c r="J286" s="154" t="n"/>
      <c r="K286" s="154" t="n"/>
      <c r="L286" s="154" t="n"/>
      <c r="M286" s="154" t="n"/>
      <c r="N286" s="154" t="n"/>
      <c r="S286" s="211" t="inlineStr">
        <is>
          <t>no</t>
        </is>
      </c>
      <c r="U286" s="287" t="n">
        <v>14.75238990783691</v>
      </c>
      <c r="V286" s="99" t="n">
        <v>1</v>
      </c>
      <c r="W286" s="288">
        <f>IF(U286&lt;&gt;"",U286*V286,"")</f>
        <v/>
      </c>
      <c r="X286" s="288">
        <f>IF(AND(U286&lt;&gt;"",S286="yes"),U286*V286,"")</f>
        <v/>
      </c>
      <c r="Y286" s="77" t="n"/>
    </row>
    <row r="287" customFormat="1" s="153">
      <c r="A287" s="199" t="inlineStr">
        <is>
          <t>select_one coping</t>
        </is>
      </c>
      <c r="B287" s="199" t="inlineStr">
        <is>
          <t>cs_emergency_sell_land_all_herd</t>
        </is>
      </c>
      <c r="C287" s="280" t="inlineStr">
        <is>
          <t>**Sell house or all your land (cultivable) or entire herd**</t>
        </is>
      </c>
      <c r="D287" s="253" t="n"/>
      <c r="F287" s="100" t="n"/>
      <c r="G287" s="109" t="inlineStr">
        <is>
          <t>true</t>
        </is>
      </c>
      <c r="H287" s="154" t="n"/>
      <c r="I287" s="154" t="n"/>
      <c r="J287" s="154" t="n"/>
      <c r="K287" s="154" t="n"/>
      <c r="L287" s="154" t="n"/>
      <c r="M287" s="154" t="n"/>
      <c r="N287" s="154" t="n"/>
      <c r="S287" s="211" t="inlineStr">
        <is>
          <t>no</t>
        </is>
      </c>
      <c r="U287" s="287" t="n">
        <v>10.66811275482178</v>
      </c>
      <c r="V287" s="99" t="n">
        <v>1</v>
      </c>
      <c r="W287" s="288">
        <f>IF(U287&lt;&gt;"",U287*V287,"")</f>
        <v/>
      </c>
      <c r="X287" s="288">
        <f>IF(AND(U287&lt;&gt;"",S287="yes"),U287*V287,"")</f>
        <v/>
      </c>
      <c r="Y287" s="77" t="n"/>
    </row>
    <row r="288" ht="31.95" customFormat="1" customHeight="1" s="153">
      <c r="A288" s="199" t="inlineStr">
        <is>
          <t>select_one coping</t>
        </is>
      </c>
      <c r="B288" s="199" t="inlineStr">
        <is>
          <t>cs_emergency_hh_migration</t>
        </is>
      </c>
      <c r="C288" s="275" t="inlineStr">
        <is>
          <t>**migrate with the whole household**(typical migration for job search not included)</t>
        </is>
      </c>
      <c r="D288" s="253" t="n"/>
      <c r="F288" s="100" t="n"/>
      <c r="G288" s="109" t="inlineStr">
        <is>
          <t>true</t>
        </is>
      </c>
      <c r="H288" s="154" t="n"/>
      <c r="I288" s="154" t="n"/>
      <c r="J288" s="154" t="n"/>
      <c r="K288" s="154" t="n"/>
      <c r="L288" s="154" t="n"/>
      <c r="M288" s="154" t="n"/>
      <c r="N288" s="154" t="n"/>
      <c r="S288" s="211" t="inlineStr">
        <is>
          <t>no</t>
        </is>
      </c>
      <c r="U288" s="287" t="n">
        <v>9.716710090637207</v>
      </c>
      <c r="V288" s="99" t="n">
        <v>1</v>
      </c>
      <c r="W288" s="288">
        <f>IF(U288&lt;&gt;"",U288*V288,"")</f>
        <v/>
      </c>
      <c r="X288" s="288">
        <f>IF(AND(U288&lt;&gt;"",S288="yes"),U288*V288,"")</f>
        <v/>
      </c>
      <c r="Y288" s="77" t="n"/>
    </row>
    <row r="289">
      <c r="A289" s="211" t="inlineStr">
        <is>
          <t>end_group</t>
        </is>
      </c>
      <c r="B289" s="211" t="n"/>
      <c r="C289" s="238" t="n"/>
      <c r="D289" s="85" t="n"/>
      <c r="F289" s="86" t="n"/>
      <c r="G289" s="109" t="n"/>
      <c r="U289" s="287" t="n"/>
      <c r="V289" s="99" t="n">
        <v>1</v>
      </c>
      <c r="W289" s="288">
        <f>IF(U289&lt;&gt;"",U289*V289,"")</f>
        <v/>
      </c>
      <c r="X289" s="288">
        <f>IF(AND(U289&lt;&gt;"",S289="yes"),U289*V289,"")</f>
        <v/>
      </c>
    </row>
    <row r="290">
      <c r="A290" s="77" t="n"/>
      <c r="B290" s="77" t="n"/>
      <c r="D290" s="85" t="n"/>
      <c r="F290" s="86" t="n"/>
      <c r="U290" s="287" t="n"/>
      <c r="V290" s="99" t="n"/>
      <c r="W290" s="288">
        <f>IF(U290&lt;&gt;"",U290*V290,"")</f>
        <v/>
      </c>
      <c r="X290" s="288">
        <f>IF(AND(U290&lt;&gt;"",S290="yes"),U290*V290,"")</f>
        <v/>
      </c>
    </row>
    <row r="291" ht="16.2" customHeight="1">
      <c r="A291" s="79" t="inlineStr">
        <is>
          <t>begin_group</t>
        </is>
      </c>
      <c r="B291" s="79" t="inlineStr">
        <is>
          <t>hdds</t>
        </is>
      </c>
      <c r="C291" s="234" t="inlineStr">
        <is>
          <t>HDDS</t>
        </is>
      </c>
      <c r="D291" s="72" t="n"/>
      <c r="E291" s="76" t="n"/>
      <c r="F291" s="86" t="n"/>
      <c r="G291" s="108" t="n"/>
      <c r="H291" s="108" t="n"/>
      <c r="I291" s="108" t="n"/>
      <c r="J291" s="108" t="n"/>
      <c r="K291" s="108" t="n"/>
      <c r="L291" s="108" t="n"/>
      <c r="M291" s="108" t="n"/>
      <c r="N291" s="108" t="n"/>
      <c r="U291" s="287" t="n"/>
      <c r="V291" s="99" t="n">
        <v>1</v>
      </c>
      <c r="W291" s="288">
        <f>IF(U291&lt;&gt;"",U291*V291,"")</f>
        <v/>
      </c>
      <c r="X291" s="288">
        <f>IF(AND(U291&lt;&gt;"",S291="yes"),U291*V291,"")</f>
        <v/>
      </c>
    </row>
    <row r="292" ht="31.95" customHeight="1">
      <c r="A292" s="76" t="inlineStr">
        <is>
          <t>note</t>
        </is>
      </c>
      <c r="B292" s="76" t="inlineStr">
        <is>
          <t>hdds_intro</t>
        </is>
      </c>
      <c r="C292" s="237" t="inlineStr">
        <is>
          <t>Now I would like to ask you about the 3rd set of questions on food consumption, referring to the *24 hours of yesterday*.</t>
        </is>
      </c>
      <c r="D292" s="92" t="n"/>
      <c r="E292" s="76" t="n"/>
      <c r="F292" s="86" t="n"/>
      <c r="G292" s="108" t="inlineStr">
        <is>
          <t>false</t>
        </is>
      </c>
      <c r="H292" s="108" t="n"/>
      <c r="I292" s="108" t="n"/>
      <c r="J292" s="108" t="n"/>
      <c r="K292" s="108" t="n"/>
      <c r="L292" s="108" t="n"/>
      <c r="M292" s="108" t="n"/>
      <c r="N292" s="108" t="n"/>
      <c r="S292" s="47" t="inlineStr">
        <is>
          <t>yes</t>
        </is>
      </c>
      <c r="U292" s="287" t="n"/>
      <c r="V292" s="99" t="n">
        <v>1</v>
      </c>
      <c r="W292" s="288">
        <f>IF(U292&lt;&gt;"",U292*V292,"")</f>
        <v/>
      </c>
      <c r="X292" s="288">
        <f>IF(AND(U292&lt;&gt;"",S292="yes"),U292*V292,"")</f>
        <v/>
      </c>
    </row>
    <row r="293" ht="48" customHeight="1">
      <c r="A293" s="76" t="inlineStr">
        <is>
          <t>select_multiple hdds</t>
        </is>
      </c>
      <c r="B293" s="76" t="inlineStr">
        <is>
          <t>hdds_</t>
        </is>
      </c>
      <c r="C293" s="237" t="inlineStr">
        <is>
          <t>Please describe the foods (meals and snacks) that you or any household member ate or drank at home yesterday (in the *24 hours of yesterday*: breakfast, lunch, dinner and snacks).</t>
        </is>
      </c>
      <c r="D293" s="92" t="n"/>
      <c r="E293" s="76" t="inlineStr">
        <is>
          <t>[INSTRUCTIONS: SELECT ALL FOOD GROUPS CONSUMED IN THE 24 HOURS OF YESTERDAY AS THE RESPONDENT ANSWERS. MULTIPLE RESPONSES POSSIBLE.]</t>
        </is>
      </c>
      <c r="F293" s="86" t="n"/>
      <c r="G293" s="108" t="inlineStr">
        <is>
          <t>true</t>
        </is>
      </c>
      <c r="H293" s="108" t="n"/>
      <c r="I293" s="108" t="n"/>
      <c r="J293" s="108" t="n"/>
      <c r="K293" s="108" t="n"/>
      <c r="L293" s="108" t="n"/>
      <c r="M293" s="108" t="n"/>
      <c r="N293" s="108" t="n"/>
      <c r="S293" s="47" t="inlineStr">
        <is>
          <t>yes</t>
        </is>
      </c>
      <c r="U293" s="287" t="n">
        <v>72.29513549804688</v>
      </c>
      <c r="V293" s="99" t="n">
        <v>1</v>
      </c>
      <c r="W293" s="288">
        <f>IF(U293&lt;&gt;"",U293*V293,"")</f>
        <v/>
      </c>
      <c r="X293" s="288">
        <f>IF(AND(U293&lt;&gt;"",S293="yes"),U293*V293,"")</f>
        <v/>
      </c>
    </row>
    <row r="294" ht="48" customHeight="1">
      <c r="A294" s="76" t="inlineStr">
        <is>
          <t>note</t>
        </is>
      </c>
      <c r="B294" s="76" t="inlineStr">
        <is>
          <t>hdds_confirmation</t>
        </is>
      </c>
      <c r="C294" s="237" t="inlineStr">
        <is>
          <t>[INSTRUCTIONS: Remember to probe for snacks, special foods given to children or pregnant women, ingredients in mixed dishes. At the end, probe for any food groups not specified.]</t>
        </is>
      </c>
      <c r="D294" s="92" t="n"/>
      <c r="E294" s="76" t="n"/>
      <c r="F294" s="86" t="n"/>
      <c r="G294" s="108" t="inlineStr">
        <is>
          <t>false</t>
        </is>
      </c>
      <c r="H294" s="108" t="n"/>
      <c r="I294" s="108" t="n"/>
      <c r="J294" s="108" t="n"/>
      <c r="K294" s="108" t="n"/>
      <c r="L294" s="108" t="n"/>
      <c r="M294" s="108" t="n"/>
      <c r="N294" s="108" t="n"/>
      <c r="S294" s="47" t="inlineStr">
        <is>
          <t>yes</t>
        </is>
      </c>
      <c r="U294" s="287" t="n">
        <v>3.705221891403198</v>
      </c>
      <c r="V294" s="99" t="n">
        <v>1</v>
      </c>
      <c r="W294" s="288">
        <f>IF(U294&lt;&gt;"",U294*V294,"")</f>
        <v/>
      </c>
      <c r="X294" s="288">
        <f>IF(AND(U294&lt;&gt;"",S294="yes"),U294*V294,"")</f>
        <v/>
      </c>
    </row>
    <row r="295" ht="16.2" customHeight="1">
      <c r="A295" s="76" t="inlineStr">
        <is>
          <t>end_group</t>
        </is>
      </c>
      <c r="B295" s="76" t="n"/>
      <c r="C295" s="237" t="n"/>
      <c r="D295" s="85" t="n"/>
      <c r="E295" s="76" t="n"/>
      <c r="F295" s="86" t="n"/>
      <c r="G295" s="108" t="n"/>
      <c r="H295" s="108" t="n"/>
      <c r="I295" s="108" t="n"/>
      <c r="J295" s="108" t="n"/>
      <c r="K295" s="108" t="n"/>
      <c r="L295" s="108" t="n"/>
      <c r="M295" s="108" t="n"/>
      <c r="N295" s="108" t="n"/>
      <c r="U295" s="287" t="n"/>
      <c r="V295" s="99" t="n">
        <v>1</v>
      </c>
      <c r="W295" s="288">
        <f>IF(U295&lt;&gt;"",U295*V295,"")</f>
        <v/>
      </c>
      <c r="X295" s="288">
        <f>IF(AND(U295&lt;&gt;"",S295="yes"),U295*V295,"")</f>
        <v/>
      </c>
    </row>
    <row r="296">
      <c r="A296" s="77" t="n"/>
      <c r="B296" s="77" t="n"/>
      <c r="D296" s="85" t="n"/>
      <c r="F296" s="86" t="n"/>
      <c r="U296" s="287" t="n"/>
      <c r="V296" s="99" t="n"/>
      <c r="W296" s="288">
        <f>IF(U296&lt;&gt;"",U296*V296,"")</f>
        <v/>
      </c>
      <c r="X296" s="288">
        <f>IF(AND(U296&lt;&gt;"",S296="yes"),U296*V296,"")</f>
        <v/>
      </c>
    </row>
    <row r="297" customFormat="1" s="211">
      <c r="C297" s="238" t="n"/>
      <c r="D297" s="78" t="n"/>
      <c r="F297" s="81" t="n"/>
      <c r="G297" s="109" t="n"/>
      <c r="H297" s="109" t="n"/>
      <c r="I297" s="109" t="n"/>
      <c r="J297" s="109" t="n"/>
      <c r="K297" s="109" t="n"/>
      <c r="L297" s="109" t="n"/>
      <c r="M297" s="109" t="n"/>
      <c r="N297" s="109" t="n"/>
      <c r="U297" s="287" t="n"/>
      <c r="V297" s="99" t="n"/>
      <c r="W297" s="288" t="n"/>
      <c r="X297" s="288">
        <f>IF(AND(U297&lt;&gt;"",S297="yes"),U297*V297,"")</f>
        <v/>
      </c>
      <c r="Y297" s="77" t="n"/>
    </row>
    <row r="298" ht="16.2" customFormat="1" customHeight="1" s="211">
      <c r="A298" s="211" t="inlineStr">
        <is>
          <t>begin_group</t>
        </is>
      </c>
      <c r="B298" s="211" t="inlineStr">
        <is>
          <t>intro_rcsi</t>
        </is>
      </c>
      <c r="C298" s="238" t="inlineStr">
        <is>
          <t>rCSI</t>
        </is>
      </c>
      <c r="D298" s="159" t="n"/>
      <c r="F298" s="81" t="n"/>
      <c r="G298" s="109" t="n"/>
      <c r="H298" s="109" t="n"/>
      <c r="I298" s="109" t="n"/>
      <c r="J298" s="109" t="n"/>
      <c r="K298" s="109" t="n"/>
      <c r="L298" s="109" t="n"/>
      <c r="M298" s="109" t="n"/>
      <c r="N298" s="109" t="n"/>
      <c r="S298" s="211" t="inlineStr">
        <is>
          <t>no</t>
        </is>
      </c>
      <c r="U298" s="287" t="n"/>
      <c r="V298" s="99" t="n">
        <v>1</v>
      </c>
      <c r="W298" s="288">
        <f>IF(U298&lt;&gt;"",U298*V298,"")</f>
        <v/>
      </c>
      <c r="X298" s="288">
        <f>IF(AND(U298&lt;&gt;"",S298="yes"),U298*V298,"")</f>
        <v/>
      </c>
    </row>
    <row r="299" ht="48" customFormat="1" customHeight="1" s="211">
      <c r="A299" s="211" t="inlineStr">
        <is>
          <t>note</t>
        </is>
      </c>
      <c r="B299" s="211" t="inlineStr">
        <is>
          <t>rcsi</t>
        </is>
      </c>
      <c r="C299" s="238" t="inlineStr">
        <is>
          <t>Now I will ask you about the number of days, in *the last 7 days*, during which the household has done some of the actions that I will mention to cope with the lack of food or money to buy food.</t>
        </is>
      </c>
      <c r="D299" s="85" t="n"/>
      <c r="F299" s="81" t="n"/>
      <c r="G299" s="109" t="inlineStr">
        <is>
          <t>false</t>
        </is>
      </c>
      <c r="H299" s="109" t="n"/>
      <c r="I299" s="109" t="n"/>
      <c r="J299" s="109" t="n"/>
      <c r="K299" s="109" t="n"/>
      <c r="L299" s="109" t="n"/>
      <c r="M299" s="109" t="n"/>
      <c r="N299" s="109" t="n"/>
      <c r="S299" s="211" t="inlineStr">
        <is>
          <t>no</t>
        </is>
      </c>
      <c r="U299" s="287" t="n">
        <v>17</v>
      </c>
      <c r="V299" s="99" t="n">
        <v>1</v>
      </c>
      <c r="W299" s="288">
        <f>IF(U299&lt;&gt;"",U299*V299,"")</f>
        <v/>
      </c>
      <c r="X299" s="288">
        <f>IF(AND(U299&lt;&gt;"",S299="yes"),U299*V299,"")</f>
        <v/>
      </c>
    </row>
    <row r="300" ht="31.95" customFormat="1" customHeight="1" s="211">
      <c r="A300" s="211" t="inlineStr">
        <is>
          <t>integer</t>
        </is>
      </c>
      <c r="B300" s="211" t="inlineStr">
        <is>
          <t>rcsi_less_preferred_foods</t>
        </is>
      </c>
      <c r="C300" s="238" t="inlineStr">
        <is>
          <t xml:space="preserve">In *the past 7 days*, how many days did your household **rely on less preferred or less expensive food** due to lack of food/money?  </t>
        </is>
      </c>
      <c r="D300" s="85" t="n"/>
      <c r="E300" s="211" t="inlineStr">
        <is>
          <t>[INSTRUCTIONS: RECORD NUMBER OF DAYS 0 - 7]</t>
        </is>
      </c>
      <c r="F300" s="81" t="n"/>
      <c r="G300" s="109" t="inlineStr">
        <is>
          <t>true</t>
        </is>
      </c>
      <c r="H300" s="109" t="n"/>
      <c r="I300" s="109" t="inlineStr">
        <is>
          <t>.&gt;= 0 and .&lt;=7</t>
        </is>
      </c>
      <c r="J300" s="109" t="inlineStr">
        <is>
          <t>The answer must be between 0 and 7 days</t>
        </is>
      </c>
      <c r="K300" s="109" t="n"/>
      <c r="L300" s="109" t="n"/>
      <c r="M300" s="109" t="n"/>
      <c r="N300" s="109" t="n"/>
      <c r="S300" s="211" t="inlineStr">
        <is>
          <t>no</t>
        </is>
      </c>
      <c r="U300" s="287" t="n">
        <v>17</v>
      </c>
      <c r="V300" s="99" t="n">
        <v>1</v>
      </c>
      <c r="W300" s="288">
        <f>IF(U300&lt;&gt;"",U300*V300,"")</f>
        <v/>
      </c>
      <c r="X300" s="288">
        <f>IF(AND(U300&lt;&gt;"",S300="yes"),U300*V300,"")</f>
        <v/>
      </c>
    </row>
    <row r="301" ht="31.95" customFormat="1" customHeight="1" s="211">
      <c r="A301" s="211" t="inlineStr">
        <is>
          <t>integer</t>
        </is>
      </c>
      <c r="B301" s="211" t="inlineStr">
        <is>
          <t>rcsi_borrowed_food</t>
        </is>
      </c>
      <c r="C301" s="238" t="inlineStr">
        <is>
          <t xml:space="preserve">In the *past 7 days*, how many days did your household **borrow food, or rely on help from a friend or relative** due to lack of food or money to buy food? </t>
        </is>
      </c>
      <c r="D301" s="85" t="n"/>
      <c r="E301" s="211" t="inlineStr">
        <is>
          <t>[INSTRUCTIONS: RECORD NUMBER OF DAYS 0 - 7]</t>
        </is>
      </c>
      <c r="F301" s="81" t="n"/>
      <c r="G301" s="109" t="inlineStr">
        <is>
          <t>true</t>
        </is>
      </c>
      <c r="H301" s="109" t="n"/>
      <c r="I301" s="109" t="inlineStr">
        <is>
          <t>.&gt;= 0 and .&lt;=7</t>
        </is>
      </c>
      <c r="J301" s="109" t="inlineStr">
        <is>
          <t>The answer must be between 0 and 7 days</t>
        </is>
      </c>
      <c r="K301" s="109" t="n"/>
      <c r="L301" s="109" t="n"/>
      <c r="M301" s="109" t="n"/>
      <c r="N301" s="109" t="n"/>
      <c r="S301" s="211" t="inlineStr">
        <is>
          <t>no</t>
        </is>
      </c>
      <c r="U301" s="287" t="n">
        <v>17</v>
      </c>
      <c r="V301" s="99" t="n">
        <v>1</v>
      </c>
      <c r="W301" s="288">
        <f>IF(U301&lt;&gt;"",U301*V301,"")</f>
        <v/>
      </c>
      <c r="X301" s="288">
        <f>IF(AND(U301&lt;&gt;"",S301="yes"),U301*V301,"")</f>
        <v/>
      </c>
    </row>
    <row r="302" ht="31.95" customFormat="1" customHeight="1" s="211">
      <c r="A302" s="211" t="inlineStr">
        <is>
          <t>integer</t>
        </is>
      </c>
      <c r="B302" s="211" t="inlineStr">
        <is>
          <t>rcsi_reduce_number_meals</t>
        </is>
      </c>
      <c r="C302" s="238" t="inlineStr">
        <is>
          <t>In the past 7 days, how many days did your household **reduce the number of meals eaten in a day** due to lack of food or money to buy food?</t>
        </is>
      </c>
      <c r="D302" s="85" t="n"/>
      <c r="E302" s="211" t="inlineStr">
        <is>
          <t>[INSTRUCTIONS: RECORD NUMBER OF DAYS 0 - 7]</t>
        </is>
      </c>
      <c r="F302" s="81" t="n"/>
      <c r="G302" s="109" t="inlineStr">
        <is>
          <t>true</t>
        </is>
      </c>
      <c r="H302" s="109" t="n"/>
      <c r="I302" s="109" t="inlineStr">
        <is>
          <t>.&gt;= 0 and .&lt;=7</t>
        </is>
      </c>
      <c r="J302" s="109" t="inlineStr">
        <is>
          <t>The answer must be between 0 and 7 days</t>
        </is>
      </c>
      <c r="K302" s="109" t="n"/>
      <c r="L302" s="109" t="n"/>
      <c r="M302" s="109" t="n"/>
      <c r="N302" s="109" t="n"/>
      <c r="S302" s="211" t="inlineStr">
        <is>
          <t>no</t>
        </is>
      </c>
      <c r="U302" s="287" t="n">
        <v>17</v>
      </c>
      <c r="V302" s="99" t="n">
        <v>1</v>
      </c>
      <c r="W302" s="288">
        <f>IF(U302&lt;&gt;"",U302*V302,"")</f>
        <v/>
      </c>
      <c r="X302" s="288">
        <f>IF(AND(U302&lt;&gt;"",S302="yes"),U302*V302,"")</f>
        <v/>
      </c>
    </row>
    <row r="303" ht="31.95" customFormat="1" customHeight="1" s="211">
      <c r="A303" s="211" t="inlineStr">
        <is>
          <t>integer</t>
        </is>
      </c>
      <c r="B303" s="211" t="inlineStr">
        <is>
          <t>rcsi_limit_portions</t>
        </is>
      </c>
      <c r="C303" s="238" t="inlineStr">
        <is>
          <t xml:space="preserve">In the *past 7 days*, how many days did your household **limit portion sizes at mealtime** due to lack of food or money to buy food? </t>
        </is>
      </c>
      <c r="D303" s="85" t="n"/>
      <c r="E303" s="211" t="inlineStr">
        <is>
          <t>[INSTRUCTIONS: RECORD NUMBER OF DAYS 0 - 7]</t>
        </is>
      </c>
      <c r="F303" s="81" t="n"/>
      <c r="G303" s="109" t="inlineStr">
        <is>
          <t>true</t>
        </is>
      </c>
      <c r="H303" s="109" t="n"/>
      <c r="I303" s="109" t="inlineStr">
        <is>
          <t>.&gt;= 0 and .&lt;=7</t>
        </is>
      </c>
      <c r="J303" s="109" t="inlineStr">
        <is>
          <t>The answer must be between 0 and 7 days</t>
        </is>
      </c>
      <c r="K303" s="109" t="n"/>
      <c r="L303" s="109" t="n"/>
      <c r="M303" s="109" t="n"/>
      <c r="N303" s="109" t="n"/>
      <c r="S303" s="211" t="inlineStr">
        <is>
          <t>no</t>
        </is>
      </c>
      <c r="U303" s="287" t="n">
        <v>17</v>
      </c>
      <c r="V303" s="99" t="n">
        <v>1</v>
      </c>
      <c r="W303" s="288">
        <f>IF(U303&lt;&gt;"",U303*V303,"")</f>
        <v/>
      </c>
      <c r="X303" s="288">
        <f>IF(AND(U303&lt;&gt;"",S303="yes"),U303*V303,"")</f>
        <v/>
      </c>
    </row>
    <row r="304" ht="31.95" customFormat="1" customHeight="1" s="211">
      <c r="A304" s="211" t="inlineStr">
        <is>
          <t>integer</t>
        </is>
      </c>
      <c r="B304" s="211" t="inlineStr">
        <is>
          <t>rcsi_restrict_adult_consumption</t>
        </is>
      </c>
      <c r="C304" s="238" t="inlineStr">
        <is>
          <t>In the *past 7 days*, how many days did your household **restrict consumption by adults so children could eat**, due to lack of food or money to buy food?</t>
        </is>
      </c>
      <c r="D304" s="85" t="n"/>
      <c r="E304" s="211" t="inlineStr">
        <is>
          <t>[INSTRUCTIONS: RECORD NUMBER OF DAYS 0 - 7]</t>
        </is>
      </c>
      <c r="F304" s="81" t="n"/>
      <c r="G304" s="109" t="inlineStr">
        <is>
          <t>true</t>
        </is>
      </c>
      <c r="H304" s="109" t="n"/>
      <c r="I304" s="109" t="inlineStr">
        <is>
          <t>.&gt;= 0 and .&lt;=7</t>
        </is>
      </c>
      <c r="J304" s="109" t="inlineStr">
        <is>
          <t>The answer must be between 0 and 7 days</t>
        </is>
      </c>
      <c r="K304" s="109" t="n"/>
      <c r="L304" s="109" t="n"/>
      <c r="M304" s="109" t="n"/>
      <c r="N304" s="109" t="n"/>
      <c r="S304" s="211" t="inlineStr">
        <is>
          <t>no</t>
        </is>
      </c>
      <c r="U304" s="287" t="n">
        <v>17</v>
      </c>
      <c r="V304" s="99" t="n">
        <v>1</v>
      </c>
      <c r="W304" s="288">
        <f>IF(U304&lt;&gt;"",U304*V304,"")</f>
        <v/>
      </c>
      <c r="X304" s="288">
        <f>IF(AND(U304&lt;&gt;"",S304="yes"),U304*V304,"")</f>
        <v/>
      </c>
    </row>
    <row r="305" customFormat="1" s="211">
      <c r="A305" s="211" t="inlineStr">
        <is>
          <t>end_group</t>
        </is>
      </c>
      <c r="C305" s="238" t="n"/>
      <c r="D305" s="78" t="n"/>
      <c r="F305" s="81" t="n"/>
      <c r="G305" s="109" t="n"/>
      <c r="H305" s="109" t="n"/>
      <c r="I305" s="109" t="n"/>
      <c r="J305" s="109" t="n"/>
      <c r="K305" s="109" t="n"/>
      <c r="L305" s="109" t="n"/>
      <c r="M305" s="109" t="n"/>
      <c r="N305" s="109" t="n"/>
      <c r="U305" s="287" t="n"/>
      <c r="V305" s="99" t="n">
        <v>1</v>
      </c>
      <c r="W305" s="288">
        <f>IF(U305&lt;&gt;"",U305*V305,"")</f>
        <v/>
      </c>
      <c r="X305" s="288">
        <f>IF(AND(U305&lt;&gt;"",S305="yes"),U305*V305,"")</f>
        <v/>
      </c>
    </row>
    <row r="306" customFormat="1" s="211">
      <c r="C306" s="238" t="n"/>
      <c r="D306" s="78" t="n"/>
      <c r="F306" s="81" t="n"/>
      <c r="G306" s="109" t="n"/>
      <c r="H306" s="109" t="n"/>
      <c r="I306" s="109" t="n"/>
      <c r="J306" s="109" t="n"/>
      <c r="K306" s="109" t="n"/>
      <c r="L306" s="109" t="n"/>
      <c r="M306" s="109" t="n"/>
      <c r="N306" s="109" t="n"/>
      <c r="U306" s="287" t="n"/>
      <c r="V306" s="99" t="n"/>
      <c r="W306" s="288">
        <f>IF(U306&lt;&gt;"",U306*V306,"")</f>
        <v/>
      </c>
      <c r="X306" s="288">
        <f>IF(AND(U306&lt;&gt;"",S306="yes"),U306*V306,"")</f>
        <v/>
      </c>
    </row>
    <row r="307" ht="16.2" customHeight="1" thickBot="1">
      <c r="A307" s="95" t="inlineStr">
        <is>
          <t>end_group</t>
        </is>
      </c>
      <c r="B307" s="95" t="n"/>
      <c r="C307" s="245" t="n"/>
      <c r="D307" s="101" t="n"/>
      <c r="E307" s="95" t="n"/>
      <c r="F307" s="102" t="n"/>
      <c r="G307" s="121" t="n"/>
      <c r="H307" s="121" t="n"/>
      <c r="I307" s="121" t="n"/>
      <c r="J307" s="121" t="n"/>
      <c r="K307" s="121" t="n"/>
      <c r="L307" s="121" t="n"/>
      <c r="M307" s="121" t="n"/>
      <c r="N307" s="121" t="n"/>
      <c r="U307" s="287" t="n"/>
      <c r="W307" s="288">
        <f>IF(U307&lt;&gt;"",U307*V307,"")</f>
        <v/>
      </c>
      <c r="X307" s="288">
        <f>IF(AND(U307&lt;&gt;"",S307="yes"),U307*V307,"")</f>
        <v/>
      </c>
    </row>
    <row r="308" ht="15" customFormat="1" customHeight="1" s="74" thickTop="1">
      <c r="A308" s="71" t="inlineStr">
        <is>
          <t>begin_group</t>
        </is>
      </c>
      <c r="B308" s="71" t="inlineStr">
        <is>
          <t>Assisstance_group</t>
        </is>
      </c>
      <c r="C308" s="234" t="inlineStr">
        <is>
          <t>NEEDS ASSISTANCE</t>
        </is>
      </c>
      <c r="D308" s="226" t="n"/>
      <c r="E308" s="71" t="n"/>
      <c r="F308" s="73" t="n"/>
      <c r="G308" s="113" t="inlineStr">
        <is>
          <t>false</t>
        </is>
      </c>
      <c r="H308" s="113" t="n"/>
      <c r="I308" s="113" t="n"/>
      <c r="J308" s="113" t="n"/>
      <c r="K308" s="113" t="inlineStr">
        <is>
          <t>${resp_agree} = '1' and ${hh_agricactivity} != '5' and ${hh_agricactivity} != '6'</t>
        </is>
      </c>
      <c r="L308" s="113" t="n"/>
      <c r="M308" s="113" t="n"/>
      <c r="N308" s="113" t="n"/>
      <c r="S308" s="47" t="inlineStr">
        <is>
          <t>yes</t>
        </is>
      </c>
      <c r="U308" s="287" t="n"/>
      <c r="V308" s="75" t="n"/>
      <c r="W308" s="288">
        <f>IF(U308&lt;&gt;"",U308*V308,"")</f>
        <v/>
      </c>
      <c r="X308" s="288">
        <f>IF(AND(U308&lt;&gt;"",S308="yes"),U308*V308,"")</f>
        <v/>
      </c>
      <c r="Y308" s="75" t="n"/>
    </row>
    <row r="309" ht="15" customFormat="1" customHeight="1" s="74">
      <c r="C309" s="247" t="n"/>
      <c r="D309" s="85" t="n"/>
      <c r="F309" s="73" t="n"/>
      <c r="G309" s="114" t="n"/>
      <c r="H309" s="114" t="n"/>
      <c r="I309" s="114" t="n"/>
      <c r="J309" s="114" t="n"/>
      <c r="K309" s="114" t="n"/>
      <c r="L309" s="114" t="n"/>
      <c r="M309" s="114" t="n"/>
      <c r="N309" s="114" t="n"/>
      <c r="S309" s="47" t="n"/>
      <c r="U309" s="287" t="n"/>
      <c r="V309" s="99" t="n"/>
      <c r="W309" s="288">
        <f>IF(U309&lt;&gt;"",U309*V309,"")</f>
        <v/>
      </c>
      <c r="X309" s="288">
        <f>IF(AND(U309&lt;&gt;"",S309="yes"),U309*V309,"")</f>
        <v/>
      </c>
      <c r="Y309" s="75" t="n"/>
    </row>
    <row r="310" ht="16.2" customHeight="1">
      <c r="A310" s="76" t="inlineStr">
        <is>
          <t>select_one yes_no</t>
        </is>
      </c>
      <c r="B310" s="76" t="inlineStr">
        <is>
          <t>need</t>
        </is>
      </c>
      <c r="C310" s="237" t="inlineStr">
        <is>
          <t>Does your household need assistance in the next 3 to 6 months?</t>
        </is>
      </c>
      <c r="D310" s="85" t="n"/>
      <c r="E310" s="76" t="inlineStr">
        <is>
          <t>[INSTRUCTIONS: SINGLE RESPONSE]</t>
        </is>
      </c>
      <c r="F310" s="86" t="n"/>
      <c r="G310" s="108" t="inlineStr">
        <is>
          <t>true</t>
        </is>
      </c>
      <c r="H310" s="108" t="n"/>
      <c r="I310" s="108" t="n"/>
      <c r="J310" s="108" t="n"/>
      <c r="K310" s="108" t="n"/>
      <c r="L310" s="108" t="n"/>
      <c r="M310" s="108" t="n"/>
      <c r="N310" s="108" t="n"/>
      <c r="S310" s="47" t="inlineStr">
        <is>
          <t>yes</t>
        </is>
      </c>
      <c r="U310" s="287" t="n">
        <v>19.82824516296387</v>
      </c>
      <c r="V310" s="99" t="n">
        <v>1</v>
      </c>
      <c r="W310" s="288">
        <f>IF(U310&lt;&gt;"",U310*V310,"")</f>
        <v/>
      </c>
      <c r="X310" s="288">
        <f>IF(AND(U310&lt;&gt;"",S310="yes"),U310*V310,"")</f>
        <v/>
      </c>
    </row>
    <row r="311" ht="31.95" customHeight="1">
      <c r="A311" s="76" t="inlineStr">
        <is>
          <t>select_multiple needs</t>
        </is>
      </c>
      <c r="B311" s="76" t="inlineStr">
        <is>
          <t>need_</t>
        </is>
      </c>
      <c r="C311" s="237" t="inlineStr">
        <is>
          <t>What are your greatest needs for assistance for your household in the next 3 to 6 months?</t>
        </is>
      </c>
      <c r="D311" s="85" t="n"/>
      <c r="E311" s="76" t="inlineStr">
        <is>
          <t>[INSTRUCTIONS: MULTIPLE RESPONSE. DO NOT READ THE OPTIONS IF POSSIBLE.]</t>
        </is>
      </c>
      <c r="F311" s="86" t="n"/>
      <c r="G311" s="108" t="inlineStr">
        <is>
          <t>true</t>
        </is>
      </c>
      <c r="H311" s="108" t="n"/>
      <c r="I311" s="110" t="inlineStr">
        <is>
          <t>if(selected(., 'dk') or selected(., 'ref'), count-selected(.) = 1, count-selected(.) &gt;= 1)</t>
        </is>
      </c>
      <c r="J311" s="108" t="n"/>
      <c r="K311" s="108" t="inlineStr">
        <is>
          <t>${need} = 1</t>
        </is>
      </c>
      <c r="L311" s="108" t="n"/>
      <c r="M311" s="108" t="n"/>
      <c r="N311" s="108" t="n"/>
      <c r="S311" s="47" t="inlineStr">
        <is>
          <t>yes</t>
        </is>
      </c>
      <c r="U311" s="287" t="n">
        <v>49.52969360351562</v>
      </c>
      <c r="V311" s="99" t="n">
        <v>1</v>
      </c>
      <c r="W311" s="288">
        <f>IF(U311&lt;&gt;"",U311*V311,"")</f>
        <v/>
      </c>
      <c r="X311" s="288">
        <f>IF(AND(U311&lt;&gt;"",S311="yes"),U311*V311,"")</f>
        <v/>
      </c>
    </row>
    <row r="312" ht="16.2" customHeight="1">
      <c r="A312" s="76" t="inlineStr">
        <is>
          <t>text</t>
        </is>
      </c>
      <c r="B312" s="76" t="inlineStr">
        <is>
          <t>need_otherspecify</t>
        </is>
      </c>
      <c r="C312" s="240" t="inlineStr">
        <is>
          <t>If other, specify.</t>
        </is>
      </c>
      <c r="D312" s="85" t="n"/>
      <c r="E312" s="77" t="inlineStr">
        <is>
          <t>[INSTRUCTIONS: RECORD THE OPEN RESPONSE GIVEN IN FEW WORDS. ENTER 888 FOR DON'T KNOW AND 999 FOR REFUSED]</t>
        </is>
      </c>
      <c r="F312" s="86" t="n"/>
      <c r="G312" s="108" t="inlineStr">
        <is>
          <t>true</t>
        </is>
      </c>
      <c r="H312" s="108" t="n"/>
      <c r="I312" s="108" t="n"/>
      <c r="J312" s="108" t="n"/>
      <c r="K312" s="108" t="inlineStr">
        <is>
          <t>selected(${need_}, 'other')</t>
        </is>
      </c>
      <c r="L312" s="108" t="n"/>
      <c r="M312" s="108" t="n"/>
      <c r="N312" s="108" t="n"/>
      <c r="S312" s="47" t="inlineStr">
        <is>
          <t>yes</t>
        </is>
      </c>
      <c r="U312" s="287" t="n"/>
      <c r="V312" s="99" t="n">
        <v>1</v>
      </c>
      <c r="W312" s="288">
        <f>IF(U312&lt;&gt;"",U312*V312,"")</f>
        <v/>
      </c>
      <c r="X312" s="288">
        <f>IF(AND(U312&lt;&gt;"",S312="yes"),U312*V312,"")</f>
        <v/>
      </c>
    </row>
    <row r="313">
      <c r="D313" s="85" t="n"/>
      <c r="F313" s="86" t="n"/>
      <c r="U313" s="287" t="n"/>
      <c r="V313" s="99" t="n"/>
      <c r="W313" s="288">
        <f>IF(U313&lt;&gt;"",U313*V313,"")</f>
        <v/>
      </c>
      <c r="X313" s="288">
        <f>IF(AND(U313&lt;&gt;"",S313="yes"),U313*V313,"")</f>
        <v/>
      </c>
    </row>
    <row r="314" ht="16.2" customFormat="1" customHeight="1" s="211">
      <c r="A314" s="211" t="inlineStr">
        <is>
          <t>select_multiple needreceived</t>
        </is>
      </c>
      <c r="B314" s="211" t="inlineStr">
        <is>
          <t>need_received</t>
        </is>
      </c>
      <c r="C314" s="238" t="inlineStr">
        <is>
          <t>Has your household received any assistance in the last 3 months, and if so, what?</t>
        </is>
      </c>
      <c r="D314" s="85" t="n"/>
      <c r="E314" s="211" t="inlineStr">
        <is>
          <t>[INSTRUCTIONS: READ OUT ANSWER OPTIONS. MULTIPLE RESPONSES POSSIBLE.]</t>
        </is>
      </c>
      <c r="F314" s="81" t="n"/>
      <c r="G314" s="109" t="inlineStr">
        <is>
          <t>true</t>
        </is>
      </c>
      <c r="H314" s="109" t="n"/>
      <c r="I314" s="109" t="inlineStr">
        <is>
          <t>if(selected(., 'dk') or selected(., 'ref') or selected(., 'noassistreceived'), count-selected(.) = 1, count-selected(.) &gt;= 1)</t>
        </is>
      </c>
      <c r="J314" s="109" t="n"/>
      <c r="K314" s="109" t="n"/>
      <c r="L314" s="109" t="n"/>
      <c r="M314" s="109" t="n"/>
      <c r="N314" s="109" t="n"/>
      <c r="S314" s="211" t="inlineStr">
        <is>
          <t>no</t>
        </is>
      </c>
      <c r="U314" s="287" t="n">
        <v>22.02975082397461</v>
      </c>
      <c r="V314" s="99" t="n">
        <v>1</v>
      </c>
      <c r="W314" s="288">
        <f>IF(U314&lt;&gt;"",U314*V314,"")</f>
        <v/>
      </c>
      <c r="X314" s="288">
        <f>IF(AND(U314&lt;&gt;"",S314="yes"),U314*V314,"")</f>
        <v/>
      </c>
      <c r="Y314" s="77" t="n"/>
    </row>
    <row r="315" ht="16.2" customFormat="1" customHeight="1" s="211">
      <c r="A315" s="211" t="inlineStr">
        <is>
          <t>text</t>
        </is>
      </c>
      <c r="B315" s="211" t="inlineStr">
        <is>
          <t>need_received_otherspecify</t>
        </is>
      </c>
      <c r="C315" s="238" t="inlineStr">
        <is>
          <t>If other, specify.</t>
        </is>
      </c>
      <c r="D315" s="85" t="n"/>
      <c r="E315" s="211" t="inlineStr">
        <is>
          <t>[INSTRUCTIONS: RECORD THE OPEN RESPONSE GIVEN IN FEW WORDS. ENTER 888 FOR DON'T KNOW AND 999 FOR REFUSED]</t>
        </is>
      </c>
      <c r="F315" s="81" t="n"/>
      <c r="G315" s="109" t="inlineStr">
        <is>
          <t>true</t>
        </is>
      </c>
      <c r="H315" s="109" t="n"/>
      <c r="I315" s="109" t="n"/>
      <c r="J315" s="109" t="n"/>
      <c r="K315" s="109" t="inlineStr">
        <is>
          <t>selected(${need_received}, 'other')</t>
        </is>
      </c>
      <c r="L315" s="109" t="n"/>
      <c r="M315" s="109" t="n"/>
      <c r="N315" s="109" t="n"/>
      <c r="S315" s="211" t="inlineStr">
        <is>
          <t>no</t>
        </is>
      </c>
      <c r="U315" s="287" t="n"/>
      <c r="V315" s="99" t="n">
        <v>1</v>
      </c>
      <c r="W315" s="288">
        <f>IF(U315&lt;&gt;"",U315*V315,"")</f>
        <v/>
      </c>
      <c r="X315" s="288">
        <f>IF(AND(U315&lt;&gt;"",S315="yes"),U315*V315,"")</f>
        <v/>
      </c>
      <c r="Y315" s="77" t="n"/>
    </row>
    <row r="316" ht="31.95" customFormat="1" customHeight="1" s="211">
      <c r="A316" s="211" t="inlineStr">
        <is>
          <t>select_one yes_no</t>
        </is>
      </c>
      <c r="B316" s="211" t="inlineStr">
        <is>
          <t>assistance_timeliness</t>
        </is>
      </c>
      <c r="C316" s="238" t="inlineStr">
        <is>
          <t xml:space="preserve">Was the assistance received in time for production or sales difficulty to be overcome? </t>
        </is>
      </c>
      <c r="D316" s="85" t="n"/>
      <c r="E316" s="211" t="inlineStr">
        <is>
          <t>[INSTRUCTIONS: SINGLE RESPONSE.]</t>
        </is>
      </c>
      <c r="F316" s="81" t="n"/>
      <c r="G316" s="109" t="inlineStr">
        <is>
          <t>true</t>
        </is>
      </c>
      <c r="H316" s="109" t="n"/>
      <c r="I316" s="109" t="n"/>
      <c r="J316" s="109" t="n"/>
      <c r="K316" s="109" t="inlineStr">
        <is>
          <t>${need_received} != 'dk' and ${need_received} != 'ref' and ${need_received} != 'noassistreceived'</t>
        </is>
      </c>
      <c r="L316" s="109" t="n"/>
      <c r="M316" s="109" t="n"/>
      <c r="N316" s="109" t="n"/>
      <c r="P316" s="47" t="n"/>
      <c r="S316" s="211" t="inlineStr">
        <is>
          <t>no</t>
        </is>
      </c>
      <c r="U316" s="287" t="n">
        <v>17</v>
      </c>
      <c r="V316" s="99" t="n">
        <v>1</v>
      </c>
      <c r="W316" s="288">
        <f>IF(U316&lt;&gt;"",U316*V316,"")</f>
        <v/>
      </c>
      <c r="X316" s="288">
        <f>IF(AND(U316&lt;&gt;"",S316="yes"),U316*V316,"")</f>
        <v/>
      </c>
      <c r="Y316" s="77" t="n"/>
    </row>
    <row r="317" customFormat="1" s="211">
      <c r="C317" s="238" t="n"/>
      <c r="D317" s="78" t="n"/>
      <c r="F317" s="81" t="n"/>
      <c r="G317" s="109" t="n"/>
      <c r="H317" s="109" t="n"/>
      <c r="I317" s="109" t="n"/>
      <c r="J317" s="109" t="n"/>
      <c r="K317" s="109" t="n"/>
      <c r="L317" s="109" t="n"/>
      <c r="M317" s="109" t="n"/>
      <c r="N317" s="109" t="n"/>
      <c r="P317" s="47" t="n"/>
      <c r="U317" s="287" t="n"/>
      <c r="V317" s="99" t="n"/>
      <c r="W317" s="288">
        <f>IF(U317&lt;&gt;"",U317*V317,"")</f>
        <v/>
      </c>
      <c r="X317" s="288">
        <f>IF(AND(U317&lt;&gt;"",S317="yes"),U317*V317,"")</f>
        <v/>
      </c>
      <c r="Y317" s="77" t="n"/>
    </row>
    <row r="318" ht="16.2" customHeight="1" thickBot="1">
      <c r="A318" s="95" t="inlineStr">
        <is>
          <t>end_group</t>
        </is>
      </c>
      <c r="B318" s="95" t="n"/>
      <c r="C318" s="245" t="n"/>
      <c r="D318" s="101" t="n"/>
      <c r="E318" s="95" t="n"/>
      <c r="F318" s="102" t="n"/>
      <c r="G318" s="121" t="n"/>
      <c r="H318" s="121" t="n"/>
      <c r="I318" s="121" t="n"/>
      <c r="J318" s="121" t="n"/>
      <c r="K318" s="121" t="n"/>
      <c r="L318" s="121" t="n"/>
      <c r="M318" s="121" t="n"/>
      <c r="N318" s="121" t="n"/>
      <c r="U318" s="287" t="n"/>
      <c r="W318" s="288">
        <f>IF(U318&lt;&gt;"",U318*V318,"")</f>
        <v/>
      </c>
      <c r="X318" s="288">
        <f>IF(AND(U318&lt;&gt;"",S318="yes"),U318*V318,"")</f>
        <v/>
      </c>
    </row>
    <row r="319" ht="16.95" customFormat="1" customHeight="1" s="74" thickTop="1">
      <c r="A319" s="71" t="inlineStr">
        <is>
          <t>begin_group</t>
        </is>
      </c>
      <c r="B319" s="71" t="inlineStr">
        <is>
          <t>closing</t>
        </is>
      </c>
      <c r="C319" s="234" t="inlineStr">
        <is>
          <t>CLOSING</t>
        </is>
      </c>
      <c r="D319" s="226" t="n"/>
      <c r="E319" s="71" t="n"/>
      <c r="F319" s="73" t="n"/>
      <c r="G319" s="113" t="inlineStr">
        <is>
          <t>false</t>
        </is>
      </c>
      <c r="H319" s="113" t="n"/>
      <c r="I319" s="113" t="n"/>
      <c r="J319" s="113" t="n"/>
      <c r="K319" s="113" t="inlineStr">
        <is>
          <t>${resp_agree} = '1' and ${hh_agricactivity} != '5' and ${hh_agricactivity} != '6'</t>
        </is>
      </c>
      <c r="L319" s="113" t="n"/>
      <c r="M319" s="113" t="n"/>
      <c r="N319" s="113" t="n"/>
      <c r="S319" s="47" t="inlineStr">
        <is>
          <t>yes</t>
        </is>
      </c>
      <c r="U319" s="287" t="n"/>
      <c r="V319" s="156" t="n"/>
      <c r="W319" s="288">
        <f>IF(U319&lt;&gt;"",U319*V319,"")</f>
        <v/>
      </c>
      <c r="X319" s="288">
        <f>IF(AND(U319&lt;&gt;"",S319="yes"),U319*V319,"")</f>
        <v/>
      </c>
      <c r="Y319" s="75" t="n"/>
    </row>
    <row r="320" customFormat="1" s="74">
      <c r="C320" s="247" t="n"/>
      <c r="D320" s="85" t="n"/>
      <c r="F320" s="73" t="n"/>
      <c r="G320" s="114" t="n"/>
      <c r="H320" s="114" t="n"/>
      <c r="I320" s="114" t="n"/>
      <c r="J320" s="114" t="n"/>
      <c r="K320" s="114" t="n"/>
      <c r="L320" s="114" t="n"/>
      <c r="M320" s="114" t="n"/>
      <c r="N320" s="114" t="n"/>
      <c r="S320" s="47" t="n"/>
      <c r="U320" s="287" t="n"/>
      <c r="V320" s="99" t="n"/>
      <c r="W320" s="288">
        <f>IF(U320&lt;&gt;"",U320*V320,"")</f>
        <v/>
      </c>
      <c r="X320" s="288">
        <f>IF(AND(U320&lt;&gt;"",S320="yes"),U320*V320,"")</f>
        <v/>
      </c>
      <c r="Y320" s="75" t="n"/>
    </row>
    <row r="321" ht="31.95" customHeight="1">
      <c r="A321" s="76" t="inlineStr">
        <is>
          <t>select_one yesno</t>
        </is>
      </c>
      <c r="B321" s="76" t="inlineStr">
        <is>
          <t>callback</t>
        </is>
      </c>
      <c r="C321" s="237" t="inlineStr">
        <is>
          <t>Your answers will help us to understand and respond to your community needs. May we call you in a few months?</t>
        </is>
      </c>
      <c r="D321" s="85" t="n"/>
      <c r="E321" s="76" t="inlineStr">
        <is>
          <t>[INSTRUCTIONS: SINGLE RESPONSE.]</t>
        </is>
      </c>
      <c r="F321" s="86" t="n"/>
      <c r="G321" s="108" t="inlineStr">
        <is>
          <t>true</t>
        </is>
      </c>
      <c r="H321" s="108" t="n"/>
      <c r="I321" s="108" t="n"/>
      <c r="J321" s="108" t="n"/>
      <c r="K321" s="108" t="n"/>
      <c r="L321" s="108" t="n"/>
      <c r="M321" s="108" t="n"/>
      <c r="N321" s="108" t="n"/>
      <c r="S321" s="47" t="inlineStr">
        <is>
          <t>yes</t>
        </is>
      </c>
      <c r="U321" s="287" t="n">
        <v>36.78304672241211</v>
      </c>
      <c r="V321" s="99" t="n">
        <v>1</v>
      </c>
      <c r="W321" s="288">
        <f>IF(U321&lt;&gt;"",U321*V321,"")</f>
        <v/>
      </c>
      <c r="X321" s="288">
        <f>IF(AND(U321&lt;&gt;"",S321="yes"),U321*V321,"")</f>
        <v/>
      </c>
    </row>
    <row r="322">
      <c r="D322" s="85" t="n"/>
      <c r="F322" s="86" t="n"/>
      <c r="U322" s="287" t="n"/>
      <c r="V322" s="99" t="n"/>
      <c r="W322" s="288">
        <f>IF(U322&lt;&gt;"",U322*V322,"")</f>
        <v/>
      </c>
      <c r="X322" s="288">
        <f>IF(AND(U322&lt;&gt;"",S322="yes"),U322*V322,"")</f>
        <v/>
      </c>
    </row>
    <row r="323" ht="16.2" customFormat="1" customHeight="1" s="90">
      <c r="A323" s="149" t="inlineStr">
        <is>
          <t>select_one yes_no</t>
        </is>
      </c>
      <c r="B323" s="149" t="inlineStr">
        <is>
          <t>leader_contact</t>
        </is>
      </c>
      <c r="C323" s="249" t="inlineStr">
        <is>
          <t>Can you provide me with the contact information of a leader in your community?</t>
        </is>
      </c>
      <c r="D323" s="150" t="n"/>
      <c r="E323" s="149" t="inlineStr">
        <is>
          <t>[INSTRUCTIONS: SINGLE RESPONSE.]</t>
        </is>
      </c>
      <c r="F323" s="151" t="n"/>
      <c r="G323" s="164" t="inlineStr">
        <is>
          <t>true</t>
        </is>
      </c>
      <c r="H323" s="164" t="n"/>
      <c r="I323" s="116" t="n"/>
      <c r="J323" s="164" t="n"/>
      <c r="K323" s="164" t="inlineStr">
        <is>
          <t>${callback} = '1'</t>
        </is>
      </c>
      <c r="L323" s="116" t="n"/>
      <c r="M323" s="116" t="n"/>
      <c r="N323" s="116" t="n"/>
      <c r="S323" s="149" t="inlineStr">
        <is>
          <t>no - panel</t>
        </is>
      </c>
      <c r="U323" s="287" t="n">
        <v>10</v>
      </c>
      <c r="V323" s="99" t="n">
        <v>1</v>
      </c>
      <c r="W323" s="288">
        <f>IF(U323&lt;&gt;"",U323*V323,"")</f>
        <v/>
      </c>
      <c r="X323" s="288">
        <f>IF(AND(U323&lt;&gt;"",S323="yes"),U323*V323,"")</f>
        <v/>
      </c>
    </row>
    <row r="324" ht="16.2" customFormat="1" customHeight="1" s="90">
      <c r="A324" s="149" t="inlineStr">
        <is>
          <t>select_one leader</t>
        </is>
      </c>
      <c r="B324" s="149" t="inlineStr">
        <is>
          <t>leader_type</t>
        </is>
      </c>
      <c r="C324" s="249" t="inlineStr">
        <is>
          <t>What type of community leader can you provide information for?</t>
        </is>
      </c>
      <c r="D324" s="150" t="n"/>
      <c r="E324" s="149" t="inlineStr">
        <is>
          <t>[INSTRUCTIONS: SINGLE RESPONSE.]</t>
        </is>
      </c>
      <c r="F324" s="151" t="n"/>
      <c r="G324" s="164" t="inlineStr">
        <is>
          <t>true</t>
        </is>
      </c>
      <c r="H324" s="164" t="n"/>
      <c r="I324" s="116" t="n"/>
      <c r="J324" s="164" t="n"/>
      <c r="K324" s="164" t="inlineStr">
        <is>
          <t>${callback} = '1' and ${leader_contact}='1'</t>
        </is>
      </c>
      <c r="L324" s="116" t="n"/>
      <c r="M324" s="116" t="n"/>
      <c r="N324" s="116" t="n"/>
      <c r="S324" s="149" t="inlineStr">
        <is>
          <t>no - panel</t>
        </is>
      </c>
      <c r="U324" s="287" t="n">
        <v>10</v>
      </c>
      <c r="V324" s="99" t="n">
        <v>1</v>
      </c>
      <c r="W324" s="288">
        <f>IF(U324&lt;&gt;"",U324*V324,"")</f>
        <v/>
      </c>
      <c r="X324" s="288">
        <f>IF(AND(U324&lt;&gt;"",S324="yes"),U324*V324,"")</f>
        <v/>
      </c>
    </row>
    <row r="325" ht="16.2" customFormat="1" customHeight="1" s="211">
      <c r="A325" s="149" t="inlineStr">
        <is>
          <t>text</t>
        </is>
      </c>
      <c r="B325" s="149" t="inlineStr">
        <is>
          <t>phone_number_leader</t>
        </is>
      </c>
      <c r="C325" s="249" t="inlineStr">
        <is>
          <t>What is the leader's *phone number*?</t>
        </is>
      </c>
      <c r="D325" s="150" t="n"/>
      <c r="E325" s="149" t="n"/>
      <c r="F325" s="151" t="n"/>
      <c r="G325" s="164" t="inlineStr">
        <is>
          <t>true</t>
        </is>
      </c>
      <c r="H325" s="164" t="inlineStr">
        <is>
          <t>numbers</t>
        </is>
      </c>
      <c r="I325" s="109" t="inlineStr">
        <is>
          <t>regex(.,’^[0-9]{10}$’)</t>
        </is>
      </c>
      <c r="J325" s="164" t="inlineStr">
        <is>
          <t>Please enter the telephone number in the correct format, e.g. 0700704549</t>
        </is>
      </c>
      <c r="K325" s="164" t="inlineStr">
        <is>
          <t>${callback} = '1' and ${leader_contact}='1'</t>
        </is>
      </c>
      <c r="L325" s="109" t="n"/>
      <c r="M325" s="109" t="n"/>
      <c r="N325" s="109" t="n"/>
      <c r="S325" s="149" t="inlineStr">
        <is>
          <t>no - panel</t>
        </is>
      </c>
      <c r="U325" s="287" t="n">
        <v>10</v>
      </c>
      <c r="V325" s="99" t="n">
        <v>1</v>
      </c>
      <c r="W325" s="288">
        <f>IF(U325&lt;&gt;"",U325*V325,"")</f>
        <v/>
      </c>
      <c r="X325" s="288">
        <f>IF(AND(U325&lt;&gt;"",S325="yes"),U325*V325,"")</f>
        <v/>
      </c>
      <c r="Y325" s="77" t="n"/>
    </row>
    <row r="326" ht="16.2" customFormat="1" customHeight="1" s="211">
      <c r="A326" s="149" t="inlineStr">
        <is>
          <t>text</t>
        </is>
      </c>
      <c r="B326" s="149" t="inlineStr">
        <is>
          <t>leader_name</t>
        </is>
      </c>
      <c r="C326" s="249" t="inlineStr">
        <is>
          <t>What is the leader's name?</t>
        </is>
      </c>
      <c r="D326" s="150" t="n"/>
      <c r="E326" s="149" t="n"/>
      <c r="F326" s="151" t="n"/>
      <c r="G326" s="164" t="inlineStr">
        <is>
          <t>true</t>
        </is>
      </c>
      <c r="H326" s="164" t="n"/>
      <c r="I326" s="109" t="n"/>
      <c r="J326" s="164" t="n"/>
      <c r="K326" s="164" t="inlineStr">
        <is>
          <t>${callback} = '1' and ${leader_contact}='1'</t>
        </is>
      </c>
      <c r="L326" s="109" t="n"/>
      <c r="M326" s="109" t="n"/>
      <c r="N326" s="109" t="n"/>
      <c r="S326" s="149" t="inlineStr">
        <is>
          <t>no - panel</t>
        </is>
      </c>
      <c r="U326" s="287" t="n">
        <v>10</v>
      </c>
      <c r="V326" s="99" t="n">
        <v>1</v>
      </c>
      <c r="W326" s="288">
        <f>IF(U326&lt;&gt;"",U326*V326,"")</f>
        <v/>
      </c>
      <c r="X326" s="288">
        <f>IF(AND(U326&lt;&gt;"",S326="yes"),U326*V326,"")</f>
        <v/>
      </c>
      <c r="Y326" s="77" t="n"/>
    </row>
    <row r="327" ht="16.2" customFormat="1" customHeight="1" s="211">
      <c r="A327" s="148" t="inlineStr">
        <is>
          <t>select_multiple week</t>
        </is>
      </c>
      <c r="B327" s="148" t="inlineStr">
        <is>
          <t>future_int_day</t>
        </is>
      </c>
      <c r="C327" s="250" t="inlineStr">
        <is>
          <t>For future interviews, in which day(s) can I call you?</t>
        </is>
      </c>
      <c r="D327" s="85" t="n"/>
      <c r="E327" s="148" t="inlineStr">
        <is>
          <t>[INSTRUCTIONS: MULTIPLE ANSWERS POSSIBLE.]</t>
        </is>
      </c>
      <c r="F327" s="151" t="n"/>
      <c r="G327" s="147" t="inlineStr">
        <is>
          <t>true</t>
        </is>
      </c>
      <c r="H327" s="147" t="n"/>
      <c r="I327" s="124" t="n"/>
      <c r="J327" s="147" t="n"/>
      <c r="K327" s="147" t="inlineStr">
        <is>
          <t>${callback} = '1'</t>
        </is>
      </c>
      <c r="L327" s="118" t="n"/>
      <c r="M327" s="118" t="n"/>
      <c r="N327" s="118" t="n"/>
      <c r="S327" s="149" t="inlineStr">
        <is>
          <t>yes - panel</t>
        </is>
      </c>
      <c r="U327" s="287" t="n">
        <v>10</v>
      </c>
      <c r="V327" s="99" t="n">
        <v>1</v>
      </c>
      <c r="W327" s="288">
        <f>IF(U327&lt;&gt;"",U327*V327,"")</f>
        <v/>
      </c>
      <c r="X327" s="288">
        <f>IF(AND(U327&lt;&gt;"",S327="yes"),U327*V327,"")</f>
        <v/>
      </c>
      <c r="Y327" s="77" t="n"/>
    </row>
    <row r="328" ht="16.2" customFormat="1" customHeight="1" s="211">
      <c r="A328" s="148" t="inlineStr">
        <is>
          <t>select_multiple time</t>
        </is>
      </c>
      <c r="B328" s="148" t="inlineStr">
        <is>
          <t>future_int_time</t>
        </is>
      </c>
      <c r="C328" s="250" t="inlineStr">
        <is>
          <t>For future interviews, at what time(s) can I call you?</t>
        </is>
      </c>
      <c r="D328" s="85" t="n"/>
      <c r="E328" s="148" t="inlineStr">
        <is>
          <t>[INSTRUCTIONS: MULTIPLE ANSWERS POSSIBLE.]</t>
        </is>
      </c>
      <c r="F328" s="151" t="n"/>
      <c r="G328" s="147" t="inlineStr">
        <is>
          <t>true</t>
        </is>
      </c>
      <c r="H328" s="147" t="n"/>
      <c r="I328" s="124" t="n"/>
      <c r="J328" s="147" t="n"/>
      <c r="K328" s="147" t="inlineStr">
        <is>
          <t>${callback} = '1'</t>
        </is>
      </c>
      <c r="L328" s="118" t="n"/>
      <c r="M328" s="118" t="n"/>
      <c r="N328" s="118" t="n"/>
      <c r="S328" s="149" t="inlineStr">
        <is>
          <t>yes - panel</t>
        </is>
      </c>
      <c r="U328" s="287" t="n">
        <v>10</v>
      </c>
      <c r="V328" s="99" t="n">
        <v>1</v>
      </c>
      <c r="W328" s="288">
        <f>IF(U328&lt;&gt;"",U328*V328,"")</f>
        <v/>
      </c>
      <c r="X328" s="288">
        <f>IF(AND(U328&lt;&gt;"",S328="yes"),U328*V328,"")</f>
        <v/>
      </c>
      <c r="Y328" s="77" t="n"/>
    </row>
    <row r="329" customFormat="1" s="211">
      <c r="C329" s="238" t="n"/>
      <c r="D329" s="85" t="n"/>
      <c r="F329" s="81" t="n"/>
      <c r="G329" s="109" t="n"/>
      <c r="H329" s="109" t="n"/>
      <c r="I329" s="109" t="n"/>
      <c r="J329" s="109" t="n"/>
      <c r="K329" s="109" t="n"/>
      <c r="L329" s="109" t="n"/>
      <c r="M329" s="109" t="n"/>
      <c r="N329" s="109" t="n"/>
      <c r="U329" s="287" t="n"/>
      <c r="V329" s="99" t="n"/>
      <c r="W329" s="288">
        <f>IF(U329&lt;&gt;"",U329*V329,"")</f>
        <v/>
      </c>
      <c r="X329" s="288">
        <f>IF(AND(U329&lt;&gt;"",S329="yes"),U329*V329,"")</f>
        <v/>
      </c>
      <c r="Y329" s="77" t="n"/>
    </row>
    <row r="330" ht="16.2" customHeight="1">
      <c r="A330" s="76" t="inlineStr">
        <is>
          <t>select_one language</t>
        </is>
      </c>
      <c r="B330" s="76" t="inlineStr">
        <is>
          <t>language2</t>
        </is>
      </c>
      <c r="C330" s="237" t="inlineStr">
        <is>
          <t xml:space="preserve">Select the language that was mostly used to complete the interview. </t>
        </is>
      </c>
      <c r="D330" s="85" t="n"/>
      <c r="E330" s="76" t="inlineStr">
        <is>
          <t>[INSTRUCTIONS: SINGLE RESPONSE.]</t>
        </is>
      </c>
      <c r="F330" s="86" t="n"/>
      <c r="G330" s="108" t="inlineStr">
        <is>
          <t>true</t>
        </is>
      </c>
      <c r="H330" s="108" t="n"/>
      <c r="I330" s="108" t="n"/>
      <c r="J330" s="108" t="n"/>
      <c r="K330" s="108" t="n"/>
      <c r="L330" s="108" t="n"/>
      <c r="M330" s="108" t="n"/>
      <c r="N330" s="108" t="n"/>
      <c r="S330" s="47" t="inlineStr">
        <is>
          <t>yes</t>
        </is>
      </c>
      <c r="U330" s="287" t="n">
        <v>3</v>
      </c>
      <c r="V330" s="99" t="n">
        <v>1</v>
      </c>
      <c r="W330" s="288">
        <f>IF(U330&lt;&gt;"",U330*V330,"")</f>
        <v/>
      </c>
      <c r="X330" s="288">
        <f>IF(AND(U330&lt;&gt;"",S330="yes"),U330*V330,"")</f>
        <v/>
      </c>
    </row>
    <row r="331">
      <c r="D331" s="85" t="n"/>
      <c r="F331" s="86" t="n"/>
      <c r="U331" s="287" t="n"/>
      <c r="V331" s="99" t="n"/>
      <c r="W331" s="288">
        <f>IF(U331&lt;&gt;"",U331*V331,"")</f>
        <v/>
      </c>
      <c r="X331" s="288">
        <f>IF(AND(U331&lt;&gt;"",S331="yes"),U331*V331,"")</f>
        <v/>
      </c>
    </row>
    <row r="332" ht="16.2" customHeight="1">
      <c r="A332" s="76" t="inlineStr">
        <is>
          <t>note</t>
        </is>
      </c>
      <c r="B332" s="76" t="inlineStr">
        <is>
          <t>closeout</t>
        </is>
      </c>
      <c r="C332" s="237" t="inlineStr">
        <is>
          <t xml:space="preserve">Thank you for your time. The interview has come to an end. </t>
        </is>
      </c>
      <c r="D332" s="85" t="n"/>
      <c r="E332" s="76" t="n"/>
      <c r="F332" s="86" t="n"/>
      <c r="G332" s="108" t="inlineStr">
        <is>
          <t>false</t>
        </is>
      </c>
      <c r="H332" s="108" t="n"/>
      <c r="I332" s="108" t="n"/>
      <c r="J332" s="108" t="n"/>
      <c r="K332" s="108" t="n"/>
      <c r="L332" s="108" t="n"/>
      <c r="M332" s="108" t="n"/>
      <c r="N332" s="108" t="n"/>
      <c r="S332" s="47" t="inlineStr">
        <is>
          <t>no</t>
        </is>
      </c>
      <c r="U332" s="287" t="n">
        <v>0</v>
      </c>
      <c r="V332" s="99" t="n">
        <v>1</v>
      </c>
      <c r="W332" s="288">
        <f>IF(U332&lt;&gt;"",U332*V332,"")</f>
        <v/>
      </c>
      <c r="X332" s="288">
        <f>IF(AND(U332&lt;&gt;"",S332="yes"),U332*V332,"")</f>
        <v/>
      </c>
    </row>
    <row r="333" ht="16.2" customHeight="1" thickBot="1">
      <c r="A333" s="95" t="inlineStr">
        <is>
          <t>end_group</t>
        </is>
      </c>
      <c r="B333" s="95" t="n"/>
      <c r="C333" s="245" t="n"/>
      <c r="D333" s="101" t="n"/>
      <c r="E333" s="95" t="n"/>
      <c r="F333" s="102" t="n"/>
      <c r="G333" s="121" t="n"/>
      <c r="H333" s="121" t="n"/>
      <c r="I333" s="121" t="n"/>
      <c r="J333" s="121" t="n"/>
      <c r="K333" s="121" t="n"/>
      <c r="L333" s="121" t="n"/>
      <c r="M333" s="121" t="n"/>
      <c r="N333" s="121" t="n"/>
      <c r="U333" s="287" t="n"/>
      <c r="W333" s="288">
        <f>IF(U333&lt;&gt;"",U333*V333,"")</f>
        <v/>
      </c>
      <c r="X333" s="288">
        <f>IF(AND(U333&lt;&gt;"",S333="yes"),U333*V333,"")</f>
        <v/>
      </c>
    </row>
    <row r="334" ht="16.2" customFormat="1" customHeight="1" s="211" thickTop="1">
      <c r="C334" s="238" t="n"/>
      <c r="D334" s="212" t="n"/>
      <c r="G334" s="109" t="n"/>
      <c r="H334" s="109" t="n"/>
      <c r="I334" s="109" t="n"/>
      <c r="J334" s="109" t="n"/>
      <c r="K334" s="109" t="n"/>
      <c r="L334" s="109" t="n"/>
      <c r="M334" s="109" t="n"/>
      <c r="N334" s="109" t="n"/>
      <c r="U334" s="287" t="n"/>
      <c r="V334" s="189" t="n"/>
      <c r="W334" s="290" t="n"/>
    </row>
    <row r="335" ht="16.2" customHeight="1">
      <c r="A335" s="76" t="inlineStr">
        <is>
          <t>time</t>
        </is>
      </c>
      <c r="B335" s="76" t="inlineStr">
        <is>
          <t>Interview_End_Time</t>
        </is>
      </c>
      <c r="C335" s="237" t="inlineStr">
        <is>
          <t>Interview End Time</t>
        </is>
      </c>
      <c r="D335" s="85" t="n"/>
      <c r="E335" s="76" t="n"/>
      <c r="G335" s="108" t="inlineStr">
        <is>
          <t>true</t>
        </is>
      </c>
      <c r="H335" s="108" t="n"/>
      <c r="I335" s="108" t="n"/>
      <c r="J335" s="108" t="n"/>
      <c r="K335" s="108" t="inlineStr">
        <is>
          <t>${resp_agree} = '1'</t>
        </is>
      </c>
      <c r="L335" s="108" t="n"/>
      <c r="M335" s="108" t="n"/>
      <c r="N335" s="108" t="n"/>
      <c r="S335" s="47" t="inlineStr">
        <is>
          <t>no</t>
        </is>
      </c>
      <c r="U335" s="287" t="n"/>
      <c r="W335" s="288" t="n"/>
    </row>
    <row r="336" ht="31.95" customHeight="1">
      <c r="A336" s="76" t="inlineStr">
        <is>
          <t>geopoint</t>
        </is>
      </c>
      <c r="B336" s="76" t="inlineStr">
        <is>
          <t>gps_2</t>
        </is>
      </c>
      <c r="C336" s="237" t="inlineStr">
        <is>
          <t>GPS INSTRUCTION: You didn't take a measurement earlier. Now walk around the household or go near the main road and try to take a GPS measurement.</t>
        </is>
      </c>
      <c r="D336" s="85" t="n"/>
      <c r="E336" s="76" t="n"/>
      <c r="F336" s="169" t="n"/>
      <c r="G336" s="108" t="inlineStr">
        <is>
          <t xml:space="preserve">false </t>
        </is>
      </c>
      <c r="H336" s="108" t="n"/>
      <c r="I336" s="108" t="n"/>
      <c r="J336" s="108" t="n"/>
      <c r="K336" s="108" t="inlineStr">
        <is>
          <t>${resp_agree} = '1' and ${gps_1} = ''</t>
        </is>
      </c>
      <c r="L336" s="108" t="n"/>
      <c r="M336" s="108" t="n"/>
      <c r="N336" s="108" t="n"/>
      <c r="U336" s="287" t="n"/>
      <c r="W336" s="288" t="n"/>
    </row>
    <row r="337" ht="16.2" customFormat="1" customHeight="1" s="211">
      <c r="A337" s="211" t="inlineStr">
        <is>
          <t>text</t>
        </is>
      </c>
      <c r="B337" s="211" t="inlineStr">
        <is>
          <t>enum_notes</t>
        </is>
      </c>
      <c r="C337" s="238" t="inlineStr">
        <is>
          <t>Enter any notes or feedback from this survey:</t>
        </is>
      </c>
      <c r="D337" s="85" t="n"/>
      <c r="E337" s="211" t="inlineStr">
        <is>
          <t xml:space="preserve">Leave empty if there are no comments. </t>
        </is>
      </c>
      <c r="F337" s="81" t="n"/>
      <c r="G337" s="109" t="inlineStr">
        <is>
          <t>false</t>
        </is>
      </c>
      <c r="H337" s="109" t="n"/>
      <c r="I337" s="109" t="n"/>
      <c r="J337" s="109" t="n"/>
      <c r="K337" s="109" t="n"/>
      <c r="L337" s="109" t="n"/>
      <c r="M337" s="109" t="n"/>
      <c r="N337" s="109" t="n"/>
      <c r="S337" s="211" t="inlineStr">
        <is>
          <t>no</t>
        </is>
      </c>
      <c r="U337" s="287" t="n"/>
      <c r="V337" s="99" t="n"/>
      <c r="W337" s="288" t="n"/>
      <c r="X337" s="288">
        <f>IF(AND(U337&lt;&gt;"",S337="yes"),U337*V337,"")</f>
        <v/>
      </c>
    </row>
    <row r="338" customFormat="1" s="211">
      <c r="C338" s="238" t="n"/>
      <c r="F338" s="81" t="n"/>
      <c r="G338" s="109" t="n"/>
      <c r="H338" s="109" t="n"/>
      <c r="I338" s="109" t="n"/>
      <c r="J338" s="109" t="n"/>
      <c r="K338" s="109" t="n"/>
      <c r="L338" s="109" t="n"/>
      <c r="M338" s="109" t="n"/>
      <c r="N338" s="109" t="n"/>
      <c r="U338" s="287" t="n"/>
      <c r="V338" s="99" t="n"/>
      <c r="W338" s="288" t="n"/>
      <c r="X338" s="288" t="n"/>
    </row>
    <row r="339">
      <c r="A339" s="76" t="inlineStr">
        <is>
          <t>calculate</t>
        </is>
      </c>
      <c r="B339" s="76" t="inlineStr">
        <is>
          <t>__version__</t>
        </is>
      </c>
      <c r="C339" s="237" t="n"/>
      <c r="E339" s="76" t="n"/>
      <c r="G339" s="108" t="inlineStr">
        <is>
          <t>false</t>
        </is>
      </c>
      <c r="H339" s="108" t="n"/>
      <c r="I339" s="108" t="n"/>
      <c r="J339" s="108" t="n"/>
      <c r="K339" s="108" t="n"/>
      <c r="L339" s="108" t="n"/>
      <c r="M339" s="108" t="n"/>
      <c r="N339" s="108" t="inlineStr">
        <is>
          <t>'vfVbKi5bfYAnEzqoBsXTzQ'</t>
        </is>
      </c>
      <c r="S339" s="47" t="inlineStr">
        <is>
          <t>no</t>
        </is>
      </c>
      <c r="U339" s="287" t="n"/>
    </row>
    <row r="340">
      <c r="U340" s="287" t="n"/>
    </row>
    <row r="341"/>
    <row r="342"/>
    <row r="343"/>
    <row r="344" ht="16.2" customHeight="1" thickBot="1"/>
    <row r="345" ht="16.95" customHeight="1" thickBot="1">
      <c r="Q345" s="180" t="inlineStr">
        <is>
          <t xml:space="preserve">AVERAGE ESTIMATED DURATION </t>
        </is>
      </c>
      <c r="R345" s="181" t="n"/>
      <c r="S345" s="181" t="n"/>
      <c r="T345" s="181" t="n"/>
      <c r="U345" s="175" t="n"/>
      <c r="V345" s="157" t="n"/>
      <c r="W345" s="158">
        <f>(SUM(W4:W332)/60)</f>
        <v/>
      </c>
      <c r="X345" s="158">
        <f>(SUM(X4:X50)+AVERAGE(X51:X51)+SUM(X54:X332))/60</f>
        <v/>
      </c>
    </row>
  </sheetData>
  <conditionalFormatting sqref="B198:B200">
    <cfRule type="duplicateValues" priority="10" dxfId="0"/>
    <cfRule type="duplicateValues" priority="11" dxfId="0"/>
    <cfRule type="duplicateValues" priority="12" dxfId="0"/>
  </conditionalFormatting>
  <conditionalFormatting sqref="B199:B200">
    <cfRule type="duplicateValues" priority="9" dxfId="0"/>
  </conditionalFormatting>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257"/>
  <sheetViews>
    <sheetView zoomScale="90" zoomScaleNormal="90" workbookViewId="0">
      <pane ySplit="1" topLeftCell="A280" activePane="bottomLeft" state="frozen"/>
      <selection pane="bottomLeft" activeCell="B285" sqref="B285"/>
    </sheetView>
  </sheetViews>
  <sheetFormatPr baseColWidth="8" defaultColWidth="8.6640625" defaultRowHeight="14.4"/>
  <cols>
    <col width="21" customWidth="1" style="3" min="1" max="1"/>
    <col width="30" customWidth="1" style="3" min="2" max="2"/>
    <col width="35.44140625" customWidth="1" style="3" min="3" max="3"/>
    <col width="35.6640625" customWidth="1" style="3" min="4" max="4"/>
    <col width="16.33203125" customWidth="1" style="3" min="5" max="5"/>
    <col width="8.6640625" customWidth="1" style="3" min="6" max="6"/>
    <col width="8.6640625" customWidth="1" style="3" min="7" max="16384"/>
  </cols>
  <sheetData>
    <row r="1">
      <c r="A1" s="6" t="inlineStr">
        <is>
          <t>list_name</t>
        </is>
      </c>
      <c r="B1" s="6" t="inlineStr">
        <is>
          <t>name</t>
        </is>
      </c>
      <c r="C1" s="6" t="inlineStr">
        <is>
          <t>label::English (en)</t>
        </is>
      </c>
      <c r="D1" s="229" t="inlineStr">
        <is>
          <t>label::Nepalese (np)</t>
        </is>
      </c>
      <c r="E1" s="6" t="inlineStr">
        <is>
          <t>my_filter_admin</t>
        </is>
      </c>
    </row>
    <row r="2" customFormat="1" s="14">
      <c r="A2" s="14" t="inlineStr">
        <is>
          <t>enumteam</t>
        </is>
      </c>
      <c r="B2" s="190" t="n">
        <v>1</v>
      </c>
      <c r="C2" s="190" t="inlineStr">
        <is>
          <t>one</t>
        </is>
      </c>
      <c r="D2" s="191" t="n"/>
      <c r="E2" s="192" t="n"/>
    </row>
    <row r="3" customFormat="1" s="14">
      <c r="A3" s="14" t="inlineStr">
        <is>
          <t>enumteam</t>
        </is>
      </c>
      <c r="B3" s="190" t="n">
        <v>2</v>
      </c>
      <c r="C3" s="190" t="inlineStr">
        <is>
          <t>two</t>
        </is>
      </c>
      <c r="D3" s="191" t="n"/>
    </row>
    <row r="4">
      <c r="A4" s="2" t="n"/>
      <c r="B4" s="2" t="n"/>
      <c r="C4" s="2" t="n"/>
      <c r="D4" s="1" t="n"/>
      <c r="E4" s="2" t="n"/>
    </row>
    <row r="5">
      <c r="A5" t="inlineStr">
        <is>
          <t>enumerator</t>
        </is>
      </c>
      <c r="B5" s="3" t="inlineStr">
        <is>
          <t>enum1</t>
        </is>
      </c>
      <c r="C5" s="3" t="inlineStr">
        <is>
          <t>enum1</t>
        </is>
      </c>
      <c r="D5" s="273" t="n"/>
      <c r="E5" s="190" t="n">
        <v>1</v>
      </c>
    </row>
    <row r="6">
      <c r="A6" t="inlineStr">
        <is>
          <t>enumerator</t>
        </is>
      </c>
      <c r="B6" s="3" t="inlineStr">
        <is>
          <t>enum2</t>
        </is>
      </c>
      <c r="C6" s="3" t="inlineStr">
        <is>
          <t>enum2</t>
        </is>
      </c>
      <c r="D6" s="273" t="n"/>
      <c r="E6" s="190" t="n">
        <v>1</v>
      </c>
    </row>
    <row r="7">
      <c r="A7" t="inlineStr">
        <is>
          <t>enumerator</t>
        </is>
      </c>
      <c r="B7" s="3" t="inlineStr">
        <is>
          <t>enum3</t>
        </is>
      </c>
      <c r="C7" s="3" t="inlineStr">
        <is>
          <t>enum3</t>
        </is>
      </c>
      <c r="D7" s="273" t="n"/>
      <c r="E7" s="190" t="n">
        <v>1</v>
      </c>
    </row>
    <row r="8">
      <c r="A8" s="3" t="inlineStr">
        <is>
          <t>enumerator</t>
        </is>
      </c>
      <c r="B8" s="3" t="inlineStr">
        <is>
          <t>enum4</t>
        </is>
      </c>
      <c r="C8" s="3" t="inlineStr">
        <is>
          <t>enum4</t>
        </is>
      </c>
      <c r="D8" s="273" t="n"/>
      <c r="E8" s="3" t="n">
        <v>2</v>
      </c>
    </row>
    <row r="9">
      <c r="A9" s="3" t="inlineStr">
        <is>
          <t>enumerator</t>
        </is>
      </c>
      <c r="B9" s="3" t="inlineStr">
        <is>
          <t>enum5</t>
        </is>
      </c>
      <c r="C9" s="3" t="inlineStr">
        <is>
          <t>enum5</t>
        </is>
      </c>
      <c r="D9" s="273" t="n"/>
      <c r="E9" s="3" t="n">
        <v>2</v>
      </c>
    </row>
    <row r="10">
      <c r="C10" s="11" t="n"/>
      <c r="D10" s="7" t="n"/>
    </row>
    <row r="11">
      <c r="A11" t="inlineStr">
        <is>
          <t>participate</t>
        </is>
      </c>
      <c r="B11" t="n">
        <v>1</v>
      </c>
      <c r="C11" t="inlineStr">
        <is>
          <t>Yes</t>
        </is>
      </c>
      <c r="D11" s="230" t="n"/>
    </row>
    <row r="12">
      <c r="A12" t="inlineStr">
        <is>
          <t>participate</t>
        </is>
      </c>
      <c r="B12" t="n">
        <v>2</v>
      </c>
      <c r="C12" t="inlineStr">
        <is>
          <t>No</t>
        </is>
      </c>
      <c r="D12" s="230" t="n"/>
    </row>
    <row r="13">
      <c r="D13" s="4" t="n"/>
    </row>
    <row r="14">
      <c r="A14" t="inlineStr">
        <is>
          <t>yes_no</t>
        </is>
      </c>
      <c r="B14" t="n">
        <v>1</v>
      </c>
      <c r="C14" t="inlineStr">
        <is>
          <t>YES</t>
        </is>
      </c>
      <c r="D14" s="230" t="n"/>
    </row>
    <row r="15">
      <c r="A15" t="inlineStr">
        <is>
          <t>yes_no</t>
        </is>
      </c>
      <c r="B15" t="n">
        <v>2</v>
      </c>
      <c r="C15" t="inlineStr">
        <is>
          <t>NO</t>
        </is>
      </c>
      <c r="D15" s="230" t="n"/>
    </row>
    <row r="16">
      <c r="A16" t="inlineStr">
        <is>
          <t>yes_no</t>
        </is>
      </c>
      <c r="B16" s="18" t="n">
        <v>3</v>
      </c>
      <c r="C16" t="inlineStr">
        <is>
          <t>DON'T KNOW</t>
        </is>
      </c>
      <c r="D16" s="230" t="n"/>
    </row>
    <row r="17">
      <c r="A17" t="inlineStr">
        <is>
          <t>yes_no</t>
        </is>
      </c>
      <c r="B17" s="18" t="n">
        <v>4</v>
      </c>
      <c r="C17" t="inlineStr">
        <is>
          <t>REFUSED</t>
        </is>
      </c>
      <c r="D17" s="230" t="n"/>
    </row>
    <row r="18">
      <c r="D18" s="4" t="n"/>
    </row>
    <row r="19">
      <c r="A19" t="inlineStr">
        <is>
          <t>continue</t>
        </is>
      </c>
      <c r="B19" t="inlineStr">
        <is>
          <t>continue</t>
        </is>
      </c>
      <c r="C19" t="inlineStr">
        <is>
          <t>continue</t>
        </is>
      </c>
      <c r="D19" s="230" t="n"/>
    </row>
    <row r="20">
      <c r="D20" s="4" t="n"/>
    </row>
    <row r="21">
      <c r="A21" t="inlineStr">
        <is>
          <t>yesno</t>
        </is>
      </c>
      <c r="B21" t="n">
        <v>1</v>
      </c>
      <c r="C21" t="inlineStr">
        <is>
          <t>Yes</t>
        </is>
      </c>
      <c r="D21" s="230" t="n"/>
    </row>
    <row r="22">
      <c r="A22" t="inlineStr">
        <is>
          <t>yesno</t>
        </is>
      </c>
      <c r="B22" t="n">
        <v>2</v>
      </c>
      <c r="C22" t="inlineStr">
        <is>
          <t>No</t>
        </is>
      </c>
      <c r="D22" s="230" t="n"/>
    </row>
    <row r="23">
      <c r="D23" s="4" t="n"/>
    </row>
    <row r="24" customFormat="1" s="11">
      <c r="A24" s="254" t="inlineStr">
        <is>
          <t>language</t>
        </is>
      </c>
      <c r="B24" s="254" t="inlineStr">
        <is>
          <t>en</t>
        </is>
      </c>
      <c r="C24" s="254" t="inlineStr">
        <is>
          <t>English</t>
        </is>
      </c>
      <c r="D24" s="231" t="n"/>
    </row>
    <row r="25" customFormat="1" s="11">
      <c r="A25" s="255" t="inlineStr">
        <is>
          <t>language</t>
        </is>
      </c>
      <c r="B25" s="255" t="inlineStr">
        <is>
          <t>fa</t>
        </is>
      </c>
      <c r="C25" s="255" t="inlineStr">
        <is>
          <t>Farsi</t>
        </is>
      </c>
      <c r="D25" s="231" t="n"/>
    </row>
    <row r="26" customFormat="1" s="11">
      <c r="A26" s="255" t="inlineStr">
        <is>
          <t>language</t>
        </is>
      </c>
      <c r="B26" s="255" t="inlineStr">
        <is>
          <t>pa</t>
        </is>
      </c>
      <c r="C26" s="255" t="inlineStr">
        <is>
          <t>Pashto</t>
        </is>
      </c>
      <c r="D26" s="231" t="n"/>
    </row>
    <row r="27">
      <c r="D27" s="4" t="n"/>
    </row>
    <row r="28">
      <c r="A28" t="inlineStr">
        <is>
          <t>gender</t>
        </is>
      </c>
      <c r="B28" t="n">
        <v>1</v>
      </c>
      <c r="C28" t="inlineStr">
        <is>
          <t>Male</t>
        </is>
      </c>
      <c r="D28" s="230" t="n"/>
    </row>
    <row r="29">
      <c r="A29" t="inlineStr">
        <is>
          <t>gender</t>
        </is>
      </c>
      <c r="B29" t="n">
        <v>2</v>
      </c>
      <c r="C29" t="inlineStr">
        <is>
          <t>Female</t>
        </is>
      </c>
      <c r="D29" s="230" t="n"/>
    </row>
    <row r="30">
      <c r="A30" t="inlineStr">
        <is>
          <t>gender</t>
        </is>
      </c>
      <c r="B30" s="18" t="n">
        <v>3</v>
      </c>
      <c r="C30" s="17" t="inlineStr">
        <is>
          <t>DON'T KNOW</t>
        </is>
      </c>
      <c r="D30" s="230" t="n"/>
    </row>
    <row r="31">
      <c r="A31" t="inlineStr">
        <is>
          <t>gender</t>
        </is>
      </c>
      <c r="B31" s="18" t="n">
        <v>4</v>
      </c>
      <c r="C31" s="17" t="inlineStr">
        <is>
          <t>REFUSED</t>
        </is>
      </c>
      <c r="D31" s="230" t="n"/>
    </row>
    <row r="32">
      <c r="C32" s="15" t="n"/>
      <c r="D32" s="4" t="n"/>
    </row>
    <row r="33">
      <c r="A33" t="inlineStr">
        <is>
          <t>contact_info</t>
        </is>
      </c>
      <c r="B33" t="n">
        <v>1</v>
      </c>
      <c r="C33" s="17" t="inlineStr">
        <is>
          <t>YES - mine</t>
        </is>
      </c>
      <c r="D33" s="230" t="n"/>
    </row>
    <row r="34">
      <c r="A34" t="inlineStr">
        <is>
          <t>contact_info</t>
        </is>
      </c>
      <c r="B34" t="n">
        <v>2</v>
      </c>
      <c r="C34" s="17" t="inlineStr">
        <is>
          <t>YES - friend or relative</t>
        </is>
      </c>
      <c r="D34" s="230" t="n"/>
    </row>
    <row r="35">
      <c r="A35" t="inlineStr">
        <is>
          <t>contact_info</t>
        </is>
      </c>
      <c r="B35" t="n">
        <v>3</v>
      </c>
      <c r="C35" s="17" t="inlineStr">
        <is>
          <t>NO</t>
        </is>
      </c>
      <c r="D35" s="230" t="n"/>
    </row>
    <row r="36">
      <c r="C36" s="15" t="n"/>
      <c r="D36" s="4" t="n"/>
    </row>
    <row r="37">
      <c r="A37" t="inlineStr">
        <is>
          <t>agricactivity</t>
        </is>
      </c>
      <c r="B37" t="n">
        <v>1</v>
      </c>
      <c r="C37" t="inlineStr">
        <is>
          <t xml:space="preserve">Yes - crop production </t>
        </is>
      </c>
      <c r="D37" s="230" t="n"/>
    </row>
    <row r="38">
      <c r="A38" t="inlineStr">
        <is>
          <t>agricactivity</t>
        </is>
      </c>
      <c r="B38" t="n">
        <v>2</v>
      </c>
      <c r="C38" t="inlineStr">
        <is>
          <t>Yes - livestock production</t>
        </is>
      </c>
      <c r="D38" s="230" t="n"/>
    </row>
    <row r="39">
      <c r="A39" t="inlineStr">
        <is>
          <t>agricactivity</t>
        </is>
      </c>
      <c r="B39" t="n">
        <v>3</v>
      </c>
      <c r="C39" t="inlineStr">
        <is>
          <t xml:space="preserve">Yes - both crop and livestock production </t>
        </is>
      </c>
      <c r="D39" s="230" t="n"/>
    </row>
    <row r="40">
      <c r="A40" t="inlineStr">
        <is>
          <t>agricactivity</t>
        </is>
      </c>
      <c r="B40" t="n">
        <v>4</v>
      </c>
      <c r="C40" t="inlineStr">
        <is>
          <t>No</t>
        </is>
      </c>
      <c r="D40" s="230" t="n"/>
    </row>
    <row r="41">
      <c r="A41" t="inlineStr">
        <is>
          <t>agricactivity</t>
        </is>
      </c>
      <c r="B41" s="18" t="n">
        <v>5</v>
      </c>
      <c r="C41" s="17" t="inlineStr">
        <is>
          <t>DON'T KNOW</t>
        </is>
      </c>
      <c r="D41" s="230" t="n"/>
    </row>
    <row r="42">
      <c r="A42" t="inlineStr">
        <is>
          <t>agricactivity</t>
        </is>
      </c>
      <c r="B42" s="18" t="n">
        <v>6</v>
      </c>
      <c r="C42" t="inlineStr">
        <is>
          <t>REFUSED</t>
        </is>
      </c>
      <c r="D42" s="230" t="n"/>
    </row>
    <row r="43">
      <c r="D43" s="4" t="n"/>
    </row>
    <row r="44">
      <c r="A44" t="inlineStr">
        <is>
          <t>edu</t>
        </is>
      </c>
      <c r="B44" t="n">
        <v>1</v>
      </c>
      <c r="C44" s="17" t="inlineStr">
        <is>
          <t>None or did not complete primary school</t>
        </is>
      </c>
      <c r="D44" s="230" t="n"/>
    </row>
    <row r="45">
      <c r="A45" t="inlineStr">
        <is>
          <t>edu</t>
        </is>
      </c>
      <c r="B45" t="n">
        <v>2</v>
      </c>
      <c r="C45" s="17" t="inlineStr">
        <is>
          <t>Completed primary school</t>
        </is>
      </c>
      <c r="D45" s="230" t="n"/>
    </row>
    <row r="46">
      <c r="A46" t="inlineStr">
        <is>
          <t>edu</t>
        </is>
      </c>
      <c r="B46" t="n">
        <v>3</v>
      </c>
      <c r="C46" s="17" t="inlineStr">
        <is>
          <t>Completed secondary school</t>
        </is>
      </c>
      <c r="D46" s="230" t="n"/>
    </row>
    <row r="47">
      <c r="A47" t="inlineStr">
        <is>
          <t>edu</t>
        </is>
      </c>
      <c r="B47" t="n">
        <v>4</v>
      </c>
      <c r="C47" s="17" t="inlineStr">
        <is>
          <t>Completed higher education [University / College] degree</t>
        </is>
      </c>
      <c r="D47" s="230" t="n"/>
    </row>
    <row r="48">
      <c r="A48" t="inlineStr">
        <is>
          <t>edu</t>
        </is>
      </c>
      <c r="B48" t="n">
        <v>5</v>
      </c>
      <c r="C48" s="17" t="inlineStr">
        <is>
          <t>Religious or informal education only</t>
        </is>
      </c>
      <c r="D48" s="230" t="n"/>
    </row>
    <row r="49">
      <c r="A49" t="inlineStr">
        <is>
          <t>edu</t>
        </is>
      </c>
      <c r="B49" s="18" t="n">
        <v>6</v>
      </c>
      <c r="C49" t="inlineStr">
        <is>
          <t>DON'T KNOW</t>
        </is>
      </c>
      <c r="D49" s="230" t="n"/>
    </row>
    <row r="50">
      <c r="A50" t="inlineStr">
        <is>
          <t>edu</t>
        </is>
      </c>
      <c r="B50" s="18" t="n">
        <v>7</v>
      </c>
      <c r="C50" t="inlineStr">
        <is>
          <t>REFUSED</t>
        </is>
      </c>
      <c r="D50" s="230" t="n"/>
    </row>
    <row r="51">
      <c r="B51" s="10" t="n"/>
      <c r="D51" s="4" t="n"/>
    </row>
    <row r="52">
      <c r="A52" s="3" t="inlineStr">
        <is>
          <t>caste</t>
        </is>
      </c>
      <c r="B52" s="10" t="n">
        <v>1</v>
      </c>
      <c r="C52" t="inlineStr">
        <is>
          <t>Brahmin/Chhetri</t>
        </is>
      </c>
      <c r="D52" s="4" t="n"/>
    </row>
    <row r="53">
      <c r="A53" s="3" t="inlineStr">
        <is>
          <t>caste</t>
        </is>
      </c>
      <c r="B53" s="10" t="n">
        <v>2</v>
      </c>
      <c r="C53" s="3" t="inlineStr">
        <is>
          <t>Dalit</t>
        </is>
      </c>
      <c r="D53" s="4" t="n"/>
    </row>
    <row r="54">
      <c r="A54" s="3" t="inlineStr">
        <is>
          <t>caste</t>
        </is>
      </c>
      <c r="B54" s="10" t="n">
        <v>3</v>
      </c>
      <c r="C54" s="3" t="inlineStr">
        <is>
          <t xml:space="preserve"> Janajati </t>
        </is>
      </c>
      <c r="D54" s="4" t="n"/>
    </row>
    <row r="55">
      <c r="A55" s="3" t="inlineStr">
        <is>
          <t>caste</t>
        </is>
      </c>
      <c r="B55" s="10" t="n">
        <v>4</v>
      </c>
      <c r="C55" s="3" t="inlineStr">
        <is>
          <t>Other (specify)</t>
        </is>
      </c>
      <c r="D55" s="4" t="n"/>
    </row>
    <row r="56">
      <c r="B56" s="10" t="n"/>
      <c r="D56" s="4" t="n"/>
    </row>
    <row r="57">
      <c r="A57" t="inlineStr">
        <is>
          <t>water</t>
        </is>
      </c>
      <c r="B57" s="18" t="n">
        <v>1</v>
      </c>
      <c r="C57" t="inlineStr">
        <is>
          <t>Private tap from piped water</t>
        </is>
      </c>
      <c r="D57" s="230" t="n"/>
    </row>
    <row r="58">
      <c r="A58" t="inlineStr">
        <is>
          <t>water</t>
        </is>
      </c>
      <c r="B58" s="18" t="n">
        <v>2</v>
      </c>
      <c r="C58" t="inlineStr">
        <is>
          <t>Public tap</t>
        </is>
      </c>
      <c r="D58" s="230" t="n"/>
    </row>
    <row r="59">
      <c r="A59" t="inlineStr">
        <is>
          <t>water</t>
        </is>
      </c>
      <c r="B59" s="18" t="n">
        <v>3</v>
      </c>
      <c r="C59" t="inlineStr">
        <is>
          <t>Protected well</t>
        </is>
      </c>
      <c r="D59" s="230" t="n"/>
    </row>
    <row r="60">
      <c r="A60" t="inlineStr">
        <is>
          <t>water</t>
        </is>
      </c>
      <c r="B60" s="18" t="n">
        <v>4</v>
      </c>
      <c r="C60" t="inlineStr">
        <is>
          <t>Bottled water</t>
        </is>
      </c>
      <c r="D60" s="230" t="n"/>
    </row>
    <row r="61">
      <c r="A61" t="inlineStr">
        <is>
          <t>water</t>
        </is>
      </c>
      <c r="B61" s="18" t="n">
        <v>5</v>
      </c>
      <c r="C61" t="inlineStr">
        <is>
          <t>Other safe source</t>
        </is>
      </c>
      <c r="D61" s="230" t="n"/>
    </row>
    <row r="62">
      <c r="A62" t="inlineStr">
        <is>
          <t>water</t>
        </is>
      </c>
      <c r="B62" s="18" t="n">
        <v>6</v>
      </c>
      <c r="C62" t="inlineStr">
        <is>
          <t>River</t>
        </is>
      </c>
      <c r="D62" s="230" t="n"/>
    </row>
    <row r="63">
      <c r="A63" t="inlineStr">
        <is>
          <t>water</t>
        </is>
      </c>
      <c r="B63" s="18" t="n">
        <v>7</v>
      </c>
      <c r="C63" t="inlineStr">
        <is>
          <t>Unprotected well</t>
        </is>
      </c>
      <c r="D63" s="230" t="n"/>
    </row>
    <row r="64">
      <c r="A64" t="inlineStr">
        <is>
          <t>water</t>
        </is>
      </c>
      <c r="B64" s="18" t="n">
        <v>8</v>
      </c>
      <c r="C64" t="inlineStr">
        <is>
          <t>Spring water</t>
        </is>
      </c>
      <c r="D64" s="230" t="n"/>
    </row>
    <row r="65">
      <c r="A65" t="inlineStr">
        <is>
          <t>water</t>
        </is>
      </c>
      <c r="B65" s="18" t="n">
        <v>9</v>
      </c>
      <c r="C65" t="inlineStr">
        <is>
          <t>Canal or other surface water</t>
        </is>
      </c>
      <c r="D65" s="230" t="n"/>
    </row>
    <row r="66">
      <c r="A66" t="inlineStr">
        <is>
          <t>water</t>
        </is>
      </c>
      <c r="B66" s="18" t="n">
        <v>10</v>
      </c>
      <c r="C66" t="inlineStr">
        <is>
          <t>Other unsafe source</t>
        </is>
      </c>
      <c r="D66" s="230" t="n"/>
    </row>
    <row r="67">
      <c r="A67" t="inlineStr">
        <is>
          <t>water</t>
        </is>
      </c>
      <c r="B67" s="18" t="n">
        <v>11</v>
      </c>
      <c r="C67" t="inlineStr">
        <is>
          <t>DON'T KNOW</t>
        </is>
      </c>
      <c r="D67" s="230" t="n"/>
    </row>
    <row r="68">
      <c r="A68" t="inlineStr">
        <is>
          <t>water</t>
        </is>
      </c>
      <c r="B68" s="18" t="n">
        <v>12</v>
      </c>
      <c r="C68" t="inlineStr">
        <is>
          <t>REFUSED</t>
        </is>
      </c>
      <c r="D68" s="230" t="n"/>
    </row>
    <row r="69">
      <c r="B69" s="10" t="n"/>
      <c r="D69" s="4" t="n"/>
    </row>
    <row r="70">
      <c r="A70" s="3" t="inlineStr">
        <is>
          <t>hhindiv</t>
        </is>
      </c>
      <c r="B70" s="10" t="n">
        <v>1</v>
      </c>
      <c r="C70" s="274" t="inlineStr">
        <is>
          <t>Male 5-16</t>
        </is>
      </c>
      <c r="D70" s="4" t="n"/>
    </row>
    <row r="71">
      <c r="A71" s="3" t="inlineStr">
        <is>
          <t>hhindiv</t>
        </is>
      </c>
      <c r="B71" s="10" t="n">
        <v>2</v>
      </c>
      <c r="C71" s="3" t="inlineStr">
        <is>
          <t xml:space="preserve">Male 17-59 </t>
        </is>
      </c>
      <c r="D71" s="4" t="n"/>
    </row>
    <row r="72">
      <c r="A72" s="3" t="inlineStr">
        <is>
          <t>hhindiv</t>
        </is>
      </c>
      <c r="B72" s="10" t="n">
        <v>3</v>
      </c>
      <c r="C72" s="3" t="inlineStr">
        <is>
          <t xml:space="preserve"> Male over 60</t>
        </is>
      </c>
      <c r="D72" s="4" t="n"/>
    </row>
    <row r="73">
      <c r="A73" s="3" t="inlineStr">
        <is>
          <t>hhindiv</t>
        </is>
      </c>
      <c r="B73" s="10" t="n">
        <v>4</v>
      </c>
      <c r="C73" s="274" t="inlineStr">
        <is>
          <t>Female 5-16</t>
        </is>
      </c>
      <c r="D73" s="4" t="n"/>
    </row>
    <row r="74">
      <c r="A74" s="3" t="inlineStr">
        <is>
          <t>hhindiv</t>
        </is>
      </c>
      <c r="B74" s="10" t="n">
        <v>5</v>
      </c>
      <c r="C74" s="3" t="inlineStr">
        <is>
          <t xml:space="preserve"> Female 17-59 </t>
        </is>
      </c>
      <c r="D74" s="4" t="n"/>
    </row>
    <row r="75">
      <c r="A75" s="3" t="inlineStr">
        <is>
          <t>hhindiv</t>
        </is>
      </c>
      <c r="B75" s="10" t="n">
        <v>6</v>
      </c>
      <c r="C75" s="3" t="inlineStr">
        <is>
          <t xml:space="preserve"> Female over 60</t>
        </is>
      </c>
      <c r="D75" s="4" t="n"/>
    </row>
    <row r="76">
      <c r="B76" s="10" t="n"/>
      <c r="D76" s="4" t="n"/>
    </row>
    <row r="77">
      <c r="B77" s="10" t="n"/>
      <c r="D77" s="4" t="n"/>
    </row>
    <row r="78">
      <c r="A78" t="inlineStr">
        <is>
          <t>toilet</t>
        </is>
      </c>
      <c r="B78" s="18" t="n">
        <v>1</v>
      </c>
      <c r="C78" t="inlineStr">
        <is>
          <t>Flush latrine/toilet with water</t>
        </is>
      </c>
      <c r="D78" s="230" t="n"/>
    </row>
    <row r="79">
      <c r="A79" t="inlineStr">
        <is>
          <t>toilet</t>
        </is>
      </c>
      <c r="B79" s="18" t="n">
        <v>2</v>
      </c>
      <c r="C79" t="inlineStr">
        <is>
          <t>Traditional pit latrine [no water]</t>
        </is>
      </c>
      <c r="D79" s="230" t="n"/>
    </row>
    <row r="80">
      <c r="A80" t="inlineStr">
        <is>
          <t>toilet</t>
        </is>
      </c>
      <c r="B80" s="18" t="n">
        <v>3</v>
      </c>
      <c r="C80" t="inlineStr">
        <is>
          <t>Open pit [hole in the ground for excrement without water, roof or wall]</t>
        </is>
      </c>
      <c r="D80" s="230" t="n"/>
    </row>
    <row r="81">
      <c r="A81" t="inlineStr">
        <is>
          <t>toilet</t>
        </is>
      </c>
      <c r="B81" s="18" t="n">
        <v>4</v>
      </c>
      <c r="C81" t="inlineStr">
        <is>
          <t>Communal latrine [with or without water]</t>
        </is>
      </c>
      <c r="D81" s="230" t="n"/>
    </row>
    <row r="82">
      <c r="A82" t="inlineStr">
        <is>
          <t>toilet</t>
        </is>
      </c>
      <c r="B82" s="18" t="n">
        <v>5</v>
      </c>
      <c r="C82" t="inlineStr">
        <is>
          <t>None – bush</t>
        </is>
      </c>
      <c r="D82" s="230" t="n"/>
    </row>
    <row r="83">
      <c r="A83" t="inlineStr">
        <is>
          <t>toilet</t>
        </is>
      </c>
      <c r="B83" s="18" t="n">
        <v>6</v>
      </c>
      <c r="C83" t="inlineStr">
        <is>
          <t>DON'T KNOW</t>
        </is>
      </c>
      <c r="D83" s="230" t="n"/>
    </row>
    <row r="84">
      <c r="A84" t="inlineStr">
        <is>
          <t>toilet</t>
        </is>
      </c>
      <c r="B84" s="18" t="n">
        <v>7</v>
      </c>
      <c r="C84" t="inlineStr">
        <is>
          <t>REFUSED</t>
        </is>
      </c>
      <c r="D84" s="230" t="n"/>
    </row>
    <row r="85">
      <c r="B85" s="10" t="n"/>
      <c r="D85" s="4" t="n"/>
    </row>
    <row r="86">
      <c r="A86" t="inlineStr">
        <is>
          <t>light</t>
        </is>
      </c>
      <c r="B86" s="18" t="n">
        <v>1</v>
      </c>
      <c r="C86" t="inlineStr">
        <is>
          <t>Electricity [from generator or electrical grid or solar panel]</t>
        </is>
      </c>
      <c r="D86" s="230" t="n"/>
    </row>
    <row r="87">
      <c r="A87" t="inlineStr">
        <is>
          <t>light</t>
        </is>
      </c>
      <c r="B87" s="18" t="n">
        <v>2</v>
      </c>
      <c r="C87" t="inlineStr">
        <is>
          <t>Candle</t>
        </is>
      </c>
      <c r="D87" s="230" t="n"/>
    </row>
    <row r="88">
      <c r="A88" t="inlineStr">
        <is>
          <t>light</t>
        </is>
      </c>
      <c r="B88" s="18" t="n">
        <v>3</v>
      </c>
      <c r="C88" t="inlineStr">
        <is>
          <t>Petrol lamp</t>
        </is>
      </c>
      <c r="D88" s="230" t="n"/>
    </row>
    <row r="89">
      <c r="A89" t="inlineStr">
        <is>
          <t>light</t>
        </is>
      </c>
      <c r="B89" s="18" t="n">
        <v>4</v>
      </c>
      <c r="C89" t="inlineStr">
        <is>
          <t>Lamp with batteries</t>
        </is>
      </c>
      <c r="D89" s="230" t="n"/>
    </row>
    <row r="90">
      <c r="A90" t="inlineStr">
        <is>
          <t>light</t>
        </is>
      </c>
      <c r="B90" s="18" t="n">
        <v>5</v>
      </c>
      <c r="C90" t="inlineStr">
        <is>
          <t>Other [no electric supply to the house]</t>
        </is>
      </c>
      <c r="D90" s="230" t="n"/>
    </row>
    <row r="91">
      <c r="A91" t="inlineStr">
        <is>
          <t>light</t>
        </is>
      </c>
      <c r="B91" s="18" t="n">
        <v>6</v>
      </c>
      <c r="C91" t="inlineStr">
        <is>
          <t>DON'T KNOW</t>
        </is>
      </c>
      <c r="D91" s="230" t="n"/>
    </row>
    <row r="92">
      <c r="A92" t="inlineStr">
        <is>
          <t>light</t>
        </is>
      </c>
      <c r="B92" s="18" t="n">
        <v>7</v>
      </c>
      <c r="C92" t="inlineStr">
        <is>
          <t>REFUSED</t>
        </is>
      </c>
      <c r="D92" s="230" t="n"/>
    </row>
    <row r="93">
      <c r="D93" s="4" t="n"/>
    </row>
    <row r="94">
      <c r="A94" s="13" t="inlineStr">
        <is>
          <t>residence</t>
        </is>
      </c>
      <c r="B94" s="13" t="n">
        <v>1</v>
      </c>
      <c r="C94" s="13" t="inlineStr">
        <is>
          <t>Permanent Resident - you have been living in your village / town for longer than two years and this is what you consider your habitual residence</t>
        </is>
      </c>
      <c r="D94" s="232" t="n"/>
    </row>
    <row r="95">
      <c r="A95" s="13" t="inlineStr">
        <is>
          <t>residence</t>
        </is>
      </c>
      <c r="B95" s="13" t="n">
        <v>2</v>
      </c>
      <c r="C95" s="13" t="inlineStr">
        <is>
          <t>Recent migrant not forcefully displaced - you have been living in your current place of residence for less than two years and you moved there voluntarily for work / family or other reasons that are not related to conflict or natural disaster</t>
        </is>
      </c>
      <c r="D95" s="232" t="n"/>
    </row>
    <row r="96">
      <c r="A96" s="13" t="inlineStr">
        <is>
          <t>residence</t>
        </is>
      </c>
      <c r="B96" s="13" t="n">
        <v>3</v>
      </c>
      <c r="C96" s="13" t="inlineStr">
        <is>
          <t>Returnee - you have only come back to this residence in the last two years after having been forced to move to another location having fled conflict or natural disaster [if return was over 2 years ago the respondent is considered a permanent resident]</t>
        </is>
      </c>
      <c r="D96" s="232" t="n"/>
    </row>
    <row r="97">
      <c r="A97" s="13" t="inlineStr">
        <is>
          <t>residence</t>
        </is>
      </c>
      <c r="B97" s="13" t="n">
        <v>4</v>
      </c>
      <c r="C97" s="13" t="inlineStr">
        <is>
          <t xml:space="preserve">Internally displaced person [IDP] - you were forced to flee your village or town because of conflict or natural disaster and you are now an internally displaced person in your current place of residence </t>
        </is>
      </c>
      <c r="D97" s="232" t="n"/>
    </row>
    <row r="98">
      <c r="A98" s="13" t="inlineStr">
        <is>
          <t>residence</t>
        </is>
      </c>
      <c r="B98" s="13" t="n">
        <v>5</v>
      </c>
      <c r="C98" s="13" t="inlineStr">
        <is>
          <t>Refugee - you were forced to flee your country because of conflict or natural disaster and you are now a refugee in your current place of residence</t>
        </is>
      </c>
      <c r="D98" s="232" t="n"/>
    </row>
    <row r="99">
      <c r="A99" s="13" t="inlineStr">
        <is>
          <t>residence</t>
        </is>
      </c>
      <c r="B99" s="13" t="n">
        <v>6</v>
      </c>
      <c r="C99" s="13" t="inlineStr">
        <is>
          <t>DON'T KNOW</t>
        </is>
      </c>
      <c r="D99" s="230" t="n"/>
    </row>
    <row r="100">
      <c r="A100" s="13" t="inlineStr">
        <is>
          <t>residence</t>
        </is>
      </c>
      <c r="B100" s="13" t="n">
        <v>7</v>
      </c>
      <c r="C100" s="13" t="inlineStr">
        <is>
          <t>REFUSED</t>
        </is>
      </c>
      <c r="D100" s="230" t="n"/>
    </row>
    <row r="101">
      <c r="A101" s="14" t="n"/>
      <c r="B101" s="14" t="n"/>
      <c r="C101" s="14" t="n"/>
      <c r="D101" s="4" t="n"/>
    </row>
    <row r="102">
      <c r="A102" s="13" t="inlineStr">
        <is>
          <t>asset_prod</t>
        </is>
      </c>
      <c r="B102" s="13" t="inlineStr">
        <is>
          <t>taxi</t>
        </is>
      </c>
      <c r="C102" s="13" t="inlineStr">
        <is>
          <t>Taxi</t>
        </is>
      </c>
      <c r="D102" s="230" t="n"/>
    </row>
    <row r="103">
      <c r="A103" s="13" t="inlineStr">
        <is>
          <t>asset_prod</t>
        </is>
      </c>
      <c r="B103" s="13" t="inlineStr">
        <is>
          <t>truck</t>
        </is>
      </c>
      <c r="C103" s="13" t="inlineStr">
        <is>
          <t>Truck</t>
        </is>
      </c>
      <c r="D103" s="230" t="n"/>
    </row>
    <row r="104">
      <c r="A104" s="13" t="inlineStr">
        <is>
          <t>asset_prod</t>
        </is>
      </c>
      <c r="B104" s="13" t="inlineStr">
        <is>
          <t>farmmach</t>
        </is>
      </c>
      <c r="C104" s="13" t="inlineStr">
        <is>
          <t>Farm machinery (tractor, other)</t>
        </is>
      </c>
      <c r="D104" s="230" t="n"/>
    </row>
    <row r="105">
      <c r="A105" s="13" t="inlineStr">
        <is>
          <t>asset_prod</t>
        </is>
      </c>
      <c r="B105" s="13" t="inlineStr">
        <is>
          <t>sewing</t>
        </is>
      </c>
      <c r="C105" s="13" t="inlineStr">
        <is>
          <t>Sewing machine</t>
        </is>
      </c>
      <c r="D105" s="230" t="n"/>
    </row>
    <row r="106">
      <c r="A106" s="13" t="inlineStr">
        <is>
          <t>asset_prod</t>
        </is>
      </c>
      <c r="B106" s="13" t="inlineStr">
        <is>
          <t>other</t>
        </is>
      </c>
      <c r="C106" s="13" t="inlineStr">
        <is>
          <t>Other productive machines</t>
        </is>
      </c>
      <c r="D106" s="230" t="n"/>
    </row>
    <row r="107">
      <c r="A107" s="13" t="inlineStr">
        <is>
          <t>asset_prod</t>
        </is>
      </c>
      <c r="B107" s="13" t="inlineStr">
        <is>
          <t>none</t>
        </is>
      </c>
      <c r="C107" s="13" t="inlineStr">
        <is>
          <t>No productive machines</t>
        </is>
      </c>
      <c r="D107" s="230" t="n"/>
    </row>
    <row r="108">
      <c r="A108" s="13" t="inlineStr">
        <is>
          <t>asset_prod</t>
        </is>
      </c>
      <c r="B108" s="13" t="inlineStr">
        <is>
          <t>dk</t>
        </is>
      </c>
      <c r="C108" s="13" t="inlineStr">
        <is>
          <t>DON'T KNOW</t>
        </is>
      </c>
      <c r="D108" s="230" t="n"/>
    </row>
    <row r="109">
      <c r="A109" s="13" t="inlineStr">
        <is>
          <t>asset_prod</t>
        </is>
      </c>
      <c r="B109" s="13" t="inlineStr">
        <is>
          <t>ref</t>
        </is>
      </c>
      <c r="C109" s="13" t="inlineStr">
        <is>
          <t>REFUSED</t>
        </is>
      </c>
      <c r="D109" s="230" t="n"/>
    </row>
    <row r="110">
      <c r="A110" s="14" t="n"/>
      <c r="B110" s="14" t="n"/>
      <c r="C110" s="14" t="n"/>
      <c r="D110" s="4" t="n"/>
    </row>
    <row r="111">
      <c r="A111" s="13" t="inlineStr">
        <is>
          <t>asset_transp</t>
        </is>
      </c>
      <c r="B111" s="13" t="inlineStr">
        <is>
          <t>bici</t>
        </is>
      </c>
      <c r="C111" s="13" t="inlineStr">
        <is>
          <t>Bicycle</t>
        </is>
      </c>
      <c r="D111" s="230" t="n"/>
    </row>
    <row r="112">
      <c r="A112" s="13" t="inlineStr">
        <is>
          <t>asset_transp</t>
        </is>
      </c>
      <c r="B112" s="13" t="inlineStr">
        <is>
          <t>motorbike</t>
        </is>
      </c>
      <c r="C112" s="13" t="inlineStr">
        <is>
          <t>Motorbike or auto rickshaw</t>
        </is>
      </c>
      <c r="D112" s="230" t="n"/>
    </row>
    <row r="113">
      <c r="A113" s="13" t="inlineStr">
        <is>
          <t>asset_transp</t>
        </is>
      </c>
      <c r="B113" s="13" t="inlineStr">
        <is>
          <t>car</t>
        </is>
      </c>
      <c r="C113" s="13" t="inlineStr">
        <is>
          <t>Car</t>
        </is>
      </c>
      <c r="D113" s="230" t="n"/>
    </row>
    <row r="114">
      <c r="A114" s="13" t="inlineStr">
        <is>
          <t>asset_transp</t>
        </is>
      </c>
      <c r="B114" s="13" t="inlineStr">
        <is>
          <t>van</t>
        </is>
      </c>
      <c r="C114" s="13" t="inlineStr">
        <is>
          <t>Van or small truck</t>
        </is>
      </c>
      <c r="D114" s="230" t="n"/>
    </row>
    <row r="115">
      <c r="A115" s="13" t="inlineStr">
        <is>
          <t>asset_transp</t>
        </is>
      </c>
      <c r="B115" s="13" t="inlineStr">
        <is>
          <t>other</t>
        </is>
      </c>
      <c r="C115" s="13" t="inlineStr">
        <is>
          <t>Other motor vehicle</t>
        </is>
      </c>
      <c r="D115" s="230" t="n"/>
    </row>
    <row r="116">
      <c r="A116" s="13" t="inlineStr">
        <is>
          <t>asset_transp</t>
        </is>
      </c>
      <c r="B116" s="13" t="inlineStr">
        <is>
          <t>none</t>
        </is>
      </c>
      <c r="C116" s="13" t="inlineStr">
        <is>
          <t>None of the above</t>
        </is>
      </c>
      <c r="D116" s="230" t="n"/>
    </row>
    <row r="117">
      <c r="A117" s="13" t="inlineStr">
        <is>
          <t>asset_transp</t>
        </is>
      </c>
      <c r="B117" s="13" t="inlineStr">
        <is>
          <t>dk</t>
        </is>
      </c>
      <c r="C117" s="13" t="inlineStr">
        <is>
          <t>DON'T KNOW</t>
        </is>
      </c>
      <c r="D117" s="230" t="n"/>
    </row>
    <row r="118">
      <c r="A118" s="13" t="inlineStr">
        <is>
          <t>asset_transp</t>
        </is>
      </c>
      <c r="B118" s="13" t="inlineStr">
        <is>
          <t>ref</t>
        </is>
      </c>
      <c r="C118" s="13" t="inlineStr">
        <is>
          <t>REFUSED</t>
        </is>
      </c>
      <c r="D118" s="230" t="n"/>
    </row>
    <row r="119">
      <c r="A119" s="14" t="n"/>
      <c r="B119" s="14" t="n"/>
      <c r="C119" s="14" t="n"/>
      <c r="D119" s="4" t="n"/>
    </row>
    <row r="120">
      <c r="A120" s="13" t="inlineStr">
        <is>
          <t>maritalstat</t>
        </is>
      </c>
      <c r="B120" s="13" t="n">
        <v>1</v>
      </c>
      <c r="C120" s="13" t="inlineStr">
        <is>
          <t xml:space="preserve">Single / never married </t>
        </is>
      </c>
      <c r="D120" s="230" t="n"/>
    </row>
    <row r="121">
      <c r="A121" s="13" t="inlineStr">
        <is>
          <t>maritalstat</t>
        </is>
      </c>
      <c r="B121" s="13" t="n">
        <v>2</v>
      </c>
      <c r="C121" s="13" t="inlineStr">
        <is>
          <t>Married</t>
        </is>
      </c>
      <c r="D121" s="230" t="n"/>
    </row>
    <row r="122">
      <c r="A122" s="13" t="inlineStr">
        <is>
          <t>maritalstat</t>
        </is>
      </c>
      <c r="B122" s="13" t="n">
        <v>3</v>
      </c>
      <c r="C122" s="13" t="inlineStr">
        <is>
          <t>Separated</t>
        </is>
      </c>
      <c r="D122" s="230" t="n"/>
    </row>
    <row r="123">
      <c r="A123" s="13" t="inlineStr">
        <is>
          <t>maritalstat</t>
        </is>
      </c>
      <c r="B123" s="13" t="n">
        <v>4</v>
      </c>
      <c r="C123" s="13" t="inlineStr">
        <is>
          <t>Divorced</t>
        </is>
      </c>
      <c r="D123" s="230" t="n"/>
    </row>
    <row r="124">
      <c r="A124" s="13" t="inlineStr">
        <is>
          <t>maritalstat</t>
        </is>
      </c>
      <c r="B124" s="13" t="n">
        <v>5</v>
      </c>
      <c r="C124" s="13" t="inlineStr">
        <is>
          <t>Widowed</t>
        </is>
      </c>
      <c r="D124" s="230" t="n"/>
    </row>
    <row r="125">
      <c r="A125" s="13" t="inlineStr">
        <is>
          <t>maritalstat</t>
        </is>
      </c>
      <c r="B125" s="13" t="n">
        <v>6</v>
      </c>
      <c r="C125" s="13" t="inlineStr">
        <is>
          <t>DON’T KNOW</t>
        </is>
      </c>
      <c r="D125" s="230" t="n"/>
    </row>
    <row r="126">
      <c r="A126" s="13" t="inlineStr">
        <is>
          <t>maritalstat</t>
        </is>
      </c>
      <c r="B126" s="13" t="n">
        <v>7</v>
      </c>
      <c r="C126" s="13" t="inlineStr">
        <is>
          <t xml:space="preserve">REFUSED </t>
        </is>
      </c>
      <c r="D126" s="230" t="n"/>
    </row>
    <row r="127">
      <c r="A127" s="14" t="n"/>
      <c r="B127" s="14" t="n"/>
      <c r="C127" s="14" t="n"/>
      <c r="D127" s="4" t="n"/>
    </row>
    <row r="128">
      <c r="A128" s="13" t="inlineStr">
        <is>
          <t>agegroup</t>
        </is>
      </c>
      <c r="B128" s="13" t="n">
        <v>1</v>
      </c>
      <c r="C128" s="13" t="inlineStr">
        <is>
          <t>Under 18</t>
        </is>
      </c>
      <c r="D128" s="230" t="n"/>
    </row>
    <row r="129">
      <c r="A129" s="13" t="inlineStr">
        <is>
          <t>agegroup</t>
        </is>
      </c>
      <c r="B129" s="13" t="n">
        <v>2</v>
      </c>
      <c r="C129" s="13" t="inlineStr">
        <is>
          <t>18 to 40</t>
        </is>
      </c>
      <c r="D129" s="230" t="n"/>
    </row>
    <row r="130">
      <c r="A130" s="13" t="inlineStr">
        <is>
          <t>agegroup</t>
        </is>
      </c>
      <c r="B130" s="13" t="n">
        <v>3</v>
      </c>
      <c r="C130" s="13" t="inlineStr">
        <is>
          <t>41 to 65</t>
        </is>
      </c>
      <c r="D130" s="230" t="n"/>
    </row>
    <row r="131">
      <c r="A131" s="13" t="inlineStr">
        <is>
          <t>agegroup</t>
        </is>
      </c>
      <c r="B131" s="13" t="n">
        <v>4</v>
      </c>
      <c r="C131" s="13" t="inlineStr">
        <is>
          <t>Over 65</t>
        </is>
      </c>
      <c r="D131" s="230" t="n"/>
    </row>
    <row r="132">
      <c r="A132" s="13" t="inlineStr">
        <is>
          <t>agegroup</t>
        </is>
      </c>
      <c r="B132" s="13" t="n">
        <v>5</v>
      </c>
      <c r="C132" s="13" t="inlineStr">
        <is>
          <t>DON'T KNOW</t>
        </is>
      </c>
      <c r="D132" s="230" t="n"/>
    </row>
    <row r="133">
      <c r="A133" s="13" t="inlineStr">
        <is>
          <t>agegroup</t>
        </is>
      </c>
      <c r="B133" s="13" t="n">
        <v>6</v>
      </c>
      <c r="C133" s="13" t="inlineStr">
        <is>
          <t>REFUSED</t>
        </is>
      </c>
      <c r="D133" s="230" t="n"/>
    </row>
    <row r="134">
      <c r="A134" s="14" t="n"/>
      <c r="B134" s="14" t="n"/>
      <c r="C134" s="14" t="n"/>
      <c r="D134" s="4" t="n"/>
    </row>
    <row r="135">
      <c r="A135" t="inlineStr">
        <is>
          <t>incomesource1</t>
        </is>
      </c>
      <c r="B135" t="n">
        <v>1</v>
      </c>
      <c r="C135" t="inlineStr">
        <is>
          <t>Production and sale of staple crops</t>
        </is>
      </c>
      <c r="D135" s="230" t="n"/>
    </row>
    <row r="136">
      <c r="A136" t="inlineStr">
        <is>
          <t>incomesource1</t>
        </is>
      </c>
      <c r="B136" t="n">
        <v>2</v>
      </c>
      <c r="C136" t="inlineStr">
        <is>
          <t xml:space="preserve">Production and sale of vegetable or fruit </t>
        </is>
      </c>
      <c r="D136" s="230" t="n"/>
    </row>
    <row r="137">
      <c r="A137" t="inlineStr">
        <is>
          <t>incomesource1</t>
        </is>
      </c>
      <c r="B137" t="n">
        <v>3</v>
      </c>
      <c r="C137" t="inlineStr">
        <is>
          <t>Production and sale of cashcrops</t>
        </is>
      </c>
      <c r="D137" s="230" t="n"/>
    </row>
    <row r="138">
      <c r="A138" t="inlineStr">
        <is>
          <t>incomesource1</t>
        </is>
      </c>
      <c r="B138" t="n">
        <v>4</v>
      </c>
      <c r="C138" t="inlineStr">
        <is>
          <t xml:space="preserve">Production and sale of livestock and livestock products </t>
        </is>
      </c>
      <c r="D138" s="230" t="n"/>
    </row>
    <row r="139">
      <c r="A139" t="inlineStr">
        <is>
          <t>incomesource1</t>
        </is>
      </c>
      <c r="B139" t="n">
        <v>5</v>
      </c>
      <c r="C139" t="inlineStr">
        <is>
          <t xml:space="preserve">Production and sale of fish </t>
        </is>
      </c>
      <c r="D139" s="230" t="n"/>
    </row>
    <row r="140">
      <c r="A140" t="inlineStr">
        <is>
          <t>incomesource1</t>
        </is>
      </c>
      <c r="B140" t="n">
        <v>6</v>
      </c>
      <c r="C140" t="inlineStr">
        <is>
          <t>Collection and sale of natural resources (including forestry or bush products, medicinal plants and non-timber products)</t>
        </is>
      </c>
      <c r="D140" s="230" t="n"/>
    </row>
    <row r="141">
      <c r="A141" t="inlineStr">
        <is>
          <t>incomesource1</t>
        </is>
      </c>
      <c r="B141" t="n">
        <v>7</v>
      </c>
      <c r="C141" t="inlineStr">
        <is>
          <t xml:space="preserve">Informal agricultural trade EXCLUDING producers </t>
        </is>
      </c>
      <c r="D141" s="230" t="n"/>
    </row>
    <row r="142">
      <c r="A142" t="inlineStr">
        <is>
          <t>incomesource1</t>
        </is>
      </c>
      <c r="B142" t="n">
        <v>8</v>
      </c>
      <c r="C142" t="inlineStr">
        <is>
          <t xml:space="preserve">Formal agricultural trade EXCLUDING producers </t>
        </is>
      </c>
      <c r="D142" s="230" t="n"/>
    </row>
    <row r="143">
      <c r="A143" t="inlineStr">
        <is>
          <t>incomesource1</t>
        </is>
      </c>
      <c r="B143" t="n">
        <v>9</v>
      </c>
      <c r="C143" t="inlineStr">
        <is>
          <t xml:space="preserve">Daily wage on farms and other casual employment in agricultural sector </t>
        </is>
      </c>
      <c r="D143" s="230" t="n"/>
    </row>
    <row r="144">
      <c r="A144" t="inlineStr">
        <is>
          <t>incomesource1</t>
        </is>
      </c>
      <c r="B144" t="n">
        <v>10</v>
      </c>
      <c r="C144" t="inlineStr">
        <is>
          <t xml:space="preserve">Stable employment in agricultural sector </t>
        </is>
      </c>
      <c r="D144" s="230" t="n"/>
    </row>
    <row r="145">
      <c r="A145" t="inlineStr">
        <is>
          <t>incomesource1</t>
        </is>
      </c>
      <c r="B145" t="n">
        <v>11</v>
      </c>
      <c r="C145" t="inlineStr">
        <is>
          <t>Non-agricultural self-employed or liberal profession, doctor, architect, lawyer, including restaurant</t>
        </is>
      </c>
      <c r="D145" s="230" t="n"/>
    </row>
    <row r="146">
      <c r="A146" t="inlineStr">
        <is>
          <t>incomesource1</t>
        </is>
      </c>
      <c r="B146" t="n">
        <v>12</v>
      </c>
      <c r="C146" t="inlineStr">
        <is>
          <t>Off-farm daily wages and other non-agricultural casual employment</t>
        </is>
      </c>
      <c r="D146" s="230" t="n"/>
    </row>
    <row r="147">
      <c r="A147" t="inlineStr">
        <is>
          <t>incomesource1</t>
        </is>
      </c>
      <c r="B147" t="n">
        <v>13</v>
      </c>
      <c r="C147" t="inlineStr">
        <is>
          <t>Stable employment in non-agricultural sector</t>
        </is>
      </c>
      <c r="D147" s="230" t="n"/>
    </row>
    <row r="148">
      <c r="A148" t="inlineStr">
        <is>
          <t>incomesource1</t>
        </is>
      </c>
      <c r="B148" t="n">
        <v>14</v>
      </c>
      <c r="C148" t="inlineStr">
        <is>
          <t xml:space="preserve">Public employment </t>
        </is>
      </c>
      <c r="D148" s="230" t="n"/>
    </row>
    <row r="149">
      <c r="A149" t="inlineStr">
        <is>
          <t>incomesource1</t>
        </is>
      </c>
      <c r="B149" t="n">
        <v>15</v>
      </c>
      <c r="C149" t="inlineStr">
        <is>
          <t>Income not derived from work / Charity</t>
        </is>
      </c>
      <c r="D149" s="230" t="n"/>
    </row>
    <row r="150">
      <c r="A150" t="inlineStr">
        <is>
          <t>incomesource1</t>
        </is>
      </c>
      <c r="B150" t="n">
        <v>16</v>
      </c>
      <c r="C150" t="inlineStr">
        <is>
          <t>Income not derived from work / Welfare transfer, pension, humanitarian aid</t>
        </is>
      </c>
      <c r="D150" s="230" t="n"/>
    </row>
    <row r="151">
      <c r="A151" t="inlineStr">
        <is>
          <t>incomesource1</t>
        </is>
      </c>
      <c r="B151" t="n">
        <v>17</v>
      </c>
      <c r="C151" t="inlineStr">
        <is>
          <t>Income not derived from work / Remittances</t>
        </is>
      </c>
      <c r="D151" s="230" t="n"/>
    </row>
    <row r="152">
      <c r="A152" t="inlineStr">
        <is>
          <t>incomesource1</t>
        </is>
      </c>
      <c r="B152" t="n">
        <v>18</v>
      </c>
      <c r="C152" t="inlineStr">
        <is>
          <t xml:space="preserve">Income not derived from work / Income from other rents                                                                                                                                              </t>
        </is>
      </c>
      <c r="D152" s="230" t="n"/>
    </row>
    <row r="153">
      <c r="A153" t="inlineStr">
        <is>
          <t>incomesource1</t>
        </is>
      </c>
      <c r="B153" t="n">
        <v>19</v>
      </c>
      <c r="C153" t="inlineStr">
        <is>
          <t xml:space="preserve">No income source in the last 3 months and used exclusively savings </t>
        </is>
      </c>
      <c r="D153" s="230" t="n"/>
    </row>
    <row r="154">
      <c r="A154" t="inlineStr">
        <is>
          <t>incomesource1</t>
        </is>
      </c>
      <c r="B154" t="n">
        <v>20</v>
      </c>
      <c r="C154" t="inlineStr">
        <is>
          <t>No income source in the last 3 months and used exclusively debt</t>
        </is>
      </c>
      <c r="D154" s="230" t="n"/>
    </row>
    <row r="155">
      <c r="A155" t="inlineStr">
        <is>
          <t>incomesource1</t>
        </is>
      </c>
      <c r="B155" s="18" t="n">
        <v>21</v>
      </c>
      <c r="C155" t="inlineStr">
        <is>
          <t>REFUSED</t>
        </is>
      </c>
      <c r="D155" s="230" t="n"/>
    </row>
    <row r="156">
      <c r="D156" s="4" t="n"/>
    </row>
    <row r="157">
      <c r="A157" t="inlineStr">
        <is>
          <t>change</t>
        </is>
      </c>
      <c r="B157" t="n">
        <v>1</v>
      </c>
      <c r="C157" t="inlineStr">
        <is>
          <t>A lot more [increased by more than 50%]</t>
        </is>
      </c>
      <c r="D157" s="230" t="n"/>
    </row>
    <row r="158">
      <c r="A158" t="inlineStr">
        <is>
          <t>change</t>
        </is>
      </c>
      <c r="B158" t="n">
        <v>2</v>
      </c>
      <c r="C158" t="inlineStr">
        <is>
          <t>Slightly more</t>
        </is>
      </c>
      <c r="D158" s="230" t="n"/>
    </row>
    <row r="159">
      <c r="A159" t="inlineStr">
        <is>
          <t>change</t>
        </is>
      </c>
      <c r="B159" t="n">
        <v>3</v>
      </c>
      <c r="C159" t="inlineStr">
        <is>
          <t>Same</t>
        </is>
      </c>
      <c r="D159" s="230" t="n"/>
    </row>
    <row r="160">
      <c r="A160" t="inlineStr">
        <is>
          <t>change</t>
        </is>
      </c>
      <c r="B160" t="n">
        <v>4</v>
      </c>
      <c r="C160" t="inlineStr">
        <is>
          <t>Slightly less</t>
        </is>
      </c>
      <c r="D160" s="230" t="n"/>
    </row>
    <row r="161">
      <c r="A161" t="inlineStr">
        <is>
          <t>change</t>
        </is>
      </c>
      <c r="B161" t="n">
        <v>5</v>
      </c>
      <c r="C161" t="inlineStr">
        <is>
          <t xml:space="preserve">A lot less [less than half as much] </t>
        </is>
      </c>
      <c r="D161" s="230" t="n"/>
    </row>
    <row r="162">
      <c r="A162" t="inlineStr">
        <is>
          <t>change</t>
        </is>
      </c>
      <c r="B162" s="18" t="n">
        <v>6</v>
      </c>
      <c r="C162" t="inlineStr">
        <is>
          <t>DON'T KNOW</t>
        </is>
      </c>
      <c r="D162" s="230" t="n"/>
    </row>
    <row r="163">
      <c r="A163" t="inlineStr">
        <is>
          <t>change</t>
        </is>
      </c>
      <c r="B163" s="18" t="n">
        <v>7</v>
      </c>
      <c r="C163" t="inlineStr">
        <is>
          <t>REFUSED</t>
        </is>
      </c>
      <c r="D163" s="230" t="n"/>
    </row>
    <row r="164">
      <c r="D164" s="4" t="n"/>
    </row>
    <row r="165" customFormat="1" s="15">
      <c r="A165" s="17" t="inlineStr">
        <is>
          <t>incomesource2</t>
        </is>
      </c>
      <c r="B165" s="17" t="n">
        <v>1</v>
      </c>
      <c r="C165" t="inlineStr">
        <is>
          <t>Production and sale of staple crops</t>
        </is>
      </c>
      <c r="D165" s="230" t="n"/>
    </row>
    <row r="166" customFormat="1" s="15">
      <c r="A166" s="17" t="inlineStr">
        <is>
          <t>incomesource2</t>
        </is>
      </c>
      <c r="B166" s="17" t="n">
        <v>2</v>
      </c>
      <c r="C166" t="inlineStr">
        <is>
          <t xml:space="preserve">Production and sale of vegetable or fruit </t>
        </is>
      </c>
      <c r="D166" s="230" t="n"/>
    </row>
    <row r="167" customFormat="1" s="15">
      <c r="A167" s="17" t="inlineStr">
        <is>
          <t>incomesource2</t>
        </is>
      </c>
      <c r="B167" s="17" t="n">
        <v>3</v>
      </c>
      <c r="C167" t="inlineStr">
        <is>
          <t>Production and sale of cashcrops</t>
        </is>
      </c>
      <c r="D167" s="230" t="n"/>
    </row>
    <row r="168" customFormat="1" s="15">
      <c r="A168" s="17" t="inlineStr">
        <is>
          <t>incomesource2</t>
        </is>
      </c>
      <c r="B168" s="17" t="n">
        <v>4</v>
      </c>
      <c r="C168" t="inlineStr">
        <is>
          <t xml:space="preserve">Production and sale of livestock and livestock products </t>
        </is>
      </c>
      <c r="D168" s="230" t="n"/>
    </row>
    <row r="169" customFormat="1" s="15">
      <c r="A169" s="17" t="inlineStr">
        <is>
          <t>incomesource2</t>
        </is>
      </c>
      <c r="B169" s="17" t="n">
        <v>5</v>
      </c>
      <c r="C169" t="inlineStr">
        <is>
          <t xml:space="preserve">Production and sale of fish </t>
        </is>
      </c>
      <c r="D169" s="230" t="n"/>
    </row>
    <row r="170" customFormat="1" s="15">
      <c r="A170" s="17" t="inlineStr">
        <is>
          <t>incomesource2</t>
        </is>
      </c>
      <c r="B170" s="17" t="n">
        <v>6</v>
      </c>
      <c r="C170" t="inlineStr">
        <is>
          <t>Collection and sale of natural resources (including forestry or bush products, medicinal plants and non-timber products)</t>
        </is>
      </c>
      <c r="D170" s="230" t="n"/>
    </row>
    <row r="171" customFormat="1" s="15">
      <c r="A171" s="17" t="inlineStr">
        <is>
          <t>incomesource2</t>
        </is>
      </c>
      <c r="B171" s="17" t="n">
        <v>7</v>
      </c>
      <c r="C171" s="17" t="inlineStr">
        <is>
          <t xml:space="preserve">Informal agricultural trade EXCLUDING producers </t>
        </is>
      </c>
      <c r="D171" s="230" t="n"/>
    </row>
    <row r="172" customFormat="1" s="15">
      <c r="A172" s="17" t="inlineStr">
        <is>
          <t>incomesource2</t>
        </is>
      </c>
      <c r="B172" s="17" t="n">
        <v>8</v>
      </c>
      <c r="C172" s="17" t="inlineStr">
        <is>
          <t xml:space="preserve">Formal agricultural trade EXCLUDING producers </t>
        </is>
      </c>
      <c r="D172" s="230" t="n"/>
    </row>
    <row r="173" customFormat="1" s="15">
      <c r="A173" s="17" t="inlineStr">
        <is>
          <t>incomesource2</t>
        </is>
      </c>
      <c r="B173" s="17" t="n">
        <v>9</v>
      </c>
      <c r="C173" s="17" t="inlineStr">
        <is>
          <t xml:space="preserve">Daily wage on farms and other casual employment in agricultural sector </t>
        </is>
      </c>
      <c r="D173" s="230" t="n"/>
    </row>
    <row r="174" customFormat="1" s="15">
      <c r="A174" s="17" t="inlineStr">
        <is>
          <t>incomesource2</t>
        </is>
      </c>
      <c r="B174" s="17" t="n">
        <v>10</v>
      </c>
      <c r="C174" s="17" t="inlineStr">
        <is>
          <t xml:space="preserve">Stable employment in agricultural sector </t>
        </is>
      </c>
      <c r="D174" s="230" t="n"/>
    </row>
    <row r="175" customFormat="1" s="15">
      <c r="A175" s="17" t="inlineStr">
        <is>
          <t>incomesource2</t>
        </is>
      </c>
      <c r="B175" s="17" t="n">
        <v>11</v>
      </c>
      <c r="C175" s="17" t="inlineStr">
        <is>
          <t>Non-agricultural self-employed or liberal profession, doctor, architect, lawyer, including restaurant</t>
        </is>
      </c>
      <c r="D175" s="230" t="n"/>
    </row>
    <row r="176" customFormat="1" s="15">
      <c r="A176" s="17" t="inlineStr">
        <is>
          <t>incomesource2</t>
        </is>
      </c>
      <c r="B176" s="17" t="n">
        <v>12</v>
      </c>
      <c r="C176" s="17" t="inlineStr">
        <is>
          <t>Off-farm daily wages and other non-agricultural casual employment</t>
        </is>
      </c>
      <c r="D176" s="230" t="n"/>
    </row>
    <row r="177" customFormat="1" s="15">
      <c r="A177" s="17" t="inlineStr">
        <is>
          <t>incomesource2</t>
        </is>
      </c>
      <c r="B177" s="17" t="n">
        <v>13</v>
      </c>
      <c r="C177" s="17" t="inlineStr">
        <is>
          <t>Stable employment in non-agricultural sector</t>
        </is>
      </c>
      <c r="D177" s="230" t="n"/>
    </row>
    <row r="178" customFormat="1" s="15">
      <c r="A178" s="17" t="inlineStr">
        <is>
          <t>incomesource2</t>
        </is>
      </c>
      <c r="B178" s="17" t="n">
        <v>14</v>
      </c>
      <c r="C178" s="17" t="inlineStr">
        <is>
          <t xml:space="preserve">Public employment </t>
        </is>
      </c>
      <c r="D178" s="230" t="n"/>
    </row>
    <row r="179" customFormat="1" s="15">
      <c r="A179" s="17" t="inlineStr">
        <is>
          <t>incomesource2</t>
        </is>
      </c>
      <c r="B179" s="17" t="n">
        <v>15</v>
      </c>
      <c r="C179" s="17" t="inlineStr">
        <is>
          <t>Income not derived from work / Charity</t>
        </is>
      </c>
      <c r="D179" s="230" t="n"/>
    </row>
    <row r="180" customFormat="1" s="15">
      <c r="A180" s="17" t="inlineStr">
        <is>
          <t>incomesource2</t>
        </is>
      </c>
      <c r="B180" s="17" t="n">
        <v>16</v>
      </c>
      <c r="C180" s="17" t="inlineStr">
        <is>
          <t>Income not derived from work / Welfare transfer, pension, humanitarian aid</t>
        </is>
      </c>
      <c r="D180" s="230" t="n"/>
    </row>
    <row r="181" customFormat="1" s="15">
      <c r="A181" s="17" t="inlineStr">
        <is>
          <t>incomesource2</t>
        </is>
      </c>
      <c r="B181" s="17" t="n">
        <v>17</v>
      </c>
      <c r="C181" s="17" t="inlineStr">
        <is>
          <t>Income not derived from work / Remittances</t>
        </is>
      </c>
      <c r="D181" s="230" t="n"/>
    </row>
    <row r="182" customFormat="1" s="15">
      <c r="A182" s="17" t="inlineStr">
        <is>
          <t>incomesource2</t>
        </is>
      </c>
      <c r="B182" s="17" t="n">
        <v>18</v>
      </c>
      <c r="C182" s="17" t="inlineStr">
        <is>
          <t>Income not derived from work / Income from other rents</t>
        </is>
      </c>
      <c r="D182" s="230" t="n"/>
    </row>
    <row r="183" customFormat="1" s="15">
      <c r="A183" s="17" t="inlineStr">
        <is>
          <t>incomesource2</t>
        </is>
      </c>
      <c r="B183" s="17" t="n">
        <v>19</v>
      </c>
      <c r="C183" s="17" t="inlineStr">
        <is>
          <t>No second most important source of income</t>
        </is>
      </c>
      <c r="D183" s="230" t="n"/>
    </row>
    <row r="184" customFormat="1" s="15">
      <c r="A184" s="17" t="inlineStr">
        <is>
          <t>incomesource2</t>
        </is>
      </c>
      <c r="B184" s="18" t="n">
        <v>20</v>
      </c>
      <c r="C184" s="17" t="inlineStr">
        <is>
          <t>DON'T KNOW</t>
        </is>
      </c>
      <c r="D184" s="230" t="n"/>
    </row>
    <row r="185" customFormat="1" s="15">
      <c r="A185" s="17" t="inlineStr">
        <is>
          <t>incomesource2</t>
        </is>
      </c>
      <c r="B185" s="18" t="n">
        <v>21</v>
      </c>
      <c r="C185" s="17" t="inlineStr">
        <is>
          <t>REFUSED</t>
        </is>
      </c>
      <c r="D185" s="230" t="n"/>
    </row>
    <row r="186" customFormat="1" s="15">
      <c r="D186" s="5" t="n"/>
    </row>
    <row r="187" customFormat="1" s="15">
      <c r="A187" s="17" t="inlineStr">
        <is>
          <t>incomesource3</t>
        </is>
      </c>
      <c r="B187" s="17" t="n">
        <v>1</v>
      </c>
      <c r="C187" t="inlineStr">
        <is>
          <t>Production and sale of staple crops</t>
        </is>
      </c>
      <c r="D187" s="230" t="n"/>
    </row>
    <row r="188" customFormat="1" s="15">
      <c r="A188" s="17" t="inlineStr">
        <is>
          <t>incomesource3</t>
        </is>
      </c>
      <c r="B188" s="17" t="n">
        <v>2</v>
      </c>
      <c r="C188" t="inlineStr">
        <is>
          <t xml:space="preserve">Production and sale of vegetable or fruit </t>
        </is>
      </c>
      <c r="D188" s="230" t="n"/>
    </row>
    <row r="189" customFormat="1" s="15">
      <c r="A189" s="17" t="inlineStr">
        <is>
          <t>incomesource3</t>
        </is>
      </c>
      <c r="B189" s="17" t="n">
        <v>3</v>
      </c>
      <c r="C189" t="inlineStr">
        <is>
          <t>Production and sale of cashcrops</t>
        </is>
      </c>
      <c r="D189" s="230" t="n"/>
    </row>
    <row r="190" customFormat="1" s="15">
      <c r="A190" s="17" t="inlineStr">
        <is>
          <t>incomesource3</t>
        </is>
      </c>
      <c r="B190" s="17" t="n">
        <v>4</v>
      </c>
      <c r="C190" t="inlineStr">
        <is>
          <t xml:space="preserve">Production and sale of livestock and livestock products </t>
        </is>
      </c>
      <c r="D190" s="230" t="n"/>
    </row>
    <row r="191" customFormat="1" s="15">
      <c r="A191" s="17" t="inlineStr">
        <is>
          <t>incomesource3</t>
        </is>
      </c>
      <c r="B191" s="17" t="n">
        <v>5</v>
      </c>
      <c r="C191" t="inlineStr">
        <is>
          <t xml:space="preserve">Production and sale of fish </t>
        </is>
      </c>
      <c r="D191" s="230" t="n"/>
    </row>
    <row r="192" customFormat="1" s="15">
      <c r="A192" s="17" t="inlineStr">
        <is>
          <t>incomesource3</t>
        </is>
      </c>
      <c r="B192" s="17" t="n">
        <v>6</v>
      </c>
      <c r="C192" s="17" t="inlineStr">
        <is>
          <t>Collection and sale of natural resources (including forestry or bush products)</t>
        </is>
      </c>
      <c r="D192" s="230" t="n"/>
    </row>
    <row r="193" customFormat="1" s="15">
      <c r="A193" s="17" t="inlineStr">
        <is>
          <t>incomesource3</t>
        </is>
      </c>
      <c r="B193" s="17" t="n">
        <v>7</v>
      </c>
      <c r="C193" s="17" t="inlineStr">
        <is>
          <t xml:space="preserve">Informal agricultural trade EXCLUDING producers </t>
        </is>
      </c>
      <c r="D193" s="230" t="n"/>
    </row>
    <row r="194" customFormat="1" s="15">
      <c r="A194" s="17" t="inlineStr">
        <is>
          <t>incomesource3</t>
        </is>
      </c>
      <c r="B194" s="17" t="n">
        <v>8</v>
      </c>
      <c r="C194" s="17" t="inlineStr">
        <is>
          <t xml:space="preserve">Formal agricultural trade EXCLUDING producers </t>
        </is>
      </c>
      <c r="D194" s="230" t="n"/>
    </row>
    <row r="195" customFormat="1" s="15">
      <c r="A195" s="17" t="inlineStr">
        <is>
          <t>incomesource3</t>
        </is>
      </c>
      <c r="B195" s="17" t="n">
        <v>9</v>
      </c>
      <c r="C195" s="17" t="inlineStr">
        <is>
          <t xml:space="preserve">Daily wage on farms and other casual employment in agricultural sector </t>
        </is>
      </c>
      <c r="D195" s="230" t="n"/>
    </row>
    <row r="196" customFormat="1" s="15">
      <c r="A196" s="17" t="inlineStr">
        <is>
          <t>incomesource3</t>
        </is>
      </c>
      <c r="B196" s="17" t="n">
        <v>10</v>
      </c>
      <c r="C196" s="17" t="inlineStr">
        <is>
          <t xml:space="preserve">Stable employment in agricultural sector </t>
        </is>
      </c>
      <c r="D196" s="230" t="n"/>
    </row>
    <row r="197" customFormat="1" s="15">
      <c r="A197" s="17" t="inlineStr">
        <is>
          <t>incomesource3</t>
        </is>
      </c>
      <c r="B197" s="17" t="n">
        <v>11</v>
      </c>
      <c r="C197" s="17" t="inlineStr">
        <is>
          <t>Non-agricultural self-employed or liberal profession, doctor, architect, lawyer, including restaurant</t>
        </is>
      </c>
      <c r="D197" s="230" t="n"/>
    </row>
    <row r="198" customFormat="1" s="15">
      <c r="A198" s="17" t="inlineStr">
        <is>
          <t>incomesource3</t>
        </is>
      </c>
      <c r="B198" s="17" t="n">
        <v>12</v>
      </c>
      <c r="C198" s="17" t="inlineStr">
        <is>
          <t>Off-farm daily wages and other non-agricultural casual employment</t>
        </is>
      </c>
      <c r="D198" s="230" t="n"/>
    </row>
    <row r="199" customFormat="1" s="15">
      <c r="A199" s="17" t="inlineStr">
        <is>
          <t>incomesource3</t>
        </is>
      </c>
      <c r="B199" s="17" t="n">
        <v>13</v>
      </c>
      <c r="C199" s="17" t="inlineStr">
        <is>
          <t>Stable employment in non-agricultural sector</t>
        </is>
      </c>
      <c r="D199" s="230" t="n"/>
    </row>
    <row r="200" customFormat="1" s="15">
      <c r="A200" s="17" t="inlineStr">
        <is>
          <t>incomesource3</t>
        </is>
      </c>
      <c r="B200" s="17" t="n">
        <v>14</v>
      </c>
      <c r="C200" s="17" t="inlineStr">
        <is>
          <t xml:space="preserve">Public employment </t>
        </is>
      </c>
      <c r="D200" s="230" t="n"/>
    </row>
    <row r="201" customFormat="1" s="15">
      <c r="A201" s="17" t="inlineStr">
        <is>
          <t>incomesource3</t>
        </is>
      </c>
      <c r="B201" s="17" t="n">
        <v>15</v>
      </c>
      <c r="C201" s="17" t="inlineStr">
        <is>
          <t>Income not derived from work / Charity</t>
        </is>
      </c>
      <c r="D201" s="230" t="n"/>
    </row>
    <row r="202" customFormat="1" s="15">
      <c r="A202" s="17" t="inlineStr">
        <is>
          <t>incomesource3</t>
        </is>
      </c>
      <c r="B202" s="17" t="n">
        <v>16</v>
      </c>
      <c r="C202" s="17" t="inlineStr">
        <is>
          <t>Income not derived from work / Welfare transfer, pension, humanitarian aid</t>
        </is>
      </c>
      <c r="D202" s="230" t="n"/>
    </row>
    <row r="203" customFormat="1" s="15">
      <c r="A203" s="17" t="inlineStr">
        <is>
          <t>incomesource3</t>
        </is>
      </c>
      <c r="B203" s="17" t="n">
        <v>17</v>
      </c>
      <c r="C203" s="17" t="inlineStr">
        <is>
          <t>Income not derived from work / Remittances</t>
        </is>
      </c>
      <c r="D203" s="230" t="n"/>
    </row>
    <row r="204" customFormat="1" s="15">
      <c r="A204" s="17" t="inlineStr">
        <is>
          <t>incomesource3</t>
        </is>
      </c>
      <c r="B204" s="17" t="n">
        <v>18</v>
      </c>
      <c r="C204" s="17" t="inlineStr">
        <is>
          <t xml:space="preserve">Income not derived from work / Income from other rents                                </t>
        </is>
      </c>
      <c r="D204" s="230" t="n"/>
    </row>
    <row r="205" customFormat="1" s="15">
      <c r="A205" s="17" t="inlineStr">
        <is>
          <t>incomesource3</t>
        </is>
      </c>
      <c r="B205" s="17" t="n">
        <v>19</v>
      </c>
      <c r="C205" s="17" t="inlineStr">
        <is>
          <t>No third most important source of income</t>
        </is>
      </c>
      <c r="D205" s="230" t="n"/>
    </row>
    <row r="206" customFormat="1" s="15">
      <c r="A206" s="17" t="inlineStr">
        <is>
          <t>incomesource3</t>
        </is>
      </c>
      <c r="B206" s="18" t="n">
        <v>20</v>
      </c>
      <c r="C206" s="17" t="inlineStr">
        <is>
          <t>DON'T KNOW</t>
        </is>
      </c>
      <c r="D206" s="230" t="n"/>
    </row>
    <row r="207" customFormat="1" s="15">
      <c r="A207" s="17" t="inlineStr">
        <is>
          <t>incomesource3</t>
        </is>
      </c>
      <c r="B207" s="18" t="n">
        <v>21</v>
      </c>
      <c r="C207" s="17" t="inlineStr">
        <is>
          <t>REFUSED</t>
        </is>
      </c>
      <c r="D207" s="230" t="n"/>
    </row>
    <row r="208" customFormat="1" s="12">
      <c r="D208" s="8" t="n"/>
    </row>
    <row r="209">
      <c r="A209" t="inlineStr">
        <is>
          <t>covidmeasures</t>
        </is>
      </c>
      <c r="B209" t="inlineStr">
        <is>
          <t>goodstransp</t>
        </is>
      </c>
      <c r="C209" t="inlineStr">
        <is>
          <t>Movement restrictions [sometimes producing product scarcity or price heights]</t>
        </is>
      </c>
      <c r="D209" s="230" t="n"/>
    </row>
    <row r="210">
      <c r="A210" t="inlineStr">
        <is>
          <t>covidmeasures</t>
        </is>
      </c>
      <c r="B210" t="inlineStr">
        <is>
          <t>marketclosed</t>
        </is>
      </c>
      <c r="C210" t="inlineStr">
        <is>
          <t>Closure of food markets or other businesses</t>
        </is>
      </c>
      <c r="D210" s="230" t="n"/>
    </row>
    <row r="211">
      <c r="A211" t="inlineStr">
        <is>
          <t>covidmeasures</t>
        </is>
      </c>
      <c r="B211" t="inlineStr">
        <is>
          <t>borderclosed</t>
        </is>
      </c>
      <c r="C211" t="inlineStr">
        <is>
          <t>Closure of international borders [affecting the purchase of imported inputs or the sale of goods for export or transhumance]</t>
        </is>
      </c>
      <c r="D211" s="230" t="n"/>
    </row>
    <row r="212">
      <c r="A212" t="inlineStr">
        <is>
          <t>covidmeasures</t>
        </is>
      </c>
      <c r="B212" t="inlineStr">
        <is>
          <t>stayhome</t>
        </is>
      </c>
      <c r="C212" t="inlineStr">
        <is>
          <t>Stay at home order</t>
        </is>
      </c>
      <c r="D212" s="230" t="n"/>
    </row>
    <row r="213">
      <c r="A213" t="inlineStr">
        <is>
          <t>covidmeasures</t>
        </is>
      </c>
      <c r="B213" t="inlineStr">
        <is>
          <t>gatherings</t>
        </is>
      </c>
      <c r="C213" t="inlineStr">
        <is>
          <t>Ban on gatherings</t>
        </is>
      </c>
      <c r="D213" s="230" t="n"/>
    </row>
    <row r="214">
      <c r="A214" t="inlineStr">
        <is>
          <t>covidmeasures</t>
        </is>
      </c>
      <c r="B214" t="inlineStr">
        <is>
          <t>processclosed</t>
        </is>
      </c>
      <c r="C214" t="inlineStr">
        <is>
          <t>Closure of food processors [slaughterhouse / dairy cooperatives / etc] or restaurants</t>
        </is>
      </c>
      <c r="D214" s="230" t="n"/>
    </row>
    <row r="215">
      <c r="A215" t="inlineStr">
        <is>
          <t>covidmeasures</t>
        </is>
      </c>
      <c r="B215" t="inlineStr">
        <is>
          <t>other</t>
        </is>
      </c>
      <c r="C215" t="inlineStr">
        <is>
          <t>Other [specify]</t>
        </is>
      </c>
      <c r="D215" s="230" t="n"/>
    </row>
    <row r="216">
      <c r="A216" t="inlineStr">
        <is>
          <t>covidmeasures</t>
        </is>
      </c>
      <c r="B216" t="inlineStr">
        <is>
          <t>none</t>
        </is>
      </c>
      <c r="C216" t="inlineStr">
        <is>
          <t>Not affected by restrictions</t>
        </is>
      </c>
      <c r="D216" s="230" t="n"/>
    </row>
    <row r="217">
      <c r="A217" t="inlineStr">
        <is>
          <t>covidmeasures</t>
        </is>
      </c>
      <c r="B217" t="inlineStr">
        <is>
          <t>dk</t>
        </is>
      </c>
      <c r="C217" t="inlineStr">
        <is>
          <t>DON'T KNOW</t>
        </is>
      </c>
      <c r="D217" s="230" t="n"/>
    </row>
    <row r="218">
      <c r="A218" t="inlineStr">
        <is>
          <t>covidmeasures</t>
        </is>
      </c>
      <c r="B218" t="inlineStr">
        <is>
          <t>ref</t>
        </is>
      </c>
      <c r="C218" t="inlineStr">
        <is>
          <t>REFUSED</t>
        </is>
      </c>
      <c r="D218" s="230" t="n"/>
    </row>
    <row r="219">
      <c r="D219" s="4" t="n"/>
    </row>
    <row r="220">
      <c r="A220" t="inlineStr">
        <is>
          <t>shock</t>
        </is>
      </c>
      <c r="B220" t="inlineStr">
        <is>
          <t>noshock</t>
        </is>
      </c>
      <c r="C220" t="inlineStr">
        <is>
          <t>No shock</t>
        </is>
      </c>
      <c r="D220" s="230" t="n"/>
    </row>
    <row r="221">
      <c r="A221" t="inlineStr">
        <is>
          <t>shock</t>
        </is>
      </c>
      <c r="B221" t="inlineStr">
        <is>
          <t>sicknessordeathofhh</t>
        </is>
      </c>
      <c r="C221" t="inlineStr">
        <is>
          <t>Sickness or accident or death of household member[s] [sickness of breadwinner / unusually high medical expenditure / funeral expenses / death of breadwinner]</t>
        </is>
      </c>
      <c r="D221" s="230" t="n"/>
    </row>
    <row r="222">
      <c r="A222" t="inlineStr">
        <is>
          <t>shock</t>
        </is>
      </c>
      <c r="B222" t="inlineStr">
        <is>
          <t>lostemplorwork</t>
        </is>
      </c>
      <c r="C222" t="inlineStr">
        <is>
          <t>Lost employment or working opportunities [mainly applies for daily work]</t>
        </is>
      </c>
      <c r="D222" s="230" t="n"/>
    </row>
    <row r="223">
      <c r="A223" t="inlineStr">
        <is>
          <t>shock</t>
        </is>
      </c>
      <c r="B223" t="inlineStr">
        <is>
          <t>otherintrahhshock</t>
        </is>
      </c>
      <c r="C223" t="inlineStr">
        <is>
          <t>Other intra household shock</t>
        </is>
      </c>
      <c r="D223" s="230" t="n"/>
    </row>
    <row r="224">
      <c r="A224" t="inlineStr">
        <is>
          <t>shock</t>
        </is>
      </c>
      <c r="B224" t="inlineStr">
        <is>
          <t>higherfoodprices</t>
        </is>
      </c>
      <c r="C224" t="inlineStr">
        <is>
          <t>Much higher than usual food prices</t>
        </is>
      </c>
      <c r="D224" s="230" t="n"/>
    </row>
    <row r="225">
      <c r="A225" t="inlineStr">
        <is>
          <t>shock</t>
        </is>
      </c>
      <c r="B225" t="inlineStr">
        <is>
          <t>higherfuelprices</t>
        </is>
      </c>
      <c r="C225" t="inlineStr">
        <is>
          <t>Much higher than usual fuel prices or transport prices</t>
        </is>
      </c>
      <c r="D225" s="230" t="n"/>
    </row>
    <row r="226">
      <c r="A226" t="inlineStr">
        <is>
          <t>shock</t>
        </is>
      </c>
      <c r="B226" t="inlineStr">
        <is>
          <t>cantworkordobusiness</t>
        </is>
      </c>
      <c r="C226" t="inlineStr">
        <is>
          <t>Could not continue business as usual due to external constraints [such as covid restrictions, insecurity, infrastructure damage, etc.]</t>
        </is>
      </c>
      <c r="D226" s="230" t="n"/>
    </row>
    <row r="227">
      <c r="A227" t="inlineStr">
        <is>
          <t>shock</t>
        </is>
      </c>
      <c r="B227" t="inlineStr">
        <is>
          <t>othereconomicshock</t>
        </is>
      </c>
      <c r="C227" t="inlineStr">
        <is>
          <t xml:space="preserve">Other economic shock </t>
        </is>
      </c>
      <c r="D227" s="230" t="n"/>
    </row>
    <row r="228">
      <c r="A228" t="inlineStr">
        <is>
          <t>shock</t>
        </is>
      </c>
      <c r="B228" t="inlineStr">
        <is>
          <t>pestoutbreak</t>
        </is>
      </c>
      <c r="C228" t="inlineStr">
        <is>
          <t>Pest outbreak</t>
        </is>
      </c>
      <c r="D228" s="230" t="n"/>
    </row>
    <row r="229">
      <c r="A229" t="inlineStr">
        <is>
          <t>shock</t>
        </is>
      </c>
      <c r="B229" t="inlineStr">
        <is>
          <t>plantdisease</t>
        </is>
      </c>
      <c r="C229" t="inlineStr">
        <is>
          <t>Plant disease</t>
        </is>
      </c>
      <c r="D229" s="230" t="n"/>
    </row>
    <row r="230">
      <c r="A230" t="inlineStr">
        <is>
          <t>shock</t>
        </is>
      </c>
      <c r="B230" t="inlineStr">
        <is>
          <t>animaldisease</t>
        </is>
      </c>
      <c r="C230" t="inlineStr">
        <is>
          <t xml:space="preserve">Animal disease affecting many animals or death of animals </t>
        </is>
      </c>
      <c r="D230" s="230" t="n"/>
    </row>
    <row r="231">
      <c r="A231" t="inlineStr">
        <is>
          <t>shock</t>
        </is>
      </c>
      <c r="B231" t="inlineStr">
        <is>
          <t>napasture</t>
        </is>
      </c>
      <c r="C231" t="inlineStr">
        <is>
          <t>Lack of physical access to pasture [because of conflict / infrastructure damage / COVID-19 restrictions]</t>
        </is>
      </c>
      <c r="D231" s="230" t="n"/>
    </row>
    <row r="232">
      <c r="A232" t="inlineStr">
        <is>
          <t>shock</t>
        </is>
      </c>
      <c r="B232" t="inlineStr">
        <is>
          <t>othercropandlivests</t>
        </is>
      </c>
      <c r="C232" t="inlineStr">
        <is>
          <t>Other crop and livestock shock</t>
        </is>
      </c>
      <c r="D232" s="230" t="n"/>
    </row>
    <row r="233">
      <c r="A233" t="inlineStr">
        <is>
          <t>shock</t>
        </is>
      </c>
      <c r="B233" t="inlineStr">
        <is>
          <t>coldtemporhail</t>
        </is>
      </c>
      <c r="C233" t="inlineStr">
        <is>
          <t>Cold temperatures or hail</t>
        </is>
      </c>
      <c r="D233" s="230" t="n"/>
    </row>
    <row r="234">
      <c r="A234" t="inlineStr">
        <is>
          <t>shock</t>
        </is>
      </c>
      <c r="B234" t="inlineStr">
        <is>
          <t>flood</t>
        </is>
      </c>
      <c r="C234" t="inlineStr">
        <is>
          <t>Flood / riverbank erosion</t>
        </is>
      </c>
      <c r="D234" s="230" t="n"/>
    </row>
    <row r="235">
      <c r="A235" t="inlineStr">
        <is>
          <t>shock</t>
        </is>
      </c>
      <c r="B235" t="inlineStr">
        <is>
          <t>hurricane</t>
        </is>
      </c>
      <c r="C235" t="inlineStr">
        <is>
          <t>Hurricane / cyclone / tornado</t>
        </is>
      </c>
      <c r="D235" s="230" t="n"/>
    </row>
    <row r="236">
      <c r="A236" t="inlineStr">
        <is>
          <t>shock</t>
        </is>
      </c>
      <c r="B236" t="inlineStr">
        <is>
          <t>drought</t>
        </is>
      </c>
      <c r="C236" t="inlineStr">
        <is>
          <t>Drought / heat stress</t>
        </is>
      </c>
      <c r="D236" s="230" t="n"/>
    </row>
    <row r="237">
      <c r="A237" t="inlineStr">
        <is>
          <t>shock</t>
        </is>
      </c>
      <c r="B237" t="inlineStr">
        <is>
          <t>earthquake</t>
        </is>
      </c>
      <c r="C237" t="inlineStr">
        <is>
          <t>Earthquake</t>
        </is>
      </c>
      <c r="D237" s="230" t="n"/>
    </row>
    <row r="238">
      <c r="A238" t="inlineStr">
        <is>
          <t>shock</t>
        </is>
      </c>
      <c r="B238" t="inlineStr">
        <is>
          <t>landslides</t>
        </is>
      </c>
      <c r="C238" t="inlineStr">
        <is>
          <t>Landslides</t>
        </is>
      </c>
      <c r="D238" s="230" t="n"/>
    </row>
    <row r="239">
      <c r="A239" t="inlineStr">
        <is>
          <t>shock</t>
        </is>
      </c>
      <c r="B239" t="inlineStr">
        <is>
          <t>firenatural</t>
        </is>
      </c>
      <c r="C239" t="inlineStr">
        <is>
          <t>Fire from natural disaster</t>
        </is>
      </c>
      <c r="D239" s="230" t="n"/>
    </row>
    <row r="240">
      <c r="A240" t="inlineStr">
        <is>
          <t>shock</t>
        </is>
      </c>
      <c r="B240" t="inlineStr">
        <is>
          <t>othernathazard</t>
        </is>
      </c>
      <c r="C240" t="inlineStr">
        <is>
          <t>Other natural hazard</t>
        </is>
      </c>
      <c r="D240" s="230" t="n"/>
    </row>
    <row r="241">
      <c r="A241" t="inlineStr">
        <is>
          <t>shock</t>
        </is>
      </c>
      <c r="B241" t="inlineStr">
        <is>
          <t>violenceinsecconf</t>
        </is>
      </c>
      <c r="C241" t="inlineStr">
        <is>
          <t>Violence and insecurity / conflict</t>
        </is>
      </c>
      <c r="D241" s="230" t="n"/>
    </row>
    <row r="242">
      <c r="A242" t="inlineStr">
        <is>
          <t>shock</t>
        </is>
      </c>
      <c r="B242" t="inlineStr">
        <is>
          <t>theftofprodassets</t>
        </is>
      </c>
      <c r="C242" t="inlineStr">
        <is>
          <t>Theft of production assets [land / livestock / tools / etc]</t>
        </is>
      </c>
      <c r="D242" s="230" t="n"/>
    </row>
    <row r="243">
      <c r="A243" t="inlineStr">
        <is>
          <t>shock</t>
        </is>
      </c>
      <c r="B243" t="inlineStr">
        <is>
          <t>fire</t>
        </is>
      </c>
      <c r="C243" t="inlineStr">
        <is>
          <t>Fire from man-made disaster</t>
        </is>
      </c>
      <c r="D243" s="230" t="n"/>
    </row>
    <row r="244">
      <c r="A244" t="inlineStr">
        <is>
          <t>shock</t>
        </is>
      </c>
      <c r="B244" t="inlineStr">
        <is>
          <t>othermanmadehazard</t>
        </is>
      </c>
      <c r="C244" t="inlineStr">
        <is>
          <t>Other man-made hazard</t>
        </is>
      </c>
      <c r="D244" s="230" t="n"/>
    </row>
    <row r="245">
      <c r="A245" t="inlineStr">
        <is>
          <t>shock</t>
        </is>
      </c>
      <c r="B245" t="inlineStr">
        <is>
          <t>dk</t>
        </is>
      </c>
      <c r="C245" t="inlineStr">
        <is>
          <t>DON'T KNOW</t>
        </is>
      </c>
      <c r="D245" s="230" t="n"/>
    </row>
    <row r="246">
      <c r="A246" t="inlineStr">
        <is>
          <t>shock</t>
        </is>
      </c>
      <c r="B246" t="inlineStr">
        <is>
          <t>ref</t>
        </is>
      </c>
      <c r="C246" t="inlineStr">
        <is>
          <t>REFUSED</t>
        </is>
      </c>
      <c r="D246" s="230" t="n"/>
    </row>
    <row r="247">
      <c r="D247" s="4" t="n"/>
    </row>
    <row r="248" customFormat="1" s="14">
      <c r="A248" s="17" t="inlineStr">
        <is>
          <t>landsize_unit</t>
        </is>
      </c>
      <c r="B248" s="17" t="n">
        <v>1</v>
      </c>
      <c r="C248" s="17" t="inlineStr">
        <is>
          <t>Acres</t>
        </is>
      </c>
      <c r="D248" s="230" t="n"/>
    </row>
    <row r="249" customFormat="1" s="14">
      <c r="A249" s="17" t="inlineStr">
        <is>
          <t>landsize_unit</t>
        </is>
      </c>
      <c r="B249" s="17" t="n">
        <v>2</v>
      </c>
      <c r="C249" s="17" t="inlineStr">
        <is>
          <t>Hectares</t>
        </is>
      </c>
      <c r="D249" s="230" t="n"/>
    </row>
    <row r="250" customFormat="1" s="14">
      <c r="A250" s="17" t="inlineStr">
        <is>
          <t>landsize_unit</t>
        </is>
      </c>
      <c r="B250" s="17" t="n">
        <v>3</v>
      </c>
      <c r="C250" s="17" t="inlineStr">
        <is>
          <t>Square meters</t>
        </is>
      </c>
      <c r="D250" s="230" t="n"/>
    </row>
    <row r="251" customFormat="1" s="14">
      <c r="A251" s="17" t="inlineStr">
        <is>
          <t>landsize_unit</t>
        </is>
      </c>
      <c r="B251" s="17" t="n">
        <v>4</v>
      </c>
      <c r="C251" s="17" t="inlineStr">
        <is>
          <t>Square feet</t>
        </is>
      </c>
      <c r="D251" s="230" t="n"/>
    </row>
    <row r="252" customFormat="1" s="14">
      <c r="A252" s="15" t="inlineStr">
        <is>
          <t>landsize_unit</t>
        </is>
      </c>
      <c r="B252" s="15" t="n">
        <v>5</v>
      </c>
      <c r="C252" s="163" t="inlineStr">
        <is>
          <t>Ropani</t>
        </is>
      </c>
      <c r="D252" s="230" t="n"/>
    </row>
    <row r="253" customFormat="1" s="14">
      <c r="D253" s="16" t="n"/>
    </row>
    <row r="254" customFormat="1" s="15">
      <c r="A254" s="17" t="inlineStr">
        <is>
          <t>cropcheck</t>
        </is>
      </c>
      <c r="B254" s="17" t="n">
        <v>1</v>
      </c>
      <c r="C254" s="17" t="inlineStr">
        <is>
          <t xml:space="preserve">Don’t usually produce during this season </t>
        </is>
      </c>
      <c r="D254" s="230" t="n"/>
    </row>
    <row r="255" customFormat="1" s="15">
      <c r="A255" s="17" t="inlineStr">
        <is>
          <t>cropcheck</t>
        </is>
      </c>
      <c r="B255" s="17" t="n">
        <v>2</v>
      </c>
      <c r="C255" s="17" t="inlineStr">
        <is>
          <t>Wasn't able to produce (e.g. due to difficulties)</t>
        </is>
      </c>
      <c r="D255" s="230" t="n"/>
    </row>
    <row r="256" customFormat="1" s="14">
      <c r="D256" s="16" t="n"/>
    </row>
    <row r="257" customFormat="1" s="14">
      <c r="A257" s="17" t="inlineStr">
        <is>
          <t>irrigation</t>
        </is>
      </c>
      <c r="B257" s="17" t="n">
        <v>1</v>
      </c>
      <c r="C257" s="17" t="inlineStr">
        <is>
          <t>Rainfed (no irrigation system)</t>
        </is>
      </c>
      <c r="D257" s="230" t="n"/>
    </row>
    <row r="258" customFormat="1" s="14">
      <c r="A258" s="17" t="inlineStr">
        <is>
          <t>irrigation</t>
        </is>
      </c>
      <c r="B258" s="17" t="n">
        <v>2</v>
      </c>
      <c r="C258" s="17" t="inlineStr">
        <is>
          <t>Canal irrigation (using syphon)</t>
        </is>
      </c>
      <c r="D258" s="230" t="n"/>
    </row>
    <row r="259" customFormat="1" s="14">
      <c r="A259" s="17" t="inlineStr">
        <is>
          <t>irrigation</t>
        </is>
      </c>
      <c r="B259" s="17" t="n">
        <v>3</v>
      </c>
      <c r="C259" s="17" t="inlineStr">
        <is>
          <t>Sprinkler or drip irrigation (from surface water, groundwater or tap water)</t>
        </is>
      </c>
      <c r="D259" s="230" t="n"/>
    </row>
    <row r="260" customFormat="1" s="14">
      <c r="A260" s="17" t="inlineStr">
        <is>
          <t>irrigation</t>
        </is>
      </c>
      <c r="B260" s="17" t="n">
        <v>4</v>
      </c>
      <c r="C260" s="17" t="inlineStr">
        <is>
          <t>Manual irrigation (from surface water, groundwater or tap water)</t>
        </is>
      </c>
      <c r="D260" s="230" t="n"/>
    </row>
    <row r="261" customFormat="1" s="14">
      <c r="A261" s="17" t="inlineStr">
        <is>
          <t>irrigation</t>
        </is>
      </c>
      <c r="B261" s="17" t="n">
        <v>5</v>
      </c>
      <c r="C261" s="17" t="inlineStr">
        <is>
          <t>Flood irrigation (by gravity)</t>
        </is>
      </c>
      <c r="D261" s="230" t="n"/>
    </row>
    <row r="262" customFormat="1" s="14">
      <c r="A262" s="17" t="inlineStr">
        <is>
          <t>irrigation</t>
        </is>
      </c>
      <c r="B262" s="17" t="n">
        <v>6</v>
      </c>
      <c r="C262" s="17" t="inlineStr">
        <is>
          <t>Other [specify]</t>
        </is>
      </c>
      <c r="D262" s="230" t="n"/>
    </row>
    <row r="263" customFormat="1" s="14">
      <c r="A263" s="17" t="inlineStr">
        <is>
          <t>irrigation</t>
        </is>
      </c>
      <c r="B263" s="17" t="n">
        <v>7</v>
      </c>
      <c r="C263" s="17" t="inlineStr">
        <is>
          <t>DON'T KNOW</t>
        </is>
      </c>
      <c r="D263" s="230" t="n"/>
    </row>
    <row r="264" customFormat="1" s="14">
      <c r="A264" s="17" t="inlineStr">
        <is>
          <t>irrigation</t>
        </is>
      </c>
      <c r="B264" s="17" t="n">
        <v>8</v>
      </c>
      <c r="C264" s="17" t="inlineStr">
        <is>
          <t>REFUSED</t>
        </is>
      </c>
      <c r="D264" s="230" t="n"/>
    </row>
    <row r="265">
      <c r="D265" s="4" t="n"/>
    </row>
    <row r="266" customFormat="1" s="14">
      <c r="A266" s="13" t="inlineStr">
        <is>
          <t>seedsupply</t>
        </is>
      </c>
      <c r="B266" s="13" t="inlineStr">
        <is>
          <t>ownprod</t>
        </is>
      </c>
      <c r="C266" s="13" t="inlineStr">
        <is>
          <t>Own production</t>
        </is>
      </c>
      <c r="D266" s="230" t="n"/>
    </row>
    <row r="267" customFormat="1" s="14">
      <c r="A267" s="13" t="inlineStr">
        <is>
          <t>seedsupply</t>
        </is>
      </c>
      <c r="B267" s="13" t="inlineStr">
        <is>
          <t>market</t>
        </is>
      </c>
      <c r="C267" s="13" t="inlineStr">
        <is>
          <t>Purchased at market or agro-input shop</t>
        </is>
      </c>
      <c r="D267" s="230" t="n"/>
    </row>
    <row r="268" customFormat="1" s="14">
      <c r="A268" s="13" t="inlineStr">
        <is>
          <t>seedsupply</t>
        </is>
      </c>
      <c r="B268" s="13" t="inlineStr">
        <is>
          <t>company</t>
        </is>
      </c>
      <c r="C268" s="13" t="inlineStr">
        <is>
          <t>Purchased directly from seed company</t>
        </is>
      </c>
      <c r="D268" s="230" t="n"/>
    </row>
    <row r="269" customFormat="1" s="14">
      <c r="A269" s="13" t="inlineStr">
        <is>
          <t>seedsupply</t>
        </is>
      </c>
      <c r="B269" s="13" t="inlineStr">
        <is>
          <t>freedist</t>
        </is>
      </c>
      <c r="C269" s="13" t="inlineStr">
        <is>
          <t>Free distribution</t>
        </is>
      </c>
      <c r="D269" s="230" t="n"/>
    </row>
    <row r="270" customFormat="1" s="14">
      <c r="A270" s="13" t="inlineStr">
        <is>
          <t>seedsupply</t>
        </is>
      </c>
      <c r="B270" s="13" t="inlineStr">
        <is>
          <t>bank</t>
        </is>
      </c>
      <c r="C270" s="13" t="inlineStr">
        <is>
          <t>Community seed banks / farmer networks / etc.</t>
        </is>
      </c>
      <c r="D270" s="230" t="n"/>
    </row>
    <row r="271" customFormat="1" s="14">
      <c r="A271" s="13" t="inlineStr">
        <is>
          <t>seedsupply</t>
        </is>
      </c>
      <c r="B271" s="13" t="inlineStr">
        <is>
          <t>gov</t>
        </is>
      </c>
      <c r="C271" s="13" t="inlineStr">
        <is>
          <t>Government suppliers</t>
        </is>
      </c>
      <c r="D271" s="230" t="n"/>
    </row>
    <row r="272" customFormat="1" s="14">
      <c r="A272" s="13" t="inlineStr">
        <is>
          <t>seedsupply</t>
        </is>
      </c>
      <c r="B272" s="13" t="inlineStr">
        <is>
          <t>other</t>
        </is>
      </c>
      <c r="C272" s="13" t="inlineStr">
        <is>
          <t>Other</t>
        </is>
      </c>
      <c r="D272" s="230" t="n"/>
    </row>
    <row r="273" customFormat="1" s="14">
      <c r="A273" s="13" t="inlineStr">
        <is>
          <t>seedsupply</t>
        </is>
      </c>
      <c r="B273" s="13" t="inlineStr">
        <is>
          <t>dk</t>
        </is>
      </c>
      <c r="C273" s="13" t="inlineStr">
        <is>
          <t>DON'T KNOW</t>
        </is>
      </c>
      <c r="D273" s="230" t="n"/>
    </row>
    <row r="274" customFormat="1" s="14">
      <c r="A274" s="13" t="inlineStr">
        <is>
          <t>seedsupply</t>
        </is>
      </c>
      <c r="B274" s="13" t="inlineStr">
        <is>
          <t>ref</t>
        </is>
      </c>
      <c r="C274" s="13" t="inlineStr">
        <is>
          <t>REFUSED</t>
        </is>
      </c>
      <c r="D274" s="230" t="n"/>
    </row>
    <row r="275">
      <c r="D275" s="4" t="n"/>
    </row>
    <row r="276">
      <c r="A276" s="205" t="inlineStr">
        <is>
          <t>o_difficulty_seed</t>
        </is>
      </c>
      <c r="B276" s="206" t="inlineStr">
        <is>
          <t>no_need_seeds</t>
        </is>
      </c>
      <c r="C276" s="206" t="inlineStr">
        <is>
          <t>No - not in planting season so no need for seeds</t>
        </is>
      </c>
      <c r="D276" s="256" t="n"/>
    </row>
    <row r="277">
      <c r="A277" s="206" t="inlineStr">
        <is>
          <t>o_difficulty_seed</t>
        </is>
      </c>
      <c r="B277" s="206" t="inlineStr">
        <is>
          <t>no_difficulty</t>
        </is>
      </c>
      <c r="C277" s="206" t="inlineStr">
        <is>
          <t>No - currently accessing seeds without difficulty</t>
        </is>
      </c>
      <c r="D277" s="256" t="n"/>
    </row>
    <row r="278">
      <c r="A278" s="206" t="inlineStr">
        <is>
          <t>o_difficulty_seed</t>
        </is>
      </c>
      <c r="B278" s="206" t="inlineStr">
        <is>
          <t>yes_difficulties</t>
        </is>
      </c>
      <c r="C278" s="206" t="inlineStr">
        <is>
          <t>Yes - facing difficulties</t>
        </is>
      </c>
      <c r="D278" s="256" t="n"/>
    </row>
    <row r="279">
      <c r="A279" s="206" t="n"/>
      <c r="B279" s="206" t="n"/>
      <c r="C279" s="206" t="n"/>
      <c r="D279" s="204" t="n"/>
    </row>
    <row r="280">
      <c r="A280" s="206" t="inlineStr">
        <is>
          <t>o_difficulty_seed_type</t>
        </is>
      </c>
      <c r="B280" s="206" t="inlineStr">
        <is>
          <t>seeds_vendors</t>
        </is>
      </c>
      <c r="C280" s="206" t="inlineStr">
        <is>
          <t>Seeds are not available from vendors</t>
        </is>
      </c>
      <c r="D280" s="256" t="n"/>
    </row>
    <row r="281">
      <c r="A281" s="206" t="inlineStr">
        <is>
          <t>o_difficulty_seed_type</t>
        </is>
      </c>
      <c r="B281" s="206" t="inlineStr">
        <is>
          <t>seeds_market</t>
        </is>
      </c>
      <c r="C281" s="206" t="inlineStr">
        <is>
          <t>Seeds are not available from local market</t>
        </is>
      </c>
      <c r="D281" s="256" t="n"/>
    </row>
    <row r="282">
      <c r="A282" s="206" t="inlineStr">
        <is>
          <t>o_difficulty_seed_type</t>
        </is>
      </c>
      <c r="B282" s="206" t="inlineStr">
        <is>
          <t>seed_available</t>
        </is>
      </c>
      <c r="C282" s="206" t="inlineStr">
        <is>
          <t>Seed varieties usually used are not available</t>
        </is>
      </c>
      <c r="D282" s="256" t="n"/>
    </row>
    <row r="283">
      <c r="A283" s="206" t="inlineStr">
        <is>
          <t>o_difficulty_seed_type</t>
        </is>
      </c>
      <c r="B283" s="206" t="inlineStr">
        <is>
          <t>prices_usual</t>
        </is>
      </c>
      <c r="C283" s="206" t="inlineStr">
        <is>
          <t>Prices of seeds are higher than usual</t>
        </is>
      </c>
      <c r="D283" s="256" t="n"/>
    </row>
    <row r="284">
      <c r="A284" s="206" t="inlineStr">
        <is>
          <t>o_difficulty_seed_type</t>
        </is>
      </c>
      <c r="B284" s="206" t="inlineStr">
        <is>
          <t>insufficient_income</t>
        </is>
      </c>
      <c r="C284" s="206" t="inlineStr">
        <is>
          <t>Household’s income is insufficient to buy seeds</t>
        </is>
      </c>
      <c r="D284" s="256" t="n"/>
    </row>
    <row r="285" ht="27" customHeight="1">
      <c r="A285" s="206" t="inlineStr">
        <is>
          <t>o_difficulty_seed_type</t>
        </is>
      </c>
      <c r="B285" s="206" t="inlineStr">
        <is>
          <t>not_seeds</t>
        </is>
      </c>
      <c r="C285" s="206" t="inlineStr">
        <is>
          <t>Not able or not allowed to go to the market to buy seeds</t>
        </is>
      </c>
      <c r="D285" s="256" t="n"/>
    </row>
    <row r="286">
      <c r="A286" s="206" t="inlineStr">
        <is>
          <t>o_difficulty_seed_type</t>
        </is>
      </c>
      <c r="B286" s="206" t="inlineStr">
        <is>
          <t>seeds_quality</t>
        </is>
      </c>
      <c r="C286" s="206" t="inlineStr">
        <is>
          <t>Seeds are of poor quality</t>
        </is>
      </c>
      <c r="D286" s="256" t="n"/>
    </row>
    <row r="287">
      <c r="A287" s="206" t="inlineStr">
        <is>
          <t>o_difficulty_seed_type</t>
        </is>
      </c>
      <c r="B287" s="206" t="inlineStr">
        <is>
          <t>other</t>
        </is>
      </c>
      <c r="C287" s="206" t="inlineStr">
        <is>
          <t>Other, please specify</t>
        </is>
      </c>
      <c r="D287" s="257" t="n"/>
    </row>
    <row r="288">
      <c r="D288" s="4" t="n"/>
    </row>
    <row r="289">
      <c r="A289" s="13" t="inlineStr">
        <is>
          <t>harv_unit</t>
        </is>
      </c>
      <c r="B289" s="13" t="n">
        <v>1</v>
      </c>
      <c r="C289" s="13" t="inlineStr">
        <is>
          <t>Kilograms [kgs]</t>
        </is>
      </c>
      <c r="D289" s="230" t="n"/>
    </row>
    <row r="290">
      <c r="A290" s="13" t="inlineStr">
        <is>
          <t>harv_unit</t>
        </is>
      </c>
      <c r="B290" s="13" t="n">
        <v>2</v>
      </c>
      <c r="C290" s="13" t="inlineStr">
        <is>
          <t>Tons</t>
        </is>
      </c>
      <c r="D290" s="230" t="n"/>
    </row>
    <row r="291">
      <c r="A291" s="13" t="inlineStr">
        <is>
          <t>harv_unit</t>
        </is>
      </c>
      <c r="B291" s="13" t="n">
        <v>3</v>
      </c>
      <c r="C291" s="13" t="inlineStr">
        <is>
          <t>Ounces</t>
        </is>
      </c>
      <c r="D291" s="230" t="n"/>
    </row>
    <row r="292">
      <c r="A292" s="13" t="inlineStr">
        <is>
          <t>harv_unit</t>
        </is>
      </c>
      <c r="B292" s="13" t="n">
        <v>4</v>
      </c>
      <c r="C292" s="13" t="inlineStr">
        <is>
          <t>Pounds</t>
        </is>
      </c>
      <c r="D292" s="230" t="n"/>
    </row>
    <row r="293">
      <c r="A293" s="13" t="inlineStr">
        <is>
          <t>harv_unit</t>
        </is>
      </c>
      <c r="B293" s="13" t="n">
        <v>5</v>
      </c>
      <c r="C293" s="13" t="inlineStr">
        <is>
          <t>Bags</t>
        </is>
      </c>
      <c r="D293" s="230" t="n"/>
    </row>
    <row r="294">
      <c r="A294" s="13" t="inlineStr">
        <is>
          <t>harv_unit</t>
        </is>
      </c>
      <c r="B294" s="13" t="n">
        <v>6</v>
      </c>
      <c r="C294" s="13" t="inlineStr">
        <is>
          <t>Boxes</t>
        </is>
      </c>
      <c r="D294" s="230" t="n"/>
    </row>
    <row r="295">
      <c r="A295" s="13" t="inlineStr">
        <is>
          <t>harv_unit</t>
        </is>
      </c>
      <c r="B295" s="13" t="n">
        <v>7</v>
      </c>
      <c r="C295" s="13" t="inlineStr">
        <is>
          <t>Bundles</t>
        </is>
      </c>
      <c r="D295" s="230" t="n"/>
    </row>
    <row r="296">
      <c r="A296" s="13" t="inlineStr">
        <is>
          <t>harv_unit</t>
        </is>
      </c>
      <c r="B296" s="13" t="n">
        <v>8</v>
      </c>
      <c r="C296" s="13" t="inlineStr">
        <is>
          <t>Packets</t>
        </is>
      </c>
      <c r="D296" s="230" t="n"/>
    </row>
    <row r="297">
      <c r="A297" s="13" t="inlineStr">
        <is>
          <t>harv_unit</t>
        </is>
      </c>
      <c r="B297" s="13" t="n">
        <v>9</v>
      </c>
      <c r="C297" s="13" t="inlineStr">
        <is>
          <t>Other [specify]</t>
        </is>
      </c>
      <c r="D297" s="230" t="n"/>
    </row>
    <row r="298">
      <c r="D298" s="4" t="n"/>
    </row>
    <row r="299">
      <c r="A299" t="inlineStr">
        <is>
          <t>cropproddiff</t>
        </is>
      </c>
      <c r="B299" t="inlineStr">
        <is>
          <t>plantdisease</t>
        </is>
      </c>
      <c r="C299" t="inlineStr">
        <is>
          <t xml:space="preserve">Plant disease </t>
        </is>
      </c>
      <c r="D299" s="230" t="n"/>
    </row>
    <row r="300">
      <c r="A300" t="inlineStr">
        <is>
          <t>cropproddiff</t>
        </is>
      </c>
      <c r="B300" t="inlineStr">
        <is>
          <t>seedquality</t>
        </is>
      </c>
      <c r="C300" t="inlineStr">
        <is>
          <t>Low quality of seeds</t>
        </is>
      </c>
      <c r="D300" s="230" t="n"/>
    </row>
    <row r="301">
      <c r="A301" t="inlineStr">
        <is>
          <t>cropproddiff</t>
        </is>
      </c>
      <c r="B301" t="inlineStr">
        <is>
          <t>lostordamaged</t>
        </is>
      </c>
      <c r="C301" t="inlineStr">
        <is>
          <t>Crop damage [e.g. by pests, animals or bandits] other than plant disease during growing season</t>
        </is>
      </c>
      <c r="D301" s="230" t="n"/>
    </row>
    <row r="302">
      <c r="A302" t="inlineStr">
        <is>
          <t>cropproddiff</t>
        </is>
      </c>
      <c r="B302" t="inlineStr">
        <is>
          <t>naplot</t>
        </is>
      </c>
      <c r="C302" t="inlineStr">
        <is>
          <t>Access to plot</t>
        </is>
      </c>
      <c r="D302" s="230" t="n"/>
    </row>
    <row r="303">
      <c r="A303" t="inlineStr">
        <is>
          <t>cropproddiff</t>
        </is>
      </c>
      <c r="B303" t="inlineStr">
        <is>
          <t>nafertilizer</t>
        </is>
      </c>
      <c r="C303" t="inlineStr">
        <is>
          <t>Access to fertilizer [not available on markets or prices too high]</t>
        </is>
      </c>
      <c r="D303" s="230" t="n"/>
    </row>
    <row r="304">
      <c r="A304" t="inlineStr">
        <is>
          <t>cropproddiff</t>
        </is>
      </c>
      <c r="B304" t="inlineStr">
        <is>
          <t>naseeds</t>
        </is>
      </c>
      <c r="C304" t="inlineStr">
        <is>
          <t>Access to enough seeds [not available on markets or prices too high]</t>
        </is>
      </c>
      <c r="D304" s="230" t="n"/>
    </row>
    <row r="305">
      <c r="A305" t="inlineStr">
        <is>
          <t>cropproddiff</t>
        </is>
      </c>
      <c r="B305" t="inlineStr">
        <is>
          <t>nainsecticides</t>
        </is>
      </c>
      <c r="C305" t="inlineStr">
        <is>
          <t xml:space="preserve">Access to insecticides </t>
        </is>
      </c>
      <c r="D305" s="230" t="n"/>
    </row>
    <row r="306">
      <c r="A306" t="inlineStr">
        <is>
          <t>cropproddiff</t>
        </is>
      </c>
      <c r="B306" t="inlineStr">
        <is>
          <t>nalabour</t>
        </is>
      </c>
      <c r="C306" t="inlineStr">
        <is>
          <t>Access to labour or manpower</t>
        </is>
      </c>
      <c r="D306" s="230" t="n"/>
    </row>
    <row r="307">
      <c r="A307" t="inlineStr">
        <is>
          <t>cropproddiff</t>
        </is>
      </c>
      <c r="B307" t="inlineStr">
        <is>
          <t>namachinery</t>
        </is>
      </c>
      <c r="C307" t="inlineStr">
        <is>
          <t>Access to machinery, tools or animals for ploughing</t>
        </is>
      </c>
      <c r="D307" s="230" t="n"/>
    </row>
    <row r="308">
      <c r="A308" t="inlineStr">
        <is>
          <t>cropproddiff</t>
        </is>
      </c>
      <c r="B308" t="inlineStr">
        <is>
          <t>nafuelorelect</t>
        </is>
      </c>
      <c r="C308" t="inlineStr">
        <is>
          <t>Access to fuel or electricity to power agricultural equipment</t>
        </is>
      </c>
      <c r="D308" s="230" t="n"/>
    </row>
    <row r="309">
      <c r="A309" t="inlineStr">
        <is>
          <t>cropproddiff</t>
        </is>
      </c>
      <c r="B309" t="inlineStr">
        <is>
          <t>soilerosion</t>
        </is>
      </c>
      <c r="C309" t="inlineStr">
        <is>
          <t>Soil erosion</t>
        </is>
      </c>
      <c r="D309" s="230" t="n"/>
    </row>
    <row r="310">
      <c r="A310" t="inlineStr">
        <is>
          <t>cropproddiff</t>
        </is>
      </c>
      <c r="B310" t="inlineStr">
        <is>
          <t>irrigation</t>
        </is>
      </c>
      <c r="C310" t="inlineStr">
        <is>
          <t xml:space="preserve">Not enough irrigation or rainfall water </t>
        </is>
      </c>
      <c r="D310" s="230" t="n"/>
    </row>
    <row r="311">
      <c r="A311" t="inlineStr">
        <is>
          <t>cropproddiff</t>
        </is>
      </c>
      <c r="B311" t="inlineStr">
        <is>
          <t>other</t>
        </is>
      </c>
      <c r="C311" t="inlineStr">
        <is>
          <t>Other</t>
        </is>
      </c>
      <c r="D311" s="230" t="n"/>
    </row>
    <row r="312">
      <c r="A312" t="inlineStr">
        <is>
          <t>cropproddiff</t>
        </is>
      </c>
      <c r="B312" t="inlineStr">
        <is>
          <t>dk</t>
        </is>
      </c>
      <c r="C312" t="inlineStr">
        <is>
          <t>DON'T KNOW</t>
        </is>
      </c>
      <c r="D312" s="230" t="n"/>
    </row>
    <row r="313">
      <c r="A313" t="inlineStr">
        <is>
          <t>cropproddiff</t>
        </is>
      </c>
      <c r="B313" t="inlineStr">
        <is>
          <t>ref</t>
        </is>
      </c>
      <c r="C313" t="inlineStr">
        <is>
          <t>REFUSED</t>
        </is>
      </c>
      <c r="D313" s="230" t="n"/>
    </row>
    <row r="314">
      <c r="D314" s="4" t="n"/>
    </row>
    <row r="315">
      <c r="D315" s="4" t="n"/>
    </row>
    <row r="316" customFormat="1" s="14">
      <c r="A316" s="13" t="inlineStr">
        <is>
          <t>storage</t>
        </is>
      </c>
      <c r="B316" s="13" t="n">
        <v>1</v>
      </c>
      <c r="C316" s="13" t="inlineStr">
        <is>
          <t>None</t>
        </is>
      </c>
      <c r="D316" s="230" t="n"/>
    </row>
    <row r="317" customFormat="1" s="14">
      <c r="A317" s="13" t="inlineStr">
        <is>
          <t>storage</t>
        </is>
      </c>
      <c r="B317" s="13" t="n">
        <v>2</v>
      </c>
      <c r="C317" s="13" t="inlineStr">
        <is>
          <t>A little</t>
        </is>
      </c>
      <c r="D317" s="230" t="n"/>
    </row>
    <row r="318" customFormat="1" s="14">
      <c r="A318" s="13" t="inlineStr">
        <is>
          <t>storage</t>
        </is>
      </c>
      <c r="B318" s="13" t="n">
        <v>3</v>
      </c>
      <c r="C318" s="13" t="inlineStr">
        <is>
          <t>An important part of it, but less than half</t>
        </is>
      </c>
      <c r="D318" s="230" t="n"/>
    </row>
    <row r="319" customFormat="1" s="14">
      <c r="A319" s="13" t="inlineStr">
        <is>
          <t>storage</t>
        </is>
      </c>
      <c r="B319" s="13" t="n">
        <v>4</v>
      </c>
      <c r="C319" s="13" t="inlineStr">
        <is>
          <t>Most of it [half or more]</t>
        </is>
      </c>
      <c r="D319" s="230" t="n"/>
    </row>
    <row r="320" customFormat="1" s="14">
      <c r="A320" s="13" t="inlineStr">
        <is>
          <t>storage</t>
        </is>
      </c>
      <c r="B320" s="13" t="n">
        <v>5</v>
      </c>
      <c r="C320" s="13" t="inlineStr">
        <is>
          <t>Almost everything</t>
        </is>
      </c>
      <c r="D320" s="230" t="n"/>
    </row>
    <row r="321" customFormat="1" s="14">
      <c r="A321" s="13" t="inlineStr">
        <is>
          <t>storage</t>
        </is>
      </c>
      <c r="B321" s="13" t="n">
        <v>6</v>
      </c>
      <c r="C321" s="13" t="inlineStr">
        <is>
          <t>Everything</t>
        </is>
      </c>
      <c r="D321" s="230" t="n"/>
    </row>
    <row r="322" customFormat="1" s="14">
      <c r="A322" s="13" t="inlineStr">
        <is>
          <t>storage</t>
        </is>
      </c>
      <c r="B322" s="13" t="n">
        <v>7</v>
      </c>
      <c r="C322" s="13" t="inlineStr">
        <is>
          <t>DON'T KNOW</t>
        </is>
      </c>
      <c r="D322" s="230" t="n"/>
    </row>
    <row r="323">
      <c r="A323" s="13" t="inlineStr">
        <is>
          <t>storage</t>
        </is>
      </c>
      <c r="B323" s="13" t="n">
        <v>8</v>
      </c>
      <c r="C323" s="13" t="inlineStr">
        <is>
          <t>REFUSED</t>
        </is>
      </c>
      <c r="D323" s="230" t="n"/>
      <c r="E323" s="14" t="n"/>
    </row>
    <row r="324">
      <c r="D324" s="4" t="n"/>
    </row>
    <row r="325">
      <c r="A325" t="inlineStr">
        <is>
          <t>cropsalesdiff</t>
        </is>
      </c>
      <c r="B325" t="inlineStr">
        <is>
          <t>marketing_cost</t>
        </is>
      </c>
      <c r="C325" t="inlineStr">
        <is>
          <t>High transportation or other marketing costs</t>
        </is>
      </c>
      <c r="D325" s="230" t="n"/>
    </row>
    <row r="326">
      <c r="A326" t="inlineStr">
        <is>
          <t>cropsalesdiff</t>
        </is>
      </c>
      <c r="B326" t="inlineStr">
        <is>
          <t>damagelosses</t>
        </is>
      </c>
      <c r="C326" t="inlineStr">
        <is>
          <t>Difficulty accessing the market [e.g. insecurity, closure due to COVID-19 restrictions, etc.]</t>
        </is>
      </c>
      <c r="D326" s="230" t="n"/>
    </row>
    <row r="327">
      <c r="A327" t="inlineStr">
        <is>
          <t>cropsalesdiff</t>
        </is>
      </c>
      <c r="B327" t="inlineStr">
        <is>
          <t>lowdemand</t>
        </is>
      </c>
      <c r="C327" t="inlineStr">
        <is>
          <t>Usual traders or local customers are not buying as much as usual / payment delays</t>
        </is>
      </c>
      <c r="D327" s="230" t="n"/>
    </row>
    <row r="328">
      <c r="A328" t="inlineStr">
        <is>
          <t>cropsalesdiff</t>
        </is>
      </c>
      <c r="B328" t="inlineStr">
        <is>
          <t>lowprice</t>
        </is>
      </c>
      <c r="C328" t="inlineStr">
        <is>
          <t>Low selling prices [e.g. compared to input prices / inflation]</t>
        </is>
      </c>
      <c r="D328" s="230" t="n"/>
    </row>
    <row r="329">
      <c r="A329" t="inlineStr">
        <is>
          <t>cropsalesdiff</t>
        </is>
      </c>
      <c r="B329" t="inlineStr">
        <is>
          <t>dif_processing</t>
        </is>
      </c>
      <c r="C329" t="inlineStr">
        <is>
          <t>Difficulty processing product [lack of processing inputs / equipment / etc]</t>
        </is>
      </c>
      <c r="D329" s="230" t="n"/>
    </row>
    <row r="330">
      <c r="A330" t="inlineStr">
        <is>
          <t>cropsalesdiff</t>
        </is>
      </c>
      <c r="B330" t="inlineStr">
        <is>
          <t>other</t>
        </is>
      </c>
      <c r="C330" t="inlineStr">
        <is>
          <t>Other</t>
        </is>
      </c>
      <c r="D330" s="230" t="n"/>
    </row>
    <row r="331">
      <c r="A331" t="inlineStr">
        <is>
          <t>cropsalesdiff</t>
        </is>
      </c>
      <c r="B331" t="inlineStr">
        <is>
          <t>dk</t>
        </is>
      </c>
      <c r="C331" t="inlineStr">
        <is>
          <t>DON'T KNOW</t>
        </is>
      </c>
      <c r="D331" s="230" t="n"/>
    </row>
    <row r="332">
      <c r="A332" t="inlineStr">
        <is>
          <t>cropsalesdiff</t>
        </is>
      </c>
      <c r="B332" t="inlineStr">
        <is>
          <t>ref</t>
        </is>
      </c>
      <c r="C332" t="inlineStr">
        <is>
          <t>REFUSED</t>
        </is>
      </c>
      <c r="D332" s="230" t="n"/>
    </row>
    <row r="333">
      <c r="D333" s="4" t="n"/>
    </row>
    <row r="334">
      <c r="A334" t="inlineStr">
        <is>
          <t>lsmain</t>
        </is>
      </c>
      <c r="B334" t="n">
        <v>1</v>
      </c>
      <c r="C334" t="inlineStr">
        <is>
          <t>Cattle [cow / beef / veal / yak / buffalo]</t>
        </is>
      </c>
      <c r="D334" s="230" t="n"/>
    </row>
    <row r="335">
      <c r="A335" t="inlineStr">
        <is>
          <t>lsmain</t>
        </is>
      </c>
      <c r="B335" t="n">
        <v>2</v>
      </c>
      <c r="C335" t="inlineStr">
        <is>
          <t>Goats</t>
        </is>
      </c>
      <c r="D335" s="230" t="n"/>
    </row>
    <row r="336">
      <c r="A336" t="inlineStr">
        <is>
          <t>lsmain</t>
        </is>
      </c>
      <c r="B336" t="n">
        <v>3</v>
      </c>
      <c r="C336" t="inlineStr">
        <is>
          <t>Sheep</t>
        </is>
      </c>
      <c r="D336" s="230" t="n"/>
    </row>
    <row r="337">
      <c r="A337" t="inlineStr">
        <is>
          <t>lsmain</t>
        </is>
      </c>
      <c r="B337" t="n">
        <v>4</v>
      </c>
      <c r="C337" t="inlineStr">
        <is>
          <t>pigs</t>
        </is>
      </c>
      <c r="D337" s="230" t="n"/>
    </row>
    <row r="338">
      <c r="A338" t="inlineStr">
        <is>
          <t>lsmain</t>
        </is>
      </c>
      <c r="B338" t="n">
        <v>5</v>
      </c>
      <c r="C338" t="inlineStr">
        <is>
          <t>Equine [donkey / horse / etc]</t>
        </is>
      </c>
      <c r="D338" s="230" t="n"/>
    </row>
    <row r="339">
      <c r="A339" t="inlineStr">
        <is>
          <t>lsmain</t>
        </is>
      </c>
      <c r="B339" t="n">
        <v>6</v>
      </c>
      <c r="C339" s="258" t="inlineStr">
        <is>
          <t>Small domesticated mammals [rabbits / minks / guinea pigs / etc]</t>
        </is>
      </c>
      <c r="D339" s="230" t="n"/>
    </row>
    <row r="340">
      <c r="A340" t="inlineStr">
        <is>
          <t>lsmain</t>
        </is>
      </c>
      <c r="B340" t="n">
        <v>7</v>
      </c>
      <c r="C340" t="inlineStr">
        <is>
          <t>Poultry [chicken / guineafowl / duck / quail / turkey / etc]</t>
        </is>
      </c>
      <c r="D340" s="230" t="n"/>
    </row>
    <row r="341">
      <c r="A341" t="inlineStr">
        <is>
          <t>lsmain</t>
        </is>
      </c>
      <c r="B341" t="n">
        <v>8</v>
      </c>
      <c r="C341" t="inlineStr">
        <is>
          <t>Camelids</t>
        </is>
      </c>
      <c r="D341" s="230" t="n"/>
    </row>
    <row r="342">
      <c r="A342" t="inlineStr">
        <is>
          <t>lsmain</t>
        </is>
      </c>
      <c r="B342" t="n">
        <v>9</v>
      </c>
      <c r="C342" t="inlineStr">
        <is>
          <t>Other</t>
        </is>
      </c>
      <c r="D342" s="230" t="n"/>
    </row>
    <row r="343">
      <c r="A343" t="inlineStr">
        <is>
          <t>lsmain</t>
        </is>
      </c>
      <c r="B343" s="18" t="n">
        <v>10</v>
      </c>
      <c r="C343" t="inlineStr">
        <is>
          <t>DON'T KNOW</t>
        </is>
      </c>
      <c r="D343" s="230" t="n"/>
    </row>
    <row r="344">
      <c r="A344" t="inlineStr">
        <is>
          <t>lsmain</t>
        </is>
      </c>
      <c r="B344" s="18" t="n">
        <v>11</v>
      </c>
      <c r="C344" t="inlineStr">
        <is>
          <t>REFUSED</t>
        </is>
      </c>
      <c r="D344" s="230" t="n"/>
    </row>
    <row r="345">
      <c r="B345" s="18" t="n"/>
      <c r="D345" s="230" t="n"/>
    </row>
    <row r="346">
      <c r="A346" t="inlineStr">
        <is>
          <t>ls_affected</t>
        </is>
      </c>
      <c r="B346" t="n">
        <v>1</v>
      </c>
      <c r="C346" t="inlineStr">
        <is>
          <t>Cattle [cow / beef / veal / yak / buffalo]</t>
        </is>
      </c>
      <c r="D346" s="230" t="n"/>
    </row>
    <row r="347">
      <c r="A347" t="inlineStr">
        <is>
          <t>ls_affected</t>
        </is>
      </c>
      <c r="B347" t="n">
        <v>2</v>
      </c>
      <c r="C347" t="inlineStr">
        <is>
          <t>Goats</t>
        </is>
      </c>
      <c r="D347" s="230" t="n"/>
    </row>
    <row r="348">
      <c r="A348" t="inlineStr">
        <is>
          <t>ls_affected</t>
        </is>
      </c>
      <c r="B348" t="n">
        <v>3</v>
      </c>
      <c r="C348" t="inlineStr">
        <is>
          <t>Sheep</t>
        </is>
      </c>
      <c r="D348" s="230" t="n"/>
    </row>
    <row r="349">
      <c r="A349" t="inlineStr">
        <is>
          <t>ls_affected</t>
        </is>
      </c>
      <c r="B349" t="n">
        <v>4</v>
      </c>
      <c r="C349" t="inlineStr">
        <is>
          <t>Pigs</t>
        </is>
      </c>
      <c r="D349" s="230" t="n"/>
    </row>
    <row r="350">
      <c r="A350" t="inlineStr">
        <is>
          <t>ls_affected</t>
        </is>
      </c>
      <c r="B350" t="n">
        <v>7</v>
      </c>
      <c r="C350" t="inlineStr">
        <is>
          <t>Poultry [chicken / guineafowl / duck / quail / turkey / etc]</t>
        </is>
      </c>
      <c r="D350" s="230" t="n"/>
    </row>
    <row r="351">
      <c r="B351" s="18" t="n"/>
      <c r="D351" s="230" t="n"/>
    </row>
    <row r="352">
      <c r="D352" s="4" t="n"/>
    </row>
    <row r="353">
      <c r="A353" t="inlineStr">
        <is>
          <t>lsnum</t>
        </is>
      </c>
      <c r="B353" t="inlineStr">
        <is>
          <t>nochange</t>
        </is>
      </c>
      <c r="C353" t="inlineStr">
        <is>
          <t>No significant change in livestock number</t>
        </is>
      </c>
      <c r="D353" s="230" t="n"/>
    </row>
    <row r="354">
      <c r="A354" t="inlineStr">
        <is>
          <t>lsnum</t>
        </is>
      </c>
      <c r="B354" t="inlineStr">
        <is>
          <t>inc_didnotsellasmany</t>
        </is>
      </c>
      <c r="C354" t="inlineStr">
        <is>
          <t>Did not sell as many</t>
        </is>
      </c>
      <c r="D354" s="230" t="n"/>
    </row>
    <row r="355">
      <c r="A355" t="inlineStr">
        <is>
          <t>lsnum</t>
        </is>
      </c>
      <c r="B355" t="inlineStr">
        <is>
          <t>inc_moreborn</t>
        </is>
      </c>
      <c r="C355" t="inlineStr">
        <is>
          <t>Many more born</t>
        </is>
      </c>
      <c r="D355" s="230" t="n"/>
    </row>
    <row r="356">
      <c r="A356" t="inlineStr">
        <is>
          <t>lsnum</t>
        </is>
      </c>
      <c r="B356" t="inlineStr">
        <is>
          <t>inc_purchbarterdmore</t>
        </is>
      </c>
      <c r="C356" t="inlineStr">
        <is>
          <t>Purchased or bartered more animals this year</t>
        </is>
      </c>
      <c r="D356" s="230" t="n"/>
    </row>
    <row r="357">
      <c r="A357" t="inlineStr">
        <is>
          <t>lsnum</t>
        </is>
      </c>
      <c r="B357" t="inlineStr">
        <is>
          <t>inc_receivedfree</t>
        </is>
      </c>
      <c r="C357" t="inlineStr">
        <is>
          <t>Received animals for free [restocking, gift]</t>
        </is>
      </c>
      <c r="D357" s="230" t="n"/>
    </row>
    <row r="358">
      <c r="A358" t="inlineStr">
        <is>
          <t>lsnum</t>
        </is>
      </c>
      <c r="B358" t="inlineStr">
        <is>
          <t>dec_animalsdied</t>
        </is>
      </c>
      <c r="C358" t="inlineStr">
        <is>
          <t>Animals died of poor health, malnutrition or injury</t>
        </is>
      </c>
      <c r="D358" s="230" t="n"/>
    </row>
    <row r="359">
      <c r="A359" t="inlineStr">
        <is>
          <t>lsnum</t>
        </is>
      </c>
      <c r="B359" t="inlineStr">
        <is>
          <t>dec_soldmoregoodprice</t>
        </is>
      </c>
      <c r="C359" t="inlineStr">
        <is>
          <t>Sold more than usual because of good prices</t>
        </is>
      </c>
      <c r="D359" s="230" t="n"/>
    </row>
    <row r="360">
      <c r="A360" t="inlineStr">
        <is>
          <t>lsnum</t>
        </is>
      </c>
      <c r="B360" t="inlineStr">
        <is>
          <t>dec_soldmoredistsale</t>
        </is>
      </c>
      <c r="C360" t="inlineStr">
        <is>
          <t>Sold more than usual because of distress sales [unable to feed animal, need money urgently for household basic needs even if sales were unsustainable]</t>
        </is>
      </c>
      <c r="D360" s="230" t="n"/>
    </row>
    <row r="361">
      <c r="A361" t="inlineStr">
        <is>
          <t>lsnum</t>
        </is>
      </c>
      <c r="B361" t="inlineStr">
        <is>
          <t>dec_anmlescloststolen</t>
        </is>
      </c>
      <c r="C361" t="inlineStr">
        <is>
          <t>Animal escaped or was lost or stolen</t>
        </is>
      </c>
      <c r="D361" s="230" t="n"/>
    </row>
    <row r="362">
      <c r="A362" t="inlineStr">
        <is>
          <t>lsnum</t>
        </is>
      </c>
      <c r="B362" t="inlineStr">
        <is>
          <t>dec_killedorgaveanml</t>
        </is>
      </c>
      <c r="C362" t="inlineStr">
        <is>
          <t>Killed or gave away more animals than usual for household consumption or celebrations [marriage, funerals, etc]</t>
        </is>
      </c>
      <c r="D362" s="230" t="n"/>
    </row>
    <row r="363">
      <c r="A363" t="inlineStr">
        <is>
          <t>lsnum</t>
        </is>
      </c>
      <c r="B363" t="inlineStr">
        <is>
          <t>inc_dec_other</t>
        </is>
      </c>
      <c r="C363" t="inlineStr">
        <is>
          <t>Other</t>
        </is>
      </c>
      <c r="D363" s="230" t="n"/>
    </row>
    <row r="364">
      <c r="A364" t="inlineStr">
        <is>
          <t>lsnum</t>
        </is>
      </c>
      <c r="B364" t="inlineStr">
        <is>
          <t>inc_dec_dk</t>
        </is>
      </c>
      <c r="C364" t="inlineStr">
        <is>
          <t>DON'T KNOW</t>
        </is>
      </c>
      <c r="D364" s="230" t="n"/>
    </row>
    <row r="365" ht="14.25" customHeight="1">
      <c r="A365" t="inlineStr">
        <is>
          <t>lsnum</t>
        </is>
      </c>
      <c r="B365" t="inlineStr">
        <is>
          <t>inc_dec_ref</t>
        </is>
      </c>
      <c r="C365" t="inlineStr">
        <is>
          <t>REFUSED</t>
        </is>
      </c>
      <c r="D365" s="230" t="n"/>
    </row>
    <row r="366" ht="14.25" customHeight="1">
      <c r="D366" s="4" t="n"/>
    </row>
    <row r="367" ht="14.25" customFormat="1" customHeight="1" s="14">
      <c r="A367" s="13" t="inlineStr">
        <is>
          <t>lsfood</t>
        </is>
      </c>
      <c r="B367" s="13" t="inlineStr">
        <is>
          <t>openpasture</t>
        </is>
      </c>
      <c r="C367" s="13" t="inlineStr">
        <is>
          <t>Open pasture</t>
        </is>
      </c>
      <c r="D367" s="230" t="n"/>
    </row>
    <row r="368" ht="14.25" customFormat="1" customHeight="1" s="14">
      <c r="A368" s="13" t="inlineStr">
        <is>
          <t>lsfood</t>
        </is>
      </c>
      <c r="B368" s="13" t="inlineStr">
        <is>
          <t>commonpasture</t>
        </is>
      </c>
      <c r="C368" s="13" t="inlineStr">
        <is>
          <t>Community-managed pasture land</t>
        </is>
      </c>
      <c r="D368" s="230" t="n"/>
    </row>
    <row r="369" ht="14.25" customFormat="1" customHeight="1" s="14">
      <c r="A369" s="13" t="inlineStr">
        <is>
          <t>lsfood</t>
        </is>
      </c>
      <c r="B369" s="13" t="inlineStr">
        <is>
          <t>fieldselfprodfod</t>
        </is>
      </c>
      <c r="C369" s="13" t="inlineStr">
        <is>
          <t>Owned or rented field or self-produced fodder</t>
        </is>
      </c>
      <c r="D369" s="230" t="n"/>
    </row>
    <row r="370" ht="14.25" customFormat="1" customHeight="1" s="14">
      <c r="A370" s="13" t="inlineStr">
        <is>
          <t>lsfood</t>
        </is>
      </c>
      <c r="B370" s="13" t="inlineStr">
        <is>
          <t>purchased</t>
        </is>
      </c>
      <c r="C370" s="13" t="inlineStr">
        <is>
          <t>Purchase feed or fodder on markets</t>
        </is>
      </c>
      <c r="D370" s="230" t="n"/>
    </row>
    <row r="371" ht="14.25" customFormat="1" customHeight="1" s="14">
      <c r="A371" s="13" t="inlineStr">
        <is>
          <t>lsfood</t>
        </is>
      </c>
      <c r="B371" s="13" t="inlineStr">
        <is>
          <t>other</t>
        </is>
      </c>
      <c r="C371" s="13" t="inlineStr">
        <is>
          <t xml:space="preserve">Other </t>
        </is>
      </c>
      <c r="D371" s="230" t="n"/>
    </row>
    <row r="372" ht="14.25" customFormat="1" customHeight="1" s="14">
      <c r="A372" s="13" t="inlineStr">
        <is>
          <t>lsfood</t>
        </is>
      </c>
      <c r="B372" s="13" t="inlineStr">
        <is>
          <t>dk</t>
        </is>
      </c>
      <c r="C372" s="13" t="inlineStr">
        <is>
          <t>DON'T KNOW</t>
        </is>
      </c>
      <c r="D372" s="230" t="n"/>
    </row>
    <row r="373" ht="14.25" customFormat="1" customHeight="1" s="14">
      <c r="A373" s="13" t="inlineStr">
        <is>
          <t>lsfood</t>
        </is>
      </c>
      <c r="B373" s="13" t="inlineStr">
        <is>
          <t>ref</t>
        </is>
      </c>
      <c r="C373" s="13" t="inlineStr">
        <is>
          <t>REFUSED</t>
        </is>
      </c>
      <c r="D373" s="230" t="n"/>
    </row>
    <row r="374" ht="14.25" customHeight="1">
      <c r="D374" s="4" t="n"/>
    </row>
    <row r="375">
      <c r="A375" t="inlineStr">
        <is>
          <t>lsproddiff</t>
        </is>
      </c>
      <c r="B375" t="inlineStr">
        <is>
          <t>diffeedpurchase</t>
        </is>
      </c>
      <c r="C375" t="inlineStr">
        <is>
          <t>Difficulty to purchase feed [prices or access to market]</t>
        </is>
      </c>
      <c r="D375" s="230" t="n"/>
    </row>
    <row r="376">
      <c r="A376" t="inlineStr">
        <is>
          <t>lsproddiff</t>
        </is>
      </c>
      <c r="B376" t="inlineStr">
        <is>
          <t>constaccesstopasture</t>
        </is>
      </c>
      <c r="C376" t="inlineStr">
        <is>
          <t>Access to pasture</t>
        </is>
      </c>
      <c r="D376" s="230" t="n"/>
    </row>
    <row r="377">
      <c r="A377" t="inlineStr">
        <is>
          <t>lsproddiff</t>
        </is>
      </c>
      <c r="B377" t="inlineStr">
        <is>
          <t>constaccesstowater</t>
        </is>
      </c>
      <c r="C377" t="inlineStr">
        <is>
          <t>Access to water</t>
        </is>
      </c>
      <c r="D377" s="230" t="n"/>
    </row>
    <row r="378">
      <c r="A378" t="inlineStr">
        <is>
          <t>lsproddiff</t>
        </is>
      </c>
      <c r="B378" t="inlineStr">
        <is>
          <t>difaccessvetserv</t>
        </is>
      </c>
      <c r="C378" t="inlineStr">
        <is>
          <t>Access to veterinary services</t>
        </is>
      </c>
      <c r="D378" s="230" t="n"/>
    </row>
    <row r="379">
      <c r="A379" t="inlineStr">
        <is>
          <t>lsproddiff</t>
        </is>
      </c>
      <c r="B379" t="inlineStr">
        <is>
          <t>difaccessvetinp</t>
        </is>
      </c>
      <c r="C379" t="inlineStr">
        <is>
          <t>Access to veterinary inputs [medicine for animals / tools for animal health / etc]</t>
        </is>
      </c>
      <c r="D379" s="230" t="n"/>
    </row>
    <row r="380">
      <c r="A380" t="inlineStr">
        <is>
          <t>lsproddiff</t>
        </is>
      </c>
      <c r="B380" t="inlineStr">
        <is>
          <t>diseases</t>
        </is>
      </c>
      <c r="C380" t="inlineStr">
        <is>
          <t>Livestock diseases or death</t>
        </is>
      </c>
      <c r="D380" s="230" t="n"/>
    </row>
    <row r="381">
      <c r="A381" t="inlineStr">
        <is>
          <t>lsproddiff</t>
        </is>
      </c>
      <c r="B381" t="inlineStr">
        <is>
          <t>theftorinsecurity</t>
        </is>
      </c>
      <c r="C381" t="inlineStr">
        <is>
          <t>Livestock theft</t>
        </is>
      </c>
      <c r="D381" s="230" t="n"/>
    </row>
    <row r="382">
      <c r="A382" t="inlineStr">
        <is>
          <t>lsproddiff</t>
        </is>
      </c>
      <c r="B382" t="inlineStr">
        <is>
          <t>pooraccesstolmarket</t>
        </is>
      </c>
      <c r="C382" t="inlineStr">
        <is>
          <t>Access to livestock market to buy young animals</t>
        </is>
      </c>
      <c r="D382" s="230" t="n"/>
    </row>
    <row r="383">
      <c r="A383" t="inlineStr">
        <is>
          <t>lsproddiff</t>
        </is>
      </c>
      <c r="B383" t="inlineStr">
        <is>
          <t>noaccesstocredit</t>
        </is>
      </c>
      <c r="C383" t="inlineStr">
        <is>
          <t>Access to credit</t>
        </is>
      </c>
      <c r="D383" s="230" t="n"/>
    </row>
    <row r="384">
      <c r="A384" t="inlineStr">
        <is>
          <t>lsproddiff</t>
        </is>
      </c>
      <c r="B384" t="inlineStr">
        <is>
          <t>lackoflabour</t>
        </is>
      </c>
      <c r="C384" t="inlineStr">
        <is>
          <t xml:space="preserve">Labour too expensive or income insufficient to hire labour or labourers are unavailable  </t>
        </is>
      </c>
      <c r="D384" s="230" t="n"/>
    </row>
    <row r="385">
      <c r="A385" t="inlineStr">
        <is>
          <t>lsproddiff</t>
        </is>
      </c>
      <c r="B385" t="inlineStr">
        <is>
          <t>other</t>
        </is>
      </c>
      <c r="C385" t="inlineStr">
        <is>
          <t>Other</t>
        </is>
      </c>
      <c r="D385" s="230" t="n"/>
    </row>
    <row r="386">
      <c r="A386" t="inlineStr">
        <is>
          <t>lsproddiff</t>
        </is>
      </c>
      <c r="B386" t="inlineStr">
        <is>
          <t>dk</t>
        </is>
      </c>
      <c r="C386" t="inlineStr">
        <is>
          <t>DON'T KNOW</t>
        </is>
      </c>
      <c r="D386" s="230" t="n"/>
    </row>
    <row r="387">
      <c r="A387" t="inlineStr">
        <is>
          <t>lsproddiff</t>
        </is>
      </c>
      <c r="B387" t="inlineStr">
        <is>
          <t>ref</t>
        </is>
      </c>
      <c r="C387" t="inlineStr">
        <is>
          <t>REFUSED</t>
        </is>
      </c>
      <c r="D387" s="230" t="n"/>
    </row>
    <row r="388">
      <c r="D388" s="4" t="n"/>
    </row>
    <row r="389">
      <c r="A389" s="13" t="inlineStr">
        <is>
          <t>lsmain2</t>
        </is>
      </c>
      <c r="B389" s="13" t="n">
        <v>1</v>
      </c>
      <c r="C389" s="13" t="inlineStr">
        <is>
          <t>Cattle [cow / beef / veal / yak / buffalo]</t>
        </is>
      </c>
      <c r="D389" s="230" t="n"/>
    </row>
    <row r="390">
      <c r="A390" s="13" t="inlineStr">
        <is>
          <t>lsmain2</t>
        </is>
      </c>
      <c r="B390" s="13" t="n">
        <v>2</v>
      </c>
      <c r="C390" s="13" t="inlineStr">
        <is>
          <t>Goats</t>
        </is>
      </c>
      <c r="D390" s="230" t="n"/>
    </row>
    <row r="391">
      <c r="A391" s="13" t="inlineStr">
        <is>
          <t>lsmain2</t>
        </is>
      </c>
      <c r="B391" s="13" t="n">
        <v>3</v>
      </c>
      <c r="C391" s="13" t="inlineStr">
        <is>
          <t>Sheep</t>
        </is>
      </c>
      <c r="D391" s="230" t="n"/>
    </row>
    <row r="392">
      <c r="A392" s="13" t="inlineStr">
        <is>
          <t>lsmain2</t>
        </is>
      </c>
      <c r="B392" s="13" t="n">
        <v>5</v>
      </c>
      <c r="C392" s="13" t="inlineStr">
        <is>
          <t>Equine [donkey / horse / etc]</t>
        </is>
      </c>
      <c r="D392" s="230" t="n"/>
    </row>
    <row r="393">
      <c r="A393" s="13" t="inlineStr">
        <is>
          <t>lsmain2</t>
        </is>
      </c>
      <c r="B393" s="13" t="n">
        <v>6</v>
      </c>
      <c r="C393" s="259" t="inlineStr">
        <is>
          <t>Small domesticated mammals [rabbits / minks / guinea pigs / etc]</t>
        </is>
      </c>
      <c r="D393" s="230" t="n"/>
    </row>
    <row r="394">
      <c r="A394" s="13" t="inlineStr">
        <is>
          <t>lsmain2</t>
        </is>
      </c>
      <c r="B394" s="13" t="n">
        <v>7</v>
      </c>
      <c r="C394" s="13" t="inlineStr">
        <is>
          <t>Poultry [chicken / guineafowl / duck / quail / turkey / etc]</t>
        </is>
      </c>
      <c r="D394" s="230" t="n"/>
    </row>
    <row r="395">
      <c r="A395" s="13" t="inlineStr">
        <is>
          <t>lsmain2</t>
        </is>
      </c>
      <c r="B395" s="13" t="n">
        <v>8</v>
      </c>
      <c r="C395" s="13" t="inlineStr">
        <is>
          <t>Camelids</t>
        </is>
      </c>
      <c r="D395" s="230" t="n"/>
    </row>
    <row r="396">
      <c r="A396" s="13" t="inlineStr">
        <is>
          <t>lsmain2</t>
        </is>
      </c>
      <c r="B396" s="13" t="n">
        <v>9</v>
      </c>
      <c r="C396" s="13" t="inlineStr">
        <is>
          <t>Other</t>
        </is>
      </c>
      <c r="D396" s="230" t="n"/>
    </row>
    <row r="397">
      <c r="A397" s="13" t="inlineStr">
        <is>
          <t>lsmain2</t>
        </is>
      </c>
      <c r="B397" s="13" t="n">
        <v>666</v>
      </c>
      <c r="C397" s="13" t="inlineStr">
        <is>
          <t>No other livestock</t>
        </is>
      </c>
      <c r="D397" s="230" t="n"/>
    </row>
    <row r="398">
      <c r="A398" s="13" t="inlineStr">
        <is>
          <t>lsmain2</t>
        </is>
      </c>
      <c r="B398" s="13" t="n">
        <v>10</v>
      </c>
      <c r="C398" s="13" t="inlineStr">
        <is>
          <t>DON'T KNOW</t>
        </is>
      </c>
      <c r="D398" s="233" t="n"/>
    </row>
    <row r="399">
      <c r="A399" s="13" t="inlineStr">
        <is>
          <t>lsmain2</t>
        </is>
      </c>
      <c r="B399" s="13" t="n">
        <v>11</v>
      </c>
      <c r="C399" s="13" t="inlineStr">
        <is>
          <t>REFUSED</t>
        </is>
      </c>
      <c r="D399" s="230" t="n"/>
    </row>
    <row r="400">
      <c r="B400" s="10" t="n"/>
      <c r="D400" s="4" t="n"/>
    </row>
    <row r="401" ht="16.2" customHeight="1">
      <c r="A401" s="210" t="inlineStr">
        <is>
          <t>o_pastures</t>
        </is>
      </c>
      <c r="B401" s="210" t="n">
        <v>1</v>
      </c>
      <c r="C401" s="210" t="inlineStr">
        <is>
          <t>good</t>
        </is>
      </c>
      <c r="D401" s="257" t="n"/>
    </row>
    <row r="402" ht="16.2" customHeight="1">
      <c r="A402" s="210" t="inlineStr">
        <is>
          <t>o_pastures</t>
        </is>
      </c>
      <c r="B402" s="210" t="n">
        <v>2</v>
      </c>
      <c r="C402" s="210" t="inlineStr">
        <is>
          <t>normal</t>
        </is>
      </c>
      <c r="D402" s="257" t="n"/>
    </row>
    <row r="403" ht="16.2" customHeight="1">
      <c r="A403" s="210" t="inlineStr">
        <is>
          <t>o_pastures</t>
        </is>
      </c>
      <c r="B403" s="210" t="n">
        <v>3</v>
      </c>
      <c r="C403" s="210" t="inlineStr">
        <is>
          <t>poor</t>
        </is>
      </c>
      <c r="D403" s="257" t="n"/>
    </row>
    <row r="404" ht="16.2" customHeight="1">
      <c r="A404" s="210" t="inlineStr">
        <is>
          <t>o_pastures</t>
        </is>
      </c>
      <c r="B404" s="210" t="n">
        <v>4</v>
      </c>
      <c r="C404" s="210" t="inlineStr">
        <is>
          <t>so poor that I had to migrate</t>
        </is>
      </c>
      <c r="D404" s="257" t="n"/>
    </row>
    <row r="405">
      <c r="B405" s="10" t="n"/>
      <c r="D405" s="4" t="n"/>
    </row>
    <row r="406">
      <c r="A406" t="inlineStr">
        <is>
          <t>salesmain</t>
        </is>
      </c>
      <c r="B406" t="n">
        <v>1</v>
      </c>
      <c r="C406" t="inlineStr">
        <is>
          <t>Cattle [cow / beef / veal / yak / buffalo]</t>
        </is>
      </c>
      <c r="D406" s="230" t="n"/>
    </row>
    <row r="407">
      <c r="A407" t="inlineStr">
        <is>
          <t>salesmain</t>
        </is>
      </c>
      <c r="B407" t="n">
        <v>2</v>
      </c>
      <c r="C407" t="inlineStr">
        <is>
          <t>Goats</t>
        </is>
      </c>
      <c r="D407" s="230" t="n"/>
    </row>
    <row r="408">
      <c r="A408" t="inlineStr">
        <is>
          <t>salesmain</t>
        </is>
      </c>
      <c r="B408" t="n">
        <v>3</v>
      </c>
      <c r="C408" t="inlineStr">
        <is>
          <t>Sheep</t>
        </is>
      </c>
      <c r="D408" s="230" t="n"/>
    </row>
    <row r="409">
      <c r="A409" t="inlineStr">
        <is>
          <t>salesmain</t>
        </is>
      </c>
      <c r="B409" t="n">
        <v>5</v>
      </c>
      <c r="C409" t="inlineStr">
        <is>
          <t>Equine [donkey / horse / etc.]</t>
        </is>
      </c>
      <c r="D409" s="230" t="n"/>
    </row>
    <row r="410">
      <c r="A410" t="inlineStr">
        <is>
          <t>salesmain</t>
        </is>
      </c>
      <c r="B410" t="n">
        <v>6</v>
      </c>
      <c r="C410" s="258" t="inlineStr">
        <is>
          <t>Small domesticated mammals [rabbits / minks / guinea pigs / etc]</t>
        </is>
      </c>
      <c r="D410" s="230" t="n"/>
    </row>
    <row r="411">
      <c r="A411" t="inlineStr">
        <is>
          <t>salesmain</t>
        </is>
      </c>
      <c r="B411" t="n">
        <v>7</v>
      </c>
      <c r="C411" t="inlineStr">
        <is>
          <t>Poultry [chicken / guineafowl / duck / quail / turkey / etc.]</t>
        </is>
      </c>
      <c r="D411" s="230" t="n"/>
    </row>
    <row r="412">
      <c r="A412" t="inlineStr">
        <is>
          <t>salesmain</t>
        </is>
      </c>
      <c r="B412" t="n">
        <v>8</v>
      </c>
      <c r="C412" t="inlineStr">
        <is>
          <t>Camelids</t>
        </is>
      </c>
      <c r="D412" s="230" t="n"/>
    </row>
    <row r="413">
      <c r="A413" t="inlineStr">
        <is>
          <t>salesmain</t>
        </is>
      </c>
      <c r="B413" t="n">
        <v>9</v>
      </c>
      <c r="C413" t="inlineStr">
        <is>
          <t>Eggs</t>
        </is>
      </c>
      <c r="D413" s="230" t="n"/>
    </row>
    <row r="414">
      <c r="A414" t="inlineStr">
        <is>
          <t>salesmain</t>
        </is>
      </c>
      <c r="B414" t="n">
        <v>10</v>
      </c>
      <c r="C414" t="inlineStr">
        <is>
          <t>Milk or dairy products</t>
        </is>
      </c>
      <c r="D414" s="230" t="n"/>
    </row>
    <row r="415">
      <c r="A415" t="inlineStr">
        <is>
          <t>salesmain</t>
        </is>
      </c>
      <c r="B415" t="n">
        <v>11</v>
      </c>
      <c r="C415" t="inlineStr">
        <is>
          <t>Skin or leather or wool</t>
        </is>
      </c>
      <c r="D415" s="230" t="n"/>
    </row>
    <row r="416">
      <c r="A416" t="inlineStr">
        <is>
          <t>salesmain</t>
        </is>
      </c>
      <c r="B416" s="18" t="n">
        <v>12</v>
      </c>
      <c r="C416" t="inlineStr">
        <is>
          <t>DON'T KNOW</t>
        </is>
      </c>
      <c r="D416" s="230" t="n"/>
    </row>
    <row r="417">
      <c r="A417" t="inlineStr">
        <is>
          <t>salesmain</t>
        </is>
      </c>
      <c r="B417" s="18" t="n">
        <v>13</v>
      </c>
      <c r="C417" t="inlineStr">
        <is>
          <t>REFUSED</t>
        </is>
      </c>
      <c r="D417" s="230" t="n"/>
    </row>
    <row r="418">
      <c r="D418" s="4" t="n"/>
    </row>
    <row r="419" ht="16.2" customHeight="1">
      <c r="A419" t="inlineStr">
        <is>
          <t>lssalesdif</t>
        </is>
      </c>
      <c r="B419" t="inlineStr">
        <is>
          <t>smallerprofits</t>
        </is>
      </c>
      <c r="C419" t="inlineStr">
        <is>
          <t>High transportation or other marketing costs</t>
        </is>
      </c>
      <c r="D419" s="230" t="n"/>
    </row>
    <row r="420" ht="16.2" customHeight="1">
      <c r="A420" t="inlineStr">
        <is>
          <t>lssalesdif</t>
        </is>
      </c>
      <c r="B420" t="inlineStr">
        <is>
          <t>damageandlosses</t>
        </is>
      </c>
      <c r="C420" t="inlineStr">
        <is>
          <t>Difficulty accessing the market [e.g. insecurity, closure due to COVID-19 restrictions, etc.]</t>
        </is>
      </c>
      <c r="D420" s="230" t="n"/>
    </row>
    <row r="421" ht="16.2" customHeight="1">
      <c r="A421" t="inlineStr">
        <is>
          <t>lssalesdif</t>
        </is>
      </c>
      <c r="B421" t="inlineStr">
        <is>
          <t>lowdemand</t>
        </is>
      </c>
      <c r="C421" t="inlineStr">
        <is>
          <t>Usual traders or local customers are not buying as much as usual / payment delays</t>
        </is>
      </c>
      <c r="D421" s="230" t="n"/>
    </row>
    <row r="422" ht="16.2" customHeight="1">
      <c r="A422" t="inlineStr">
        <is>
          <t>lssalesdif</t>
        </is>
      </c>
      <c r="B422" t="inlineStr">
        <is>
          <t>lowprices</t>
        </is>
      </c>
      <c r="C422" t="inlineStr">
        <is>
          <t>Low selling prices [e.g. compared to input prices / inflation]</t>
        </is>
      </c>
      <c r="D422" s="230" t="n"/>
    </row>
    <row r="423" ht="16.2" customHeight="1">
      <c r="A423" t="inlineStr">
        <is>
          <t>lssalesdif</t>
        </is>
      </c>
      <c r="B423" t="inlineStr">
        <is>
          <t>slaughterhouse</t>
        </is>
      </c>
      <c r="C423" t="inlineStr">
        <is>
          <t>Closure of slaughterhouses or difficulties accessing slaughterhouses</t>
        </is>
      </c>
      <c r="D423" s="230" t="n"/>
    </row>
    <row r="424" ht="16.2" customHeight="1">
      <c r="A424" t="inlineStr">
        <is>
          <t>lssalesdif</t>
        </is>
      </c>
      <c r="B424" t="inlineStr">
        <is>
          <t>processing</t>
        </is>
      </c>
      <c r="C424" t="inlineStr">
        <is>
          <t>Difficulties to process product other than closure of slaughterhouse [lack of access to processing inputs / equipment / etc]</t>
        </is>
      </c>
      <c r="D424" s="230" t="n"/>
    </row>
    <row r="425" ht="16.2" customHeight="1">
      <c r="A425" t="inlineStr">
        <is>
          <t>lssalesdif</t>
        </is>
      </c>
      <c r="B425" t="inlineStr">
        <is>
          <t>other</t>
        </is>
      </c>
      <c r="C425" t="inlineStr">
        <is>
          <t>Other</t>
        </is>
      </c>
      <c r="D425" s="230" t="n"/>
    </row>
    <row r="426" ht="16.2" customHeight="1">
      <c r="A426" t="inlineStr">
        <is>
          <t>lssalesdif</t>
        </is>
      </c>
      <c r="B426" t="inlineStr">
        <is>
          <t>dk</t>
        </is>
      </c>
      <c r="C426" t="inlineStr">
        <is>
          <t>DON'T KNOW</t>
        </is>
      </c>
      <c r="D426" s="230" t="n"/>
    </row>
    <row r="427" ht="16.2" customHeight="1">
      <c r="A427" t="inlineStr">
        <is>
          <t>lssalesdif</t>
        </is>
      </c>
      <c r="B427" t="inlineStr">
        <is>
          <t>ref</t>
        </is>
      </c>
      <c r="C427" t="inlineStr">
        <is>
          <t>REFUSED</t>
        </is>
      </c>
      <c r="D427" s="230" t="n"/>
    </row>
    <row r="428" ht="16.2" customHeight="1">
      <c r="D428" s="4" t="n"/>
    </row>
    <row r="429">
      <c r="A429" t="inlineStr">
        <is>
          <t>fishactivity</t>
        </is>
      </c>
      <c r="B429" t="inlineStr">
        <is>
          <t>coastal</t>
        </is>
      </c>
      <c r="C429" t="inlineStr">
        <is>
          <t>Coastal fishing</t>
        </is>
      </c>
      <c r="D429" s="230" t="n"/>
    </row>
    <row r="430">
      <c r="A430" t="inlineStr">
        <is>
          <t>fishactivity</t>
        </is>
      </c>
      <c r="B430" t="inlineStr">
        <is>
          <t>opensea</t>
        </is>
      </c>
      <c r="C430" t="inlineStr">
        <is>
          <t>Open sea fishing</t>
        </is>
      </c>
      <c r="D430" s="230" t="n"/>
    </row>
    <row r="431">
      <c r="A431" t="inlineStr">
        <is>
          <t>fishactivity</t>
        </is>
      </c>
      <c r="B431" t="inlineStr">
        <is>
          <t>lakespondsrivers</t>
        </is>
      </c>
      <c r="C431" t="inlineStr">
        <is>
          <t>Freshwater fishing [e.g. lakes, ponds, rivers]</t>
        </is>
      </c>
      <c r="D431" s="230" t="n"/>
    </row>
    <row r="432">
      <c r="A432" t="inlineStr">
        <is>
          <t>fishactivity</t>
        </is>
      </c>
      <c r="B432" t="inlineStr">
        <is>
          <t>aquaculture</t>
        </is>
      </c>
      <c r="C432" t="inlineStr">
        <is>
          <t>Aquaculture</t>
        </is>
      </c>
      <c r="D432" s="230" t="n"/>
    </row>
    <row r="433">
      <c r="A433" t="inlineStr">
        <is>
          <t>fishactivity</t>
        </is>
      </c>
      <c r="B433" t="inlineStr">
        <is>
          <t>dk</t>
        </is>
      </c>
      <c r="C433" t="inlineStr">
        <is>
          <t>DON'T KNOW</t>
        </is>
      </c>
      <c r="D433" s="230" t="n"/>
    </row>
    <row r="434">
      <c r="A434" t="inlineStr">
        <is>
          <t>fishactivity</t>
        </is>
      </c>
      <c r="B434" t="inlineStr">
        <is>
          <t>ref</t>
        </is>
      </c>
      <c r="C434" t="inlineStr">
        <is>
          <t>REFUSED</t>
        </is>
      </c>
      <c r="D434" s="230" t="n"/>
    </row>
    <row r="435">
      <c r="D435" s="230" t="n"/>
    </row>
    <row r="436">
      <c r="A436" t="inlineStr">
        <is>
          <t>fishproddiff</t>
        </is>
      </c>
      <c r="B436" t="inlineStr">
        <is>
          <t>find</t>
        </is>
      </c>
      <c r="C436" t="inlineStr">
        <is>
          <t>Fish is more difficult to find than in previous years  in the same season</t>
        </is>
      </c>
      <c r="D436" s="230" t="n"/>
    </row>
    <row r="437">
      <c r="A437" t="inlineStr">
        <is>
          <t>fishproddiff</t>
        </is>
      </c>
      <c r="B437" t="inlineStr">
        <is>
          <t>covid</t>
        </is>
      </c>
      <c r="C437" t="inlineStr">
        <is>
          <t>Impossible to go out fishing [e.g. due to weather conditions, COVID-19 restrictions]</t>
        </is>
      </c>
      <c r="D437" s="230" t="n"/>
    </row>
    <row r="438">
      <c r="A438" t="inlineStr">
        <is>
          <t>fishproddiff</t>
        </is>
      </c>
      <c r="B438" t="inlineStr">
        <is>
          <t>fuel</t>
        </is>
      </c>
      <c r="C438" t="inlineStr">
        <is>
          <t>Access to fuel [prices higher or not available]</t>
        </is>
      </c>
      <c r="D438" s="230" t="n"/>
    </row>
    <row r="439">
      <c r="A439" t="inlineStr">
        <is>
          <t>fishproddiff</t>
        </is>
      </c>
      <c r="B439" t="inlineStr">
        <is>
          <t>inputs</t>
        </is>
      </c>
      <c r="C439" t="inlineStr">
        <is>
          <t>Access to fishing material and-or other inputs [prices higher or not available]</t>
        </is>
      </c>
      <c r="D439" s="230" t="n"/>
    </row>
    <row r="440">
      <c r="A440" t="inlineStr">
        <is>
          <t>fishproddiff</t>
        </is>
      </c>
      <c r="B440" t="inlineStr">
        <is>
          <t>labour</t>
        </is>
      </c>
      <c r="C440" t="inlineStr">
        <is>
          <t>Labour too expensive or income insufficient to hire labour</t>
        </is>
      </c>
      <c r="D440" s="230" t="n"/>
    </row>
    <row r="441">
      <c r="A441" t="inlineStr">
        <is>
          <t>fishproddiff</t>
        </is>
      </c>
      <c r="B441" t="inlineStr">
        <is>
          <t>other</t>
        </is>
      </c>
      <c r="C441" t="inlineStr">
        <is>
          <t>Other [specify]</t>
        </is>
      </c>
      <c r="D441" s="230" t="n"/>
    </row>
    <row r="442">
      <c r="A442" t="inlineStr">
        <is>
          <t>fishproddiff</t>
        </is>
      </c>
      <c r="B442" t="inlineStr">
        <is>
          <t>dk</t>
        </is>
      </c>
      <c r="C442" t="inlineStr">
        <is>
          <t>DON'T KNOW</t>
        </is>
      </c>
      <c r="D442" s="230" t="n"/>
    </row>
    <row r="443">
      <c r="A443" t="inlineStr">
        <is>
          <t>fishproddiff</t>
        </is>
      </c>
      <c r="B443" t="inlineStr">
        <is>
          <t>ref</t>
        </is>
      </c>
      <c r="C443" t="inlineStr">
        <is>
          <t>REFUSED</t>
        </is>
      </c>
      <c r="D443" s="230" t="n"/>
    </row>
    <row r="444">
      <c r="D444" s="230" t="n"/>
    </row>
    <row r="445" customFormat="1" s="14">
      <c r="A445" s="13" t="inlineStr">
        <is>
          <t>fishinput</t>
        </is>
      </c>
      <c r="B445" s="13" t="inlineStr">
        <is>
          <t>bait</t>
        </is>
      </c>
      <c r="C445" s="13" t="inlineStr">
        <is>
          <t>Feed or bait</t>
        </is>
      </c>
      <c r="D445" s="230" t="n"/>
    </row>
    <row r="446" customFormat="1" s="14">
      <c r="A446" s="13" t="inlineStr">
        <is>
          <t>fishinput</t>
        </is>
      </c>
      <c r="B446" s="13" t="inlineStr">
        <is>
          <t>net</t>
        </is>
      </c>
      <c r="C446" s="13" t="inlineStr">
        <is>
          <t>Net</t>
        </is>
      </c>
      <c r="D446" s="230" t="n"/>
    </row>
    <row r="447" customFormat="1" s="14">
      <c r="A447" s="13" t="inlineStr">
        <is>
          <t>fishinput</t>
        </is>
      </c>
      <c r="B447" s="13" t="inlineStr">
        <is>
          <t>gear</t>
        </is>
      </c>
      <c r="C447" s="13" t="inlineStr">
        <is>
          <t>Gear</t>
        </is>
      </c>
      <c r="D447" s="230" t="n"/>
    </row>
    <row r="448" customFormat="1" s="14">
      <c r="A448" s="13" t="inlineStr">
        <is>
          <t>fishinput</t>
        </is>
      </c>
      <c r="B448" s="13" t="inlineStr">
        <is>
          <t>ice</t>
        </is>
      </c>
      <c r="C448" s="13" t="inlineStr">
        <is>
          <t>Ice</t>
        </is>
      </c>
      <c r="D448" s="230" t="n"/>
    </row>
    <row r="449" customFormat="1" s="14">
      <c r="A449" s="13" t="inlineStr">
        <is>
          <t>fishinput</t>
        </is>
      </c>
      <c r="B449" s="13" t="inlineStr">
        <is>
          <t>fuel</t>
        </is>
      </c>
      <c r="C449" s="13" t="inlineStr">
        <is>
          <t>Fuel</t>
        </is>
      </c>
      <c r="D449" s="230" t="n"/>
    </row>
    <row r="450" customFormat="1" s="14">
      <c r="A450" s="13" t="inlineStr">
        <is>
          <t>fishinput</t>
        </is>
      </c>
      <c r="B450" s="13" t="inlineStr">
        <is>
          <t>boatrepairs</t>
        </is>
      </c>
      <c r="C450" s="13" t="inlineStr">
        <is>
          <t>Boat repairs</t>
        </is>
      </c>
      <c r="D450" s="230" t="n"/>
    </row>
    <row r="451" customFormat="1" s="14">
      <c r="A451" s="13" t="inlineStr">
        <is>
          <t>fishinput</t>
        </is>
      </c>
      <c r="B451" s="13" t="inlineStr">
        <is>
          <t>other</t>
        </is>
      </c>
      <c r="C451" s="13" t="inlineStr">
        <is>
          <t>Other [specify]</t>
        </is>
      </c>
      <c r="D451" s="230" t="n"/>
    </row>
    <row r="452" customFormat="1" s="14">
      <c r="A452" s="13" t="inlineStr">
        <is>
          <t>fishinput</t>
        </is>
      </c>
      <c r="B452" s="13" t="inlineStr">
        <is>
          <t>dk</t>
        </is>
      </c>
      <c r="C452" s="13" t="inlineStr">
        <is>
          <t>DON'T KNOW</t>
        </is>
      </c>
      <c r="D452" s="230" t="n"/>
    </row>
    <row r="453" customFormat="1" s="14">
      <c r="A453" s="13" t="inlineStr">
        <is>
          <t>fishinput</t>
        </is>
      </c>
      <c r="B453" s="13" t="inlineStr">
        <is>
          <t>ref</t>
        </is>
      </c>
      <c r="C453" s="13" t="inlineStr">
        <is>
          <t>REFUSED</t>
        </is>
      </c>
      <c r="D453" s="230" t="n"/>
    </row>
    <row r="454">
      <c r="D454" s="230" t="n"/>
    </row>
    <row r="455">
      <c r="A455" t="inlineStr">
        <is>
          <t>fishsales</t>
        </is>
      </c>
      <c r="B455" t="n">
        <v>1</v>
      </c>
      <c r="C455" t="inlineStr">
        <is>
          <t>Fresh fish [any kind]</t>
        </is>
      </c>
      <c r="D455" s="230" t="n"/>
    </row>
    <row r="456">
      <c r="A456" t="inlineStr">
        <is>
          <t>fishsales</t>
        </is>
      </c>
      <c r="B456" t="n">
        <v>2</v>
      </c>
      <c r="C456" t="inlineStr">
        <is>
          <t>Dry fish [any kind]</t>
        </is>
      </c>
      <c r="D456" s="230" t="n"/>
    </row>
    <row r="457">
      <c r="A457" t="inlineStr">
        <is>
          <t>fishsales</t>
        </is>
      </c>
      <c r="B457" t="n">
        <v>3</v>
      </c>
      <c r="C457" t="inlineStr">
        <is>
          <t>Smoked fish</t>
        </is>
      </c>
      <c r="D457" s="230" t="n"/>
    </row>
    <row r="458">
      <c r="A458" t="inlineStr">
        <is>
          <t>fishsales</t>
        </is>
      </c>
      <c r="B458" t="n">
        <v>4</v>
      </c>
      <c r="C458" t="inlineStr">
        <is>
          <t>Seafood [any kind]</t>
        </is>
      </c>
      <c r="D458" s="230" t="n"/>
    </row>
    <row r="459">
      <c r="A459" t="inlineStr">
        <is>
          <t>fishsales</t>
        </is>
      </c>
      <c r="B459" t="n">
        <v>5</v>
      </c>
      <c r="C459" t="inlineStr">
        <is>
          <t>Other [specify]</t>
        </is>
      </c>
      <c r="D459" s="230" t="n"/>
    </row>
    <row r="460">
      <c r="A460" t="inlineStr">
        <is>
          <t>fishsales</t>
        </is>
      </c>
      <c r="B460" s="18" t="n">
        <v>6</v>
      </c>
      <c r="C460" t="inlineStr">
        <is>
          <t>DON'T KNOW</t>
        </is>
      </c>
      <c r="D460" s="230" t="n"/>
    </row>
    <row r="461">
      <c r="A461" t="inlineStr">
        <is>
          <t>fishsales</t>
        </is>
      </c>
      <c r="B461" s="18" t="n">
        <v>7</v>
      </c>
      <c r="C461" t="inlineStr">
        <is>
          <t>REFUSED</t>
        </is>
      </c>
      <c r="D461" s="230" t="n"/>
    </row>
    <row r="462">
      <c r="D462" s="230" t="n"/>
    </row>
    <row r="463">
      <c r="A463" t="inlineStr">
        <is>
          <t>fishsalesdif</t>
        </is>
      </c>
      <c r="B463" t="inlineStr">
        <is>
          <t>smallerprofits</t>
        </is>
      </c>
      <c r="C463" t="inlineStr">
        <is>
          <t>High transportation or other marketing costs</t>
        </is>
      </c>
      <c r="D463" s="230" t="n"/>
    </row>
    <row r="464">
      <c r="A464" t="inlineStr">
        <is>
          <t>fishsalesdif</t>
        </is>
      </c>
      <c r="B464" t="inlineStr">
        <is>
          <t>damageandlosses</t>
        </is>
      </c>
      <c r="C464" t="inlineStr">
        <is>
          <t>Damage and losses due to storage dfficulties or delays or inability to physically access markets</t>
        </is>
      </c>
      <c r="D464" s="230" t="n"/>
    </row>
    <row r="465">
      <c r="A465" t="inlineStr">
        <is>
          <t>fishsalesdif</t>
        </is>
      </c>
      <c r="B465" t="inlineStr">
        <is>
          <t>lowdemand</t>
        </is>
      </c>
      <c r="C465" t="inlineStr">
        <is>
          <t>Usual traders or local customers are not buying as much as usual / payment delays</t>
        </is>
      </c>
      <c r="D465" s="230" t="n"/>
    </row>
    <row r="466">
      <c r="A466" t="inlineStr">
        <is>
          <t>fishsalesdif</t>
        </is>
      </c>
      <c r="B466" t="inlineStr">
        <is>
          <t>lowprices</t>
        </is>
      </c>
      <c r="C466" t="inlineStr">
        <is>
          <t>Low selling prices [e.g. compared to input prices / inflation]</t>
        </is>
      </c>
      <c r="D466" s="230" t="n"/>
    </row>
    <row r="467">
      <c r="A467" t="inlineStr">
        <is>
          <t>fishsalesdif</t>
        </is>
      </c>
      <c r="B467" t="inlineStr">
        <is>
          <t>processing</t>
        </is>
      </c>
      <c r="C467" t="inlineStr">
        <is>
          <t>Difficulties to process product [lack of access to processing inputs / equipment / etc]</t>
        </is>
      </c>
      <c r="D467" s="230" t="n"/>
    </row>
    <row r="468">
      <c r="A468" t="inlineStr">
        <is>
          <t>fishsalesdif</t>
        </is>
      </c>
      <c r="B468" t="inlineStr">
        <is>
          <t>other</t>
        </is>
      </c>
      <c r="C468" t="inlineStr">
        <is>
          <t>Other [specify]</t>
        </is>
      </c>
      <c r="D468" s="230" t="n"/>
    </row>
    <row r="469">
      <c r="A469" t="inlineStr">
        <is>
          <t>fishsalesdif</t>
        </is>
      </c>
      <c r="B469" t="inlineStr">
        <is>
          <t>dk</t>
        </is>
      </c>
      <c r="C469" t="inlineStr">
        <is>
          <t>DON'T KNOW</t>
        </is>
      </c>
      <c r="D469" s="230" t="n"/>
    </row>
    <row r="470">
      <c r="A470" t="inlineStr">
        <is>
          <t>fishsalesdif</t>
        </is>
      </c>
      <c r="B470" t="inlineStr">
        <is>
          <t>ref</t>
        </is>
      </c>
      <c r="C470" t="inlineStr">
        <is>
          <t>REFUSED</t>
        </is>
      </c>
      <c r="D470" s="230" t="n"/>
    </row>
    <row r="471">
      <c r="D471" s="4" t="n"/>
    </row>
    <row r="472">
      <c r="A472" t="inlineStr">
        <is>
          <t>frequency</t>
        </is>
      </c>
      <c r="B472" t="n">
        <v>1</v>
      </c>
      <c r="C472" t="inlineStr">
        <is>
          <t>Rarely (1-2 times in the past 30 days)</t>
        </is>
      </c>
      <c r="D472" s="230" t="n"/>
    </row>
    <row r="473">
      <c r="A473" t="inlineStr">
        <is>
          <t>frequency</t>
        </is>
      </c>
      <c r="B473" t="n">
        <v>2</v>
      </c>
      <c r="C473" t="inlineStr">
        <is>
          <t>Sometimes (3-10 times in the past 30 days)</t>
        </is>
      </c>
      <c r="D473" s="230" t="n"/>
    </row>
    <row r="474">
      <c r="A474" t="inlineStr">
        <is>
          <t>frequency</t>
        </is>
      </c>
      <c r="B474" t="n">
        <v>3</v>
      </c>
      <c r="C474" t="inlineStr">
        <is>
          <t>Often (more than 10 times in the last 30 days)</t>
        </is>
      </c>
      <c r="D474" s="230" t="n"/>
    </row>
    <row r="475">
      <c r="A475" t="inlineStr">
        <is>
          <t>frequency</t>
        </is>
      </c>
      <c r="B475" t="n">
        <v>4</v>
      </c>
      <c r="C475" t="inlineStr">
        <is>
          <t xml:space="preserve">DON'T KNOW </t>
        </is>
      </c>
      <c r="D475" s="230" t="n"/>
    </row>
    <row r="476">
      <c r="A476" t="inlineStr">
        <is>
          <t>frequency</t>
        </is>
      </c>
      <c r="B476" s="18" t="n">
        <v>5</v>
      </c>
      <c r="C476" t="inlineStr">
        <is>
          <t>REFUSED</t>
        </is>
      </c>
      <c r="D476" s="230" t="n"/>
    </row>
    <row r="477">
      <c r="D477" s="4" t="n"/>
    </row>
    <row r="478">
      <c r="A478" t="inlineStr">
        <is>
          <t>coping</t>
        </is>
      </c>
      <c r="B478" t="n">
        <v>1</v>
      </c>
      <c r="C478" t="inlineStr">
        <is>
          <t>Yes</t>
        </is>
      </c>
      <c r="D478" s="230" t="n"/>
    </row>
    <row r="479">
      <c r="A479" t="inlineStr">
        <is>
          <t>coping</t>
        </is>
      </c>
      <c r="B479" t="n">
        <v>2</v>
      </c>
      <c r="C479" t="inlineStr">
        <is>
          <t>No - because it wasn’t necessary</t>
        </is>
      </c>
      <c r="D479" s="230" t="n"/>
    </row>
    <row r="480">
      <c r="A480" t="inlineStr">
        <is>
          <t>coping</t>
        </is>
      </c>
      <c r="B480" t="n">
        <v>3</v>
      </c>
      <c r="C480" t="inlineStr">
        <is>
          <t>No - because you already sold those assets or did this activity within the last 12 months and you cannot continue to do it</t>
        </is>
      </c>
      <c r="D480" s="230" t="n"/>
    </row>
    <row r="481">
      <c r="A481" t="inlineStr">
        <is>
          <t>coping</t>
        </is>
      </c>
      <c r="B481" t="n">
        <v>4</v>
      </c>
      <c r="C481" t="inlineStr">
        <is>
          <t>Not applicable</t>
        </is>
      </c>
      <c r="D481" s="230" t="n"/>
    </row>
    <row r="482">
      <c r="A482" t="inlineStr">
        <is>
          <t>coping</t>
        </is>
      </c>
      <c r="B482" s="18" t="n">
        <v>5</v>
      </c>
      <c r="C482" t="inlineStr">
        <is>
          <t>DON'T KNOW</t>
        </is>
      </c>
      <c r="D482" s="230" t="n"/>
    </row>
    <row r="483">
      <c r="A483" t="inlineStr">
        <is>
          <t>coping</t>
        </is>
      </c>
      <c r="B483" s="18" t="n">
        <v>6</v>
      </c>
      <c r="C483" t="inlineStr">
        <is>
          <t>REFUSED</t>
        </is>
      </c>
      <c r="D483" s="230" t="n"/>
    </row>
    <row r="484">
      <c r="D484" s="4" t="n"/>
    </row>
    <row r="485">
      <c r="A485" t="inlineStr">
        <is>
          <t>hdds</t>
        </is>
      </c>
      <c r="B485" t="inlineStr">
        <is>
          <t>cereals</t>
        </is>
      </c>
      <c r="C485" t="inlineStr">
        <is>
          <t>Cereals [sorghum / millet / corn / wheat / rice / spaghetti / bread or insert any other locally available grain]</t>
        </is>
      </c>
      <c r="D485" s="230" t="n"/>
    </row>
    <row r="486">
      <c r="A486" t="inlineStr">
        <is>
          <t>hdds</t>
        </is>
      </c>
      <c r="B486" t="inlineStr">
        <is>
          <t>rootstubers</t>
        </is>
      </c>
      <c r="C486" t="inlineStr">
        <is>
          <t>Roots and tubers [white sweet potato / potato / yam / cassava or other tubers]</t>
        </is>
      </c>
      <c r="D486" s="230" t="n"/>
    </row>
    <row r="487">
      <c r="A487" t="inlineStr">
        <is>
          <t>hdds</t>
        </is>
      </c>
      <c r="B487" t="inlineStr">
        <is>
          <t>vegetables</t>
        </is>
      </c>
      <c r="C487" t="inlineStr">
        <is>
          <t>Vegetables [all]</t>
        </is>
      </c>
      <c r="D487" s="230" t="n"/>
    </row>
    <row r="488">
      <c r="A488" t="inlineStr">
        <is>
          <t>hdds</t>
        </is>
      </c>
      <c r="B488" t="inlineStr">
        <is>
          <t>fruits</t>
        </is>
      </c>
      <c r="C488" t="inlineStr">
        <is>
          <t>Fruits [all]</t>
        </is>
      </c>
      <c r="D488" s="230" t="n"/>
    </row>
    <row r="489">
      <c r="A489" t="inlineStr">
        <is>
          <t>hdds</t>
        </is>
      </c>
      <c r="B489" t="inlineStr">
        <is>
          <t>meat</t>
        </is>
      </c>
      <c r="C489" t="inlineStr">
        <is>
          <t>Meat, poultry and offal [beef / pork / lamb /goat / rabbit / wild game / chicken / duck or other birds / liver / kidney / heart / or other organ meats]</t>
        </is>
      </c>
      <c r="D489" s="230" t="n"/>
    </row>
    <row r="490">
      <c r="A490" t="inlineStr">
        <is>
          <t>hdds</t>
        </is>
      </c>
      <c r="B490" t="inlineStr">
        <is>
          <t>eggs</t>
        </is>
      </c>
      <c r="C490" t="inlineStr">
        <is>
          <t>Eggs</t>
        </is>
      </c>
      <c r="D490" s="230" t="n"/>
    </row>
    <row r="491">
      <c r="A491" t="inlineStr">
        <is>
          <t>hdds</t>
        </is>
      </c>
      <c r="B491" t="inlineStr">
        <is>
          <t>fish</t>
        </is>
      </c>
      <c r="C491" t="inlineStr">
        <is>
          <t>Fish or shellfish [fresh or dried fish / other seafood]</t>
        </is>
      </c>
      <c r="D491" s="230" t="n"/>
    </row>
    <row r="492">
      <c r="A492" t="inlineStr">
        <is>
          <t>hdds</t>
        </is>
      </c>
      <c r="B492" t="inlineStr">
        <is>
          <t>legumes</t>
        </is>
      </c>
      <c r="C492" t="inlineStr">
        <is>
          <t>Legumes, nuts and seeds [beans / peas / peanut / lentils / almond / and/or other nuts]</t>
        </is>
      </c>
      <c r="D492" s="230" t="n"/>
    </row>
    <row r="493">
      <c r="A493" t="inlineStr">
        <is>
          <t>hdds</t>
        </is>
      </c>
      <c r="B493" t="inlineStr">
        <is>
          <t>milkdairy</t>
        </is>
      </c>
      <c r="C493" t="inlineStr">
        <is>
          <t>Milk and other dairy products [fresh milk / sour / yogurt / cheese / other dairy products]</t>
        </is>
      </c>
      <c r="D493" s="230" t="n"/>
    </row>
    <row r="494">
      <c r="A494" t="inlineStr">
        <is>
          <t>hdds</t>
        </is>
      </c>
      <c r="B494" t="inlineStr">
        <is>
          <t>oils</t>
        </is>
      </c>
      <c r="C494" t="inlineStr">
        <is>
          <t>Oil/fat / butter [cooking / butter / margarine / fat/oil / other oil]</t>
        </is>
      </c>
      <c r="D494" s="230" t="n"/>
    </row>
    <row r="495">
      <c r="A495" t="inlineStr">
        <is>
          <t>hdds</t>
        </is>
      </c>
      <c r="B495" t="inlineStr">
        <is>
          <t>sugar</t>
        </is>
      </c>
      <c r="C495" t="inlineStr">
        <is>
          <t>Sugar or sugary products [honey / jam / donuts / candy / biscuits / pastries / cakes and other sweet products]</t>
        </is>
      </c>
      <c r="D495" s="230" t="n"/>
    </row>
    <row r="496">
      <c r="A496" t="inlineStr">
        <is>
          <t>hdds</t>
        </is>
      </c>
      <c r="B496" t="inlineStr">
        <is>
          <t>condiments</t>
        </is>
      </c>
      <c r="C496" t="inlineStr">
        <is>
          <t>Condiments [cocoa /salt / garlic / spices / yeast or baking powder / tomato or tomato sauce / meat or fish as a condiment] / coffee / tea</t>
        </is>
      </c>
      <c r="D496" s="230" t="n"/>
    </row>
    <row r="497">
      <c r="D497" s="4" t="n"/>
    </row>
    <row r="498">
      <c r="A498" t="inlineStr">
        <is>
          <t>needs</t>
        </is>
      </c>
      <c r="B498" t="inlineStr">
        <is>
          <t>seeds</t>
        </is>
      </c>
      <c r="C498" t="inlineStr">
        <is>
          <t>Seeds</t>
        </is>
      </c>
      <c r="D498" s="230" t="n"/>
    </row>
    <row r="499">
      <c r="A499" t="inlineStr">
        <is>
          <t>needs</t>
        </is>
      </c>
      <c r="B499" t="inlineStr">
        <is>
          <t>fertilizers</t>
        </is>
      </c>
      <c r="C499" t="inlineStr">
        <is>
          <t>Fertilizers</t>
        </is>
      </c>
      <c r="D499" s="230" t="n"/>
    </row>
    <row r="500">
      <c r="A500" t="inlineStr">
        <is>
          <t>needs</t>
        </is>
      </c>
      <c r="B500" t="inlineStr">
        <is>
          <t>pesticides</t>
        </is>
      </c>
      <c r="C500" t="inlineStr">
        <is>
          <t>Pesticides</t>
        </is>
      </c>
      <c r="D500" s="230" t="n"/>
    </row>
    <row r="501">
      <c r="A501" t="inlineStr">
        <is>
          <t>needs</t>
        </is>
      </c>
      <c r="B501" t="inlineStr">
        <is>
          <t>tools</t>
        </is>
      </c>
      <c r="C501" t="inlineStr">
        <is>
          <t>Tools</t>
        </is>
      </c>
      <c r="D501" s="230" t="n"/>
    </row>
    <row r="502">
      <c r="A502" t="inlineStr">
        <is>
          <t>needs</t>
        </is>
      </c>
      <c r="B502" t="inlineStr">
        <is>
          <t>accesstoirrigationwater</t>
        </is>
      </c>
      <c r="C502" t="inlineStr">
        <is>
          <t>Access to irrigation water</t>
        </is>
      </c>
      <c r="D502" s="230" t="n"/>
    </row>
    <row r="503">
      <c r="A503" t="inlineStr">
        <is>
          <t>needs</t>
        </is>
      </c>
      <c r="B503" t="inlineStr">
        <is>
          <t>accesstoland</t>
        </is>
      </c>
      <c r="C503" t="inlineStr">
        <is>
          <t>Access to land</t>
        </is>
      </c>
      <c r="D503" s="230" t="n"/>
    </row>
    <row r="504">
      <c r="A504" t="inlineStr">
        <is>
          <t>needs</t>
        </is>
      </c>
      <c r="B504" t="inlineStr">
        <is>
          <t>animalfeed</t>
        </is>
      </c>
      <c r="C504" t="inlineStr">
        <is>
          <t>Animal feed</t>
        </is>
      </c>
      <c r="D504" s="230" t="n"/>
    </row>
    <row r="505">
      <c r="A505" t="inlineStr">
        <is>
          <t>needs</t>
        </is>
      </c>
      <c r="B505" t="inlineStr">
        <is>
          <t>veterinaryservices</t>
        </is>
      </c>
      <c r="C505" t="inlineStr">
        <is>
          <t>Veterinary services</t>
        </is>
      </c>
      <c r="D505" s="230" t="n"/>
    </row>
    <row r="506">
      <c r="A506" t="inlineStr">
        <is>
          <t>needs</t>
        </is>
      </c>
      <c r="B506" t="inlineStr">
        <is>
          <t>veterinaryinputs</t>
        </is>
      </c>
      <c r="C506" t="inlineStr">
        <is>
          <t>Veterinary inputs</t>
        </is>
      </c>
      <c r="D506" s="230" t="n"/>
    </row>
    <row r="507">
      <c r="A507" t="inlineStr">
        <is>
          <t>needs</t>
        </is>
      </c>
      <c r="B507" t="inlineStr">
        <is>
          <t>animalsalemingarantdprice</t>
        </is>
      </c>
      <c r="C507" t="inlineStr">
        <is>
          <t>Sales of animals with minimum guaranteed price</t>
        </is>
      </c>
      <c r="D507" s="230" t="n"/>
    </row>
    <row r="508">
      <c r="A508" t="inlineStr">
        <is>
          <t>needs</t>
        </is>
      </c>
      <c r="B508" t="inlineStr">
        <is>
          <t>restockinganimals</t>
        </is>
      </c>
      <c r="C508" t="inlineStr">
        <is>
          <t>Restocking animals</t>
        </is>
      </c>
      <c r="D508" s="230" t="n"/>
    </row>
    <row r="509">
      <c r="A509" t="inlineStr">
        <is>
          <t>needs</t>
        </is>
      </c>
      <c r="B509" t="inlineStr">
        <is>
          <t>supportforprocessprod</t>
        </is>
      </c>
      <c r="C509" t="inlineStr">
        <is>
          <t>Support for processing product</t>
        </is>
      </c>
      <c r="D509" s="230" t="n"/>
    </row>
    <row r="510">
      <c r="A510" t="inlineStr">
        <is>
          <t>needs</t>
        </is>
      </c>
      <c r="B510" t="inlineStr">
        <is>
          <t>supptransofanimalsorprod</t>
        </is>
      </c>
      <c r="C510" t="inlineStr">
        <is>
          <t>Support for transportation of animals or animal product [e.g. cold chains for milk]</t>
        </is>
      </c>
      <c r="D510" s="230" t="n"/>
    </row>
    <row r="511">
      <c r="A511" t="inlineStr">
        <is>
          <t>needs</t>
        </is>
      </c>
      <c r="B511" t="inlineStr">
        <is>
          <t>acstomechanisedequipprod</t>
        </is>
      </c>
      <c r="C511" t="inlineStr">
        <is>
          <t>Access to tractors</t>
        </is>
      </c>
      <c r="D511" s="230" t="n"/>
    </row>
    <row r="512">
      <c r="A512" t="inlineStr">
        <is>
          <t>needs</t>
        </is>
      </c>
      <c r="B512" t="inlineStr">
        <is>
          <t>marketingsupport</t>
        </is>
      </c>
      <c r="C512" t="inlineStr">
        <is>
          <t>Marketing support</t>
        </is>
      </c>
      <c r="D512" s="230" t="n"/>
    </row>
    <row r="513">
      <c r="A513" t="inlineStr">
        <is>
          <t>needs</t>
        </is>
      </c>
      <c r="B513" t="inlineStr">
        <is>
          <t>cashassistance</t>
        </is>
      </c>
      <c r="C513" t="inlineStr">
        <is>
          <t>Cash or food assistance</t>
        </is>
      </c>
      <c r="D513" s="230" t="n"/>
    </row>
    <row r="514">
      <c r="A514" t="inlineStr">
        <is>
          <t>needs</t>
        </is>
      </c>
      <c r="B514" t="inlineStr">
        <is>
          <t>loans</t>
        </is>
      </c>
      <c r="C514" t="inlineStr">
        <is>
          <t>Loans</t>
        </is>
      </c>
      <c r="D514" s="230" t="n"/>
    </row>
    <row r="515">
      <c r="A515" t="inlineStr">
        <is>
          <t>needs</t>
        </is>
      </c>
      <c r="B515" t="inlineStr">
        <is>
          <t>storageequipmentorfaci</t>
        </is>
      </c>
      <c r="C515" t="inlineStr">
        <is>
          <t>Storage equipment or facility [bags / containers / etc.]</t>
        </is>
      </c>
      <c r="D515" s="230" t="n"/>
    </row>
    <row r="516">
      <c r="A516" t="inlineStr">
        <is>
          <t>needs</t>
        </is>
      </c>
      <c r="B516" t="inlineStr">
        <is>
          <t>techsupporextensionserv</t>
        </is>
      </c>
      <c r="C516" t="inlineStr">
        <is>
          <t>Technical support or extension services</t>
        </is>
      </c>
      <c r="D516" s="230" t="n"/>
    </row>
    <row r="517">
      <c r="A517" t="inlineStr">
        <is>
          <t>needs</t>
        </is>
      </c>
      <c r="B517" t="inlineStr">
        <is>
          <t>landrehabilitation</t>
        </is>
      </c>
      <c r="C517" t="inlineStr">
        <is>
          <t>Land rehabilitation [in case of a disaster]</t>
        </is>
      </c>
      <c r="D517" s="230" t="n"/>
    </row>
    <row r="518">
      <c r="A518" t="inlineStr">
        <is>
          <t>needs</t>
        </is>
      </c>
      <c r="B518" t="inlineStr">
        <is>
          <t>fishequiorothersuppforfish</t>
        </is>
      </c>
      <c r="C518" t="inlineStr">
        <is>
          <t>Access to boats (new or repair of existing boats), fishing equipment and supplies</t>
        </is>
      </c>
      <c r="D518" s="230" t="n"/>
    </row>
    <row r="519">
      <c r="A519" t="inlineStr">
        <is>
          <t>needs</t>
        </is>
      </c>
      <c r="B519" t="inlineStr">
        <is>
          <t>infoonsafetymeasures</t>
        </is>
      </c>
      <c r="C519" t="inlineStr">
        <is>
          <t>Information on safety measures in the context of the COVID-19 epidemic</t>
        </is>
      </c>
      <c r="D519" s="230" t="n"/>
    </row>
    <row r="520">
      <c r="A520" t="inlineStr">
        <is>
          <t>needs</t>
        </is>
      </c>
      <c r="B520" t="inlineStr">
        <is>
          <t>other</t>
        </is>
      </c>
      <c r="C520" t="inlineStr">
        <is>
          <t>Other [specify]</t>
        </is>
      </c>
      <c r="D520" s="230" t="n"/>
    </row>
    <row r="521">
      <c r="A521" t="inlineStr">
        <is>
          <t>needs</t>
        </is>
      </c>
      <c r="B521" t="inlineStr">
        <is>
          <t>dk</t>
        </is>
      </c>
      <c r="C521" t="inlineStr">
        <is>
          <t>DON'T KNOW</t>
        </is>
      </c>
      <c r="D521" s="230" t="n"/>
    </row>
    <row r="522">
      <c r="A522" t="inlineStr">
        <is>
          <t>needs</t>
        </is>
      </c>
      <c r="B522" t="inlineStr">
        <is>
          <t>ref</t>
        </is>
      </c>
      <c r="C522" t="inlineStr">
        <is>
          <t>REFUSED</t>
        </is>
      </c>
      <c r="D522" s="230" t="n"/>
    </row>
    <row r="523">
      <c r="D523" s="4" t="n"/>
    </row>
    <row r="524">
      <c r="A524" t="inlineStr">
        <is>
          <t>needreceived</t>
        </is>
      </c>
      <c r="B524" t="inlineStr">
        <is>
          <t>food</t>
        </is>
      </c>
      <c r="C524" t="inlineStr">
        <is>
          <t>Food</t>
        </is>
      </c>
      <c r="D524" s="230" t="n"/>
    </row>
    <row r="525">
      <c r="A525" t="inlineStr">
        <is>
          <t>needreceived</t>
        </is>
      </c>
      <c r="B525" t="inlineStr">
        <is>
          <t>cashvouchers</t>
        </is>
      </c>
      <c r="C525" t="inlineStr">
        <is>
          <t>Cash vouchers</t>
        </is>
      </c>
      <c r="D525" s="230" t="n"/>
    </row>
    <row r="526">
      <c r="A526" t="inlineStr">
        <is>
          <t>needreceived</t>
        </is>
      </c>
      <c r="B526" t="inlineStr">
        <is>
          <t>seeds</t>
        </is>
      </c>
      <c r="C526" t="inlineStr">
        <is>
          <t>Seeds</t>
        </is>
      </c>
      <c r="D526" s="230" t="n"/>
    </row>
    <row r="527">
      <c r="A527" t="inlineStr">
        <is>
          <t>needreceived</t>
        </is>
      </c>
      <c r="B527" t="inlineStr">
        <is>
          <t>extensionservices</t>
        </is>
      </c>
      <c r="C527" t="inlineStr">
        <is>
          <t>Extension services</t>
        </is>
      </c>
      <c r="D527" s="230" t="n"/>
    </row>
    <row r="528">
      <c r="A528" t="inlineStr">
        <is>
          <t>needreceived</t>
        </is>
      </c>
      <c r="B528" t="inlineStr">
        <is>
          <t>livestockfeed</t>
        </is>
      </c>
      <c r="C528" t="inlineStr">
        <is>
          <t>Livestock feed</t>
        </is>
      </c>
      <c r="D528" s="230" t="n"/>
    </row>
    <row r="529">
      <c r="A529" t="inlineStr">
        <is>
          <t>needreceived</t>
        </is>
      </c>
      <c r="B529" t="inlineStr">
        <is>
          <t>other</t>
        </is>
      </c>
      <c r="C529" t="inlineStr">
        <is>
          <t>Other [specify]</t>
        </is>
      </c>
      <c r="D529" s="230" t="n"/>
    </row>
    <row r="530">
      <c r="A530" t="inlineStr">
        <is>
          <t>needreceived</t>
        </is>
      </c>
      <c r="B530" t="inlineStr">
        <is>
          <t>noassistreceived</t>
        </is>
      </c>
      <c r="C530" t="inlineStr">
        <is>
          <t>No assistance received</t>
        </is>
      </c>
      <c r="D530" s="230" t="n"/>
    </row>
    <row r="531">
      <c r="A531" t="inlineStr">
        <is>
          <t>needreceived</t>
        </is>
      </c>
      <c r="B531" t="inlineStr">
        <is>
          <t>dk</t>
        </is>
      </c>
      <c r="C531" t="inlineStr">
        <is>
          <t>DON'T KNOW</t>
        </is>
      </c>
      <c r="D531" s="230" t="n"/>
    </row>
    <row r="532">
      <c r="A532" t="inlineStr">
        <is>
          <t>needreceived</t>
        </is>
      </c>
      <c r="B532" t="inlineStr">
        <is>
          <t>ref</t>
        </is>
      </c>
      <c r="C532" t="inlineStr">
        <is>
          <t>REFUSED</t>
        </is>
      </c>
      <c r="D532" s="230" t="n"/>
    </row>
    <row r="533">
      <c r="D533" s="4" t="n"/>
    </row>
    <row r="534">
      <c r="A534" t="inlineStr">
        <is>
          <t>leader</t>
        </is>
      </c>
      <c r="B534" t="n">
        <v>1</v>
      </c>
      <c r="C534" t="inlineStr">
        <is>
          <t>Village/ town administrator</t>
        </is>
      </c>
      <c r="D534" s="230" t="n"/>
    </row>
    <row r="535">
      <c r="A535" t="inlineStr">
        <is>
          <t>leader</t>
        </is>
      </c>
      <c r="B535" t="n">
        <v>2</v>
      </c>
      <c r="C535" t="inlineStr">
        <is>
          <t>Agricultural extension officer</t>
        </is>
      </c>
      <c r="D535" s="230" t="n"/>
    </row>
    <row r="536">
      <c r="A536" t="inlineStr">
        <is>
          <t>leader</t>
        </is>
      </c>
      <c r="B536" t="n">
        <v>3</v>
      </c>
      <c r="C536" t="inlineStr">
        <is>
          <t>Health extension officer</t>
        </is>
      </c>
      <c r="D536" s="230" t="n"/>
    </row>
    <row r="537">
      <c r="A537" t="inlineStr">
        <is>
          <t>leader</t>
        </is>
      </c>
      <c r="B537" t="n">
        <v>4</v>
      </c>
      <c r="C537" t="inlineStr">
        <is>
          <t>Teacher</t>
        </is>
      </c>
      <c r="D537" s="230" t="n"/>
    </row>
    <row r="538">
      <c r="A538" t="inlineStr">
        <is>
          <t>leader</t>
        </is>
      </c>
      <c r="B538" t="n">
        <v>5</v>
      </c>
      <c r="C538" t="inlineStr">
        <is>
          <t>Other (specify)</t>
        </is>
      </c>
      <c r="D538" s="230" t="n"/>
    </row>
    <row r="539">
      <c r="A539" t="inlineStr">
        <is>
          <t>leader</t>
        </is>
      </c>
      <c r="B539" t="n">
        <v>6</v>
      </c>
      <c r="C539" t="inlineStr">
        <is>
          <t>DON'T KNOW</t>
        </is>
      </c>
      <c r="D539" s="230" t="n"/>
    </row>
    <row r="540">
      <c r="A540" t="inlineStr">
        <is>
          <t>leader</t>
        </is>
      </c>
      <c r="B540" t="n">
        <v>7</v>
      </c>
      <c r="C540" t="inlineStr">
        <is>
          <t>REFUSED</t>
        </is>
      </c>
      <c r="D540" s="230" t="n"/>
    </row>
    <row r="541">
      <c r="D541" s="4" t="n"/>
    </row>
    <row r="542">
      <c r="A542" t="inlineStr">
        <is>
          <t>week</t>
        </is>
      </c>
      <c r="B542" t="inlineStr">
        <is>
          <t>mon</t>
        </is>
      </c>
      <c r="C542" t="inlineStr">
        <is>
          <t>Monday</t>
        </is>
      </c>
      <c r="D542" s="230" t="n"/>
    </row>
    <row r="543">
      <c r="A543" t="inlineStr">
        <is>
          <t>week</t>
        </is>
      </c>
      <c r="B543" t="inlineStr">
        <is>
          <t>tues</t>
        </is>
      </c>
      <c r="C543" t="inlineStr">
        <is>
          <t>Tuesday</t>
        </is>
      </c>
      <c r="D543" s="230" t="n"/>
    </row>
    <row r="544">
      <c r="A544" t="inlineStr">
        <is>
          <t>week</t>
        </is>
      </c>
      <c r="B544" t="inlineStr">
        <is>
          <t>wed</t>
        </is>
      </c>
      <c r="C544" t="inlineStr">
        <is>
          <t>Wednesday</t>
        </is>
      </c>
      <c r="D544" s="230" t="n"/>
    </row>
    <row r="545">
      <c r="A545" t="inlineStr">
        <is>
          <t>week</t>
        </is>
      </c>
      <c r="B545" t="inlineStr">
        <is>
          <t>thurs</t>
        </is>
      </c>
      <c r="C545" t="inlineStr">
        <is>
          <t>Thursday</t>
        </is>
      </c>
      <c r="D545" s="230" t="n"/>
    </row>
    <row r="546">
      <c r="A546" t="inlineStr">
        <is>
          <t>week</t>
        </is>
      </c>
      <c r="B546" t="inlineStr">
        <is>
          <t>fri</t>
        </is>
      </c>
      <c r="C546" t="inlineStr">
        <is>
          <t>Friday</t>
        </is>
      </c>
      <c r="D546" s="230" t="n"/>
    </row>
    <row r="547">
      <c r="A547" t="inlineStr">
        <is>
          <t>week</t>
        </is>
      </c>
      <c r="B547" t="inlineStr">
        <is>
          <t>sat</t>
        </is>
      </c>
      <c r="C547" t="inlineStr">
        <is>
          <t>Saturday</t>
        </is>
      </c>
      <c r="D547" s="230" t="n"/>
    </row>
    <row r="548">
      <c r="A548" t="inlineStr">
        <is>
          <t>week</t>
        </is>
      </c>
      <c r="B548" t="inlineStr">
        <is>
          <t>sun</t>
        </is>
      </c>
      <c r="C548" t="inlineStr">
        <is>
          <t>Sunday</t>
        </is>
      </c>
      <c r="D548" s="230" t="n"/>
    </row>
    <row r="549">
      <c r="D549" s="4" t="n"/>
    </row>
    <row r="550">
      <c r="A550" t="inlineStr">
        <is>
          <t>time</t>
        </is>
      </c>
      <c r="B550" t="inlineStr">
        <is>
          <t>morn</t>
        </is>
      </c>
      <c r="C550" t="inlineStr">
        <is>
          <t>Mornings</t>
        </is>
      </c>
      <c r="D550" s="230" t="n"/>
    </row>
    <row r="551">
      <c r="A551" t="inlineStr">
        <is>
          <t>time</t>
        </is>
      </c>
      <c r="B551" t="inlineStr">
        <is>
          <t>aft</t>
        </is>
      </c>
      <c r="C551" t="inlineStr">
        <is>
          <t>Afternoons</t>
        </is>
      </c>
      <c r="D551" s="230" t="n"/>
    </row>
    <row r="552">
      <c r="A552" t="inlineStr">
        <is>
          <t>time</t>
        </is>
      </c>
      <c r="B552" t="inlineStr">
        <is>
          <t>eve</t>
        </is>
      </c>
      <c r="C552" t="inlineStr">
        <is>
          <t>Evenings</t>
        </is>
      </c>
      <c r="D552" s="230" t="n"/>
    </row>
    <row r="553">
      <c r="D553" s="4" t="n"/>
    </row>
    <row r="554"/>
    <row r="555">
      <c r="A555" t="inlineStr">
        <is>
          <t>crop</t>
        </is>
      </c>
      <c r="B555" t="inlineStr">
        <is>
          <t>1.2</t>
        </is>
      </c>
      <c r="C555" t="inlineStr">
        <is>
          <t>Wheat</t>
        </is>
      </c>
      <c r="D555" s="230" t="n"/>
    </row>
    <row r="556">
      <c r="A556" t="inlineStr">
        <is>
          <t>crop</t>
        </is>
      </c>
      <c r="B556" t="inlineStr">
        <is>
          <t>1.5</t>
        </is>
      </c>
      <c r="C556" t="inlineStr">
        <is>
          <t>Maize</t>
        </is>
      </c>
      <c r="D556" s="230" t="n"/>
    </row>
    <row r="557">
      <c r="A557" t="inlineStr">
        <is>
          <t>crop</t>
        </is>
      </c>
      <c r="B557" t="inlineStr">
        <is>
          <t>1.6</t>
        </is>
      </c>
      <c r="C557" t="inlineStr">
        <is>
          <t>Barley</t>
        </is>
      </c>
    </row>
    <row r="558">
      <c r="A558" t="inlineStr">
        <is>
          <t>crop</t>
        </is>
      </c>
      <c r="B558" t="inlineStr">
        <is>
          <t>3.1</t>
        </is>
      </c>
      <c r="C558" t="inlineStr">
        <is>
          <t>Beans</t>
        </is>
      </c>
    </row>
    <row r="559">
      <c r="A559" t="inlineStr">
        <is>
          <t>crop</t>
        </is>
      </c>
      <c r="B559" t="inlineStr">
        <is>
          <t>5.1</t>
        </is>
      </c>
      <c r="C559" t="inlineStr">
        <is>
          <t>Tomatoes</t>
        </is>
      </c>
    </row>
    <row r="560">
      <c r="A560" t="inlineStr">
        <is>
          <t>crop</t>
        </is>
      </c>
      <c r="B560" t="inlineStr">
        <is>
          <t>5.4</t>
        </is>
      </c>
      <c r="C560" t="inlineStr">
        <is>
          <t>Eggplant/aubergine</t>
        </is>
      </c>
    </row>
    <row r="561">
      <c r="A561" t="inlineStr">
        <is>
          <t>crop</t>
        </is>
      </c>
      <c r="B561" t="inlineStr">
        <is>
          <t>5.6</t>
        </is>
      </c>
      <c r="C561" t="inlineStr">
        <is>
          <t>Okra</t>
        </is>
      </c>
    </row>
    <row r="562">
      <c r="A562" t="inlineStr">
        <is>
          <t>crop</t>
        </is>
      </c>
      <c r="B562" t="inlineStr">
        <is>
          <t>7.14</t>
        </is>
      </c>
      <c r="C562" t="inlineStr">
        <is>
          <t>Apricot</t>
        </is>
      </c>
    </row>
    <row r="563">
      <c r="A563" t="inlineStr">
        <is>
          <t>crop</t>
        </is>
      </c>
      <c r="B563" t="inlineStr">
        <is>
          <t>7.15</t>
        </is>
      </c>
      <c r="C563" t="inlineStr">
        <is>
          <t>Cherries</t>
        </is>
      </c>
    </row>
    <row r="564">
      <c r="A564" t="inlineStr">
        <is>
          <t>crop</t>
        </is>
      </c>
      <c r="B564" t="inlineStr">
        <is>
          <t>7.8</t>
        </is>
      </c>
      <c r="C564" t="inlineStr">
        <is>
          <t>Water Melon</t>
        </is>
      </c>
    </row>
    <row r="565">
      <c r="A565" t="inlineStr">
        <is>
          <t>crop</t>
        </is>
      </c>
      <c r="B565" t="inlineStr">
        <is>
          <t>1.1</t>
        </is>
      </c>
      <c r="C565" t="inlineStr">
        <is>
          <t>Rice</t>
        </is>
      </c>
      <c r="D565" s="230" t="n"/>
    </row>
    <row r="566">
      <c r="A566" t="inlineStr">
        <is>
          <t>crop</t>
        </is>
      </c>
      <c r="B566" t="inlineStr">
        <is>
          <t>1.3</t>
        </is>
      </c>
      <c r="C566" t="inlineStr">
        <is>
          <t>Millet</t>
        </is>
      </c>
      <c r="D566" s="230" t="n"/>
    </row>
    <row r="567">
      <c r="A567" t="inlineStr">
        <is>
          <t>crop</t>
        </is>
      </c>
      <c r="B567" t="inlineStr">
        <is>
          <t>1.4</t>
        </is>
      </c>
      <c r="C567" t="inlineStr">
        <is>
          <t>Sorghum</t>
        </is>
      </c>
      <c r="D567" s="230" t="n"/>
    </row>
    <row r="568">
      <c r="A568" t="inlineStr">
        <is>
          <t>crop</t>
        </is>
      </c>
      <c r="B568" t="inlineStr">
        <is>
          <t>1.99</t>
        </is>
      </c>
      <c r="C568" t="inlineStr">
        <is>
          <t>Other Cereal</t>
        </is>
      </c>
      <c r="D568" s="230" t="n"/>
    </row>
    <row r="569">
      <c r="A569" t="inlineStr">
        <is>
          <t>crop</t>
        </is>
      </c>
      <c r="B569" t="inlineStr">
        <is>
          <t>2.1</t>
        </is>
      </c>
      <c r="C569" t="inlineStr">
        <is>
          <t>Cassava</t>
        </is>
      </c>
      <c r="D569" s="230" t="n"/>
    </row>
    <row r="570">
      <c r="A570" t="inlineStr">
        <is>
          <t>crop</t>
        </is>
      </c>
      <c r="B570" t="inlineStr">
        <is>
          <t>2.2</t>
        </is>
      </c>
      <c r="C570" t="inlineStr">
        <is>
          <t>Potatoe</t>
        </is>
      </c>
      <c r="D570" s="230" t="n"/>
    </row>
    <row r="571">
      <c r="A571" t="inlineStr">
        <is>
          <t>crop</t>
        </is>
      </c>
      <c r="B571" t="inlineStr">
        <is>
          <t>2.3</t>
        </is>
      </c>
      <c r="C571" t="inlineStr">
        <is>
          <t>Sweet Potatoes</t>
        </is>
      </c>
      <c r="D571" s="230" t="n"/>
    </row>
    <row r="572">
      <c r="A572" t="inlineStr">
        <is>
          <t>crop</t>
        </is>
      </c>
      <c r="B572" t="inlineStr">
        <is>
          <t>2.4</t>
        </is>
      </c>
      <c r="C572" t="inlineStr">
        <is>
          <t>Yams</t>
        </is>
      </c>
      <c r="D572" s="230" t="n"/>
    </row>
    <row r="573">
      <c r="A573" t="inlineStr">
        <is>
          <t>crop</t>
        </is>
      </c>
      <c r="B573" t="inlineStr">
        <is>
          <t>2.5</t>
        </is>
      </c>
      <c r="C573" t="inlineStr">
        <is>
          <t>Carrots</t>
        </is>
      </c>
      <c r="D573" s="230" t="n"/>
    </row>
    <row r="574">
      <c r="A574" t="inlineStr">
        <is>
          <t>crop</t>
        </is>
      </c>
      <c r="B574" t="inlineStr">
        <is>
          <t>2.6</t>
        </is>
      </c>
      <c r="C574" t="inlineStr">
        <is>
          <t>Cocoyam</t>
        </is>
      </c>
      <c r="D574" s="230" t="n"/>
    </row>
    <row r="575">
      <c r="A575" t="inlineStr">
        <is>
          <t>crop</t>
        </is>
      </c>
      <c r="B575" t="inlineStr">
        <is>
          <t>2.99</t>
        </is>
      </c>
      <c r="C575" t="inlineStr">
        <is>
          <t>Other tubers</t>
        </is>
      </c>
      <c r="D575" s="230" t="n"/>
    </row>
    <row r="576">
      <c r="A576" t="inlineStr">
        <is>
          <t>crop</t>
        </is>
      </c>
      <c r="B576" t="inlineStr">
        <is>
          <t>3.2</t>
        </is>
      </c>
      <c r="C576" t="inlineStr">
        <is>
          <t>Lentils</t>
        </is>
      </c>
      <c r="D576" s="230" t="n"/>
    </row>
    <row r="577">
      <c r="A577" t="inlineStr">
        <is>
          <t>crop</t>
        </is>
      </c>
      <c r="B577" t="inlineStr">
        <is>
          <t>3.3</t>
        </is>
      </c>
      <c r="C577" t="inlineStr">
        <is>
          <t>Peas</t>
        </is>
      </c>
      <c r="D577" s="230" t="n"/>
    </row>
    <row r="578">
      <c r="A578" t="inlineStr">
        <is>
          <t>crop</t>
        </is>
      </c>
      <c r="B578" t="inlineStr">
        <is>
          <t>3.4</t>
        </is>
      </c>
      <c r="C578" t="inlineStr">
        <is>
          <t>Soybeans</t>
        </is>
      </c>
      <c r="D578" s="230" t="n"/>
    </row>
    <row r="579">
      <c r="A579" t="inlineStr">
        <is>
          <t>crop</t>
        </is>
      </c>
      <c r="B579" t="inlineStr">
        <is>
          <t>3.5</t>
        </is>
      </c>
      <c r="C579" t="inlineStr">
        <is>
          <t>Chickpeas</t>
        </is>
      </c>
      <c r="D579" s="230" t="n"/>
    </row>
    <row r="580">
      <c r="A580" t="inlineStr">
        <is>
          <t>crop</t>
        </is>
      </c>
      <c r="B580" t="inlineStr">
        <is>
          <t>3.6</t>
        </is>
      </c>
      <c r="C580" t="inlineStr">
        <is>
          <t>Fava beans</t>
        </is>
      </c>
      <c r="D580" s="230" t="n"/>
    </row>
    <row r="581">
      <c r="A581" t="inlineStr">
        <is>
          <t>crop</t>
        </is>
      </c>
      <c r="B581" t="inlineStr">
        <is>
          <t>3.7</t>
        </is>
      </c>
      <c r="C581" t="inlineStr">
        <is>
          <t>Broad beans</t>
        </is>
      </c>
      <c r="D581" s="230" t="n"/>
    </row>
    <row r="582">
      <c r="A582" t="inlineStr">
        <is>
          <t>crop</t>
        </is>
      </c>
      <c r="B582" t="inlineStr">
        <is>
          <t>3.99</t>
        </is>
      </c>
      <c r="C582" t="inlineStr">
        <is>
          <t>Other pulses</t>
        </is>
      </c>
      <c r="D582" s="230" t="n"/>
    </row>
    <row r="583">
      <c r="A583" t="inlineStr">
        <is>
          <t>crop</t>
        </is>
      </c>
      <c r="B583" t="inlineStr">
        <is>
          <t>4.1</t>
        </is>
      </c>
      <c r="C583" t="inlineStr">
        <is>
          <t>Cabbage</t>
        </is>
      </c>
      <c r="D583" s="230" t="n"/>
    </row>
    <row r="584">
      <c r="A584" t="inlineStr">
        <is>
          <t>crop</t>
        </is>
      </c>
      <c r="B584" t="inlineStr">
        <is>
          <t>4.101</t>
        </is>
      </c>
      <c r="C584" t="inlineStr">
        <is>
          <t>Cauliflower</t>
        </is>
      </c>
      <c r="D584" s="230" t="n"/>
    </row>
    <row r="585">
      <c r="A585" t="inlineStr">
        <is>
          <t>crop</t>
        </is>
      </c>
      <c r="B585" t="inlineStr">
        <is>
          <t>4.2</t>
        </is>
      </c>
      <c r="C585" t="inlineStr">
        <is>
          <t>Lettuce</t>
        </is>
      </c>
      <c r="D585" s="230" t="n"/>
    </row>
    <row r="586">
      <c r="A586" t="inlineStr">
        <is>
          <t>crop</t>
        </is>
      </c>
      <c r="B586" t="inlineStr">
        <is>
          <t>4.3</t>
        </is>
      </c>
      <c r="C586" t="inlineStr">
        <is>
          <t>Spinach-Amaranth</t>
        </is>
      </c>
      <c r="D586" s="230" t="n"/>
    </row>
    <row r="587">
      <c r="A587" t="inlineStr">
        <is>
          <t>crop</t>
        </is>
      </c>
      <c r="B587" t="inlineStr">
        <is>
          <t>4.4</t>
        </is>
      </c>
      <c r="C587" t="inlineStr">
        <is>
          <t>Cassava leaves</t>
        </is>
      </c>
      <c r="D587" s="230" t="n"/>
    </row>
    <row r="588">
      <c r="A588" t="inlineStr">
        <is>
          <t>crop</t>
        </is>
      </c>
      <c r="B588" t="inlineStr">
        <is>
          <t>4.5</t>
        </is>
      </c>
      <c r="C588" t="inlineStr">
        <is>
          <t>Potatoe leaves</t>
        </is>
      </c>
      <c r="D588" s="230" t="n"/>
    </row>
    <row r="589">
      <c r="A589" t="inlineStr">
        <is>
          <t>crop</t>
        </is>
      </c>
      <c r="B589" t="inlineStr">
        <is>
          <t>4.6</t>
        </is>
      </c>
      <c r="C589" t="inlineStr">
        <is>
          <t>Moringa</t>
        </is>
      </c>
      <c r="D589" s="230" t="n"/>
    </row>
    <row r="590">
      <c r="A590" t="inlineStr">
        <is>
          <t>crop</t>
        </is>
      </c>
      <c r="B590" t="inlineStr">
        <is>
          <t>4.7</t>
        </is>
      </c>
      <c r="C590" t="inlineStr">
        <is>
          <t>Sorrel Hibiscus / Rosselle</t>
        </is>
      </c>
    </row>
    <row r="591">
      <c r="A591" t="inlineStr">
        <is>
          <t>crop</t>
        </is>
      </c>
      <c r="B591" t="inlineStr">
        <is>
          <t>4.9</t>
        </is>
      </c>
      <c r="C591" t="inlineStr">
        <is>
          <t>Green salad herbs (thyme, parsley, mint, rocca, other)</t>
        </is>
      </c>
    </row>
    <row r="592">
      <c r="A592" t="inlineStr">
        <is>
          <t>crop</t>
        </is>
      </c>
      <c r="B592" t="inlineStr">
        <is>
          <t>4.99</t>
        </is>
      </c>
      <c r="C592" t="inlineStr">
        <is>
          <t>Other leafy vegetables</t>
        </is>
      </c>
      <c r="D592" s="230" t="n"/>
    </row>
    <row r="593">
      <c r="A593" t="inlineStr">
        <is>
          <t>crop</t>
        </is>
      </c>
      <c r="B593" t="inlineStr">
        <is>
          <t>5.101</t>
        </is>
      </c>
      <c r="C593" t="inlineStr">
        <is>
          <t>Green peas</t>
        </is>
      </c>
    </row>
    <row r="594">
      <c r="A594" t="inlineStr">
        <is>
          <t>crop</t>
        </is>
      </c>
      <c r="B594" t="inlineStr">
        <is>
          <t>5.11</t>
        </is>
      </c>
      <c r="C594" t="inlineStr">
        <is>
          <t>Fava beans green</t>
        </is>
      </c>
      <c r="D594" s="230" t="n"/>
    </row>
    <row r="595">
      <c r="A595" t="inlineStr">
        <is>
          <t>crop</t>
        </is>
      </c>
      <c r="B595" t="inlineStr">
        <is>
          <t>5.2</t>
        </is>
      </c>
      <c r="C595" t="inlineStr">
        <is>
          <t>Cucumber</t>
        </is>
      </c>
      <c r="D595" s="230" t="n"/>
    </row>
    <row r="596">
      <c r="A596" t="inlineStr">
        <is>
          <t>crop</t>
        </is>
      </c>
      <c r="B596" t="inlineStr">
        <is>
          <t>5.3</t>
        </is>
      </c>
      <c r="C596" t="inlineStr">
        <is>
          <t>Pumpkin</t>
        </is>
      </c>
      <c r="D596" s="230" t="n"/>
    </row>
    <row r="597">
      <c r="A597" t="inlineStr">
        <is>
          <t>crop</t>
        </is>
      </c>
      <c r="B597" t="inlineStr">
        <is>
          <t>5.5</t>
        </is>
      </c>
      <c r="C597" t="inlineStr">
        <is>
          <t>Zucchini</t>
        </is>
      </c>
    </row>
    <row r="598">
      <c r="A598" t="inlineStr">
        <is>
          <t>crop</t>
        </is>
      </c>
      <c r="B598" t="inlineStr">
        <is>
          <t>5.7</t>
        </is>
      </c>
      <c r="C598" t="inlineStr">
        <is>
          <t>Bell pepper</t>
        </is>
      </c>
    </row>
    <row r="599">
      <c r="A599" t="inlineStr">
        <is>
          <t>crop</t>
        </is>
      </c>
      <c r="B599" t="inlineStr">
        <is>
          <t>5.8</t>
        </is>
      </c>
      <c r="C599" t="inlineStr">
        <is>
          <t>Onions</t>
        </is>
      </c>
    </row>
    <row r="600">
      <c r="A600" t="inlineStr">
        <is>
          <t>crop</t>
        </is>
      </c>
      <c r="B600" t="inlineStr">
        <is>
          <t>5.9</t>
        </is>
      </c>
      <c r="C600" t="inlineStr">
        <is>
          <t>Haricot</t>
        </is>
      </c>
    </row>
    <row r="601">
      <c r="A601" t="inlineStr">
        <is>
          <t>crop</t>
        </is>
      </c>
      <c r="B601" t="inlineStr">
        <is>
          <t>5.99</t>
        </is>
      </c>
      <c r="C601" t="inlineStr">
        <is>
          <t>Other non leafy vegs</t>
        </is>
      </c>
      <c r="D601" s="230" t="n"/>
    </row>
    <row r="602">
      <c r="A602" t="inlineStr">
        <is>
          <t>crop</t>
        </is>
      </c>
      <c r="B602" t="inlineStr">
        <is>
          <t>6.1</t>
        </is>
      </c>
      <c r="C602" t="inlineStr">
        <is>
          <t>Orange</t>
        </is>
      </c>
    </row>
    <row r="603">
      <c r="A603" t="inlineStr">
        <is>
          <t>crop</t>
        </is>
      </c>
      <c r="B603" t="inlineStr">
        <is>
          <t>6.2</t>
        </is>
      </c>
      <c r="C603" t="inlineStr">
        <is>
          <t>Lemon</t>
        </is>
      </c>
    </row>
    <row r="604">
      <c r="A604" t="inlineStr">
        <is>
          <t>crop</t>
        </is>
      </c>
      <c r="B604" t="inlineStr">
        <is>
          <t>6.3</t>
        </is>
      </c>
      <c r="C604" t="inlineStr">
        <is>
          <t>Grapefruit</t>
        </is>
      </c>
    </row>
    <row r="605">
      <c r="A605" t="inlineStr">
        <is>
          <t>crop</t>
        </is>
      </c>
      <c r="B605" t="inlineStr">
        <is>
          <t>6.4</t>
        </is>
      </c>
      <c r="C605" t="inlineStr">
        <is>
          <t>Mandarins/clementines</t>
        </is>
      </c>
      <c r="D605" s="230" t="n"/>
    </row>
    <row r="606">
      <c r="A606" t="inlineStr">
        <is>
          <t>crop</t>
        </is>
      </c>
      <c r="B606" t="inlineStr">
        <is>
          <t>6.99</t>
        </is>
      </c>
      <c r="C606" t="inlineStr">
        <is>
          <t>Other citrus fruit</t>
        </is>
      </c>
      <c r="D606" s="230" t="n"/>
    </row>
    <row r="607">
      <c r="A607" t="inlineStr">
        <is>
          <t>crop</t>
        </is>
      </c>
      <c r="B607" t="inlineStr">
        <is>
          <t>7.1</t>
        </is>
      </c>
      <c r="C607" t="inlineStr">
        <is>
          <t>Sweet Banana</t>
        </is>
      </c>
      <c r="D607" s="230" t="n"/>
    </row>
    <row r="608">
      <c r="A608" t="inlineStr">
        <is>
          <t>crop</t>
        </is>
      </c>
      <c r="B608" t="inlineStr">
        <is>
          <t>7.101</t>
        </is>
      </c>
      <c r="C608" t="inlineStr">
        <is>
          <t>Figs</t>
        </is>
      </c>
      <c r="D608" s="230" t="n"/>
    </row>
    <row r="609">
      <c r="A609" t="inlineStr">
        <is>
          <t>crop</t>
        </is>
      </c>
      <c r="B609" t="inlineStr">
        <is>
          <t>7.11</t>
        </is>
      </c>
      <c r="C609" t="inlineStr">
        <is>
          <t>Grapes</t>
        </is>
      </c>
      <c r="D609" s="230" t="n"/>
    </row>
    <row r="610">
      <c r="A610" t="inlineStr">
        <is>
          <t>crop</t>
        </is>
      </c>
      <c r="B610" t="inlineStr">
        <is>
          <t>7.12</t>
        </is>
      </c>
      <c r="C610" t="inlineStr">
        <is>
          <t>Olives</t>
        </is>
      </c>
      <c r="D610" s="230" t="n"/>
    </row>
    <row r="611">
      <c r="A611" t="inlineStr">
        <is>
          <t>crop</t>
        </is>
      </c>
      <c r="B611" t="inlineStr">
        <is>
          <t>7.13</t>
        </is>
      </c>
      <c r="C611" t="inlineStr">
        <is>
          <t>Apple</t>
        </is>
      </c>
      <c r="D611" s="230" t="n"/>
    </row>
    <row r="612">
      <c r="A612" t="inlineStr">
        <is>
          <t>crop</t>
        </is>
      </c>
      <c r="B612" t="inlineStr">
        <is>
          <t>7.16</t>
        </is>
      </c>
      <c r="C612" t="inlineStr">
        <is>
          <t>Peach/nectarine</t>
        </is>
      </c>
      <c r="D612" s="230" t="n"/>
    </row>
    <row r="613">
      <c r="A613" t="inlineStr">
        <is>
          <t>crop</t>
        </is>
      </c>
      <c r="B613" t="inlineStr">
        <is>
          <t>7.17</t>
        </is>
      </c>
      <c r="C613" t="inlineStr">
        <is>
          <t>Strawberries</t>
        </is>
      </c>
      <c r="D613" s="230" t="n"/>
    </row>
    <row r="614">
      <c r="A614" t="inlineStr">
        <is>
          <t>crop</t>
        </is>
      </c>
      <c r="B614" t="inlineStr">
        <is>
          <t>7.18</t>
        </is>
      </c>
      <c r="C614" t="inlineStr">
        <is>
          <t>Melon (Cantaloupe)</t>
        </is>
      </c>
      <c r="D614" s="230" t="n"/>
    </row>
    <row r="615">
      <c r="A615" t="inlineStr">
        <is>
          <t>crop</t>
        </is>
      </c>
      <c r="B615" t="inlineStr">
        <is>
          <t>7.2</t>
        </is>
      </c>
      <c r="C615" t="inlineStr">
        <is>
          <t>Plantains</t>
        </is>
      </c>
      <c r="D615" s="230" t="n"/>
    </row>
    <row r="616">
      <c r="A616" t="inlineStr">
        <is>
          <t>crop</t>
        </is>
      </c>
      <c r="B616" t="inlineStr">
        <is>
          <t>7.3</t>
        </is>
      </c>
      <c r="C616" t="inlineStr">
        <is>
          <t>Papaya</t>
        </is>
      </c>
      <c r="D616" s="230" t="n"/>
    </row>
    <row r="617">
      <c r="A617" t="inlineStr">
        <is>
          <t>crop</t>
        </is>
      </c>
      <c r="B617" t="inlineStr">
        <is>
          <t>7.4</t>
        </is>
      </c>
      <c r="C617" t="inlineStr">
        <is>
          <t>Mango</t>
        </is>
      </c>
      <c r="D617" s="230" t="n"/>
    </row>
    <row r="618">
      <c r="A618" t="inlineStr">
        <is>
          <t>crop</t>
        </is>
      </c>
      <c r="B618" t="inlineStr">
        <is>
          <t>7.5</t>
        </is>
      </c>
      <c r="C618" t="inlineStr">
        <is>
          <t>Guava</t>
        </is>
      </c>
      <c r="D618" s="230" t="n"/>
    </row>
    <row r="619">
      <c r="A619" t="inlineStr">
        <is>
          <t>crop</t>
        </is>
      </c>
      <c r="B619" t="inlineStr">
        <is>
          <t>7.6</t>
        </is>
      </c>
      <c r="C619" t="inlineStr">
        <is>
          <t>Pineapple</t>
        </is>
      </c>
      <c r="D619" s="230" t="n"/>
    </row>
    <row r="620">
      <c r="A620" t="inlineStr">
        <is>
          <t>crop</t>
        </is>
      </c>
      <c r="B620" t="inlineStr">
        <is>
          <t>7.7</t>
        </is>
      </c>
      <c r="C620" t="inlineStr">
        <is>
          <t>Avocado</t>
        </is>
      </c>
      <c r="D620" s="230" t="n"/>
    </row>
    <row r="621">
      <c r="A621" t="inlineStr">
        <is>
          <t>crop</t>
        </is>
      </c>
      <c r="B621" t="inlineStr">
        <is>
          <t>7.9</t>
        </is>
      </c>
      <c r="C621" t="inlineStr">
        <is>
          <t>Dates</t>
        </is>
      </c>
      <c r="D621" s="230" t="n"/>
    </row>
    <row r="622">
      <c r="A622" t="inlineStr">
        <is>
          <t>crop</t>
        </is>
      </c>
      <c r="B622" t="inlineStr">
        <is>
          <t>7.99</t>
        </is>
      </c>
      <c r="C622" t="inlineStr">
        <is>
          <t>Other fruit</t>
        </is>
      </c>
      <c r="D622" s="230" t="n"/>
    </row>
    <row r="623">
      <c r="A623" t="inlineStr">
        <is>
          <t>crop</t>
        </is>
      </c>
      <c r="B623" t="inlineStr">
        <is>
          <t>8.1</t>
        </is>
      </c>
      <c r="C623" t="inlineStr">
        <is>
          <t>Coconuts</t>
        </is>
      </c>
      <c r="D623" s="230" t="n"/>
    </row>
    <row r="624">
      <c r="A624" t="inlineStr">
        <is>
          <t>crop</t>
        </is>
      </c>
      <c r="B624" t="inlineStr">
        <is>
          <t>8.2</t>
        </is>
      </c>
      <c r="C624" t="inlineStr">
        <is>
          <t>Groundnut/peanut</t>
        </is>
      </c>
      <c r="D624" s="230" t="n"/>
    </row>
    <row r="625">
      <c r="A625" t="inlineStr">
        <is>
          <t>crop</t>
        </is>
      </c>
      <c r="B625" t="inlineStr">
        <is>
          <t>8.3</t>
        </is>
      </c>
      <c r="C625" t="inlineStr">
        <is>
          <t>Cashew Nut</t>
        </is>
      </c>
      <c r="D625" s="230" t="n"/>
    </row>
    <row r="626">
      <c r="A626" t="inlineStr">
        <is>
          <t>crop</t>
        </is>
      </c>
      <c r="B626" t="inlineStr">
        <is>
          <t>8.4</t>
        </is>
      </c>
      <c r="C626" t="inlineStr">
        <is>
          <t>Kola Nut</t>
        </is>
      </c>
      <c r="D626" s="230" t="n"/>
    </row>
    <row r="627">
      <c r="A627" t="inlineStr">
        <is>
          <t>crop</t>
        </is>
      </c>
      <c r="B627" t="inlineStr">
        <is>
          <t>8.5</t>
        </is>
      </c>
      <c r="C627" t="inlineStr">
        <is>
          <t>Sesame</t>
        </is>
      </c>
      <c r="D627" s="230" t="n"/>
    </row>
    <row r="628">
      <c r="A628" t="inlineStr">
        <is>
          <t>crop</t>
        </is>
      </c>
      <c r="B628" t="inlineStr">
        <is>
          <t>8.6</t>
        </is>
      </c>
      <c r="C628" t="inlineStr">
        <is>
          <t>Bambara nut</t>
        </is>
      </c>
      <c r="D628" s="230" t="n"/>
    </row>
    <row r="629">
      <c r="A629" t="inlineStr">
        <is>
          <t>crop</t>
        </is>
      </c>
      <c r="B629" t="inlineStr">
        <is>
          <t>8.7</t>
        </is>
      </c>
      <c r="C629" t="inlineStr">
        <is>
          <t>Almond</t>
        </is>
      </c>
      <c r="D629" s="230" t="n"/>
    </row>
    <row r="630">
      <c r="A630" t="inlineStr">
        <is>
          <t>crop</t>
        </is>
      </c>
      <c r="B630" t="inlineStr">
        <is>
          <t>8.8</t>
        </is>
      </c>
      <c r="C630" t="inlineStr">
        <is>
          <t>Walnut</t>
        </is>
      </c>
      <c r="D630" s="230" t="n"/>
    </row>
    <row r="631">
      <c r="A631" t="inlineStr">
        <is>
          <t>crop</t>
        </is>
      </c>
      <c r="B631" t="inlineStr">
        <is>
          <t>8.99</t>
        </is>
      </c>
      <c r="C631" t="inlineStr">
        <is>
          <t>Other nuts</t>
        </is>
      </c>
      <c r="D631" s="230" t="n"/>
    </row>
    <row r="632">
      <c r="A632" t="inlineStr">
        <is>
          <t>crop</t>
        </is>
      </c>
      <c r="B632" t="inlineStr">
        <is>
          <t>9.1</t>
        </is>
      </c>
      <c r="C632" t="inlineStr">
        <is>
          <t>Cocoa</t>
        </is>
      </c>
      <c r="D632" s="230" t="n"/>
    </row>
    <row r="633">
      <c r="A633" t="inlineStr">
        <is>
          <t>crop</t>
        </is>
      </c>
      <c r="B633" t="inlineStr">
        <is>
          <t>9.2</t>
        </is>
      </c>
      <c r="C633" t="inlineStr">
        <is>
          <t>Coffee</t>
        </is>
      </c>
      <c r="D633" s="230" t="n"/>
    </row>
    <row r="634">
      <c r="A634" t="inlineStr">
        <is>
          <t>crop</t>
        </is>
      </c>
      <c r="B634" t="inlineStr">
        <is>
          <t>9.3</t>
        </is>
      </c>
      <c r="C634" t="inlineStr">
        <is>
          <t>Tea</t>
        </is>
      </c>
      <c r="D634" s="230" t="n"/>
    </row>
    <row r="635">
      <c r="A635" t="inlineStr">
        <is>
          <t>crop</t>
        </is>
      </c>
      <c r="B635" t="inlineStr">
        <is>
          <t>9.4</t>
        </is>
      </c>
      <c r="C635" t="inlineStr">
        <is>
          <t>Sugarcane</t>
        </is>
      </c>
      <c r="D635" s="230" t="n"/>
    </row>
    <row r="636">
      <c r="A636" t="inlineStr">
        <is>
          <t>crop</t>
        </is>
      </c>
      <c r="B636" t="inlineStr">
        <is>
          <t>9.5</t>
        </is>
      </c>
      <c r="C636" t="inlineStr">
        <is>
          <t>Sunflower</t>
        </is>
      </c>
      <c r="D636" s="230" t="n"/>
    </row>
    <row r="637">
      <c r="A637" t="inlineStr">
        <is>
          <t>crop</t>
        </is>
      </c>
      <c r="B637" t="inlineStr">
        <is>
          <t>9.99</t>
        </is>
      </c>
      <c r="C637" t="inlineStr">
        <is>
          <t>Other food cash crop</t>
        </is>
      </c>
      <c r="D637" s="230" t="n"/>
    </row>
    <row r="638">
      <c r="A638" t="inlineStr">
        <is>
          <t>crop</t>
        </is>
      </c>
      <c r="B638" t="inlineStr">
        <is>
          <t>10.1</t>
        </is>
      </c>
      <c r="C638" t="inlineStr">
        <is>
          <t>Cotton</t>
        </is>
      </c>
      <c r="D638" s="230" t="n"/>
    </row>
    <row r="639">
      <c r="A639" t="inlineStr">
        <is>
          <t>crop</t>
        </is>
      </c>
      <c r="B639" t="inlineStr">
        <is>
          <t>10.2</t>
        </is>
      </c>
      <c r="C639" t="inlineStr">
        <is>
          <t>Rubber</t>
        </is>
      </c>
      <c r="D639" s="230" t="n"/>
    </row>
    <row r="640">
      <c r="A640" t="inlineStr">
        <is>
          <t>crop</t>
        </is>
      </c>
      <c r="B640" t="inlineStr">
        <is>
          <t>10.3</t>
        </is>
      </c>
      <c r="C640" t="inlineStr">
        <is>
          <t>Jute</t>
        </is>
      </c>
      <c r="D640" s="230" t="n"/>
    </row>
    <row r="641">
      <c r="A641" t="inlineStr">
        <is>
          <t>crop</t>
        </is>
      </c>
      <c r="B641" t="inlineStr">
        <is>
          <t>10.4</t>
        </is>
      </c>
      <c r="C641" t="inlineStr">
        <is>
          <t>Fodder</t>
        </is>
      </c>
      <c r="D641" s="230" t="n"/>
    </row>
    <row r="642">
      <c r="A642" t="inlineStr">
        <is>
          <t>crop</t>
        </is>
      </c>
      <c r="B642" t="inlineStr">
        <is>
          <t>10.5</t>
        </is>
      </c>
      <c r="C642" t="inlineStr">
        <is>
          <t>Tobacco</t>
        </is>
      </c>
      <c r="D642" s="230" t="n"/>
    </row>
    <row r="643">
      <c r="A643" t="inlineStr">
        <is>
          <t>crop</t>
        </is>
      </c>
      <c r="B643" t="inlineStr">
        <is>
          <t>10.6</t>
        </is>
      </c>
      <c r="C643" t="inlineStr">
        <is>
          <t>Qat</t>
        </is>
      </c>
      <c r="D643" s="230" t="n"/>
    </row>
    <row r="644">
      <c r="A644" t="inlineStr">
        <is>
          <t>crop</t>
        </is>
      </c>
      <c r="B644" t="inlineStr">
        <is>
          <t>10.99</t>
        </is>
      </c>
      <c r="C644" t="inlineStr">
        <is>
          <t>Other non-food cash crop</t>
        </is>
      </c>
      <c r="D644" s="230" t="n"/>
    </row>
    <row r="645">
      <c r="A645" t="inlineStr">
        <is>
          <t>crop</t>
        </is>
      </c>
      <c r="B645" t="inlineStr">
        <is>
          <t>777</t>
        </is>
      </c>
      <c r="C645" t="inlineStr">
        <is>
          <t>No crop production</t>
        </is>
      </c>
      <c r="D645" s="230" t="n"/>
    </row>
    <row r="646">
      <c r="A646" t="inlineStr">
        <is>
          <t>crop</t>
        </is>
      </c>
      <c r="B646" t="inlineStr">
        <is>
          <t>888</t>
        </is>
      </c>
      <c r="C646" t="inlineStr">
        <is>
          <t>Don't know</t>
        </is>
      </c>
      <c r="D646" s="230" t="n"/>
    </row>
    <row r="647">
      <c r="A647" t="inlineStr">
        <is>
          <t>crop</t>
        </is>
      </c>
      <c r="B647" t="inlineStr">
        <is>
          <t>999</t>
        </is>
      </c>
      <c r="C647" t="inlineStr">
        <is>
          <t>Refused</t>
        </is>
      </c>
      <c r="D647" s="230" t="n"/>
    </row>
    <row r="648"/>
    <row r="649">
      <c r="A649" t="inlineStr">
        <is>
          <t>crop2</t>
        </is>
      </c>
      <c r="B649" t="inlineStr">
        <is>
          <t>1.2</t>
        </is>
      </c>
      <c r="C649" t="inlineStr">
        <is>
          <t>Wheat</t>
        </is>
      </c>
      <c r="D649" s="230" t="n"/>
    </row>
    <row r="650">
      <c r="A650" t="inlineStr">
        <is>
          <t>crop2</t>
        </is>
      </c>
      <c r="B650" t="inlineStr">
        <is>
          <t>1.5</t>
        </is>
      </c>
      <c r="C650" t="inlineStr">
        <is>
          <t>Maize</t>
        </is>
      </c>
      <c r="D650" s="230" t="n"/>
    </row>
    <row r="651">
      <c r="A651" t="inlineStr">
        <is>
          <t>crop2</t>
        </is>
      </c>
      <c r="B651" t="inlineStr">
        <is>
          <t>1.6</t>
        </is>
      </c>
      <c r="C651" t="inlineStr">
        <is>
          <t>Barley</t>
        </is>
      </c>
    </row>
    <row r="652">
      <c r="A652" t="inlineStr">
        <is>
          <t>crop2</t>
        </is>
      </c>
      <c r="B652" t="inlineStr">
        <is>
          <t>3.1</t>
        </is>
      </c>
      <c r="C652" t="inlineStr">
        <is>
          <t>Beans</t>
        </is>
      </c>
    </row>
    <row r="653">
      <c r="A653" t="inlineStr">
        <is>
          <t>crop2</t>
        </is>
      </c>
      <c r="B653" t="inlineStr">
        <is>
          <t>5.1</t>
        </is>
      </c>
      <c r="C653" t="inlineStr">
        <is>
          <t>Tomatoes</t>
        </is>
      </c>
    </row>
    <row r="654">
      <c r="A654" t="inlineStr">
        <is>
          <t>crop2</t>
        </is>
      </c>
      <c r="B654" t="inlineStr">
        <is>
          <t>5.4</t>
        </is>
      </c>
      <c r="C654" t="inlineStr">
        <is>
          <t>Eggplant/aubergine</t>
        </is>
      </c>
    </row>
    <row r="655">
      <c r="A655" t="inlineStr">
        <is>
          <t>crop2</t>
        </is>
      </c>
      <c r="B655" t="inlineStr">
        <is>
          <t>5.6</t>
        </is>
      </c>
      <c r="C655" t="inlineStr">
        <is>
          <t>Okra</t>
        </is>
      </c>
    </row>
    <row r="656">
      <c r="A656" t="inlineStr">
        <is>
          <t>crop2</t>
        </is>
      </c>
      <c r="B656" t="inlineStr">
        <is>
          <t>7.14</t>
        </is>
      </c>
      <c r="C656" t="inlineStr">
        <is>
          <t>Apricot</t>
        </is>
      </c>
    </row>
    <row r="657">
      <c r="A657" t="inlineStr">
        <is>
          <t>crop2</t>
        </is>
      </c>
      <c r="B657" t="inlineStr">
        <is>
          <t>7.15</t>
        </is>
      </c>
      <c r="C657" t="inlineStr">
        <is>
          <t>Cherries</t>
        </is>
      </c>
    </row>
    <row r="658">
      <c r="A658" t="inlineStr">
        <is>
          <t>crop2</t>
        </is>
      </c>
      <c r="B658" t="inlineStr">
        <is>
          <t>7.8</t>
        </is>
      </c>
      <c r="C658" t="inlineStr">
        <is>
          <t>Water Melon</t>
        </is>
      </c>
    </row>
    <row r="659">
      <c r="A659" t="inlineStr">
        <is>
          <t>crop2</t>
        </is>
      </c>
      <c r="B659" t="inlineStr">
        <is>
          <t>1.1</t>
        </is>
      </c>
      <c r="C659" t="inlineStr">
        <is>
          <t>Rice</t>
        </is>
      </c>
      <c r="D659" s="230" t="n"/>
    </row>
    <row r="660">
      <c r="A660" t="inlineStr">
        <is>
          <t>crop2</t>
        </is>
      </c>
      <c r="B660" t="inlineStr">
        <is>
          <t>1.3</t>
        </is>
      </c>
      <c r="C660" t="inlineStr">
        <is>
          <t>Millet</t>
        </is>
      </c>
      <c r="D660" s="230" t="n"/>
    </row>
    <row r="661">
      <c r="A661" t="inlineStr">
        <is>
          <t>crop2</t>
        </is>
      </c>
      <c r="B661" t="inlineStr">
        <is>
          <t>1.4</t>
        </is>
      </c>
      <c r="C661" t="inlineStr">
        <is>
          <t>Sorghum</t>
        </is>
      </c>
      <c r="D661" s="230" t="n"/>
    </row>
    <row r="662">
      <c r="A662" t="inlineStr">
        <is>
          <t>crop2</t>
        </is>
      </c>
      <c r="B662" t="inlineStr">
        <is>
          <t>1.99</t>
        </is>
      </c>
      <c r="C662" t="inlineStr">
        <is>
          <t>Other Cereal</t>
        </is>
      </c>
      <c r="D662" s="230" t="n"/>
    </row>
    <row r="663">
      <c r="A663" t="inlineStr">
        <is>
          <t>crop2</t>
        </is>
      </c>
      <c r="B663" t="inlineStr">
        <is>
          <t>2.1</t>
        </is>
      </c>
      <c r="C663" t="inlineStr">
        <is>
          <t>Cassava</t>
        </is>
      </c>
      <c r="D663" s="230" t="n"/>
    </row>
    <row r="664">
      <c r="A664" t="inlineStr">
        <is>
          <t>crop2</t>
        </is>
      </c>
      <c r="B664" t="inlineStr">
        <is>
          <t>2.2</t>
        </is>
      </c>
      <c r="C664" t="inlineStr">
        <is>
          <t>Potatoe</t>
        </is>
      </c>
      <c r="D664" s="230" t="n"/>
    </row>
    <row r="665">
      <c r="A665" t="inlineStr">
        <is>
          <t>crop2</t>
        </is>
      </c>
      <c r="B665" t="inlineStr">
        <is>
          <t>2.3</t>
        </is>
      </c>
      <c r="C665" t="inlineStr">
        <is>
          <t>Sweet Potatoes</t>
        </is>
      </c>
      <c r="D665" s="230" t="n"/>
    </row>
    <row r="666">
      <c r="A666" t="inlineStr">
        <is>
          <t>crop2</t>
        </is>
      </c>
      <c r="B666" t="inlineStr">
        <is>
          <t>2.4</t>
        </is>
      </c>
      <c r="C666" t="inlineStr">
        <is>
          <t>Yams</t>
        </is>
      </c>
      <c r="D666" s="230" t="n"/>
    </row>
    <row r="667">
      <c r="A667" t="inlineStr">
        <is>
          <t>crop2</t>
        </is>
      </c>
      <c r="B667" t="inlineStr">
        <is>
          <t>2.5</t>
        </is>
      </c>
      <c r="C667" t="inlineStr">
        <is>
          <t>Carrots</t>
        </is>
      </c>
      <c r="D667" s="230" t="n"/>
    </row>
    <row r="668">
      <c r="A668" t="inlineStr">
        <is>
          <t>crop2</t>
        </is>
      </c>
      <c r="B668" t="inlineStr">
        <is>
          <t>2.6</t>
        </is>
      </c>
      <c r="C668" t="inlineStr">
        <is>
          <t>Cocoyam</t>
        </is>
      </c>
      <c r="D668" s="230" t="n"/>
    </row>
    <row r="669">
      <c r="A669" t="inlineStr">
        <is>
          <t>crop2</t>
        </is>
      </c>
      <c r="B669" t="inlineStr">
        <is>
          <t>2.99</t>
        </is>
      </c>
      <c r="C669" t="inlineStr">
        <is>
          <t>Other tubers</t>
        </is>
      </c>
      <c r="D669" s="230" t="n"/>
    </row>
    <row r="670">
      <c r="A670" t="inlineStr">
        <is>
          <t>crop2</t>
        </is>
      </c>
      <c r="B670" t="inlineStr">
        <is>
          <t>3.2</t>
        </is>
      </c>
      <c r="C670" t="inlineStr">
        <is>
          <t>Lentils</t>
        </is>
      </c>
      <c r="D670" s="230" t="n"/>
    </row>
    <row r="671">
      <c r="A671" t="inlineStr">
        <is>
          <t>crop2</t>
        </is>
      </c>
      <c r="B671" t="inlineStr">
        <is>
          <t>3.3</t>
        </is>
      </c>
      <c r="C671" t="inlineStr">
        <is>
          <t>Peas</t>
        </is>
      </c>
      <c r="D671" s="230" t="n"/>
    </row>
    <row r="672">
      <c r="A672" t="inlineStr">
        <is>
          <t>crop2</t>
        </is>
      </c>
      <c r="B672" t="inlineStr">
        <is>
          <t>3.4</t>
        </is>
      </c>
      <c r="C672" t="inlineStr">
        <is>
          <t>Soybeans</t>
        </is>
      </c>
      <c r="D672" s="230" t="n"/>
    </row>
    <row r="673">
      <c r="A673" t="inlineStr">
        <is>
          <t>crop2</t>
        </is>
      </c>
      <c r="B673" t="inlineStr">
        <is>
          <t>3.5</t>
        </is>
      </c>
      <c r="C673" t="inlineStr">
        <is>
          <t>Chickpeas</t>
        </is>
      </c>
      <c r="D673" s="230" t="n"/>
    </row>
    <row r="674">
      <c r="A674" t="inlineStr">
        <is>
          <t>crop2</t>
        </is>
      </c>
      <c r="B674" t="inlineStr">
        <is>
          <t>3.6</t>
        </is>
      </c>
      <c r="C674" t="inlineStr">
        <is>
          <t>Fava beans</t>
        </is>
      </c>
      <c r="D674" s="230" t="n"/>
    </row>
    <row r="675">
      <c r="A675" t="inlineStr">
        <is>
          <t>crop2</t>
        </is>
      </c>
      <c r="B675" t="inlineStr">
        <is>
          <t>3.7</t>
        </is>
      </c>
      <c r="C675" t="inlineStr">
        <is>
          <t>Broad beans</t>
        </is>
      </c>
      <c r="D675" s="230" t="n"/>
    </row>
    <row r="676">
      <c r="A676" t="inlineStr">
        <is>
          <t>crop2</t>
        </is>
      </c>
      <c r="B676" t="inlineStr">
        <is>
          <t>3.99</t>
        </is>
      </c>
      <c r="C676" t="inlineStr">
        <is>
          <t>Other pulses</t>
        </is>
      </c>
      <c r="D676" s="230" t="n"/>
    </row>
    <row r="677">
      <c r="A677" t="inlineStr">
        <is>
          <t>crop2</t>
        </is>
      </c>
      <c r="B677" t="inlineStr">
        <is>
          <t>4.1</t>
        </is>
      </c>
      <c r="C677" t="inlineStr">
        <is>
          <t>Cabbage</t>
        </is>
      </c>
      <c r="D677" s="230" t="n"/>
    </row>
    <row r="678">
      <c r="A678" t="inlineStr">
        <is>
          <t>crop2</t>
        </is>
      </c>
      <c r="B678" t="inlineStr">
        <is>
          <t>4.101</t>
        </is>
      </c>
      <c r="C678" t="inlineStr">
        <is>
          <t>Cauliflower</t>
        </is>
      </c>
      <c r="D678" s="230" t="n"/>
    </row>
    <row r="679">
      <c r="A679" t="inlineStr">
        <is>
          <t>crop2</t>
        </is>
      </c>
      <c r="B679" t="inlineStr">
        <is>
          <t>4.2</t>
        </is>
      </c>
      <c r="C679" t="inlineStr">
        <is>
          <t>Lettuce</t>
        </is>
      </c>
      <c r="D679" s="230" t="n"/>
    </row>
    <row r="680">
      <c r="A680" t="inlineStr">
        <is>
          <t>crop2</t>
        </is>
      </c>
      <c r="B680" t="inlineStr">
        <is>
          <t>4.3</t>
        </is>
      </c>
      <c r="C680" t="inlineStr">
        <is>
          <t>Spinach-Amaranth</t>
        </is>
      </c>
      <c r="D680" s="230" t="n"/>
    </row>
    <row r="681">
      <c r="A681" t="inlineStr">
        <is>
          <t>crop2</t>
        </is>
      </c>
      <c r="B681" t="inlineStr">
        <is>
          <t>4.4</t>
        </is>
      </c>
      <c r="C681" t="inlineStr">
        <is>
          <t>Cassava leaves</t>
        </is>
      </c>
      <c r="D681" s="230" t="n"/>
    </row>
    <row r="682">
      <c r="A682" t="inlineStr">
        <is>
          <t>crop2</t>
        </is>
      </c>
      <c r="B682" t="inlineStr">
        <is>
          <t>4.5</t>
        </is>
      </c>
      <c r="C682" t="inlineStr">
        <is>
          <t>Potatoe leaves</t>
        </is>
      </c>
      <c r="D682" s="230" t="n"/>
    </row>
    <row r="683">
      <c r="A683" t="inlineStr">
        <is>
          <t>crop2</t>
        </is>
      </c>
      <c r="B683" t="inlineStr">
        <is>
          <t>4.6</t>
        </is>
      </c>
      <c r="C683" t="inlineStr">
        <is>
          <t>Moringa</t>
        </is>
      </c>
      <c r="D683" s="230" t="n"/>
    </row>
    <row r="684">
      <c r="A684" t="inlineStr">
        <is>
          <t>crop2</t>
        </is>
      </c>
      <c r="B684" t="inlineStr">
        <is>
          <t>4.7</t>
        </is>
      </c>
      <c r="C684" t="inlineStr">
        <is>
          <t>Sorrel Hibiscus / Rosselle</t>
        </is>
      </c>
    </row>
    <row r="685">
      <c r="A685" t="inlineStr">
        <is>
          <t>crop2</t>
        </is>
      </c>
      <c r="B685" t="inlineStr">
        <is>
          <t>4.9</t>
        </is>
      </c>
      <c r="C685" t="inlineStr">
        <is>
          <t>Green salad herbs (thyme, parsley, mint, rocca, other)</t>
        </is>
      </c>
    </row>
    <row r="686">
      <c r="A686" t="inlineStr">
        <is>
          <t>crop2</t>
        </is>
      </c>
      <c r="B686" t="inlineStr">
        <is>
          <t>4.99</t>
        </is>
      </c>
      <c r="C686" t="inlineStr">
        <is>
          <t>Other leafy vegetables</t>
        </is>
      </c>
    </row>
    <row r="687">
      <c r="A687" t="inlineStr">
        <is>
          <t>crop2</t>
        </is>
      </c>
      <c r="B687" t="inlineStr">
        <is>
          <t>5.101</t>
        </is>
      </c>
      <c r="C687" t="inlineStr">
        <is>
          <t>Green peas</t>
        </is>
      </c>
    </row>
    <row r="688">
      <c r="A688" t="inlineStr">
        <is>
          <t>crop2</t>
        </is>
      </c>
      <c r="B688" t="inlineStr">
        <is>
          <t>5.11</t>
        </is>
      </c>
      <c r="C688" t="inlineStr">
        <is>
          <t>Fava beans green</t>
        </is>
      </c>
      <c r="D688" s="230" t="n"/>
    </row>
    <row r="689">
      <c r="A689" t="inlineStr">
        <is>
          <t>crop2</t>
        </is>
      </c>
      <c r="B689" t="inlineStr">
        <is>
          <t>5.2</t>
        </is>
      </c>
      <c r="C689" t="inlineStr">
        <is>
          <t>Cucumber</t>
        </is>
      </c>
      <c r="D689" s="230" t="n"/>
    </row>
    <row r="690">
      <c r="A690" t="inlineStr">
        <is>
          <t>crop2</t>
        </is>
      </c>
      <c r="B690" t="inlineStr">
        <is>
          <t>5.3</t>
        </is>
      </c>
      <c r="C690" t="inlineStr">
        <is>
          <t>Pumpkin</t>
        </is>
      </c>
      <c r="D690" s="230" t="n"/>
    </row>
    <row r="691">
      <c r="A691" t="inlineStr">
        <is>
          <t>crop2</t>
        </is>
      </c>
      <c r="B691" t="inlineStr">
        <is>
          <t>5.5</t>
        </is>
      </c>
      <c r="C691" t="inlineStr">
        <is>
          <t>Zucchini</t>
        </is>
      </c>
    </row>
    <row r="692">
      <c r="A692" t="inlineStr">
        <is>
          <t>crop2</t>
        </is>
      </c>
      <c r="B692" t="inlineStr">
        <is>
          <t>5.7</t>
        </is>
      </c>
      <c r="C692" t="inlineStr">
        <is>
          <t>Bell pepper</t>
        </is>
      </c>
    </row>
    <row r="693">
      <c r="A693" t="inlineStr">
        <is>
          <t>crop2</t>
        </is>
      </c>
      <c r="B693" t="inlineStr">
        <is>
          <t>5.8</t>
        </is>
      </c>
      <c r="C693" t="inlineStr">
        <is>
          <t>Onions</t>
        </is>
      </c>
    </row>
    <row r="694">
      <c r="A694" t="inlineStr">
        <is>
          <t>crop2</t>
        </is>
      </c>
      <c r="B694" t="inlineStr">
        <is>
          <t>5.9</t>
        </is>
      </c>
      <c r="C694" t="inlineStr">
        <is>
          <t>Haricot</t>
        </is>
      </c>
    </row>
    <row r="695">
      <c r="A695" t="inlineStr">
        <is>
          <t>crop2</t>
        </is>
      </c>
      <c r="B695" t="inlineStr">
        <is>
          <t>5.99</t>
        </is>
      </c>
      <c r="C695" t="inlineStr">
        <is>
          <t>Other non leafy vegs</t>
        </is>
      </c>
    </row>
    <row r="696">
      <c r="A696" t="inlineStr">
        <is>
          <t>crop2</t>
        </is>
      </c>
      <c r="B696" t="inlineStr">
        <is>
          <t>6.1</t>
        </is>
      </c>
      <c r="C696" t="inlineStr">
        <is>
          <t>Orange</t>
        </is>
      </c>
    </row>
    <row r="697">
      <c r="A697" t="inlineStr">
        <is>
          <t>crop2</t>
        </is>
      </c>
      <c r="B697" t="inlineStr">
        <is>
          <t>6.2</t>
        </is>
      </c>
      <c r="C697" t="inlineStr">
        <is>
          <t>Lemon</t>
        </is>
      </c>
    </row>
    <row r="698">
      <c r="A698" t="inlineStr">
        <is>
          <t>crop2</t>
        </is>
      </c>
      <c r="B698" t="inlineStr">
        <is>
          <t>6.3</t>
        </is>
      </c>
      <c r="C698" t="inlineStr">
        <is>
          <t>Grapefruit</t>
        </is>
      </c>
    </row>
    <row r="699">
      <c r="A699" t="inlineStr">
        <is>
          <t>crop2</t>
        </is>
      </c>
      <c r="B699" t="inlineStr">
        <is>
          <t>6.4</t>
        </is>
      </c>
      <c r="C699" t="inlineStr">
        <is>
          <t>Mandarins/clementines</t>
        </is>
      </c>
      <c r="D699" s="230" t="n"/>
    </row>
    <row r="700">
      <c r="A700" t="inlineStr">
        <is>
          <t>crop2</t>
        </is>
      </c>
      <c r="B700" t="inlineStr">
        <is>
          <t>6.99</t>
        </is>
      </c>
      <c r="C700" t="inlineStr">
        <is>
          <t>Other citrus fruit</t>
        </is>
      </c>
      <c r="D700" s="230" t="n"/>
    </row>
    <row r="701">
      <c r="A701" t="inlineStr">
        <is>
          <t>crop2</t>
        </is>
      </c>
      <c r="B701" t="inlineStr">
        <is>
          <t>7.1</t>
        </is>
      </c>
      <c r="C701" t="inlineStr">
        <is>
          <t>Sweet Banana</t>
        </is>
      </c>
      <c r="D701" s="230" t="n"/>
    </row>
    <row r="702">
      <c r="A702" t="inlineStr">
        <is>
          <t>crop2</t>
        </is>
      </c>
      <c r="B702" t="inlineStr">
        <is>
          <t>7.101</t>
        </is>
      </c>
      <c r="C702" t="inlineStr">
        <is>
          <t>Figs</t>
        </is>
      </c>
      <c r="D702" s="230" t="n"/>
    </row>
    <row r="703">
      <c r="A703" t="inlineStr">
        <is>
          <t>crop2</t>
        </is>
      </c>
      <c r="B703" t="inlineStr">
        <is>
          <t>7.11</t>
        </is>
      </c>
      <c r="C703" t="inlineStr">
        <is>
          <t>Grapes</t>
        </is>
      </c>
      <c r="D703" s="230" t="n"/>
    </row>
    <row r="704">
      <c r="A704" t="inlineStr">
        <is>
          <t>crop2</t>
        </is>
      </c>
      <c r="B704" t="inlineStr">
        <is>
          <t>7.12</t>
        </is>
      </c>
      <c r="C704" t="inlineStr">
        <is>
          <t>Olives</t>
        </is>
      </c>
      <c r="D704" s="230" t="n"/>
    </row>
    <row r="705">
      <c r="A705" t="inlineStr">
        <is>
          <t>crop2</t>
        </is>
      </c>
      <c r="B705" t="inlineStr">
        <is>
          <t>7.13</t>
        </is>
      </c>
      <c r="C705" t="inlineStr">
        <is>
          <t>Apple</t>
        </is>
      </c>
      <c r="D705" s="230" t="n"/>
    </row>
    <row r="706">
      <c r="A706" t="inlineStr">
        <is>
          <t>crop2</t>
        </is>
      </c>
      <c r="B706" t="inlineStr">
        <is>
          <t>7.16</t>
        </is>
      </c>
      <c r="C706" t="inlineStr">
        <is>
          <t>Peach/nectarine</t>
        </is>
      </c>
      <c r="D706" s="230" t="n"/>
    </row>
    <row r="707">
      <c r="A707" t="inlineStr">
        <is>
          <t>crop2</t>
        </is>
      </c>
      <c r="B707" t="inlineStr">
        <is>
          <t>7.17</t>
        </is>
      </c>
      <c r="C707" t="inlineStr">
        <is>
          <t>Strawberries</t>
        </is>
      </c>
      <c r="D707" s="230" t="n"/>
    </row>
    <row r="708">
      <c r="A708" t="inlineStr">
        <is>
          <t>crop2</t>
        </is>
      </c>
      <c r="B708" t="inlineStr">
        <is>
          <t>7.18</t>
        </is>
      </c>
      <c r="C708" t="inlineStr">
        <is>
          <t>Melon (Cantaloupe)</t>
        </is>
      </c>
      <c r="D708" s="230" t="n"/>
    </row>
    <row r="709">
      <c r="A709" t="inlineStr">
        <is>
          <t>crop2</t>
        </is>
      </c>
      <c r="B709" t="inlineStr">
        <is>
          <t>7.2</t>
        </is>
      </c>
      <c r="C709" t="inlineStr">
        <is>
          <t>Plantains</t>
        </is>
      </c>
      <c r="D709" s="230" t="n"/>
    </row>
    <row r="710">
      <c r="A710" t="inlineStr">
        <is>
          <t>crop2</t>
        </is>
      </c>
      <c r="B710" t="inlineStr">
        <is>
          <t>7.3</t>
        </is>
      </c>
      <c r="C710" t="inlineStr">
        <is>
          <t>Papaya</t>
        </is>
      </c>
      <c r="D710" s="230" t="n"/>
    </row>
    <row r="711">
      <c r="A711" t="inlineStr">
        <is>
          <t>crop2</t>
        </is>
      </c>
      <c r="B711" t="inlineStr">
        <is>
          <t>7.4</t>
        </is>
      </c>
      <c r="C711" t="inlineStr">
        <is>
          <t>Mango</t>
        </is>
      </c>
      <c r="D711" s="230" t="n"/>
    </row>
    <row r="712">
      <c r="A712" t="inlineStr">
        <is>
          <t>crop2</t>
        </is>
      </c>
      <c r="B712" t="inlineStr">
        <is>
          <t>7.5</t>
        </is>
      </c>
      <c r="C712" t="inlineStr">
        <is>
          <t>Guava</t>
        </is>
      </c>
      <c r="D712" s="230" t="n"/>
    </row>
    <row r="713">
      <c r="A713" t="inlineStr">
        <is>
          <t>crop2</t>
        </is>
      </c>
      <c r="B713" t="inlineStr">
        <is>
          <t>7.6</t>
        </is>
      </c>
      <c r="C713" t="inlineStr">
        <is>
          <t>Pineapple</t>
        </is>
      </c>
      <c r="D713" s="230" t="n"/>
    </row>
    <row r="714">
      <c r="A714" t="inlineStr">
        <is>
          <t>crop2</t>
        </is>
      </c>
      <c r="B714" t="inlineStr">
        <is>
          <t>7.7</t>
        </is>
      </c>
      <c r="C714" t="inlineStr">
        <is>
          <t>Avocado</t>
        </is>
      </c>
      <c r="D714" s="230" t="n"/>
    </row>
    <row r="715">
      <c r="A715" t="inlineStr">
        <is>
          <t>crop2</t>
        </is>
      </c>
      <c r="B715" t="inlineStr">
        <is>
          <t>7.9</t>
        </is>
      </c>
      <c r="C715" t="inlineStr">
        <is>
          <t>Dates</t>
        </is>
      </c>
      <c r="D715" s="230" t="n"/>
    </row>
    <row r="716">
      <c r="A716" t="inlineStr">
        <is>
          <t>crop2</t>
        </is>
      </c>
      <c r="B716" t="inlineStr">
        <is>
          <t>7.99</t>
        </is>
      </c>
      <c r="C716" t="inlineStr">
        <is>
          <t>Other fruit</t>
        </is>
      </c>
      <c r="D716" s="230" t="n"/>
    </row>
    <row r="717">
      <c r="A717" t="inlineStr">
        <is>
          <t>crop2</t>
        </is>
      </c>
      <c r="B717" t="inlineStr">
        <is>
          <t>8.1</t>
        </is>
      </c>
      <c r="C717" t="inlineStr">
        <is>
          <t>Coconuts</t>
        </is>
      </c>
      <c r="D717" s="230" t="n"/>
    </row>
    <row r="718">
      <c r="A718" t="inlineStr">
        <is>
          <t>crop2</t>
        </is>
      </c>
      <c r="B718" t="inlineStr">
        <is>
          <t>8.2</t>
        </is>
      </c>
      <c r="C718" t="inlineStr">
        <is>
          <t>Groundnut/peanut</t>
        </is>
      </c>
      <c r="D718" s="230" t="n"/>
    </row>
    <row r="719">
      <c r="A719" t="inlineStr">
        <is>
          <t>crop2</t>
        </is>
      </c>
      <c r="B719" t="inlineStr">
        <is>
          <t>8.3</t>
        </is>
      </c>
      <c r="C719" t="inlineStr">
        <is>
          <t>Cashew Nut</t>
        </is>
      </c>
      <c r="D719" s="230" t="n"/>
    </row>
    <row r="720">
      <c r="A720" t="inlineStr">
        <is>
          <t>crop2</t>
        </is>
      </c>
      <c r="B720" t="inlineStr">
        <is>
          <t>8.4</t>
        </is>
      </c>
      <c r="C720" t="inlineStr">
        <is>
          <t>Kola Nut</t>
        </is>
      </c>
      <c r="D720" s="230" t="n"/>
    </row>
    <row r="721">
      <c r="A721" t="inlineStr">
        <is>
          <t>crop2</t>
        </is>
      </c>
      <c r="B721" t="inlineStr">
        <is>
          <t>8.5</t>
        </is>
      </c>
      <c r="C721" t="inlineStr">
        <is>
          <t>Sesame</t>
        </is>
      </c>
      <c r="D721" s="230" t="n"/>
    </row>
    <row r="722">
      <c r="A722" t="inlineStr">
        <is>
          <t>crop2</t>
        </is>
      </c>
      <c r="B722" t="inlineStr">
        <is>
          <t>8.6</t>
        </is>
      </c>
      <c r="C722" t="inlineStr">
        <is>
          <t>Bambara nut</t>
        </is>
      </c>
      <c r="D722" s="230" t="n"/>
    </row>
    <row r="723">
      <c r="A723" t="inlineStr">
        <is>
          <t>crop2</t>
        </is>
      </c>
      <c r="B723" t="inlineStr">
        <is>
          <t>8.7</t>
        </is>
      </c>
      <c r="C723" t="inlineStr">
        <is>
          <t>Almond</t>
        </is>
      </c>
      <c r="D723" s="230" t="n"/>
    </row>
    <row r="724">
      <c r="A724" t="inlineStr">
        <is>
          <t>crop2</t>
        </is>
      </c>
      <c r="B724" t="inlineStr">
        <is>
          <t>8.8</t>
        </is>
      </c>
      <c r="C724" t="inlineStr">
        <is>
          <t>Walnut</t>
        </is>
      </c>
      <c r="D724" s="230" t="n"/>
    </row>
    <row r="725">
      <c r="A725" t="inlineStr">
        <is>
          <t>crop2</t>
        </is>
      </c>
      <c r="B725" t="inlineStr">
        <is>
          <t>8.99</t>
        </is>
      </c>
      <c r="C725" t="inlineStr">
        <is>
          <t>Other nuts</t>
        </is>
      </c>
      <c r="D725" s="230" t="n"/>
    </row>
    <row r="726">
      <c r="A726" t="inlineStr">
        <is>
          <t>crop2</t>
        </is>
      </c>
      <c r="B726" t="inlineStr">
        <is>
          <t>9.1</t>
        </is>
      </c>
      <c r="C726" t="inlineStr">
        <is>
          <t>Cocoa</t>
        </is>
      </c>
      <c r="D726" s="230" t="n"/>
    </row>
    <row r="727">
      <c r="A727" t="inlineStr">
        <is>
          <t>crop2</t>
        </is>
      </c>
      <c r="B727" t="inlineStr">
        <is>
          <t>9.2</t>
        </is>
      </c>
      <c r="C727" t="inlineStr">
        <is>
          <t>Coffee</t>
        </is>
      </c>
      <c r="D727" s="230" t="n"/>
    </row>
    <row r="728">
      <c r="A728" t="inlineStr">
        <is>
          <t>crop2</t>
        </is>
      </c>
      <c r="B728" t="inlineStr">
        <is>
          <t>9.3</t>
        </is>
      </c>
      <c r="C728" t="inlineStr">
        <is>
          <t>Tea</t>
        </is>
      </c>
      <c r="D728" s="230" t="n"/>
    </row>
    <row r="729">
      <c r="A729" t="inlineStr">
        <is>
          <t>crop2</t>
        </is>
      </c>
      <c r="B729" t="inlineStr">
        <is>
          <t>9.4</t>
        </is>
      </c>
      <c r="C729" t="inlineStr">
        <is>
          <t>Sugarcane</t>
        </is>
      </c>
      <c r="D729" s="230" t="n"/>
    </row>
    <row r="730">
      <c r="A730" t="inlineStr">
        <is>
          <t>crop2</t>
        </is>
      </c>
      <c r="B730" t="inlineStr">
        <is>
          <t>9.5</t>
        </is>
      </c>
      <c r="C730" t="inlineStr">
        <is>
          <t>Sunflower</t>
        </is>
      </c>
      <c r="D730" s="230" t="n"/>
    </row>
    <row r="731">
      <c r="A731" t="inlineStr">
        <is>
          <t>crop2</t>
        </is>
      </c>
      <c r="B731" t="inlineStr">
        <is>
          <t>9.99</t>
        </is>
      </c>
      <c r="C731" t="inlineStr">
        <is>
          <t>Other food cash crop</t>
        </is>
      </c>
      <c r="D731" s="230" t="n"/>
    </row>
    <row r="732">
      <c r="A732" t="inlineStr">
        <is>
          <t>crop2</t>
        </is>
      </c>
      <c r="B732" t="inlineStr">
        <is>
          <t>10.1</t>
        </is>
      </c>
      <c r="C732" t="inlineStr">
        <is>
          <t>Cotton</t>
        </is>
      </c>
      <c r="D732" s="230" t="n"/>
    </row>
    <row r="733">
      <c r="A733" t="inlineStr">
        <is>
          <t>crop2</t>
        </is>
      </c>
      <c r="B733" t="inlineStr">
        <is>
          <t>10.2</t>
        </is>
      </c>
      <c r="C733" t="inlineStr">
        <is>
          <t>Rubber</t>
        </is>
      </c>
      <c r="D733" s="230" t="n"/>
    </row>
    <row r="734">
      <c r="A734" t="inlineStr">
        <is>
          <t>crop2</t>
        </is>
      </c>
      <c r="B734" t="inlineStr">
        <is>
          <t>10.3</t>
        </is>
      </c>
      <c r="C734" t="inlineStr">
        <is>
          <t>Jute</t>
        </is>
      </c>
      <c r="D734" s="230" t="n"/>
    </row>
    <row r="735">
      <c r="A735" t="inlineStr">
        <is>
          <t>crop2</t>
        </is>
      </c>
      <c r="B735" t="inlineStr">
        <is>
          <t>10.4</t>
        </is>
      </c>
      <c r="C735" t="inlineStr">
        <is>
          <t>Fodder</t>
        </is>
      </c>
      <c r="D735" s="230" t="n"/>
    </row>
    <row r="736">
      <c r="A736" t="inlineStr">
        <is>
          <t>crop2</t>
        </is>
      </c>
      <c r="B736" t="inlineStr">
        <is>
          <t>10.5</t>
        </is>
      </c>
      <c r="C736" t="inlineStr">
        <is>
          <t>Tobacco</t>
        </is>
      </c>
      <c r="D736" s="230" t="n"/>
    </row>
    <row r="737">
      <c r="A737" t="inlineStr">
        <is>
          <t>crop2</t>
        </is>
      </c>
      <c r="B737" t="inlineStr">
        <is>
          <t>10.6</t>
        </is>
      </c>
      <c r="C737" t="inlineStr">
        <is>
          <t>Qat</t>
        </is>
      </c>
      <c r="D737" s="230" t="n"/>
    </row>
    <row r="738">
      <c r="A738" t="inlineStr">
        <is>
          <t>crop2</t>
        </is>
      </c>
      <c r="B738" t="inlineStr">
        <is>
          <t>10.99</t>
        </is>
      </c>
      <c r="C738" t="inlineStr">
        <is>
          <t>Other non-food cash crop</t>
        </is>
      </c>
      <c r="D738" s="230" t="n"/>
    </row>
    <row r="739">
      <c r="A739" t="inlineStr">
        <is>
          <t>crop2</t>
        </is>
      </c>
      <c r="B739" t="inlineStr">
        <is>
          <t>666</t>
        </is>
      </c>
      <c r="C739" t="inlineStr">
        <is>
          <t>No other crop</t>
        </is>
      </c>
      <c r="D739" s="230" t="n"/>
    </row>
    <row r="740">
      <c r="A740" t="inlineStr">
        <is>
          <t>crop2</t>
        </is>
      </c>
      <c r="B740" t="inlineStr">
        <is>
          <t>888</t>
        </is>
      </c>
      <c r="C740" t="inlineStr">
        <is>
          <t>Don't know</t>
        </is>
      </c>
      <c r="D740" s="230" t="n"/>
    </row>
    <row r="741">
      <c r="A741" t="inlineStr">
        <is>
          <t>crop2</t>
        </is>
      </c>
      <c r="B741" t="inlineStr">
        <is>
          <t>999</t>
        </is>
      </c>
      <c r="C741" t="inlineStr">
        <is>
          <t>Refused</t>
        </is>
      </c>
      <c r="D741" s="230" t="n"/>
    </row>
    <row r="742"/>
    <row r="743">
      <c r="A743" t="inlineStr">
        <is>
          <t>crop3</t>
        </is>
      </c>
      <c r="B743" t="inlineStr">
        <is>
          <t>1.2</t>
        </is>
      </c>
      <c r="C743" t="inlineStr">
        <is>
          <t>Wheat</t>
        </is>
      </c>
      <c r="D743" s="230" t="n"/>
    </row>
    <row r="744">
      <c r="A744" t="inlineStr">
        <is>
          <t>crop3</t>
        </is>
      </c>
      <c r="B744" t="inlineStr">
        <is>
          <t>1.5</t>
        </is>
      </c>
      <c r="C744" t="inlineStr">
        <is>
          <t>Maize</t>
        </is>
      </c>
      <c r="D744" s="230" t="n"/>
    </row>
    <row r="745">
      <c r="A745" t="inlineStr">
        <is>
          <t>crop3</t>
        </is>
      </c>
      <c r="B745" t="inlineStr">
        <is>
          <t>1.6</t>
        </is>
      </c>
      <c r="C745" t="inlineStr">
        <is>
          <t>Barley</t>
        </is>
      </c>
    </row>
    <row r="746">
      <c r="A746" t="inlineStr">
        <is>
          <t>crop3</t>
        </is>
      </c>
      <c r="B746" t="inlineStr">
        <is>
          <t>3.1</t>
        </is>
      </c>
      <c r="C746" t="inlineStr">
        <is>
          <t>Beans</t>
        </is>
      </c>
    </row>
    <row r="747">
      <c r="A747" t="inlineStr">
        <is>
          <t>crop3</t>
        </is>
      </c>
      <c r="B747" t="inlineStr">
        <is>
          <t>5.1</t>
        </is>
      </c>
      <c r="C747" t="inlineStr">
        <is>
          <t>Tomatoes</t>
        </is>
      </c>
    </row>
    <row r="748">
      <c r="A748" t="inlineStr">
        <is>
          <t>crop3</t>
        </is>
      </c>
      <c r="B748" t="inlineStr">
        <is>
          <t>5.4</t>
        </is>
      </c>
      <c r="C748" t="inlineStr">
        <is>
          <t>Eggplant/aubergine</t>
        </is>
      </c>
    </row>
    <row r="749">
      <c r="A749" t="inlineStr">
        <is>
          <t>crop3</t>
        </is>
      </c>
      <c r="B749" t="inlineStr">
        <is>
          <t>5.6</t>
        </is>
      </c>
      <c r="C749" t="inlineStr">
        <is>
          <t>Okra</t>
        </is>
      </c>
    </row>
    <row r="750">
      <c r="A750" t="inlineStr">
        <is>
          <t>crop3</t>
        </is>
      </c>
      <c r="B750" t="inlineStr">
        <is>
          <t>7.14</t>
        </is>
      </c>
      <c r="C750" t="inlineStr">
        <is>
          <t>Apricot</t>
        </is>
      </c>
    </row>
    <row r="751">
      <c r="A751" t="inlineStr">
        <is>
          <t>crop3</t>
        </is>
      </c>
      <c r="B751" t="inlineStr">
        <is>
          <t>7.15</t>
        </is>
      </c>
      <c r="C751" t="inlineStr">
        <is>
          <t>Cherries</t>
        </is>
      </c>
    </row>
    <row r="752">
      <c r="A752" t="inlineStr">
        <is>
          <t>crop3</t>
        </is>
      </c>
      <c r="B752" t="inlineStr">
        <is>
          <t>7.8</t>
        </is>
      </c>
      <c r="C752" t="inlineStr">
        <is>
          <t>Water Melon</t>
        </is>
      </c>
    </row>
    <row r="753">
      <c r="A753" t="inlineStr">
        <is>
          <t>crop3</t>
        </is>
      </c>
      <c r="B753" t="inlineStr">
        <is>
          <t>1.1</t>
        </is>
      </c>
      <c r="C753" t="inlineStr">
        <is>
          <t>Rice</t>
        </is>
      </c>
      <c r="D753" s="230" t="n"/>
    </row>
    <row r="754">
      <c r="A754" t="inlineStr">
        <is>
          <t>crop3</t>
        </is>
      </c>
      <c r="B754" t="inlineStr">
        <is>
          <t>1.3</t>
        </is>
      </c>
      <c r="C754" t="inlineStr">
        <is>
          <t>Millet</t>
        </is>
      </c>
      <c r="D754" s="230" t="n"/>
    </row>
    <row r="755">
      <c r="A755" t="inlineStr">
        <is>
          <t>crop3</t>
        </is>
      </c>
      <c r="B755" t="inlineStr">
        <is>
          <t>1.4</t>
        </is>
      </c>
      <c r="C755" t="inlineStr">
        <is>
          <t>Sorghum</t>
        </is>
      </c>
      <c r="D755" s="230" t="n"/>
    </row>
    <row r="756">
      <c r="A756" t="inlineStr">
        <is>
          <t>crop3</t>
        </is>
      </c>
      <c r="B756" t="inlineStr">
        <is>
          <t>1.99</t>
        </is>
      </c>
      <c r="C756" t="inlineStr">
        <is>
          <t>Other Cereal</t>
        </is>
      </c>
      <c r="D756" s="230" t="n"/>
    </row>
    <row r="757">
      <c r="A757" t="inlineStr">
        <is>
          <t>crop3</t>
        </is>
      </c>
      <c r="B757" t="inlineStr">
        <is>
          <t>2.1</t>
        </is>
      </c>
      <c r="C757" t="inlineStr">
        <is>
          <t>Cassava</t>
        </is>
      </c>
      <c r="D757" s="230" t="n"/>
    </row>
    <row r="758">
      <c r="A758" t="inlineStr">
        <is>
          <t>crop3</t>
        </is>
      </c>
      <c r="B758" t="inlineStr">
        <is>
          <t>2.2</t>
        </is>
      </c>
      <c r="C758" t="inlineStr">
        <is>
          <t>Potatoe</t>
        </is>
      </c>
      <c r="D758" s="230" t="n"/>
    </row>
    <row r="759">
      <c r="A759" t="inlineStr">
        <is>
          <t>crop3</t>
        </is>
      </c>
      <c r="B759" t="inlineStr">
        <is>
          <t>2.3</t>
        </is>
      </c>
      <c r="C759" t="inlineStr">
        <is>
          <t>Sweet Potatoes</t>
        </is>
      </c>
      <c r="D759" s="230" t="n"/>
    </row>
    <row r="760">
      <c r="A760" t="inlineStr">
        <is>
          <t>crop3</t>
        </is>
      </c>
      <c r="B760" t="inlineStr">
        <is>
          <t>2.4</t>
        </is>
      </c>
      <c r="C760" t="inlineStr">
        <is>
          <t>Yams</t>
        </is>
      </c>
      <c r="D760" s="230" t="n"/>
    </row>
    <row r="761">
      <c r="A761" t="inlineStr">
        <is>
          <t>crop3</t>
        </is>
      </c>
      <c r="B761" t="inlineStr">
        <is>
          <t>2.5</t>
        </is>
      </c>
      <c r="C761" t="inlineStr">
        <is>
          <t>Carrots</t>
        </is>
      </c>
      <c r="D761" s="230" t="n"/>
    </row>
    <row r="762">
      <c r="A762" t="inlineStr">
        <is>
          <t>crop3</t>
        </is>
      </c>
      <c r="B762" t="inlineStr">
        <is>
          <t>2.6</t>
        </is>
      </c>
      <c r="C762" t="inlineStr">
        <is>
          <t>Cocoyam</t>
        </is>
      </c>
      <c r="D762" s="230" t="n"/>
    </row>
    <row r="763">
      <c r="A763" t="inlineStr">
        <is>
          <t>crop3</t>
        </is>
      </c>
      <c r="B763" t="inlineStr">
        <is>
          <t>2.99</t>
        </is>
      </c>
      <c r="C763" t="inlineStr">
        <is>
          <t>Other tubers</t>
        </is>
      </c>
      <c r="D763" s="230" t="n"/>
    </row>
    <row r="764">
      <c r="A764" t="inlineStr">
        <is>
          <t>crop3</t>
        </is>
      </c>
      <c r="B764" t="inlineStr">
        <is>
          <t>3.2</t>
        </is>
      </c>
      <c r="C764" t="inlineStr">
        <is>
          <t>Lentils</t>
        </is>
      </c>
      <c r="D764" s="230" t="n"/>
    </row>
    <row r="765">
      <c r="A765" t="inlineStr">
        <is>
          <t>crop3</t>
        </is>
      </c>
      <c r="B765" t="inlineStr">
        <is>
          <t>3.3</t>
        </is>
      </c>
      <c r="C765" t="inlineStr">
        <is>
          <t>Peas</t>
        </is>
      </c>
      <c r="D765" s="230" t="n"/>
    </row>
    <row r="766">
      <c r="A766" t="inlineStr">
        <is>
          <t>crop3</t>
        </is>
      </c>
      <c r="B766" t="inlineStr">
        <is>
          <t>3.4</t>
        </is>
      </c>
      <c r="C766" t="inlineStr">
        <is>
          <t>Soybeans</t>
        </is>
      </c>
      <c r="D766" s="230" t="n"/>
    </row>
    <row r="767">
      <c r="A767" t="inlineStr">
        <is>
          <t>crop3</t>
        </is>
      </c>
      <c r="B767" t="inlineStr">
        <is>
          <t>3.5</t>
        </is>
      </c>
      <c r="C767" t="inlineStr">
        <is>
          <t>Chickpeas</t>
        </is>
      </c>
      <c r="D767" s="230" t="n"/>
    </row>
    <row r="768">
      <c r="A768" t="inlineStr">
        <is>
          <t>crop3</t>
        </is>
      </c>
      <c r="B768" t="inlineStr">
        <is>
          <t>3.6</t>
        </is>
      </c>
      <c r="C768" t="inlineStr">
        <is>
          <t>Fava beans</t>
        </is>
      </c>
      <c r="D768" s="230" t="n"/>
    </row>
    <row r="769">
      <c r="A769" t="inlineStr">
        <is>
          <t>crop3</t>
        </is>
      </c>
      <c r="B769" t="inlineStr">
        <is>
          <t>3.7</t>
        </is>
      </c>
      <c r="C769" t="inlineStr">
        <is>
          <t>Broad beans</t>
        </is>
      </c>
      <c r="D769" s="230" t="n"/>
    </row>
    <row r="770">
      <c r="A770" t="inlineStr">
        <is>
          <t>crop3</t>
        </is>
      </c>
      <c r="B770" t="inlineStr">
        <is>
          <t>3.99</t>
        </is>
      </c>
      <c r="C770" t="inlineStr">
        <is>
          <t>Other pulses</t>
        </is>
      </c>
      <c r="D770" s="230" t="n"/>
    </row>
    <row r="771">
      <c r="A771" t="inlineStr">
        <is>
          <t>crop3</t>
        </is>
      </c>
      <c r="B771" t="inlineStr">
        <is>
          <t>4.1</t>
        </is>
      </c>
      <c r="C771" t="inlineStr">
        <is>
          <t>Cabbage</t>
        </is>
      </c>
      <c r="D771" s="230" t="n"/>
    </row>
    <row r="772">
      <c r="A772" t="inlineStr">
        <is>
          <t>crop3</t>
        </is>
      </c>
      <c r="B772" t="inlineStr">
        <is>
          <t>4.101</t>
        </is>
      </c>
      <c r="C772" t="inlineStr">
        <is>
          <t>Cauliflower</t>
        </is>
      </c>
      <c r="D772" s="230" t="n"/>
    </row>
    <row r="773">
      <c r="A773" t="inlineStr">
        <is>
          <t>crop3</t>
        </is>
      </c>
      <c r="B773" t="inlineStr">
        <is>
          <t>4.2</t>
        </is>
      </c>
      <c r="C773" t="inlineStr">
        <is>
          <t>Lettuce</t>
        </is>
      </c>
      <c r="D773" s="230" t="n"/>
    </row>
    <row r="774">
      <c r="A774" t="inlineStr">
        <is>
          <t>crop3</t>
        </is>
      </c>
      <c r="B774" t="inlineStr">
        <is>
          <t>4.3</t>
        </is>
      </c>
      <c r="C774" t="inlineStr">
        <is>
          <t>Spinach-Amaranth</t>
        </is>
      </c>
      <c r="D774" s="230" t="n"/>
    </row>
    <row r="775">
      <c r="A775" t="inlineStr">
        <is>
          <t>crop3</t>
        </is>
      </c>
      <c r="B775" t="inlineStr">
        <is>
          <t>4.4</t>
        </is>
      </c>
      <c r="C775" t="inlineStr">
        <is>
          <t>Cassava leaves</t>
        </is>
      </c>
      <c r="D775" s="230" t="n"/>
    </row>
    <row r="776">
      <c r="A776" t="inlineStr">
        <is>
          <t>crop3</t>
        </is>
      </c>
      <c r="B776" t="inlineStr">
        <is>
          <t>4.5</t>
        </is>
      </c>
      <c r="C776" t="inlineStr">
        <is>
          <t>Potatoe leaves</t>
        </is>
      </c>
      <c r="D776" s="230" t="n"/>
    </row>
    <row r="777">
      <c r="A777" t="inlineStr">
        <is>
          <t>crop3</t>
        </is>
      </c>
      <c r="B777" t="inlineStr">
        <is>
          <t>4.6</t>
        </is>
      </c>
      <c r="C777" t="inlineStr">
        <is>
          <t>Moringa</t>
        </is>
      </c>
      <c r="D777" s="230" t="n"/>
    </row>
    <row r="778">
      <c r="A778" t="inlineStr">
        <is>
          <t>crop3</t>
        </is>
      </c>
      <c r="B778" t="inlineStr">
        <is>
          <t>4.7</t>
        </is>
      </c>
      <c r="C778" t="inlineStr">
        <is>
          <t>Sorrel Hibiscus / Rosselle</t>
        </is>
      </c>
    </row>
    <row r="779">
      <c r="A779" t="inlineStr">
        <is>
          <t>crop3</t>
        </is>
      </c>
      <c r="B779" t="inlineStr">
        <is>
          <t>4.9</t>
        </is>
      </c>
      <c r="C779" t="inlineStr">
        <is>
          <t>Green salad herbs (thyme, parsley, mint, rocca, other)</t>
        </is>
      </c>
    </row>
    <row r="780">
      <c r="A780" t="inlineStr">
        <is>
          <t>crop3</t>
        </is>
      </c>
      <c r="B780" t="inlineStr">
        <is>
          <t>4.99</t>
        </is>
      </c>
      <c r="C780" t="inlineStr">
        <is>
          <t>Other leafy vegetables</t>
        </is>
      </c>
    </row>
    <row r="781">
      <c r="A781" t="inlineStr">
        <is>
          <t>crop3</t>
        </is>
      </c>
      <c r="B781" t="inlineStr">
        <is>
          <t>5.101</t>
        </is>
      </c>
      <c r="C781" t="inlineStr">
        <is>
          <t>Green peas</t>
        </is>
      </c>
    </row>
    <row r="782">
      <c r="A782" t="inlineStr">
        <is>
          <t>crop3</t>
        </is>
      </c>
      <c r="B782" t="inlineStr">
        <is>
          <t>5.11</t>
        </is>
      </c>
      <c r="C782" t="inlineStr">
        <is>
          <t>Fava beans green</t>
        </is>
      </c>
      <c r="D782" s="230" t="n"/>
    </row>
    <row r="783">
      <c r="A783" t="inlineStr">
        <is>
          <t>crop3</t>
        </is>
      </c>
      <c r="B783" t="inlineStr">
        <is>
          <t>5.2</t>
        </is>
      </c>
      <c r="C783" t="inlineStr">
        <is>
          <t>Cucumber</t>
        </is>
      </c>
      <c r="D783" s="230" t="n"/>
    </row>
    <row r="784">
      <c r="A784" t="inlineStr">
        <is>
          <t>crop3</t>
        </is>
      </c>
      <c r="B784" t="inlineStr">
        <is>
          <t>5.3</t>
        </is>
      </c>
      <c r="C784" t="inlineStr">
        <is>
          <t>Pumpkin</t>
        </is>
      </c>
      <c r="D784" s="230" t="n"/>
    </row>
    <row r="785">
      <c r="A785" t="inlineStr">
        <is>
          <t>crop3</t>
        </is>
      </c>
      <c r="B785" t="inlineStr">
        <is>
          <t>5.5</t>
        </is>
      </c>
      <c r="C785" t="inlineStr">
        <is>
          <t>Zucchini</t>
        </is>
      </c>
    </row>
    <row r="786">
      <c r="A786" t="inlineStr">
        <is>
          <t>crop3</t>
        </is>
      </c>
      <c r="B786" t="inlineStr">
        <is>
          <t>5.7</t>
        </is>
      </c>
      <c r="C786" t="inlineStr">
        <is>
          <t>Bell pepper</t>
        </is>
      </c>
    </row>
    <row r="787">
      <c r="A787" t="inlineStr">
        <is>
          <t>crop3</t>
        </is>
      </c>
      <c r="B787" t="inlineStr">
        <is>
          <t>5.8</t>
        </is>
      </c>
      <c r="C787" t="inlineStr">
        <is>
          <t>Onions</t>
        </is>
      </c>
    </row>
    <row r="788">
      <c r="A788" t="inlineStr">
        <is>
          <t>crop3</t>
        </is>
      </c>
      <c r="B788" t="inlineStr">
        <is>
          <t>5.9</t>
        </is>
      </c>
      <c r="C788" t="inlineStr">
        <is>
          <t>Haricot</t>
        </is>
      </c>
    </row>
    <row r="789">
      <c r="A789" t="inlineStr">
        <is>
          <t>crop3</t>
        </is>
      </c>
      <c r="B789" t="inlineStr">
        <is>
          <t>5.99</t>
        </is>
      </c>
      <c r="C789" t="inlineStr">
        <is>
          <t>Other non leafy vegs</t>
        </is>
      </c>
    </row>
    <row r="790">
      <c r="A790" t="inlineStr">
        <is>
          <t>crop3</t>
        </is>
      </c>
      <c r="B790" t="inlineStr">
        <is>
          <t>6.1</t>
        </is>
      </c>
      <c r="C790" t="inlineStr">
        <is>
          <t>Orange</t>
        </is>
      </c>
    </row>
    <row r="791">
      <c r="A791" t="inlineStr">
        <is>
          <t>crop3</t>
        </is>
      </c>
      <c r="B791" t="inlineStr">
        <is>
          <t>6.2</t>
        </is>
      </c>
      <c r="C791" t="inlineStr">
        <is>
          <t>Lemon</t>
        </is>
      </c>
    </row>
    <row r="792">
      <c r="A792" t="inlineStr">
        <is>
          <t>crop3</t>
        </is>
      </c>
      <c r="B792" t="inlineStr">
        <is>
          <t>6.3</t>
        </is>
      </c>
      <c r="C792" t="inlineStr">
        <is>
          <t>Grapefruit</t>
        </is>
      </c>
    </row>
    <row r="793">
      <c r="A793" t="inlineStr">
        <is>
          <t>crop3</t>
        </is>
      </c>
      <c r="B793" t="inlineStr">
        <is>
          <t>6.4</t>
        </is>
      </c>
      <c r="C793" t="inlineStr">
        <is>
          <t>Mandarins/clementines</t>
        </is>
      </c>
      <c r="D793" s="230" t="n"/>
    </row>
    <row r="794">
      <c r="A794" t="inlineStr">
        <is>
          <t>crop3</t>
        </is>
      </c>
      <c r="B794" t="inlineStr">
        <is>
          <t>6.99</t>
        </is>
      </c>
      <c r="C794" t="inlineStr">
        <is>
          <t>Other citrus fruit</t>
        </is>
      </c>
      <c r="D794" s="230" t="n"/>
    </row>
    <row r="795">
      <c r="A795" t="inlineStr">
        <is>
          <t>crop3</t>
        </is>
      </c>
      <c r="B795" t="inlineStr">
        <is>
          <t>7.1</t>
        </is>
      </c>
      <c r="C795" t="inlineStr">
        <is>
          <t>Sweet Banana</t>
        </is>
      </c>
      <c r="D795" s="230" t="n"/>
    </row>
    <row r="796">
      <c r="A796" t="inlineStr">
        <is>
          <t>crop3</t>
        </is>
      </c>
      <c r="B796" t="inlineStr">
        <is>
          <t>7.101</t>
        </is>
      </c>
      <c r="C796" t="inlineStr">
        <is>
          <t>Figs</t>
        </is>
      </c>
      <c r="D796" s="230" t="n"/>
    </row>
    <row r="797">
      <c r="A797" t="inlineStr">
        <is>
          <t>crop3</t>
        </is>
      </c>
      <c r="B797" t="inlineStr">
        <is>
          <t>7.11</t>
        </is>
      </c>
      <c r="C797" t="inlineStr">
        <is>
          <t>Grapes</t>
        </is>
      </c>
      <c r="D797" s="230" t="n"/>
    </row>
    <row r="798">
      <c r="A798" t="inlineStr">
        <is>
          <t>crop3</t>
        </is>
      </c>
      <c r="B798" t="inlineStr">
        <is>
          <t>7.12</t>
        </is>
      </c>
      <c r="C798" t="inlineStr">
        <is>
          <t>Olives</t>
        </is>
      </c>
      <c r="D798" s="230" t="n"/>
    </row>
    <row r="799">
      <c r="A799" t="inlineStr">
        <is>
          <t>crop3</t>
        </is>
      </c>
      <c r="B799" t="inlineStr">
        <is>
          <t>7.13</t>
        </is>
      </c>
      <c r="C799" t="inlineStr">
        <is>
          <t>Apple</t>
        </is>
      </c>
      <c r="D799" s="230" t="n"/>
    </row>
    <row r="800">
      <c r="A800" t="inlineStr">
        <is>
          <t>crop3</t>
        </is>
      </c>
      <c r="B800" t="inlineStr">
        <is>
          <t>7.16</t>
        </is>
      </c>
      <c r="C800" t="inlineStr">
        <is>
          <t>Peach/nectarine</t>
        </is>
      </c>
      <c r="D800" s="230" t="n"/>
    </row>
    <row r="801">
      <c r="A801" t="inlineStr">
        <is>
          <t>crop3</t>
        </is>
      </c>
      <c r="B801" t="inlineStr">
        <is>
          <t>7.17</t>
        </is>
      </c>
      <c r="C801" t="inlineStr">
        <is>
          <t>Strawberries</t>
        </is>
      </c>
      <c r="D801" s="230" t="n"/>
    </row>
    <row r="802">
      <c r="A802" t="inlineStr">
        <is>
          <t>crop3</t>
        </is>
      </c>
      <c r="B802" t="inlineStr">
        <is>
          <t>7.18</t>
        </is>
      </c>
      <c r="C802" t="inlineStr">
        <is>
          <t>Melon (Cantaloupe)</t>
        </is>
      </c>
      <c r="D802" s="230" t="n"/>
    </row>
    <row r="803">
      <c r="A803" t="inlineStr">
        <is>
          <t>crop3</t>
        </is>
      </c>
      <c r="B803" t="inlineStr">
        <is>
          <t>7.2</t>
        </is>
      </c>
      <c r="C803" t="inlineStr">
        <is>
          <t>Plantains</t>
        </is>
      </c>
      <c r="D803" s="230" t="n"/>
    </row>
    <row r="804">
      <c r="A804" t="inlineStr">
        <is>
          <t>crop3</t>
        </is>
      </c>
      <c r="B804" t="inlineStr">
        <is>
          <t>7.3</t>
        </is>
      </c>
      <c r="C804" t="inlineStr">
        <is>
          <t>Papaya</t>
        </is>
      </c>
      <c r="D804" s="230" t="n"/>
    </row>
    <row r="805">
      <c r="A805" t="inlineStr">
        <is>
          <t>crop3</t>
        </is>
      </c>
      <c r="B805" t="inlineStr">
        <is>
          <t>7.4</t>
        </is>
      </c>
      <c r="C805" t="inlineStr">
        <is>
          <t>Mango</t>
        </is>
      </c>
      <c r="D805" s="230" t="n"/>
    </row>
    <row r="806">
      <c r="A806" t="inlineStr">
        <is>
          <t>crop3</t>
        </is>
      </c>
      <c r="B806" t="inlineStr">
        <is>
          <t>7.5</t>
        </is>
      </c>
      <c r="C806" t="inlineStr">
        <is>
          <t>Guava</t>
        </is>
      </c>
      <c r="D806" s="230" t="n"/>
    </row>
    <row r="807">
      <c r="A807" t="inlineStr">
        <is>
          <t>crop3</t>
        </is>
      </c>
      <c r="B807" t="inlineStr">
        <is>
          <t>7.6</t>
        </is>
      </c>
      <c r="C807" t="inlineStr">
        <is>
          <t>Pineapple</t>
        </is>
      </c>
      <c r="D807" s="230" t="n"/>
    </row>
    <row r="808">
      <c r="A808" t="inlineStr">
        <is>
          <t>crop3</t>
        </is>
      </c>
      <c r="B808" t="inlineStr">
        <is>
          <t>7.7</t>
        </is>
      </c>
      <c r="C808" t="inlineStr">
        <is>
          <t>Avocado</t>
        </is>
      </c>
      <c r="D808" s="230" t="n"/>
    </row>
    <row r="809">
      <c r="A809" t="inlineStr">
        <is>
          <t>crop3</t>
        </is>
      </c>
      <c r="B809" t="inlineStr">
        <is>
          <t>7.9</t>
        </is>
      </c>
      <c r="C809" t="inlineStr">
        <is>
          <t>Dates</t>
        </is>
      </c>
      <c r="D809" s="230" t="n"/>
    </row>
    <row r="810">
      <c r="A810" t="inlineStr">
        <is>
          <t>crop3</t>
        </is>
      </c>
      <c r="B810" t="inlineStr">
        <is>
          <t>7.99</t>
        </is>
      </c>
      <c r="C810" t="inlineStr">
        <is>
          <t>Other fruit</t>
        </is>
      </c>
      <c r="D810" s="230" t="n"/>
    </row>
    <row r="811">
      <c r="A811" t="inlineStr">
        <is>
          <t>crop3</t>
        </is>
      </c>
      <c r="B811" t="inlineStr">
        <is>
          <t>8.1</t>
        </is>
      </c>
      <c r="C811" t="inlineStr">
        <is>
          <t>Coconuts</t>
        </is>
      </c>
      <c r="D811" s="230" t="n"/>
    </row>
    <row r="812">
      <c r="A812" t="inlineStr">
        <is>
          <t>crop3</t>
        </is>
      </c>
      <c r="B812" t="inlineStr">
        <is>
          <t>8.2</t>
        </is>
      </c>
      <c r="C812" t="inlineStr">
        <is>
          <t>Groundnut/peanut</t>
        </is>
      </c>
      <c r="D812" s="230" t="n"/>
    </row>
    <row r="813">
      <c r="A813" t="inlineStr">
        <is>
          <t>crop3</t>
        </is>
      </c>
      <c r="B813" t="inlineStr">
        <is>
          <t>8.3</t>
        </is>
      </c>
      <c r="C813" t="inlineStr">
        <is>
          <t>Cashew Nut</t>
        </is>
      </c>
      <c r="D813" s="230" t="n"/>
    </row>
    <row r="814">
      <c r="A814" t="inlineStr">
        <is>
          <t>crop3</t>
        </is>
      </c>
      <c r="B814" t="inlineStr">
        <is>
          <t>8.4</t>
        </is>
      </c>
      <c r="C814" t="inlineStr">
        <is>
          <t>Kola Nut</t>
        </is>
      </c>
      <c r="D814" s="230" t="n"/>
    </row>
    <row r="815">
      <c r="A815" t="inlineStr">
        <is>
          <t>crop3</t>
        </is>
      </c>
      <c r="B815" t="inlineStr">
        <is>
          <t>8.5</t>
        </is>
      </c>
      <c r="C815" t="inlineStr">
        <is>
          <t>Sesame</t>
        </is>
      </c>
      <c r="D815" s="230" t="n"/>
    </row>
    <row r="816">
      <c r="A816" t="inlineStr">
        <is>
          <t>crop3</t>
        </is>
      </c>
      <c r="B816" t="inlineStr">
        <is>
          <t>8.6</t>
        </is>
      </c>
      <c r="C816" t="inlineStr">
        <is>
          <t>Bambara nut</t>
        </is>
      </c>
      <c r="D816" s="230" t="n"/>
    </row>
    <row r="817">
      <c r="A817" t="inlineStr">
        <is>
          <t>crop3</t>
        </is>
      </c>
      <c r="B817" t="inlineStr">
        <is>
          <t>8.7</t>
        </is>
      </c>
      <c r="C817" t="inlineStr">
        <is>
          <t>Almond</t>
        </is>
      </c>
      <c r="D817" s="230" t="n"/>
    </row>
    <row r="818">
      <c r="A818" t="inlineStr">
        <is>
          <t>crop3</t>
        </is>
      </c>
      <c r="B818" t="inlineStr">
        <is>
          <t>8.8</t>
        </is>
      </c>
      <c r="C818" t="inlineStr">
        <is>
          <t>Walnut</t>
        </is>
      </c>
      <c r="D818" s="230" t="n"/>
    </row>
    <row r="819">
      <c r="A819" t="inlineStr">
        <is>
          <t>crop3</t>
        </is>
      </c>
      <c r="B819" t="inlineStr">
        <is>
          <t>8.99</t>
        </is>
      </c>
      <c r="C819" t="inlineStr">
        <is>
          <t>Other nuts</t>
        </is>
      </c>
      <c r="D819" s="230" t="n"/>
    </row>
    <row r="820">
      <c r="A820" t="inlineStr">
        <is>
          <t>crop3</t>
        </is>
      </c>
      <c r="B820" t="inlineStr">
        <is>
          <t>9.1</t>
        </is>
      </c>
      <c r="C820" t="inlineStr">
        <is>
          <t>Cocoa</t>
        </is>
      </c>
      <c r="D820" s="230" t="n"/>
    </row>
    <row r="821">
      <c r="A821" t="inlineStr">
        <is>
          <t>crop3</t>
        </is>
      </c>
      <c r="B821" t="inlineStr">
        <is>
          <t>9.2</t>
        </is>
      </c>
      <c r="C821" t="inlineStr">
        <is>
          <t>Coffee</t>
        </is>
      </c>
      <c r="D821" s="230" t="n"/>
    </row>
    <row r="822">
      <c r="A822" t="inlineStr">
        <is>
          <t>crop3</t>
        </is>
      </c>
      <c r="B822" t="inlineStr">
        <is>
          <t>9.3</t>
        </is>
      </c>
      <c r="C822" t="inlineStr">
        <is>
          <t>Tea</t>
        </is>
      </c>
      <c r="D822" s="230" t="n"/>
    </row>
    <row r="823">
      <c r="A823" t="inlineStr">
        <is>
          <t>crop3</t>
        </is>
      </c>
      <c r="B823" t="inlineStr">
        <is>
          <t>9.4</t>
        </is>
      </c>
      <c r="C823" t="inlineStr">
        <is>
          <t>Sugarcane</t>
        </is>
      </c>
      <c r="D823" s="230" t="n"/>
    </row>
    <row r="824">
      <c r="A824" t="inlineStr">
        <is>
          <t>crop3</t>
        </is>
      </c>
      <c r="B824" t="inlineStr">
        <is>
          <t>9.5</t>
        </is>
      </c>
      <c r="C824" t="inlineStr">
        <is>
          <t>Sunflower</t>
        </is>
      </c>
      <c r="D824" s="230" t="n"/>
    </row>
    <row r="825">
      <c r="A825" t="inlineStr">
        <is>
          <t>crop3</t>
        </is>
      </c>
      <c r="B825" t="inlineStr">
        <is>
          <t>9.99</t>
        </is>
      </c>
      <c r="C825" t="inlineStr">
        <is>
          <t>Other food cash crop</t>
        </is>
      </c>
      <c r="D825" s="230" t="n"/>
    </row>
    <row r="826">
      <c r="A826" t="inlineStr">
        <is>
          <t>crop3</t>
        </is>
      </c>
      <c r="B826" t="inlineStr">
        <is>
          <t>10.1</t>
        </is>
      </c>
      <c r="C826" t="inlineStr">
        <is>
          <t>Cotton</t>
        </is>
      </c>
      <c r="D826" s="230" t="n"/>
    </row>
    <row r="827">
      <c r="A827" t="inlineStr">
        <is>
          <t>crop3</t>
        </is>
      </c>
      <c r="B827" t="inlineStr">
        <is>
          <t>10.2</t>
        </is>
      </c>
      <c r="C827" t="inlineStr">
        <is>
          <t>Rubber</t>
        </is>
      </c>
      <c r="D827" s="230" t="n"/>
    </row>
    <row r="828">
      <c r="A828" t="inlineStr">
        <is>
          <t>crop3</t>
        </is>
      </c>
      <c r="B828" t="inlineStr">
        <is>
          <t>10.3</t>
        </is>
      </c>
      <c r="C828" t="inlineStr">
        <is>
          <t>Jute</t>
        </is>
      </c>
      <c r="D828" s="230" t="n"/>
    </row>
    <row r="829">
      <c r="A829" t="inlineStr">
        <is>
          <t>crop3</t>
        </is>
      </c>
      <c r="B829" t="inlineStr">
        <is>
          <t>10.4</t>
        </is>
      </c>
      <c r="C829" t="inlineStr">
        <is>
          <t>Fodder</t>
        </is>
      </c>
      <c r="D829" s="230" t="n"/>
    </row>
    <row r="830">
      <c r="A830" t="inlineStr">
        <is>
          <t>crop3</t>
        </is>
      </c>
      <c r="B830" t="inlineStr">
        <is>
          <t>10.5</t>
        </is>
      </c>
      <c r="C830" t="inlineStr">
        <is>
          <t>Tobacco</t>
        </is>
      </c>
      <c r="D830" s="230" t="n"/>
    </row>
    <row r="831">
      <c r="A831" t="inlineStr">
        <is>
          <t>crop3</t>
        </is>
      </c>
      <c r="B831" t="inlineStr">
        <is>
          <t>10.6</t>
        </is>
      </c>
      <c r="C831" t="inlineStr">
        <is>
          <t>Qat</t>
        </is>
      </c>
      <c r="D831" s="230" t="n"/>
    </row>
    <row r="832">
      <c r="A832" t="inlineStr">
        <is>
          <t>crop3</t>
        </is>
      </c>
      <c r="B832" t="inlineStr">
        <is>
          <t>10.99</t>
        </is>
      </c>
      <c r="C832" t="inlineStr">
        <is>
          <t>Other non-food cash crop</t>
        </is>
      </c>
      <c r="D832" s="230" t="n"/>
    </row>
    <row r="833">
      <c r="A833" t="inlineStr">
        <is>
          <t>crop3</t>
        </is>
      </c>
      <c r="B833" t="inlineStr">
        <is>
          <t>555</t>
        </is>
      </c>
      <c r="C833" t="inlineStr">
        <is>
          <t>No crop sold in the last 3 months</t>
        </is>
      </c>
      <c r="D833" s="230" t="n"/>
    </row>
    <row r="834">
      <c r="A834" t="inlineStr">
        <is>
          <t>crop3</t>
        </is>
      </c>
      <c r="B834" t="inlineStr">
        <is>
          <t>888</t>
        </is>
      </c>
      <c r="C834" t="inlineStr">
        <is>
          <t>Don't know</t>
        </is>
      </c>
      <c r="D834" s="230" t="n"/>
    </row>
    <row r="835">
      <c r="A835" t="inlineStr">
        <is>
          <t>crop3</t>
        </is>
      </c>
      <c r="B835" t="inlineStr">
        <is>
          <t>999</t>
        </is>
      </c>
      <c r="C835" t="inlineStr">
        <is>
          <t>Refused</t>
        </is>
      </c>
      <c r="D835" s="230" t="n"/>
    </row>
    <row r="836">
      <c r="D836" s="230" t="n"/>
    </row>
    <row r="837">
      <c r="A837" t="inlineStr">
        <is>
          <t>farmassets</t>
        </is>
      </c>
      <c r="B837" t="n">
        <v>1</v>
      </c>
      <c r="C837" t="inlineStr">
        <is>
          <t>Plough</t>
        </is>
      </c>
      <c r="D837" s="230" t="n"/>
    </row>
    <row r="838">
      <c r="A838" t="inlineStr">
        <is>
          <t>farmassets</t>
        </is>
      </c>
      <c r="B838">
        <f>1+B837</f>
        <v/>
      </c>
      <c r="C838" t="inlineStr">
        <is>
          <t xml:space="preserve"> Space</t>
        </is>
      </c>
      <c r="D838" s="230" t="n"/>
    </row>
    <row r="839">
      <c r="A839" t="inlineStr">
        <is>
          <t>farmassets</t>
        </is>
      </c>
      <c r="B839">
        <f>1+B838</f>
        <v/>
      </c>
      <c r="C839" t="inlineStr">
        <is>
          <t xml:space="preserve"> Sickle</t>
        </is>
      </c>
      <c r="D839" s="230" t="n"/>
    </row>
    <row r="840">
      <c r="A840" t="inlineStr">
        <is>
          <t>farmassets</t>
        </is>
      </c>
      <c r="B840">
        <f>1+B839</f>
        <v/>
      </c>
      <c r="C840" t="inlineStr">
        <is>
          <t xml:space="preserve"> Doko/basket </t>
        </is>
      </c>
      <c r="D840" s="230" t="n"/>
    </row>
    <row r="841">
      <c r="A841" t="inlineStr">
        <is>
          <t>farmassets</t>
        </is>
      </c>
      <c r="B841">
        <f>1+B840</f>
        <v/>
      </c>
      <c r="C841" t="inlineStr">
        <is>
          <t xml:space="preserve">Other agricultural tools </t>
        </is>
      </c>
      <c r="D841" s="230" t="n"/>
    </row>
    <row r="842">
      <c r="A842" t="inlineStr">
        <is>
          <t>farmassets</t>
        </is>
      </c>
      <c r="B842">
        <f>1+B841</f>
        <v/>
      </c>
      <c r="C842" t="inlineStr">
        <is>
          <t>Carts</t>
        </is>
      </c>
      <c r="D842" s="230" t="n"/>
    </row>
    <row r="843">
      <c r="A843" t="inlineStr">
        <is>
          <t>farmassets</t>
        </is>
      </c>
      <c r="B843">
        <f>1+B842</f>
        <v/>
      </c>
      <c r="C843" t="inlineStr">
        <is>
          <t>Small irrigation equipment and water tanks</t>
        </is>
      </c>
      <c r="D843" s="230" t="n"/>
    </row>
    <row r="844">
      <c r="A844" t="inlineStr">
        <is>
          <t>farmassets</t>
        </is>
      </c>
      <c r="B844">
        <f>1+B843</f>
        <v/>
      </c>
      <c r="C844" t="inlineStr">
        <is>
          <t xml:space="preserve">Aquaculture facilities or equipment </t>
        </is>
      </c>
      <c r="D844" s="230" t="n"/>
    </row>
    <row r="845">
      <c r="A845" t="inlineStr">
        <is>
          <t>farmassets</t>
        </is>
      </c>
      <c r="B845">
        <f>1+B844</f>
        <v/>
      </c>
      <c r="C845" t="inlineStr">
        <is>
          <t xml:space="preserve"> Mobile phone </t>
        </is>
      </c>
      <c r="D845" s="230" t="n"/>
    </row>
    <row r="846">
      <c r="A846" t="inlineStr">
        <is>
          <t>farmassets</t>
        </is>
      </c>
      <c r="B846">
        <f>1+B845</f>
        <v/>
      </c>
      <c r="C846" t="inlineStr">
        <is>
          <t>Motorbike</t>
        </is>
      </c>
      <c r="D846" s="230" t="n"/>
    </row>
    <row r="847">
      <c r="A847" t="inlineStr">
        <is>
          <t>farmassets</t>
        </is>
      </c>
      <c r="B847">
        <f>1+B846</f>
        <v/>
      </c>
      <c r="C847" s="3" t="inlineStr">
        <is>
          <t>Tractor</t>
        </is>
      </c>
    </row>
    <row r="848">
      <c r="A848" t="inlineStr">
        <is>
          <t>farmassets</t>
        </is>
      </c>
      <c r="B848">
        <f>1+B847</f>
        <v/>
      </c>
      <c r="C848" s="3" t="inlineStr">
        <is>
          <t>Workshop</t>
        </is>
      </c>
    </row>
    <row r="849">
      <c r="A849" t="inlineStr">
        <is>
          <t>farmassets</t>
        </is>
      </c>
      <c r="B849">
        <f>1+B848</f>
        <v/>
      </c>
      <c r="C849" s="3" t="inlineStr">
        <is>
          <t xml:space="preserve"> Electricity generator </t>
        </is>
      </c>
    </row>
    <row r="850">
      <c r="A850" t="inlineStr">
        <is>
          <t>farmassets</t>
        </is>
      </c>
      <c r="B850">
        <f>1+B849</f>
        <v/>
      </c>
      <c r="C850" s="3" t="inlineStr">
        <is>
          <t xml:space="preserve"> Tools for carpentry </t>
        </is>
      </c>
    </row>
    <row r="851">
      <c r="A851" t="inlineStr">
        <is>
          <t>farmassets</t>
        </is>
      </c>
      <c r="B851">
        <f>1+B850</f>
        <v/>
      </c>
      <c r="C851" s="3" t="inlineStr">
        <is>
          <t xml:space="preserve"> Baking oven</t>
        </is>
      </c>
    </row>
    <row r="852">
      <c r="A852" t="inlineStr">
        <is>
          <t>farmassets</t>
        </is>
      </c>
      <c r="B852">
        <f>1+B851</f>
        <v/>
      </c>
      <c r="C852" s="3" t="inlineStr">
        <is>
          <t>Sewing machine</t>
        </is>
      </c>
    </row>
    <row r="853">
      <c r="A853" t="inlineStr">
        <is>
          <t>farmassets</t>
        </is>
      </c>
      <c r="B853">
        <f>1+B852</f>
        <v/>
      </c>
      <c r="C853" s="3" t="inlineStr">
        <is>
          <t>Other</t>
        </is>
      </c>
    </row>
    <row r="854">
      <c r="A854" s="204" t="n"/>
      <c r="B854" s="204" t="n"/>
      <c r="C854" s="204" t="n"/>
    </row>
    <row r="855">
      <c r="A855" s="278" t="inlineStr">
        <is>
          <t>District</t>
        </is>
      </c>
      <c r="B855" t="n">
        <v>1</v>
      </c>
      <c r="C855" s="281" t="inlineStr">
        <is>
          <t>Jajarkot</t>
        </is>
      </c>
      <c r="D855" s="45" t="n"/>
      <c r="F855" t="n">
        <v>1</v>
      </c>
    </row>
    <row r="856">
      <c r="A856" s="278" t="inlineStr">
        <is>
          <t>District</t>
        </is>
      </c>
      <c r="B856" t="n">
        <v>3</v>
      </c>
      <c r="C856" s="281" t="inlineStr">
        <is>
          <t>Rukum West</t>
        </is>
      </c>
      <c r="D856" s="45" t="n"/>
      <c r="F856" t="n">
        <v>1</v>
      </c>
    </row>
    <row r="857">
      <c r="C857" s="281" t="n"/>
      <c r="D857" s="45" t="n"/>
    </row>
    <row r="858">
      <c r="A858" t="inlineStr">
        <is>
          <t>Municipality</t>
        </is>
      </c>
      <c r="B858" t="inlineStr">
        <is>
          <t>NP0660403</t>
        </is>
      </c>
      <c r="C858" t="inlineStr">
        <is>
          <t>Barekot</t>
        </is>
      </c>
      <c r="D858" s="45" t="n"/>
      <c r="F858" t="n">
        <v>1</v>
      </c>
    </row>
    <row r="859">
      <c r="A859" t="inlineStr">
        <is>
          <t>Municipality</t>
        </is>
      </c>
      <c r="B859" t="inlineStr">
        <is>
          <t>NP0660302</t>
        </is>
      </c>
      <c r="C859" t="inlineStr">
        <is>
          <t>Bheri</t>
        </is>
      </c>
      <c r="D859" s="45" t="n"/>
      <c r="F859" t="n">
        <v>1</v>
      </c>
    </row>
    <row r="860">
      <c r="A860" t="inlineStr">
        <is>
          <t>Municipality</t>
        </is>
      </c>
      <c r="B860" t="inlineStr">
        <is>
          <t>NP0660301</t>
        </is>
      </c>
      <c r="C860" t="inlineStr">
        <is>
          <t>Chhedagad</t>
        </is>
      </c>
      <c r="D860" s="45" t="n"/>
      <c r="F860" t="n">
        <v>1</v>
      </c>
    </row>
    <row r="861">
      <c r="A861" t="inlineStr">
        <is>
          <t>Municipality</t>
        </is>
      </c>
      <c r="B861" t="inlineStr">
        <is>
          <t>NP0660401</t>
        </is>
      </c>
      <c r="C861" t="inlineStr">
        <is>
          <t>Junichande</t>
        </is>
      </c>
      <c r="D861" s="45" t="n"/>
      <c r="F861" t="n">
        <v>1</v>
      </c>
    </row>
    <row r="862">
      <c r="A862" t="inlineStr">
        <is>
          <t>Municipality</t>
        </is>
      </c>
      <c r="B862" t="inlineStr">
        <is>
          <t>NP0660402</t>
        </is>
      </c>
      <c r="C862" t="inlineStr">
        <is>
          <t>Kuse</t>
        </is>
      </c>
      <c r="D862" s="45" t="n"/>
      <c r="F862" t="n">
        <v>1</v>
      </c>
    </row>
    <row r="863">
      <c r="A863" t="inlineStr">
        <is>
          <t>Municipality</t>
        </is>
      </c>
      <c r="B863" t="inlineStr">
        <is>
          <t>NP0660404</t>
        </is>
      </c>
      <c r="C863" t="inlineStr">
        <is>
          <t>Shiwalaya</t>
        </is>
      </c>
      <c r="D863" s="45" t="n"/>
      <c r="F863" t="n">
        <v>1</v>
      </c>
    </row>
    <row r="864">
      <c r="A864" t="inlineStr">
        <is>
          <t>Municipality</t>
        </is>
      </c>
      <c r="B864" t="inlineStr">
        <is>
          <t>NP0660303</t>
        </is>
      </c>
      <c r="C864" t="inlineStr">
        <is>
          <t>Nalagad</t>
        </is>
      </c>
      <c r="D864" s="45" t="n"/>
      <c r="F864" t="n">
        <v>1</v>
      </c>
    </row>
    <row r="865">
      <c r="A865" t="inlineStr">
        <is>
          <t>Municipality</t>
        </is>
      </c>
      <c r="B865" t="inlineStr">
        <is>
          <t>NP0652301</t>
        </is>
      </c>
      <c r="C865" t="inlineStr">
        <is>
          <t>Aathbiskot</t>
        </is>
      </c>
      <c r="D865" s="45" t="n"/>
      <c r="F865" t="n">
        <v>3</v>
      </c>
    </row>
    <row r="866">
      <c r="A866" t="inlineStr">
        <is>
          <t>Municipality</t>
        </is>
      </c>
      <c r="B866" t="inlineStr">
        <is>
          <t>NP0652402</t>
        </is>
      </c>
      <c r="C866" t="inlineStr">
        <is>
          <t>Banfikot</t>
        </is>
      </c>
      <c r="D866" s="45" t="n"/>
      <c r="F866" t="n">
        <v>3</v>
      </c>
    </row>
    <row r="867">
      <c r="A867" t="inlineStr">
        <is>
          <t>Municipality</t>
        </is>
      </c>
      <c r="B867" t="inlineStr">
        <is>
          <t>NP0652302</t>
        </is>
      </c>
      <c r="C867" t="inlineStr">
        <is>
          <t>Chaurjahari</t>
        </is>
      </c>
      <c r="D867" s="45" t="n"/>
      <c r="F867" t="n">
        <v>3</v>
      </c>
    </row>
    <row r="868">
      <c r="A868" t="inlineStr">
        <is>
          <t>Municipality</t>
        </is>
      </c>
      <c r="B868" t="inlineStr">
        <is>
          <t>NP0652303</t>
        </is>
      </c>
      <c r="C868" t="inlineStr">
        <is>
          <t>Musikot</t>
        </is>
      </c>
      <c r="D868" s="45" t="n"/>
      <c r="F868" t="n">
        <v>3</v>
      </c>
    </row>
    <row r="869">
      <c r="A869" t="inlineStr">
        <is>
          <t>Municipality</t>
        </is>
      </c>
      <c r="B869" t="inlineStr">
        <is>
          <t>NP0652401</t>
        </is>
      </c>
      <c r="C869" t="inlineStr">
        <is>
          <t>Sani Bheri</t>
        </is>
      </c>
      <c r="D869" s="45" t="n"/>
      <c r="F869" t="n">
        <v>3</v>
      </c>
    </row>
    <row r="870">
      <c r="A870" t="inlineStr">
        <is>
          <t>Municipality</t>
        </is>
      </c>
      <c r="B870" t="inlineStr">
        <is>
          <t>NP0652403</t>
        </is>
      </c>
      <c r="C870" t="inlineStr">
        <is>
          <t>Tribeni</t>
        </is>
      </c>
      <c r="D870" s="45" t="n"/>
      <c r="F870" t="n">
        <v>3</v>
      </c>
    </row>
    <row r="871">
      <c r="D871" s="230" t="n"/>
    </row>
    <row r="872">
      <c r="A872" t="inlineStr">
        <is>
          <t>function</t>
        </is>
      </c>
      <c r="B872" t="n">
        <v>1</v>
      </c>
      <c r="C872" s="274" t="inlineStr">
        <is>
          <t>Functional</t>
        </is>
      </c>
      <c r="D872" s="230" t="n"/>
    </row>
    <row r="873">
      <c r="A873" t="inlineStr">
        <is>
          <t>function</t>
        </is>
      </c>
      <c r="B873" t="n">
        <v>2</v>
      </c>
      <c r="C873" t="inlineStr">
        <is>
          <t xml:space="preserve">Partially functional </t>
        </is>
      </c>
      <c r="D873" s="230" t="n"/>
    </row>
    <row r="874">
      <c r="A874" t="inlineStr">
        <is>
          <t>function</t>
        </is>
      </c>
      <c r="B874" t="n">
        <v>3</v>
      </c>
      <c r="C874" t="inlineStr">
        <is>
          <t xml:space="preserve"> Not functional</t>
        </is>
      </c>
      <c r="D874" s="230" t="n"/>
    </row>
    <row r="875">
      <c r="A875" t="inlineStr">
        <is>
          <t>function</t>
        </is>
      </c>
      <c r="B875" t="n">
        <v>4</v>
      </c>
      <c r="C875" t="inlineStr">
        <is>
          <t xml:space="preserve"> Do not know</t>
        </is>
      </c>
      <c r="D875" s="230" t="n"/>
    </row>
    <row r="876"/>
    <row r="877">
      <c r="A877" s="3" t="inlineStr">
        <is>
          <t>severity</t>
        </is>
      </c>
      <c r="B877" s="115" t="inlineStr">
        <is>
          <t xml:space="preserve">housesdamaged </t>
        </is>
      </c>
      <c r="C877" s="115" t="inlineStr">
        <is>
          <t>Houses damaged by earthquake</t>
        </is>
      </c>
      <c r="D877" s="230" t="n"/>
    </row>
    <row r="878">
      <c r="A878" s="3" t="inlineStr">
        <is>
          <t>severity</t>
        </is>
      </c>
      <c r="B878" s="115" t="inlineStr">
        <is>
          <t>evacuatedfromhouse</t>
        </is>
      </c>
      <c r="C878" s="115" t="inlineStr">
        <is>
          <t>Evacuated from the house</t>
        </is>
      </c>
      <c r="D878" s="230" t="n"/>
    </row>
    <row r="879">
      <c r="B879" s="115" t="n"/>
      <c r="C879" s="115" t="n"/>
      <c r="D879" s="271" t="n"/>
    </row>
    <row r="880">
      <c r="A880" s="3" t="inlineStr">
        <is>
          <t>losesranges</t>
        </is>
      </c>
      <c r="B880" s="3" t="inlineStr">
        <is>
          <t>nearlytotalloses</t>
        </is>
      </c>
      <c r="C880" s="3" t="inlineStr">
        <is>
          <t>Nearly total loses (&gt;75%)</t>
        </is>
      </c>
      <c r="D880" s="230" t="n"/>
    </row>
    <row r="881">
      <c r="A881" s="3" t="inlineStr">
        <is>
          <t>losesranges</t>
        </is>
      </c>
      <c r="B881" s="3" t="inlineStr">
        <is>
          <t>substantialloses</t>
        </is>
      </c>
      <c r="C881" s="3" t="inlineStr">
        <is>
          <t>Substantial loses (50-75%)</t>
        </is>
      </c>
      <c r="D881" s="230" t="n"/>
    </row>
    <row r="882">
      <c r="A882" s="3" t="inlineStr">
        <is>
          <t>losesranges</t>
        </is>
      </c>
      <c r="B882" s="3" t="inlineStr">
        <is>
          <t>limitedloses</t>
        </is>
      </c>
      <c r="C882" s="3" t="inlineStr">
        <is>
          <t>Limited loses (25-50%)</t>
        </is>
      </c>
      <c r="D882" s="230" t="n"/>
    </row>
    <row r="883">
      <c r="A883" s="3" t="inlineStr">
        <is>
          <t>losesranges</t>
        </is>
      </c>
      <c r="B883" s="3" t="inlineStr">
        <is>
          <t>nofewloses</t>
        </is>
      </c>
      <c r="C883" s="3" t="inlineStr">
        <is>
          <t>no/few loses (&lt;25 %)</t>
        </is>
      </c>
      <c r="D883" s="230" t="n"/>
    </row>
    <row r="884">
      <c r="E884" s="271" t="n"/>
    </row>
    <row r="885">
      <c r="E885" s="271" t="n"/>
    </row>
    <row r="886">
      <c r="E886" s="271" t="n"/>
    </row>
    <row r="887">
      <c r="E887" s="271" t="n"/>
    </row>
    <row r="888">
      <c r="E888" s="271" t="n"/>
    </row>
    <row r="889">
      <c r="E889" s="271" t="n"/>
    </row>
    <row r="890">
      <c r="E890" s="271" t="n"/>
    </row>
    <row r="891"/>
    <row r="892">
      <c r="A892" t="inlineStr">
        <is>
          <t>crop</t>
        </is>
      </c>
      <c r="B892" t="inlineStr">
        <is>
          <t>1.1</t>
        </is>
      </c>
      <c r="C892" t="inlineStr">
        <is>
          <t>Rice</t>
        </is>
      </c>
    </row>
    <row r="893">
      <c r="A893" t="inlineStr">
        <is>
          <t>crop</t>
        </is>
      </c>
      <c r="B893" t="inlineStr">
        <is>
          <t>1.2</t>
        </is>
      </c>
      <c r="C893" t="inlineStr">
        <is>
          <t>Wheat</t>
        </is>
      </c>
    </row>
    <row r="894">
      <c r="A894" t="inlineStr">
        <is>
          <t>crop</t>
        </is>
      </c>
      <c r="B894" t="inlineStr">
        <is>
          <t>1.3</t>
        </is>
      </c>
      <c r="C894" t="inlineStr">
        <is>
          <t>Millet</t>
        </is>
      </c>
    </row>
    <row r="895">
      <c r="A895" t="inlineStr">
        <is>
          <t>crop</t>
        </is>
      </c>
      <c r="B895" t="inlineStr">
        <is>
          <t>1.5</t>
        </is>
      </c>
      <c r="C895" t="inlineStr">
        <is>
          <t>Maize</t>
        </is>
      </c>
    </row>
    <row r="896">
      <c r="A896" t="inlineStr">
        <is>
          <t>crop</t>
        </is>
      </c>
      <c r="B896" t="inlineStr">
        <is>
          <t>2.2</t>
        </is>
      </c>
      <c r="C896" t="inlineStr">
        <is>
          <t>Potatoe</t>
        </is>
      </c>
    </row>
    <row r="897">
      <c r="A897" t="inlineStr">
        <is>
          <t>crop</t>
        </is>
      </c>
      <c r="B897" t="inlineStr">
        <is>
          <t>3.1</t>
        </is>
      </c>
      <c r="C897" t="inlineStr">
        <is>
          <t>Beans</t>
        </is>
      </c>
    </row>
    <row r="898">
      <c r="A898" t="inlineStr">
        <is>
          <t>crop</t>
        </is>
      </c>
      <c r="B898" t="inlineStr">
        <is>
          <t>4.1</t>
        </is>
      </c>
      <c r="C898" t="inlineStr">
        <is>
          <t>Cabbage</t>
        </is>
      </c>
    </row>
    <row r="899">
      <c r="A899" t="inlineStr">
        <is>
          <t>crop</t>
        </is>
      </c>
      <c r="B899" t="inlineStr">
        <is>
          <t>4.101</t>
        </is>
      </c>
      <c r="C899" t="inlineStr">
        <is>
          <t>Cauliflower</t>
        </is>
      </c>
    </row>
    <row r="900">
      <c r="A900" t="inlineStr">
        <is>
          <t>crop</t>
        </is>
      </c>
      <c r="B900" t="inlineStr">
        <is>
          <t>5.8</t>
        </is>
      </c>
      <c r="C900" t="inlineStr">
        <is>
          <t>Onions</t>
        </is>
      </c>
    </row>
    <row r="901">
      <c r="A901" t="inlineStr">
        <is>
          <t>crop</t>
        </is>
      </c>
      <c r="B901" t="inlineStr">
        <is>
          <t>6.1</t>
        </is>
      </c>
      <c r="C901" t="inlineStr">
        <is>
          <t>Orange</t>
        </is>
      </c>
    </row>
    <row r="902">
      <c r="A902" t="inlineStr">
        <is>
          <t>crop</t>
        </is>
      </c>
      <c r="B902" t="inlineStr">
        <is>
          <t>6.2</t>
        </is>
      </c>
      <c r="C902" t="inlineStr">
        <is>
          <t>Lemon</t>
        </is>
      </c>
    </row>
    <row r="903">
      <c r="A903" t="inlineStr">
        <is>
          <t>crop</t>
        </is>
      </c>
      <c r="B903" t="inlineStr">
        <is>
          <t>1.4</t>
        </is>
      </c>
      <c r="C903" t="inlineStr">
        <is>
          <t>Sorghum</t>
        </is>
      </c>
    </row>
    <row r="904">
      <c r="A904" t="inlineStr">
        <is>
          <t>crop</t>
        </is>
      </c>
      <c r="B904" t="inlineStr">
        <is>
          <t>1.6</t>
        </is>
      </c>
      <c r="C904" t="inlineStr">
        <is>
          <t>Barley</t>
        </is>
      </c>
    </row>
    <row r="905">
      <c r="A905" t="inlineStr">
        <is>
          <t>crop</t>
        </is>
      </c>
      <c r="B905" t="inlineStr">
        <is>
          <t>1.99</t>
        </is>
      </c>
      <c r="C905" t="inlineStr">
        <is>
          <t>Other Cereal</t>
        </is>
      </c>
    </row>
    <row r="906">
      <c r="A906" t="inlineStr">
        <is>
          <t>crop</t>
        </is>
      </c>
      <c r="B906" t="inlineStr">
        <is>
          <t>2.1</t>
        </is>
      </c>
      <c r="C906" t="inlineStr">
        <is>
          <t>Cassava</t>
        </is>
      </c>
    </row>
    <row r="907">
      <c r="A907" t="inlineStr">
        <is>
          <t>crop</t>
        </is>
      </c>
      <c r="B907" t="inlineStr">
        <is>
          <t>2.3</t>
        </is>
      </c>
      <c r="C907" t="inlineStr">
        <is>
          <t>Sweet Potatoes</t>
        </is>
      </c>
    </row>
    <row r="908">
      <c r="A908" t="inlineStr">
        <is>
          <t>crop</t>
        </is>
      </c>
      <c r="B908" t="inlineStr">
        <is>
          <t>2.4</t>
        </is>
      </c>
      <c r="C908" t="inlineStr">
        <is>
          <t>Yams</t>
        </is>
      </c>
    </row>
    <row r="909">
      <c r="A909" t="inlineStr">
        <is>
          <t>crop</t>
        </is>
      </c>
      <c r="B909" t="inlineStr">
        <is>
          <t>2.5</t>
        </is>
      </c>
      <c r="C909" t="inlineStr">
        <is>
          <t>Carrots</t>
        </is>
      </c>
    </row>
    <row r="910">
      <c r="A910" t="inlineStr">
        <is>
          <t>crop</t>
        </is>
      </c>
      <c r="B910" t="inlineStr">
        <is>
          <t>2.6</t>
        </is>
      </c>
      <c r="C910" t="inlineStr">
        <is>
          <t>Cocoyam</t>
        </is>
      </c>
    </row>
    <row r="911">
      <c r="A911" t="inlineStr">
        <is>
          <t>crop</t>
        </is>
      </c>
      <c r="B911" t="inlineStr">
        <is>
          <t>2.99</t>
        </is>
      </c>
      <c r="C911" t="inlineStr">
        <is>
          <t>Other tubers</t>
        </is>
      </c>
    </row>
    <row r="912">
      <c r="A912" t="inlineStr">
        <is>
          <t>crop</t>
        </is>
      </c>
      <c r="B912" t="inlineStr">
        <is>
          <t>3.2</t>
        </is>
      </c>
      <c r="C912" t="inlineStr">
        <is>
          <t>Lentils</t>
        </is>
      </c>
    </row>
    <row r="913">
      <c r="A913" t="inlineStr">
        <is>
          <t>crop</t>
        </is>
      </c>
      <c r="B913" t="inlineStr">
        <is>
          <t>3.3</t>
        </is>
      </c>
      <c r="C913" t="inlineStr">
        <is>
          <t>Peas</t>
        </is>
      </c>
    </row>
    <row r="914">
      <c r="A914" t="inlineStr">
        <is>
          <t>crop</t>
        </is>
      </c>
      <c r="B914" t="inlineStr">
        <is>
          <t>3.4</t>
        </is>
      </c>
      <c r="C914" t="inlineStr">
        <is>
          <t>Soybeans</t>
        </is>
      </c>
    </row>
    <row r="915">
      <c r="A915" t="inlineStr">
        <is>
          <t>crop</t>
        </is>
      </c>
      <c r="B915" t="inlineStr">
        <is>
          <t>3.5</t>
        </is>
      </c>
      <c r="C915" t="inlineStr">
        <is>
          <t>Chickpeas</t>
        </is>
      </c>
    </row>
    <row r="916">
      <c r="A916" t="inlineStr">
        <is>
          <t>crop</t>
        </is>
      </c>
      <c r="B916" t="inlineStr">
        <is>
          <t>3.6</t>
        </is>
      </c>
      <c r="C916" t="inlineStr">
        <is>
          <t>Fava beans</t>
        </is>
      </c>
    </row>
    <row r="917">
      <c r="A917" t="inlineStr">
        <is>
          <t>crop</t>
        </is>
      </c>
      <c r="B917" t="inlineStr">
        <is>
          <t>3.7</t>
        </is>
      </c>
      <c r="C917" t="inlineStr">
        <is>
          <t>Broad beans</t>
        </is>
      </c>
    </row>
    <row r="918">
      <c r="A918" t="inlineStr">
        <is>
          <t>crop</t>
        </is>
      </c>
      <c r="B918" t="inlineStr">
        <is>
          <t>3.99</t>
        </is>
      </c>
      <c r="C918" t="inlineStr">
        <is>
          <t>Other pulses</t>
        </is>
      </c>
    </row>
    <row r="919">
      <c r="A919" t="inlineStr">
        <is>
          <t>crop</t>
        </is>
      </c>
      <c r="B919" t="inlineStr">
        <is>
          <t>4.2</t>
        </is>
      </c>
      <c r="C919" t="inlineStr">
        <is>
          <t>Lettuce</t>
        </is>
      </c>
    </row>
    <row r="920">
      <c r="A920" t="inlineStr">
        <is>
          <t>crop</t>
        </is>
      </c>
      <c r="B920" t="inlineStr">
        <is>
          <t>4.3</t>
        </is>
      </c>
      <c r="C920" t="inlineStr">
        <is>
          <t>Spinach-Amaranth</t>
        </is>
      </c>
    </row>
    <row r="921">
      <c r="A921" t="inlineStr">
        <is>
          <t>crop</t>
        </is>
      </c>
      <c r="B921" t="inlineStr">
        <is>
          <t>4.4</t>
        </is>
      </c>
      <c r="C921" t="inlineStr">
        <is>
          <t>Cassava leaves</t>
        </is>
      </c>
    </row>
    <row r="922">
      <c r="A922" t="inlineStr">
        <is>
          <t>crop</t>
        </is>
      </c>
      <c r="B922" t="inlineStr">
        <is>
          <t>4.5</t>
        </is>
      </c>
      <c r="C922" t="inlineStr">
        <is>
          <t>Potatoe leaves</t>
        </is>
      </c>
    </row>
    <row r="923">
      <c r="A923" t="inlineStr">
        <is>
          <t>crop</t>
        </is>
      </c>
      <c r="B923" t="inlineStr">
        <is>
          <t>4.6</t>
        </is>
      </c>
      <c r="C923" t="inlineStr">
        <is>
          <t>Moringa</t>
        </is>
      </c>
    </row>
    <row r="924">
      <c r="A924" t="inlineStr">
        <is>
          <t>crop</t>
        </is>
      </c>
      <c r="B924" t="inlineStr">
        <is>
          <t>4.7</t>
        </is>
      </c>
      <c r="C924" t="inlineStr">
        <is>
          <t>Sorrel Hibiscus / Rosselle</t>
        </is>
      </c>
    </row>
    <row r="925">
      <c r="A925" t="inlineStr">
        <is>
          <t>crop</t>
        </is>
      </c>
      <c r="B925" t="inlineStr">
        <is>
          <t>4.9</t>
        </is>
      </c>
      <c r="C925" t="inlineStr">
        <is>
          <t>Green salad herbs (thyme, parsley, mint, rocca, other)</t>
        </is>
      </c>
    </row>
    <row r="926">
      <c r="A926" t="inlineStr">
        <is>
          <t>crop</t>
        </is>
      </c>
      <c r="B926" t="inlineStr">
        <is>
          <t>4.99</t>
        </is>
      </c>
      <c r="C926" t="inlineStr">
        <is>
          <t>Other leafy vegetables</t>
        </is>
      </c>
    </row>
    <row r="927">
      <c r="A927" t="inlineStr">
        <is>
          <t>crop</t>
        </is>
      </c>
      <c r="B927" t="inlineStr">
        <is>
          <t>5.1</t>
        </is>
      </c>
      <c r="C927" t="inlineStr">
        <is>
          <t>Tomatoes</t>
        </is>
      </c>
    </row>
    <row r="928">
      <c r="A928" t="inlineStr">
        <is>
          <t>crop</t>
        </is>
      </c>
      <c r="B928" t="inlineStr">
        <is>
          <t>5.101</t>
        </is>
      </c>
      <c r="C928" t="inlineStr">
        <is>
          <t>Green peas</t>
        </is>
      </c>
    </row>
    <row r="929">
      <c r="A929" t="inlineStr">
        <is>
          <t>crop</t>
        </is>
      </c>
      <c r="B929" t="inlineStr">
        <is>
          <t>5.11</t>
        </is>
      </c>
      <c r="C929" t="inlineStr">
        <is>
          <t>Fava beans green</t>
        </is>
      </c>
    </row>
    <row r="930">
      <c r="A930" t="inlineStr">
        <is>
          <t>crop</t>
        </is>
      </c>
      <c r="B930" t="inlineStr">
        <is>
          <t>5.2</t>
        </is>
      </c>
      <c r="C930" t="inlineStr">
        <is>
          <t>Cucumber</t>
        </is>
      </c>
    </row>
    <row r="931">
      <c r="A931" t="inlineStr">
        <is>
          <t>crop</t>
        </is>
      </c>
      <c r="B931" t="inlineStr">
        <is>
          <t>5.3</t>
        </is>
      </c>
      <c r="C931" t="inlineStr">
        <is>
          <t>Pumpkin</t>
        </is>
      </c>
    </row>
    <row r="932">
      <c r="A932" t="inlineStr">
        <is>
          <t>crop</t>
        </is>
      </c>
      <c r="B932" t="inlineStr">
        <is>
          <t>5.4</t>
        </is>
      </c>
      <c r="C932" t="inlineStr">
        <is>
          <t>Eggplant/aubergine</t>
        </is>
      </c>
    </row>
    <row r="933">
      <c r="A933" t="inlineStr">
        <is>
          <t>crop</t>
        </is>
      </c>
      <c r="B933" t="inlineStr">
        <is>
          <t>5.5</t>
        </is>
      </c>
      <c r="C933" t="inlineStr">
        <is>
          <t>Zucchini</t>
        </is>
      </c>
    </row>
    <row r="934">
      <c r="A934" t="inlineStr">
        <is>
          <t>crop</t>
        </is>
      </c>
      <c r="B934" t="inlineStr">
        <is>
          <t>5.6</t>
        </is>
      </c>
      <c r="C934" t="inlineStr">
        <is>
          <t>Okra</t>
        </is>
      </c>
    </row>
    <row r="935">
      <c r="A935" t="inlineStr">
        <is>
          <t>crop</t>
        </is>
      </c>
      <c r="B935" t="inlineStr">
        <is>
          <t>5.7</t>
        </is>
      </c>
      <c r="C935" t="inlineStr">
        <is>
          <t>Bell pepper</t>
        </is>
      </c>
    </row>
    <row r="936">
      <c r="A936" t="inlineStr">
        <is>
          <t>crop</t>
        </is>
      </c>
      <c r="B936" t="inlineStr">
        <is>
          <t>5.9</t>
        </is>
      </c>
      <c r="C936" t="inlineStr">
        <is>
          <t>Haricot</t>
        </is>
      </c>
    </row>
    <row r="937">
      <c r="A937" t="inlineStr">
        <is>
          <t>crop</t>
        </is>
      </c>
      <c r="B937" t="inlineStr">
        <is>
          <t>5.99</t>
        </is>
      </c>
      <c r="C937" t="inlineStr">
        <is>
          <t>Other non leafy vegs</t>
        </is>
      </c>
    </row>
    <row r="938">
      <c r="A938" t="inlineStr">
        <is>
          <t>crop</t>
        </is>
      </c>
      <c r="B938" t="inlineStr">
        <is>
          <t>6.3</t>
        </is>
      </c>
      <c r="C938" t="inlineStr">
        <is>
          <t>Grapefruit</t>
        </is>
      </c>
    </row>
    <row r="939">
      <c r="A939" t="inlineStr">
        <is>
          <t>crop</t>
        </is>
      </c>
      <c r="B939" t="inlineStr">
        <is>
          <t>6.4</t>
        </is>
      </c>
      <c r="C939" t="inlineStr">
        <is>
          <t>Mandarins/clementines</t>
        </is>
      </c>
    </row>
    <row r="940">
      <c r="A940" t="inlineStr">
        <is>
          <t>crop</t>
        </is>
      </c>
      <c r="B940" t="inlineStr">
        <is>
          <t>6.99</t>
        </is>
      </c>
      <c r="C940" t="inlineStr">
        <is>
          <t>Other citrus fruit</t>
        </is>
      </c>
    </row>
    <row r="941">
      <c r="A941" t="inlineStr">
        <is>
          <t>crop</t>
        </is>
      </c>
      <c r="B941" t="inlineStr">
        <is>
          <t>7.1</t>
        </is>
      </c>
      <c r="C941" t="inlineStr">
        <is>
          <t>Sweet Banana</t>
        </is>
      </c>
    </row>
    <row r="942">
      <c r="A942" t="inlineStr">
        <is>
          <t>crop</t>
        </is>
      </c>
      <c r="B942" t="inlineStr">
        <is>
          <t>7.101</t>
        </is>
      </c>
      <c r="C942" t="inlineStr">
        <is>
          <t>Figs</t>
        </is>
      </c>
    </row>
    <row r="943">
      <c r="A943" t="inlineStr">
        <is>
          <t>crop</t>
        </is>
      </c>
      <c r="B943" t="inlineStr">
        <is>
          <t>7.11</t>
        </is>
      </c>
      <c r="C943" t="inlineStr">
        <is>
          <t>Grapes</t>
        </is>
      </c>
    </row>
    <row r="944">
      <c r="A944" t="inlineStr">
        <is>
          <t>crop</t>
        </is>
      </c>
      <c r="B944" t="inlineStr">
        <is>
          <t>7.12</t>
        </is>
      </c>
      <c r="C944" t="inlineStr">
        <is>
          <t>Olives</t>
        </is>
      </c>
    </row>
    <row r="945">
      <c r="A945" t="inlineStr">
        <is>
          <t>crop</t>
        </is>
      </c>
      <c r="B945" t="inlineStr">
        <is>
          <t>7.13</t>
        </is>
      </c>
      <c r="C945" t="inlineStr">
        <is>
          <t>Apple</t>
        </is>
      </c>
    </row>
    <row r="946">
      <c r="A946" t="inlineStr">
        <is>
          <t>crop</t>
        </is>
      </c>
      <c r="B946" t="inlineStr">
        <is>
          <t>7.14</t>
        </is>
      </c>
      <c r="C946" t="inlineStr">
        <is>
          <t>Apricot</t>
        </is>
      </c>
    </row>
    <row r="947">
      <c r="A947" t="inlineStr">
        <is>
          <t>crop</t>
        </is>
      </c>
      <c r="B947" t="inlineStr">
        <is>
          <t>7.15</t>
        </is>
      </c>
      <c r="C947" t="inlineStr">
        <is>
          <t>Cherries</t>
        </is>
      </c>
    </row>
    <row r="948">
      <c r="A948" t="inlineStr">
        <is>
          <t>crop</t>
        </is>
      </c>
      <c r="B948" t="inlineStr">
        <is>
          <t>7.16</t>
        </is>
      </c>
      <c r="C948" t="inlineStr">
        <is>
          <t>Peach/nectarine</t>
        </is>
      </c>
    </row>
    <row r="949">
      <c r="A949" t="inlineStr">
        <is>
          <t>crop</t>
        </is>
      </c>
      <c r="B949" t="inlineStr">
        <is>
          <t>7.17</t>
        </is>
      </c>
      <c r="C949" t="inlineStr">
        <is>
          <t>Strawberries</t>
        </is>
      </c>
    </row>
    <row r="950">
      <c r="A950" t="inlineStr">
        <is>
          <t>crop</t>
        </is>
      </c>
      <c r="B950" t="inlineStr">
        <is>
          <t>7.18</t>
        </is>
      </c>
      <c r="C950" t="inlineStr">
        <is>
          <t>Melon (Cantaloupe)</t>
        </is>
      </c>
    </row>
    <row r="951">
      <c r="A951" t="inlineStr">
        <is>
          <t>crop</t>
        </is>
      </c>
      <c r="B951" t="inlineStr">
        <is>
          <t>7.2</t>
        </is>
      </c>
      <c r="C951" t="inlineStr">
        <is>
          <t>Plantains</t>
        </is>
      </c>
    </row>
    <row r="952">
      <c r="A952" t="inlineStr">
        <is>
          <t>crop</t>
        </is>
      </c>
      <c r="B952" t="inlineStr">
        <is>
          <t>7.3</t>
        </is>
      </c>
      <c r="C952" t="inlineStr">
        <is>
          <t>Papaya</t>
        </is>
      </c>
    </row>
    <row r="953">
      <c r="A953" t="inlineStr">
        <is>
          <t>crop</t>
        </is>
      </c>
      <c r="B953" t="inlineStr">
        <is>
          <t>7.4</t>
        </is>
      </c>
      <c r="C953" t="inlineStr">
        <is>
          <t>Mango</t>
        </is>
      </c>
    </row>
    <row r="954">
      <c r="A954" t="inlineStr">
        <is>
          <t>crop</t>
        </is>
      </c>
      <c r="B954" t="inlineStr">
        <is>
          <t>7.5</t>
        </is>
      </c>
      <c r="C954" t="inlineStr">
        <is>
          <t>Guava</t>
        </is>
      </c>
    </row>
    <row r="955">
      <c r="A955" t="inlineStr">
        <is>
          <t>crop</t>
        </is>
      </c>
      <c r="B955" t="inlineStr">
        <is>
          <t>7.6</t>
        </is>
      </c>
      <c r="C955" t="inlineStr">
        <is>
          <t>Pineapple</t>
        </is>
      </c>
    </row>
    <row r="956">
      <c r="A956" t="inlineStr">
        <is>
          <t>crop</t>
        </is>
      </c>
      <c r="B956" t="inlineStr">
        <is>
          <t>7.7</t>
        </is>
      </c>
      <c r="C956" t="inlineStr">
        <is>
          <t>Avocado</t>
        </is>
      </c>
    </row>
    <row r="957">
      <c r="A957" t="inlineStr">
        <is>
          <t>crop</t>
        </is>
      </c>
      <c r="B957" t="inlineStr">
        <is>
          <t>7.8</t>
        </is>
      </c>
      <c r="C957" t="inlineStr">
        <is>
          <t>Water Melon</t>
        </is>
      </c>
    </row>
    <row r="958">
      <c r="A958" t="inlineStr">
        <is>
          <t>crop</t>
        </is>
      </c>
      <c r="B958" t="inlineStr">
        <is>
          <t>7.9</t>
        </is>
      </c>
      <c r="C958" t="inlineStr">
        <is>
          <t>Dates</t>
        </is>
      </c>
    </row>
    <row r="959">
      <c r="A959" t="inlineStr">
        <is>
          <t>crop</t>
        </is>
      </c>
      <c r="B959" t="inlineStr">
        <is>
          <t>7.99</t>
        </is>
      </c>
      <c r="C959" t="inlineStr">
        <is>
          <t>Other fruit</t>
        </is>
      </c>
    </row>
    <row r="960">
      <c r="A960" t="inlineStr">
        <is>
          <t>crop</t>
        </is>
      </c>
      <c r="B960" t="inlineStr">
        <is>
          <t>8.1</t>
        </is>
      </c>
      <c r="C960" t="inlineStr">
        <is>
          <t>Coconuts</t>
        </is>
      </c>
    </row>
    <row r="961">
      <c r="A961" t="inlineStr">
        <is>
          <t>crop</t>
        </is>
      </c>
      <c r="B961" t="inlineStr">
        <is>
          <t>8.2</t>
        </is>
      </c>
      <c r="C961" t="inlineStr">
        <is>
          <t>Groundnut/peanut</t>
        </is>
      </c>
    </row>
    <row r="962">
      <c r="A962" t="inlineStr">
        <is>
          <t>crop</t>
        </is>
      </c>
      <c r="B962" t="inlineStr">
        <is>
          <t>8.3</t>
        </is>
      </c>
      <c r="C962" t="inlineStr">
        <is>
          <t>Cashew Nut</t>
        </is>
      </c>
    </row>
    <row r="963">
      <c r="A963" t="inlineStr">
        <is>
          <t>crop</t>
        </is>
      </c>
      <c r="B963" t="inlineStr">
        <is>
          <t>8.4</t>
        </is>
      </c>
      <c r="C963" t="inlineStr">
        <is>
          <t>Kola Nut</t>
        </is>
      </c>
    </row>
    <row r="964">
      <c r="A964" t="inlineStr">
        <is>
          <t>crop</t>
        </is>
      </c>
      <c r="B964" t="inlineStr">
        <is>
          <t>8.5</t>
        </is>
      </c>
      <c r="C964" t="inlineStr">
        <is>
          <t>Sesame</t>
        </is>
      </c>
    </row>
    <row r="965">
      <c r="A965" t="inlineStr">
        <is>
          <t>crop</t>
        </is>
      </c>
      <c r="B965" t="inlineStr">
        <is>
          <t>8.6</t>
        </is>
      </c>
      <c r="C965" t="inlineStr">
        <is>
          <t>Bambara nut</t>
        </is>
      </c>
    </row>
    <row r="966">
      <c r="A966" t="inlineStr">
        <is>
          <t>crop</t>
        </is>
      </c>
      <c r="B966" t="inlineStr">
        <is>
          <t>8.7</t>
        </is>
      </c>
      <c r="C966" t="inlineStr">
        <is>
          <t>Almond</t>
        </is>
      </c>
    </row>
    <row r="967">
      <c r="A967" t="inlineStr">
        <is>
          <t>crop</t>
        </is>
      </c>
      <c r="B967" t="inlineStr">
        <is>
          <t>8.8</t>
        </is>
      </c>
      <c r="C967" t="inlineStr">
        <is>
          <t>Walnut</t>
        </is>
      </c>
    </row>
    <row r="968">
      <c r="A968" t="inlineStr">
        <is>
          <t>crop</t>
        </is>
      </c>
      <c r="B968" t="inlineStr">
        <is>
          <t>8.99</t>
        </is>
      </c>
      <c r="C968" t="inlineStr">
        <is>
          <t>Other nuts</t>
        </is>
      </c>
    </row>
    <row r="969">
      <c r="A969" t="inlineStr">
        <is>
          <t>crop</t>
        </is>
      </c>
      <c r="B969" t="inlineStr">
        <is>
          <t>9.1</t>
        </is>
      </c>
      <c r="C969" t="inlineStr">
        <is>
          <t>Cocoa</t>
        </is>
      </c>
    </row>
    <row r="970">
      <c r="A970" t="inlineStr">
        <is>
          <t>crop</t>
        </is>
      </c>
      <c r="B970" t="inlineStr">
        <is>
          <t>9.2</t>
        </is>
      </c>
      <c r="C970" t="inlineStr">
        <is>
          <t>Coffee</t>
        </is>
      </c>
    </row>
    <row r="971">
      <c r="A971" t="inlineStr">
        <is>
          <t>crop</t>
        </is>
      </c>
      <c r="B971" t="inlineStr">
        <is>
          <t>9.3</t>
        </is>
      </c>
      <c r="C971" t="inlineStr">
        <is>
          <t>Tea</t>
        </is>
      </c>
    </row>
    <row r="972">
      <c r="A972" t="inlineStr">
        <is>
          <t>crop</t>
        </is>
      </c>
      <c r="B972" t="inlineStr">
        <is>
          <t>9.4</t>
        </is>
      </c>
      <c r="C972" t="inlineStr">
        <is>
          <t>Sugarcane</t>
        </is>
      </c>
    </row>
    <row r="973">
      <c r="A973" t="inlineStr">
        <is>
          <t>crop</t>
        </is>
      </c>
      <c r="B973" t="inlineStr">
        <is>
          <t>9.5</t>
        </is>
      </c>
      <c r="C973" t="inlineStr">
        <is>
          <t>Sunflower</t>
        </is>
      </c>
    </row>
    <row r="974">
      <c r="A974" t="inlineStr">
        <is>
          <t>crop</t>
        </is>
      </c>
      <c r="B974" t="inlineStr">
        <is>
          <t>9.99</t>
        </is>
      </c>
      <c r="C974" t="inlineStr">
        <is>
          <t>Other food cash crop</t>
        </is>
      </c>
    </row>
    <row r="975">
      <c r="A975" t="inlineStr">
        <is>
          <t>crop</t>
        </is>
      </c>
      <c r="B975" t="inlineStr">
        <is>
          <t>10.1</t>
        </is>
      </c>
      <c r="C975" t="inlineStr">
        <is>
          <t>Cotton</t>
        </is>
      </c>
    </row>
    <row r="976">
      <c r="A976" t="inlineStr">
        <is>
          <t>crop</t>
        </is>
      </c>
      <c r="B976" t="inlineStr">
        <is>
          <t>10.2</t>
        </is>
      </c>
      <c r="C976" t="inlineStr">
        <is>
          <t>Rubber</t>
        </is>
      </c>
    </row>
    <row r="977">
      <c r="A977" t="inlineStr">
        <is>
          <t>crop</t>
        </is>
      </c>
      <c r="B977" t="inlineStr">
        <is>
          <t>10.3</t>
        </is>
      </c>
      <c r="C977" t="inlineStr">
        <is>
          <t>Jute</t>
        </is>
      </c>
    </row>
    <row r="978">
      <c r="A978" t="inlineStr">
        <is>
          <t>crop</t>
        </is>
      </c>
      <c r="B978" t="inlineStr">
        <is>
          <t>10.4</t>
        </is>
      </c>
      <c r="C978" t="inlineStr">
        <is>
          <t>Fodder</t>
        </is>
      </c>
    </row>
    <row r="979">
      <c r="A979" t="inlineStr">
        <is>
          <t>crop</t>
        </is>
      </c>
      <c r="B979" t="inlineStr">
        <is>
          <t>10.5</t>
        </is>
      </c>
      <c r="C979" t="inlineStr">
        <is>
          <t>Tobacco</t>
        </is>
      </c>
    </row>
    <row r="980">
      <c r="A980" t="inlineStr">
        <is>
          <t>crop</t>
        </is>
      </c>
      <c r="B980" t="inlineStr">
        <is>
          <t>10.6</t>
        </is>
      </c>
      <c r="C980" t="inlineStr">
        <is>
          <t>Qat</t>
        </is>
      </c>
    </row>
    <row r="981">
      <c r="A981" t="inlineStr">
        <is>
          <t>crop</t>
        </is>
      </c>
      <c r="B981" t="inlineStr">
        <is>
          <t>10.99</t>
        </is>
      </c>
      <c r="C981" t="inlineStr">
        <is>
          <t>Other non-food cash crop</t>
        </is>
      </c>
    </row>
    <row r="982">
      <c r="A982" t="inlineStr">
        <is>
          <t>crop</t>
        </is>
      </c>
      <c r="B982" t="inlineStr">
        <is>
          <t>777</t>
        </is>
      </c>
      <c r="C982" t="inlineStr">
        <is>
          <t>No crop production</t>
        </is>
      </c>
    </row>
    <row r="983">
      <c r="A983" t="inlineStr">
        <is>
          <t>crop</t>
        </is>
      </c>
      <c r="B983" t="inlineStr">
        <is>
          <t>888</t>
        </is>
      </c>
      <c r="C983" t="inlineStr">
        <is>
          <t>Don't know</t>
        </is>
      </c>
    </row>
    <row r="984">
      <c r="A984" t="inlineStr">
        <is>
          <t>crop</t>
        </is>
      </c>
      <c r="B984" t="inlineStr">
        <is>
          <t>999</t>
        </is>
      </c>
      <c r="C984" t="inlineStr">
        <is>
          <t>Refused</t>
        </is>
      </c>
    </row>
    <row r="985"/>
    <row r="986">
      <c r="A986" t="inlineStr">
        <is>
          <t>crop2</t>
        </is>
      </c>
      <c r="B986" t="inlineStr">
        <is>
          <t>1.1</t>
        </is>
      </c>
      <c r="C986" t="inlineStr">
        <is>
          <t>Rice</t>
        </is>
      </c>
    </row>
    <row r="987">
      <c r="A987" t="inlineStr">
        <is>
          <t>crop2</t>
        </is>
      </c>
      <c r="B987" t="inlineStr">
        <is>
          <t>1.2</t>
        </is>
      </c>
      <c r="C987" t="inlineStr">
        <is>
          <t>Wheat</t>
        </is>
      </c>
    </row>
    <row r="988">
      <c r="A988" t="inlineStr">
        <is>
          <t>crop2</t>
        </is>
      </c>
      <c r="B988" t="inlineStr">
        <is>
          <t>1.3</t>
        </is>
      </c>
      <c r="C988" t="inlineStr">
        <is>
          <t>Millet</t>
        </is>
      </c>
    </row>
    <row r="989">
      <c r="A989" t="inlineStr">
        <is>
          <t>crop2</t>
        </is>
      </c>
      <c r="B989" t="inlineStr">
        <is>
          <t>1.5</t>
        </is>
      </c>
      <c r="C989" t="inlineStr">
        <is>
          <t>Maize</t>
        </is>
      </c>
    </row>
    <row r="990">
      <c r="A990" t="inlineStr">
        <is>
          <t>crop2</t>
        </is>
      </c>
      <c r="B990" t="inlineStr">
        <is>
          <t>2.2</t>
        </is>
      </c>
      <c r="C990" t="inlineStr">
        <is>
          <t>Potatoe</t>
        </is>
      </c>
    </row>
    <row r="991">
      <c r="A991" t="inlineStr">
        <is>
          <t>crop2</t>
        </is>
      </c>
      <c r="B991" t="inlineStr">
        <is>
          <t>3.1</t>
        </is>
      </c>
      <c r="C991" t="inlineStr">
        <is>
          <t>Beans</t>
        </is>
      </c>
    </row>
    <row r="992">
      <c r="A992" t="inlineStr">
        <is>
          <t>crop2</t>
        </is>
      </c>
      <c r="B992" t="inlineStr">
        <is>
          <t>4.1</t>
        </is>
      </c>
      <c r="C992" t="inlineStr">
        <is>
          <t>Cabbage</t>
        </is>
      </c>
    </row>
    <row r="993">
      <c r="A993" t="inlineStr">
        <is>
          <t>crop2</t>
        </is>
      </c>
      <c r="B993" t="inlineStr">
        <is>
          <t>4.101</t>
        </is>
      </c>
      <c r="C993" t="inlineStr">
        <is>
          <t>Cauliflower</t>
        </is>
      </c>
    </row>
    <row r="994">
      <c r="A994" t="inlineStr">
        <is>
          <t>crop2</t>
        </is>
      </c>
      <c r="B994" t="inlineStr">
        <is>
          <t>5.8</t>
        </is>
      </c>
      <c r="C994" t="inlineStr">
        <is>
          <t>Onions</t>
        </is>
      </c>
    </row>
    <row r="995">
      <c r="A995" t="inlineStr">
        <is>
          <t>crop2</t>
        </is>
      </c>
      <c r="B995" t="inlineStr">
        <is>
          <t>6.1</t>
        </is>
      </c>
      <c r="C995" t="inlineStr">
        <is>
          <t>Orange</t>
        </is>
      </c>
    </row>
    <row r="996">
      <c r="A996" t="inlineStr">
        <is>
          <t>crop2</t>
        </is>
      </c>
      <c r="B996" t="inlineStr">
        <is>
          <t>6.2</t>
        </is>
      </c>
      <c r="C996" t="inlineStr">
        <is>
          <t>Lemon</t>
        </is>
      </c>
    </row>
    <row r="997">
      <c r="A997" t="inlineStr">
        <is>
          <t>crop2</t>
        </is>
      </c>
      <c r="B997" t="inlineStr">
        <is>
          <t>1.4</t>
        </is>
      </c>
      <c r="C997" t="inlineStr">
        <is>
          <t>Sorghum</t>
        </is>
      </c>
    </row>
    <row r="998">
      <c r="A998" t="inlineStr">
        <is>
          <t>crop2</t>
        </is>
      </c>
      <c r="B998" t="inlineStr">
        <is>
          <t>1.6</t>
        </is>
      </c>
      <c r="C998" t="inlineStr">
        <is>
          <t>Barley</t>
        </is>
      </c>
    </row>
    <row r="999">
      <c r="A999" t="inlineStr">
        <is>
          <t>crop2</t>
        </is>
      </c>
      <c r="B999" t="inlineStr">
        <is>
          <t>1.99</t>
        </is>
      </c>
      <c r="C999" t="inlineStr">
        <is>
          <t>Other Cereal</t>
        </is>
      </c>
    </row>
    <row r="1000">
      <c r="A1000" t="inlineStr">
        <is>
          <t>crop2</t>
        </is>
      </c>
      <c r="B1000" t="inlineStr">
        <is>
          <t>2.1</t>
        </is>
      </c>
      <c r="C1000" t="inlineStr">
        <is>
          <t>Cassava</t>
        </is>
      </c>
    </row>
    <row r="1001">
      <c r="A1001" t="inlineStr">
        <is>
          <t>crop2</t>
        </is>
      </c>
      <c r="B1001" t="inlineStr">
        <is>
          <t>2.3</t>
        </is>
      </c>
      <c r="C1001" t="inlineStr">
        <is>
          <t>Sweet Potatoes</t>
        </is>
      </c>
    </row>
    <row r="1002">
      <c r="A1002" t="inlineStr">
        <is>
          <t>crop2</t>
        </is>
      </c>
      <c r="B1002" t="inlineStr">
        <is>
          <t>2.4</t>
        </is>
      </c>
      <c r="C1002" t="inlineStr">
        <is>
          <t>Yams</t>
        </is>
      </c>
    </row>
    <row r="1003">
      <c r="A1003" t="inlineStr">
        <is>
          <t>crop2</t>
        </is>
      </c>
      <c r="B1003" t="inlineStr">
        <is>
          <t>2.5</t>
        </is>
      </c>
      <c r="C1003" t="inlineStr">
        <is>
          <t>Carrots</t>
        </is>
      </c>
    </row>
    <row r="1004">
      <c r="A1004" t="inlineStr">
        <is>
          <t>crop2</t>
        </is>
      </c>
      <c r="B1004" t="inlineStr">
        <is>
          <t>2.6</t>
        </is>
      </c>
      <c r="C1004" t="inlineStr">
        <is>
          <t>Cocoyam</t>
        </is>
      </c>
    </row>
    <row r="1005">
      <c r="A1005" t="inlineStr">
        <is>
          <t>crop2</t>
        </is>
      </c>
      <c r="B1005" t="inlineStr">
        <is>
          <t>2.99</t>
        </is>
      </c>
      <c r="C1005" t="inlineStr">
        <is>
          <t>Other tubers</t>
        </is>
      </c>
    </row>
    <row r="1006">
      <c r="A1006" t="inlineStr">
        <is>
          <t>crop2</t>
        </is>
      </c>
      <c r="B1006" t="inlineStr">
        <is>
          <t>3.2</t>
        </is>
      </c>
      <c r="C1006" t="inlineStr">
        <is>
          <t>Lentils</t>
        </is>
      </c>
    </row>
    <row r="1007">
      <c r="A1007" t="inlineStr">
        <is>
          <t>crop2</t>
        </is>
      </c>
      <c r="B1007" t="inlineStr">
        <is>
          <t>3.3</t>
        </is>
      </c>
      <c r="C1007" t="inlineStr">
        <is>
          <t>Peas</t>
        </is>
      </c>
    </row>
    <row r="1008">
      <c r="A1008" t="inlineStr">
        <is>
          <t>crop2</t>
        </is>
      </c>
      <c r="B1008" t="inlineStr">
        <is>
          <t>3.4</t>
        </is>
      </c>
      <c r="C1008" t="inlineStr">
        <is>
          <t>Soybeans</t>
        </is>
      </c>
    </row>
    <row r="1009">
      <c r="A1009" t="inlineStr">
        <is>
          <t>crop2</t>
        </is>
      </c>
      <c r="B1009" t="inlineStr">
        <is>
          <t>3.5</t>
        </is>
      </c>
      <c r="C1009" t="inlineStr">
        <is>
          <t>Chickpeas</t>
        </is>
      </c>
    </row>
    <row r="1010">
      <c r="A1010" t="inlineStr">
        <is>
          <t>crop2</t>
        </is>
      </c>
      <c r="B1010" t="inlineStr">
        <is>
          <t>3.6</t>
        </is>
      </c>
      <c r="C1010" t="inlineStr">
        <is>
          <t>Fava beans</t>
        </is>
      </c>
    </row>
    <row r="1011">
      <c r="A1011" t="inlineStr">
        <is>
          <t>crop2</t>
        </is>
      </c>
      <c r="B1011" t="inlineStr">
        <is>
          <t>3.7</t>
        </is>
      </c>
      <c r="C1011" t="inlineStr">
        <is>
          <t>Broad beans</t>
        </is>
      </c>
    </row>
    <row r="1012">
      <c r="A1012" t="inlineStr">
        <is>
          <t>crop2</t>
        </is>
      </c>
      <c r="B1012" t="inlineStr">
        <is>
          <t>3.99</t>
        </is>
      </c>
      <c r="C1012" t="inlineStr">
        <is>
          <t>Other pulses</t>
        </is>
      </c>
    </row>
    <row r="1013">
      <c r="A1013" t="inlineStr">
        <is>
          <t>crop2</t>
        </is>
      </c>
      <c r="B1013" t="inlineStr">
        <is>
          <t>4.2</t>
        </is>
      </c>
      <c r="C1013" t="inlineStr">
        <is>
          <t>Lettuce</t>
        </is>
      </c>
    </row>
    <row r="1014">
      <c r="A1014" t="inlineStr">
        <is>
          <t>crop2</t>
        </is>
      </c>
      <c r="B1014" t="inlineStr">
        <is>
          <t>4.3</t>
        </is>
      </c>
      <c r="C1014" t="inlineStr">
        <is>
          <t>Spinach-Amaranth</t>
        </is>
      </c>
    </row>
    <row r="1015">
      <c r="A1015" t="inlineStr">
        <is>
          <t>crop2</t>
        </is>
      </c>
      <c r="B1015" t="inlineStr">
        <is>
          <t>4.4</t>
        </is>
      </c>
      <c r="C1015" t="inlineStr">
        <is>
          <t>Cassava leaves</t>
        </is>
      </c>
    </row>
    <row r="1016">
      <c r="A1016" t="inlineStr">
        <is>
          <t>crop2</t>
        </is>
      </c>
      <c r="B1016" t="inlineStr">
        <is>
          <t>4.5</t>
        </is>
      </c>
      <c r="C1016" t="inlineStr">
        <is>
          <t>Potatoe leaves</t>
        </is>
      </c>
    </row>
    <row r="1017">
      <c r="A1017" t="inlineStr">
        <is>
          <t>crop2</t>
        </is>
      </c>
      <c r="B1017" t="inlineStr">
        <is>
          <t>4.6</t>
        </is>
      </c>
      <c r="C1017" t="inlineStr">
        <is>
          <t>Moringa</t>
        </is>
      </c>
    </row>
    <row r="1018">
      <c r="A1018" t="inlineStr">
        <is>
          <t>crop2</t>
        </is>
      </c>
      <c r="B1018" t="inlineStr">
        <is>
          <t>4.7</t>
        </is>
      </c>
      <c r="C1018" t="inlineStr">
        <is>
          <t>Sorrel Hibiscus / Rosselle</t>
        </is>
      </c>
    </row>
    <row r="1019">
      <c r="A1019" t="inlineStr">
        <is>
          <t>crop2</t>
        </is>
      </c>
      <c r="B1019" t="inlineStr">
        <is>
          <t>4.9</t>
        </is>
      </c>
      <c r="C1019" t="inlineStr">
        <is>
          <t>Green salad herbs (thyme, parsley, mint, rocca, other)</t>
        </is>
      </c>
    </row>
    <row r="1020">
      <c r="A1020" t="inlineStr">
        <is>
          <t>crop2</t>
        </is>
      </c>
      <c r="B1020" t="inlineStr">
        <is>
          <t>4.99</t>
        </is>
      </c>
      <c r="C1020" t="inlineStr">
        <is>
          <t>Other leafy vegetables</t>
        </is>
      </c>
    </row>
    <row r="1021">
      <c r="A1021" t="inlineStr">
        <is>
          <t>crop2</t>
        </is>
      </c>
      <c r="B1021" t="inlineStr">
        <is>
          <t>5.1</t>
        </is>
      </c>
      <c r="C1021" t="inlineStr">
        <is>
          <t>Tomatoes</t>
        </is>
      </c>
    </row>
    <row r="1022">
      <c r="A1022" t="inlineStr">
        <is>
          <t>crop2</t>
        </is>
      </c>
      <c r="B1022" t="inlineStr">
        <is>
          <t>5.101</t>
        </is>
      </c>
      <c r="C1022" t="inlineStr">
        <is>
          <t>Green peas</t>
        </is>
      </c>
    </row>
    <row r="1023">
      <c r="A1023" t="inlineStr">
        <is>
          <t>crop2</t>
        </is>
      </c>
      <c r="B1023" t="inlineStr">
        <is>
          <t>5.11</t>
        </is>
      </c>
      <c r="C1023" t="inlineStr">
        <is>
          <t>Fava beans green</t>
        </is>
      </c>
    </row>
    <row r="1024">
      <c r="A1024" t="inlineStr">
        <is>
          <t>crop2</t>
        </is>
      </c>
      <c r="B1024" t="inlineStr">
        <is>
          <t>5.2</t>
        </is>
      </c>
      <c r="C1024" t="inlineStr">
        <is>
          <t>Cucumber</t>
        </is>
      </c>
    </row>
    <row r="1025">
      <c r="A1025" t="inlineStr">
        <is>
          <t>crop2</t>
        </is>
      </c>
      <c r="B1025" t="inlineStr">
        <is>
          <t>5.3</t>
        </is>
      </c>
      <c r="C1025" t="inlineStr">
        <is>
          <t>Pumpkin</t>
        </is>
      </c>
    </row>
    <row r="1026">
      <c r="A1026" t="inlineStr">
        <is>
          <t>crop2</t>
        </is>
      </c>
      <c r="B1026" t="inlineStr">
        <is>
          <t>5.4</t>
        </is>
      </c>
      <c r="C1026" t="inlineStr">
        <is>
          <t>Eggplant/aubergine</t>
        </is>
      </c>
    </row>
    <row r="1027">
      <c r="A1027" t="inlineStr">
        <is>
          <t>crop2</t>
        </is>
      </c>
      <c r="B1027" t="inlineStr">
        <is>
          <t>5.5</t>
        </is>
      </c>
      <c r="C1027" t="inlineStr">
        <is>
          <t>Zucchini</t>
        </is>
      </c>
    </row>
    <row r="1028">
      <c r="A1028" t="inlineStr">
        <is>
          <t>crop2</t>
        </is>
      </c>
      <c r="B1028" t="inlineStr">
        <is>
          <t>5.6</t>
        </is>
      </c>
      <c r="C1028" t="inlineStr">
        <is>
          <t>Okra</t>
        </is>
      </c>
    </row>
    <row r="1029">
      <c r="A1029" t="inlineStr">
        <is>
          <t>crop2</t>
        </is>
      </c>
      <c r="B1029" t="inlineStr">
        <is>
          <t>5.7</t>
        </is>
      </c>
      <c r="C1029" t="inlineStr">
        <is>
          <t>Bell pepper</t>
        </is>
      </c>
    </row>
    <row r="1030">
      <c r="A1030" t="inlineStr">
        <is>
          <t>crop2</t>
        </is>
      </c>
      <c r="B1030" t="inlineStr">
        <is>
          <t>5.9</t>
        </is>
      </c>
      <c r="C1030" t="inlineStr">
        <is>
          <t>Haricot</t>
        </is>
      </c>
    </row>
    <row r="1031">
      <c r="A1031" t="inlineStr">
        <is>
          <t>crop2</t>
        </is>
      </c>
      <c r="B1031" t="inlineStr">
        <is>
          <t>5.99</t>
        </is>
      </c>
      <c r="C1031" t="inlineStr">
        <is>
          <t>Other non leafy vegs</t>
        </is>
      </c>
    </row>
    <row r="1032">
      <c r="A1032" t="inlineStr">
        <is>
          <t>crop2</t>
        </is>
      </c>
      <c r="B1032" t="inlineStr">
        <is>
          <t>6.3</t>
        </is>
      </c>
      <c r="C1032" t="inlineStr">
        <is>
          <t>Grapefruit</t>
        </is>
      </c>
    </row>
    <row r="1033">
      <c r="A1033" t="inlineStr">
        <is>
          <t>crop2</t>
        </is>
      </c>
      <c r="B1033" t="inlineStr">
        <is>
          <t>6.4</t>
        </is>
      </c>
      <c r="C1033" t="inlineStr">
        <is>
          <t>Mandarins/clementines</t>
        </is>
      </c>
    </row>
    <row r="1034">
      <c r="A1034" t="inlineStr">
        <is>
          <t>crop2</t>
        </is>
      </c>
      <c r="B1034" t="inlineStr">
        <is>
          <t>6.99</t>
        </is>
      </c>
      <c r="C1034" t="inlineStr">
        <is>
          <t>Other citrus fruit</t>
        </is>
      </c>
    </row>
    <row r="1035">
      <c r="A1035" t="inlineStr">
        <is>
          <t>crop2</t>
        </is>
      </c>
      <c r="B1035" t="inlineStr">
        <is>
          <t>7.1</t>
        </is>
      </c>
      <c r="C1035" t="inlineStr">
        <is>
          <t>Sweet Banana</t>
        </is>
      </c>
    </row>
    <row r="1036">
      <c r="A1036" t="inlineStr">
        <is>
          <t>crop2</t>
        </is>
      </c>
      <c r="B1036" t="inlineStr">
        <is>
          <t>7.101</t>
        </is>
      </c>
      <c r="C1036" t="inlineStr">
        <is>
          <t>Figs</t>
        </is>
      </c>
    </row>
    <row r="1037">
      <c r="A1037" t="inlineStr">
        <is>
          <t>crop2</t>
        </is>
      </c>
      <c r="B1037" t="inlineStr">
        <is>
          <t>7.11</t>
        </is>
      </c>
      <c r="C1037" t="inlineStr">
        <is>
          <t>Grapes</t>
        </is>
      </c>
    </row>
    <row r="1038">
      <c r="A1038" t="inlineStr">
        <is>
          <t>crop2</t>
        </is>
      </c>
      <c r="B1038" t="inlineStr">
        <is>
          <t>7.12</t>
        </is>
      </c>
      <c r="C1038" t="inlineStr">
        <is>
          <t>Olives</t>
        </is>
      </c>
    </row>
    <row r="1039">
      <c r="A1039" t="inlineStr">
        <is>
          <t>crop2</t>
        </is>
      </c>
      <c r="B1039" t="inlineStr">
        <is>
          <t>7.13</t>
        </is>
      </c>
      <c r="C1039" t="inlineStr">
        <is>
          <t>Apple</t>
        </is>
      </c>
    </row>
    <row r="1040">
      <c r="A1040" t="inlineStr">
        <is>
          <t>crop2</t>
        </is>
      </c>
      <c r="B1040" t="inlineStr">
        <is>
          <t>7.14</t>
        </is>
      </c>
      <c r="C1040" t="inlineStr">
        <is>
          <t>Apricot</t>
        </is>
      </c>
    </row>
    <row r="1041">
      <c r="A1041" t="inlineStr">
        <is>
          <t>crop2</t>
        </is>
      </c>
      <c r="B1041" t="inlineStr">
        <is>
          <t>7.15</t>
        </is>
      </c>
      <c r="C1041" t="inlineStr">
        <is>
          <t>Cherries</t>
        </is>
      </c>
    </row>
    <row r="1042">
      <c r="A1042" t="inlineStr">
        <is>
          <t>crop2</t>
        </is>
      </c>
      <c r="B1042" t="inlineStr">
        <is>
          <t>7.16</t>
        </is>
      </c>
      <c r="C1042" t="inlineStr">
        <is>
          <t>Peach/nectarine</t>
        </is>
      </c>
    </row>
    <row r="1043">
      <c r="A1043" t="inlineStr">
        <is>
          <t>crop2</t>
        </is>
      </c>
      <c r="B1043" t="inlineStr">
        <is>
          <t>7.17</t>
        </is>
      </c>
      <c r="C1043" t="inlineStr">
        <is>
          <t>Strawberries</t>
        </is>
      </c>
    </row>
    <row r="1044">
      <c r="A1044" t="inlineStr">
        <is>
          <t>crop2</t>
        </is>
      </c>
      <c r="B1044" t="inlineStr">
        <is>
          <t>7.18</t>
        </is>
      </c>
      <c r="C1044" t="inlineStr">
        <is>
          <t>Melon (Cantaloupe)</t>
        </is>
      </c>
    </row>
    <row r="1045">
      <c r="A1045" t="inlineStr">
        <is>
          <t>crop2</t>
        </is>
      </c>
      <c r="B1045" t="inlineStr">
        <is>
          <t>7.2</t>
        </is>
      </c>
      <c r="C1045" t="inlineStr">
        <is>
          <t>Plantains</t>
        </is>
      </c>
    </row>
    <row r="1046">
      <c r="A1046" t="inlineStr">
        <is>
          <t>crop2</t>
        </is>
      </c>
      <c r="B1046" t="inlineStr">
        <is>
          <t>7.3</t>
        </is>
      </c>
      <c r="C1046" t="inlineStr">
        <is>
          <t>Papaya</t>
        </is>
      </c>
    </row>
    <row r="1047">
      <c r="A1047" t="inlineStr">
        <is>
          <t>crop2</t>
        </is>
      </c>
      <c r="B1047" t="inlineStr">
        <is>
          <t>7.4</t>
        </is>
      </c>
      <c r="C1047" t="inlineStr">
        <is>
          <t>Mango</t>
        </is>
      </c>
    </row>
    <row r="1048">
      <c r="A1048" t="inlineStr">
        <is>
          <t>crop2</t>
        </is>
      </c>
      <c r="B1048" t="inlineStr">
        <is>
          <t>7.5</t>
        </is>
      </c>
      <c r="C1048" t="inlineStr">
        <is>
          <t>Guava</t>
        </is>
      </c>
    </row>
    <row r="1049">
      <c r="A1049" t="inlineStr">
        <is>
          <t>crop2</t>
        </is>
      </c>
      <c r="B1049" t="inlineStr">
        <is>
          <t>7.6</t>
        </is>
      </c>
      <c r="C1049" t="inlineStr">
        <is>
          <t>Pineapple</t>
        </is>
      </c>
    </row>
    <row r="1050">
      <c r="A1050" t="inlineStr">
        <is>
          <t>crop2</t>
        </is>
      </c>
      <c r="B1050" t="inlineStr">
        <is>
          <t>7.7</t>
        </is>
      </c>
      <c r="C1050" t="inlineStr">
        <is>
          <t>Avocado</t>
        </is>
      </c>
    </row>
    <row r="1051">
      <c r="A1051" t="inlineStr">
        <is>
          <t>crop2</t>
        </is>
      </c>
      <c r="B1051" t="inlineStr">
        <is>
          <t>7.8</t>
        </is>
      </c>
      <c r="C1051" t="inlineStr">
        <is>
          <t>Water Melon</t>
        </is>
      </c>
    </row>
    <row r="1052">
      <c r="A1052" t="inlineStr">
        <is>
          <t>crop2</t>
        </is>
      </c>
      <c r="B1052" t="inlineStr">
        <is>
          <t>7.9</t>
        </is>
      </c>
      <c r="C1052" t="inlineStr">
        <is>
          <t>Dates</t>
        </is>
      </c>
    </row>
    <row r="1053">
      <c r="A1053" t="inlineStr">
        <is>
          <t>crop2</t>
        </is>
      </c>
      <c r="B1053" t="inlineStr">
        <is>
          <t>7.99</t>
        </is>
      </c>
      <c r="C1053" t="inlineStr">
        <is>
          <t>Other fruit</t>
        </is>
      </c>
    </row>
    <row r="1054">
      <c r="A1054" t="inlineStr">
        <is>
          <t>crop2</t>
        </is>
      </c>
      <c r="B1054" t="inlineStr">
        <is>
          <t>8.1</t>
        </is>
      </c>
      <c r="C1054" t="inlineStr">
        <is>
          <t>Coconuts</t>
        </is>
      </c>
    </row>
    <row r="1055">
      <c r="A1055" t="inlineStr">
        <is>
          <t>crop2</t>
        </is>
      </c>
      <c r="B1055" t="inlineStr">
        <is>
          <t>8.2</t>
        </is>
      </c>
      <c r="C1055" t="inlineStr">
        <is>
          <t>Groundnut/peanut</t>
        </is>
      </c>
    </row>
    <row r="1056">
      <c r="A1056" t="inlineStr">
        <is>
          <t>crop2</t>
        </is>
      </c>
      <c r="B1056" t="inlineStr">
        <is>
          <t>8.3</t>
        </is>
      </c>
      <c r="C1056" t="inlineStr">
        <is>
          <t>Cashew Nut</t>
        </is>
      </c>
    </row>
    <row r="1057">
      <c r="A1057" t="inlineStr">
        <is>
          <t>crop2</t>
        </is>
      </c>
      <c r="B1057" t="inlineStr">
        <is>
          <t>8.4</t>
        </is>
      </c>
      <c r="C1057" t="inlineStr">
        <is>
          <t>Kola Nut</t>
        </is>
      </c>
    </row>
    <row r="1058">
      <c r="A1058" t="inlineStr">
        <is>
          <t>crop2</t>
        </is>
      </c>
      <c r="B1058" t="inlineStr">
        <is>
          <t>8.5</t>
        </is>
      </c>
      <c r="C1058" t="inlineStr">
        <is>
          <t>Sesame</t>
        </is>
      </c>
    </row>
    <row r="1059">
      <c r="A1059" t="inlineStr">
        <is>
          <t>crop2</t>
        </is>
      </c>
      <c r="B1059" t="inlineStr">
        <is>
          <t>8.6</t>
        </is>
      </c>
      <c r="C1059" t="inlineStr">
        <is>
          <t>Bambara nut</t>
        </is>
      </c>
    </row>
    <row r="1060">
      <c r="A1060" t="inlineStr">
        <is>
          <t>crop2</t>
        </is>
      </c>
      <c r="B1060" t="inlineStr">
        <is>
          <t>8.7</t>
        </is>
      </c>
      <c r="C1060" t="inlineStr">
        <is>
          <t>Almond</t>
        </is>
      </c>
    </row>
    <row r="1061">
      <c r="A1061" t="inlineStr">
        <is>
          <t>crop2</t>
        </is>
      </c>
      <c r="B1061" t="inlineStr">
        <is>
          <t>8.8</t>
        </is>
      </c>
      <c r="C1061" t="inlineStr">
        <is>
          <t>Walnut</t>
        </is>
      </c>
    </row>
    <row r="1062">
      <c r="A1062" t="inlineStr">
        <is>
          <t>crop2</t>
        </is>
      </c>
      <c r="B1062" t="inlineStr">
        <is>
          <t>8.99</t>
        </is>
      </c>
      <c r="C1062" t="inlineStr">
        <is>
          <t>Other nuts</t>
        </is>
      </c>
    </row>
    <row r="1063">
      <c r="A1063" t="inlineStr">
        <is>
          <t>crop2</t>
        </is>
      </c>
      <c r="B1063" t="inlineStr">
        <is>
          <t>9.1</t>
        </is>
      </c>
      <c r="C1063" t="inlineStr">
        <is>
          <t>Cocoa</t>
        </is>
      </c>
    </row>
    <row r="1064">
      <c r="A1064" t="inlineStr">
        <is>
          <t>crop2</t>
        </is>
      </c>
      <c r="B1064" t="inlineStr">
        <is>
          <t>9.2</t>
        </is>
      </c>
      <c r="C1064" t="inlineStr">
        <is>
          <t>Coffee</t>
        </is>
      </c>
    </row>
    <row r="1065">
      <c r="A1065" t="inlineStr">
        <is>
          <t>crop2</t>
        </is>
      </c>
      <c r="B1065" t="inlineStr">
        <is>
          <t>9.3</t>
        </is>
      </c>
      <c r="C1065" t="inlineStr">
        <is>
          <t>Tea</t>
        </is>
      </c>
    </row>
    <row r="1066">
      <c r="A1066" t="inlineStr">
        <is>
          <t>crop2</t>
        </is>
      </c>
      <c r="B1066" t="inlineStr">
        <is>
          <t>9.4</t>
        </is>
      </c>
      <c r="C1066" t="inlineStr">
        <is>
          <t>Sugarcane</t>
        </is>
      </c>
    </row>
    <row r="1067">
      <c r="A1067" t="inlineStr">
        <is>
          <t>crop2</t>
        </is>
      </c>
      <c r="B1067" t="inlineStr">
        <is>
          <t>9.5</t>
        </is>
      </c>
      <c r="C1067" t="inlineStr">
        <is>
          <t>Sunflower</t>
        </is>
      </c>
    </row>
    <row r="1068">
      <c r="A1068" t="inlineStr">
        <is>
          <t>crop2</t>
        </is>
      </c>
      <c r="B1068" t="inlineStr">
        <is>
          <t>9.99</t>
        </is>
      </c>
      <c r="C1068" t="inlineStr">
        <is>
          <t>Other food cash crop</t>
        </is>
      </c>
    </row>
    <row r="1069">
      <c r="A1069" t="inlineStr">
        <is>
          <t>crop2</t>
        </is>
      </c>
      <c r="B1069" t="inlineStr">
        <is>
          <t>10.1</t>
        </is>
      </c>
      <c r="C1069" t="inlineStr">
        <is>
          <t>Cotton</t>
        </is>
      </c>
    </row>
    <row r="1070">
      <c r="A1070" t="inlineStr">
        <is>
          <t>crop2</t>
        </is>
      </c>
      <c r="B1070" t="inlineStr">
        <is>
          <t>10.2</t>
        </is>
      </c>
      <c r="C1070" t="inlineStr">
        <is>
          <t>Rubber</t>
        </is>
      </c>
    </row>
    <row r="1071">
      <c r="A1071" t="inlineStr">
        <is>
          <t>crop2</t>
        </is>
      </c>
      <c r="B1071" t="inlineStr">
        <is>
          <t>10.3</t>
        </is>
      </c>
      <c r="C1071" t="inlineStr">
        <is>
          <t>Jute</t>
        </is>
      </c>
    </row>
    <row r="1072">
      <c r="A1072" t="inlineStr">
        <is>
          <t>crop2</t>
        </is>
      </c>
      <c r="B1072" t="inlineStr">
        <is>
          <t>10.4</t>
        </is>
      </c>
      <c r="C1072" t="inlineStr">
        <is>
          <t>Fodder</t>
        </is>
      </c>
    </row>
    <row r="1073">
      <c r="A1073" t="inlineStr">
        <is>
          <t>crop2</t>
        </is>
      </c>
      <c r="B1073" t="inlineStr">
        <is>
          <t>10.5</t>
        </is>
      </c>
      <c r="C1073" t="inlineStr">
        <is>
          <t>Tobacco</t>
        </is>
      </c>
    </row>
    <row r="1074">
      <c r="A1074" t="inlineStr">
        <is>
          <t>crop2</t>
        </is>
      </c>
      <c r="B1074" t="inlineStr">
        <is>
          <t>10.6</t>
        </is>
      </c>
      <c r="C1074" t="inlineStr">
        <is>
          <t>Qat</t>
        </is>
      </c>
    </row>
    <row r="1075">
      <c r="A1075" t="inlineStr">
        <is>
          <t>crop2</t>
        </is>
      </c>
      <c r="B1075" t="inlineStr">
        <is>
          <t>10.99</t>
        </is>
      </c>
      <c r="C1075" t="inlineStr">
        <is>
          <t>Other non-food cash crop</t>
        </is>
      </c>
    </row>
    <row r="1076">
      <c r="A1076" t="inlineStr">
        <is>
          <t>crop2</t>
        </is>
      </c>
      <c r="B1076" t="inlineStr">
        <is>
          <t>666</t>
        </is>
      </c>
      <c r="C1076" t="inlineStr">
        <is>
          <t>No other crop</t>
        </is>
      </c>
    </row>
    <row r="1077">
      <c r="A1077" t="inlineStr">
        <is>
          <t>crop2</t>
        </is>
      </c>
      <c r="B1077" t="inlineStr">
        <is>
          <t>888</t>
        </is>
      </c>
      <c r="C1077" t="inlineStr">
        <is>
          <t>Don't know</t>
        </is>
      </c>
    </row>
    <row r="1078">
      <c r="A1078" t="inlineStr">
        <is>
          <t>crop2</t>
        </is>
      </c>
      <c r="B1078" t="inlineStr">
        <is>
          <t>999</t>
        </is>
      </c>
      <c r="C1078" t="inlineStr">
        <is>
          <t>Refused</t>
        </is>
      </c>
    </row>
    <row r="1079"/>
    <row r="1080">
      <c r="A1080" t="inlineStr">
        <is>
          <t>crop3</t>
        </is>
      </c>
      <c r="B1080" t="inlineStr">
        <is>
          <t>1.1</t>
        </is>
      </c>
      <c r="C1080" t="inlineStr">
        <is>
          <t>Rice</t>
        </is>
      </c>
    </row>
    <row r="1081">
      <c r="A1081" t="inlineStr">
        <is>
          <t>crop3</t>
        </is>
      </c>
      <c r="B1081" t="inlineStr">
        <is>
          <t>1.2</t>
        </is>
      </c>
      <c r="C1081" t="inlineStr">
        <is>
          <t>Wheat</t>
        </is>
      </c>
    </row>
    <row r="1082">
      <c r="A1082" t="inlineStr">
        <is>
          <t>crop3</t>
        </is>
      </c>
      <c r="B1082" t="inlineStr">
        <is>
          <t>1.3</t>
        </is>
      </c>
      <c r="C1082" t="inlineStr">
        <is>
          <t>Millet</t>
        </is>
      </c>
    </row>
    <row r="1083">
      <c r="A1083" t="inlineStr">
        <is>
          <t>crop3</t>
        </is>
      </c>
      <c r="B1083" t="inlineStr">
        <is>
          <t>1.5</t>
        </is>
      </c>
      <c r="C1083" t="inlineStr">
        <is>
          <t>Maize</t>
        </is>
      </c>
    </row>
    <row r="1084">
      <c r="A1084" t="inlineStr">
        <is>
          <t>crop3</t>
        </is>
      </c>
      <c r="B1084" t="inlineStr">
        <is>
          <t>2.2</t>
        </is>
      </c>
      <c r="C1084" t="inlineStr">
        <is>
          <t>Potatoe</t>
        </is>
      </c>
    </row>
    <row r="1085">
      <c r="A1085" t="inlineStr">
        <is>
          <t>crop3</t>
        </is>
      </c>
      <c r="B1085" t="inlineStr">
        <is>
          <t>3.1</t>
        </is>
      </c>
      <c r="C1085" t="inlineStr">
        <is>
          <t>Beans</t>
        </is>
      </c>
    </row>
    <row r="1086">
      <c r="A1086" t="inlineStr">
        <is>
          <t>crop3</t>
        </is>
      </c>
      <c r="B1086" t="inlineStr">
        <is>
          <t>4.1</t>
        </is>
      </c>
      <c r="C1086" t="inlineStr">
        <is>
          <t>Cabbage</t>
        </is>
      </c>
    </row>
    <row r="1087">
      <c r="A1087" t="inlineStr">
        <is>
          <t>crop3</t>
        </is>
      </c>
      <c r="B1087" t="inlineStr">
        <is>
          <t>4.101</t>
        </is>
      </c>
      <c r="C1087" t="inlineStr">
        <is>
          <t>Cauliflower</t>
        </is>
      </c>
    </row>
    <row r="1088">
      <c r="A1088" t="inlineStr">
        <is>
          <t>crop3</t>
        </is>
      </c>
      <c r="B1088" t="inlineStr">
        <is>
          <t>5.8</t>
        </is>
      </c>
      <c r="C1088" t="inlineStr">
        <is>
          <t>Onions</t>
        </is>
      </c>
    </row>
    <row r="1089">
      <c r="A1089" t="inlineStr">
        <is>
          <t>crop3</t>
        </is>
      </c>
      <c r="B1089" t="inlineStr">
        <is>
          <t>6.1</t>
        </is>
      </c>
      <c r="C1089" t="inlineStr">
        <is>
          <t>Orange</t>
        </is>
      </c>
    </row>
    <row r="1090">
      <c r="A1090" t="inlineStr">
        <is>
          <t>crop3</t>
        </is>
      </c>
      <c r="B1090" t="inlineStr">
        <is>
          <t>6.2</t>
        </is>
      </c>
      <c r="C1090" t="inlineStr">
        <is>
          <t>Lemon</t>
        </is>
      </c>
    </row>
    <row r="1091">
      <c r="A1091" t="inlineStr">
        <is>
          <t>crop3</t>
        </is>
      </c>
      <c r="B1091" t="inlineStr">
        <is>
          <t>1.4</t>
        </is>
      </c>
      <c r="C1091" t="inlineStr">
        <is>
          <t>Sorghum</t>
        </is>
      </c>
    </row>
    <row r="1092">
      <c r="A1092" t="inlineStr">
        <is>
          <t>crop3</t>
        </is>
      </c>
      <c r="B1092" t="inlineStr">
        <is>
          <t>1.6</t>
        </is>
      </c>
      <c r="C1092" t="inlineStr">
        <is>
          <t>Barley</t>
        </is>
      </c>
    </row>
    <row r="1093">
      <c r="A1093" t="inlineStr">
        <is>
          <t>crop3</t>
        </is>
      </c>
      <c r="B1093" t="inlineStr">
        <is>
          <t>1.99</t>
        </is>
      </c>
      <c r="C1093" t="inlineStr">
        <is>
          <t>Other Cereal</t>
        </is>
      </c>
    </row>
    <row r="1094">
      <c r="A1094" t="inlineStr">
        <is>
          <t>crop3</t>
        </is>
      </c>
      <c r="B1094" t="inlineStr">
        <is>
          <t>2.1</t>
        </is>
      </c>
      <c r="C1094" t="inlineStr">
        <is>
          <t>Cassava</t>
        </is>
      </c>
    </row>
    <row r="1095">
      <c r="A1095" t="inlineStr">
        <is>
          <t>crop3</t>
        </is>
      </c>
      <c r="B1095" t="inlineStr">
        <is>
          <t>2.3</t>
        </is>
      </c>
      <c r="C1095" t="inlineStr">
        <is>
          <t>Sweet Potatoes</t>
        </is>
      </c>
    </row>
    <row r="1096">
      <c r="A1096" t="inlineStr">
        <is>
          <t>crop3</t>
        </is>
      </c>
      <c r="B1096" t="inlineStr">
        <is>
          <t>2.4</t>
        </is>
      </c>
      <c r="C1096" t="inlineStr">
        <is>
          <t>Yams</t>
        </is>
      </c>
    </row>
    <row r="1097">
      <c r="A1097" t="inlineStr">
        <is>
          <t>crop3</t>
        </is>
      </c>
      <c r="B1097" t="inlineStr">
        <is>
          <t>2.5</t>
        </is>
      </c>
      <c r="C1097" t="inlineStr">
        <is>
          <t>Carrots</t>
        </is>
      </c>
    </row>
    <row r="1098">
      <c r="A1098" t="inlineStr">
        <is>
          <t>crop3</t>
        </is>
      </c>
      <c r="B1098" t="inlineStr">
        <is>
          <t>2.6</t>
        </is>
      </c>
      <c r="C1098" t="inlineStr">
        <is>
          <t>Cocoyam</t>
        </is>
      </c>
    </row>
    <row r="1099">
      <c r="A1099" t="inlineStr">
        <is>
          <t>crop3</t>
        </is>
      </c>
      <c r="B1099" t="inlineStr">
        <is>
          <t>2.99</t>
        </is>
      </c>
      <c r="C1099" t="inlineStr">
        <is>
          <t>Other tubers</t>
        </is>
      </c>
    </row>
    <row r="1100">
      <c r="A1100" t="inlineStr">
        <is>
          <t>crop3</t>
        </is>
      </c>
      <c r="B1100" t="inlineStr">
        <is>
          <t>3.2</t>
        </is>
      </c>
      <c r="C1100" t="inlineStr">
        <is>
          <t>Lentils</t>
        </is>
      </c>
    </row>
    <row r="1101">
      <c r="A1101" t="inlineStr">
        <is>
          <t>crop3</t>
        </is>
      </c>
      <c r="B1101" t="inlineStr">
        <is>
          <t>3.3</t>
        </is>
      </c>
      <c r="C1101" t="inlineStr">
        <is>
          <t>Peas</t>
        </is>
      </c>
    </row>
    <row r="1102">
      <c r="A1102" t="inlineStr">
        <is>
          <t>crop3</t>
        </is>
      </c>
      <c r="B1102" t="inlineStr">
        <is>
          <t>3.4</t>
        </is>
      </c>
      <c r="C1102" t="inlineStr">
        <is>
          <t>Soybeans</t>
        </is>
      </c>
    </row>
    <row r="1103">
      <c r="A1103" t="inlineStr">
        <is>
          <t>crop3</t>
        </is>
      </c>
      <c r="B1103" t="inlineStr">
        <is>
          <t>3.5</t>
        </is>
      </c>
      <c r="C1103" t="inlineStr">
        <is>
          <t>Chickpeas</t>
        </is>
      </c>
    </row>
    <row r="1104">
      <c r="A1104" t="inlineStr">
        <is>
          <t>crop3</t>
        </is>
      </c>
      <c r="B1104" t="inlineStr">
        <is>
          <t>3.6</t>
        </is>
      </c>
      <c r="C1104" t="inlineStr">
        <is>
          <t>Fava beans</t>
        </is>
      </c>
    </row>
    <row r="1105">
      <c r="A1105" t="inlineStr">
        <is>
          <t>crop3</t>
        </is>
      </c>
      <c r="B1105" t="inlineStr">
        <is>
          <t>3.7</t>
        </is>
      </c>
      <c r="C1105" t="inlineStr">
        <is>
          <t>Broad beans</t>
        </is>
      </c>
    </row>
    <row r="1106">
      <c r="A1106" t="inlineStr">
        <is>
          <t>crop3</t>
        </is>
      </c>
      <c r="B1106" t="inlineStr">
        <is>
          <t>3.99</t>
        </is>
      </c>
      <c r="C1106" t="inlineStr">
        <is>
          <t>Other pulses</t>
        </is>
      </c>
    </row>
    <row r="1107">
      <c r="A1107" t="inlineStr">
        <is>
          <t>crop3</t>
        </is>
      </c>
      <c r="B1107" t="inlineStr">
        <is>
          <t>4.2</t>
        </is>
      </c>
      <c r="C1107" t="inlineStr">
        <is>
          <t>Lettuce</t>
        </is>
      </c>
    </row>
    <row r="1108">
      <c r="A1108" t="inlineStr">
        <is>
          <t>crop3</t>
        </is>
      </c>
      <c r="B1108" t="inlineStr">
        <is>
          <t>4.3</t>
        </is>
      </c>
      <c r="C1108" t="inlineStr">
        <is>
          <t>Spinach-Amaranth</t>
        </is>
      </c>
    </row>
    <row r="1109">
      <c r="A1109" t="inlineStr">
        <is>
          <t>crop3</t>
        </is>
      </c>
      <c r="B1109" t="inlineStr">
        <is>
          <t>4.4</t>
        </is>
      </c>
      <c r="C1109" t="inlineStr">
        <is>
          <t>Cassava leaves</t>
        </is>
      </c>
    </row>
    <row r="1110">
      <c r="A1110" t="inlineStr">
        <is>
          <t>crop3</t>
        </is>
      </c>
      <c r="B1110" t="inlineStr">
        <is>
          <t>4.5</t>
        </is>
      </c>
      <c r="C1110" t="inlineStr">
        <is>
          <t>Potatoe leaves</t>
        </is>
      </c>
    </row>
    <row r="1111">
      <c r="A1111" t="inlineStr">
        <is>
          <t>crop3</t>
        </is>
      </c>
      <c r="B1111" t="inlineStr">
        <is>
          <t>4.6</t>
        </is>
      </c>
      <c r="C1111" t="inlineStr">
        <is>
          <t>Moringa</t>
        </is>
      </c>
    </row>
    <row r="1112">
      <c r="A1112" t="inlineStr">
        <is>
          <t>crop3</t>
        </is>
      </c>
      <c r="B1112" t="inlineStr">
        <is>
          <t>4.7</t>
        </is>
      </c>
      <c r="C1112" t="inlineStr">
        <is>
          <t>Sorrel Hibiscus / Rosselle</t>
        </is>
      </c>
    </row>
    <row r="1113">
      <c r="A1113" t="inlineStr">
        <is>
          <t>crop3</t>
        </is>
      </c>
      <c r="B1113" t="inlineStr">
        <is>
          <t>4.9</t>
        </is>
      </c>
      <c r="C1113" t="inlineStr">
        <is>
          <t>Green salad herbs (thyme, parsley, mint, rocca, other)</t>
        </is>
      </c>
    </row>
    <row r="1114">
      <c r="A1114" t="inlineStr">
        <is>
          <t>crop3</t>
        </is>
      </c>
      <c r="B1114" t="inlineStr">
        <is>
          <t>4.99</t>
        </is>
      </c>
      <c r="C1114" t="inlineStr">
        <is>
          <t>Other leafy vegetables</t>
        </is>
      </c>
    </row>
    <row r="1115">
      <c r="A1115" t="inlineStr">
        <is>
          <t>crop3</t>
        </is>
      </c>
      <c r="B1115" t="inlineStr">
        <is>
          <t>5.1</t>
        </is>
      </c>
      <c r="C1115" t="inlineStr">
        <is>
          <t>Tomatoes</t>
        </is>
      </c>
    </row>
    <row r="1116">
      <c r="A1116" t="inlineStr">
        <is>
          <t>crop3</t>
        </is>
      </c>
      <c r="B1116" t="inlineStr">
        <is>
          <t>5.101</t>
        </is>
      </c>
      <c r="C1116" t="inlineStr">
        <is>
          <t>Green peas</t>
        </is>
      </c>
    </row>
    <row r="1117">
      <c r="A1117" t="inlineStr">
        <is>
          <t>crop3</t>
        </is>
      </c>
      <c r="B1117" t="inlineStr">
        <is>
          <t>5.11</t>
        </is>
      </c>
      <c r="C1117" t="inlineStr">
        <is>
          <t>Fava beans green</t>
        </is>
      </c>
    </row>
    <row r="1118">
      <c r="A1118" t="inlineStr">
        <is>
          <t>crop3</t>
        </is>
      </c>
      <c r="B1118" t="inlineStr">
        <is>
          <t>5.2</t>
        </is>
      </c>
      <c r="C1118" t="inlineStr">
        <is>
          <t>Cucumber</t>
        </is>
      </c>
    </row>
    <row r="1119">
      <c r="A1119" t="inlineStr">
        <is>
          <t>crop3</t>
        </is>
      </c>
      <c r="B1119" t="inlineStr">
        <is>
          <t>5.3</t>
        </is>
      </c>
      <c r="C1119" t="inlineStr">
        <is>
          <t>Pumpkin</t>
        </is>
      </c>
    </row>
    <row r="1120">
      <c r="A1120" t="inlineStr">
        <is>
          <t>crop3</t>
        </is>
      </c>
      <c r="B1120" t="inlineStr">
        <is>
          <t>5.4</t>
        </is>
      </c>
      <c r="C1120" t="inlineStr">
        <is>
          <t>Eggplant/aubergine</t>
        </is>
      </c>
    </row>
    <row r="1121">
      <c r="A1121" t="inlineStr">
        <is>
          <t>crop3</t>
        </is>
      </c>
      <c r="B1121" t="inlineStr">
        <is>
          <t>5.5</t>
        </is>
      </c>
      <c r="C1121" t="inlineStr">
        <is>
          <t>Zucchini</t>
        </is>
      </c>
    </row>
    <row r="1122">
      <c r="A1122" t="inlineStr">
        <is>
          <t>crop3</t>
        </is>
      </c>
      <c r="B1122" t="inlineStr">
        <is>
          <t>5.6</t>
        </is>
      </c>
      <c r="C1122" t="inlineStr">
        <is>
          <t>Okra</t>
        </is>
      </c>
    </row>
    <row r="1123">
      <c r="A1123" t="inlineStr">
        <is>
          <t>crop3</t>
        </is>
      </c>
      <c r="B1123" t="inlineStr">
        <is>
          <t>5.7</t>
        </is>
      </c>
      <c r="C1123" t="inlineStr">
        <is>
          <t>Bell pepper</t>
        </is>
      </c>
    </row>
    <row r="1124">
      <c r="A1124" t="inlineStr">
        <is>
          <t>crop3</t>
        </is>
      </c>
      <c r="B1124" t="inlineStr">
        <is>
          <t>5.9</t>
        </is>
      </c>
      <c r="C1124" t="inlineStr">
        <is>
          <t>Haricot</t>
        </is>
      </c>
    </row>
    <row r="1125">
      <c r="A1125" t="inlineStr">
        <is>
          <t>crop3</t>
        </is>
      </c>
      <c r="B1125" t="inlineStr">
        <is>
          <t>5.99</t>
        </is>
      </c>
      <c r="C1125" t="inlineStr">
        <is>
          <t>Other non leafy vegs</t>
        </is>
      </c>
    </row>
    <row r="1126">
      <c r="A1126" t="inlineStr">
        <is>
          <t>crop3</t>
        </is>
      </c>
      <c r="B1126" t="inlineStr">
        <is>
          <t>6.3</t>
        </is>
      </c>
      <c r="C1126" t="inlineStr">
        <is>
          <t>Grapefruit</t>
        </is>
      </c>
    </row>
    <row r="1127">
      <c r="A1127" t="inlineStr">
        <is>
          <t>crop3</t>
        </is>
      </c>
      <c r="B1127" t="inlineStr">
        <is>
          <t>6.4</t>
        </is>
      </c>
      <c r="C1127" t="inlineStr">
        <is>
          <t>Mandarins/clementines</t>
        </is>
      </c>
    </row>
    <row r="1128">
      <c r="A1128" t="inlineStr">
        <is>
          <t>crop3</t>
        </is>
      </c>
      <c r="B1128" t="inlineStr">
        <is>
          <t>6.99</t>
        </is>
      </c>
      <c r="C1128" t="inlineStr">
        <is>
          <t>Other citrus fruit</t>
        </is>
      </c>
    </row>
    <row r="1129">
      <c r="A1129" t="inlineStr">
        <is>
          <t>crop3</t>
        </is>
      </c>
      <c r="B1129" t="inlineStr">
        <is>
          <t>7.1</t>
        </is>
      </c>
      <c r="C1129" t="inlineStr">
        <is>
          <t>Sweet Banana</t>
        </is>
      </c>
    </row>
    <row r="1130">
      <c r="A1130" t="inlineStr">
        <is>
          <t>crop3</t>
        </is>
      </c>
      <c r="B1130" t="inlineStr">
        <is>
          <t>7.101</t>
        </is>
      </c>
      <c r="C1130" t="inlineStr">
        <is>
          <t>Figs</t>
        </is>
      </c>
    </row>
    <row r="1131">
      <c r="A1131" t="inlineStr">
        <is>
          <t>crop3</t>
        </is>
      </c>
      <c r="B1131" t="inlineStr">
        <is>
          <t>7.11</t>
        </is>
      </c>
      <c r="C1131" t="inlineStr">
        <is>
          <t>Grapes</t>
        </is>
      </c>
    </row>
    <row r="1132">
      <c r="A1132" t="inlineStr">
        <is>
          <t>crop3</t>
        </is>
      </c>
      <c r="B1132" t="inlineStr">
        <is>
          <t>7.12</t>
        </is>
      </c>
      <c r="C1132" t="inlineStr">
        <is>
          <t>Olives</t>
        </is>
      </c>
    </row>
    <row r="1133">
      <c r="A1133" t="inlineStr">
        <is>
          <t>crop3</t>
        </is>
      </c>
      <c r="B1133" t="inlineStr">
        <is>
          <t>7.13</t>
        </is>
      </c>
      <c r="C1133" t="inlineStr">
        <is>
          <t>Apple</t>
        </is>
      </c>
    </row>
    <row r="1134">
      <c r="A1134" t="inlineStr">
        <is>
          <t>crop3</t>
        </is>
      </c>
      <c r="B1134" t="inlineStr">
        <is>
          <t>7.14</t>
        </is>
      </c>
      <c r="C1134" t="inlineStr">
        <is>
          <t>Apricot</t>
        </is>
      </c>
    </row>
    <row r="1135">
      <c r="A1135" t="inlineStr">
        <is>
          <t>crop3</t>
        </is>
      </c>
      <c r="B1135" t="inlineStr">
        <is>
          <t>7.15</t>
        </is>
      </c>
      <c r="C1135" t="inlineStr">
        <is>
          <t>Cherries</t>
        </is>
      </c>
    </row>
    <row r="1136">
      <c r="A1136" t="inlineStr">
        <is>
          <t>crop3</t>
        </is>
      </c>
      <c r="B1136" t="inlineStr">
        <is>
          <t>7.16</t>
        </is>
      </c>
      <c r="C1136" t="inlineStr">
        <is>
          <t>Peach/nectarine</t>
        </is>
      </c>
    </row>
    <row r="1137">
      <c r="A1137" t="inlineStr">
        <is>
          <t>crop3</t>
        </is>
      </c>
      <c r="B1137" t="inlineStr">
        <is>
          <t>7.17</t>
        </is>
      </c>
      <c r="C1137" t="inlineStr">
        <is>
          <t>Strawberries</t>
        </is>
      </c>
    </row>
    <row r="1138">
      <c r="A1138" t="inlineStr">
        <is>
          <t>crop3</t>
        </is>
      </c>
      <c r="B1138" t="inlineStr">
        <is>
          <t>7.18</t>
        </is>
      </c>
      <c r="C1138" t="inlineStr">
        <is>
          <t>Melon (Cantaloupe)</t>
        </is>
      </c>
    </row>
    <row r="1139">
      <c r="A1139" t="inlineStr">
        <is>
          <t>crop3</t>
        </is>
      </c>
      <c r="B1139" t="inlineStr">
        <is>
          <t>7.2</t>
        </is>
      </c>
      <c r="C1139" t="inlineStr">
        <is>
          <t>Plantains</t>
        </is>
      </c>
    </row>
    <row r="1140">
      <c r="A1140" t="inlineStr">
        <is>
          <t>crop3</t>
        </is>
      </c>
      <c r="B1140" t="inlineStr">
        <is>
          <t>7.3</t>
        </is>
      </c>
      <c r="C1140" t="inlineStr">
        <is>
          <t>Papaya</t>
        </is>
      </c>
    </row>
    <row r="1141">
      <c r="A1141" t="inlineStr">
        <is>
          <t>crop3</t>
        </is>
      </c>
      <c r="B1141" t="inlineStr">
        <is>
          <t>7.4</t>
        </is>
      </c>
      <c r="C1141" t="inlineStr">
        <is>
          <t>Mango</t>
        </is>
      </c>
    </row>
    <row r="1142">
      <c r="A1142" t="inlineStr">
        <is>
          <t>crop3</t>
        </is>
      </c>
      <c r="B1142" t="inlineStr">
        <is>
          <t>7.5</t>
        </is>
      </c>
      <c r="C1142" t="inlineStr">
        <is>
          <t>Guava</t>
        </is>
      </c>
    </row>
    <row r="1143">
      <c r="A1143" t="inlineStr">
        <is>
          <t>crop3</t>
        </is>
      </c>
      <c r="B1143" t="inlineStr">
        <is>
          <t>7.6</t>
        </is>
      </c>
      <c r="C1143" t="inlineStr">
        <is>
          <t>Pineapple</t>
        </is>
      </c>
    </row>
    <row r="1144">
      <c r="A1144" t="inlineStr">
        <is>
          <t>crop3</t>
        </is>
      </c>
      <c r="B1144" t="inlineStr">
        <is>
          <t>7.7</t>
        </is>
      </c>
      <c r="C1144" t="inlineStr">
        <is>
          <t>Avocado</t>
        </is>
      </c>
    </row>
    <row r="1145">
      <c r="A1145" t="inlineStr">
        <is>
          <t>crop3</t>
        </is>
      </c>
      <c r="B1145" t="inlineStr">
        <is>
          <t>7.8</t>
        </is>
      </c>
      <c r="C1145" t="inlineStr">
        <is>
          <t>Water Melon</t>
        </is>
      </c>
    </row>
    <row r="1146">
      <c r="A1146" t="inlineStr">
        <is>
          <t>crop3</t>
        </is>
      </c>
      <c r="B1146" t="inlineStr">
        <is>
          <t>7.9</t>
        </is>
      </c>
      <c r="C1146" t="inlineStr">
        <is>
          <t>Dates</t>
        </is>
      </c>
    </row>
    <row r="1147">
      <c r="A1147" t="inlineStr">
        <is>
          <t>crop3</t>
        </is>
      </c>
      <c r="B1147" t="inlineStr">
        <is>
          <t>7.99</t>
        </is>
      </c>
      <c r="C1147" t="inlineStr">
        <is>
          <t>Other fruit</t>
        </is>
      </c>
    </row>
    <row r="1148">
      <c r="A1148" t="inlineStr">
        <is>
          <t>crop3</t>
        </is>
      </c>
      <c r="B1148" t="inlineStr">
        <is>
          <t>8.1</t>
        </is>
      </c>
      <c r="C1148" t="inlineStr">
        <is>
          <t>Coconuts</t>
        </is>
      </c>
    </row>
    <row r="1149">
      <c r="A1149" t="inlineStr">
        <is>
          <t>crop3</t>
        </is>
      </c>
      <c r="B1149" t="inlineStr">
        <is>
          <t>8.2</t>
        </is>
      </c>
      <c r="C1149" t="inlineStr">
        <is>
          <t>Groundnut/peanut</t>
        </is>
      </c>
    </row>
    <row r="1150">
      <c r="A1150" t="inlineStr">
        <is>
          <t>crop3</t>
        </is>
      </c>
      <c r="B1150" t="inlineStr">
        <is>
          <t>8.3</t>
        </is>
      </c>
      <c r="C1150" t="inlineStr">
        <is>
          <t>Cashew Nut</t>
        </is>
      </c>
    </row>
    <row r="1151">
      <c r="A1151" t="inlineStr">
        <is>
          <t>crop3</t>
        </is>
      </c>
      <c r="B1151" t="inlineStr">
        <is>
          <t>8.4</t>
        </is>
      </c>
      <c r="C1151" t="inlineStr">
        <is>
          <t>Kola Nut</t>
        </is>
      </c>
    </row>
    <row r="1152">
      <c r="A1152" t="inlineStr">
        <is>
          <t>crop3</t>
        </is>
      </c>
      <c r="B1152" t="inlineStr">
        <is>
          <t>8.5</t>
        </is>
      </c>
      <c r="C1152" t="inlineStr">
        <is>
          <t>Sesame</t>
        </is>
      </c>
    </row>
    <row r="1153">
      <c r="A1153" t="inlineStr">
        <is>
          <t>crop3</t>
        </is>
      </c>
      <c r="B1153" t="inlineStr">
        <is>
          <t>8.6</t>
        </is>
      </c>
      <c r="C1153" t="inlineStr">
        <is>
          <t>Bambara nut</t>
        </is>
      </c>
    </row>
    <row r="1154">
      <c r="A1154" t="inlineStr">
        <is>
          <t>crop3</t>
        </is>
      </c>
      <c r="B1154" t="inlineStr">
        <is>
          <t>8.7</t>
        </is>
      </c>
      <c r="C1154" t="inlineStr">
        <is>
          <t>Almond</t>
        </is>
      </c>
    </row>
    <row r="1155">
      <c r="A1155" t="inlineStr">
        <is>
          <t>crop3</t>
        </is>
      </c>
      <c r="B1155" t="inlineStr">
        <is>
          <t>8.8</t>
        </is>
      </c>
      <c r="C1155" t="inlineStr">
        <is>
          <t>Walnut</t>
        </is>
      </c>
    </row>
    <row r="1156">
      <c r="A1156" t="inlineStr">
        <is>
          <t>crop3</t>
        </is>
      </c>
      <c r="B1156" t="inlineStr">
        <is>
          <t>8.99</t>
        </is>
      </c>
      <c r="C1156" t="inlineStr">
        <is>
          <t>Other nuts</t>
        </is>
      </c>
    </row>
    <row r="1157">
      <c r="A1157" t="inlineStr">
        <is>
          <t>crop3</t>
        </is>
      </c>
      <c r="B1157" t="inlineStr">
        <is>
          <t>9.1</t>
        </is>
      </c>
      <c r="C1157" t="inlineStr">
        <is>
          <t>Cocoa</t>
        </is>
      </c>
    </row>
    <row r="1158">
      <c r="A1158" t="inlineStr">
        <is>
          <t>crop3</t>
        </is>
      </c>
      <c r="B1158" t="inlineStr">
        <is>
          <t>9.2</t>
        </is>
      </c>
      <c r="C1158" t="inlineStr">
        <is>
          <t>Coffee</t>
        </is>
      </c>
    </row>
    <row r="1159">
      <c r="A1159" t="inlineStr">
        <is>
          <t>crop3</t>
        </is>
      </c>
      <c r="B1159" t="inlineStr">
        <is>
          <t>9.3</t>
        </is>
      </c>
      <c r="C1159" t="inlineStr">
        <is>
          <t>Tea</t>
        </is>
      </c>
    </row>
    <row r="1160">
      <c r="A1160" t="inlineStr">
        <is>
          <t>crop3</t>
        </is>
      </c>
      <c r="B1160" t="inlineStr">
        <is>
          <t>9.4</t>
        </is>
      </c>
      <c r="C1160" t="inlineStr">
        <is>
          <t>Sugarcane</t>
        </is>
      </c>
    </row>
    <row r="1161">
      <c r="A1161" t="inlineStr">
        <is>
          <t>crop3</t>
        </is>
      </c>
      <c r="B1161" t="inlineStr">
        <is>
          <t>9.5</t>
        </is>
      </c>
      <c r="C1161" t="inlineStr">
        <is>
          <t>Sunflower</t>
        </is>
      </c>
    </row>
    <row r="1162">
      <c r="A1162" t="inlineStr">
        <is>
          <t>crop3</t>
        </is>
      </c>
      <c r="B1162" t="inlineStr">
        <is>
          <t>9.99</t>
        </is>
      </c>
      <c r="C1162" t="inlineStr">
        <is>
          <t>Other food cash crop</t>
        </is>
      </c>
    </row>
    <row r="1163">
      <c r="A1163" t="inlineStr">
        <is>
          <t>crop3</t>
        </is>
      </c>
      <c r="B1163" t="inlineStr">
        <is>
          <t>10.1</t>
        </is>
      </c>
      <c r="C1163" t="inlineStr">
        <is>
          <t>Cotton</t>
        </is>
      </c>
    </row>
    <row r="1164">
      <c r="A1164" t="inlineStr">
        <is>
          <t>crop3</t>
        </is>
      </c>
      <c r="B1164" t="inlineStr">
        <is>
          <t>10.2</t>
        </is>
      </c>
      <c r="C1164" t="inlineStr">
        <is>
          <t>Rubber</t>
        </is>
      </c>
    </row>
    <row r="1165">
      <c r="A1165" t="inlineStr">
        <is>
          <t>crop3</t>
        </is>
      </c>
      <c r="B1165" t="inlineStr">
        <is>
          <t>10.3</t>
        </is>
      </c>
      <c r="C1165" t="inlineStr">
        <is>
          <t>Jute</t>
        </is>
      </c>
    </row>
    <row r="1166">
      <c r="A1166" t="inlineStr">
        <is>
          <t>crop3</t>
        </is>
      </c>
      <c r="B1166" t="inlineStr">
        <is>
          <t>10.4</t>
        </is>
      </c>
      <c r="C1166" t="inlineStr">
        <is>
          <t>Fodder</t>
        </is>
      </c>
    </row>
    <row r="1167">
      <c r="A1167" t="inlineStr">
        <is>
          <t>crop3</t>
        </is>
      </c>
      <c r="B1167" t="inlineStr">
        <is>
          <t>10.5</t>
        </is>
      </c>
      <c r="C1167" t="inlineStr">
        <is>
          <t>Tobacco</t>
        </is>
      </c>
    </row>
    <row r="1168">
      <c r="A1168" t="inlineStr">
        <is>
          <t>crop3</t>
        </is>
      </c>
      <c r="B1168" t="inlineStr">
        <is>
          <t>10.6</t>
        </is>
      </c>
      <c r="C1168" t="inlineStr">
        <is>
          <t>Qat</t>
        </is>
      </c>
    </row>
    <row r="1169">
      <c r="A1169" t="inlineStr">
        <is>
          <t>crop3</t>
        </is>
      </c>
      <c r="B1169" t="inlineStr">
        <is>
          <t>10.99</t>
        </is>
      </c>
      <c r="C1169" t="inlineStr">
        <is>
          <t>Other non-food cash crop</t>
        </is>
      </c>
    </row>
    <row r="1170">
      <c r="A1170" t="inlineStr">
        <is>
          <t>crop3</t>
        </is>
      </c>
      <c r="B1170" t="inlineStr">
        <is>
          <t>888</t>
        </is>
      </c>
      <c r="C1170" t="inlineStr">
        <is>
          <t>Don't know</t>
        </is>
      </c>
    </row>
    <row r="1171">
      <c r="A1171" t="inlineStr">
        <is>
          <t>crop3</t>
        </is>
      </c>
      <c r="B1171" t="inlineStr">
        <is>
          <t>999</t>
        </is>
      </c>
      <c r="C1171" t="inlineStr">
        <is>
          <t>Refused</t>
        </is>
      </c>
    </row>
    <row r="1172"/>
    <row r="1173">
      <c r="A1173" t="inlineStr">
        <is>
          <t>Province</t>
        </is>
      </c>
      <c r="B1173" t="inlineStr">
        <is>
          <t>NP01</t>
        </is>
      </c>
      <c r="C1173" t="inlineStr">
        <is>
          <t>Province 1</t>
        </is>
      </c>
    </row>
    <row r="1174">
      <c r="A1174" t="inlineStr">
        <is>
          <t>Province</t>
        </is>
      </c>
      <c r="B1174" t="inlineStr">
        <is>
          <t>NP02</t>
        </is>
      </c>
      <c r="C1174" t="inlineStr">
        <is>
          <t>Province 2</t>
        </is>
      </c>
    </row>
    <row r="1175">
      <c r="A1175" t="inlineStr">
        <is>
          <t>Province</t>
        </is>
      </c>
      <c r="B1175" t="inlineStr">
        <is>
          <t>NP03</t>
        </is>
      </c>
      <c r="C1175" t="inlineStr">
        <is>
          <t>Bagmati</t>
        </is>
      </c>
    </row>
    <row r="1176">
      <c r="A1176" t="inlineStr">
        <is>
          <t>Province</t>
        </is>
      </c>
      <c r="B1176" t="inlineStr">
        <is>
          <t>NP04</t>
        </is>
      </c>
      <c r="C1176" t="inlineStr">
        <is>
          <t>Gandaki</t>
        </is>
      </c>
    </row>
    <row r="1177">
      <c r="A1177" t="inlineStr">
        <is>
          <t>Province</t>
        </is>
      </c>
      <c r="B1177" t="inlineStr">
        <is>
          <t>NP05</t>
        </is>
      </c>
      <c r="C1177" t="inlineStr">
        <is>
          <t>Lumbini</t>
        </is>
      </c>
    </row>
    <row r="1178">
      <c r="A1178" t="inlineStr">
        <is>
          <t>Province</t>
        </is>
      </c>
      <c r="B1178" t="inlineStr">
        <is>
          <t>NP06</t>
        </is>
      </c>
      <c r="C1178" t="inlineStr">
        <is>
          <t>Karnali</t>
        </is>
      </c>
    </row>
    <row r="1179">
      <c r="A1179" t="inlineStr">
        <is>
          <t>Province</t>
        </is>
      </c>
      <c r="B1179" t="inlineStr">
        <is>
          <t>NP07</t>
        </is>
      </c>
      <c r="C1179" t="inlineStr">
        <is>
          <t>Sudurpaschim</t>
        </is>
      </c>
    </row>
    <row r="1180"/>
    <row r="1181">
      <c r="A1181" t="inlineStr">
        <is>
          <t>District</t>
        </is>
      </c>
      <c r="B1181" t="inlineStr">
        <is>
          <t>NP0101</t>
        </is>
      </c>
      <c r="C1181" t="inlineStr">
        <is>
          <t>Taplejung</t>
        </is>
      </c>
      <c r="E1181" t="inlineStr">
        <is>
          <t>NP01</t>
        </is>
      </c>
    </row>
    <row r="1182">
      <c r="A1182" t="inlineStr">
        <is>
          <t>District</t>
        </is>
      </c>
      <c r="B1182" t="inlineStr">
        <is>
          <t>NP0102</t>
        </is>
      </c>
      <c r="C1182" t="inlineStr">
        <is>
          <t>Panchthar</t>
        </is>
      </c>
      <c r="E1182" t="inlineStr">
        <is>
          <t>NP01</t>
        </is>
      </c>
    </row>
    <row r="1183">
      <c r="A1183" t="inlineStr">
        <is>
          <t>District</t>
        </is>
      </c>
      <c r="B1183" t="inlineStr">
        <is>
          <t>NP0103</t>
        </is>
      </c>
      <c r="C1183" t="inlineStr">
        <is>
          <t>Ilam</t>
        </is>
      </c>
      <c r="E1183" t="inlineStr">
        <is>
          <t>NP01</t>
        </is>
      </c>
    </row>
    <row r="1184">
      <c r="A1184" t="inlineStr">
        <is>
          <t>District</t>
        </is>
      </c>
      <c r="B1184" t="inlineStr">
        <is>
          <t>NP0104</t>
        </is>
      </c>
      <c r="C1184" t="inlineStr">
        <is>
          <t>Jhapa</t>
        </is>
      </c>
      <c r="E1184" t="inlineStr">
        <is>
          <t>NP01</t>
        </is>
      </c>
    </row>
    <row r="1185">
      <c r="A1185" t="inlineStr">
        <is>
          <t>District</t>
        </is>
      </c>
      <c r="B1185" t="inlineStr">
        <is>
          <t>NP0105</t>
        </is>
      </c>
      <c r="C1185" t="inlineStr">
        <is>
          <t>Morang</t>
        </is>
      </c>
      <c r="E1185" t="inlineStr">
        <is>
          <t>NP01</t>
        </is>
      </c>
    </row>
    <row r="1186">
      <c r="A1186" t="inlineStr">
        <is>
          <t>District</t>
        </is>
      </c>
      <c r="B1186" t="inlineStr">
        <is>
          <t>NP0106</t>
        </is>
      </c>
      <c r="C1186" t="inlineStr">
        <is>
          <t>Sunsari</t>
        </is>
      </c>
      <c r="E1186" t="inlineStr">
        <is>
          <t>NP01</t>
        </is>
      </c>
    </row>
    <row r="1187">
      <c r="A1187" t="inlineStr">
        <is>
          <t>District</t>
        </is>
      </c>
      <c r="B1187" t="inlineStr">
        <is>
          <t>NP0107</t>
        </is>
      </c>
      <c r="C1187" t="inlineStr">
        <is>
          <t>Dhankuta</t>
        </is>
      </c>
      <c r="E1187" t="inlineStr">
        <is>
          <t>NP01</t>
        </is>
      </c>
    </row>
    <row r="1188">
      <c r="A1188" t="inlineStr">
        <is>
          <t>District</t>
        </is>
      </c>
      <c r="B1188" t="inlineStr">
        <is>
          <t>NP0108</t>
        </is>
      </c>
      <c r="C1188" t="inlineStr">
        <is>
          <t>Terhathum</t>
        </is>
      </c>
      <c r="E1188" t="inlineStr">
        <is>
          <t>NP01</t>
        </is>
      </c>
    </row>
    <row r="1189">
      <c r="A1189" t="inlineStr">
        <is>
          <t>District</t>
        </is>
      </c>
      <c r="B1189" t="inlineStr">
        <is>
          <t>NP0109</t>
        </is>
      </c>
      <c r="C1189" t="inlineStr">
        <is>
          <t>Sankhuwasabha</t>
        </is>
      </c>
      <c r="E1189" t="inlineStr">
        <is>
          <t>NP01</t>
        </is>
      </c>
    </row>
    <row r="1190">
      <c r="A1190" t="inlineStr">
        <is>
          <t>District</t>
        </is>
      </c>
      <c r="B1190" t="inlineStr">
        <is>
          <t>NP0110</t>
        </is>
      </c>
      <c r="C1190" t="inlineStr">
        <is>
          <t>Bhojpur</t>
        </is>
      </c>
      <c r="E1190" t="inlineStr">
        <is>
          <t>NP01</t>
        </is>
      </c>
    </row>
    <row r="1191">
      <c r="A1191" t="inlineStr">
        <is>
          <t>District</t>
        </is>
      </c>
      <c r="B1191" t="inlineStr">
        <is>
          <t>NP0111</t>
        </is>
      </c>
      <c r="C1191" t="inlineStr">
        <is>
          <t>Solukhumbu</t>
        </is>
      </c>
      <c r="E1191" t="inlineStr">
        <is>
          <t>NP01</t>
        </is>
      </c>
    </row>
    <row r="1192">
      <c r="A1192" t="inlineStr">
        <is>
          <t>District</t>
        </is>
      </c>
      <c r="B1192" t="inlineStr">
        <is>
          <t>NP0112</t>
        </is>
      </c>
      <c r="C1192" t="inlineStr">
        <is>
          <t>Khotang</t>
        </is>
      </c>
      <c r="E1192" t="inlineStr">
        <is>
          <t>NP01</t>
        </is>
      </c>
    </row>
    <row r="1193">
      <c r="A1193" t="inlineStr">
        <is>
          <t>District</t>
        </is>
      </c>
      <c r="B1193" t="inlineStr">
        <is>
          <t>NP0113</t>
        </is>
      </c>
      <c r="C1193" t="inlineStr">
        <is>
          <t>Okhaldhunga</t>
        </is>
      </c>
      <c r="E1193" t="inlineStr">
        <is>
          <t>NP01</t>
        </is>
      </c>
    </row>
    <row r="1194">
      <c r="A1194" t="inlineStr">
        <is>
          <t>District</t>
        </is>
      </c>
      <c r="B1194" t="inlineStr">
        <is>
          <t>NP0114</t>
        </is>
      </c>
      <c r="C1194" t="inlineStr">
        <is>
          <t>Udayapur</t>
        </is>
      </c>
      <c r="E1194" t="inlineStr">
        <is>
          <t>NP01</t>
        </is>
      </c>
    </row>
    <row r="1195">
      <c r="A1195" t="inlineStr">
        <is>
          <t>District</t>
        </is>
      </c>
      <c r="B1195" t="inlineStr">
        <is>
          <t>NP0215</t>
        </is>
      </c>
      <c r="C1195" t="inlineStr">
        <is>
          <t>Saptari</t>
        </is>
      </c>
      <c r="E1195" t="inlineStr">
        <is>
          <t>NP02</t>
        </is>
      </c>
    </row>
    <row r="1196">
      <c r="A1196" t="inlineStr">
        <is>
          <t>District</t>
        </is>
      </c>
      <c r="B1196" t="inlineStr">
        <is>
          <t>NP0216</t>
        </is>
      </c>
      <c r="C1196" t="inlineStr">
        <is>
          <t>Siraha</t>
        </is>
      </c>
      <c r="E1196" t="inlineStr">
        <is>
          <t>NP02</t>
        </is>
      </c>
    </row>
    <row r="1197">
      <c r="A1197" t="inlineStr">
        <is>
          <t>District</t>
        </is>
      </c>
      <c r="B1197" t="inlineStr">
        <is>
          <t>NP0217</t>
        </is>
      </c>
      <c r="C1197" t="inlineStr">
        <is>
          <t>Dhanusha</t>
        </is>
      </c>
      <c r="E1197" t="inlineStr">
        <is>
          <t>NP02</t>
        </is>
      </c>
    </row>
    <row r="1198">
      <c r="A1198" t="inlineStr">
        <is>
          <t>District</t>
        </is>
      </c>
      <c r="B1198" t="inlineStr">
        <is>
          <t>NP0218</t>
        </is>
      </c>
      <c r="C1198" t="inlineStr">
        <is>
          <t>Mahottari</t>
        </is>
      </c>
      <c r="E1198" t="inlineStr">
        <is>
          <t>NP02</t>
        </is>
      </c>
    </row>
    <row r="1199">
      <c r="A1199" t="inlineStr">
        <is>
          <t>District</t>
        </is>
      </c>
      <c r="B1199" t="inlineStr">
        <is>
          <t>NP0219</t>
        </is>
      </c>
      <c r="C1199" t="inlineStr">
        <is>
          <t>Sarlahi</t>
        </is>
      </c>
      <c r="E1199" t="inlineStr">
        <is>
          <t>NP02</t>
        </is>
      </c>
    </row>
    <row r="1200">
      <c r="A1200" t="inlineStr">
        <is>
          <t>District</t>
        </is>
      </c>
      <c r="B1200" t="inlineStr">
        <is>
          <t>NP0232</t>
        </is>
      </c>
      <c r="C1200" t="inlineStr">
        <is>
          <t>Rautahat</t>
        </is>
      </c>
      <c r="E1200" t="inlineStr">
        <is>
          <t>NP02</t>
        </is>
      </c>
    </row>
    <row r="1201">
      <c r="A1201" t="inlineStr">
        <is>
          <t>District</t>
        </is>
      </c>
      <c r="B1201" t="inlineStr">
        <is>
          <t>NP0233</t>
        </is>
      </c>
      <c r="C1201" t="inlineStr">
        <is>
          <t>Bara</t>
        </is>
      </c>
      <c r="E1201" t="inlineStr">
        <is>
          <t>NP02</t>
        </is>
      </c>
    </row>
    <row r="1202">
      <c r="A1202" t="inlineStr">
        <is>
          <t>District</t>
        </is>
      </c>
      <c r="B1202" t="inlineStr">
        <is>
          <t>NP0234</t>
        </is>
      </c>
      <c r="C1202" t="inlineStr">
        <is>
          <t>Parsa</t>
        </is>
      </c>
      <c r="E1202" t="inlineStr">
        <is>
          <t>NP02</t>
        </is>
      </c>
    </row>
    <row r="1203">
      <c r="A1203" t="inlineStr">
        <is>
          <t>District</t>
        </is>
      </c>
      <c r="B1203" t="inlineStr">
        <is>
          <t>NP0320</t>
        </is>
      </c>
      <c r="C1203" t="inlineStr">
        <is>
          <t>Sindhuli</t>
        </is>
      </c>
      <c r="E1203" t="inlineStr">
        <is>
          <t>NP03</t>
        </is>
      </c>
    </row>
    <row r="1204">
      <c r="A1204" t="inlineStr">
        <is>
          <t>District</t>
        </is>
      </c>
      <c r="B1204" t="inlineStr">
        <is>
          <t>NP0321</t>
        </is>
      </c>
      <c r="C1204" t="inlineStr">
        <is>
          <t>Ramechhap</t>
        </is>
      </c>
      <c r="E1204" t="inlineStr">
        <is>
          <t>NP03</t>
        </is>
      </c>
    </row>
    <row r="1205">
      <c r="A1205" t="inlineStr">
        <is>
          <t>District</t>
        </is>
      </c>
      <c r="B1205" t="inlineStr">
        <is>
          <t>NP0322</t>
        </is>
      </c>
      <c r="C1205" t="inlineStr">
        <is>
          <t>Dolakha</t>
        </is>
      </c>
      <c r="E1205" t="inlineStr">
        <is>
          <t>NP03</t>
        </is>
      </c>
    </row>
    <row r="1206">
      <c r="A1206" t="inlineStr">
        <is>
          <t>District</t>
        </is>
      </c>
      <c r="B1206" t="inlineStr">
        <is>
          <t>NP0323</t>
        </is>
      </c>
      <c r="C1206" t="inlineStr">
        <is>
          <t>Sindhupalchok</t>
        </is>
      </c>
      <c r="E1206" t="inlineStr">
        <is>
          <t>NP03</t>
        </is>
      </c>
    </row>
    <row r="1207">
      <c r="A1207" t="inlineStr">
        <is>
          <t>District</t>
        </is>
      </c>
      <c r="B1207" t="inlineStr">
        <is>
          <t>NP0324</t>
        </is>
      </c>
      <c r="C1207" t="inlineStr">
        <is>
          <t>Kabhrepalanchok</t>
        </is>
      </c>
      <c r="E1207" t="inlineStr">
        <is>
          <t>NP03</t>
        </is>
      </c>
    </row>
    <row r="1208">
      <c r="A1208" t="inlineStr">
        <is>
          <t>District</t>
        </is>
      </c>
      <c r="B1208" t="inlineStr">
        <is>
          <t>NP0325</t>
        </is>
      </c>
      <c r="C1208" t="inlineStr">
        <is>
          <t>Lalitpur</t>
        </is>
      </c>
      <c r="E1208" t="inlineStr">
        <is>
          <t>NP03</t>
        </is>
      </c>
    </row>
    <row r="1209">
      <c r="A1209" t="inlineStr">
        <is>
          <t>District</t>
        </is>
      </c>
      <c r="B1209" t="inlineStr">
        <is>
          <t>NP0326</t>
        </is>
      </c>
      <c r="C1209" t="inlineStr">
        <is>
          <t>Bhaktapur</t>
        </is>
      </c>
      <c r="E1209" t="inlineStr">
        <is>
          <t>NP03</t>
        </is>
      </c>
    </row>
    <row r="1210">
      <c r="A1210" t="inlineStr">
        <is>
          <t>District</t>
        </is>
      </c>
      <c r="B1210" t="inlineStr">
        <is>
          <t>NP0327</t>
        </is>
      </c>
      <c r="C1210" t="inlineStr">
        <is>
          <t>Kathmandu</t>
        </is>
      </c>
      <c r="E1210" t="inlineStr">
        <is>
          <t>NP03</t>
        </is>
      </c>
    </row>
    <row r="1211">
      <c r="A1211" t="inlineStr">
        <is>
          <t>District</t>
        </is>
      </c>
      <c r="B1211" t="inlineStr">
        <is>
          <t>NP0328</t>
        </is>
      </c>
      <c r="C1211" t="inlineStr">
        <is>
          <t>Nuwakot</t>
        </is>
      </c>
      <c r="E1211" t="inlineStr">
        <is>
          <t>NP03</t>
        </is>
      </c>
    </row>
    <row r="1212">
      <c r="A1212" t="inlineStr">
        <is>
          <t>District</t>
        </is>
      </c>
      <c r="B1212" t="inlineStr">
        <is>
          <t>NP0329</t>
        </is>
      </c>
      <c r="C1212" t="inlineStr">
        <is>
          <t>Rasuwa</t>
        </is>
      </c>
      <c r="E1212" t="inlineStr">
        <is>
          <t>NP03</t>
        </is>
      </c>
    </row>
    <row r="1213">
      <c r="A1213" t="inlineStr">
        <is>
          <t>District</t>
        </is>
      </c>
      <c r="B1213" t="inlineStr">
        <is>
          <t>NP0330</t>
        </is>
      </c>
      <c r="C1213" t="inlineStr">
        <is>
          <t>Dhading</t>
        </is>
      </c>
      <c r="E1213" t="inlineStr">
        <is>
          <t>NP03</t>
        </is>
      </c>
    </row>
    <row r="1214">
      <c r="A1214" t="inlineStr">
        <is>
          <t>District</t>
        </is>
      </c>
      <c r="B1214" t="inlineStr">
        <is>
          <t>NP0331</t>
        </is>
      </c>
      <c r="C1214" t="inlineStr">
        <is>
          <t>Makawanpur</t>
        </is>
      </c>
      <c r="E1214" t="inlineStr">
        <is>
          <t>NP03</t>
        </is>
      </c>
    </row>
    <row r="1215">
      <c r="A1215" t="inlineStr">
        <is>
          <t>District</t>
        </is>
      </c>
      <c r="B1215" t="inlineStr">
        <is>
          <t>NP0335</t>
        </is>
      </c>
      <c r="C1215" t="inlineStr">
        <is>
          <t>Chitawan</t>
        </is>
      </c>
      <c r="E1215" t="inlineStr">
        <is>
          <t>NP03</t>
        </is>
      </c>
    </row>
    <row r="1216">
      <c r="A1216" t="inlineStr">
        <is>
          <t>District</t>
        </is>
      </c>
      <c r="B1216" t="inlineStr">
        <is>
          <t>NP0436</t>
        </is>
      </c>
      <c r="C1216" t="inlineStr">
        <is>
          <t>Gorkha</t>
        </is>
      </c>
      <c r="E1216" t="inlineStr">
        <is>
          <t>NP04</t>
        </is>
      </c>
    </row>
    <row r="1217">
      <c r="A1217" t="inlineStr">
        <is>
          <t>District</t>
        </is>
      </c>
      <c r="B1217" t="inlineStr">
        <is>
          <t>NP0437</t>
        </is>
      </c>
      <c r="C1217" t="inlineStr">
        <is>
          <t>Lamjung</t>
        </is>
      </c>
      <c r="E1217" t="inlineStr">
        <is>
          <t>NP04</t>
        </is>
      </c>
    </row>
    <row r="1218">
      <c r="A1218" t="inlineStr">
        <is>
          <t>District</t>
        </is>
      </c>
      <c r="B1218" t="inlineStr">
        <is>
          <t>NP0438</t>
        </is>
      </c>
      <c r="C1218" t="inlineStr">
        <is>
          <t>Manang</t>
        </is>
      </c>
      <c r="E1218" t="inlineStr">
        <is>
          <t>NP04</t>
        </is>
      </c>
    </row>
    <row r="1219">
      <c r="A1219" t="inlineStr">
        <is>
          <t>District</t>
        </is>
      </c>
      <c r="B1219" t="inlineStr">
        <is>
          <t>NP0439</t>
        </is>
      </c>
      <c r="C1219" t="inlineStr">
        <is>
          <t>Kaski</t>
        </is>
      </c>
      <c r="E1219" t="inlineStr">
        <is>
          <t>NP04</t>
        </is>
      </c>
    </row>
    <row r="1220">
      <c r="A1220" t="inlineStr">
        <is>
          <t>District</t>
        </is>
      </c>
      <c r="B1220" t="inlineStr">
        <is>
          <t>NP0440</t>
        </is>
      </c>
      <c r="C1220" t="inlineStr">
        <is>
          <t>Tanahu</t>
        </is>
      </c>
      <c r="E1220" t="inlineStr">
        <is>
          <t>NP04</t>
        </is>
      </c>
    </row>
    <row r="1221">
      <c r="A1221" t="inlineStr">
        <is>
          <t>District</t>
        </is>
      </c>
      <c r="B1221" t="inlineStr">
        <is>
          <t>NP0441</t>
        </is>
      </c>
      <c r="C1221" t="inlineStr">
        <is>
          <t>Syangja</t>
        </is>
      </c>
      <c r="E1221" t="inlineStr">
        <is>
          <t>NP04</t>
        </is>
      </c>
    </row>
    <row r="1222">
      <c r="A1222" t="inlineStr">
        <is>
          <t>District</t>
        </is>
      </c>
      <c r="B1222" t="inlineStr">
        <is>
          <t>NP0442</t>
        </is>
      </c>
      <c r="C1222" t="inlineStr">
        <is>
          <t>Parbat</t>
        </is>
      </c>
      <c r="E1222" t="inlineStr">
        <is>
          <t>NP04</t>
        </is>
      </c>
    </row>
    <row r="1223">
      <c r="A1223" t="inlineStr">
        <is>
          <t>District</t>
        </is>
      </c>
      <c r="B1223" t="inlineStr">
        <is>
          <t>NP0443</t>
        </is>
      </c>
      <c r="C1223" t="inlineStr">
        <is>
          <t>Baglung</t>
        </is>
      </c>
      <c r="E1223" t="inlineStr">
        <is>
          <t>NP04</t>
        </is>
      </c>
    </row>
    <row r="1224">
      <c r="A1224" t="inlineStr">
        <is>
          <t>District</t>
        </is>
      </c>
      <c r="B1224" t="inlineStr">
        <is>
          <t>NP0444</t>
        </is>
      </c>
      <c r="C1224" t="inlineStr">
        <is>
          <t>Myagdi</t>
        </is>
      </c>
      <c r="E1224" t="inlineStr">
        <is>
          <t>NP04</t>
        </is>
      </c>
    </row>
    <row r="1225">
      <c r="A1225" t="inlineStr">
        <is>
          <t>District</t>
        </is>
      </c>
      <c r="B1225" t="inlineStr">
        <is>
          <t>NP0445</t>
        </is>
      </c>
      <c r="C1225" t="inlineStr">
        <is>
          <t>Mustang</t>
        </is>
      </c>
      <c r="E1225" t="inlineStr">
        <is>
          <t>NP04</t>
        </is>
      </c>
    </row>
    <row r="1226">
      <c r="A1226" t="inlineStr">
        <is>
          <t>District</t>
        </is>
      </c>
      <c r="B1226" t="inlineStr">
        <is>
          <t>NP0447</t>
        </is>
      </c>
      <c r="C1226" t="inlineStr">
        <is>
          <t>Nawalparasi East</t>
        </is>
      </c>
      <c r="E1226" t="inlineStr">
        <is>
          <t>NP04</t>
        </is>
      </c>
    </row>
    <row r="1227">
      <c r="A1227" t="inlineStr">
        <is>
          <t>District</t>
        </is>
      </c>
      <c r="B1227" t="inlineStr">
        <is>
          <t>NP0546</t>
        </is>
      </c>
      <c r="C1227" t="inlineStr">
        <is>
          <t>Palpa</t>
        </is>
      </c>
      <c r="E1227" t="inlineStr">
        <is>
          <t>NP05</t>
        </is>
      </c>
    </row>
    <row r="1228">
      <c r="A1228" t="inlineStr">
        <is>
          <t>District</t>
        </is>
      </c>
      <c r="B1228" t="inlineStr">
        <is>
          <t>NP0547</t>
        </is>
      </c>
      <c r="C1228" t="inlineStr">
        <is>
          <t>Nawalparasi West</t>
        </is>
      </c>
      <c r="E1228" t="inlineStr">
        <is>
          <t>NP05</t>
        </is>
      </c>
    </row>
    <row r="1229">
      <c r="A1229" t="inlineStr">
        <is>
          <t>District</t>
        </is>
      </c>
      <c r="B1229" t="inlineStr">
        <is>
          <t>NP0548</t>
        </is>
      </c>
      <c r="C1229" t="inlineStr">
        <is>
          <t>Rupandehi</t>
        </is>
      </c>
      <c r="E1229" t="inlineStr">
        <is>
          <t>NP05</t>
        </is>
      </c>
    </row>
    <row r="1230">
      <c r="A1230" t="inlineStr">
        <is>
          <t>District</t>
        </is>
      </c>
      <c r="B1230" t="inlineStr">
        <is>
          <t>NP0549</t>
        </is>
      </c>
      <c r="C1230" t="inlineStr">
        <is>
          <t>Kapilbastu</t>
        </is>
      </c>
      <c r="E1230" t="inlineStr">
        <is>
          <t>NP05</t>
        </is>
      </c>
    </row>
    <row r="1231">
      <c r="A1231" t="inlineStr">
        <is>
          <t>District</t>
        </is>
      </c>
      <c r="B1231" t="inlineStr">
        <is>
          <t>NP0550</t>
        </is>
      </c>
      <c r="C1231" t="inlineStr">
        <is>
          <t>Arghakhanchi</t>
        </is>
      </c>
      <c r="E1231" t="inlineStr">
        <is>
          <t>NP05</t>
        </is>
      </c>
    </row>
    <row r="1232">
      <c r="A1232" t="inlineStr">
        <is>
          <t>District</t>
        </is>
      </c>
      <c r="B1232" t="inlineStr">
        <is>
          <t>NP0551</t>
        </is>
      </c>
      <c r="C1232" t="inlineStr">
        <is>
          <t>Gulmi</t>
        </is>
      </c>
      <c r="E1232" t="inlineStr">
        <is>
          <t>NP05</t>
        </is>
      </c>
    </row>
    <row r="1233">
      <c r="A1233" t="inlineStr">
        <is>
          <t>District</t>
        </is>
      </c>
      <c r="B1233" t="inlineStr">
        <is>
          <t>NP0552</t>
        </is>
      </c>
      <c r="C1233" t="inlineStr">
        <is>
          <t>Rukum East</t>
        </is>
      </c>
      <c r="E1233" t="inlineStr">
        <is>
          <t>NP05</t>
        </is>
      </c>
    </row>
    <row r="1234">
      <c r="A1234" t="inlineStr">
        <is>
          <t>District</t>
        </is>
      </c>
      <c r="B1234" t="inlineStr">
        <is>
          <t>NP0554</t>
        </is>
      </c>
      <c r="C1234" t="inlineStr">
        <is>
          <t>Rolpa</t>
        </is>
      </c>
      <c r="E1234" t="inlineStr">
        <is>
          <t>NP05</t>
        </is>
      </c>
    </row>
    <row r="1235">
      <c r="A1235" t="inlineStr">
        <is>
          <t>District</t>
        </is>
      </c>
      <c r="B1235" t="inlineStr">
        <is>
          <t>NP0555</t>
        </is>
      </c>
      <c r="C1235" t="inlineStr">
        <is>
          <t>Pyuthan</t>
        </is>
      </c>
      <c r="E1235" t="inlineStr">
        <is>
          <t>NP05</t>
        </is>
      </c>
    </row>
    <row r="1236">
      <c r="A1236" t="inlineStr">
        <is>
          <t>District</t>
        </is>
      </c>
      <c r="B1236" t="inlineStr">
        <is>
          <t>NP0556</t>
        </is>
      </c>
      <c r="C1236" t="inlineStr">
        <is>
          <t>Dang</t>
        </is>
      </c>
      <c r="E1236" t="inlineStr">
        <is>
          <t>NP05</t>
        </is>
      </c>
    </row>
    <row r="1237">
      <c r="A1237" t="inlineStr">
        <is>
          <t>District</t>
        </is>
      </c>
      <c r="B1237" t="inlineStr">
        <is>
          <t>NP0557</t>
        </is>
      </c>
      <c r="C1237" t="inlineStr">
        <is>
          <t>Banke</t>
        </is>
      </c>
      <c r="E1237" t="inlineStr">
        <is>
          <t>NP05</t>
        </is>
      </c>
    </row>
    <row r="1238">
      <c r="A1238" t="inlineStr">
        <is>
          <t>District</t>
        </is>
      </c>
      <c r="B1238" t="inlineStr">
        <is>
          <t>NP0558</t>
        </is>
      </c>
      <c r="C1238" t="inlineStr">
        <is>
          <t>Bardiya</t>
        </is>
      </c>
      <c r="E1238" t="inlineStr">
        <is>
          <t>NP05</t>
        </is>
      </c>
    </row>
    <row r="1239">
      <c r="A1239" t="inlineStr">
        <is>
          <t>District</t>
        </is>
      </c>
      <c r="B1239" t="inlineStr">
        <is>
          <t>NP0652</t>
        </is>
      </c>
      <c r="C1239" t="inlineStr">
        <is>
          <t>Rukum West</t>
        </is>
      </c>
      <c r="E1239" t="inlineStr">
        <is>
          <t>NP06</t>
        </is>
      </c>
    </row>
    <row r="1240">
      <c r="A1240" t="inlineStr">
        <is>
          <t>District</t>
        </is>
      </c>
      <c r="B1240" t="inlineStr">
        <is>
          <t>NP0653</t>
        </is>
      </c>
      <c r="C1240" t="inlineStr">
        <is>
          <t>Salyan</t>
        </is>
      </c>
      <c r="E1240" t="inlineStr">
        <is>
          <t>NP06</t>
        </is>
      </c>
    </row>
    <row r="1241">
      <c r="A1241" t="inlineStr">
        <is>
          <t>District</t>
        </is>
      </c>
      <c r="B1241" t="inlineStr">
        <is>
          <t>NP0659</t>
        </is>
      </c>
      <c r="C1241" t="inlineStr">
        <is>
          <t>Surkhet</t>
        </is>
      </c>
      <c r="E1241" t="inlineStr">
        <is>
          <t>NP06</t>
        </is>
      </c>
    </row>
    <row r="1242">
      <c r="A1242" t="inlineStr">
        <is>
          <t>District</t>
        </is>
      </c>
      <c r="B1242" t="inlineStr">
        <is>
          <t>NP0660</t>
        </is>
      </c>
      <c r="C1242" t="inlineStr">
        <is>
          <t>Jajarkot</t>
        </is>
      </c>
      <c r="E1242" t="inlineStr">
        <is>
          <t>NP06</t>
        </is>
      </c>
    </row>
    <row r="1243">
      <c r="A1243" t="inlineStr">
        <is>
          <t>District</t>
        </is>
      </c>
      <c r="B1243" t="inlineStr">
        <is>
          <t>NP0661</t>
        </is>
      </c>
      <c r="C1243" t="inlineStr">
        <is>
          <t>Dailekh</t>
        </is>
      </c>
      <c r="E1243" t="inlineStr">
        <is>
          <t>NP06</t>
        </is>
      </c>
    </row>
    <row r="1244">
      <c r="A1244" t="inlineStr">
        <is>
          <t>District</t>
        </is>
      </c>
      <c r="B1244" t="inlineStr">
        <is>
          <t>NP0662</t>
        </is>
      </c>
      <c r="C1244" t="inlineStr">
        <is>
          <t>Dolpa</t>
        </is>
      </c>
      <c r="E1244" t="inlineStr">
        <is>
          <t>NP06</t>
        </is>
      </c>
    </row>
    <row r="1245">
      <c r="A1245" t="inlineStr">
        <is>
          <t>District</t>
        </is>
      </c>
      <c r="B1245" t="inlineStr">
        <is>
          <t>NP0663</t>
        </is>
      </c>
      <c r="C1245" t="inlineStr">
        <is>
          <t>Jumla</t>
        </is>
      </c>
      <c r="E1245" t="inlineStr">
        <is>
          <t>NP06</t>
        </is>
      </c>
    </row>
    <row r="1246">
      <c r="A1246" t="inlineStr">
        <is>
          <t>District</t>
        </is>
      </c>
      <c r="B1246" t="inlineStr">
        <is>
          <t>NP0664</t>
        </is>
      </c>
      <c r="C1246" t="inlineStr">
        <is>
          <t>Kalikot</t>
        </is>
      </c>
      <c r="E1246" t="inlineStr">
        <is>
          <t>NP06</t>
        </is>
      </c>
    </row>
    <row r="1247">
      <c r="A1247" t="inlineStr">
        <is>
          <t>District</t>
        </is>
      </c>
      <c r="B1247" t="inlineStr">
        <is>
          <t>NP0665</t>
        </is>
      </c>
      <c r="C1247" t="inlineStr">
        <is>
          <t>Mugu</t>
        </is>
      </c>
      <c r="E1247" t="inlineStr">
        <is>
          <t>NP06</t>
        </is>
      </c>
    </row>
    <row r="1248">
      <c r="A1248" t="inlineStr">
        <is>
          <t>District</t>
        </is>
      </c>
      <c r="B1248" t="inlineStr">
        <is>
          <t>NP0666</t>
        </is>
      </c>
      <c r="C1248" t="inlineStr">
        <is>
          <t>Humla</t>
        </is>
      </c>
      <c r="E1248" t="inlineStr">
        <is>
          <t>NP06</t>
        </is>
      </c>
    </row>
    <row r="1249">
      <c r="A1249" t="inlineStr">
        <is>
          <t>District</t>
        </is>
      </c>
      <c r="B1249" t="inlineStr">
        <is>
          <t>NP0767</t>
        </is>
      </c>
      <c r="C1249" t="inlineStr">
        <is>
          <t>Bajhang</t>
        </is>
      </c>
      <c r="E1249" t="inlineStr">
        <is>
          <t>NP07</t>
        </is>
      </c>
    </row>
    <row r="1250">
      <c r="A1250" t="inlineStr">
        <is>
          <t>District</t>
        </is>
      </c>
      <c r="B1250" t="inlineStr">
        <is>
          <t>NP0768</t>
        </is>
      </c>
      <c r="C1250" t="inlineStr">
        <is>
          <t>Bajura</t>
        </is>
      </c>
      <c r="E1250" t="inlineStr">
        <is>
          <t>NP07</t>
        </is>
      </c>
    </row>
    <row r="1251">
      <c r="A1251" t="inlineStr">
        <is>
          <t>District</t>
        </is>
      </c>
      <c r="B1251" t="inlineStr">
        <is>
          <t>NP0769</t>
        </is>
      </c>
      <c r="C1251" t="inlineStr">
        <is>
          <t>Achham</t>
        </is>
      </c>
      <c r="E1251" t="inlineStr">
        <is>
          <t>NP07</t>
        </is>
      </c>
    </row>
    <row r="1252">
      <c r="A1252" t="inlineStr">
        <is>
          <t>District</t>
        </is>
      </c>
      <c r="B1252" t="inlineStr">
        <is>
          <t>NP0770</t>
        </is>
      </c>
      <c r="C1252" t="inlineStr">
        <is>
          <t>Doti</t>
        </is>
      </c>
      <c r="E1252" t="inlineStr">
        <is>
          <t>NP07</t>
        </is>
      </c>
    </row>
    <row r="1253">
      <c r="A1253" t="inlineStr">
        <is>
          <t>District</t>
        </is>
      </c>
      <c r="B1253" t="inlineStr">
        <is>
          <t>NP0771</t>
        </is>
      </c>
      <c r="C1253" t="inlineStr">
        <is>
          <t>Kailali</t>
        </is>
      </c>
      <c r="E1253" t="inlineStr">
        <is>
          <t>NP07</t>
        </is>
      </c>
    </row>
    <row r="1254">
      <c r="A1254" t="inlineStr">
        <is>
          <t>District</t>
        </is>
      </c>
      <c r="B1254" t="inlineStr">
        <is>
          <t>NP0772</t>
        </is>
      </c>
      <c r="C1254" t="inlineStr">
        <is>
          <t>Kanchanpur</t>
        </is>
      </c>
      <c r="E1254" t="inlineStr">
        <is>
          <t>NP07</t>
        </is>
      </c>
    </row>
    <row r="1255">
      <c r="A1255" t="inlineStr">
        <is>
          <t>District</t>
        </is>
      </c>
      <c r="B1255" t="inlineStr">
        <is>
          <t>NP0773</t>
        </is>
      </c>
      <c r="C1255" t="inlineStr">
        <is>
          <t>Dadeldhura</t>
        </is>
      </c>
      <c r="E1255" t="inlineStr">
        <is>
          <t>NP07</t>
        </is>
      </c>
    </row>
    <row r="1256">
      <c r="A1256" t="inlineStr">
        <is>
          <t>District</t>
        </is>
      </c>
      <c r="B1256" t="inlineStr">
        <is>
          <t>NP0774</t>
        </is>
      </c>
      <c r="C1256" t="inlineStr">
        <is>
          <t>Baitadi</t>
        </is>
      </c>
      <c r="E1256" t="inlineStr">
        <is>
          <t>NP07</t>
        </is>
      </c>
    </row>
    <row r="1257">
      <c r="A1257" t="inlineStr">
        <is>
          <t>District</t>
        </is>
      </c>
      <c r="B1257" t="inlineStr">
        <is>
          <t>NP0775</t>
        </is>
      </c>
      <c r="C1257" t="inlineStr">
        <is>
          <t>Darchula</t>
        </is>
      </c>
      <c r="E1257" t="inlineStr">
        <is>
          <t>NP07</t>
        </is>
      </c>
    </row>
  </sheetData>
  <conditionalFormatting sqref="A276">
    <cfRule type="duplicateValues" priority="1" dxfId="0"/>
    <cfRule type="duplicateValues" priority="2" dxfId="0"/>
    <cfRule type="duplicateValues" priority="3" dxfId="0"/>
  </conditionalFormatting>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8" defaultColWidth="8.6640625" defaultRowHeight="14.4"/>
  <cols>
    <col width="28.33203125" customWidth="1" style="3" min="1" max="4"/>
    <col width="8.6640625" customWidth="1" style="3" min="5" max="5"/>
    <col width="8.6640625" customWidth="1" style="3" min="6"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English (en)</t>
        </is>
      </c>
      <c r="C2" t="inlineStr">
        <is>
          <t>yes</t>
        </is>
      </c>
      <c r="D2" s="3" t="inlineStr">
        <is>
          <t>theme-grid no-text-transform</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E94"/>
  <sheetViews>
    <sheetView workbookViewId="0">
      <pane ySplit="3" topLeftCell="A37" activePane="bottomLeft" state="frozen"/>
      <selection pane="bottomLeft" activeCell="C43" sqref="C43"/>
    </sheetView>
  </sheetViews>
  <sheetFormatPr baseColWidth="8" defaultColWidth="10.6640625" defaultRowHeight="14.4"/>
  <cols>
    <col width="10.6640625" customWidth="1" style="130" min="1" max="2"/>
    <col width="15.33203125" customWidth="1" style="144" min="3" max="3"/>
    <col width="10.6640625" customWidth="1" style="145" min="4" max="4"/>
    <col width="28.6640625" customWidth="1" style="146" min="5" max="5"/>
    <col width="10.6640625" customWidth="1" style="130" min="6" max="6"/>
    <col width="10.6640625" customWidth="1" style="130" min="7" max="16384"/>
  </cols>
  <sheetData>
    <row r="2">
      <c r="C2" s="131" t="n"/>
      <c r="D2" s="132" t="n"/>
      <c r="E2" s="133" t="n"/>
    </row>
    <row r="3" ht="31.95" customHeight="1">
      <c r="B3" s="134" t="n"/>
      <c r="C3" s="135" t="inlineStr">
        <is>
          <t xml:space="preserve">Select top 10 crops </t>
        </is>
      </c>
      <c r="D3" s="136" t="inlineStr">
        <is>
          <t>Dataset code</t>
        </is>
      </c>
      <c r="E3" s="137" t="inlineStr">
        <is>
          <t>Label (EN)</t>
        </is>
      </c>
    </row>
    <row r="4" ht="16.2" customHeight="1">
      <c r="B4" s="134" t="n"/>
      <c r="C4" s="9" t="inlineStr">
        <is>
          <t>x</t>
        </is>
      </c>
      <c r="D4" s="138" t="inlineStr">
        <is>
          <t>1.1</t>
        </is>
      </c>
      <c r="E4" s="139" t="inlineStr">
        <is>
          <t>Rice</t>
        </is>
      </c>
    </row>
    <row r="5" ht="16.2" customHeight="1">
      <c r="B5" s="134" t="n"/>
      <c r="C5" s="9" t="inlineStr">
        <is>
          <t>x</t>
        </is>
      </c>
      <c r="D5" s="138" t="inlineStr">
        <is>
          <t>1.2</t>
        </is>
      </c>
      <c r="E5" s="139" t="inlineStr">
        <is>
          <t>Wheat</t>
        </is>
      </c>
    </row>
    <row r="6" ht="16.2" customHeight="1">
      <c r="B6" s="134" t="n"/>
      <c r="C6" s="9" t="inlineStr">
        <is>
          <t>x</t>
        </is>
      </c>
      <c r="D6" s="138" t="inlineStr">
        <is>
          <t>1.3</t>
        </is>
      </c>
      <c r="E6" s="139" t="inlineStr">
        <is>
          <t>Millet</t>
        </is>
      </c>
    </row>
    <row r="7" ht="16.2" customHeight="1">
      <c r="B7" s="134" t="n"/>
      <c r="C7" s="9" t="n"/>
      <c r="D7" s="138" t="inlineStr">
        <is>
          <t>1.4</t>
        </is>
      </c>
      <c r="E7" s="139" t="inlineStr">
        <is>
          <t>Sorghum</t>
        </is>
      </c>
    </row>
    <row r="8" ht="16.2" customHeight="1">
      <c r="B8" s="134" t="n"/>
      <c r="C8" s="9" t="inlineStr">
        <is>
          <t>x</t>
        </is>
      </c>
      <c r="D8" s="138" t="inlineStr">
        <is>
          <t>1.5</t>
        </is>
      </c>
      <c r="E8" s="139" t="inlineStr">
        <is>
          <t>Maize</t>
        </is>
      </c>
    </row>
    <row r="9" ht="16.2" customHeight="1">
      <c r="B9" s="134" t="n"/>
      <c r="C9" s="9" t="n"/>
      <c r="D9" s="138" t="inlineStr">
        <is>
          <t>1.6</t>
        </is>
      </c>
      <c r="E9" s="139" t="inlineStr">
        <is>
          <t>Barley</t>
        </is>
      </c>
    </row>
    <row r="10" ht="16.2" customHeight="1">
      <c r="B10" s="134" t="n"/>
      <c r="C10" s="170" t="n"/>
      <c r="D10" s="138" t="inlineStr">
        <is>
          <t>1.99</t>
        </is>
      </c>
      <c r="E10" s="140" t="inlineStr">
        <is>
          <t>Other Cereal</t>
        </is>
      </c>
    </row>
    <row r="11" ht="16.2" customHeight="1">
      <c r="B11" s="134" t="n"/>
      <c r="C11" s="9" t="n"/>
      <c r="D11" s="138" t="inlineStr">
        <is>
          <t>2.1</t>
        </is>
      </c>
      <c r="E11" s="139" t="inlineStr">
        <is>
          <t>Cassava</t>
        </is>
      </c>
    </row>
    <row r="12" ht="16.2" customHeight="1">
      <c r="B12" s="134" t="n"/>
      <c r="C12" s="9" t="inlineStr">
        <is>
          <t>x</t>
        </is>
      </c>
      <c r="D12" s="138" t="inlineStr">
        <is>
          <t>2.2</t>
        </is>
      </c>
      <c r="E12" s="139" t="inlineStr">
        <is>
          <t>Potatoe</t>
        </is>
      </c>
    </row>
    <row r="13" ht="16.2" customHeight="1">
      <c r="B13" s="134" t="n"/>
      <c r="C13" s="9" t="n"/>
      <c r="D13" s="138" t="inlineStr">
        <is>
          <t>2.3</t>
        </is>
      </c>
      <c r="E13" s="139" t="inlineStr">
        <is>
          <t>Sweet Potatoes</t>
        </is>
      </c>
    </row>
    <row r="14" ht="16.2" customHeight="1">
      <c r="B14" s="134" t="n"/>
      <c r="C14" s="9" t="n"/>
      <c r="D14" s="138" t="inlineStr">
        <is>
          <t>2.4</t>
        </is>
      </c>
      <c r="E14" s="139" t="inlineStr">
        <is>
          <t>Yams</t>
        </is>
      </c>
    </row>
    <row r="15" ht="16.2" customHeight="1">
      <c r="B15" s="134" t="n"/>
      <c r="C15" s="9" t="n"/>
      <c r="D15" s="138" t="inlineStr">
        <is>
          <t>2.5</t>
        </is>
      </c>
      <c r="E15" s="139" t="inlineStr">
        <is>
          <t>Carrots</t>
        </is>
      </c>
    </row>
    <row r="16" ht="16.2" customHeight="1">
      <c r="B16" s="134" t="n"/>
      <c r="C16" s="9" t="n"/>
      <c r="D16" s="138" t="inlineStr">
        <is>
          <t>2.6</t>
        </is>
      </c>
      <c r="E16" s="139" t="inlineStr">
        <is>
          <t>Cocoyam</t>
        </is>
      </c>
    </row>
    <row r="17" ht="16.2" customHeight="1">
      <c r="B17" s="134" t="n"/>
      <c r="C17" s="170" t="n"/>
      <c r="D17" s="138" t="inlineStr">
        <is>
          <t>2.99</t>
        </is>
      </c>
      <c r="E17" s="140" t="inlineStr">
        <is>
          <t>Other tubers</t>
        </is>
      </c>
    </row>
    <row r="18" ht="16.2" customHeight="1">
      <c r="B18" s="134" t="n"/>
      <c r="C18" s="9" t="inlineStr">
        <is>
          <t>x</t>
        </is>
      </c>
      <c r="D18" s="138" t="inlineStr">
        <is>
          <t>3.1</t>
        </is>
      </c>
      <c r="E18" s="139" t="inlineStr">
        <is>
          <t>Beans</t>
        </is>
      </c>
    </row>
    <row r="19" ht="16.2" customHeight="1">
      <c r="B19" s="134" t="n"/>
      <c r="C19" s="9" t="n"/>
      <c r="D19" s="138" t="inlineStr">
        <is>
          <t>3.2</t>
        </is>
      </c>
      <c r="E19" s="139" t="inlineStr">
        <is>
          <t>Lentils</t>
        </is>
      </c>
    </row>
    <row r="20" ht="16.2" customHeight="1">
      <c r="B20" s="134" t="n"/>
      <c r="C20" s="9" t="n"/>
      <c r="D20" s="138" t="inlineStr">
        <is>
          <t>3.3</t>
        </is>
      </c>
      <c r="E20" s="139" t="inlineStr">
        <is>
          <t>Peas</t>
        </is>
      </c>
    </row>
    <row r="21" ht="16.2" customHeight="1">
      <c r="B21" s="134" t="n"/>
      <c r="C21" s="9" t="n"/>
      <c r="D21" s="138" t="inlineStr">
        <is>
          <t>3.4</t>
        </is>
      </c>
      <c r="E21" s="139" t="inlineStr">
        <is>
          <t>Soybeans</t>
        </is>
      </c>
    </row>
    <row r="22" ht="16.2" customHeight="1">
      <c r="B22" s="134" t="n"/>
      <c r="C22" s="9" t="n"/>
      <c r="D22" s="138" t="inlineStr">
        <is>
          <t>3.5</t>
        </is>
      </c>
      <c r="E22" s="139" t="inlineStr">
        <is>
          <t>Chickpeas</t>
        </is>
      </c>
    </row>
    <row r="23" ht="16.2" customHeight="1">
      <c r="B23" s="134" t="n"/>
      <c r="C23" s="9" t="n"/>
      <c r="D23" s="138" t="inlineStr">
        <is>
          <t>3.6</t>
        </is>
      </c>
      <c r="E23" s="139" t="inlineStr">
        <is>
          <t>Fava beans</t>
        </is>
      </c>
    </row>
    <row r="24" ht="16.2" customHeight="1">
      <c r="B24" s="134" t="n"/>
      <c r="C24" s="9" t="n"/>
      <c r="D24" s="138" t="inlineStr">
        <is>
          <t>3.7</t>
        </is>
      </c>
      <c r="E24" s="139" t="inlineStr">
        <is>
          <t>Broad beans</t>
        </is>
      </c>
    </row>
    <row r="25" ht="16.2" customHeight="1">
      <c r="B25" s="134" t="n"/>
      <c r="C25" s="170" t="n"/>
      <c r="D25" s="138" t="inlineStr">
        <is>
          <t>3.99</t>
        </is>
      </c>
      <c r="E25" s="140" t="inlineStr">
        <is>
          <t>Other pulses</t>
        </is>
      </c>
    </row>
    <row r="26" ht="16.2" customHeight="1">
      <c r="B26" s="134" t="n"/>
      <c r="C26" s="9" t="inlineStr">
        <is>
          <t>x</t>
        </is>
      </c>
      <c r="D26" s="138" t="inlineStr">
        <is>
          <t>4.1</t>
        </is>
      </c>
      <c r="E26" s="139" t="inlineStr">
        <is>
          <t>Cabbage</t>
        </is>
      </c>
    </row>
    <row r="27" ht="16.2" customHeight="1">
      <c r="B27" s="134" t="n"/>
      <c r="C27" s="9" t="n"/>
      <c r="D27" s="138" t="inlineStr">
        <is>
          <t>4.2</t>
        </is>
      </c>
      <c r="E27" s="139" t="inlineStr">
        <is>
          <t>Lettuce</t>
        </is>
      </c>
    </row>
    <row r="28" ht="16.2" customHeight="1">
      <c r="B28" s="134" t="n"/>
      <c r="C28" s="9" t="n"/>
      <c r="D28" s="138" t="inlineStr">
        <is>
          <t>4.3</t>
        </is>
      </c>
      <c r="E28" s="139" t="inlineStr">
        <is>
          <t>Spinach-Amaranth</t>
        </is>
      </c>
    </row>
    <row r="29" ht="16.2" customHeight="1">
      <c r="B29" s="134" t="n"/>
      <c r="C29" s="9" t="n"/>
      <c r="D29" s="138" t="inlineStr">
        <is>
          <t>4.4</t>
        </is>
      </c>
      <c r="E29" s="139" t="inlineStr">
        <is>
          <t>Cassava leaves</t>
        </is>
      </c>
    </row>
    <row r="30" ht="16.2" customHeight="1">
      <c r="B30" s="134" t="n"/>
      <c r="C30" s="9" t="n"/>
      <c r="D30" s="138" t="inlineStr">
        <is>
          <t>4.5</t>
        </is>
      </c>
      <c r="E30" s="139" t="inlineStr">
        <is>
          <t>Potatoe leaves</t>
        </is>
      </c>
    </row>
    <row r="31" ht="16.2" customHeight="1">
      <c r="B31" s="134" t="n"/>
      <c r="C31" s="9" t="n"/>
      <c r="D31" s="138" t="inlineStr">
        <is>
          <t>4.6</t>
        </is>
      </c>
      <c r="E31" s="139" t="inlineStr">
        <is>
          <t>Moringa</t>
        </is>
      </c>
    </row>
    <row r="32" ht="16.2" customHeight="1">
      <c r="B32" s="134" t="n"/>
      <c r="C32" s="9" t="n"/>
      <c r="D32" s="138" t="inlineStr">
        <is>
          <t>4.7</t>
        </is>
      </c>
      <c r="E32" s="139" t="inlineStr">
        <is>
          <t>Sorrel Hibiscus / Rosselle</t>
        </is>
      </c>
    </row>
    <row r="33" ht="31.95" customHeight="1">
      <c r="B33" s="134" t="n"/>
      <c r="C33" s="9" t="n"/>
      <c r="D33" s="138" t="inlineStr">
        <is>
          <t>4.9</t>
        </is>
      </c>
      <c r="E33" s="139" t="inlineStr">
        <is>
          <t>Green salad herbs (thyme, parsley, mint, rocca, other)</t>
        </is>
      </c>
    </row>
    <row r="34" ht="16.2" customHeight="1">
      <c r="B34" s="134" t="n"/>
      <c r="C34" s="9" t="inlineStr">
        <is>
          <t>x</t>
        </is>
      </c>
      <c r="D34" s="138" t="inlineStr">
        <is>
          <t>4.101</t>
        </is>
      </c>
      <c r="E34" s="139" t="inlineStr">
        <is>
          <t>Cauliflower</t>
        </is>
      </c>
    </row>
    <row r="35" ht="16.2" customHeight="1">
      <c r="B35" s="134" t="n"/>
      <c r="C35" s="170" t="n"/>
      <c r="D35" s="138" t="inlineStr">
        <is>
          <t>4.99</t>
        </is>
      </c>
      <c r="E35" s="140" t="inlineStr">
        <is>
          <t>Other leafy vegetables</t>
        </is>
      </c>
    </row>
    <row r="36" ht="16.2" customHeight="1">
      <c r="B36" s="134" t="n"/>
      <c r="C36" s="9" t="n"/>
      <c r="D36" s="138" t="inlineStr">
        <is>
          <t>5.1</t>
        </is>
      </c>
      <c r="E36" s="139" t="inlineStr">
        <is>
          <t>Tomatoes</t>
        </is>
      </c>
    </row>
    <row r="37" ht="16.2" customHeight="1">
      <c r="B37" s="134" t="n"/>
      <c r="C37" s="9" t="n"/>
      <c r="D37" s="138" t="inlineStr">
        <is>
          <t>5.2</t>
        </is>
      </c>
      <c r="E37" s="139" t="inlineStr">
        <is>
          <t>Cucumber</t>
        </is>
      </c>
    </row>
    <row r="38" ht="16.2" customHeight="1">
      <c r="B38" s="134" t="n"/>
      <c r="C38" s="9" t="n"/>
      <c r="D38" s="138" t="inlineStr">
        <is>
          <t>5.3</t>
        </is>
      </c>
      <c r="E38" s="139" t="inlineStr">
        <is>
          <t>Pumpkin</t>
        </is>
      </c>
    </row>
    <row r="39" ht="16.2" customHeight="1">
      <c r="B39" s="134" t="n"/>
      <c r="C39" s="9" t="n"/>
      <c r="D39" s="138" t="inlineStr">
        <is>
          <t>5.4</t>
        </is>
      </c>
      <c r="E39" s="139" t="inlineStr">
        <is>
          <t>Eggplant/aubergine</t>
        </is>
      </c>
    </row>
    <row r="40" ht="16.2" customHeight="1">
      <c r="B40" s="134" t="n"/>
      <c r="C40" s="9" t="n"/>
      <c r="D40" s="138" t="inlineStr">
        <is>
          <t>5.5</t>
        </is>
      </c>
      <c r="E40" s="139" t="inlineStr">
        <is>
          <t>Zucchini</t>
        </is>
      </c>
    </row>
    <row r="41" ht="16.2" customHeight="1">
      <c r="B41" s="134" t="n"/>
      <c r="C41" s="9" t="n"/>
      <c r="D41" s="138" t="inlineStr">
        <is>
          <t>5.6</t>
        </is>
      </c>
      <c r="E41" s="139" t="inlineStr">
        <is>
          <t>Okra</t>
        </is>
      </c>
    </row>
    <row r="42" ht="16.2" customHeight="1">
      <c r="B42" s="134" t="n"/>
      <c r="C42" s="9" t="n"/>
      <c r="D42" s="138" t="inlineStr">
        <is>
          <t>5.7</t>
        </is>
      </c>
      <c r="E42" s="139" t="inlineStr">
        <is>
          <t>Bell pepper</t>
        </is>
      </c>
    </row>
    <row r="43" ht="16.2" customHeight="1">
      <c r="B43" s="134" t="n"/>
      <c r="C43" s="9" t="inlineStr">
        <is>
          <t>x</t>
        </is>
      </c>
      <c r="D43" s="138" t="inlineStr">
        <is>
          <t>5.8</t>
        </is>
      </c>
      <c r="E43" s="139" t="inlineStr">
        <is>
          <t>Onions</t>
        </is>
      </c>
    </row>
    <row r="44" ht="16.2" customHeight="1">
      <c r="B44" s="134" t="n"/>
      <c r="C44" s="9" t="n"/>
      <c r="D44" s="138" t="inlineStr">
        <is>
          <t>5.9</t>
        </is>
      </c>
      <c r="E44" s="139" t="inlineStr">
        <is>
          <t>Haricot</t>
        </is>
      </c>
    </row>
    <row r="45" ht="16.2" customHeight="1">
      <c r="B45" s="134" t="n"/>
      <c r="C45" s="9" t="n"/>
      <c r="D45" s="138" t="inlineStr">
        <is>
          <t>5.101</t>
        </is>
      </c>
      <c r="E45" s="139" t="inlineStr">
        <is>
          <t>Green peas</t>
        </is>
      </c>
    </row>
    <row r="46" ht="16.2" customHeight="1">
      <c r="B46" s="134" t="n"/>
      <c r="C46" s="9" t="n"/>
      <c r="D46" s="138" t="inlineStr">
        <is>
          <t>5.11</t>
        </is>
      </c>
      <c r="E46" s="139" t="inlineStr">
        <is>
          <t>Fava beans green</t>
        </is>
      </c>
    </row>
    <row r="47" ht="16.2" customHeight="1">
      <c r="B47" s="134" t="n"/>
      <c r="C47" s="170" t="n"/>
      <c r="D47" s="138" t="inlineStr">
        <is>
          <t>5.99</t>
        </is>
      </c>
      <c r="E47" s="140" t="inlineStr">
        <is>
          <t>Other non leafy vegs</t>
        </is>
      </c>
    </row>
    <row r="48" ht="16.2" customHeight="1">
      <c r="B48" s="134" t="n"/>
      <c r="C48" s="9" t="inlineStr">
        <is>
          <t>x</t>
        </is>
      </c>
      <c r="D48" s="138" t="inlineStr">
        <is>
          <t>6.1</t>
        </is>
      </c>
      <c r="E48" s="139" t="inlineStr">
        <is>
          <t>Orange</t>
        </is>
      </c>
    </row>
    <row r="49" ht="16.2" customHeight="1">
      <c r="B49" s="134" t="n"/>
      <c r="C49" s="9" t="inlineStr">
        <is>
          <t>x</t>
        </is>
      </c>
      <c r="D49" s="138" t="inlineStr">
        <is>
          <t>6.2</t>
        </is>
      </c>
      <c r="E49" s="139" t="inlineStr">
        <is>
          <t>Lemon</t>
        </is>
      </c>
    </row>
    <row r="50" ht="16.2" customHeight="1">
      <c r="B50" s="134" t="n"/>
      <c r="C50" s="9" t="n"/>
      <c r="D50" s="138" t="inlineStr">
        <is>
          <t>6.3</t>
        </is>
      </c>
      <c r="E50" s="139" t="inlineStr">
        <is>
          <t>Grapefruit</t>
        </is>
      </c>
    </row>
    <row r="51" ht="16.2" customHeight="1">
      <c r="B51" s="134" t="n"/>
      <c r="C51" s="9" t="n"/>
      <c r="D51" s="138" t="inlineStr">
        <is>
          <t>6.4</t>
        </is>
      </c>
      <c r="E51" s="139" t="inlineStr">
        <is>
          <t>Mandarins/clementines</t>
        </is>
      </c>
    </row>
    <row r="52" ht="16.2" customHeight="1">
      <c r="B52" s="134" t="n"/>
      <c r="C52" s="170" t="n"/>
      <c r="D52" s="138" t="inlineStr">
        <is>
          <t>6.99</t>
        </is>
      </c>
      <c r="E52" s="140" t="inlineStr">
        <is>
          <t>Other citrus fruit</t>
        </is>
      </c>
    </row>
    <row r="53" ht="16.2" customHeight="1">
      <c r="B53" s="134" t="n"/>
      <c r="C53" s="9" t="n"/>
      <c r="D53" s="138" t="inlineStr">
        <is>
          <t>7.1</t>
        </is>
      </c>
      <c r="E53" s="139" t="inlineStr">
        <is>
          <t>Sweet Banana</t>
        </is>
      </c>
    </row>
    <row r="54" ht="16.2" customHeight="1">
      <c r="B54" s="134" t="n"/>
      <c r="C54" s="9" t="n"/>
      <c r="D54" s="138" t="inlineStr">
        <is>
          <t>7.2</t>
        </is>
      </c>
      <c r="E54" s="139" t="inlineStr">
        <is>
          <t>Plantains</t>
        </is>
      </c>
    </row>
    <row r="55" ht="16.2" customHeight="1">
      <c r="B55" s="134" t="n"/>
      <c r="C55" s="9" t="n"/>
      <c r="D55" s="138" t="inlineStr">
        <is>
          <t>7.3</t>
        </is>
      </c>
      <c r="E55" s="139" t="inlineStr">
        <is>
          <t>Papaya</t>
        </is>
      </c>
    </row>
    <row r="56" ht="16.2" customHeight="1">
      <c r="B56" s="134" t="n"/>
      <c r="C56" s="9" t="n"/>
      <c r="D56" s="138" t="inlineStr">
        <is>
          <t>7.4</t>
        </is>
      </c>
      <c r="E56" s="139" t="inlineStr">
        <is>
          <t>Mango</t>
        </is>
      </c>
    </row>
    <row r="57" ht="16.2" customHeight="1">
      <c r="B57" s="134" t="n"/>
      <c r="C57" s="9" t="n"/>
      <c r="D57" s="138" t="inlineStr">
        <is>
          <t>7.5</t>
        </is>
      </c>
      <c r="E57" s="139" t="inlineStr">
        <is>
          <t>Guava</t>
        </is>
      </c>
    </row>
    <row r="58" ht="16.2" customHeight="1">
      <c r="B58" s="134" t="n"/>
      <c r="C58" s="9" t="n"/>
      <c r="D58" s="138" t="inlineStr">
        <is>
          <t>7.6</t>
        </is>
      </c>
      <c r="E58" s="139" t="inlineStr">
        <is>
          <t>Pineapple</t>
        </is>
      </c>
    </row>
    <row r="59" ht="16.2" customHeight="1">
      <c r="B59" s="134" t="n"/>
      <c r="C59" s="9" t="n"/>
      <c r="D59" s="138" t="inlineStr">
        <is>
          <t>7.7</t>
        </is>
      </c>
      <c r="E59" s="139" t="inlineStr">
        <is>
          <t>Avocado</t>
        </is>
      </c>
    </row>
    <row r="60" ht="16.2" customHeight="1">
      <c r="B60" s="134" t="n"/>
      <c r="C60" s="9" t="n"/>
      <c r="D60" s="138" t="inlineStr">
        <is>
          <t>7.8</t>
        </is>
      </c>
      <c r="E60" s="139" t="inlineStr">
        <is>
          <t>Water Melon</t>
        </is>
      </c>
    </row>
    <row r="61" ht="16.2" customHeight="1">
      <c r="B61" s="134" t="n"/>
      <c r="C61" s="9" t="n"/>
      <c r="D61" s="138" t="inlineStr">
        <is>
          <t>7.9</t>
        </is>
      </c>
      <c r="E61" s="139" t="inlineStr">
        <is>
          <t>Dates</t>
        </is>
      </c>
    </row>
    <row r="62" ht="16.2" customHeight="1">
      <c r="B62" s="134" t="n"/>
      <c r="C62" s="9" t="n"/>
      <c r="D62" s="138" t="inlineStr">
        <is>
          <t>7.101</t>
        </is>
      </c>
      <c r="E62" s="139" t="inlineStr">
        <is>
          <t>Figs</t>
        </is>
      </c>
    </row>
    <row r="63" ht="16.2" customHeight="1">
      <c r="B63" s="134" t="n"/>
      <c r="C63" s="9" t="n"/>
      <c r="D63" s="138" t="inlineStr">
        <is>
          <t>7.11</t>
        </is>
      </c>
      <c r="E63" s="139" t="inlineStr">
        <is>
          <t>Grapes</t>
        </is>
      </c>
    </row>
    <row r="64" ht="16.2" customHeight="1">
      <c r="B64" s="134" t="n"/>
      <c r="C64" s="9" t="n"/>
      <c r="D64" s="138" t="inlineStr">
        <is>
          <t>7.12</t>
        </is>
      </c>
      <c r="E64" s="139" t="inlineStr">
        <is>
          <t>Olives</t>
        </is>
      </c>
    </row>
    <row r="65" ht="16.2" customHeight="1">
      <c r="B65" s="134" t="n"/>
      <c r="C65" s="9" t="n"/>
      <c r="D65" s="138" t="inlineStr">
        <is>
          <t>7.13</t>
        </is>
      </c>
      <c r="E65" s="139" t="inlineStr">
        <is>
          <t>Apple</t>
        </is>
      </c>
    </row>
    <row r="66" ht="16.2" customHeight="1">
      <c r="B66" s="134" t="n"/>
      <c r="C66" s="9" t="n"/>
      <c r="D66" s="138" t="inlineStr">
        <is>
          <t>7.14</t>
        </is>
      </c>
      <c r="E66" s="139" t="inlineStr">
        <is>
          <t>Apricot</t>
        </is>
      </c>
    </row>
    <row r="67" ht="16.2" customHeight="1">
      <c r="B67" s="134" t="n"/>
      <c r="C67" s="9" t="n"/>
      <c r="D67" s="138" t="inlineStr">
        <is>
          <t>7.15</t>
        </is>
      </c>
      <c r="E67" s="139" t="inlineStr">
        <is>
          <t>Cherries</t>
        </is>
      </c>
    </row>
    <row r="68" ht="16.2" customHeight="1">
      <c r="B68" s="134" t="n"/>
      <c r="C68" s="9" t="n"/>
      <c r="D68" s="138" t="inlineStr">
        <is>
          <t>7.16</t>
        </is>
      </c>
      <c r="E68" s="139" t="inlineStr">
        <is>
          <t>Peach/nectarine</t>
        </is>
      </c>
    </row>
    <row r="69" ht="16.2" customHeight="1">
      <c r="B69" s="134" t="n"/>
      <c r="C69" s="9" t="n"/>
      <c r="D69" s="138" t="inlineStr">
        <is>
          <t>7.17</t>
        </is>
      </c>
      <c r="E69" s="139" t="inlineStr">
        <is>
          <t>Strawberries</t>
        </is>
      </c>
    </row>
    <row r="70" ht="16.2" customHeight="1">
      <c r="B70" s="134" t="n"/>
      <c r="C70" s="9" t="n"/>
      <c r="D70" s="138" t="inlineStr">
        <is>
          <t>7.18</t>
        </is>
      </c>
      <c r="E70" s="139" t="inlineStr">
        <is>
          <t>Melon (Cantaloupe)</t>
        </is>
      </c>
    </row>
    <row r="71" ht="16.2" customHeight="1">
      <c r="B71" s="134" t="n"/>
      <c r="C71" s="170" t="n"/>
      <c r="D71" s="138" t="inlineStr">
        <is>
          <t>7.99</t>
        </is>
      </c>
      <c r="E71" s="140" t="inlineStr">
        <is>
          <t>Other fruit</t>
        </is>
      </c>
    </row>
    <row r="72" ht="16.2" customHeight="1">
      <c r="B72" s="134" t="n"/>
      <c r="C72" s="9" t="n"/>
      <c r="D72" s="138" t="inlineStr">
        <is>
          <t>8.1</t>
        </is>
      </c>
      <c r="E72" s="139" t="inlineStr">
        <is>
          <t>Coconuts</t>
        </is>
      </c>
    </row>
    <row r="73" ht="16.2" customHeight="1">
      <c r="B73" s="134" t="n"/>
      <c r="C73" s="9" t="n"/>
      <c r="D73" s="138" t="inlineStr">
        <is>
          <t>8.2</t>
        </is>
      </c>
      <c r="E73" s="139" t="inlineStr">
        <is>
          <t>Groundnut/peanut</t>
        </is>
      </c>
    </row>
    <row r="74" ht="16.2" customHeight="1">
      <c r="B74" s="134" t="n"/>
      <c r="C74" s="9" t="n"/>
      <c r="D74" s="138" t="inlineStr">
        <is>
          <t>8.3</t>
        </is>
      </c>
      <c r="E74" s="139" t="inlineStr">
        <is>
          <t>Cashew Nut</t>
        </is>
      </c>
    </row>
    <row r="75" ht="16.2" customHeight="1">
      <c r="B75" s="134" t="n"/>
      <c r="C75" s="9" t="n"/>
      <c r="D75" s="138" t="inlineStr">
        <is>
          <t>8.4</t>
        </is>
      </c>
      <c r="E75" s="139" t="inlineStr">
        <is>
          <t>Kola Nut</t>
        </is>
      </c>
    </row>
    <row r="76" ht="16.2" customHeight="1">
      <c r="B76" s="134" t="n"/>
      <c r="C76" s="9" t="n"/>
      <c r="D76" s="138" t="inlineStr">
        <is>
          <t>8.5</t>
        </is>
      </c>
      <c r="E76" s="139" t="inlineStr">
        <is>
          <t>Sesame</t>
        </is>
      </c>
    </row>
    <row r="77" ht="16.2" customHeight="1">
      <c r="B77" s="134" t="n"/>
      <c r="C77" s="9" t="n"/>
      <c r="D77" s="138" t="inlineStr">
        <is>
          <t>8.6</t>
        </is>
      </c>
      <c r="E77" s="139" t="inlineStr">
        <is>
          <t>Bambara nut</t>
        </is>
      </c>
    </row>
    <row r="78" ht="16.2" customHeight="1">
      <c r="B78" s="134" t="n"/>
      <c r="C78" s="9" t="n"/>
      <c r="D78" s="138" t="inlineStr">
        <is>
          <t>8.7</t>
        </is>
      </c>
      <c r="E78" s="139" t="inlineStr">
        <is>
          <t>Almond</t>
        </is>
      </c>
    </row>
    <row r="79" ht="16.2" customHeight="1">
      <c r="B79" s="134" t="n"/>
      <c r="C79" s="9" t="n"/>
      <c r="D79" s="138" t="inlineStr">
        <is>
          <t>8.8</t>
        </is>
      </c>
      <c r="E79" s="139" t="inlineStr">
        <is>
          <t>Walnut</t>
        </is>
      </c>
    </row>
    <row r="80" ht="16.2" customHeight="1">
      <c r="B80" s="134" t="n"/>
      <c r="C80" s="170" t="n"/>
      <c r="D80" s="138" t="inlineStr">
        <is>
          <t>8.99</t>
        </is>
      </c>
      <c r="E80" s="140" t="inlineStr">
        <is>
          <t>Other nuts</t>
        </is>
      </c>
    </row>
    <row r="81" ht="16.2" customHeight="1">
      <c r="B81" s="134" t="n"/>
      <c r="C81" s="9" t="n"/>
      <c r="D81" s="138" t="inlineStr">
        <is>
          <t>9.1</t>
        </is>
      </c>
      <c r="E81" s="139" t="inlineStr">
        <is>
          <t>Cocoa</t>
        </is>
      </c>
    </row>
    <row r="82" ht="16.2" customHeight="1">
      <c r="B82" s="134" t="n"/>
      <c r="C82" s="9" t="n"/>
      <c r="D82" s="138" t="inlineStr">
        <is>
          <t>9.2</t>
        </is>
      </c>
      <c r="E82" s="139" t="inlineStr">
        <is>
          <t>Coffee</t>
        </is>
      </c>
    </row>
    <row r="83" ht="16.2" customHeight="1">
      <c r="B83" s="134" t="n"/>
      <c r="C83" s="9" t="n"/>
      <c r="D83" s="138" t="inlineStr">
        <is>
          <t>9.3</t>
        </is>
      </c>
      <c r="E83" s="139" t="inlineStr">
        <is>
          <t>Tea</t>
        </is>
      </c>
    </row>
    <row r="84" ht="16.2" customHeight="1">
      <c r="B84" s="134" t="n"/>
      <c r="C84" s="9" t="n"/>
      <c r="D84" s="138" t="inlineStr">
        <is>
          <t>9.4</t>
        </is>
      </c>
      <c r="E84" s="139" t="inlineStr">
        <is>
          <t>Sugarcane</t>
        </is>
      </c>
    </row>
    <row r="85" ht="16.2" customHeight="1">
      <c r="B85" s="134" t="n"/>
      <c r="C85" s="9" t="n"/>
      <c r="D85" s="138" t="inlineStr">
        <is>
          <t>9.5</t>
        </is>
      </c>
      <c r="E85" s="139" t="inlineStr">
        <is>
          <t>Sunflower</t>
        </is>
      </c>
    </row>
    <row r="86" ht="16.2" customHeight="1">
      <c r="B86" s="134" t="n"/>
      <c r="C86" s="170" t="n"/>
      <c r="D86" s="138" t="inlineStr">
        <is>
          <t>9.99</t>
        </is>
      </c>
      <c r="E86" s="140" t="inlineStr">
        <is>
          <t>Other food cash crop</t>
        </is>
      </c>
    </row>
    <row r="87" ht="16.2" customHeight="1">
      <c r="B87" s="134" t="n"/>
      <c r="C87" s="9" t="n"/>
      <c r="D87" s="138" t="inlineStr">
        <is>
          <t>10.1</t>
        </is>
      </c>
      <c r="E87" s="139" t="inlineStr">
        <is>
          <t>Cotton</t>
        </is>
      </c>
    </row>
    <row r="88" ht="16.2" customHeight="1">
      <c r="B88" s="134" t="n"/>
      <c r="C88" s="9" t="n"/>
      <c r="D88" s="138" t="inlineStr">
        <is>
          <t>10.2</t>
        </is>
      </c>
      <c r="E88" s="139" t="inlineStr">
        <is>
          <t>Rubber</t>
        </is>
      </c>
    </row>
    <row r="89" ht="16.2" customHeight="1">
      <c r="B89" s="134" t="n"/>
      <c r="C89" s="9" t="n"/>
      <c r="D89" s="138" t="inlineStr">
        <is>
          <t>10.3</t>
        </is>
      </c>
      <c r="E89" s="139" t="inlineStr">
        <is>
          <t>Jute</t>
        </is>
      </c>
    </row>
    <row r="90" ht="16.2" customHeight="1">
      <c r="B90" s="134" t="n"/>
      <c r="C90" s="9" t="n"/>
      <c r="D90" s="138" t="inlineStr">
        <is>
          <t>10.4</t>
        </is>
      </c>
      <c r="E90" s="139" t="inlineStr">
        <is>
          <t>Fodder</t>
        </is>
      </c>
    </row>
    <row r="91" ht="16.2" customHeight="1">
      <c r="B91" s="134" t="n"/>
      <c r="C91" s="9" t="n"/>
      <c r="D91" s="138" t="inlineStr">
        <is>
          <t>10.5</t>
        </is>
      </c>
      <c r="E91" s="139" t="inlineStr">
        <is>
          <t>Tobacco</t>
        </is>
      </c>
    </row>
    <row r="92" ht="16.2" customHeight="1">
      <c r="B92" s="134" t="n"/>
      <c r="C92" s="9" t="n"/>
      <c r="D92" s="138" t="inlineStr">
        <is>
          <t>10.6</t>
        </is>
      </c>
      <c r="E92" s="139" t="inlineStr">
        <is>
          <t>Qat</t>
        </is>
      </c>
    </row>
    <row r="93" ht="16.2" customHeight="1">
      <c r="B93" s="134" t="n"/>
      <c r="C93" s="170" t="n"/>
      <c r="D93" s="138" t="inlineStr">
        <is>
          <t>10.99</t>
        </is>
      </c>
      <c r="E93" s="140" t="inlineStr">
        <is>
          <t>Other non-food cash crop</t>
        </is>
      </c>
    </row>
    <row r="94">
      <c r="C94" s="141" t="n"/>
      <c r="D94" s="142" t="n"/>
      <c r="E94" s="143" t="n"/>
    </row>
  </sheetData>
  <sheetProtection selectLockedCells="1" selectUnlockedCells="0" algorithmName="SHA-512" sheet="1" objects="0" insertRows="1" insertHyperlinks="1" autoFilter="1" scenarios="0" formatColumns="1" deleteColumns="1" insertColumns="1" pivotTables="1" deleteRows="1" formatCells="1" saltValue="rXVDt8FxrrrRcd7PW0QIEw==" formatRows="1" sort="1" spinCount="100000" hashValue="Qi5iwkTGSJaXWFJJ2Re58Sz5YDkRE7CXe+0klBaKIAOSY72uHhzTsfNQ1kB8AmT9UaSDo0M1TJV5tSKQEFTsuw=="/>
  <dataValidations count="1">
    <dataValidation sqref="C87:C92 C81:C85 C72:C79 C53:C70 C48:C51 C36:C46 C26:C34 C18:C24 C4:C9 C11:C16" showErrorMessage="1" showInputMessage="1" allowBlank="0"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1"/>
  <sheetViews>
    <sheetView topLeftCell="A18" zoomScale="80" zoomScaleNormal="80" workbookViewId="0">
      <selection activeCell="D13" sqref="D13:D14"/>
    </sheetView>
  </sheetViews>
  <sheetFormatPr baseColWidth="8" defaultColWidth="10.6640625" defaultRowHeight="15.6"/>
  <cols>
    <col width="10.6640625" customWidth="1" style="19" min="1" max="1"/>
    <col width="8.6640625" customWidth="1" style="19" min="2" max="2"/>
    <col width="27.6640625" customWidth="1" style="19" min="3" max="3"/>
    <col width="20.6640625" customWidth="1" style="19" min="4" max="4"/>
    <col width="46.44140625" customWidth="1" style="44" min="5" max="5"/>
    <col width="20.6640625" customWidth="1" style="19" min="6" max="6"/>
    <col width="10.6640625" customWidth="1" style="19" min="7" max="7"/>
    <col width="10.6640625" customWidth="1" style="19" min="8" max="16384"/>
  </cols>
  <sheetData>
    <row r="1" ht="16.95" customHeight="1" thickBot="1">
      <c r="C1" s="20" t="n"/>
      <c r="D1" s="20" t="n"/>
      <c r="E1" s="40" t="n"/>
      <c r="F1" s="20" t="n"/>
    </row>
    <row r="2" ht="16.95" customFormat="1" customHeight="1" s="44" thickBot="1">
      <c r="A2" s="63" t="n"/>
      <c r="B2" s="64" t="n"/>
      <c r="C2" s="65" t="inlineStr">
        <is>
          <t xml:space="preserve">Original </t>
        </is>
      </c>
      <c r="D2" s="66" t="inlineStr">
        <is>
          <t>Replacement</t>
        </is>
      </c>
      <c r="E2" s="41" t="inlineStr">
        <is>
          <t>Comment</t>
        </is>
      </c>
      <c r="F2" s="67" t="inlineStr">
        <is>
          <t>Example</t>
        </is>
      </c>
      <c r="G2" s="68" t="n"/>
    </row>
    <row r="3" ht="62.7" customHeight="1">
      <c r="A3" s="21" t="n"/>
      <c r="B3" s="286" t="inlineStr">
        <is>
          <t>FOR CORE QUESTIONS    .
(Mandatory to fill out)    .</t>
        </is>
      </c>
      <c r="C3" s="49" t="inlineStr">
        <is>
          <t>phone number</t>
        </is>
      </c>
      <c r="D3" s="207" t="inlineStr">
        <is>
          <t>1234567890</t>
        </is>
      </c>
      <c r="E3" s="165" t="inlineStr">
        <is>
          <t>Type a phone number from your country in typical format, e.g. 77******* [please use exactly the number of characters that are found in a phone number].</t>
        </is>
      </c>
      <c r="F3" s="69" t="inlineStr">
        <is>
          <t>070******</t>
        </is>
      </c>
      <c r="G3" s="22" t="n"/>
    </row>
    <row r="4" ht="31.95" customHeight="1">
      <c r="A4" s="21" t="n"/>
      <c r="B4" s="283" t="n"/>
      <c r="C4" s="32" t="inlineStr">
        <is>
          <t>age</t>
        </is>
      </c>
      <c r="D4" s="162" t="n">
        <v>18</v>
      </c>
      <c r="E4" s="166" t="inlineStr">
        <is>
          <t>Minimum age of respondent (recommend 18 years old)</t>
        </is>
      </c>
      <c r="F4" s="70" t="n">
        <v>18</v>
      </c>
      <c r="G4" s="22" t="n"/>
    </row>
    <row r="5" ht="43.5" customHeight="1">
      <c r="A5" s="21" t="n"/>
      <c r="B5" s="283" t="n"/>
      <c r="C5" s="33" t="inlineStr">
        <is>
          <t>ADMIN1</t>
        </is>
      </c>
      <c r="D5" s="208" t="inlineStr">
        <is>
          <t>Province</t>
        </is>
      </c>
      <c r="E5" s="166" t="inlineStr">
        <is>
          <t>The first subdivision of the country, after national level; region; province; governorate; etc. Only one word should be inputted - Do not include spaces.</t>
        </is>
      </c>
      <c r="F5" s="23" t="inlineStr">
        <is>
          <t>region</t>
        </is>
      </c>
      <c r="G5" s="22" t="n"/>
    </row>
    <row r="6" ht="48" customHeight="1">
      <c r="A6" s="21" t="n"/>
      <c r="B6" s="283" t="n"/>
      <c r="C6" s="34" t="inlineStr">
        <is>
          <t>ADMIN2</t>
        </is>
      </c>
      <c r="D6" s="208" t="inlineStr">
        <is>
          <t>District</t>
        </is>
      </c>
      <c r="E6" s="167" t="inlineStr">
        <is>
          <t>The second subdivision of the country; district; municipality; LGA; etc. Only one word should be inputted - Do not include spaces.</t>
        </is>
      </c>
      <c r="F6" s="24" t="inlineStr">
        <is>
          <t>district</t>
        </is>
      </c>
      <c r="G6" s="22" t="n"/>
    </row>
    <row r="7" ht="79.95" customFormat="1" customHeight="1" s="188">
      <c r="A7" s="182" t="n"/>
      <c r="B7" s="283" t="n"/>
      <c r="C7" s="183" t="inlineStr">
        <is>
          <t>reference year</t>
        </is>
      </c>
      <c r="D7" s="184" t="inlineStr">
        <is>
          <t>last year</t>
        </is>
      </c>
      <c r="E7" s="185"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7" s="186" t="inlineStr">
        <is>
          <t>a normal year</t>
        </is>
      </c>
      <c r="G7" s="187" t="n"/>
    </row>
    <row r="8" ht="79.95" customHeight="1">
      <c r="A8" s="21" t="n"/>
      <c r="B8" s="283" t="n"/>
      <c r="C8" s="34" t="inlineStr">
        <is>
          <t>season</t>
        </is>
      </c>
      <c r="D8" s="208" t="inlineStr">
        <is>
          <t>Monsoon/Winter</t>
        </is>
      </c>
      <c r="E8" s="168" t="inlineStr">
        <is>
          <t>Name the crop season(s) of interest if there are several cropping seasons in the country (e.g. Meher and Belg in Ethiopia, rainy season / flood-recession cropping / irrigated dry season in the Sahel). You can refer to the “last season” or “ongoing season".</t>
        </is>
      </c>
      <c r="F8" s="25" t="inlineStr">
        <is>
          <t>wet season</t>
        </is>
      </c>
      <c r="G8" s="22" t="n"/>
      <c r="H8" s="171" t="n"/>
    </row>
    <row r="9" ht="96" customHeight="1">
      <c r="A9" s="21" t="n"/>
      <c r="B9" s="283" t="n"/>
      <c r="C9" s="34" t="inlineStr">
        <is>
          <t>season phase</t>
        </is>
      </c>
      <c r="D9" s="172" t="inlineStr">
        <is>
          <t>Harvesting</t>
        </is>
      </c>
      <c r="E9" s="168"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9" s="25" t="inlineStr">
        <is>
          <t>Harvesting</t>
        </is>
      </c>
      <c r="G9" s="22" t="n"/>
    </row>
    <row r="10" ht="58.2" customFormat="1" customHeight="1" s="188">
      <c r="A10" s="182" t="n"/>
      <c r="B10" s="283" t="n"/>
      <c r="C10" s="197" t="inlineStr">
        <is>
          <t>local measurement unit</t>
        </is>
      </c>
      <c r="D10" s="193" t="n"/>
      <c r="E10" s="27" t="inlineStr">
        <is>
          <t xml:space="preserve">Specify the local measurement unit for land size, other than acres, hectares, square meters and square feet. If no other unit of measurement is needed, keep this cell blank. </t>
        </is>
      </c>
      <c r="F10" s="194" t="inlineStr">
        <is>
          <t>Jeribs</t>
        </is>
      </c>
      <c r="G10" s="187" t="n"/>
    </row>
    <row r="11" ht="50.25" customFormat="1" customHeight="1" s="188" thickBot="1">
      <c r="A11" s="182" t="n"/>
      <c r="B11" s="284" t="n"/>
      <c r="C11" s="198" t="inlineStr">
        <is>
          <t>local measurement unit conversion</t>
        </is>
      </c>
      <c r="D11" s="196" t="n">
        <v>19</v>
      </c>
      <c r="E11" s="26" t="inlineStr">
        <is>
          <t xml:space="preserve">Include the conversion of the local measurement unit to hectares. In other words, how many local measurement units are in 1 ha. </t>
        </is>
      </c>
      <c r="F11" s="195" t="n">
        <v>0.2</v>
      </c>
      <c r="G11" s="187" t="n"/>
    </row>
    <row r="12" ht="31.95" customHeight="1">
      <c r="A12" s="21" t="n"/>
      <c r="B12" s="282" t="inlineStr">
        <is>
          <t>FOR OPTIONAL QUESTIONS    .
(Fill out if applicable)    .</t>
        </is>
      </c>
      <c r="C12" s="35" t="inlineStr">
        <is>
          <t>currency</t>
        </is>
      </c>
      <c r="D12" s="209" t="inlineStr">
        <is>
          <t>NPR</t>
        </is>
      </c>
      <c r="E12" s="42" t="inlineStr">
        <is>
          <t xml:space="preserve">The name of the main currency used nationally; USD; Naira; Rial; Pesos; etc. </t>
        </is>
      </c>
      <c r="F12" s="23" t="inlineStr">
        <is>
          <t>Naira</t>
        </is>
      </c>
      <c r="G12" s="22" t="n"/>
    </row>
    <row r="13" ht="112.2" customHeight="1">
      <c r="A13" s="21" t="n"/>
      <c r="B13" s="283" t="n"/>
      <c r="C13" s="126" t="inlineStr">
        <is>
          <t>MIN AMOUNT</t>
        </is>
      </c>
      <c r="D13" s="173" t="n"/>
      <c r="E13" s="127"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3" s="25" t="n">
        <v>5</v>
      </c>
      <c r="G13" s="39" t="n"/>
      <c r="H13" s="60" t="n"/>
    </row>
    <row r="14" ht="149.7" customHeight="1">
      <c r="A14" s="21" t="n"/>
      <c r="B14" s="283" t="n"/>
      <c r="C14" s="126" t="inlineStr">
        <is>
          <t>THRESHOLD</t>
        </is>
      </c>
      <c r="D14" s="173" t="n"/>
      <c r="E14" s="27"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4" s="25" t="n">
        <v>1200000</v>
      </c>
      <c r="G14" s="22" t="n"/>
    </row>
    <row r="15" ht="31.95" customHeight="1">
      <c r="A15" s="21" t="n"/>
      <c r="B15" s="283" t="n"/>
      <c r="C15" s="62" t="inlineStr">
        <is>
          <t>local vegetables</t>
        </is>
      </c>
      <c r="D15" s="173" t="inlineStr">
        <is>
          <t>tomatoes, eggplant, okra, spinach</t>
        </is>
      </c>
      <c r="E15" s="27" t="inlineStr">
        <is>
          <t>Input some common local vegetables [to be used as examples in the food consumption score indicator].</t>
        </is>
      </c>
      <c r="F15" s="25" t="inlineStr">
        <is>
          <t>eggplants, zucchini, cauliflower</t>
        </is>
      </c>
      <c r="G15" s="22" t="n"/>
    </row>
    <row r="16" ht="33" customHeight="1" thickBot="1">
      <c r="A16" s="21" t="n"/>
      <c r="B16" s="284" t="n"/>
      <c r="C16" s="125" t="inlineStr">
        <is>
          <t>local fruits</t>
        </is>
      </c>
      <c r="D16" s="173" t="inlineStr">
        <is>
          <t>Apricot, melon, watermelon, cherry, peach</t>
        </is>
      </c>
      <c r="E16" s="28" t="inlineStr">
        <is>
          <t>Input some common local fruits [to be used as examples in the food consumption score indicator].</t>
        </is>
      </c>
      <c r="F16" s="129" t="inlineStr">
        <is>
          <t>apples, bananas, oranges</t>
        </is>
      </c>
      <c r="G16" s="22" t="n"/>
    </row>
    <row r="17" ht="5.7" customFormat="1" customHeight="1" s="61" thickBot="1">
      <c r="A17" s="55" t="n"/>
      <c r="B17" s="56" t="n"/>
      <c r="C17" s="57" t="n"/>
      <c r="D17" s="128" t="n"/>
      <c r="E17" s="58" t="n"/>
      <c r="F17" s="59" t="n"/>
      <c r="G17" s="60" t="n"/>
    </row>
    <row r="18" ht="160.2" customHeight="1">
      <c r="A18" s="21" t="n"/>
      <c r="B18" s="285" t="inlineStr">
        <is>
          <t>FILL OUT FOR QUESTIONNAIRE DURATION ESTIMATION    .</t>
        </is>
      </c>
      <c r="C18" s="50" t="inlineStr">
        <is>
          <t>Expected percentage of respondents cultivating crops</t>
        </is>
      </c>
      <c r="D18" s="294" t="n">
        <v>0.91</v>
      </c>
      <c r="E18" s="52"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8" s="51" t="n">
        <v>0.91</v>
      </c>
      <c r="G18" s="22" t="n"/>
    </row>
    <row r="19" ht="160.2" customHeight="1">
      <c r="A19" s="21" t="n"/>
      <c r="B19" s="283" t="n"/>
      <c r="C19" s="36" t="inlineStr">
        <is>
          <t>Expected percentage of respondents raising livestock</t>
        </is>
      </c>
      <c r="D19" s="295" t="n">
        <v>0.91</v>
      </c>
      <c r="E19" s="53"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9" s="29" t="n">
        <v>0.91</v>
      </c>
      <c r="G19" s="22" t="n"/>
    </row>
    <row r="20" ht="141" customHeight="1" thickBot="1">
      <c r="A20" s="21" t="n"/>
      <c r="B20" s="284" t="n"/>
      <c r="C20" s="37" t="inlineStr">
        <is>
          <t>Expected percentage of respondents involved in fishery</t>
        </is>
      </c>
      <c r="D20" s="296" t="n">
        <v>0.05</v>
      </c>
      <c r="E20" s="54"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20" s="30" t="n">
        <v>0.05</v>
      </c>
      <c r="G20" s="22" t="n"/>
    </row>
    <row r="21">
      <c r="B21" s="31" t="n"/>
      <c r="C21" s="31" t="n"/>
      <c r="D21" s="31" t="n"/>
      <c r="E21" s="43" t="n"/>
      <c r="F21" s="31" t="n"/>
    </row>
  </sheetData>
  <sheetProtection selectLockedCells="0" selectUnlockedCells="0" algorithmName="SHA-512" sheet="1" objects="1" insertRows="1" insertHyperlinks="1" autoFilter="1" scenarios="1" formatColumns="1" deleteColumns="1" insertColumns="1" pivotTables="1" deleteRows="1" formatCells="1" saltValue="bZ/ZHmU6B/Lr6Xkw54hpNg==" formatRows="1" sort="1" spinCount="100000" hashValue="cBlCxihu3Y9yQvFrno2EsI/GzXWLghYQE+UMJL0/Uu8OfRxz8VD0pM5/TWAf98lohBhaSfX/FfCZq57uBfStzA=="/>
  <mergeCells count="3">
    <mergeCell ref="B12:B16"/>
    <mergeCell ref="B18:B20"/>
    <mergeCell ref="B3:B11"/>
  </mergeCells>
  <dataValidations count="3">
    <dataValidation sqref="D9" showErrorMessage="1" showInputMessage="1" allowBlank="0" type="list">
      <formula1>"Not yet in season,Land preparation,Planting,Early growing,Growing,Maturing,Harvesting,Recently finished"</formula1>
    </dataValidation>
    <dataValidation sqref="D7" showErrorMessage="1" showInputMessage="1" allowBlank="0" type="list">
      <formula1>"last year, a normal year"</formula1>
    </dataValidation>
    <dataValidation sqref="D10" showErrorMessage="1" showInputMessage="1" allowBlank="0" type="list">
      <formula1>"Not yet in season,Land preparation,Planting,Early growing,Growing,Maturing,Harvesting,Recently finished "</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Lecland, Ines (OER)</dc:creator>
  <dcterms:created xmlns:dcterms="http://purl.org/dc/terms/" xmlns:xsi="http://www.w3.org/2001/XMLSchema-instance" xsi:type="dcterms:W3CDTF">2021-01-05T14:16:30Z</dcterms:created>
  <dcterms:modified xmlns:dcterms="http://purl.org/dc/terms/" xmlns:xsi="http://www.w3.org/2001/XMLSchema-instance" xsi:type="dcterms:W3CDTF">2023-11-16T06:43:50Z</dcterms:modified>
  <cp:lastModifiedBy>Fossi, Filippo (OER)</cp:lastModifiedBy>
</cp:coreProperties>
</file>