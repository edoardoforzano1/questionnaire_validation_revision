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414"/>
  <workbookPr defaultThemeVersion="166925"/>
  <mc:AlternateContent xmlns:mc="http://schemas.openxmlformats.org/markup-compatibility/2006">
    <mc:Choice Requires="x15">
      <x15ac:absPath xmlns:x15ac="http://schemas.microsoft.com/office/spreadsheetml/2010/11/ac" url="/Users/ibrahim.aliahmad/Documents/FAO/Working Files/Questionnaire Validation/Script/questionnaire_validation/Questionnaire Validation/Questionnaires/Validated Questionnaires/PSE/R1/V4/"/>
    </mc:Choice>
  </mc:AlternateContent>
  <xr:revisionPtr revIDLastSave="0" documentId="13_ncr:20001_{E5266018-DA9A-4741-96CB-9602492B54FD}" xr6:coauthVersionLast="47" xr6:coauthVersionMax="47" xr10:uidLastSave="{00000000-0000-0000-0000-000000000000}"/>
  <bookViews>
    <workbookView xWindow="0" yWindow="0" windowWidth="33600" windowHeight="21000" activeTab="1" xr2:uid="{00000000-000D-0000-FFFF-FFFF00000000}"/>
  </bookViews>
  <sheets>
    <sheet name="survey" sheetId="1" r:id="rId1"/>
    <sheet name="Crop list" sheetId="2" r:id="rId2"/>
    <sheet name="Admin 2 info" sheetId="7" r:id="rId3"/>
    <sheet name="Admin 1" sheetId="3" r:id="rId4"/>
    <sheet name="Admin 2" sheetId="4" r:id="rId5"/>
    <sheet name="Additional information" sheetId="5" r:id="rId6"/>
    <sheet name="Quotas" sheetId="6" r:id="rId7"/>
  </sheets>
  <definedNames>
    <definedName name="_xlnm._FilterDatabase" localSheetId="4" hidden="1">'Admin 2'!$A$1:$C$504</definedName>
    <definedName name="_xlnm._FilterDatabase" localSheetId="1" hidden="1">'Crop list'!$C$3:$F$93</definedName>
  </definedNames>
  <calcPr calcId="191029"/>
  <fileRecoveryPr repairLoad="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29" i="6" l="1"/>
  <c r="D82" i="2"/>
  <c r="D81" i="2"/>
  <c r="D80" i="2"/>
  <c r="D79" i="2"/>
  <c r="D66" i="2"/>
  <c r="D65" i="2"/>
  <c r="D64" i="2"/>
  <c r="D63" i="2"/>
  <c r="D50" i="2"/>
  <c r="D49" i="2"/>
  <c r="D48" i="2"/>
  <c r="D47" i="2"/>
  <c r="D34" i="2"/>
  <c r="D33" i="2"/>
  <c r="D32" i="2"/>
  <c r="D31" i="2"/>
  <c r="D18" i="2"/>
  <c r="D17" i="2"/>
  <c r="D16" i="2"/>
  <c r="D15" i="2"/>
  <c r="D4" i="2" a="1"/>
  <c r="D78" i="2" s="1"/>
  <c r="AB160" i="1"/>
  <c r="AA160" i="1"/>
  <c r="G160" i="1"/>
  <c r="E160" i="1"/>
  <c r="AB159" i="1"/>
  <c r="AA159" i="1"/>
  <c r="G159" i="1"/>
  <c r="E159" i="1"/>
  <c r="AB158" i="1"/>
  <c r="AA158" i="1"/>
  <c r="G158" i="1"/>
  <c r="E158" i="1"/>
  <c r="AA157" i="1"/>
  <c r="AB157" i="1" s="1"/>
  <c r="G157" i="1"/>
  <c r="E157" i="1"/>
  <c r="AB156" i="1"/>
  <c r="AA156" i="1"/>
  <c r="AB155" i="1"/>
  <c r="AA155" i="1"/>
  <c r="G155" i="1"/>
  <c r="E155" i="1"/>
  <c r="AB154" i="1"/>
  <c r="AA154" i="1"/>
  <c r="G154" i="1"/>
  <c r="E154" i="1"/>
  <c r="AB153" i="1"/>
  <c r="AA153" i="1"/>
  <c r="G153" i="1"/>
  <c r="E153" i="1"/>
  <c r="AB152" i="1"/>
  <c r="AA152" i="1"/>
  <c r="G152" i="1"/>
  <c r="E152" i="1"/>
  <c r="AB151" i="1"/>
  <c r="AA151" i="1"/>
  <c r="G151" i="1"/>
  <c r="E151" i="1"/>
  <c r="AB150" i="1"/>
  <c r="AA150" i="1"/>
  <c r="AA149" i="1"/>
  <c r="AB149" i="1" s="1"/>
  <c r="G149" i="1"/>
  <c r="E149" i="1"/>
  <c r="AA148" i="1"/>
  <c r="AB148" i="1" s="1"/>
  <c r="G148" i="1"/>
  <c r="E148" i="1"/>
  <c r="AB147" i="1"/>
  <c r="AA147" i="1"/>
  <c r="G147" i="1"/>
  <c r="E147" i="1"/>
  <c r="AB146" i="1"/>
  <c r="AA146" i="1"/>
  <c r="G146" i="1"/>
  <c r="E146" i="1"/>
  <c r="AB145" i="1"/>
  <c r="AA145" i="1"/>
  <c r="G145" i="1"/>
  <c r="E145" i="1"/>
  <c r="AB144" i="1"/>
  <c r="AA144" i="1"/>
  <c r="G144" i="1"/>
  <c r="E144" i="1"/>
  <c r="AB143" i="1"/>
  <c r="AA143" i="1"/>
  <c r="G143" i="1"/>
  <c r="E143" i="1"/>
  <c r="AB142" i="1"/>
  <c r="AA142" i="1"/>
  <c r="G142" i="1"/>
  <c r="E142" i="1"/>
  <c r="AB141" i="1"/>
  <c r="AA141" i="1"/>
  <c r="G141" i="1"/>
  <c r="E141" i="1"/>
  <c r="AB140" i="1"/>
  <c r="AA140" i="1"/>
  <c r="G140" i="1"/>
  <c r="E140" i="1"/>
  <c r="G139" i="1"/>
  <c r="E139" i="1"/>
  <c r="AB138" i="1"/>
  <c r="AA138" i="1"/>
  <c r="G138" i="1"/>
  <c r="E138" i="1"/>
  <c r="AB137" i="1"/>
  <c r="AA137" i="1"/>
  <c r="G137" i="1"/>
  <c r="E137" i="1"/>
  <c r="AB136" i="1"/>
  <c r="AA136" i="1"/>
  <c r="G136" i="1"/>
  <c r="E136" i="1"/>
  <c r="AB135" i="1"/>
  <c r="AA135" i="1"/>
  <c r="G135" i="1"/>
  <c r="E135" i="1"/>
  <c r="AA134" i="1"/>
  <c r="AB134" i="1" s="1"/>
  <c r="G134" i="1"/>
  <c r="E134" i="1"/>
  <c r="AA133" i="1"/>
  <c r="AB133" i="1" s="1"/>
  <c r="G133" i="1"/>
  <c r="E133" i="1"/>
  <c r="AA132" i="1"/>
  <c r="AB132" i="1" s="1"/>
  <c r="G132" i="1"/>
  <c r="E132" i="1"/>
  <c r="AB131" i="1"/>
  <c r="AA131" i="1"/>
  <c r="G131" i="1"/>
  <c r="E131" i="1"/>
  <c r="AA130" i="1"/>
  <c r="AB130" i="1" s="1"/>
  <c r="G130" i="1"/>
  <c r="E130" i="1"/>
  <c r="AB129" i="1"/>
  <c r="AA129" i="1"/>
  <c r="G129" i="1"/>
  <c r="E129" i="1"/>
  <c r="AB128" i="1"/>
  <c r="AA128" i="1"/>
  <c r="G128" i="1"/>
  <c r="E128" i="1"/>
  <c r="AA127" i="1"/>
  <c r="AB127" i="1" s="1"/>
  <c r="G127" i="1"/>
  <c r="E127" i="1"/>
  <c r="AB126" i="1"/>
  <c r="AA126" i="1"/>
  <c r="G126" i="1"/>
  <c r="E126" i="1"/>
  <c r="AA125" i="1"/>
  <c r="AB125" i="1" s="1"/>
  <c r="G125" i="1"/>
  <c r="E125" i="1"/>
  <c r="AA124" i="1"/>
  <c r="AB124" i="1" s="1"/>
  <c r="G124" i="1"/>
  <c r="E124" i="1"/>
  <c r="AB123" i="1"/>
  <c r="AA123" i="1"/>
  <c r="S122" i="1"/>
  <c r="AA122" i="1" s="1"/>
  <c r="AB122" i="1" s="1"/>
  <c r="G122" i="1"/>
  <c r="E122" i="1"/>
  <c r="G121" i="1"/>
  <c r="E121" i="1"/>
  <c r="S120" i="1"/>
  <c r="AA120" i="1" s="1"/>
  <c r="AB120" i="1" s="1"/>
  <c r="G120" i="1"/>
  <c r="E120" i="1"/>
  <c r="S119" i="1"/>
  <c r="AA119" i="1" s="1"/>
  <c r="AB119" i="1" s="1"/>
  <c r="G119" i="1"/>
  <c r="E119" i="1"/>
  <c r="S118" i="1"/>
  <c r="AA118" i="1" s="1"/>
  <c r="AB118" i="1" s="1"/>
  <c r="G118" i="1"/>
  <c r="E118" i="1"/>
  <c r="AB117" i="1"/>
  <c r="AA117" i="1"/>
  <c r="AB116" i="1"/>
  <c r="S116" i="1"/>
  <c r="AA116" i="1" s="1"/>
  <c r="G116" i="1"/>
  <c r="E116" i="1"/>
  <c r="G115" i="1"/>
  <c r="E115" i="1"/>
  <c r="G114" i="1"/>
  <c r="E114" i="1"/>
  <c r="G113" i="1"/>
  <c r="E113" i="1"/>
  <c r="S112" i="1"/>
  <c r="AA112" i="1" s="1"/>
  <c r="AB112" i="1" s="1"/>
  <c r="G112" i="1"/>
  <c r="E112" i="1"/>
  <c r="S111" i="1"/>
  <c r="AA111" i="1" s="1"/>
  <c r="AB111" i="1" s="1"/>
  <c r="G111" i="1"/>
  <c r="E111" i="1"/>
  <c r="AB110" i="1"/>
  <c r="S110" i="1"/>
  <c r="AA110" i="1" s="1"/>
  <c r="G110" i="1"/>
  <c r="E110" i="1"/>
  <c r="AA109" i="1"/>
  <c r="AB109" i="1" s="1"/>
  <c r="S109" i="1"/>
  <c r="G109" i="1"/>
  <c r="E109" i="1"/>
  <c r="AA108" i="1"/>
  <c r="AB108" i="1" s="1"/>
  <c r="S108" i="1"/>
  <c r="G108" i="1"/>
  <c r="E108" i="1"/>
  <c r="S107" i="1"/>
  <c r="AA107" i="1" s="1"/>
  <c r="AB107" i="1" s="1"/>
  <c r="G107" i="1"/>
  <c r="E107" i="1"/>
  <c r="S106" i="1"/>
  <c r="AA106" i="1" s="1"/>
  <c r="AB106" i="1" s="1"/>
  <c r="G106" i="1"/>
  <c r="E106" i="1"/>
  <c r="AB105" i="1"/>
  <c r="AA105" i="1"/>
  <c r="S105" i="1"/>
  <c r="G105" i="1"/>
  <c r="E105" i="1"/>
  <c r="AB104" i="1"/>
  <c r="AA104" i="1"/>
  <c r="AA103" i="1"/>
  <c r="AB103" i="1" s="1"/>
  <c r="S103" i="1"/>
  <c r="G103" i="1"/>
  <c r="E103" i="1"/>
  <c r="AB102" i="1"/>
  <c r="AA102" i="1"/>
  <c r="S102" i="1"/>
  <c r="G102" i="1"/>
  <c r="E102" i="1"/>
  <c r="G101" i="1"/>
  <c r="E101" i="1"/>
  <c r="S100" i="1"/>
  <c r="AA100" i="1" s="1"/>
  <c r="AB100" i="1" s="1"/>
  <c r="G100" i="1"/>
  <c r="E100" i="1"/>
  <c r="S99" i="1"/>
  <c r="AA99" i="1" s="1"/>
  <c r="AB99" i="1" s="1"/>
  <c r="G99" i="1"/>
  <c r="E99" i="1"/>
  <c r="S98" i="1"/>
  <c r="AA98" i="1" s="1"/>
  <c r="AB98" i="1" s="1"/>
  <c r="G98" i="1"/>
  <c r="E98" i="1"/>
  <c r="AB97" i="1"/>
  <c r="AA97" i="1"/>
  <c r="AB96" i="1"/>
  <c r="AA96" i="1"/>
  <c r="S96" i="1"/>
  <c r="G96" i="1"/>
  <c r="E96" i="1"/>
  <c r="G95" i="1"/>
  <c r="E95" i="1"/>
  <c r="G94" i="1"/>
  <c r="E94" i="1"/>
  <c r="S93" i="1"/>
  <c r="AA93" i="1" s="1"/>
  <c r="AB93" i="1" s="1"/>
  <c r="G93" i="1"/>
  <c r="E93" i="1"/>
  <c r="S92" i="1"/>
  <c r="AA92" i="1" s="1"/>
  <c r="AB92" i="1" s="1"/>
  <c r="G92" i="1"/>
  <c r="E92" i="1"/>
  <c r="AB91" i="1"/>
  <c r="S91" i="1"/>
  <c r="AA91" i="1" s="1"/>
  <c r="G91" i="1"/>
  <c r="E91" i="1"/>
  <c r="AB90" i="1"/>
  <c r="AA90" i="1"/>
  <c r="S90" i="1"/>
  <c r="G90" i="1"/>
  <c r="E90" i="1"/>
  <c r="AB89" i="1"/>
  <c r="S89" i="1"/>
  <c r="AA89" i="1" s="1"/>
  <c r="G89" i="1"/>
  <c r="E89" i="1"/>
  <c r="AB88" i="1"/>
  <c r="S88" i="1"/>
  <c r="AA88" i="1" s="1"/>
  <c r="G88" i="1"/>
  <c r="E88" i="1"/>
  <c r="AA87" i="1"/>
  <c r="AB87" i="1" s="1"/>
  <c r="S87" i="1"/>
  <c r="G87" i="1"/>
  <c r="E87" i="1"/>
  <c r="AB86" i="1"/>
  <c r="AA86" i="1"/>
  <c r="S86" i="1"/>
  <c r="G86" i="1"/>
  <c r="E86" i="1"/>
  <c r="AB85" i="1"/>
  <c r="S85" i="1"/>
  <c r="AA85" i="1" s="1"/>
  <c r="G85" i="1"/>
  <c r="E85" i="1"/>
  <c r="G84" i="1"/>
  <c r="E84" i="1"/>
  <c r="G83" i="1"/>
  <c r="E83" i="1"/>
  <c r="S82" i="1"/>
  <c r="AA82" i="1" s="1"/>
  <c r="AB82" i="1" s="1"/>
  <c r="G82" i="1"/>
  <c r="E82" i="1"/>
  <c r="AB81" i="1"/>
  <c r="AA81" i="1"/>
  <c r="S81" i="1"/>
  <c r="G81" i="1"/>
  <c r="E81" i="1"/>
  <c r="S80" i="1"/>
  <c r="AA80" i="1" s="1"/>
  <c r="AB80" i="1" s="1"/>
  <c r="G80" i="1"/>
  <c r="E80" i="1"/>
  <c r="S79" i="1"/>
  <c r="AA79" i="1" s="1"/>
  <c r="AB79" i="1" s="1"/>
  <c r="G79" i="1"/>
  <c r="E79" i="1"/>
  <c r="AA78" i="1"/>
  <c r="AB78" i="1" s="1"/>
  <c r="S78" i="1"/>
  <c r="G78" i="1"/>
  <c r="E78" i="1"/>
  <c r="AB77" i="1"/>
  <c r="AA77" i="1"/>
  <c r="S77" i="1"/>
  <c r="G77" i="1"/>
  <c r="E77" i="1"/>
  <c r="AB76" i="1"/>
  <c r="AA76" i="1"/>
  <c r="G75" i="1"/>
  <c r="E75" i="1"/>
  <c r="G74" i="1"/>
  <c r="E74" i="1"/>
  <c r="G73" i="1"/>
  <c r="E73" i="1"/>
  <c r="G72" i="1"/>
  <c r="E72" i="1"/>
  <c r="G71" i="1"/>
  <c r="E71" i="1"/>
  <c r="G70" i="1"/>
  <c r="E70" i="1"/>
  <c r="G69" i="1"/>
  <c r="E69" i="1"/>
  <c r="G68" i="1"/>
  <c r="E68" i="1"/>
  <c r="AB67" i="1"/>
  <c r="AA67" i="1"/>
  <c r="S66" i="1"/>
  <c r="AA66" i="1" s="1"/>
  <c r="AB66" i="1" s="1"/>
  <c r="G66" i="1"/>
  <c r="E66" i="1"/>
  <c r="G65" i="1"/>
  <c r="E65" i="1"/>
  <c r="G64" i="1"/>
  <c r="E64" i="1"/>
  <c r="G63" i="1"/>
  <c r="E63" i="1"/>
  <c r="G62" i="1"/>
  <c r="E62" i="1"/>
  <c r="G61" i="1"/>
  <c r="E61" i="1"/>
  <c r="AB60" i="1"/>
  <c r="AA60" i="1"/>
  <c r="S60" i="1"/>
  <c r="G60" i="1"/>
  <c r="E60" i="1"/>
  <c r="AB59" i="1"/>
  <c r="AA59" i="1"/>
  <c r="S59" i="1"/>
  <c r="G59" i="1"/>
  <c r="E59" i="1"/>
  <c r="S58" i="1"/>
  <c r="AA58" i="1" s="1"/>
  <c r="AB58" i="1" s="1"/>
  <c r="G58" i="1"/>
  <c r="E58" i="1"/>
  <c r="S57" i="1"/>
  <c r="AA57" i="1" s="1"/>
  <c r="AB57" i="1" s="1"/>
  <c r="G57" i="1"/>
  <c r="E57" i="1"/>
  <c r="AB56" i="1"/>
  <c r="AA56" i="1"/>
  <c r="S56" i="1"/>
  <c r="G56" i="1"/>
  <c r="E56" i="1"/>
  <c r="AB55" i="1"/>
  <c r="S55" i="1"/>
  <c r="AA55" i="1" s="1"/>
  <c r="G55" i="1"/>
  <c r="E55" i="1"/>
  <c r="AB54" i="1"/>
  <c r="S54" i="1"/>
  <c r="AA54" i="1" s="1"/>
  <c r="G54" i="1"/>
  <c r="E54" i="1"/>
  <c r="AB53" i="1"/>
  <c r="S53" i="1"/>
  <c r="AA53" i="1" s="1"/>
  <c r="G53" i="1"/>
  <c r="E53" i="1"/>
  <c r="AA52" i="1"/>
  <c r="AB52" i="1" s="1"/>
  <c r="S52" i="1"/>
  <c r="G52" i="1"/>
  <c r="E52" i="1"/>
  <c r="AB51" i="1"/>
  <c r="AA51" i="1"/>
  <c r="AB50" i="1"/>
  <c r="AA50" i="1"/>
  <c r="S50" i="1"/>
  <c r="G50" i="1"/>
  <c r="E50" i="1"/>
  <c r="AB49" i="1"/>
  <c r="S49" i="1"/>
  <c r="AA49" i="1" s="1"/>
  <c r="G49" i="1"/>
  <c r="E49" i="1"/>
  <c r="AB48" i="1"/>
  <c r="S48" i="1"/>
  <c r="AA48" i="1" s="1"/>
  <c r="G48" i="1"/>
  <c r="E48" i="1"/>
  <c r="G47" i="1"/>
  <c r="E47" i="1"/>
  <c r="G46" i="1"/>
  <c r="E46" i="1"/>
  <c r="G45" i="1"/>
  <c r="E45" i="1"/>
  <c r="AB44" i="1"/>
  <c r="AA44" i="1"/>
  <c r="S44" i="1"/>
  <c r="G44" i="1"/>
  <c r="E44" i="1"/>
  <c r="AB43" i="1"/>
  <c r="AA43" i="1"/>
  <c r="S43" i="1"/>
  <c r="G43" i="1"/>
  <c r="E43" i="1"/>
  <c r="S42" i="1"/>
  <c r="AA42" i="1" s="1"/>
  <c r="AB42" i="1" s="1"/>
  <c r="G42" i="1"/>
  <c r="E42" i="1"/>
  <c r="AA41" i="1"/>
  <c r="AB41" i="1" s="1"/>
  <c r="G41" i="1"/>
  <c r="E41" i="1"/>
  <c r="AB40" i="1"/>
  <c r="AA40" i="1"/>
  <c r="S39" i="1"/>
  <c r="AA39" i="1" s="1"/>
  <c r="AB39" i="1" s="1"/>
  <c r="G39" i="1"/>
  <c r="E39" i="1"/>
  <c r="AB38" i="1"/>
  <c r="S38" i="1"/>
  <c r="AA38" i="1" s="1"/>
  <c r="G38" i="1"/>
  <c r="E38" i="1"/>
  <c r="G37" i="1"/>
  <c r="E37" i="1"/>
  <c r="S36" i="1"/>
  <c r="AA36" i="1" s="1"/>
  <c r="AB36" i="1" s="1"/>
  <c r="G36" i="1"/>
  <c r="E36" i="1"/>
  <c r="S35" i="1"/>
  <c r="AA35" i="1" s="1"/>
  <c r="AB35" i="1" s="1"/>
  <c r="G35" i="1"/>
  <c r="E35" i="1"/>
  <c r="AA34" i="1"/>
  <c r="AB34" i="1" s="1"/>
  <c r="S34" i="1"/>
  <c r="G34" i="1"/>
  <c r="E34" i="1"/>
  <c r="S33" i="1"/>
  <c r="AA33" i="1" s="1"/>
  <c r="AB33" i="1" s="1"/>
  <c r="G33" i="1"/>
  <c r="E33" i="1"/>
  <c r="AA32" i="1"/>
  <c r="AB32" i="1" s="1"/>
  <c r="S32" i="1"/>
  <c r="G32" i="1"/>
  <c r="E32" i="1"/>
  <c r="AB31" i="1"/>
  <c r="AA31" i="1"/>
  <c r="S31" i="1"/>
  <c r="G31" i="1"/>
  <c r="E31" i="1"/>
  <c r="S30" i="1"/>
  <c r="AA30" i="1" s="1"/>
  <c r="AB30" i="1" s="1"/>
  <c r="G30" i="1"/>
  <c r="E30" i="1"/>
  <c r="S29" i="1"/>
  <c r="AA29" i="1" s="1"/>
  <c r="AB29" i="1" s="1"/>
  <c r="G29" i="1"/>
  <c r="E29" i="1"/>
  <c r="S28" i="1"/>
  <c r="AA28" i="1" s="1"/>
  <c r="AB28" i="1" s="1"/>
  <c r="G28" i="1"/>
  <c r="E28" i="1"/>
  <c r="AB27" i="1"/>
  <c r="AA27" i="1"/>
  <c r="S27" i="1"/>
  <c r="G27" i="1"/>
  <c r="E27" i="1"/>
  <c r="AA26" i="1"/>
  <c r="AB26" i="1" s="1"/>
  <c r="S26" i="1"/>
  <c r="G26" i="1"/>
  <c r="E26" i="1"/>
  <c r="A26" i="1"/>
  <c r="A27" i="1" s="1"/>
  <c r="A28" i="1" s="1"/>
  <c r="A29" i="1" s="1"/>
  <c r="A30" i="1" s="1"/>
  <c r="A31" i="1" s="1"/>
  <c r="A32" i="1" s="1"/>
  <c r="A33" i="1" s="1"/>
  <c r="A34" i="1" s="1"/>
  <c r="S25" i="1"/>
  <c r="AA25" i="1" s="1"/>
  <c r="AB25" i="1" s="1"/>
  <c r="G25" i="1"/>
  <c r="E25" i="1"/>
  <c r="S24" i="1"/>
  <c r="AA24" i="1" s="1"/>
  <c r="AB24" i="1" s="1"/>
  <c r="G24" i="1"/>
  <c r="E24" i="1"/>
  <c r="A24" i="1"/>
  <c r="AA23" i="1"/>
  <c r="AB23" i="1" s="1"/>
  <c r="S23" i="1"/>
  <c r="G23" i="1"/>
  <c r="E23" i="1"/>
  <c r="G22" i="1"/>
  <c r="E22" i="1"/>
  <c r="G21" i="1"/>
  <c r="E21" i="1"/>
  <c r="G20" i="1"/>
  <c r="E20" i="1"/>
  <c r="AB19" i="1"/>
  <c r="AA19" i="1"/>
  <c r="AB18" i="1"/>
  <c r="AA18" i="1"/>
  <c r="G18" i="1"/>
  <c r="E18" i="1"/>
  <c r="AB17" i="1"/>
  <c r="AA17" i="1"/>
  <c r="G17" i="1"/>
  <c r="E17" i="1"/>
  <c r="AB16" i="1"/>
  <c r="AA16" i="1"/>
  <c r="G16" i="1"/>
  <c r="E16" i="1"/>
  <c r="AB15" i="1"/>
  <c r="AA15" i="1"/>
  <c r="G15" i="1"/>
  <c r="E15" i="1"/>
  <c r="AB14" i="1"/>
  <c r="AA14" i="1"/>
  <c r="G14" i="1"/>
  <c r="E14" i="1"/>
  <c r="AB13" i="1"/>
  <c r="AA13" i="1"/>
  <c r="G13" i="1"/>
  <c r="E13" i="1"/>
  <c r="AB12" i="1"/>
  <c r="AA12" i="1"/>
  <c r="G12" i="1"/>
  <c r="E12" i="1"/>
  <c r="AB11" i="1"/>
  <c r="AA11" i="1"/>
  <c r="G11" i="1"/>
  <c r="E11" i="1"/>
  <c r="AB10" i="1"/>
  <c r="AA10" i="1"/>
  <c r="G10" i="1"/>
  <c r="E10" i="1"/>
  <c r="AB9" i="1"/>
  <c r="AA9" i="1"/>
  <c r="G9" i="1"/>
  <c r="E9" i="1"/>
  <c r="AB8" i="1"/>
  <c r="AA8" i="1"/>
  <c r="G8" i="1"/>
  <c r="E8" i="1"/>
  <c r="AB7" i="1"/>
  <c r="AA7" i="1"/>
  <c r="G7" i="1"/>
  <c r="E7" i="1"/>
  <c r="AB6" i="1"/>
  <c r="AA6" i="1"/>
  <c r="G6" i="1"/>
  <c r="E6" i="1"/>
  <c r="AB5" i="1"/>
  <c r="AA5" i="1"/>
  <c r="G5" i="1"/>
  <c r="E5" i="1"/>
  <c r="AB4" i="1"/>
  <c r="AA4" i="1"/>
  <c r="AA163" i="1" l="1"/>
  <c r="AB163" i="1"/>
  <c r="A35" i="1"/>
  <c r="A36" i="1"/>
  <c r="A37" i="1" s="1"/>
  <c r="A38" i="1" s="1"/>
  <c r="A39" i="1" s="1"/>
  <c r="A41" i="1" s="1"/>
  <c r="A42" i="1" s="1"/>
  <c r="A43" i="1" s="1"/>
  <c r="A44" i="1" s="1"/>
  <c r="A45" i="1" s="1"/>
  <c r="A46" i="1" s="1"/>
  <c r="A47" i="1" s="1"/>
  <c r="A48" i="1" s="1"/>
  <c r="A49" i="1" s="1"/>
  <c r="A50" i="1" s="1"/>
  <c r="A52" i="1" s="1"/>
  <c r="A53" i="1" s="1"/>
  <c r="A54" i="1" s="1"/>
  <c r="A55" i="1" s="1"/>
  <c r="A56" i="1" s="1"/>
  <c r="A57" i="1" s="1"/>
  <c r="A58" i="1" s="1"/>
  <c r="A59" i="1" s="1"/>
  <c r="A60" i="1" s="1"/>
  <c r="A61" i="1" s="1"/>
  <c r="A62" i="1" s="1"/>
  <c r="A63" i="1" s="1"/>
  <c r="A64" i="1" s="1"/>
  <c r="A65" i="1" s="1"/>
  <c r="A66" i="1" s="1"/>
  <c r="A68" i="1" s="1"/>
  <c r="A69" i="1" s="1"/>
  <c r="A70" i="1" s="1"/>
  <c r="A71" i="1" s="1"/>
  <c r="A72" i="1" s="1"/>
  <c r="A73" i="1" s="1"/>
  <c r="A74" i="1" s="1"/>
  <c r="A75" i="1" s="1"/>
  <c r="A77" i="1" s="1"/>
  <c r="A78" i="1" s="1"/>
  <c r="A79" i="1" s="1"/>
  <c r="A80" i="1" s="1"/>
  <c r="A81" i="1" s="1"/>
  <c r="A82" i="1" s="1"/>
  <c r="A83" i="1" s="1"/>
  <c r="A84" i="1" s="1"/>
  <c r="A85" i="1" s="1"/>
  <c r="A86" i="1" s="1"/>
  <c r="A87" i="1" s="1"/>
  <c r="A88" i="1" s="1"/>
  <c r="A89" i="1" s="1"/>
  <c r="A90" i="1" s="1"/>
  <c r="A91" i="1" s="1"/>
  <c r="A92" i="1" s="1"/>
  <c r="A93" i="1" s="1"/>
  <c r="A94" i="1" s="1"/>
  <c r="A95" i="1" s="1"/>
  <c r="A96" i="1" s="1"/>
  <c r="A98" i="1" s="1"/>
  <c r="A99" i="1" s="1"/>
  <c r="A100" i="1" s="1"/>
  <c r="A101" i="1" s="1"/>
  <c r="A102" i="1" s="1"/>
  <c r="A103" i="1" s="1"/>
  <c r="A105" i="1" s="1"/>
  <c r="A106" i="1" s="1"/>
  <c r="A107" i="1" s="1"/>
  <c r="A108" i="1" s="1"/>
  <c r="A109" i="1" s="1"/>
  <c r="A110" i="1" s="1"/>
  <c r="A111" i="1" s="1"/>
  <c r="A112" i="1" s="1"/>
  <c r="A113" i="1" s="1"/>
  <c r="A114" i="1" s="1"/>
  <c r="A115" i="1" s="1"/>
  <c r="A116" i="1" s="1"/>
  <c r="A118" i="1" s="1"/>
  <c r="A119" i="1" s="1"/>
  <c r="A120" i="1" s="1"/>
  <c r="A121" i="1" s="1"/>
  <c r="A122" i="1" s="1"/>
  <c r="A124" i="1" s="1"/>
  <c r="A125" i="1" s="1"/>
  <c r="A126" i="1" s="1"/>
  <c r="A127" i="1" s="1"/>
  <c r="A128" i="1" s="1"/>
  <c r="A129" i="1" s="1"/>
  <c r="A130" i="1" s="1"/>
  <c r="A131" i="1" s="1"/>
  <c r="A132" i="1" s="1"/>
  <c r="A133" i="1" s="1"/>
  <c r="A134" i="1" s="1"/>
  <c r="A135" i="1" s="1"/>
  <c r="A136" i="1" s="1"/>
  <c r="A137" i="1" s="1"/>
  <c r="A138" i="1" s="1"/>
  <c r="A139" i="1" s="1"/>
  <c r="A140" i="1" s="1"/>
  <c r="A141" i="1" s="1"/>
  <c r="A142" i="1" s="1"/>
  <c r="A143" i="1" s="1"/>
  <c r="A144" i="1" s="1"/>
  <c r="A145" i="1" s="1"/>
  <c r="A146" i="1" s="1"/>
  <c r="A147" i="1" s="1"/>
  <c r="A148" i="1" s="1"/>
  <c r="A149" i="1" s="1"/>
  <c r="A151" i="1" s="1"/>
  <c r="A152" i="1" s="1"/>
  <c r="A153" i="1" s="1"/>
  <c r="A154" i="1" s="1"/>
  <c r="A155" i="1" s="1"/>
  <c r="A157" i="1" s="1"/>
  <c r="A158" i="1" s="1"/>
  <c r="A159" i="1" s="1"/>
  <c r="D51" i="2"/>
  <c r="D84" i="2"/>
  <c r="D5" i="2"/>
  <c r="D21" i="2"/>
  <c r="D37" i="2"/>
  <c r="D53" i="2"/>
  <c r="D69" i="2"/>
  <c r="D85" i="2"/>
  <c r="D19" i="2"/>
  <c r="D6" i="2"/>
  <c r="D22" i="2"/>
  <c r="D38" i="2"/>
  <c r="D54" i="2"/>
  <c r="D70" i="2"/>
  <c r="D86" i="2"/>
  <c r="D83" i="2"/>
  <c r="D7" i="2"/>
  <c r="D23" i="2"/>
  <c r="D39" i="2"/>
  <c r="D55" i="2"/>
  <c r="D71" i="2"/>
  <c r="D87" i="2"/>
  <c r="D35" i="2"/>
  <c r="D8" i="2"/>
  <c r="D24" i="2"/>
  <c r="D40" i="2"/>
  <c r="D56" i="2"/>
  <c r="D72" i="2"/>
  <c r="D88" i="2"/>
  <c r="D52" i="2"/>
  <c r="D9" i="2"/>
  <c r="D25" i="2"/>
  <c r="D41" i="2"/>
  <c r="D57" i="2"/>
  <c r="D73" i="2"/>
  <c r="D89" i="2"/>
  <c r="D67" i="2"/>
  <c r="D20" i="2"/>
  <c r="D10" i="2"/>
  <c r="D26" i="2"/>
  <c r="D42" i="2"/>
  <c r="D58" i="2"/>
  <c r="D74" i="2"/>
  <c r="D90" i="2"/>
  <c r="D4" i="2"/>
  <c r="D68" i="2"/>
  <c r="D11" i="2"/>
  <c r="D27" i="2"/>
  <c r="D43" i="2"/>
  <c r="D59" i="2"/>
  <c r="D75" i="2"/>
  <c r="D91" i="2"/>
  <c r="D12" i="2"/>
  <c r="D28" i="2"/>
  <c r="D44" i="2"/>
  <c r="D60" i="2"/>
  <c r="D76" i="2"/>
  <c r="D92" i="2"/>
  <c r="D13" i="2"/>
  <c r="D29" i="2"/>
  <c r="D45" i="2"/>
  <c r="D61" i="2"/>
  <c r="D77" i="2"/>
  <c r="D93" i="2"/>
  <c r="D36" i="2"/>
  <c r="D14" i="2"/>
  <c r="D30" i="2"/>
  <c r="D46" i="2"/>
  <c r="D62" i="2"/>
</calcChain>
</file>

<file path=xl/sharedStrings.xml><?xml version="1.0" encoding="utf-8"?>
<sst xmlns="http://schemas.openxmlformats.org/spreadsheetml/2006/main" count="2858" uniqueCount="1810">
  <si>
    <t>GeoPoll Submission Form</t>
  </si>
  <si>
    <t>FAO - Household Questionnaire</t>
  </si>
  <si>
    <t>Additional notes</t>
  </si>
  <si>
    <t>Q #</t>
  </si>
  <si>
    <t>Q Name</t>
  </si>
  <si>
    <t>Suggested Qname</t>
  </si>
  <si>
    <t>English</t>
  </si>
  <si>
    <t>Length</t>
  </si>
  <si>
    <t>Arabic</t>
  </si>
  <si>
    <t>Q Type</t>
  </si>
  <si>
    <t>Randomize</t>
  </si>
  <si>
    <t>Conditional</t>
  </si>
  <si>
    <t>Programming Instructions</t>
  </si>
  <si>
    <t>Skip Pattern</t>
  </si>
  <si>
    <t>Codes</t>
  </si>
  <si>
    <t>GeoPoll Comments</t>
  </si>
  <si>
    <t>FAO Response</t>
  </si>
  <si>
    <t xml:space="preserve">Default skip patterns &amp; conditional </t>
  </si>
  <si>
    <t>Specify skip pattern variable (from blue text)</t>
  </si>
  <si>
    <t>Estimated percentage of repondents</t>
  </si>
  <si>
    <t>Mandatory</t>
  </si>
  <si>
    <t>Duration (sec)</t>
  </si>
  <si>
    <t>Weighted duration</t>
  </si>
  <si>
    <t>Core questions only</t>
  </si>
  <si>
    <t>A. PRESENTATION OF THE SURVEY AND ELIGIBILITY CRITERIA SELECTION</t>
  </si>
  <si>
    <t>no</t>
  </si>
  <si>
    <t>NA</t>
  </si>
  <si>
    <t>Optin</t>
  </si>
  <si>
    <t>Open Ended</t>
  </si>
  <si>
    <t>Form Type - TextBox</t>
  </si>
  <si>
    <t>Any Response = calldispo</t>
  </si>
  <si>
    <t>calldispo</t>
  </si>
  <si>
    <t>Phone number: #CATI_MOBILENUMBER#
1)Someone answers
2)Answering machine
3)No answer
4)Hang up or refusal
5)Call back
6)Under review
7)Disconnected</t>
  </si>
  <si>
    <t>رقم الهاتف: #CATI_MOBILENUMBER#
1) يجيب شخص ما 
2) جهاز الرد الالي
3) لا جواب
4) إنهاء المكالمة أو الرفض
5) معاودة الاتصال
6) قيد المراجعة
7) قطع الاتصال</t>
  </si>
  <si>
    <t>Single Choice</t>
  </si>
  <si>
    <t>Form Type - Buttons</t>
  </si>
  <si>
    <t>1 = resp_language
2 = AnsweringMachine
3 = NoAnswer
4 = Refusal
5 = WhenCallBack
6 = UnderReview
7 = Disconnected</t>
  </si>
  <si>
    <t>AnsweringMachine</t>
  </si>
  <si>
    <t>calldispo_answeringmachine</t>
  </si>
  <si>
    <t>Reached an answering machine.</t>
  </si>
  <si>
    <t>لقد تم توجيهك إلى جهاز الرد الالي</t>
  </si>
  <si>
    <t>End Poll AnsweringMachine</t>
  </si>
  <si>
    <t>NoAnswer</t>
  </si>
  <si>
    <t>calldispo_noanswer</t>
  </si>
  <si>
    <t>Phone rang and no one answered.</t>
  </si>
  <si>
    <t>رن الهاتف ولم يرد أحد</t>
  </si>
  <si>
    <t>End Poll NoAnswer</t>
  </si>
  <si>
    <t>UnderReview</t>
  </si>
  <si>
    <t>calldispo_underreview</t>
  </si>
  <si>
    <t>Case needs review by a supervisor.</t>
  </si>
  <si>
    <t>الحالة تحتاج إلى مراجعة من قبل مشرف</t>
  </si>
  <si>
    <t>End Poll UnderReview</t>
  </si>
  <si>
    <t>Disconnected</t>
  </si>
  <si>
    <t>calldispo_disconnected</t>
  </si>
  <si>
    <t>Phone was disconnected or out of service.</t>
  </si>
  <si>
    <t>تم فصل الهاتف أو الهاتف خارج الخدمة</t>
  </si>
  <si>
    <t>End Poll Disconnected</t>
  </si>
  <si>
    <t>resp_language</t>
  </si>
  <si>
    <t>Which language do you wish to proceed with?
[OPERATOR: READ ANSWER CHOICES. SINGLE RESPONSE.]
1)Arabic
2)English - TESTING</t>
  </si>
  <si>
    <t>ما هي اللغة التي ترغب في المتابعة بها؟
[المُشغل: اقرأ خيارات الإجابة. استجابة واحدة.]
1) العربية
2)English - TESTING</t>
  </si>
  <si>
    <t>1 = introduction [Arabic]
2 = introduction [English]</t>
  </si>
  <si>
    <t>GeoPoll: Added English for testing purpose considering the survey will be running in Arabic only.</t>
  </si>
  <si>
    <t>OK</t>
  </si>
  <si>
    <t>For any response, go to introduction</t>
  </si>
  <si>
    <t>introduction</t>
  </si>
  <si>
    <t>Hello sir/ma'am, my name is #OPERATOR#, and I am calling on behalf of the Food and Agriculture Organization of the United Nations [FAO] because your name appeared on the organization's beneficiary list in recent years. 
I would like to ask you some questions about the impact of the current situation on your source of livelihood and your household's ability to obtain food. The survey usually takes 20/25 minutes to complete. Any information that you provide will be kept strictly confidential, only used for the purpose of the survey and will not be shown to other people. Your voluntary participation in the outcome of this interview is NOT IN ANY WAY linked to your personal chance of receiving any assistance. This is voluntary and you can choose not to answer any or all of the questions if you want. However, we hope that you will participate since your views are important.  
Please note that this call may be recorded for quality purposes.
Do you have any questions?
[OPERATOR: ADDRESS QUESTIONS FROM RESPONDENT, IF ANY.]
1)CONTINUE</t>
  </si>
  <si>
    <t>مرحبا، أنا إسمي #OPERATOR# وبحكي معك نيابة عن منظمة الأمم الممتحده للأغذية والزراعة
 (فاو) لأنه إسمك ورد على قوائم المستفيدين من المنظمة خلال الاعوام الأخيره. بدي أسالك شويه أسئله حول أثر الوضع الحالي على مصدر رزقك وقدرة أسرتك على الحصول على الغذاء. رح آخد من وقتك 25 ل  20 دقيقه. بدي احكيلك انه هاي المعلومات رح تضل سريه وإنه نتبيجه هاي الدراسه ما الها اي علاقه بأي مساعدات بتقدمها المنظمة. من حقك ترفض المشاركه بس يا ريت تشارك لأنه رأيك بهمنا وبحب احكيلك أنه هاي المكالمة رح تكون مسجله لهدف رصد الجودة.
يرجى الملاحظة أنه قد يتم تسجيل هذه المكالمة لغاية مراقبة الجودة.
عندك أي سؤال الي؟
[المُشغل: أجب على أسئلة المُجيب ، إن وجدت.]
1) تابع</t>
  </si>
  <si>
    <t>1 = Agree</t>
  </si>
  <si>
    <t xml:space="preserve">GeoPoll [3/18/2024]. Removed the reference to incentives given this will be a non-incentive survey. Kindly also advise if we should include a series of introductory messages to verify that we are speaking with the correct person/beneficiary listed in the database, or if this is not required. 
Example: "Our records indicate that this is the mobile number of [input name] from [input locality]. Are you this same person? (yes, proceed with interview. No, next screener question)
May I speak with this person now? (yes, proceed with interview. No, next screener question)
Are you part of the same household as [input name]? (yes, proceed with interview. No, next screener question).
GeoPoll [4/11/2024]: Added in QNames Beneficiary - Beneficiary_Confirm2 below. Also updated length of interview to reference 20/25 instead of 15/20.. </t>
  </si>
  <si>
    <t xml:space="preserve">Removal of incentives: ok, thanks.
Introductory message: Yes, we should verify the respondent (or someone in their household) is indeed a former FAO beneficiary, however we must find an alternative approach. The proposed text is not appropriate as it would provide senstive information (name and location) up front. 
</t>
  </si>
  <si>
    <t>For any response, go to Agree</t>
  </si>
  <si>
    <t xml:space="preserve">Set the amount of incentive here, if any.
</t>
  </si>
  <si>
    <t>Agree</t>
  </si>
  <si>
    <t>resp_agree</t>
  </si>
  <si>
    <t>Are you interested in participating in this survey?
[OPERATOR: SINGLE RESPONSE]
1)Yes
2)Not now but another time in the week
3)No</t>
  </si>
  <si>
    <t>هل لديك رغبة في بالمشاركة في هذه الدراسة؟
[المشغل: استجابة واحدة]
1) نعم
2) ليس الآن ولكن في وقت آخر في الأسبوع
3) لا</t>
  </si>
  <si>
    <t>StartRecording</t>
  </si>
  <si>
    <t>1 = Beneficiary
2 = WhenCallBack
3 = resp_refusalwhy</t>
  </si>
  <si>
    <t>if Agree = 1, go to id_panel OR resp_firstname
if Agree = 2, go to WhenCallBack
if Agree = 3, go to resp_refusalwhy</t>
  </si>
  <si>
    <t>if Agree = 1, go to resp_age
if Agree = 2, go to WhenCallBack
if Agree = 3, go to resp_refusalwhy</t>
  </si>
  <si>
    <t>resp_refusalwhy</t>
  </si>
  <si>
    <t>Please let us know why you have REFUSED to take the survey.
[OPERATOR: SINGLE RESPONSE]
1)Not interested
2)Do not want to be recorded
3)Other [specify]</t>
  </si>
  <si>
    <t>يرجى إخبارنا سبب رفضك للمشاركة في هذه الدراسة.
[المشغل: استجابة واحدة]
1) غير مهتم
2) لا أريد أن يتم تسجيلي
3) آخر [حدد]</t>
  </si>
  <si>
    <t>Open Ended-Single Choice</t>
  </si>
  <si>
    <t>Form Type - RadioList</t>
  </si>
  <si>
    <t>Any Response = Refusal</t>
  </si>
  <si>
    <t>For any response, go to Refusal</t>
  </si>
  <si>
    <t>WhenCallBack</t>
  </si>
  <si>
    <t>resp_whencallback</t>
  </si>
  <si>
    <t>When would it be a good time to call you back?
[RECORD HH/MM/DD/MM OF CALLBACK]</t>
  </si>
  <si>
    <t>ما هو التاريخ / الوقت المناسب لمعاودة الاتصال بك؟
[RECORD HH / MM / DD / MM of CALLBACK]</t>
  </si>
  <si>
    <t>Form Type - TextBox
IsCallBackDemographic</t>
  </si>
  <si>
    <t>Any Response = CallbackMessageEN</t>
  </si>
  <si>
    <t>For any response, go to CallbackMessageEN</t>
  </si>
  <si>
    <t>CallbackMessageEN</t>
  </si>
  <si>
    <t>callbackmessage_en</t>
  </si>
  <si>
    <t>Thank you, we will call you back at {WhenCallBack} you requested. Thank you again and have a great day!
[OPERATOR: ENTER CALL NOTES BELOW, WHO YOU SPOKE TO AND WHAT THEY SAID]</t>
  </si>
  <si>
    <t>شكرًا لك ، سوف نعاود الاتصال بك في {WhenCallBack} الذي طلبته. شكرا لك مرة أخرى و نتمنى لك يوم جميل!
[المُشغل: أدخل ملاحظات الاتصال أدناه ، مع من تحدثت وماذا قالوا]</t>
  </si>
  <si>
    <t>Any Response = End poll callback</t>
  </si>
  <si>
    <t>Ineligible</t>
  </si>
  <si>
    <t>You are ineligible for this survey. Thank you for your time and please look out for future surveys!</t>
  </si>
  <si>
    <t xml:space="preserve">أنت غير مؤهل للمشاركة في هذه الدراسة، شكرًا لك على وقتك. ترقب دراسات GeoPoll المستقبلية! </t>
  </si>
  <si>
    <t>End Poll Ineligible</t>
  </si>
  <si>
    <t>Refusal</t>
  </si>
  <si>
    <t>NA </t>
  </si>
  <si>
    <t>Thank you for your time, you will be removed from today's survey.</t>
  </si>
  <si>
    <t>شكراً جزيلاً على وقتك، سنقوم بحذف إسمك من دراسة اليوم.</t>
  </si>
  <si>
    <t>End poll declined</t>
  </si>
  <si>
    <t>B. GENERAL INFORMATION &amp; ELIGIBILITY CRITERIA</t>
  </si>
  <si>
    <t>Beneficiary</t>
  </si>
  <si>
    <t>Were you or anyone in your household a beneficiary of a FAO project or Ministry of Agriculture project during the past five years?
[OPERATOR: SINGLE RESPONSE]
1)YES
2)NO
3)DON'T KNOW</t>
  </si>
  <si>
    <t>خلال ال 5 سنوات الماضية، هل استفدت انت او أي فرد من افراد اسرتك من أي مشروع نفذته منظمة الأغذية والزراعة – الفاو اأو مشروع تفذته وزارة الزراعة؟
[المشغل: استجابة واحدة]
1) نعم
2) لا
3)لا أعرف</t>
  </si>
  <si>
    <t>1=Beneficiary_Confirm1
2=Ineligible
3=Beneficiary_Confirm2</t>
  </si>
  <si>
    <t xml:space="preserve">GeoPoll [4/11/2024]: Added in QNames Beneficiary - Beneficiary_Confirm2. Our team is in the process of inputting the translations. Kindly advise if any further feedback.  </t>
  </si>
  <si>
    <t>Beneficiary_Confirm1</t>
  </si>
  <si>
    <t>Thank you. Kindly provide me with their name and location during the period that they were a FAO or Ministry of Agriculture beneficiary. 
[OPERATOR: LISTEN TO THE NAME AND LOCATION OF THE BENEFICIARY PROVIDED BY THE RESPONDENT. SELECT CONTINUE IF IT IS THE SAME AS THE DATABASE. OTHERWISE, SELECT INELIGIBLE.
1)Continue
2)Ineligible</t>
  </si>
  <si>
    <t>شكرًا لك. يرجى تزويدي باسم المستفيد ومكان سكنه خلال الفترة التي كان بها مستفيد من مشروع الممول من المنذمة الاغذية و الزراعة - الفاو  او مشروع وزارة الزراعة
[المشغل: استمع إلى اسم مكان سكن المستفيد. حدد متابعة إذا كان هو نفسه الموجود في قاعدة البيانات. بخلاف ذلك، حدد غير مؤهل]
1) تابع
2) غير مؤهل</t>
  </si>
  <si>
    <t>1=resp_age
2=Ineligible</t>
  </si>
  <si>
    <t>Beneficiary_Confirm2</t>
  </si>
  <si>
    <t>Our records indicate the beneficiary is  [IDENTIFY FIRST NAME BASED ON RESPONDENT ID]. Is this you or a member of your household?
[OPERATOR: SINGLE RESPONSE. PROMPT FIRST WITH THE FIRST NAME ONLY, THEN PROCEED TO FAMILY NAME AND LASTLY LOCATION IF PROBING IS REQUIRED. DO NOT REVEAL NAME AND LOCATION AT THE SAME TIME / TAKE CARE TO AVOID REVEALING PERSONAL IDENTIFYING INFORMATION].
1)YES
2)NO</t>
  </si>
  <si>
    <t>تشير القوائم لدينا إلى أن المستفيد هو [اذكر الاسم الأول فقط من القائمة]. هل هو أنت أو أحد أفراد أسرتك؟
[المشغل: استجابة واحدة. اذكر الاسم الاول للمستميد, و من ثم اسم العائلة و الموقع الجغرافي لاحقا. لا تذكر الاسم و الموقع الجغرافي في ان واحد للحفاظ على عدم كشف معلومات تعريفية شخصية]
1) نعم
2) لا</t>
  </si>
  <si>
    <t>resp_age</t>
  </si>
  <si>
    <t>How old are you? 
[OPERATOR: RECORD AGE IN NUMBER OF YEARS. ROUND UP TO NEAREST WHOLE NUMBER. IF THE RESPONDENT GIVES BIRTH YEAR, REPEAT THE QUESTION. ENTER 00 FOR DON'T KNOW.]</t>
  </si>
  <si>
    <t>كم عمرك؟
[المُشغل: سجل العمر في عدد السنوات. قم بالتقريب لأقرب رقم كامل. إذا أعطى المجيب سنة الميلاد ، فكرر السؤال. أدخل 00 للا أعرف.]</t>
  </si>
  <si>
    <t>Range</t>
  </si>
  <si>
    <t>0-17 = Ineligible
18-100 = resp_gender
00 = Ineligible</t>
  </si>
  <si>
    <t>Only respondents from 18-100 will be eligible for the survey.</t>
  </si>
  <si>
    <t>yes</t>
  </si>
  <si>
    <t>resp_gender</t>
  </si>
  <si>
    <t>What is the gender of the respondent?
[OPERATOR: DO NOT ASK THIS QUESTION OUT LOUD. LISTEN TO THE VOICE AND SELECT THE GENDER.]
1)Male
2)Female
3)DON'T KNOW
4)REFUSED</t>
  </si>
  <si>
    <t>ما هو جنس المجيب؟
[المُشغل: لا تطرح هذا السؤال. استمع إلى الصوت وحدد المربع الصحيح.]
1) ذكر
2) أنثى
3) لا أعرف
4) رفض الإجابة</t>
  </si>
  <si>
    <t>1-4 = hh_admin1</t>
  </si>
  <si>
    <t>For any response, go to phone_number_conf</t>
  </si>
  <si>
    <t>For any response, go to hh_admin1</t>
  </si>
  <si>
    <t>hh_admin1</t>
  </si>
  <si>
    <t xml:space="preserve">Currently, in which Governorate does your household reside in?
[OPERATOR: SINGLE SELECTION.]
[HINT: HOUSEHOLD CONSISTS OF ALL MEMBERS LIVING TOGETHER, SHARING RESOURCES &amp; EATING FROM THE SAME POT.]
1)HEBRON
2)NABLUS
3)RAMALLAH
4)SALFIT
5)BETHLEHEM
6)JENIN
7)JERICHO
8)JERUSALEM 
9)QALQILIA
10)TUBAS
11)TULKARM
12)DON'T KNOW
13)REFUSED </t>
  </si>
  <si>
    <t>حاليًا ، في أي محافظة تقيم أسرتك؟
[المشغل: استجابة واحدة.]
[ملحوظة: تتكون الأسرة من جميع الأعضاء الذين يعيشون معًا ، ويتشاركون الموارد ويأكلون من نفس القدر.]
1)الخليل
2)نابلس
3)رام الله
4)سلفيت
5)بيت لحم
6)جنين
7)أريحا
8)القدس [J2]
9)قلقيلية
10)طوباس
11)طولكرم
12) لا أعرف
13) رفض الإجابة</t>
  </si>
  <si>
    <t>Form Type - Dropdown
IsDemographic - ADM1</t>
  </si>
  <si>
    <t>1 = hh_admin2_1
2 = hh_admin2_2
3 = hh_admin2_3
4 = hh_admin2_4
5 = hh_admin2_5
6 = hh_admin2_6
7 = hh_admin2_7
8 = hh_admin2_8
9 = hh_admin2_9
10 = hh_admin2_10
11 = hh_admin2_11
12-13 = Ineligible</t>
  </si>
  <si>
    <t xml:space="preserve">GeoPoll [4/11/2024]: Added in translation for governorate in Arabic. </t>
  </si>
  <si>
    <t xml:space="preserve">The administrative information will be updated by GeoPoll based on the sample design document and the administrative boundaries provided by the dashboard team after the questionnaire validation. </t>
  </si>
  <si>
    <t>hh_admin2_1</t>
  </si>
  <si>
    <t xml:space="preserve">Currently, in which locality [village/town/city] does your household reside?
[OPERATOR: SINGLE RESPONSE.]
1) 'ANAB AL KABIR
2)AD DEIRAT
3)ADH DHAHIRIYA
4)AL 'ARRUB CAMP
5)AL BAQA
6)AL BOWEREH [AQABAT INJELEH]
7)AL BURJ
8)AL BUWEIB
9)AL FAWWAR CAMP
10)AL HEILA
11)AL KARMIL
12)AL MAJD
13)AN NAJADA
14)AR RAMADIN
15)AR RIHIYA
16)ARAB AL FUREIJAT
17)AS SAMU'
18)AS SURA
19)ASH SHUYUKH
20)AT TUWANI
21)BANI NA'IM
22)BEIT 'AMRA
23)BEIT AR RUSH AL FAUQA
24)BEIT AR RUSH AT TAHTA
25)BEIT 'AWWA
26)BEIT 'EINUN
27)BEIT KAHIL
28)BEIT MAQDUM
29)BEIT MIRSIM
30)BEIT ULA
31)BEIT UMMAR
32)DEIR AL 'ASAL AL FAUQA
33)DEIR AL 'ASAL AT TAHTA
34)DEIR RAZIH
35)DEIR SAMIT
36)DURA
37)FUQEIQIS
38)HADAB AL 'ALAQA
39)HADAB AL FAWWAR
40)HALHUL
41)HAMRUSH
42)HEBRON [AL KHALIL]
43)HITTA
44)IDHNA
45)IMNEIZIL
46)IMREISH
47)JALA
48)KARMA
49)KHALLET AL 'AQED
50)KHALLET AL MAIYYA
51)KHALLET AL MASAFER
52)KHALLET EDAR
53)KHALLET SALIH
54)KHARAS
55)KHASHEM ADARAJ [AL-HATHALEEN]
56)KHEROSHEWESH WAL HADEDEYAH
57)KHIRBET AD DEIR
58)KHIRBET AL FAKHEIT
59)KHIRBET ASAFI
60)KHIRBET BIR AL 'IDD
61)KHIRBET SALAMA
62)KHIRBET TAWIL ASH SHIH
63)KHIRBET ZANUTA
64)KHURSA
65)KURZA
66)MAGHAYIR AL 'ABEED
67)MA'IN
68)MANTIQAT SHI'B AL BATIN
69)MARAH AL BAQQAR
70)NUBA
71)OM ADARAJ [ARAB AL KA’ABNEH]
72)OM AL AMAD [SAHEL WADI ELMA]
73)OM ASHOQHAN
74)QALQAS
75)QLA’A ZETA
76)RABUD
77)SA'IR
78)SHUYUKH AL 'ARRUB
79)SIKKA
80)SURIF
81)TAFFUH
82)TARQUMIYA
83)TARRAMA
84)UM AL-KHAIR
85)UMM AL BUTM
86)UMM LASAFA
87)WADI AL AMAYER
88)WADI AL KILAB
89)WADI ASH SHAJINA
90)WADI 'UBEID
91)YATTA
92)ZIF
93)DON'T KNOW
94)REFUSED </t>
  </si>
  <si>
    <t>حالياً، في أي  تجمع سكاني [قرية/بلدة/مدينة] تقيم أسرتك؟
[المشغل: استجابة واحدة.]
1)عناب الكبير
2)الديرات
3)الظاهرية
4)مخيم العروب
5)البقعة
6)البويرة [عقبة انجيله]
7)البرج
8)البويب
9)مخيم الفوار
10)الحيلة
11)الكرمل
12)المجد
13)النَجادَة
14)الرماضين
15)الريحية
16)عرب الفريجات
17)السموع
18)الصرة
19)الشيوخ
20)التواني
21)بني نعيم
22)بيت عمرة
23)بيت الرش الفوقا
24)بيت الرش التحتا
25)بيت عوا
26)بيت عينون
27)بيت كاحل
28)بيت مقدوم
29)بيت مرسم
30)بيت أولا
31)بيت أومر
32)دير العسل الفوقا
33)دير العسل التحتا
34)دير رازح
35)دير سامت
36)دورا
37)فقيقيس
38)هدب العلقة
39)هدب الفوار
40)حلحول
41)حمروش
42)الخليل
43)حتا
44)إذنا
45)إِمنيزِل
46)إمريش
47)جالا
48)كرمة
49)خلة العقد
50)خلة المية
51)خلة المسافر
52)خلة الدار
53)خلة صالح
54)خاراس
55)خشم درج [الهذالين]
56)خيروشيوش والحديدية
57)خربة الدير
58)خربة الفخيت
59)خربة اصفي
60)خربة بير العد
61)خربة سلامة
62)خربة طويل الشيح
63)خربة زنوتة
64)خرسا
65)كرزه
66)مغاير العبيد
67)معين
68)منطقة شعب الباطن
69)مراح البقار
70)النوبة
71)أم الدرج [عرب الكعابنة]
72)أم العمد [ساحل وادي الماء]
73)أم الشقحان
74)قلقس
75)قلعة زيتا
76)رابود
77)سعير
78)شيوخ العروب
79)سكة
80)صوريف
81)تفوح
82)ترقوميا
83)طرّامة
84)ام الخير
85)أم البطم
86)أم لصفا
87)وادي العماير
88)وادي الكلاب
89)وادي الشاجنة
90)وادي عبيد
91)يطا
92)زيف
93) لا أعرف
94) رفض الإجابة</t>
  </si>
  <si>
    <t>Form Type - Dropdown
IsDemographic - ADM2</t>
  </si>
  <si>
    <t>1-92 =  quotareached
93-94 = Ineligible</t>
  </si>
  <si>
    <t xml:space="preserve">GeoPoll [4/11/2024]: Added in translation for locality in Arabic. </t>
  </si>
  <si>
    <t>FAOPAL- kindly provide translation</t>
  </si>
  <si>
    <t>hh_admin2_2</t>
  </si>
  <si>
    <t xml:space="preserve">Currently, in which locality [village/town/city] does your household reside?
[OPERATOR: SINGLE RESPONSE.]
1) 'AMMURIYA
2) 'ASIRA AL QIBLIYA
3) 'ASIRA ASH SHAMALIYA
4) 'ASKAR CAMP
5) 'AWARTA
6) 'AZMUT
7) 'EIN BEIT EL MA CAMP
8) 'EIN SHIBLI
9) 'EINABUS
10) 'URIF
11)AL 'AQRABANIYA
12)AL BADHAN
13)AL LUBBAN ASH SHARQIYA
14)AN NAQURA
15)AN NASSARIYA
16)AQRABA
17)AR RAJMAN
18)AS SAWIYA
19)BALATA CAMP
20)BEIT DAJAN
21)BEIT FURIK
22)BEIT HASAN
23)BEIT IBA
24)BEIT IMRIN
25)BEIT WAZAN
26)BEITA
27)BIZZARIYA
28)BURIN
29)BURQA
30)DEIR AL HATAB
31)DEIR SHARAF
32)DUMA
33)FURUSH BEIT DAJAN
34)HUWWARA
35)IJNISINYA
36)'IRAQ BURIN
37)JALUD
38)JAMMA'IN
39)JURISH
40)KAFR QALLIL
41)MADAMA
42)MAJDAL BANI FADIL
43)NABLUS
44)NISF JUBEIL
45)ODALA
46)OSARIN
47)QABALAN
48)QARYUT
49)QUSIN
50)QUSRA
51)RUJEIB
52)SABASTIYA
53)SALIM
54)SARRA
55)TALFIT
56)TALL AL KHASHABA
57)TALLUZA
58)TELL
59)YANUN
60)YASID
61)YATMA
62)ZA'TARA
63)ZAWATA
64)ZEITA JAMMA'IN
65)DON'T KNOW
66)REFUSED </t>
  </si>
  <si>
    <t>حالياً، في أي  تجمع سكاني [قرية/بلدة/مدينة] تقيم أسرتك؟
[المشغل: استجابة واحدة.]
1)عمورية
2)عصيرة القبلية
3)عصيرة الشمالية
4)مخيم عسكر
5)عورتا
6)عزموط
7)مخيم عين بيت الماء
8)عين شبلي
9)عينبوس
10)عوريف
11)العقربانية
12)الباذان
13)اللبن الشرقية
14)الناقورة
15)النصارية
16)عقربة
17)الرجمان
18)الساوية
19)مخيم بلاطة
20)بيت دجن
21)بيت فوريك
22)بيت حسن
23)بيت إيبا
24)بيت امرين
25)بيت وزان
26)بيتا
27)بزارية
28)بورين
29)برقة
30)دير الحطب
31)دير شرف
32)دوما
33)فروش بيت دجن
34)حوارة
35)إجنيسينيا
36)عراق بورين
37)جالود
38)جماعين
39)جوريش
40)كفر قليل
41)مادما
42)مجدل بني فاضل
43)نابلس
44)نصف جبيل
45)أودلة
46)أوصرين
47)قبلان
48)قريوت
49)قوصين
50)قصرة
51)روجيب
52)سبسطية
53)سالم
54)صرة
55)تلفيت
56)تل الخشبة
57)طلوزة
58)تل
59)يانون
60)ياصيد
61)يتما
62)زعترة
63)زواتا
64)زيتا جماعين
65) لا أعرف
66) رفض الإجابة</t>
  </si>
  <si>
    <t>1-64 =  quotareached
65-66 = Ineligible</t>
  </si>
  <si>
    <t>hh_admin2_3</t>
  </si>
  <si>
    <t xml:space="preserve">Currently, in which locality [village/town/city] does your household reside?
[OPERATOR: SINGLE RESPONSE.]
1) 'ABUD
2) 'ABWEIN
3) 'AJJUL
4) 'ATARA
5) 'EIN QINIYA
6) 'EIN YABRUD
7)ABU QASH
8)AL AM'ARI CAMP
9)AL BIREH
10)AL JALAZUN CAMP
11)AL JANIYA
12)AL LUBBAN AL GHARBI
13)AL MAZRA'A ASH SHARQIYA
14)AL MIDYA
15)AL MUGHAYYIR
16)AL-DOHA
17)AL-ITIHAD
18)AL-ZAYTOUNEH
19)AN NABI SALIH
20)AT TAYBA
21)AT TIRA
22)BADIW AL MU'ARRAJAT
23)BANI ZEID
24)BANI ZEID ASH SHARQIYA
25)BEIT LIQYA
26)BEIT NUBA
27)BEIT SIRA
28)BEIT 'UR AL FAUQA
29)BEIT 'UR AT TAHTA
30)BEITIN
31)BEITUNIYA
32)BIL'IN
33)BIR ZEIT
34)BUDRUS
35)BURHAM
36)BURQA
37)DEIR ABU MASH'AL
38)DEIR 'AMMAR CAMP
39)DEIR AS SUDAN
40)DEIR DIBWAN
41)DEIR IBZI'
42)DEIR JARIR
43)DEIR NIDHAM
44)DEIR QADDIS
45)DURA AL QAR'
46)'EIN 'ARIK
47)'EIN SINIYA
48)JIBIYA
49)JIFNA
50)JILIJLIYA
51)KAFR 'EIN
52)KAFR MALIK
53)KAFR NI'MA
54)KHARBATHA AL MISBAH
55)KHARBATHA BANI HARITH
56)KHIRBET ABU FALAH
57)KOBAR
58)NI'LIN
59)QADDURA CAMP
60)QARAWAT BANI ZEID
61)QIBYA
62)RAMALLAH
63)RAMMUN
64)RANTIS
65)RAS KARKAR
66)SAFFA
67)SHABTIN
68)SHUQBA
69)SILWAD
70)SILWAD CAMP
71)SINJIL
72)SURDA
73)TURMUS'AYYA
74)UMM SAFA
75)YABRUD
76)DON'T KNOW
77)REFUSED </t>
  </si>
  <si>
    <t>حالياً، في أي  تجمع سكاني [قرية/بلدة/مدينة] تقيم أسرتك؟
[المشغل: استجابة واحدة.]
1)عابود
2)عبوين
3)عجول
4)عطارة
5)عين قينيا
6)عين يبرود
7)ابو قش
8)مخيم الأمعري
9)البيرة
10)مخيم الجلزون
11)الجانية
12)اللبن الغربي
13)المزرعة الشرقية
14)المدية
15)المغير
16)الدوحة
17)الاتحاد
18)الزيتونة
19)النبي صالح
20)الطيبة
21)الطيرة
22)بدو المعرّجات
23)بني زيد
24)بني زيد الشرقية
25)بيت لقيا
26)بيت نوبا
27)بيت سيرا
28)بيت عور الفوقا
29)بيت عور التحتا
30)بيتين
31)بيتونيا
32)بلعين
33)بير زيت
34)بدرس
35)برهام
36)برقة
37)دير أبو مشعل
38)مخيم دير عمار
39)دير السودان
40)دير دبوان
41)دير ابزيع
42)دير جرير
43)دير نظام
44)دير قديس
45)دورا القرع
46)عين عريك
47)عين سينيا
48)جيبيا
49)جفنا
50)جليليا
51)كفر عين
52)كفر مالك
53)كفر نعمة
54)خربثا المصباح
55)خربثا بني حارث
56)خربة ابو فلاح
57)كوبر
58)نعلين
59)مخيم قدورة
60)قراوة بني زيد
61)قبية
62)رام الله
63)رمون
64)رنتيس
65)رأس كركر
66)صفا
67)شبتين
68)شقبة
69)سلواد
70)مخيم سلواد
71)سنجل
72)سردا
73)ترمسعيا
74)أم صفا
75)يبرود
76) لا أعرف
77) رفض الإجابة</t>
  </si>
  <si>
    <t>1-75 =  quotareached
76-77 = Ineligible</t>
  </si>
  <si>
    <t>hh_admin2_4</t>
  </si>
  <si>
    <t xml:space="preserve">Currently, in which locality [village/town/city] does your household reside?
[OPERATOR: SINGLE RESPONSE.]
1)AZ ZAWIYA
2)BIDDYA
3)BRUQIN
4)DEIR BALLUT
5)DEIR ISTIYA
6)FARKHA
7)HARIS
8)ISKAKA
9)'IZBAT ABU ADAM
10)KAFR AD DIK
11)KHIRBET QEIS
12)KIFL HARIS
13)MARDA
14)MAS-HA
15)QARAWAT BANI HASSAN
16)QIRA
17)RAFAT
18)SALFIT
19)SARTA
20)YASUF
21)DON'T KNOW
22)REFUSED </t>
  </si>
  <si>
    <t>حالياً، في أي  تجمع سكاني [قرية/بلدة/مدينة] تقيم أسرتك؟
[المشغل: استجابة واحدة.]
1)الزاوية
2)بديا
3)بروقين
4)دير بلوط
5)دير استيا
6)فرخة
7)حارس
8)إسكاكا
9)عِزْبِة أبو آدَم
10)كفر الديك
11)خربة قيس
12)كفل حارث
13)مردة
14)مسحة
15)قراوة بني حسان
16)قيرة
17)رافات
18)سلفيت
19)سرطة
20)ياسوف
21) لا أعرف
22) رفض الإجابة</t>
  </si>
  <si>
    <t>1-20 =  quotareached
21-22 = Ineligible</t>
  </si>
  <si>
    <t>hh_admin2_5</t>
  </si>
  <si>
    <t xml:space="preserve">Currently, in which locality [village/town/city] does your household reside?
[OPERATOR: SINGLE RESPONSE.]
1)AD DOHA
2)AD DUHEISHA CAMP
3)AL 'AZA CAMP
4)AL HADDADIYA
5)AL JAB'A
6)AL KHADR
7)AL KHAS
8)AL MANIYA
9)AL MANSHIYA
10)AL MA'SARA
11)AL 'UBEIDIYA
12)AL WALAJA
13)'ARAB AR RASHAYIDA
14)ARTAS
15)ASH SHAWAWRA
16)'AYDA CAMP
17)BATTIR
18)BEIT FAJJAR
19)BEIT JALA
20)BEIT SAHUR
21)BEIT TA'MIR
22)BETHLEHEM [BEIT LAHM]
23)BIR ONAH
24)DAR  SALAH
25)HINDAZA
26)HUSAN
27)JANNATAH
28)JUBBET ADH DHIB
29)JURAT ASH SHAM'A
30)KHALLET 'AFANA
31)KHALLET AL HADDAD
32)KHALLET AL LOUZA
33)KHALLET AN NU'MAN
34)KHALLET HAMAMEH
35)KHALLET SAKARIYA
36)KISAN
37)MARAH MA'ALLA
38)MARAH RABAH
39)NAHHALIN
40)TUQU'
41)UMM SALAMUNA
42)WADI AN NIS
43)WADI FUKIN
44)WADI RAHHAL
45)ZA'TARA
46)DON'T KNOW
47)REFUSED </t>
  </si>
  <si>
    <t>حالياً، في أي  تجمع سكاني [قرية/بلدة/مدينة] تقيم أسرتك؟
[المشغل: استجابة واحدة.]
1)الدوحة
2)مخيم الدهيشة
3)مخيم العزة
4)الحدادية
5)الجبعة
6)الخضر
7)الخاص
8)المنية
9)المنشية
10)المعصرة
11)العبيدية
12)الولجة
13)عرب الرشايدة
14)ارطاس
15)الشواورة
16)مخيم عايدة
17)بتير
18)بيت فجار
19)بيت جالا
20)بيت ساحور
21)بيت تعمر
22)بيت لحم
23)بئر عونة
24)دار  صلاح
25)هندازة
26)حوسان
27)جناتة
28)جبة الديب
29)جورة الشمة
30)خلة عفانة
31)خلة الحداد
32)خلة اللوزة
33)خلة النعمان
34)خلة حمامة
35)خلة سكاريا
36)كيسان
37)مرح معلا
38)مراح رباح
39)نحالين
40)تقوع
41)أم سلمونة
42)وادي النيص
43)وادي فوكين
44)وادي رحال
45)زعترة
46) لا أعرف
47) رفض الإجابة</t>
  </si>
  <si>
    <t>1-45 =  quotareached
46-47 = Ineligible</t>
  </si>
  <si>
    <t>hh_admin2_6</t>
  </si>
  <si>
    <t xml:space="preserve">Currently, in which locality [village/town/city] does your household reside?
[OPERATOR: SINGLE RESPONSE.]
1) 'ARABBUNA
2)'ABA
3)'AJJA
4)AL 'ARAQA
5)AL 'ASA'ASA
6)AL 'ATTARA
7)AL FANDAQUMIYA
8)AL HAFIRA
9)AL HASHIMIYA
10)AL JALAMA
11)AL JAMEELAT
12)AL JARBA
13)AL JUDEIDA
14)AL KHULJAN
15)AL KUFEIR
16)AL MANSURA
17)AL MUGHAYYIR
18)AL MUTILLA
19)AL YAMUN
20)'ANIN
21)'ANZA
22)AR RAMA
23)ARRABA 
24)'ARRANA
25)AS SA'AIDA
26)ASH SHUHADA
27)AT TAREM
28)AT TAYBA
29)AZ ZABABIDA
30)AZ ZAWIYA
31)BARTA'A ASH SHARQIYA 
32)BEIT QAD
33)BIR AL BASHA
34)BIRQIN
35)DEIR ABU DA'IF
36)DEIR GHAZALA
37)DHAHER AL 'ABED
38)DHAHER AL MALIH
39)FAHMA
40)FAHMA AL JADIDA
41)FAQQU'A
42)IMREIHA
43)JABA'
44)JALBUN
45)JALQAMUS
46)JENIN
47)JENIN CAMP
48)KAFR DAN
49)KAFR QUD 
50)KAFR RA'I
51)KHIRBET 'ABDALLAH AL YUNIS
52)KHIRBET AL MUNTAR AL GHARBIYA
53)KHIRBET AL MUNTAR ASH SHARQIYA
54)KHIRBET MAS'UD
55)KHIRBET SURUJ
56)KUFEIRIT
57)MEITHALUN
58)MIRKA
59)MISLIYA
60)NAZLAT ASH SHEIKH ZEID
61)QABATIYA 
62)RABA 
63)RUMMANA
64)SANUR
65)SILAT ADH DHAHR
66)SILAT AL HARITHIYA
67)SIR
68)SIRIS
69)TELFIT
70)TI'INNIK
71)TURA AL GHARBIYA
72)TURA ASH SHARQIYA
73)UMM AR RIHAN
74)UMM AT TUT
75)UMM DAR
76)WAD AD DABI'
77)WADI DU'OQ
78)YA'BAD
79)ZABDA 
80)ZUBUBA
81)DON'T KNOW
82)REFUSED </t>
  </si>
  <si>
    <t>حالياً، في أي  تجمع سكاني [قرية/بلدة/مدينة] تقيم أسرتك؟
[المشغل: استجابة واحدة.]
1)عربّونة
2)عابا
3)عجّه
4)العرقة
5)العصاعصة
6)العطارة
7)الفندقومية
8)الحفيرة
9)الهاشمية
10)الجلمة
11)الجميلات
12)الجربا
13)الجديدة
14)الخلجان
15)الكفير
16)المنصورة
17)المغير
18)المطلة
19)اليامون
20)عنين
21)عنزة
22)الرامة
23)عرّابة
24)عرّانه
25)السعايدة
26)الشهداء
27)الطرم
28)الطيبه
29) الزبابدة 
30)الزاوية
31)برطعة الشرقية
32)بيت قاد
33)بئر الباشا
34)برقين
35)دير أبو ضعيف
36)دير غزالة
37)ظهر العبد
38)ظهر المالح
39)فحمة
40)فهمة الجديدة
41)فقوعة
42)إمريحة
43)جبع
44)جلبون
45)جلقموس
46)جنين
47)مخيم جنين
48)كفر دان
49)كفر قود
50)كفر راعي
51)خربة عبد الله اليونس
52)خربة المنطار الغربية
53)خربة المنطار الشرقية
54)خربة مسعود
55)خربة سروج
56)كفيرت
57)ميثالون
58)ميركا
59)مسلية
60)نزلة الشيخ زيد
61)قباطية
62)رابا
63)رمّانة
64)سانور
65)سيلة الظهر
66)سيلة الحارثية
67)سير
68)سيريس
69)تلفيت
70)تعنّك
71)طورة  الغربية
72)طورة  الشرقية
73)ام الريحان
74)أم التوت
75)أم دار
76)واد الضبع
77)وادي دْعُوق
78)يعبد
79)زبدة
80)زبوبا
81) لا أعرف
82) رفض الإجابة</t>
  </si>
  <si>
    <t>1-80 =  quotareached
81-82 = Ineligible</t>
  </si>
  <si>
    <t>hh_admin2_7</t>
  </si>
  <si>
    <t xml:space="preserve">Currently, in which locality [village/town/city] does your household reside?
[OPERATOR: SINGLE RESPONSE.]
1)AL 'AUJA
2)AL JIFTLIK
3)AN NABI MUSA
4)AN NUWEI'MA
5)AQBAT JABER CAMP
6)AZ ZUBEIDAT
7)DEIR AL QILT
8)DEIR HAJLA
9)'EIN AD DUYUK AL FAUQA 
10)'EIN AS SULTAN CAMP
11)FASAYIL
12)JERICHO [ARIHA]
13)MARJ AL GHAZAL
14)MARJ NA'JA
15)DON'T KNOW
16)REFUSED </t>
  </si>
  <si>
    <t>حالياً، في أي  تجمع سكاني [قرية/بلدة/مدينة] تقيم أسرتك؟
[المشغل: استجابة واحدة.]
1)العوجا
2)الجفتلك
3)النبي موسى
4)النويعمة
5)مخيم عقبة جبر
6)الزبيدات
7)دير القلط
8)دير حجلة
9)عين الديوك الفوقا
10) مخيم عين السلطان
11)فصايل
12)أريحا
13)مرج الغزال
14)مرج نعجة
15) لا أعرف
16) رفض الإجابة</t>
  </si>
  <si>
    <t>1-14 =  quotareached
15-16 = Ineligible</t>
  </si>
  <si>
    <t>hh_admin2_8</t>
  </si>
  <si>
    <t xml:space="preserve">Currently, in which locality [village/town/city] does your household reside?
[OPERATOR: SINGLE RESPONSE.]
1) 'ARAB AL JAHALIN
2)ABU DIS
3)AL 'EIZARIYA
4)AL 'ISAWIYA
5)AL JIB
6)AL JUDEIRA
7)AL KA'ABINA [TAJAMMU' BADAWI]
8)AL QUBEIBA
9)AN NABI SAMWIL
10)'ANATA
11)AR RAM &amp; DAHIYAT AL BAREED
12)AS SAWAHIRA AL GHARBIYA
13)AS SAWAHIRA ASH SHARQIYA
14)ASH SHEIKH SA'D
15)ATH THURI
16)AZ ZA'AYYEM
17)BEIT 'ANAN
18)BEIT DUQQU
19)BEIT HANINA
20)BEIT HANINA AL BALAD
21)BEIT IJZA
22)BEIT IKSA
23)BEIT SAFAFA
24)BEIT SURIK
25)BIDDU
26)BIR NABALA
27)HIZMA
28)JABA'
29)JABA' [TAJAMMU' BADAWI]
30)JABAL AL MUKABBIR
31)JERUSALEM [AL QUDS]
32)KAFR 'AQAB
33)KHARAYIB UMM AL LAHIM
34)MIKHMAS
35)QALANDIYA
36)QALANDIYA CAMP
37)QATANNA
38)RAFAT
39)SHARAFAT
40)SHU'FAT
41)SHU'FAT CAMP
42)SILWAN
43)SUR BAHIR
44)UMM TUBA
45)DON'T KNOW
46)REFUSED </t>
  </si>
  <si>
    <t>حالياً، في أي  تجمع سكاني [قرية/بلدة/مدينة] تقيم أسرتك؟
[المشغل: استجابة واحدة.]
1)عرب الجهالين
2)ابو ديس
3)العيزرية
4)العيسوية
5)الجيب
6)الجديرة
7)الكعابنة [تجمع البدوي]
8)القبيبة
9)النبي صموئيل
10)عناتا
11)الرام وضاحية البريد
12)السواحرة الغربية
13)السواحرة الشرقية
14)الشيخ سعد
15)الثوري
16)الزعيّم
17)بيت عنان
18)بيت دقو
19)بيت حنينا
20)بيت حنينا البلد
21)بيت اجزا
22)بيت اكسا
23)بيت صفافا
24)بيت سوريك
25)بدو
26)بير نبالا
27)حزما
28)جبع
29)جبع [التجمع البدوي]
30)جبل المكبر
31)القدس
32)كفر عقب
33)خَرائِب أمُّ اللَحْمْ
34)مخماس
35)قلنديا
36)مخيم قلنديا
37)قطنة
38)رافات
39)شرفات
40)شعفاط
41)مخيم شعفاط
42)سلوان
43)صور باهر
44)أم توبا
45) لا أعرف
46) رفض الإجابة</t>
  </si>
  <si>
    <t>1-44 =  quotareached
45-46 = Ineligible</t>
  </si>
  <si>
    <t>hh_admin2_9</t>
  </si>
  <si>
    <t xml:space="preserve">Currently, in which locality [village/town/city] does your household reside?
[OPERATOR: SINGLE RESPONSE.]
1) 'ARAB ABU FARDA
2) 'ARAB AR RAMADIN AL JANUBI
3) 'ARAB AR RAMADIN ASH SHAMALI
4) 'ISLA
5) 'IZBAT AL ASHQAR
6) 'IZBAT AT TABIB
7) 'IZBAT JAL'UD
8)AD DAB'A
9)AL FUNDUQ
10)AL MUDAWWAR
11)AN NABI ELYAS
12)ARAB AL-KHOULEH
13)'AZZUN
14)'AZZUN 'ATMA
15)BAQAT AL HATAB
16)BEIT AMIN
17)FALAMYA
18)FAR'ATA
19)HABLA
20)HAJJA
21)IMMATIN
22)'IZBAT SALMAN
23)JAYYUS
24)JINSAFUT
25)JIT
26)KAFR LAQIF
27)KAFR QADDUM
28)KAFR THULTH
29)KHIRBET SIR
30)QALQILIYA
31)RAS AT TIRA
32)RAS 'ATIYA
33)SANNIRIYA
34)WADI AR RASHA
35)DON'T KNOW
36)REFUSED </t>
  </si>
  <si>
    <t>حالياً، في أي  تجمع سكاني [قرية/بلدة/مدينة] تقيم أسرتك؟
[المشغل: استجابة واحدة.]
1)عرب أبو فردة
2)عَرَب الرَماضِين الجَنُوبي
3)عرب الرماضين الشّمالي
4)عسلة
5)عزبة الأشقر
6)عزبة الطبيب
7)عِزْبَة جَالود
8)الضبعة
9)الفندق
10)المدوّر
11)النبي الياس
12)عرب الخولي
13)عزون
14)عزون عتمة
15)باقة الحطب
16)بيت أمين
17)فلامية
18)فرعتا
19)حبلة
20)حجة
21)إيماتين
22)عزبة سلمان
23)جيوس
24)جينسافوط
25)جيت
26)كفر لاقف
27)كفر قدوم
28)كفر ثلث
29)خربة صير
30)قلقيلية
31)راس الطيرة
32)رأس عطية
33)سنيريا
34)وادي الرشا
35) لا أعرف
36) رفض الإجابة</t>
  </si>
  <si>
    <t>1-34 =  quotareached
35-36 = Ineligible</t>
  </si>
  <si>
    <t>hh_admin2_10</t>
  </si>
  <si>
    <t xml:space="preserve">Currently, in which locality [village/town/city] does your household reside?
[OPERATOR: SINGLE RESPONSE.]
1)A’QQABA
2)AL A’QABA
3)AL FARISIYA
4)AL HADIDIYA
5)AL MALIH
6)BARDALA
7)'EIN EL BEIDA
8)EL FARA’A CAMP
9)IBZIQ
10)KARDALA
11)KHIRBET A’TUF
12)RAS AL FAR'A
13)SALHAB
14)TAMMUN
15)TAYASIR
16)TUBAS
17)WADI AL FARA’A
18)DON'T KNOW
19)REFUSED </t>
  </si>
  <si>
    <t>حالياً، في أي  تجمع سكاني [قرية/بلدة/مدينة] تقيم أسرتك؟
[المشغل: استجابة واحدة.]
1) العقبة
2) العقبة
3) الفارسية
4) الحديدية
5) المالح
6)بردلة
7) عين البيضاء
8) مخيم الفارعة
9) إبزيق
10) كردلة
11) خربة عاطوف
12) رأس الفارعة
13) سلحب
14) طمّون
15) تياسير
16) طوباس
17) وادي الافرعة
18) لا أعرف
19) رفض الإجابة</t>
  </si>
  <si>
    <t>1-17 =  quotareached
18-19 = Ineligible</t>
  </si>
  <si>
    <t>hh_admin2_11</t>
  </si>
  <si>
    <t xml:space="preserve">Currently, in which locality [village/town/city] does your household reside?
[OPERATOR: SINGLE RESPONSE.]
1) 'AKKABA
2)AL HAFFASI
3)AL JARUSHIYA
4)AL MASQUFA
5)AN NAZLA AL GHARBIYA
6)AN NAZLA AL WUSTA
7)AN NAZLA ASH SHARQIYA
8)ANABTA 
9)AR RAS
10)'ATTIL
11)BAL'A
12)BAQA ASH SHARQIYA 
13)BEIT LID
14)DEIR AL GHUSUN
15)FAR'UN
16)IKTABA
17)'ILLAR
18)KAFA
19)KAFR 'ABBUSH
20)KAFR AL LABAD 
21)KAFR JAMMAL
22)KAFR SUR
23)KAFR ZIBAD
24)KHIRBET JUBARA
25)KUR
26)NAZLAT 'ISA
27)NUR SHAMS CAMP
28)QAFFIN
29)RAMIN
30)SAFFARIN
31)SEIDA
32)SHUFA
33)TULKARM CAMP
34)TULKARM 
35)ZEITA
36)DON'T KNOW
37)REFUSED </t>
  </si>
  <si>
    <t>حالياً، في أي  تجمع سكاني [قرية/بلدة/مدينة] تقيم أسرتك؟
[المشغل: استجابة واحدة.]
1)العقبة
2)الحفاصي
3)الجاروشية
4)المسقوفة
5)النزلة الغربية
6)النزلة الوسطى
7)النزلة الشرقية
8)عنبتا
9)الراس
10)عتيل
11)بلعة
12)باقة الشرقية
13)بيت ليد
14)دير الغصون
15)فرعون
16)إكتابا
17)عيلار
18)كفا
19)كفر عبوش
20)كفر اللبد
21)كفر جمال
22)كفر صور
23)كفر زيباد
24)خربة جبارة
25)كور
26)نزلة عيسى
27)مخيم نور شمس
28)قفين
29)رامين
30)سفارين
31)صيدا
32)شوفة
33)مخيم طولكرم
34)طولكرم
35)زيتا
36) لا أعرف
37) رفض الإجابة</t>
  </si>
  <si>
    <t>1-35 =  quotareached
36-37 = Ineligible</t>
  </si>
  <si>
    <t>quotareached</t>
  </si>
  <si>
    <t>[OPERATOR: DO NOT READ. ANSWER QUESTION BELOW.]
THIS RESPONDENT REPORTED THEY LIVE IN:
{ADM1}
{ADM2}
1)THE GOAL FOR THIS LOCATION HAS BEEN ACHIEVED - END SURVEY
2)THE GOAL FOR THIS LOCATION IS OPEN - CONTINUE SURVEY</t>
  </si>
  <si>
    <t>[المُشغل: لا تقرأ. أجب على السؤال أدناه.]
أبلغ هذا المجيب أنه يعيش في:
{ADM1}
{ADM2}
1) تم تحقيق الهدف لهذا الموقع - إنه الاستبيان
2) لا يزال يتعين تحقيق الهدف لهذا الموقع - تابع الاستبيان</t>
  </si>
  <si>
    <t>1 = End Poll Quota Reached
2 = o_hh_area</t>
  </si>
  <si>
    <t>o_hh_area</t>
  </si>
  <si>
    <t>In which area are you located?
[OPERATOR: READ OUT THE OPTIONS. SINGLE RESPONSE.]
1)Area A / B
2)Area C
3)DON'T KNOW
4)REFUSED</t>
  </si>
  <si>
    <t xml:space="preserve">ما هو تصنيف المنطقعه التي تسكن فيها؟
[المُشغل: اقرأ خيارات الإجابة. استجابة واحدة.]
1) مناطق ألف أو مناطق باء 
2)مناطق ج
3)لا أعلم 
4)رفض الإجاب’ </t>
  </si>
  <si>
    <t>1-4 = hh_agricactivity</t>
  </si>
  <si>
    <t>hh_agricactivity</t>
  </si>
  <si>
    <t>Has anybody in your household produced crops or livestock for household consumption or for sale in the past 12 months, including household members currently away for transhumance?
[OPERATOR: SINGLE RESPONSE. THIS IS THE MAIN SCREENING QUESTION.]
[HINT FOR PROBING: Do you cultivate any plants to sale or consume? Do you raise any animals with the intent of selling or consuming them or their products like meat, milk, wool or leather? Is one of your household member currently away with cattle or other animals for transhumance?]
1)Yes - crop production
2)Yes - livestock production
3)Yes - both crop and livestock production
4)No
5)DON'T KNOW
6)REFUSED</t>
  </si>
  <si>
    <t>هل قام أي شخص في أسرتك بإنتاج المحاصيل أو تربية الماشية للاستهلاك المنزلي أو للبيع خلال الاثني عشر شهرًا الماضية ، بما في ذلك أفراد الأسرة الغير موجودين بغرض التنقل الرعوي؟
[المشغل: استجابة واحدة. هذا هو سؤال الفرز الرئيسي.]
[ملحوظة للتحقيق: هل قمت بزراعة أي نباتات للبيع أو الاستهلاك ؟ هل قمت بتربية أي حيوانات بنية البيع أو الاستهلاك أو انتاج منتجات مثل اللحوم و الالبان و الصوف و الجلد ؟ هل أي فرد من أفراد أسرتك حاليا بعيدًا عن الأسرة مع الماشية أو حيوانات أخري بغرض التنقل الرعوي ؟]
1) نعم - إنتاج المحاصيل
2) نعم - إنتاج الماشية
3) نعم - كل من إنتاج المحاصيل والماشية
4) لا
5) لا أعرف
6) رفض الإجابة</t>
  </si>
  <si>
    <t>1-4 = resp_id
5-6 = Ineligible</t>
  </si>
  <si>
    <t xml:space="preserve">GeoPoll [4/11/2024]. Updated skip patterns to make any "no" responses eligible as advised. </t>
  </si>
  <si>
    <t>"No" responses are still eligible. These respondents should be asked all sections aside from Crop/Livestock modules.</t>
  </si>
  <si>
    <t xml:space="preserve">if hh_agricactivity = 1-4, go to resp_id or hh_fish. Otherwise, the respondent is ineligible. </t>
  </si>
  <si>
    <t xml:space="preserve">if hh_agricactivity = 1-4, go to resp_id. Otherwise, the respondent is ineligible. </t>
  </si>
  <si>
    <t>B. GENERAL HOUSEHOLD INFORMATION</t>
  </si>
  <si>
    <t>resp_id</t>
  </si>
  <si>
    <t>Are you the head of household? 
[OPERATOR: SINGLE RESPONSE.]
1)YES
2)NO
3)DON'T KNOW
4)REFUSED</t>
  </si>
  <si>
    <t>هل أنت رب الأسرة ؟
[المشغل: استجابة واحدة.]
1) نعم
2) لا
3) لا أعرف
4) رفض الإجابة</t>
  </si>
  <si>
    <t>1 = hh_education 
2-4 = hh_gender</t>
  </si>
  <si>
    <t>if resp_id = 1, go to hh_education. 
Otherwise, go to hh_gender.</t>
  </si>
  <si>
    <t>hh_gender</t>
  </si>
  <si>
    <t>Is the head of your household male or female?
[OPERATOR: SINGLE RESPONSE.]
1)Male 
2)Female
3)DON'T KNOW
4)REFUSED</t>
  </si>
  <si>
    <t>هل رب أسرتك ذكر أم أنثى؟
[المشغل: استجابة واحدة.]
1) ذكر
2) أنثى
3) لا أعرف
4) رفض الإجابة</t>
  </si>
  <si>
    <t>1-4 = hh_education</t>
  </si>
  <si>
    <t>if hh_gender = 1-4, go to hh_education.</t>
  </si>
  <si>
    <t>hh_education</t>
  </si>
  <si>
    <t>What is the educational level attained by the head of household?
[OPERATOR: SINGLE RESPONSE.]
1)None or did not complete primary school
2)Completed primary school
3)Completed secondary school
4)Completed higher education [University / College] degree
5)Religious or informal education only
6)DON'T KNOW
7)REFUSED</t>
  </si>
  <si>
    <t>ما هو المستوى التعليمي الذي وصل إليه رب الأسرة؟
[المشغل: استجابة واحدة.]
1)لا شيء لم يكمل المرحلة الأساسية 
2) أكمل المرحلة الأساسية 
3) أكمل المرحلة الثانوية
4) أكمل درجة تعليم عالي [جامعة / كلية]
5) تربية دينية أو غير رسمية فقط
6) لا أعرف
7) رفض الإجابة</t>
  </si>
  <si>
    <t>1-7 = o_hh_wealth_water</t>
  </si>
  <si>
    <t>if hh_education = 1-7, go to hh_wealth.</t>
  </si>
  <si>
    <t>if hh_education = 1-7, go to o_hh_wealth_water</t>
  </si>
  <si>
    <t>o_hh_wealth_water</t>
  </si>
  <si>
    <t>hh_wealth_other</t>
  </si>
  <si>
    <t>What is the main source of water in the dwelling?
[OPERATOR: SINGLE RESPONSE.]
1)Local public network 
2)Isreali network   
3)Collected rain-water wells 
4)Spring 
5)Tanks 
6)Ground well 
7)Other [specify]</t>
  </si>
  <si>
    <t>ما هو المصدر الرئيسي للمياه في المنزل؟
[المشغل: استجابة واحدة.]
 1)شبكة مياه العامة المحلية
2)شبكة مياه عامة إسرائيليه [ميكوروت]
3)تجميع مياه الأمطار 
4)الينابيع 
5)تنكات المياه المشتراه
6)آبار جوفية
7)آخر [حدد]</t>
  </si>
  <si>
    <t>1-7 = o_hh_wealth_water_drinking</t>
  </si>
  <si>
    <t>o_hh_wealth_water_drinking</t>
  </si>
  <si>
    <t>What is the main source of drinking water in the dwelling?
[OPERATOR: SINGLE RESPONSE.]
1)Public water network connection
2)Protected ground well/spring
3)Unprotected ground well/spring
4)Rainwater harvesting
5)Water tanker
6)Bottled water 
7)Public tab water 
8)Other [specify]</t>
  </si>
  <si>
    <t>ما هو المصدر الرئيسي لمياه الشرب  في المنزل؟
[المشغل: استجابة واحدة.]
 1)شبكة المياه العامة
2)آبار المياه الجوفية أو الينابيع المحمية 
3)آبار المياه الجوفية أو الينابيع  غير محمية 
4)تجميع مياه الأمطار 
5)تنكات المياه المشتراه
6)مياه معبئة 
7)صنابير المياه العامة
8)آخر [حدد]</t>
  </si>
  <si>
    <t>1-8 = o_hh_wealth_electricity</t>
  </si>
  <si>
    <t>o_hh_wealth_electricity</t>
  </si>
  <si>
    <t>What is the main source of electricity in the dwelling?
[OPERATOR: SINGLE RESPONSE.]
1)Public network   
2)Private generator 
3)Private network 
4)Solar units  
5)Other [specify]
6)None</t>
  </si>
  <si>
    <t>ما هو المصدر الرئيسي للكهرباء في المنزل؟
[المشغل: استجابة واحدة.]
1)الشبكة العامة
2)مولد خاص 
3)شبكة خاصة
4)وحدات الطاقة الشمسية
5)آخر [حدد]
6)لا شيء</t>
  </si>
  <si>
    <t>1-6 = o_hh_wealth_toilet</t>
  </si>
  <si>
    <t>o_hh_wealth_toilet</t>
  </si>
  <si>
    <t>Does the household unit include a toilet?
[OPERATOR: SINGLE RESPONSE.]
1)Yes - toilet with piped water
2)Yes - toilet without piped water
3)No toilet
4)Other [specify]</t>
  </si>
  <si>
    <t>هل يوجد حمام [مرحاض] في الوحدة السكنية؟
[المشغل: استجابة واحدة.]
1)نعم، مرحاض موصول بالمياه 
2)نعم، مرحاض غير موصول بالمياه
3)لا يوجد مرحاض
4)آخر [حدد]</t>
  </si>
  <si>
    <t>1-4 = hh_size</t>
  </si>
  <si>
    <t>hh_size</t>
  </si>
  <si>
    <t>How many people are part of the household?
[OPERATOR: RECORD NUMBER OF MEMBERS IN HOUSEHOLD. ENTER 88 FOR DON'T KNOW &amp; 99 FOR REFUSED.]
[HINT: TO BE A PART OF THE SAME HOUSEHOLD, MEMBERS MUST LIVE UNDER THE SAME ROOF, SHARE THE SAME RESOURCES &amp; EAT FROM THE SAME POT.]</t>
  </si>
  <si>
    <t>كم عدد الأشخاص الذين هم جزء من الأسرة؟
[المُشغل: سجل عدد أعضاء الأسرة. أدخل 88 للا أعرف و 99 في حالة الرفض.]
[ملحوظة: لكي يكونوا جزءًا من نفس الأسرة، يجب أن يكون جميع الاعضاء يعيشون تحت سقف منزل واحد، و يتشاركون نفس الموارد و يأكلون من نفس القدر]</t>
  </si>
  <si>
    <t>1-50 = hh_maritalstat
88-88 = hh_maritalstat
99-99 = hh_maritalstat</t>
  </si>
  <si>
    <t>For any response, go to [next question]</t>
  </si>
  <si>
    <t>hh_maritalstat</t>
  </si>
  <si>
    <t xml:space="preserve">What is the head of household’s current marital status? 
[OPERATOR: SINGLE RESPONSE.]
1)Single / never married 
2)Married
3)Separated
4)Divorced
5)Widowed
6)DON’T KNOW
7)REFUSED </t>
  </si>
  <si>
    <t>ما هي الحالة الاجتماعية الحالية لرب الأسرة؟
[المشغل: استجابة واحدة.]
1) أعزب / لم يتزوج قط
2) متزوج
3) منفصل
4) مطلق
5) أرمل
6) لا أعرف
7) رفض الإجابة</t>
  </si>
  <si>
    <t>1-7 = hh_age</t>
  </si>
  <si>
    <t>hh_age</t>
  </si>
  <si>
    <t>How old is the head of household? 
[OPERATOR: SINGLE RESPONSE.]
1)Under 18
2)18 to 40 
3)41 to 65 
4)Over 65
5)DON'T KNOW
6)REFUSED</t>
  </si>
  <si>
    <t>كم عمر رب الاسرة؟
[المشغل: استجابة واحدة.]
1) أقل من 18 عامًا
2) بين 18 و 40 عامًا
3) بين 41 و 65 عامًا
4) فوق 65 عامًا
5) لا أعرف
6) رفض الإجابة</t>
  </si>
  <si>
    <t>Send if "resp_id" "NotEqual" "YES" if not satisfied go to "income_main"</t>
  </si>
  <si>
    <t>1-6 = income_main</t>
  </si>
  <si>
    <t>GeoPoll [3/18/2024]. : Added a conditional logic here so that this question is not asked if the respondent is the head of household (resp_id), the hh age is already captured in resp_age.</t>
  </si>
  <si>
    <t>OK, thank you</t>
  </si>
  <si>
    <t>C. INCOME SOURCES, LIVELIHOOD AND SHOCKS</t>
  </si>
  <si>
    <t>income_main</t>
  </si>
  <si>
    <t>What was your household's main source of income in the past 3 months?
[OPERATOR: SINGLE RESPONSE. REFUSED OPTION SHOULD BE AVOIDED AS MUCH AS POSSIBLE.]
1)Production and sale of staple crops
2)Production and sale of vegetables or fruit
3)Production and sale of cashcrops
4)Production and sale of livestock or livestock products
5)Production and sale of honey or bee products
6)Production and sale of fish or aquatic products
7)Collection and sale of forestry or bush products
8)Agricultural trade EXCLUDING producers [formal or informal]
9)Daily wage on farms and other casual employment in agricultural sector
10)Stable employment in agricultural sector
11)Non-agricultural self-employed or liberal profession / doctor / architect / lawyer / including restaurant
12)Off-farm daily wages and other non-agricultural casual employment
13)Stable employment in non-agricultural sector
14)Public employment
15)Income not derived from work / Charity
16)Income not derived from work / Welfare transfer/ pension/ humanitarian aid
17)Income not derived from work / Remittances
18)Income not derived from work / Income from other rents
19)No income source in the last 3 months and used exclusively savings / debt
20)REFUSED</t>
  </si>
  <si>
    <t>ما كان مصدر الدخل الرئيسي لأسرتك في الأشهر الثلاثة الماضية؟
[المشغل: استجابة واحدة. يجب تجنب الخيار "رفض الإجابة" قدر الإمكان.]
1) إنتاج وبيع المحاصيل الأساسية
2) إنتاج وبيع الخضار أو الفاكهة
3) إنتاج وبيع المحاصيل النقدية
4) تربية الثروة الحيوانية وانتاج وبيع منتجاتها
5) انتاج و بيع العسل أو منتجات النحل 
6) إنتاج وبيع الأسماك أو منتجات المنتجات المائية
7) جمع وبيع منتجات الغابات أو الأحراش
8) التجارة الزراعية الرسمية و غير الرسمية باستثناء المنتجين
9) الأجر اليومي في المزارع وغيرها من العمالة العرضية في قطاع الزراعة
10) العمالة المستقرة في القطاع الزراعي
11) العاملين لحسابهم الخاص غير الزراعيين أو المهنة الحرة / طبيب / مهندس معماري / محامٍ / بما في ذلك مطعم
12) الأجور اليومية خارج المزرعة وغيرها من العمالة العرضية غير الزراعية
13) العمالة المستقرة في القطاع غير الزراعي
14) الوظائف العامة
15) الدخل غير المستمد من العمل / الاعمال الخيرية 
16) الدخل غير المستمد من العمل / المدفوعات التحويلية ، المعاش التقاعدي ، المساعدات الإنسانية
17) الدخل غير المستمد من العمل / التحويلات
18) الدخل غير المستمد من العمل / الدخل من الإيجارات الأخرى
19) لم يكن هناك مصدر دخل خلال الأشهر الثلاثة الماضية واستخدمت المدخرات أو الدين حصريًا
20) رفض الإجابة</t>
  </si>
  <si>
    <t>Form Type - Buttons
IsDemographic - income_main</t>
  </si>
  <si>
    <t>1-18 = income_main_amount
19-20 = shock</t>
  </si>
  <si>
    <t>if options #1-3 selected go to income_main_crop_check 
if options #4 selected go to income_main_ls_check 
if options #6 selected go to income_main_fish_check
if options #5, 7-18 selected, go to [income_main_comp OR optional question] 
if options #19-20 selected, go to shock</t>
  </si>
  <si>
    <t>if options #1-14, 16-19 selected, go to income_main_amount
if options #15 selected, go to o_income_main_previous
if options #20-21 selected, go to shock</t>
  </si>
  <si>
    <t>income_main_amount</t>
  </si>
  <si>
    <t>How much was earned [in NIS] from your main income source, {income_main}, in the past 3 months ?
[OPERATOR: MAKE SURE THE INFORMATION IS RECORDED IN THE CORRECT CURRENCY. ENTER 8888888 FOR DON'T KNOW AND 9999999 FOR REFUSED.]</t>
  </si>
  <si>
    <t>ما المبلغ الذي كسبته أسرتك [بالعملة شيكل] من مصدر دخلها الرئيسي ، {income_main} ، في الأشهر الثلاثة الماضية؟
[المُشغل: تأكد من تسجيل المعلومات بالعملة الصحيحة. أدخل 8888888 للا أعرف و 9999999 في حالة الرفض.]</t>
  </si>
  <si>
    <t>Form Type - TextBox
IsDemographic - income_main_amount</t>
  </si>
  <si>
    <t>300 - 4000 = income_main_gender
4001 - 1500000 = income_main_amount_conf
8888888-8888888 = income_main_gender
9999999-9999999 = income_main_gender</t>
  </si>
  <si>
    <t xml:space="preserve">GeoPoll [3/18/2024]. Kindly help confirm the appropriate value constraints in column L. </t>
  </si>
  <si>
    <t>Confirmed, thanks</t>
  </si>
  <si>
    <t>If the income amount is over the threshold set in "Additional information", the respondent will be asked to confirm with income_main_amount_conf. Otherwise, go to income_main_comp or optional question.</t>
  </si>
  <si>
    <t>If the income amount is over the threshold set in "Additional information", the respondent will be asked to confirm with income_main_amount_conf. Otherwise, go to income_main_gender</t>
  </si>
  <si>
    <t>income_main_amount_conf</t>
  </si>
  <si>
    <t>Can you confirm the amount of income you just stated of {income_main_amount} NIS is correct?
[OPERATOR: IF THE AMOUNT EARNED FROM THIS INCOME SOURCE OVER THE PAST 3 MONTH IS INDEED OVER 4000 NIS, CLICK ON CONTINUE. OTHERWISE, GO BACK AND CHANGE THE AMOUNT ENTERED.]
1)CONTINUE</t>
  </si>
  <si>
    <t>هل يمكنك تأكيد مبلغ  الدخل {income_main_amount} [بالعملة شيكل] الذي ذكرته للتو؟
[المُشغل: إذا كان المبلغ المكتسب من مصدر الدخل هذا خلال الأشهر الثلاثة الماضية أكثر من 4000 شيكل ، انقر على "تابع". بخلاف ذلك ، الرجاء الرجوع وتغيير المبلغ الذي تم إدخاله.]
1) تابع</t>
  </si>
  <si>
    <t>1 = income_main_gender</t>
  </si>
  <si>
    <t xml:space="preserve">GeoPoll [3/18/2024]. Added additional text in English so the question will directly reference the value provided at income_main_amount. If in agreement, kindly support with the translations.
</t>
  </si>
  <si>
    <t>Ok for the English text.
FAOPAL - kindly provide translation</t>
  </si>
  <si>
    <t>if income_main_amount_conf = 1, go to income_main_comp or optional question</t>
  </si>
  <si>
    <t>if income_main_amount_conf = 1, go to income_main_gender</t>
  </si>
  <si>
    <t>income_main_gender</t>
  </si>
  <si>
    <t>What is the gender of the household member[s] generating income from this source? 
[OPERATOR: SINGLE RESPONSE.]
1)Male
2)Female
3)Joint [both male &amp; female]
4)DON'T KNOW
5)REFUSED</t>
  </si>
  <si>
    <t>ما هو جنس الفرد ( الأفراد ) داخل الاسرة الذين يحصلون علي الدخل من هذا المصدر ؟ 
[المشغل: استجابة واحدة.]
1)ذكر
2)أنثى 
3)مختلط [ ذكر و أنثى ]
4)لا أعرف
5)رفض الإجابة</t>
  </si>
  <si>
    <t>1-5 = income_main_control</t>
  </si>
  <si>
    <t>if income_main_gender = 1-5, go to income_main_comp or optional question</t>
  </si>
  <si>
    <t>if income_main_gender = 1-5, go to income_main_control</t>
  </si>
  <si>
    <t>income_main_control</t>
  </si>
  <si>
    <t>Who controls the revenue that is earned from this source? 
[OPERATOR: SINGLE RESPONSE.]
1)Male household member[s]
2)Female household member[s]
3)Joint household members [both female &amp; male]
4)DON'T KNOW
5)REFUSED</t>
  </si>
  <si>
    <t xml:space="preserve">
من المتحكم فى الدخل الذي تكسبه الاسرة من هذا المصدر ؟
[المشغل: استجابة واحدة.]
1)الافراد الذكور
2)الافراد الاناث
3)كلا من الذكور و الاناث
4)لا أعرف
5)رفض الإجابة</t>
  </si>
  <si>
    <t>1-5 = income_main_comp</t>
  </si>
  <si>
    <t>if income_main_control = 1-5, go to income_main_comp</t>
  </si>
  <si>
    <t>income_main_comp</t>
  </si>
  <si>
    <t>Has your household's income from {income_main} changed in the last 3 months compared to the same period of a normal year?
[OPERATOR: SINGLE RESPONSE.]
1)A lot more [increased by more than 50%]
2)Slightly more
3)Same
4)Slightly less
5)A lot less [less than half as much]
6)DON'T KNOW
7)REFUSED</t>
  </si>
  <si>
    <t>هل تغير دخل أسرتك من {income_main} في الأشهر الثلاثة الماضية مقارنة بنفس الفترة من العام العادي؟
[المشغل: استجابة واحدة.]
1)أكثر بكثير [زاد بنسبة تزيد عن 50٪]
2)أكثر قليلا
3)نفس الشيء
4)أقل قليلاً
5)أقل بكثير [أقل من نصف الكمية]
6)لا أعرف
7)رفض الإجابة</t>
  </si>
  <si>
    <t>1-7= o_income_other</t>
  </si>
  <si>
    <t>if income_main_comp = 1-7, go to income_sec</t>
  </si>
  <si>
    <t>if income_main_comp = 1-7, go to o_income_other</t>
  </si>
  <si>
    <t>o_income_other</t>
  </si>
  <si>
    <t>o_income_other
1) o_income_ag_prod_staple_crp
2) o_income_ag_prod_veg_fruit
3) o_income_ag_prod_cash_crp
4) o_income_ag_prod_livestock
5) o_income_ag_prod_bee
6) o_income_ag_prod_aquatic
7) o_income_ag_prod_forestry
8) o_income_ag_trade_nonprod
9) o_income_ag_dailywage
10) o_income_ag_stable_employ
11) o_income_nonag_selfemploy
12) o_income_nonag_dailywage
13) o_income_nonag_stable_employ
14) o_income_nonag_public_employ
15) o_income_israel_settlemt
15) o_income_charity
16) o_income_welfare
17) o_income_remittances
18) o_income_rents
19) o_income_no_other
20) o_income_dk
21) o_income_ref</t>
  </si>
  <si>
    <t>Does your household have any other sources of income in the past 3 months?
[OPERATOR: MULTIPLE RESPONSES POSSIBLE. DON'T KNOW AND REFUSED OPTIONS SHOULD BE AVOIDED AS MUCH AS POSSIBLE.]
1)Production and sale of staple crops
2)Production and sale of vegetables or fruit
3)Production and sale of cashcrops
4)Production and sale of livestock or livestock products
5)Production and sale of honey or bee products
6)Production and sale of fish or aquatic products
7)Collection and sale of forestry or bush products
8)Agricultural trade EXCLUDING producers [formal or informal]
9)Daily wage on farms and other casual employment in agricultural sector
10)Stable employment in agricultural sector
11)Non-agricultural self-employed or liberal profession / doctor / architect / lawyer / including restaurant
12)Off-farm daily wages and other non-agricultural casual employment
13)Stable employment in non-agricultural sector
14)Public employment
15)Income not derived from work / Charity
16)Income not derived from work / Welfare transfer/ pension/ humanitarian aid
17)Income not derived from work / Remittances from family members or relatives
18)Income not derived from work / Income from other rents
19)No other source of income
20)DON'T KNOW
21)REFUSED</t>
  </si>
  <si>
    <t>ما هي مصار الدخل الأخرى المتوفرة للأسرة، أختار كل مصادر الدخل ألأخرى
[المشغل: استجابة واحدة. يجب تجنب خيارات الإجابة "لا أعرف" و "رفض الإجابة" قدر الإمكان.]
1)إنتاج وبيع المحاصيل الأساسية
2)إنتاج وبيع الخضار أو الفاكهة
3)إنتاج وبيع المحاصيل النقدية
4)تربية وبيع الثروة الحيوانية ومنتجاتها 
5)انتاج و بيع العسل أو منتجات النحل 
6)إنتاج وبيع الأسماك أو منتجات المنتجات المائية
7)جمع وبيع منتجات الغابات أو الأحراش
8)التجارة الزراعية الرسمية و غير الرسمية باستثناء المنتجين
9)الأجر اليومي في المزارع وغيرها من العمالة العرضية في قطاع الزراعة
10)العمالة المستقرة في القطاع الزراعي
11)العاملين لحسابهم الخاص غير الزراعيين أو المهنة الحرة / طبيب / مهندس معماري / محامٍ / بما في ذلك مطعم
12)الأجور اليومية خارج المزرعة وغيرها من العمالة العرضية غير الزراعية
13)العمالة المستقرة في القطاع غير الزراعي
14)الوظائف العامة
15)الدخل غير المستمد من العمل / الاعمال الخيرية 
16)الدخل غير المستمد من العمل / المدفوعات التحويلية ، المعاش التقاعدي ، المساعدات الإنسانية
17)الدخل غير المستمد من العمل/التحويات من أفراد الأسرة والأقارب 
18)الدخل غير المستمد من العمل / الدخل من الإيجارات الأخرى
19)لم يكن هناك مصدر دخل ثانٍ
20)لا أعرف
21)رفض الإجابة</t>
  </si>
  <si>
    <t>Select All That Apply</t>
  </si>
  <si>
    <t>Form Type - Checklist
exclude selected "income_main"
19,20,21 = IsNone</t>
  </si>
  <si>
    <t>1-18 = o_income_tot_amount
19-21 = o_income_before</t>
  </si>
  <si>
    <t>1)o_income_ag_prod_staple_crp
2)o_income_ag_prod_veg_fruit
3)o_income_ag_prod_cash_crp
4)o_income_ag_prod_livestock
5)o_income_ag_prod_bee
6)o_income_ag_prod_aquatic
7)o_income_ag_prod_forestry
8)o_income_ag_trade_nonprod
9)o_income_ag_dailywage
10)o_income_ag_stable_employ
11)o_income_nonag_selfemploy
12)o_income_nonag_dailywage
13)o_income_nonag_stable_employ
14)o_income_nonag_public_employ
15)o_income_israel_settlemt
15)o_income_charity
16)o_income_welfare
17)o_income_remittances
18)o_income_rents
19)o_income_no_other
20)o_income_dk
21)o_income_ref</t>
  </si>
  <si>
    <t>GeoPoll [3/18/2024].  Added a filter here to filter out the answer selected at income_main.</t>
  </si>
  <si>
    <t>OK thanks</t>
  </si>
  <si>
    <t>if options #1-3 selected, go to income_sec_crop_check
if options #4 selected, go to income_sec_ls_check
if options #6 selected, go to income_sec_fish_check 
if options #5, 7-18 selected, go to [income_sec_comp OR optional question]
if options #19-21 selected, go to shock</t>
  </si>
  <si>
    <t>if options #1-14, 16-19 selected, go to o_income_tot_amount
if options #15 selected, go to o_income_other_previous
if options #20-22 selected, go to shock</t>
  </si>
  <si>
    <t>o_income_tot_amount</t>
  </si>
  <si>
    <t>How much was earned [in NIS] in total by your household in the past 3 months ?
Include total income from all sources including the main income {income_main}.
[OPERATOR: MAKE SURE THE INFORMATION IS RECORDED IN THE CORRECT CURRENCY AND THAT IT INCLUDES THE INCOME FROM THE MAIN INCOME SOURCE. INCOME SHOULD NOT BE LESS THAN {income_main_amount} NIS (THE VALUE REPORTED AS EARNED IN THE PAST 3 MONTHS FOR THE MAIN INCOME SOURCE).  ENTER 8888888 FOR DON'T KNOW AND 9999999 FOR REFUSED.]</t>
  </si>
  <si>
    <t>ما مجموع المبلغ الذي كسبته أسرتك (بالعملة شيكل) من كل مصادر الدخل المتاحة للأسره والتي تم ذكرها سابقا بما في ذلك مصدر الدخل الرئيس  {income_main} ، في الأشهر الثلاثة الماضية؟
[المُشغل: تأكد من تسجيل المعلومات بالعملة الصحيحة.الدخل لا ينبغي أن يقل عن {income_main_amount} شيكل (القيمة المُبلغ عنها كدخل في الشهور الثلاثة الماضية للمصدر الرئيسي للدخل). أدخل 8888888 للا أعرف و 9999999 في حالة الرفض.]</t>
  </si>
  <si>
    <t>Form Type - TextBox
IsDemographic - o_income_tot_amount
Validation Rule: Answer to this question is VALID IF "income_main_amount" "LesserThanOrEqual" "CurrentAnswer"
Unmatched Response [You have given an answer less than the amount earned from your main income source. Please provide the correct total amount earned by your household in the past 3 months]
ar_Arabic
[لقد قدمت إجابة أقل من المبلغ الذي كسبته من مصدر دخلك الرئيسي. يرجى تقديم المبلغ الإجمالي الصحيح الذي كسبته أسرتك خلال الأشهر الثلاثة الماضية]</t>
  </si>
  <si>
    <t>300 - 4000 = o_income_before
4001 - 1500000 = o_income_tot_amount_conf
8888888-8888888 = shock
9999999-9999999 = shock</t>
  </si>
  <si>
    <t>GeoPoll [3/18/2024]. Kindly help Review the Arabic translations to match English section and advise on the constraints established in column L. 
GeoPoll [4/11/2024]: Updated Arabic to align with English text Arabic referenced second source of income value. .
GeoPoll [17/4/2024]: Added the validation rule to ensure the amount entered  here is not less that in Q-"income_main_amount".</t>
  </si>
  <si>
    <t>Contraints are ok, thanks.
FAOPAL - kindly provide translations</t>
  </si>
  <si>
    <t>If the income amount is over the threshold set in "Additional information", the respondent will be asked to confirm with income_sec_amount_conf. Otherwise, go to income_sec_comp.</t>
  </si>
  <si>
    <t>If the income amount is over the threshold set in "Additional information", the respondent will be asked to confirm with income_sec_amount_conf. Otherwise, go to shock.</t>
  </si>
  <si>
    <t>o_income_tot_amount_conf</t>
  </si>
  <si>
    <t>Can you confirm the amount of income you just stated of {o_income_tot_amount} NIS is correct?
[OPERATOR: IF THE AMOUNT EARNED FROM THIS INCOME SOURCE OVER THE PAST 3 MONTH IS INDEED OVER 4000 NIS, CLICK ON CONTINUE. OTHERWISE, GO BACK AND CHANGE THE AMOUNT ENTERED.]
1)CONTINUE</t>
  </si>
  <si>
    <t>هل يمكنك تأكيد مبلغ  الدخل {o_income_tot_amount} [بالعملة شيكل] الذي ذكرته للتو؟
[المُشغل: إذا كان المبلغ المكتسب من مصدر الدخل هذا خلال الأشهر الثلاثة الماضية أكثر من 4000 شيكل ، انقر على "تابع". بخلاف ذلك ، الرجاء الرجوع وتغيير المبلغ الذي تم إدخاله.]
1) تابع</t>
  </si>
  <si>
    <t>1 = o_income_before</t>
  </si>
  <si>
    <t>GeoPoll [3/18/2024]. Added additional text in English so the question will directly reference the value provided at o_income_tot_amount. If in agreement, kindly support with the translations.
GeoPoll [4/11/2024]: Updated arabic translation.</t>
  </si>
  <si>
    <t>if income_sec_amount_conf = 1, go to income_sec_comp</t>
  </si>
  <si>
    <t>if income_sec_amount_conf = 1, go to shock</t>
  </si>
  <si>
    <t>o_income_before</t>
  </si>
  <si>
    <t>In the 3 months before October 2023, were any household members earning an income from work in Israel or the settlements?
[OPERATOR: SINGLE RESPONSE.]
1)YES
2)NO
3)DON'T KNOW
4)REFUSED</t>
  </si>
  <si>
    <t>في الثلاثة أشهر التي سبقت أكتوبر 2023، هل كان أي من أفراد الأسرة يكسب دخلاً من العمل في إسرائيل أو المستوطنات؟
[المشغل: استجابة واحدة.]
1) نعم
2) لا
3) لا أعلم
4) رفض الإجابة</t>
  </si>
  <si>
    <t>1 = o_income_before_ag
2-4 = shock</t>
  </si>
  <si>
    <t>if o_income_before = 2 or 3 or 4, go to shock
if o_income_before = 1, go to o_income_before_ag</t>
  </si>
  <si>
    <t>o_income_before_ag</t>
  </si>
  <si>
    <t>Was this income earned from work related to agriculture (agricultural production, farm labour, etc), non-agricultural work, or both?  
[OPERATOR: SINGLE RESPONSE.]
1)Agricutlure-related work
2)Non Agricutlure-related work
3)Both agricultural and non-agricultural work
4)DON'T KNOW
5)REFUSED</t>
  </si>
  <si>
    <t>هل تم كسب هذا الدخل من العمل المتعلق بالزراعة (الإنتاج الزراعي، العمل في المزارع، إلخ)، أو العمل غير الزراعي، أو كلاهما؟
[المشغل: استجابة واحدة.]
1) العمل المتعلق بالزراعة
2) العمل غير المتعلق بالزراعة
3) كل من العمل الزراعي وغير الزراعي
4) لا أعلم
5) رفض الإجابة</t>
  </si>
  <si>
    <t>1-5 = o_income_before_lost</t>
  </si>
  <si>
    <t>for any response, go to o_income_before_lost</t>
  </si>
  <si>
    <t>o_income_before_lost</t>
  </si>
  <si>
    <t>Is this income source still available to the household now?
[OPERATOR: SINGLE RESPONSE.]
1)YES
2)NO
3)DON'T KNOW
4)REFUSED</t>
  </si>
  <si>
    <t>هل لا يزال مصدر الدخل هذا متاحًا للأسرة الآن؟
[المشغل: استجابة واحدة.]
1) نعم
2) لا
3) لا أعلم
4) رفض الإجابة</t>
  </si>
  <si>
    <t>1 = shock
2 = o_income_before_mitigate
3-4 = shock</t>
  </si>
  <si>
    <t>if o_income_before_lost = 1 or 3 or 4, go to shock
if o_income_before_lost = 2, go to o_income_before_mitigate</t>
  </si>
  <si>
    <t>o_income_before_mitigate</t>
  </si>
  <si>
    <t>For household members who were earning an income in Israel or the settlements before October 2023, have they since found other income-generating work?
[OPERATOR: SINGLE RESPONSE.]
1)Yes - found other income-generating work in agriculture
2)Yes - found other income-generating work NOT in agriculture
3)Yes - found other income-generating work in BOTH agriculture and non-agriculture
4)No
5)DON'T KNOW
6)REFUSED</t>
  </si>
  <si>
    <t xml:space="preserve">
بالنسبة لأفراد الأسرة الذين كانوا يكسبون دخلاً في إسرائيل أو المستوطنات قبل أكتوبر 2023، هل وجدوا منذ ذلك الحين أعمالًا أخرى مدرة للدخل؟
[المشغل: استجابة واحدة.]
1) نعم، وجدوا أعمالًا أخرى تدر دخلاً في الزراعة
2) نعم، وجدوا أعمالًا أخرى تدر دخلاً ليس في الزراعة
3) نعم، وجدوا أعمالًا أخرى تدر دخلاً في كل من الزراعة وغير الزراعة
4) لا
5) لا أعلم
6) رفض الإجابة</t>
  </si>
  <si>
    <t>1-3 = o_income_before_change
4-6 = shock</t>
  </si>
  <si>
    <t>if o_income_before_mitigate = 1 or 2 or 3, go to  o_income_before_change
Otherwise, go to shock</t>
  </si>
  <si>
    <t>o_income_before_change</t>
  </si>
  <si>
    <t xml:space="preserve">For those who found other income-generating work, how does the income earned compare to previous work in Israel and the settlements?
[OPERATOR: SINGLE RESPONSE.]
1)A lot more [increased by more than 50%]
2)Slightly more
3)Same 
4)Slightly less
5)A lot less [less than half as much]
6)DON'T KNOW
7)REFUSED
</t>
  </si>
  <si>
    <t xml:space="preserve">
بالنسبة لأولئك الذين وجدوا أعمالًا أخرى تدر دخلاً، كيف يقارن الدخل المكتسب مع العمل السابق في إسرائيل والمستوطنات؟
[المشغل: استجابة واحدة.]
1) أكثر بكثير [زاد بأكثر من 50%]
2) أكثر قليلاً
3) نفسه
4) أقل قليلاً
5) أقل بكثير [أقل من النصف]
6) لا أعلم
7) رفض الإجابة</t>
  </si>
  <si>
    <t>1-7 = shock</t>
  </si>
  <si>
    <t>for any response, go to shock</t>
  </si>
  <si>
    <t>shock</t>
  </si>
  <si>
    <t>shock_
1) shock_noshock
2) shock_sicknessordeathofhh
3) shock_lostemplorwork
4) shock_otherintrahhshock
5) shock_higherfoodprices
6) shock_higherfuelprices
7) shock_mvtrestrict
8) shock_othereconomicshock
9) shock_pestoutbreak
10) shock_plantdisease
11) shock_animaldisease
12) shock_napasture
13) shock_othercropandlivests
14) shock_coldtemporhail
15) shock_flood
16) shock_hurricane
17) shock_drought
18) shock_earthquake
19) shock_landslides
20) shock_firenatural
21) shock_othernathazard
22) shock_violenceinsecconf
23) shock_theftofprodassets
24) shock_firemanmade
25) shock_othermanmadehazard
26) shock_dk
27) shock_ref</t>
  </si>
  <si>
    <t>Has your household or community faced any particular disaster or crisis affecting your household's ability to raise an income and/or to produce food for self consumption in the last 3 months, and if so, which one[s]? 
[OPERATOR: SELECT RELEVANT SHOCKS EXPERIENCED BY THE HOUSEHOLD. MULTIPLE RESPONSES POSSIBLE. REFER TO ECONOMIC SHOCKS, CROP AND LIVESTOCK SHOCKS, INTRA-HOUSEHOLD SHOCK, NATURAL HAZARDS AND HUMAN-INDUCED HAZARDS.]
1)No shock
2)Sickness or accident or death of household member[s] [sickness of breadwinner / unusually high medical expenditure / funeral expenses / death of breadwinner]
3)Lost employment or working opportunities [not due to illness/accident]
4)Other intra-household shock
5)Unusually high food prices
6)Unusually high fuel prices or transport prices 
7)Population movement restrictions [e.g. due to epidemic or infrastructure damage]
8)Other economic shock 
9)Pest outbreak
10)Plant disease
11)Animal disease [affecting many animals] or death
12)Lack of physical access to pasture 
13)Other crop and livestock shock
14)Cold temperatures or hail
15)Flood / riverbank erosion
16)Hurricane / cyclone / tornado
17)Drought / heat stress
18)Earthquake
19)Landslides
20)Fire from natural disaster
21)Other natural hazard
22)Violence and insecurity / conflict
23)Theft of production assets [land / livestock / tools / etc]
24)Fire from human-induced disaster
25)Other human-induced hazard
26)DON'T KNOW
27)REFUSED</t>
  </si>
  <si>
    <t>هل واجهت أسرتك أو هل واجه مجتمعك أي كارثة أو أزمة أو صدمة معينة أثرت على قدرة أسرتك على إدرار الدخل و / أو إنتاج الغذاء للاستهلاك الذاتي في الأشهر الثلاثة الماضية ، وإذا كان الأمر كذلك ، فما كانت؟
[المُشغل: حدد الأزمات/الكوارث/الصدمات ذات الصلة التي اختبرتها الأسرة. استجابات متعددة ممكنة. راجع الصدمات الاقتصادية والصدمات التي تصيب المحصول والمواشي و داخل الأسرة والمخاطر الطبيعية والأخطار التي يسببها الإنسان.]
1)لا أزمات/كوارث/صدمات أو أنها لم تؤثر على الأسرة 
2) مرض أو حادث أو وفاة أحد أفراد الأسرة [مرض العائل / النفقات الطبية المرتفعة بشكل غير عادي / نفقات الجنازة / وفاة العائل]
3) فرص العمل أو العمل المفقودة [ليس بسبب مرض / حادث]
4) صدمة أخرى داخل الأسرة
5) أسعار المواد الغذائية أعلى بكثير من المعتاد
6) أسعار الوقود  أو أسعار النقل أعلى بكثير من المعتاد
7) القيود المفروضة على حركة السكان [على سبيل المثال بسبب الوباء أو تلف البنية التحتية]
8) صدمة اقتصادية أخرى
9) تفشي الآفات
10) أمراض نباتية
11)أمراض حيوانية تصيب العديد من الحيوانات أو تتسبب بموتها
12) عدم إمكانية الوصول للمراعي 
13) صدمة أخرى للمحاصيل والماشية
14)درجات الحرارة الباردة أو السقيع
15)  الفيضانات / تآكل ضفاف الأنهار
16) إعصار 
17) الجفاف / الإجهاد الحراري
18) زلزال
19) الانهيارات الارضية
20)حريق مسبب من كارثة طبيعية أو حدث عرضي آخر 
21) مخاطر طبيعية أخرى
22) العنف وانعدام الأمن / النزاع
23) سرقة أصول الإنتاج [الأرض / الماشية / الأدوات / إلخ]
24) حريق مسبب من كارثة من صنع الإنسان
25) مخاطر أخرى من صنع الإنسان
26) لا أعرف
27) رفض الإجابة</t>
  </si>
  <si>
    <t>Form Type - Checklist 
1,26,27 = IsNone</t>
  </si>
  <si>
    <t>1-27 = o_conflict_any</t>
  </si>
  <si>
    <t>1)shock_noshock
2)shock_sicknessordeathofhh
3)shock_lostemplorwork
4)shock_otherintrahhshock
5)shock_higherfoodprices
6)shock_higherfuelprices
7)shock_mvtrestrict
8)shock_othereconomicshock
9)shock_pestoutbreak
10)shock_plantdisease
11)shock_animaldisease
12)shock_napasture
13)shock_othercropandlivests
14)shock_coldtemporhail
15)shock_flood
16)shock_hurricane
17)shock_drought
18)shock_earthquake
19)shock_landslides
20)shock_firenatural
21)shock_othernathazard
22)shock_violenceinsecconf
23)shock_theftofprodassets
24)shock_firemanmade
25)shock_othermanmadehazard
26)shock_dk
27)shock_ref</t>
  </si>
  <si>
    <t>if shock = 1-27, go to [crp_intro or optional question]</t>
  </si>
  <si>
    <t>if shock = 1-27, go to o_conflict_any</t>
  </si>
  <si>
    <t>CONFLICT MODULE</t>
  </si>
  <si>
    <t>o_conflict_any</t>
  </si>
  <si>
    <t>Have you or anyone within your household been exposed to any form of insecurity or conflict since October 2023?
[OPERATOR: SINGLE RESPONSE.]
1)YES
2)NO
3)DON'T KNOW
4)REFUSED</t>
  </si>
  <si>
    <t>هل تعرضت أنت أو أي شخص ضمن أسرتك لأي نوع من أنواع عدم الأمان أو النزاع منذ أكتوبر 2023؟
[المشغل: استجابة واحدة.]
1) نعم
2) لا
3) لا أعلم
4) رفض الإجابة</t>
  </si>
  <si>
    <t>1 = o_conflict_type
2-4 = o_movement_any</t>
  </si>
  <si>
    <t>If  o_conflict_any = 1, go to o_conflict_type
If  o_conflict_any = 2 OR 3 OR 4,  go to o_movement_any</t>
  </si>
  <si>
    <t>o_conflict_type</t>
  </si>
  <si>
    <t>o_conflict_type
1)o_confl_type_land_agri
2)o_confl_type_criminality
3)o_confl_type_community_gp
4)o_confl_type_armed_conflict
5)o_confl_type_assistance
6)o_confl_type_other
7)o_confl_type_dk
8)o_confl_type_ref</t>
  </si>
  <si>
    <t>What types of insecurity has your household been affected by?
[OPERATOR: MULTIPLE RESPONSES POSSIBLE.]
1)Disputes or conflicts or attacks related to land/ water or pasture or agricultural assets/land
2)Criminality
3)Conflict between community groups
4)Armed conflict
5)Disputes or conflicts over assistance being provided
6)Other [specify]
7)DON'T KNOW
8)REFUSED</t>
  </si>
  <si>
    <t>ما أشكال عدم الأمان التي تأثرت بها أسرتك؟
[المشغل: ممكن عدة استجابات.]
1)النزاعات أو الصراعات أو الهجمات المتعلقة بالأرض أو الماء أو المراعي أو الأصول/الأراضي الزراعية [مصادرة أراضي، مصادرة ممتلكات، منع الوصول وقت الحصاد و الخلافات المتعلقة بالميراث وغيرها بغض النظر عن هوية الفاعل]
2)الإجرام [السرقة، القتل، الاعتداء على الأشخاص، تدمير الممتلكات بغض النظر عن هوية الفاعل] 
3) الصراع بين مجموعات داخل المجتمع [مثلا النزاع بين الأسر وغيرها]
4) النزاع المسلح
5) النزاعات أو الصراعات حول المساعدات المقدمة
6) أخرى [يرجى التحديد]
7) لا أعلم
8) رفض الإجابة</t>
  </si>
  <si>
    <t>Open Ended-Select All That Apply</t>
  </si>
  <si>
    <t>Form Type - Checklist 
7,8 = IsNone</t>
  </si>
  <si>
    <t>1-8 = o_conflict_agri</t>
  </si>
  <si>
    <t>1)o_confl_type_land_agri
2)o_confl_type_criminality
3)o_confl_type_community_gp
4)o_confl_type_armed_conflict
5)o_confl_type_assistance
6)o_confl_type_other
7)o_confl_type_dk
8)o_confl_type_ref</t>
  </si>
  <si>
    <t>if o_conflict_type = 1, go to o_conflict_agri
if o_conflict_type = 2-8, go to o_movement_any</t>
  </si>
  <si>
    <t>o_conflict_agri</t>
  </si>
  <si>
    <t>o_conflict_agri
1)o_confl_agri_land_occupied
2)o_confl_agri_land_damage
3)o_confl_agri_land_boundaries
4)o_confl_agri_nonfarm_occupied
5)o_confl_agri_water_hh_use
6)o_confl_agri_water_agri
7)o_confl_agri_livestock_confisc
8)o_confl_agri_other
9)o_confl_agri_dk
10)o_confl_agri_ref</t>
  </si>
  <si>
    <t xml:space="preserve">Which types of conflicts over land, water or pasture or agricultural assets has your household been affected by?
[OPERATOR: MULTIPLE RESPONSES POSSIBLE.]
1)Farming land/pasture/assets occupied/used by others 
2)Farming land/pasture/assets damaged or destroyed by others
3)Contested boundaries of farming land/pasture
4)Non-farming land/assets occupied/used by others
5)Conflict around water for household use
6)Conflict around water for agricultural use
7)Confiscation of livestock
8)Other [specify]
9)DON'T KNOW
10)REFUSED
</t>
  </si>
  <si>
    <t>ما أنواع النزاعات على الأرض أو الماء أو المراعي أو الأصول الزراعية التي تأثرت بها أسرتك؟
[المشغل: ممكن عدة استجابات.]
1) إنتزاع  أراضي زراعية /مراعي/أصول زراعية أو إستخدامها من قبل آخرين
2) تدمير أو إتلاف أرض زراعية /مراعي/أصول زراعية من قبل الآخرين
3) نزاع حول حدود أراضي زراعية/مراعي 
4) إنتزاع أراضي غير زراعية /أصول غير زراعية أو إستخددامها من قبل الآخرين
5) نزاع حول مصادر المياه للاستخدام المنزلي
6) نزاع حول مصادر المياه للاستخدام الزراعي
7) مصادرة الماشية
8) أخرى [يرجى التحديد]
9) لا أعلم
10) رفض الإجابة</t>
  </si>
  <si>
    <t>Send if "o_conflict_type" "Contains" "Disputes or conflicts or attacks related to land/ water or pasture or agricultural assets/land" if not satisfied go to "o_movement_any"</t>
  </si>
  <si>
    <t>Form Type - Checklist 
9,10 = IsNone</t>
  </si>
  <si>
    <t>1-10 = o_movement_any</t>
  </si>
  <si>
    <t>1)o_confl_agri_land_occupied
2)o_confl_agri_land_damage
3)o_confl_agri_land_boundaries
4)o_confl_agri_nonfarm_occupied
5)o_confl_agri_water_hh_use
6)o_confl_agri_water_agri
7)o_confl_agri_livestock_confisc
8)o_confl_agri_other
9)o_confl_agri_dk
10)o_confl_agri_ref</t>
  </si>
  <si>
    <t>for nay response, go to o_movement_any</t>
  </si>
  <si>
    <t>o_movement_any</t>
  </si>
  <si>
    <t>Have you or anyone within your household been exposed to any form of movement restrictions since October 2023?
[OPERATOR: SINGLE RESPONSE.]
1)YES
2)NO
3)DON'T KNOW
4)REFUSED</t>
  </si>
  <si>
    <t>هل تعرضت أنت أو أي شخص ضمن أسرتك لأي نوع من أنواع قيود الحركة منذ أكتوبر 2023؟
[المشغل: استجابة واحدة.]
1) نعم
2) لا
3) لا أعلم
4) رفض الإجابة</t>
  </si>
  <si>
    <t>1 = o_movement_type
2-4 = o_displace_any</t>
  </si>
  <si>
    <t>if o_movement_any = 1, go to o_movement_type
if o_movement_any = 2 or 3 or 4, go to o_displace_any</t>
  </si>
  <si>
    <t>o_movement_type</t>
  </si>
  <si>
    <t>o_movement_type
1)o_mvt_checkpt
2)o_mvt_flyingcheckpt
3)o_mvt_permits
4)o_mvt_insecurity
5)o_mvt_other
6)o_mvt_dk
7)o_mvt_ref</t>
  </si>
  <si>
    <t xml:space="preserve">What types of movement restrictions has your household been exposed to?
[OPERATOR: MULTIPLE RESPONSES ]
1)Checkpoints
2)Flying checkpoints
3)Permits required
4)Insecurity [e.g. settler violence]
5)Other [specify]
6)DON'T KNOW
7)REFUSED
</t>
  </si>
  <si>
    <t>ما أنواع قيود الحركة التي تعرضت لها أسرتك؟
[المشغل: استجابات متعددة ممكنة.]
1) نقاط التفتيش
2) نقاط تفتيش متنقلة/مؤقتة
3) الحصول على تصاريح 
4) عدم الأمان [على سبيل المثال، عنف المستوطنين]
5) أخرى [يرجى التحديد]
6) لا أعلم
7) رفض الإجابة</t>
  </si>
  <si>
    <t>Form Type - Checklist 
6,7 = IsNone</t>
  </si>
  <si>
    <t>1-7 = o_displace_any</t>
  </si>
  <si>
    <t>1)o_mvt_checkpt
2)o_mvt_flyingcheckpt
3)o_mvt_permits
4)o_mvt_insecurity
5)o_mvt_other
6)o_mvt_dk
7)o_mvt_ref</t>
  </si>
  <si>
    <t>for any response, go to o_displace_any</t>
  </si>
  <si>
    <t>o_displace_any</t>
  </si>
  <si>
    <t>Have you been displaced from your own residence since October 2023 due to the security situation?
[OPERATOR: SINGLE RESPONSE.]
1)YES
2)NO
3)DON'T KNOW
4)REFUSED</t>
  </si>
  <si>
    <t>هل أجبرت على ترك مكان سكنك منذ أكتوبر 2023 بسبب الوضع الأمني؟
[المشغل: استجابة واحدة.]
1) نعم
2) لا
3) لا أعلم
4) رفض</t>
  </si>
  <si>
    <t>1 = o_displace_where
2-4 = o_conflict_food</t>
  </si>
  <si>
    <t>if o_displace_any = 1, go to o_displace_where
If o_displace_any = 2 or 3 or 4, go to  o_conflict_food</t>
  </si>
  <si>
    <t>o_displace_where</t>
  </si>
  <si>
    <t>Have you remained within your own community or governorate or have you moved elsewhere? 
[OPERATOR: SINGLE RESPONSE.]
[HINT: 'COMMUNITY' MAY BE DEFINED AS BEDOUIN COMMUNITY, VILLAGE, CITY, OR SIMILAR WHERE YOU MAINTAIN SOCIAL OR CULTURAL TIES WITH OTHERS]
1)I have been displaced within my same community in the same governorate
2)I have been displaced to a different community in the same governorate
3)I have been displaced to another governorate
4)DON'T KNOW
5)REFUSED</t>
  </si>
  <si>
    <t>هل أجبرت [بشكل مباشر أو غير مباشر] على الإنتقال  ضمن نفس التجمع السكاني أو ضمن نفس المحافظة أم انتقلت إلى مكان آخر؟
[المشغل: استجابة واحدة.]
[تلميح: 'المجتمع' قد يُعرف على أنه تجمع بدوي، قرية، مدينة، أو ما شابه حيث تحافظ على علاقات اجتماعية أو ثقافية مع الآخرين]
1)ضمن نفس التجمع السكني في نفس المحافظة
2)إلى تجمع سكني  مختلف في نفس المحافظة
3)إلى محافظة أخرى
4) لا أعلم
5) رفض الإجابة</t>
  </si>
  <si>
    <t>1-5 = o_conflict_food</t>
  </si>
  <si>
    <t>for any response, go to o_conflict_food</t>
  </si>
  <si>
    <t>o_conflict_food</t>
  </si>
  <si>
    <t>o_conflict_food
1)o_confl_food_prices
2)o_confl_food_lack_income
3)o_confl_food_lack_assist
4)o_confl_food_market_access
5)o_confl_food_demand_illicit
6)o_confl_food_lack_mktprod
7)o_confl_food_lack_selfprod
8)o_confl_food_lack_hh_stock
9)o_confl_food_none
10)o_confl_food_other
11)o_confl_food_dk
12)o_confl_food_ref</t>
  </si>
  <si>
    <t>How has insecurity and/or conflict affected household AVAILABILITY or ACCESS to food?
[OPERATOR: MULTIPLE RESPONSES POSSIBLE.]
1)High food prices
2)Reduced income to buy food
3)Reduced or lack of ability to access assistance [food/ cash or vouchers]
4)Reduced or lack of ability to access markets
5)Reduced availability of different food products at the market
6)Reduced availability of self-produced food
7)Depletion of household food stocks
8)There has been no significant impact on household availability or access to food
9)Other [specify]
10)DON'T KNOW
11)REFUSED</t>
  </si>
  <si>
    <t xml:space="preserve">كيف أثرت حالة عدم الأمان و/أو النزاع على توفر الغذاء للأسرة أو القدرة على الوصول إليه؟
[المشغل: ممكن عدة استجابات.]
1) ارتفاع أسعار الغذاء
2) انخفاض الدخل المخصص لشراء الغذاء
3) أصبحت القدرة على الوصول إلى المساعدات قليلة أو معدومة [غذاء، نقود أو قسائم]
4) أصبحت القدرة على الوصول إلى الأسواق قليلة أو معدومة 
5) انخفاض توفر منتجات غذائية مختلفة في السوق
6) انخفاض توفر الغذاء المنتج ذاتيًا
7) استنزاف مخزون الأسرة من الغذاء
8) لم يكن هناك تأثير كبير على توفر الغذاء أو قدرة الأسرة على الوصول إليه 
9) أخرى [يرجى التحديد]
10) لا أعلم
11) رفض الإجابة </t>
  </si>
  <si>
    <t>Form Type - Checklist 
8,10,11 = IsNone</t>
  </si>
  <si>
    <t>1-11 = crp_intro</t>
  </si>
  <si>
    <t>1)o_confl_food_prices
2)o_confl_food_lack_income
3)o_confl_food_lack_assist
4)o_confl_food_market_access
5)o_confl_food_demand_illicit
6)o_confl_food_lack_mktprod
7)o_confl_food_lack_selfprod
8)o_confl_food_lack_hh_stock
9)o_confl_food_none
10)o_confl_food_other
11)o_confl_food_dk
12)o_confl_food_ref</t>
  </si>
  <si>
    <t>GeoPoll [4/11/2024]: Correct the codes, we have more codes than the actual answer options.</t>
  </si>
  <si>
    <t>for any response, go to crp_intro</t>
  </si>
  <si>
    <t>D. CROP PRODUCTION</t>
  </si>
  <si>
    <t>crp_intro</t>
  </si>
  <si>
    <t>We will now ask you some questions about crop production which apply to you and anyone in your household that is involved in crop production or sales. All questions refer to the crops grown during Winter season.
1)CONTINUE</t>
  </si>
  <si>
    <t>سنطرح عليك الآن بعض الأسئلة حول إنتاج المحاصيل التي تنطبق عليك وعلى أي شخص في أسرتك يشارك في إنتاج المحاصيل أو بيعها. تشير جميع الأسئلة إلى المحاصيل المزروعة خلال الموسم الشتوي. 
1) تابع</t>
  </si>
  <si>
    <t>Send if "hh_agricactivity" "Equals" "Yes - crop production" Or "hh_agricactivity" "Equals" "Yes - both crop and livestock production" if not satisfied go to "crp_salesmain"</t>
  </si>
  <si>
    <t>1 = crp_landsize_num</t>
  </si>
  <si>
    <t>If hh_agricactivity = "Yes - crop production" or "Yes - both crop and livestock production" or if they reported production and sales of crops in one of the three main income sources and confirmed that they are involved in production, then this section will be asked to respondents.
Otherwise, skip to crp_salesmain.
Next question is crp_landsize_num</t>
  </si>
  <si>
    <t>If hh_agricactivity = "Yes - crop production" or "Yes - both crop and livestock production", then this section will be asked to respondents. Otherwise, skip to crp_salesmain.
Next question is crp_landsize_num</t>
  </si>
  <si>
    <t>crp_landsize_num</t>
  </si>
  <si>
    <t>What is the total size of the land you can cultivate?
[OPERATOR: RECORD THE TOTAL LAND SIZE PROVIDED BY THE RESPONDENT. WRITE 8888888 FOR DON'T KNOW AND 9999999 FOR REFUSED. MEASUREMENT UNIT WILL BE SPECIFIED IN THE FOLLOWING QUESTION.]</t>
  </si>
  <si>
    <t>ما هو الحجم الإجمالي للأرض التي يمكنك زراعتها؟
[المُشغل: سجل إجمالي حجم الأرض الذي ذكره المجيب. اكتب 8888888 للا أعرف و 9999999 في حالة الرفض. سيتم تحديد وحدة القياس في السؤال التالي.]</t>
  </si>
  <si>
    <t>0-1000000 = crp_landsize_unit
8888888-8888888 = crp_main
9999999-9999999 = crp_main</t>
  </si>
  <si>
    <t>For any response, go to crp_landsize_unit. Range is between 0 and 1000000. For "Don't know" and "Refused", go to crp_main.</t>
  </si>
  <si>
    <t>crp_landsize_unit</t>
  </si>
  <si>
    <t>Unit of measurement for land size: 
[OPERATOR: DO NOT READ. SINGLE RESPONSE.]
1)Acres
2)Hectares
3)Square meters
4)Square feet
5)Dunum</t>
  </si>
  <si>
    <t>وحدة قياس مساحة الارض:
[المُشغل: لا تقرأ. استجابة واحدة.]
1) فدان
2) هكتار
3) متر مربع
4) قدم مربع
5) دونم</t>
  </si>
  <si>
    <t>1-5 = crp_main</t>
  </si>
  <si>
    <t>if crp_landsize_unit = 1-5, go to crp_main</t>
  </si>
  <si>
    <t>crp_main</t>
  </si>
  <si>
    <t>What has been the main crop that your household has grown for food and income generation in Winter season, if any?
[OPERATOR: SINGLE RESPONSE. "NO CROP PRODUCTION" IS IN LAST OPTIONS AT THE END.] 
1)Wheat
2)Barley
3)Potatoe
4)Peas
5)Chickpeas
6)Fava beans
7)Cabbage
8)Lettuce
9)Cauliflower
10)Tomatoes
11)Cucumber
12)Eggplant/aubergine
13)Onions
14)Lemon
15)Mango
16)Guava
17)Avocado
18)Grapes
19)Olives
20)Almond
21)Fodder
22)Rice
23)Millet
24)Sorghum
25)Maize
26)Other Cereal
27)Cassava
28)Sweet Potatoes
29)Yams
30)Carrots
31)Cocoyam
32)Other tubers
33)Beans
34)Lentils
35)Soybeans
36)Broad beans
37)Other pulses
38)Spinach-Amaranth
39)Cassava leaves
40)Potatoe leaves
41)Moringa
42)Sorrel Hibiscus / Rosselle
43)Green salad herbs [thyme/ parsley/ mint/ rocca/ other]
44)Other leafy vegetables
45)Pumpkin
46)Zucchini
47)Okra
48)Bell pepper
49)Haricot
50)Green peas
51)Fava beans green
52)Other non leafy vegs
53)Orange
54)Grapefruit
55)Mandarins/clementines
56)Other citrus fruit
57)Sweet Banana
58)Plantains
59)Papaya
60)Pineapple
61)Water Melon
62)Dates
63)Figs
64)Apple
65)Apricot
66)Cherries
67)Peach/nectarine
68)Strawberries
69)Melon [Cantaloupe]
70)Other fruit
71)Coconuts
72)Groundnut/peanut
73)Cashew Nut
74)Kola Nut
75)Sesame
76)Bambara nut
77)Walnut
78)Other nuts
79)Cocoa
80)Coffee
81)Tea
82)Sugarcane
83)Sunflower
84)Other food cash crop
85)Cotton
86)Rubber
87)Jute
88)Tobacco
89)Qat
90)Other non-food cash crop
91)No crop production
92)DON'T KNOW
93)REFUSED</t>
  </si>
  <si>
    <t xml:space="preserve">ما هو المحصول الرئيسي الذي تزرعه أسرتك من أجل الغذاء وتوليد الدخل في موسم الموسم الشتوي ، إن وجد؟ 
 [المشغل: استجابة واحدة. 'لا إنتاج للمحصول' في آخر الخيارات في النهاية.] 
1)القمح
2)الشعير
3)البطاطا
4)البازيلاء
5)الحمص
6)الفول
7)الملفوف
8)الخس
9)القرنبيط
10)بندورة 
11)الخيار
12)الباذنجان
13)بصل
14)الليمون
15)المانجو
16)الجوافة
17)الأفوكادو
18)العنب
19)الزيتون
20)اللوز
21)العلف
22)الرز
23)الدخن
24)الذرة الرفيعة
25)الذرة
26)الحبوب الأخرى
27)الكسافا
28)البطاطا الحلوة
29)اليام
30)الجزر
31)القلقاس
32)الدرنات الأخرى
33)الفاصوليا
34)العدس
35)فول الصويا
36)الفاصوليا العريضة
37)البقول الاخرى
38)السبانخ - القطيفة
39)أوراق الكسافا
40)أوراق البطاطا
41)المورينجا
42)الكركديه
43)أعشاب السلطة الخضراء [زعتر ، بقدونس ، نعناع ، جرجير ، أنواع أخرى]
44)الخضار الورقية الأخرى
45)اليقطين
46)الكوسة
47)البامية
48)الفلفل حلو
49)اللوبياء
50)البازلاء الخضراء
51)الفول الأخضر
52)الخضار غير الورقية الأخرى
53)البرتقال
54)الجريب فروت
55)اليوسفي / الكليمنتين
56)الحمضيات الأخرى
57)الموز
58)موز الجنة
59)البابايا
60)الأناناس
61)البطيخ الأحمر
62)التمر
63)التين
64)التفاح
65)المشمش
66)الكرز
67)الدراق / النكتارين
68)الفراولة
69)الشمام
70)الفواكه الأخرى
71)جوز الهند
72)الفول السوداني
73)الكاجو
74)جوز الكولا
75)السمسم
76)جوز البامبارا
77)الجوز
78)المكسرات الأخرى
79)الكاكاو
80)القهوة
81)الشاي
82)قصب السكر
83)دوار الشمس
84)المحاصيل الغذائية النقدية الأخرى 
85)القطن
86)المطاط
87)الجوت
88)التبغ
89)القات
90)المحاصيل النقدية غير الغذائية الأخرى 
91)لا إنتاج للمحصول
92) لا أعلم 
93) رفض الإ‘جابه </t>
  </si>
  <si>
    <t>Form Type - Dropdown
IsDemographic - crp_main</t>
  </si>
  <si>
    <t>1-90 = crp_irrig_source
91 = crp_main_check
92-93 = crp_salesmain</t>
  </si>
  <si>
    <t>1.2)Wheat
1.6)Barley
2.2)Potatoe
3.3)Peas
3.5)Chickpeas
3.6)Fava beans
4.1)Cabbage
4.2)Lettuce
4.101)Cauliflower
5.1)Tomatoes
5.2)Cucumber
5.4)Eggplant/aubergine
5.8)Onions
6.2)Lemon
7.4)Mango
7.5)Guava
7.7)Avocado
7.11)Grapes
7.12)Olives
8.7)Almond
10.4)Fodder
1.1)Rice
1.3)Millet
1.4)Sorghum
1.5)Maize
1.99)Other Cereal
2.1)Cassava
2.3)Sweet Potatoes
2.4)Yams
2.5)Carrots
2.6)Cocoyam
2.99)Other tubers
3.1)Beans
3.2)Lentils
3.4)Soybeans
3.7)Broad beans
3.99)Other pulses
4.3)Spinach-Amaranth
4.4)Cassava leaves
4.5)Potatoe leaves
4.6)Moringa
4.7)Sorrel Hibiscus / Rosselle
4.9)Green salad herbs [thyme/ parsley/ mint/ rocca/ other]
4.99)Other leafy vegetables
5.3)Pumpkin
5.5)Zucchini
5.6)Okra
5.7)Bell pepper
5.9)Haricot
5.101)Green peas
5.11)Fava beans green
5.99)Other non leafy vegs
6.1)Orange
6.3)Grapefruit
6.4)Mandarins/clementines
6.99)Other citrus fruit
7.1)Sweet Banana
7.2)Plantains
7.3)Papaya
7.6)Pineapple
7.8)Water Melon
7.9)Dates
7.101)Figs
7.13)Apple
7.14)Apricot
7.15)Cherries
7.16)Peach/nectarine
7.17)Strawberries
7.18)Melon [Cantaloupe]
7.99)Other fruit
8.1)Coconuts
8.2)Groundnut/peanut
8.3)Cashew Nut
8.4)Kola Nut
8.5)Sesame
8.6)Bambara nut
8.8)Walnut
8.99)Other nuts
9.1)Cocoa
9.2)Coffee
9.3)Tea
9.4)Sugarcane
9.5)Sunflower
9.99)Other food cash crop
10.1)Cotton
10.2)Rubber
10.3)Jute
10.5)Tobacco
10.6)Qat
10.99)Other non-food cash crop
777)No crop production
88)DON'T KNOW
99)REFUSED</t>
  </si>
  <si>
    <t>if crp_main = any type of crop, go to crp_irrig_source;
if crp_main = "No crop production", go to crp_main_check
if crp_main = "Don't know" or "Refused", go to crp_salesmain</t>
  </si>
  <si>
    <t>crp_main_check</t>
  </si>
  <si>
    <t>Why did you not produce any crops in Winter season?
[OPERATOR: SINGLE RESPONSE.]
1)Don’t usually produce during this season 
2)Wasn't able to produce [e.g. due to difficulties]</t>
  </si>
  <si>
    <t>لماذا لم تنتج أي محاصيل في الموسم الشتوي؟
[المشغل: استجابة واحدة.]
1) لا أنتج عادة محاصيل خلال هذا الموسم
2) لم أتمكن من إنتاج المحاصيل [على سبيل المثال بسبب الصعوبات]</t>
  </si>
  <si>
    <t>1 = crp_salesmain
2 = crp_proddif</t>
  </si>
  <si>
    <t>if crp_main_check = 1, go to crp_salesmain
if crp_main_check = 2, go to crp_proddif</t>
  </si>
  <si>
    <t>crp_irrig_source</t>
  </si>
  <si>
    <t>Where do you normally and mainly obtain water for the production of {crp_main}? 
[OPERATOR: SINGLE RESPONSE.]
1)Rainfed
2)Groundwater
3)Natural surface water [river / lake / stream / pond / etc.]
4)Constructed water point [canal / dam / etc.]
5)Public water supply system [e.g. tap water]
6)Other [specify]
7)DON'T KNOW
8)REFUSED</t>
  </si>
  <si>
    <t>كيف  تحصل عادة على الماء لري {crp_main} بشكل رئيسي؟
[المشغل: استجابة واحدة.]
1) بعلي [لا يوجد نظام ري]
2) مياه جوفية
3) مياه سطحية طبيعية [ نهر / بحيرة / بركة مياه / إلخ ]
4) نقطة مياه منشأة [ قناة / سد / إلخ]
5) نظام تزويد مياه عام [ ماء الصنبور علي سبيل المثال ]
6)  آخر [حدد]
7) لا أعرف
8) رفض الإجابة</t>
  </si>
  <si>
    <t>1 = crp_seed_supply
2-6 = crp_irrig_system
7,8 = crp_seed_supply</t>
  </si>
  <si>
    <t>if crp_irrig_source = 1-8, go to [crp_area_change or optional question]</t>
  </si>
  <si>
    <t>if crp_irrig_source = 1-8, go to crp_irrig_system</t>
  </si>
  <si>
    <t>crp_irrig_system</t>
  </si>
  <si>
    <t>Do you [your community] use a pump for your own [the communal] irrigation system?
[OPERATOR: SINGLE RESPONSE.]
1)No - everything works on gravity
2)Yes - there is a communal diesel/gas/electric pump
3)Yes - there is a communal manual pump
4)Yes - there is a manual pump in my field
5)Yes - there is a diesel/gas/electric pump in my field
6)DON'T KNOW
7)REFUSED</t>
  </si>
  <si>
    <t xml:space="preserve">هل تستخدم [أو هل يستخدم المجتمع الذي تنتمي اليه] مضخة لنظام الري ؟
[المشغل: استجابة واحدة.]
1) لا ، كل شيء يعمل علي الجاذبية
2)نعم ، توجد مضخة مشتركة تعمل علي الديزل أو الغاز أو الكهرباء 
3) نعم، توجد مضخة يدوية مشتركة
4) نعم ، توجد مضخة يدوية فى حقلي 
5)نعم، توجد مضخة تعمل الديزل أو الغاز أو الكهرباء فى حقلي
6) لا أعرف
7) رفض الإجابة 
</t>
  </si>
  <si>
    <t>1-7 = crp_irrig_pay</t>
  </si>
  <si>
    <t>if crp_irrig_system = 1-7, go to [crp_area_change or optional question]</t>
  </si>
  <si>
    <t>crp_irrig_pay</t>
  </si>
  <si>
    <t>Do you have to pay for water rights [e.g. water rights, communal infrastructure maintenance, gas for communal pump, etc.]? 
[OPERATOR: SINGLE RESPONSE.]
1)YES
2)NO
3)DON'T KNOW
4)REFUSED</t>
  </si>
  <si>
    <t>هل يتعين عليك الدفع مقابل الحصول علي حقوق المياه [ علي سبيل المثال حقوق المياه ، صيانة البنية التحتية المشتركة،  الغاز للمضخات المشتركة ، إلخ ] ؟ 
[المشغل: استجابة واحدة.] 
1) نعم
2) لا
3) لا أعرف
4) رفض الإجابة</t>
  </si>
  <si>
    <t>1-4 = crp_seed_supply</t>
  </si>
  <si>
    <t>if crp_irrig_pay = 1-4, go to [crp_area_change or optional question]</t>
  </si>
  <si>
    <t>crp_seed_supply</t>
  </si>
  <si>
    <t>crp_seed_supply
1) crp_seed_ownprod
2) crp_seed_market
3) crp_seed_company
4) crp_seed_ngo
5) crp_seed_organized_community
6) crp_seed_gov
7) crp_seed_relatives_friends
8) crp_seed_other
9) crp_seed_dk
10) crp_seed_ref</t>
  </si>
  <si>
    <t>Who do you normally procure your seeds from? 
[OPERATOR: MULTIPLE RESPONSES POSSIBLE.]
1)Own production
2)Local market or agro-input shop/dealer
3)Private seed company
4)NGOs
5)Community seed banks / farmer networks / farmers' association / etc.
6)Government [e.g. MoA]
7)Relatives or friends
8)Other
9)DON'T KNOW
10)REFUSED</t>
  </si>
  <si>
    <t>من أين تحصل عادة على البذور؟
[المُشغل: احتمال وجود عدة استجابات.]
1) الإنتاج الخاص
2) اشتريها من السوق أو متجر المدخلات الزراعية
3) اشتريها  من شركة بذور خاصة
4) المنظمات الغير حكومية
5) بنوك البذور المجتمعية / شبكات المزارعين / إلخ
6) الحكومة [وزارة الزراعة علي سبيل المثال ]
7) الاقارب أو الاصدقاء
8) آخر
9) لا أعرف
10) رفض الإجابة</t>
  </si>
  <si>
    <t>Form Type - Checklist
9,10 = IsNone</t>
  </si>
  <si>
    <t>1-10 = crp_area_change</t>
  </si>
  <si>
    <t>1)crp_seed_ownprod
2)crp_seed_market
3)crp_seed_company
4)crp_seed_ngo
5)crp_seed_organized_community
6)crp_seed_gov
7)crp_seed_relatives_friends
8)crp_seed_other
9)crp_seed_dk
10)crp_seed_ref</t>
  </si>
  <si>
    <t>if crp_seed_supply = 1-10, go to crp_area_change</t>
  </si>
  <si>
    <t>crp_area_change</t>
  </si>
  <si>
    <t>How did the area planted for {crp_main} from Winter season compare to a normal year?
[OPERATOR: SINGLE RESPONSE.]
1)A lot more [increased by more than 50%]
2)Slightly more
3)Same
4)Slightly less
5)A lot less [less than half as much]
6)DON'T KNOW
7)REFUSED</t>
  </si>
  <si>
    <t>كيف يمكن مقارنة المساحة المزروعة ل {crp_main} في الموسم الشتوي نسبةً ل العام العادي؟
[المشغل: استجابة واحدة.]
1) أكثر بكثير [زادت بنسبة تزيد عن 50٪]
2) أكثر قليلا
3) نفس الشيء
4) أقل قليلاً
5) أقل بكثير [أقل من نصف الكمية]
6) لا أعرف
7) رفض الإجابة</t>
  </si>
  <si>
    <t>1-7 = crp_harv_change</t>
  </si>
  <si>
    <t>if crp_area_change = 1-7, go to crp_harv_change</t>
  </si>
  <si>
    <t>crp_harv_change</t>
  </si>
  <si>
    <t>How does the harvest of {crp_main} in the Winter season compare to a normal year?
[OPERATOR: SINGLE RESPONSE.]
1)A lot more [increased by more than 50%]
2)Slightly more
3)Same
4)Slightly less
5)A lot less [less than half as much]
6)DON'T KNOW
7)REFUSED</t>
  </si>
  <si>
    <t>كيف يمكن مقارنة الحصاد  لـ {crp_main} في الموسم الشتوي نسبةً ل العام العادي؟
[المشغل: استجابة واحدة.]
1) أكثر بكثير [زادت بنسبة تزيد عن 50٪]
2) أكثر قليلا
3) نفس الشيء
4) أقل قليلاً
5) أقل بكثير [أقل من نصف الكمية]
6) لا أعرف
7) رفض الإجابة</t>
  </si>
  <si>
    <t>1-7 = crp_harv_vol</t>
  </si>
  <si>
    <t>if crp_harv_change = 1-7, go to [crp_proddif or crp_harv_vol]</t>
  </si>
  <si>
    <t>crp_harv_vol</t>
  </si>
  <si>
    <t>How much [threshed] {crp_main} did you harvest this Winter season?
[OPERATOR: RECORD THE RESPONSE GIVEN. UNIT OF MEASUREMENT TO BE SPECIFIED IN NEXT QUESTION. ENTER 8888888 FOR DON'T KNOW &amp; 9999999 FOR REFUSED, TO BE USED RARELY - PROBE!]</t>
  </si>
  <si>
    <t xml:space="preserve"> ما هي كمية ال {crp_main}  [المدروس/ة] التي قمت بحصادها هذا الموسم الموسم الشتوي؟
[المُشغل: سجل الاستجابة المُعطاة. يتم تحديد وحدة القياس في السؤال التالي. أدخل 8888888 للا أعرف و 9999999 في حالة الرفض ، والتي يجب استخدامها نادرًا - تحقق!]</t>
  </si>
  <si>
    <t>1-1000000 = crp_harv_unit
8888888-8888888 =  crp_proddif
9999999-9999999 =  crp_proddif</t>
  </si>
  <si>
    <t>For any response, go to crp_harv_unit. For "Don't know" or "Refused", go to crp_proddif</t>
  </si>
  <si>
    <t>crp_harv_unit</t>
  </si>
  <si>
    <t>Unit of measurement for harvested {crp_main} :
[OPERATOR: SINGLE SELECTION]
1)Kilograms [kgs]
2)Tonnes
3)Ounces
4)Pounds
5)Bags
6)Boxes
7)Bundles
8)Packets
9)Other [specify]</t>
  </si>
  <si>
    <t>وحدة قياس حصاد {crp_main}:
[المشغل: اختيار واحد]
1) كيلوغرامات [كلغ]
2) أطنان
3) أوقية
4) أرطال
5) أكياس
6) صناديق
7) حزم
8) رزمات
9) آخر [حدد]</t>
  </si>
  <si>
    <t>Form Type - RadioList
IsDemographic - crp_harv_unit</t>
  </si>
  <si>
    <t>1-4 = crp_harv_lastyr
5-9 = crp_harv_unit_kg</t>
  </si>
  <si>
    <t>If crp_harv_unit = 1-4, go to crp_harv_lastyr
If crp_harv_unit = 5-9, go to crp_harv_unit_kg</t>
  </si>
  <si>
    <t>crp_harv_unit_kg</t>
  </si>
  <si>
    <t>How many kilograms [kgs] in each unit?
[OPERATOR: RECORD THE AMOUNT GIVEN. ENTER 88888 FOR DON'T KNOW &amp; 99999 FOR REFUSED]</t>
  </si>
  <si>
    <t>كم كيلوغرام [كلغ] في كل وحدة؟
[المُشغل: سجل المبلغ المعطى. أدخل 88888 لـلا أعرف و 99999 في حالة الرفض]</t>
  </si>
  <si>
    <t>1-10000 = crp_harv_lastyr
88888-88888 =  crp_harv_lastyr
99999-99999 =  crp_harv_lastyr</t>
  </si>
  <si>
    <t>For any response, go to crp_harv_lastyr</t>
  </si>
  <si>
    <t>crp_harv_lastyr</t>
  </si>
  <si>
    <t>How many {crp_harv_unit} of [threshed] {crp_main} did you harvest last year during the same season?
[OPERATOR: RECORD THE RESPONSE GIVEN. ENTER 8888888 FOR DON'T KNOW &amp; 9999999 FOR REFUSED, TO BE USED RARELY - PROBE!]</t>
  </si>
  <si>
    <t>كم {crp_harv_unit} من {crp_main}  [(المدروس/ة] قمت بحصادها العام الماضي خلال نفس الموسم؟
[المُشغل: سجل الاستجابة المُعطاة. أدخل 8888888 لـلا أعرف و 9999999 في حالة الرفض ، والتي يجب استخدامها نادرًا - تحقق!]</t>
  </si>
  <si>
    <t>1-1000000 = crp_proddif
8888888-8888888 = crp_proddif
9999999-9999999 = crp_proddif</t>
  </si>
  <si>
    <t>For any response, go to crp_proddif</t>
  </si>
  <si>
    <t>crp_proddif</t>
  </si>
  <si>
    <t>Has your household faced any significant difficulty in terms of crop production in Winter season?
[OPERATOR: SINGLE RESPONSE.]
1)YES
2)NO
3)DON'T KNOW
4)REFUSED</t>
  </si>
  <si>
    <t>هل واجهت أسرتك أي صعوبة في إنتاج المحاصيل في الموسم الشتوي؟
[المشغل: استجابة واحدة.]
1) نعم
2) لا
3) لا أعرف
4) رفض الإجابة</t>
  </si>
  <si>
    <t>1 = crp_proddif_2
2-4 = crp_storage</t>
  </si>
  <si>
    <t>if crp_proddif = 1, go to crp_proddif_2 ; 
if crp_proddif = 2-4, go to [crp_salesmain or optional question]</t>
  </si>
  <si>
    <t>if crp_proddif = 1, go to crp_proddif_2 ; 
if crp_proddif = 2-4, go to crp_storage</t>
  </si>
  <si>
    <t>crp_proddif_2</t>
  </si>
  <si>
    <t>crp_proddif_
1) crp_proddif_plant_disease
2) crp_proddif_pest_outbreak
3) crp_proddif_animal_grazing
4) crp_proddif_access_plot
5) crp_proddif_access_fertilize
6) crp_proddif_seed_quality
7) crp_proddif_seed_quantity
8) crp_proddif_access_pesticide
9) crp_proddif_access_labour
10) crp_proddif_access_machinery
11) crp_proddif_access_fuel
12) crp_proddif_soil_erosion
13) crp_proddif_lack_irrigation
14) crp_proddif_excess_water
15) crp_proddif_access_credit
16) crp_proddif_other
17) crp_proddif_dk
18) crp_proddif_ref</t>
  </si>
  <si>
    <t>Which difficulty has your household faced with crop production in Winter season?
[OPERATOR: MULTIPLE RESPONSES POSSIBLE. SELECT OPTION(S) THAT BEST FIT THE INFORMATION PROVIDED BY THE RESPONDENTS.]
1)Plant disease 
2)Pest outbreak [including birds]
3)Uncontrolled animal grazing
4)Access to plot
5)Access to fertilizer [not available on markets or prices too high]
6)Access to quality seeds
7)Access to enough seeds [not available on markets or prices too high]
8)Access to pesticides
9)Access to manpower labour
10)Access to machinery/ tools or animals for ploughing
11)Access to fuel or electricity to power agricultural equipment
12)Soil erosion
13)Not enough irrigation / rainfall water
14)Too much irrigation / water 
15)Access to credit
16)Other
17)DON'T KNOW
18)REFUSED</t>
  </si>
  <si>
    <t>ما الصعوبات التي واجهتها أسرتك في إنتاج المحاصيل في الموسم الشتوي؟
[المُشغل: عدة استجابات محتملة. حدد الخيار (الخيارات) الأنسب للمعلومات المقدمة من المجيب.]
1) مرض نباتي
2) تفشي الافات [ بما في ذلك الطيور ]
3) رعي الحيوانات الغير منضبط
4) الوصول إلى قطعة الأرض
5) الوصول إلى الأسمدة [غير متوفرة في الأسواق أو أن اسعارها مرتفعة جداً]
6) الوصول الي البذور الجيدة
7)  الوصول إلى ما يكفي من البذور [غير متوفرة في الأسواق أو أن اسعارها مرتفعة جداً]
8) الوصول إلى المبيدات الحشرية
9) الوصول إلى العمالة أو القوى العاملة
10)  الوصول إلى آلات أو أدوات أو حيوانات للحراثة
11) الحصول على الوقود أو الكهرباء لتشغيل المعدات الزراعية
12) تعرية التربة
13) عدم كفاية مياه الري أو مياه الأمطار
14) زيادة مياه الري
15) الحصول على تمويل
16) آخر
17) لا أعرف
18) رفض الإجابة</t>
  </si>
  <si>
    <t>Form Type - Checklist
17,18 = IsNone</t>
  </si>
  <si>
    <t>1-18 = o_crp_proddif_conflict</t>
  </si>
  <si>
    <t>1)crp_proddif_plant_disease
2)crp_proddif_pest_outbreak
3)crp_proddif_animal_grazing
4)crp_proddif_access_plot
5)crp_proddif_access_fertilize
6)crp_proddif_seed_quality
7)crp_proddif_seed_quantity
8)crp_proddif_access_pesticide
9)crp_proddif_access_labour
10)crp_proddif_access_machinery
11)crp_proddif_access_fuel
12)crp_proddif_soil_erosion
13)crp_proddif_lack_irrigation
14)crp_proddif_excess_water
15)crp_proddif_access_credit
16)crp_proddif_other
17)crp_proddif_dk
18)crp_proddif_ref</t>
  </si>
  <si>
    <t>if crp_proddif_2 = 1-18, go to [crp_salesmain OR optional question]</t>
  </si>
  <si>
    <t>if crp_proddif_2 = 1-18, go to o_crp_proddif_conflict</t>
  </si>
  <si>
    <t>o_crp_proddif_conflict</t>
  </si>
  <si>
    <t>o_crp_proddif_conflict
1) o_crp_pd_conf_field_access
2)  o_crp_pd_conf_field_abandon
3)  o_crp_pd_conf_crp_damage
4) o_crp_pd_conf_asset_damage
5) o_crp_pd_conf_loss_harv
6) o_crp_pd_conf_stop_prod
7) o_crp_pd_conf_labour
8) o_crp_pd_conf_agri_input
9) o_crp_pd_conf_none
10) o_crp_pd_conf_other
11) o_crp_pd_conf_dk
12) o_crp_pd_conf_ref</t>
  </si>
  <si>
    <t>How has insecurity and/or conflict affected household's production of {crp_main}?
[OPERATOR: MULTIPLE RESPONSES POSSIBLE.]
1)Unable to safely access field
2)Abandonment of field after being displaced
3)Damage or destruction of crops
4)Damage or loss of household or productive assets
5)Loss of harvest
6)Stopped crop or livestock production 
7)Lack of access to farm labour / labour too expensive
8)Lack of access to agricultural inputs / inputs too expensive
9)No impact on productivity so far
10)Other [specify]
11)DON'T KNOW
12)REFUSED</t>
  </si>
  <si>
    <t xml:space="preserve">
كيف أثرت حالة عدم الأمان و/أو النزاع على إنتاج الأسرة لـ {crp_main}؟
[المشغل: ممكن عدة استجابات.]
1) عدم القدرة على الوصول  إلى الحقل بأمان 
2) ترك الحقل بعد التهجير
3) تلف أو دمار المحاصيل
4) تضرر أو فقدان أصول الأسرة أو الأصول الإنتاجية
5) فقدان المحصول
6) توقف إنتاج المحاصيل أو الثروة الحيوانية
7) عدم القدرة على الوصول إلى الأيدي العاملة الزراعية / تكلفة العمالة مرتفعة جدًا
8) عدم القدرة على الوصول إلى المدخلات الزراعية / المدخلات باهظة الثمن
9) لم يكن هناك تأثير على الإنتاجية حتى الآن
10) أخرى [يرجى التحديد]
11) لا أعلم
12) رفض الإجابة</t>
  </si>
  <si>
    <t>Form Type - Checklist
9,11,12 = IsNone</t>
  </si>
  <si>
    <t>1-12 = o_crp_proddif_conflict_damage</t>
  </si>
  <si>
    <t>1) o_crp_pd_conf_field_access
2)  o_crp_pd_conf_field_abandon
3)  o_crp_pd_conf_crp_damage
4) o_crp_pd_conf_asset_damage
5) o_crp_pd_conf_loss_harv
6) o_crp_pd_conf_stop_prod
7) o_crp_pd_conf_labour
8) o_crp_pd_conf_agri_input
9) o_crp_pd_conf_none
10) o_crp_pd_conf_other
11) o_crp_pd_conf_dk
12) o_crp_pd_conf_ref</t>
  </si>
  <si>
    <t>if o_crp_proddif_conflict = 4, go to o_crp_proddif_conflict_damage
Otherwise, go to crp_storage</t>
  </si>
  <si>
    <t>o_crp_proddif_conflict_damage</t>
  </si>
  <si>
    <t xml:space="preserve">o_crp_proddif_conflict_damage
1) o_crp_pd_confl_dam_confiscation
2) o_crp_pd_confl_dam_water_infra
3) o_crp_pd_confl_dam_agri_prod
4) o_crp_pd_confl_dam_farm_infra
5) o_crp_pd_confl_dam_dk
6) o_crp_pd_confl_dam_ref
</t>
  </si>
  <si>
    <t>What types of damage or losses to assets and equipments have you experienced, if any?
[OPERATOR: MULTIPLE RESPONSES POSSIBLE.]
1)Confiscation of productive assets/ stored products/ inputs/ etc
2)Damages to water infrastructure 
3)Damages to harvested/stored crops and agricultural products
4)Damage or destruction of other farm infrastructure / buildings [e.g. animal barn/ storage/ etc]
5)DON'T KNOW
6)REFUSED</t>
  </si>
  <si>
    <t>ما أنواع الأضرار أو الخسائر في الأصول والمعدات التي تعرضت لها، إن وجدت؟
[المشغل: ممكن عدة استجابات.]
1) مصادرة الأصول الإنتاجية، المنتجات المخزنة، المدخلات، إلخ
2) أضرار في البنية التحتية للمياه
3) أضرار في المحاصيل المحصودة/المخزنة والمنتجات الزراعية
4) تضرر أو تدمير بنية تحتية زراعية أخرى / مباني (مثل حظائر الحيوانات، المخازن، إلخ)
5) لا أعلم
6) رفض الإجابة</t>
  </si>
  <si>
    <t>Send if "o_crp_proddif_conflict" "Contains" "Damage or loss of household or productive assets" if not satisfied go to "crp_storage"</t>
  </si>
  <si>
    <t>Form Type - Checklist
5,6 = IsNone</t>
  </si>
  <si>
    <t>1-6 = crp_storage</t>
  </si>
  <si>
    <t xml:space="preserve">1) o_crp_pd_confl_dam_confiscation
2) o_crp_pd_confl_dam_water_infra
3) o_crp_pd_confl_dam_agri_prod
4) o_crp_pd_confl_dam_farm_infra
5) o_crp_pd_confl_dam_dk
6) o_crp_pd_confl_dam_ref
</t>
  </si>
  <si>
    <t>for any response, go to crp_storage</t>
  </si>
  <si>
    <t>crp_storage</t>
  </si>
  <si>
    <t>Last year, what proportion of your {crp_main} stock did you lose [to pests, rotting, mould, security situation etc.] after the harvest?
[OPERATOR: SINGLE RESPONSE.]
1)None
2)A little
3)An important part of it/ but less than half
4)Most of it [half or more]
5)Almost everything 
6)Everything
7)DON'T KNOW
8)REFUSED</t>
  </si>
  <si>
    <t>في العام الماضي ، ما هي نسبة مخزونك التي خسرتها [بسبب الآفات ، والتعفن ، والعفن ، الظروف الأمنية  وما إلى ذلك] من إجمالي {crp_main} المخزن؟
[المشغل: استجابة واحدة.]
1) لا شيء
2) قليلا
3) جزء مهم منه ولكن أقل من النصف
4) معظمها [نصف أو أكثر]
5) كل شيء تقريبا
6) كل شيء
7) لا أعرف
8) رفض الإجابة</t>
  </si>
  <si>
    <t>Send if "crp_main" "Equals" "Wheat" Or "crp_main" "Equals" "Barley" Or "crp_main" "Equals" "Potatoe" Or "crp_main" "Equals" "Peas" Or "crp_main" "Equals" "Chickpeas" Or "crp_main" "Equals" "Fava beans" Or "crp_main" "Equals" "Cabbage" Or "crp_main" "Equals" "Lettuce" Or "crp_main" "Equals" "Cauliflower" Or "crp_main" "Equals" "Tomatoes" Or "crp_main" "Equals" "Cucumber" Or "crp_main" "Equals" "Eggplant/aubergine" Or "crp_main" "Equals" "Onions" Or "crp_main" "Equals" "Lemon" Or "crp_main" "Equals" "Mango" Or "crp_main" "Equals" "Guava" Or "crp_main" "Equals" "Avocado" Or "crp_main" "Equals" "Grapes" Or "crp_main" "Equals" "Olives" Or "crp_main" "Equals" "Almond" Or "crp_main" "Equals" "Fodder" Or "crp_main" "Equals" "Rice" Or "crp_main" "Equals" "Millet" Or "crp_main" "Equals" "Sorghum" Or "crp_main" "Equals" "Maize" Or "crp_main" "Equals" "Other Cereal" Or "crp_main" "Equals" "Cassava" Or "crp_main" "Equals" "Sweet Potatoes" Or "crp_main" "Equals" "Yams" Or "crp_main" "Equals" "Carrots" Or "crp_main" "Equals" "Cocoyam" Or "crp_main" "Equals" "Other tubers" Or "crp_main" "Equals" "Beans" Or "crp_main" "Equals" "Lentils" Or "crp_main" "Equals" "Soybeans" Or "crp_main" "Equals" "Broad beans" Or "crp_main" "Equals" "Other pulses" Or "crp_main" "Equals" "Spinach-Amaranth" Or "crp_main" "Equals" "Cassava leaves" Or "crp_main" "Equals" "Potatoe leaves" Or "crp_main" "Equals" "Moringa" Or "crp_main" "Equals" "Sorrel Hibiscus / Rosselle" Or "crp_main" "Equals" "Green salad herbs [thyme/ parsley/ mint/ rocca/ other]" Or "crp_main" "Equals" "Other leafy vegetables" Or "crp_main" "Equals" "Pumpkin" Or "crp_main" "Equals" "Zucchini" Or "crp_main" "Equals" "Okra" Or "crp_main" "Equals" "Bell pepper" Or "crp_main" "Equals" "Haricot" Or "crp_main" "Equals" "Green peas" Or "crp_main" "Equals" "Fava beans green" Or "crp_main" "Equals" "Other non leafy vegs" Or "crp_main" "Equals" "Orange" Or "crp_main" "Equals" "Grapefruit" Or "crp_main" "Equals" "Mandarins/clementines" Or "crp_main" "Equals" "Other citrus fruit" Or "crp_main" "Equals" "Sweet Banana" Or "crp_main" "Equals" "Plantains" Or "crp_main" "Equals" "Papaya" Or "crp_main" "Equals" "Pineapple" Or "crp_main" "Equals" "Water Melon" Or "crp_main" "Equals" "Dates" Or "crp_main" "Equals" "Figs" Or "crp_main" "Equals" "Apple" Or "crp_main" "Equals" "Apricot" Or "crp_main" "Equals" "Cherries" Or "crp_main" "Equals" "Peach/nectarine" Or "crp_main" "Equals" "Strawberries" Or "crp_main" "Equals" "Melon [Cantaloupe]" Or "crp_main" "Equals" "Other fruit" Or "crp_main" "Equals" "Coconuts" Or "crp_main" "Equals" "Groundnut/peanut" Or "crp_main" "Equals" "Cashew Nut" Or "crp_main" "Equals" "Kola Nut" Or "crp_main" "Equals" "Sesame" Or "crp_main" "Equals" "Bambara nut" Or "crp_main" "Equals" "Walnut" Or "crp_main" "Equals" "Other nuts" Or "crp_main" "Equals" "Cocoa" Or "crp_main" "Equals" "Coffee" Or "crp_main" "Equals" "Tea" Or "crp_main" "Equals" "Sugarcane" Or "crp_main" "Equals" "Sunflower" Or "crp_main" "Equals" "Other food cash crop" Or "crp_main" "Equals" "Cotton" Or "crp_main" "Equals" "Rubber" Or "crp_main" "Equals" "Jute" Or "crp_main" "Equals" "Tobacco" Or "crp_main" "Equals" "Qat" Or "crp_main" "Equals" "Other non-food cash crop" if not satisfied go to "crp_salesmain"</t>
  </si>
  <si>
    <t>1-8 = crp_salesmain</t>
  </si>
  <si>
    <t>if the respondent has listed any crop as a main crop, they will be administered this question. If not, they will be sent to the crop marketing module, since the rest of the questions reference the main crop specifically in the question text. 
if crp_storage =  1-8, go to crp_salesmain or optional question</t>
  </si>
  <si>
    <t>if the respondent has listed any crop as a main crop, they will be administered this question. If not, they will be sent to the crop marketing module, since the rest of the questions reference the main crop specifically in the question text. 
if crp_storage =  1-8, go to crp_salesmain</t>
  </si>
  <si>
    <t>D. CROP MARKETING</t>
  </si>
  <si>
    <t>crp_salesmain</t>
  </si>
  <si>
    <t>What has been the main crop that you have sold over the last 3 months?
[OPERATOR: SELECT ALL CROPS LISTED BY THE RESPONDENT.]
1)Wheat
2)Barley
3)Potatoe
4)Peas
5)Chickpeas
6)Fava beans
7)Cabbage
8)Lettuce
9)Cauliflower
10)Tomatoes
11)Cucumber
12)Eggplant/aubergine
13)Onions
14)Lemon
15)Mango
16)Guava
17)Avocado
18)Grapes
19)Olives
20)Almond
21)Fodder
22)Rice
23)Millet
24)Sorghum
25)Maize
26)Other Cereal
27)Cassava
28)Sweet Potatoes
29)Yams
30)Carrots
31)Cocoyam
32)Other tubers
33)Beans
34)Lentils
35)Soybeans
36)Broad beans
37)Other pulses
38)Spinach-Amaranth
39)Cassava leaves
40)Potatoe leaves
41)Moringa
42)Sorrel Hibiscus / Rosselle
43)Green salad herbs [thyme/ parsley/ mint/ rocca/ other]
44)Other leafy vegetables
45)Pumpkin
46)Zucchini
47)Okra
48)Bell pepper
49)Haricot
50)Green peas
51)Fava beans green
52)Other non leafy vegs
53)Orange
54)Grapefruit
55)Mandarins/clementines
56)Other citrus fruit
57)Sweet Banana
58)Plantains
59)Papaya
60)Pineapple
61)Water Melon
62)Dates
63)Figs
64)Apple
65)Apricot
66)Cherries
67)Peach/nectarine
68)Strawberries
69)Melon [Cantaloupe]
70)Other fruit
71)Coconuts
72)Groundnut/peanut
73)Cashew Nut
74)Kola Nut
75)Sesame
76)Bambara nut
77)Walnut
78)Other nuts
79)Cocoa
80)Coffee
81)Tea
82)Sugarcane
83)Sunflower
84)Other food cash crop
85)Cotton
86)Rubber
87)Jute
88)Tobacco
89)Qat
90)Other non-food cash crop
91)DON'T KNOW
92)REFUSED</t>
  </si>
  <si>
    <t xml:space="preserve">ما هو المحصول الرئيسي الذي بعته خلال الأشهر الثلاثة الماضية؟ 
 [حدد جميع المحاصيل التي سجلها المجيب.] 
1)القمح
2)الشعير
3)البطاطا
4)البازيلاء
5)الحمص
6)الفول
7)الملفوف
8)الخس
9)القرنبيط
10)الطماطم
11)الخيار
12)الباذنجان
13)بصل
14)الليمون
15)المانجو
16)الجوافة
17)الأفوكادو
18)العنب
19)الزيتون
20)اللوز
21)العلف
22)الرز
23)الدخن
24)الذرة الرفيعة
25)الذرة
26)الحبوب الأخرى
27)الكسافا
28)البطاطا الحلوة
29)اليام
30)الجزر
31)القلقاس
32)الدرنات الأخرى
33)الفاصوليا
34)العدس
35)فول الصويا
36)الفاصوليا العريضة
37)البقول الاخرى
38)السبانخ - القطيفة
39)أوراق الكسافا
40)أوراق البطاطا
41)المورينجا
42)الكركديه
43)أعشاب السلطة الخضراء [زعتر ، بقدونس ، نعناع ، جرجير ، أنواع أخرى]
44)الخضار الورقية الأخرى
45)اليقطين
46)الكوسة
47)البامية
48)الفلفل حلو
49)اللوبياء
50)البازلاء الخضراء
51)الفول الأخضر
52)الخضار غير الورقية الأخرى
53)البرتقال
54)الجريب فروت
55)اليوسفي / الكليمنتين
56)الحمضيات الأخرى
57)الموز
58)موز الجنة
59)البابايا
60)الأناناس
61)البطيخ الأحمر
62)التمر
63)التين
64)التفاح
65)المشمش
66)الكرز
67)الدراق / النكتارين
68)الفراولة
69)الشمام
70)الفواكه الأخرى
71)جوز الهند
72)الفول السوداني
73)الكاجو
74)جوز الكولا
75)السمسم
76)جوز البامبارا
77)الجوز
78)المكسرات الأخرى
79)الكاكاو
80)القهوة
81)الشاي
82)قصب السكر
83)دوار الشمس
84)المحاصيل الغذائية النقدية الأخرى 
85)القطن
86)المطاط
87)الجوت
88)التبغ
89)القات
90)المحاصيل النقدية غير الغذائية الأخرى 
91) لا أعلم 
92) رفض الإ‘جابه </t>
  </si>
  <si>
    <t>Send if "income_main" "Equals" "Production and sale of staple crops" Or "income_main" "Equals" "Production and sale of vegetables or fruit" Or "income_main" "Equals" "Production and sale of cashcrops" Or "o_income_other" "Contains" "Production and sale of staple crops" Or "o_income_other" "Contains" "Production and sale of vegetables or fruit" Or "o_income_other" "Contains" "Production and sale of cashcrops" if not satisfied go to "ls_intro"</t>
  </si>
  <si>
    <t>Form Type - Dropdown
IsDemographic - crp_salesmain</t>
  </si>
  <si>
    <t>1-90 = crp_salesdif
91-92 = ls_intro</t>
  </si>
  <si>
    <t>1.2)Wheat
1.6)Barley
2.2)Potatoe
3.3)Peas
3.5)Chickpeas
3.6)Fava beans
4.1)Cabbage
4.2)Lettuce
4.101)Cauliflower
5.1)Tomatoes
5.2)Cucumber
5.4)Eggplant/aubergine
5.8)Onions
6.2)Lemon
7.4)Mango
7.5)Guava
7.7)Avocado
7.11)Grapes
7.12)Olives
8.7)Almond
10.4)Fodder
1.1)Rice
1.3)Millet
1.4)Sorghum
1.5)Maize
1.99)Other Cereal
2.1)Cassava
2.3)Sweet Potatoes
2.4)Yams
2.5)Carrots
2.6)Cocoyam
2.99)Other tubers
3.1)Beans
3.2)Lentils
3.4)Soybeans
3.7)Broad beans
3.99)Other pulses
4.3)Spinach-Amaranth
4.4)Cassava leaves
4.5)Potatoe leaves
4.6)Moringa
4.7)Sorrel Hibiscus / Rosselle
4.9)Green salad herbs [thyme/ parsley/ mint/ rocca/ other]
4.99)Other leafy vegetables
5.3)Pumpkin
5.5)Zucchini
5.6)Okra
5.7)Bell pepper
5.9)Haricot
5.101)Green peas
5.11)Fava beans green
5.99)Other non leafy vegs
6.1)Orange
6.3)Grapefruit
6.4)Mandarins/clementines
6.99)Other citrus fruit
7.1)Sweet Banana
7.2)Plantains
7.3)Papaya
7.6)Pineapple
7.8)Water Melon
7.9)Dates
7.101)Figs
7.13)Apple
7.14)Apricot
7.15)Cherries
7.16)Peach/nectarine
7.17)Strawberries
7.18)Melon [Cantaloupe]
7.99)Other fruit
8.1)Coconuts
8.2)Groundnut/peanut
8.3)Cashew Nut
8.4)Kola Nut
8.5)Sesame
8.6)Bambara nut
8.8)Walnut
8.99)Other nuts
9.1)Cocoa
9.2)Coffee
9.3)Tea
9.4)Sugarcane
9.5)Sunflower
9.99)Other food cash crop
10.1)Cotton
10.2)Rubber
10.3)Jute
10.5)Tobacco
10.6)Qat
10.99)Other non-food cash crop
888)DON'T KNOW
999)REFUSED</t>
  </si>
  <si>
    <t xml:space="preserve">GeoPoll [3/18/2024]: We do not have "income_sec" &amp; "income_third", that’s why we have used "o_income_other" in the conditional logic instead. Kindly confirm. </t>
  </si>
  <si>
    <t>Yes this is correct, however it is not currently reflected in the logic</t>
  </si>
  <si>
    <t>If either income_main or income_sec or income_third = "Production and sale of staple crops" or "Production and sale of vegetable/ fruit" or "Production and sale of cashcrops (cocoa, tobacco, etc)", then this section will be asked to respondents.
Otherwise, skip to ls_intro.
For any crop selected, go to crp_salesdif
If "Don't know" or "Refused", go to ls_intro</t>
  </si>
  <si>
    <t>crp_salesdif</t>
  </si>
  <si>
    <t>Has your household faced any significant difficulty in the last 3 months selling your {crp_salesmain}?
[OPERATOR: SINGLE RESPONSE.]
1)YES
2)NO
3)DON'T KNOW
4)REFUSED</t>
  </si>
  <si>
    <t>هل واجهت أسرتك أي صعوبة خلال الأشهر الثلاثة الماضية في بيع {crp_salesmain}؟
[المشغل: استجابة واحدة.]
1) نعم
2) لا
3) لا أعرف
4) رفض الإجابة</t>
  </si>
  <si>
    <t>1 = crp_salesdif_2
2-4 =  o_crp_sales_markets</t>
  </si>
  <si>
    <t>if crp_salesdif = 1, go to crp_salesdif_2 ; 
if crp_salesdif = 2-4, go to crp_salesprice</t>
  </si>
  <si>
    <t>if crp_salesdif = 1, go to crp_salesdif_2 ; 
if crp_salesdif = 2-4, go to  o_crp_sales_markets</t>
  </si>
  <si>
    <t>crp_salesdif_2</t>
  </si>
  <si>
    <t>crp_saledif_
1) crp_saledif_marketing_cost
2) crp_saledif_damage_losses
3) crp_saledif_low_demand
4) crp_saledif_pay_delay
5) crp_saledif_low_price
6) crp_saledif_processing
7) crp_saledif_competition
8) crp_saledif_other
9) crp_saledif_dk
10) crp_saledif_ref</t>
  </si>
  <si>
    <t>Which difficulties has your household faced in the last 3 months selling your {crp_salesmain}?
[OPERATOR: MULTIPLE RESPONSES POSSIBLE. SELECT OPTION(S) THAT BEST FIT THE INFORMATION PROVIDED BY THE RESPONDENTS.]
1)High transportation or other marketing costs
2)Damages and losses due to storage difficulties and/or difficulty accessing the market [e.g. insecurity/ poor infrastructure/ etc.]
3)Lack of demand from usual traders or buyers
4)Payment delays from traders / buyers
5)Low selling prices [e.g. compared to input prices / inflation]
6)Difficulty processing product [lack of processing inputs / equipment / etc]
7)Market flooded with products
8)Other
9)DON'T KNOW
10)REFUSED</t>
  </si>
  <si>
    <t xml:space="preserve">ما الصعوبات التي واجهتها أسرتك في الأشهر الثلاثة الماضية عند بيع {crp_salesmain}؟
[المشغل: عدة استجابات محتملة. حدد الخيار (الخيارات) الأنسب للمعلومات المقدمة من المجيب.]
1) ارتفاع تكاليف النقل أو تكاليف التسويق الأخرى
2) الاضرار و الخسائر نتيجة صعوبات التخزين و صعوبة الوصول الي السوق [ انعدام الامن / البنية التحتية الفقيرة و غيرها ] 
3) قلة الطلب من المشترين و التجار المعتادين
4) تأخر المدفوعات من التجار و المشترين
5) انخفاض أسعار البيع [ مقارنة باسعار المدخلات / التضخم علي سبيل المثال ] 
6) صعوبة معالجة المنتج [قلة مدخلات المعالجة ، المعدات و غيرها ] 
7) تشبع السوق بالمنتجات 
8) آخر
9) لا اعرف
10) رفض الإجابة </t>
  </si>
  <si>
    <t>1-10 = o_crp_salesdif_conflict</t>
  </si>
  <si>
    <t>1)crp_saledif_marketing_cost
2)crp_saledif_damage_losses
3)crp_saledif_low_demand
4)crp_saledif_pay_delay
5)crp_saledif_low_price
6)crp_saledif_processing
7)crp_saledif_competition
8)crp_saledif_other
9)crp_saledif_dk
10)crp_saledif_ref</t>
  </si>
  <si>
    <t>if crp_salesdif_2 = 1-10, go to crp_salesprice</t>
  </si>
  <si>
    <t>if crp_salesdif_2 = 1-10, go to  o_crp_salesdif_conflict</t>
  </si>
  <si>
    <t>o_crp_salesdif_conflict</t>
  </si>
  <si>
    <t>o_crp_salesdif_conflict
1)o_crp_saledifconfl_mkt_access
2)o_crp_saledifconfl_transport
3)o_crp_saledifconfl_damage_loss
4)o_crp_saledifconfl_low_demand
5)o_crp_saledifconfl_pay_delay
6)o_crp_saledifconfl_processing
7)o_crp_saledifconfl_none
8)o_crp_saledifconfl_other
9)o_crp_saledifconfl_dk
10)o_crp_saledifconfl_ref</t>
  </si>
  <si>
    <t>How has insecurity and/or conflict affected sales and marketing of your {crp_salesmain}?
[OPERATOR: MULTIPLE RESPONSES POSSIBLE.]
1)Reduced access to markets due to security concerns and movement restrictions
2)Higher transportation costs/longer transport routes
3)Damages and losses due to storage difficulties
4)Lack of demand from usual traders or buyers
5)Payment delays from traders/buyers
6)Difficulty processing product [lack of processing inputs/equipment / etc]
7)No impact so far
8)Other [specify]
9)DON'T KNOW
10)REFUSED</t>
  </si>
  <si>
    <t>كيف أثرت حالة عدم الأمان و/أو النزاع على مبيعات وتسويق {crp_salesmain} الخاص بك؟
[المشغل: ممكن عدة استجابات.]
1) قدرة أقل من الوصول إلى الأسواق بسبب مخاوف الأمان وقيود الحركة
2) ارتفاع تكاليف النقل / طرق نقل أطول
3) الأضرار والخسائر بسبب صعوبات التخزين
4) نقص الطلب من التجار أو المشترين المعتادين
5) تأخيرات الدفع من التجار/المشترين
6) صعوبة في تصنيع المنتج [نقص في مدخلات أو معدات التصنيع / إلخ]
7) لا تأثير حتى الآن
8) أخرى [يرجى التحديد]
9) لا أعلم
10) رفض الإجابة</t>
  </si>
  <si>
    <t>Form Type - Checklist
7,9,10 = IsNone</t>
  </si>
  <si>
    <t>1-10 = o_crp_sales_markets</t>
  </si>
  <si>
    <t>1)o_crp_saledifconfl_mkt_access
2)o_crp_saledifconfl_transport
3)o_crp_saledifconfl_damage_loss
4)o_crp_saledifconfl_low_demand
5)o_crp_saledifconfl_pay_delay
6)o_crp_saledifconfl_processing
7)o_crp_saledifconfl_none
8)o_crp_saledifconfl_other
9)o_crp_saledifconfl_dk
10)o_crp_saledifconfl_ref</t>
  </si>
  <si>
    <t>for any response go to o_crp_sales_markets</t>
  </si>
  <si>
    <t>o_crp_sales_markets</t>
  </si>
  <si>
    <t>Have the markets where you sell your products changed during the last three months? 
[OPERATOR: SINGLE RESPONSE.]
1)Yes - I sell more in localized markets [within the governorate]
2)Yes - more of my produce is exported to Israel and 1948 areas
3) Yes - export to other countries such as Jordan/ the Gulf/ Europe etc.]
4)No - no changes on the destination of produce
5)DON'T KNOW
6)REFUSED</t>
  </si>
  <si>
    <t>هل تغيرت الأسواق التي تبيع فيها منتجاتك خلال الثلاثة أشهر الماضية؟
[المشغل: استجابة واحدة.]
1)نعم، أبيع أكثر في الأسواق المحلية [داخل المحافظة]
2) نعم، يتم تصدير المزيد من منتجاتي إلى إسرائيل والداخل [أراضي 1948]
3) نعم التصدير الي الخارج [الدول الاخرى مثل الأردن والخليج أوروبا وغيرها]
4) لا، لا توجد تغييرات في وجهة المنتجات.
5)لا أعرف.
6)رفض الإجابة.</t>
  </si>
  <si>
    <t>1-6 = crp_salesprice</t>
  </si>
  <si>
    <t>crp_salesprice</t>
  </si>
  <si>
    <t>How does the current price of your household's {crp_salesmain} compare to the average price in the same period of a normal year? 
[OPERATOR: SINGLE RESPONSE. INSIST ON THE MAIN PRODUCT MENTIONED.]
1)A lot more [increased by more than 50%]
2)Slightly more
3)Same
4)Slightly less
5)A lot less [less than half as much]
6)DON'T KNOW
7)REFUSED</t>
  </si>
  <si>
    <t>كيف تقارن السعر الحالي ل{crp_salesmain} لأسرتك بمتوسط ​​السعر في نفس الفترة من العام العادي؟
[المشغل: استجابة واحدة. قم بالإصرار على المحصول الرئيسي المذكور.]
1) أكثر بكثير [زادت بنسبة تزيد عن 50٪]
2) أكثر قليلا
3) نفس الشيء
4) أقل قليلاً
5) أقل بكثير [أقل من نصف الكمية]
6) لا أعرف
7) رفض الإجابة</t>
  </si>
  <si>
    <t xml:space="preserve">1-7 = ls_intro </t>
  </si>
  <si>
    <t>if crp_salesprice = 1-7, go to ls_intro</t>
  </si>
  <si>
    <t>E. LIVESTOCK PRODUCTION</t>
  </si>
  <si>
    <t>ls_intro</t>
  </si>
  <si>
    <t>We will now ask you some questions about livestock production which apply to you and anyone in your household that is involved in livestock production or sales. 
1)CONTINUE</t>
  </si>
  <si>
    <t>سنطرح عليك الآن بعض الأسئلة حول إنتاج الماشية التي تنطبق عليك وعلى أي شخص في أسرتك يشارك في إنتاج الماشية أو بيعها.
1) تابع</t>
  </si>
  <si>
    <t>Send if "hh_agricactivity" "Equals" "Yes - livestock production" Or "hh_agricactivity" "Equals" "Yes - both crop and livestock production" if not satisfied go to "ls_salesmain"</t>
  </si>
  <si>
    <t>1 = ls_main</t>
  </si>
  <si>
    <t>If hh_agricactivity = "Yes - livestock production" or "Yes - both crop and livestock production" or if they reported production and sales of livestocks in one of the three main income sources and confirmed that they are involved in production, then this section will be administered to respondents.
Otherwise, skip to ls_salesmain.</t>
  </si>
  <si>
    <t>If hh_agricactivity = "Yes - livestock production" or "Yes - both crop and livestock production", then this section will be administered to respondents.
Otherwise, skip to ls_salesmain.</t>
  </si>
  <si>
    <t>ls_main</t>
  </si>
  <si>
    <t>What was the main animal raised by your household for food or income generation in the last 12 months?
[OPERATOR: SINGLE RESPONSE. ASK ABOUT THE MOST IMPORTANT ANIMAL ONLY.] [HINT: DON'T FORGET TO PROBE ABOUT TRANSHUMANCE - MOVING LIVESTOCK FROM ONE GRAZING GROUND TO ANOTHER.]
1)Cattle [cow / beef / veal / yak / buffalo]
2)Goat
3)Sheep
4)Equine [donkey / horse / etc]
5)Small domesticated mammals [rabbits / minks / guinea pigs / etc]
6)Poultry [chicken / guineafowl / duck / quail / turkey / etc]
7)Camelids
8)Other
9)DON'T KNOW
10)REFUSED</t>
  </si>
  <si>
    <t>ما هو الحيوان الرئيسي الذي قامت أسرتك بتربيته للاستخدام الغذائي أو لتوليد الدخل خلال الاثني عشر شهرًا الماضية؟
[المشغل: استجابة واحدة. اسأل عن الحيوان الأكثر أهمية فقط.] [ملحوظة: لا تنسَ التحقيق في مسألة التنقل الرعوي - نقل االماشية من أرض رعي إلى أخرى.]
1) البقر [بقرة / ثور / عجل  / ياك / جاموس]
2) الماعز
3) الأغنام
4) الحمير/ الأحصنة
5) الثدييات المستأنسة الصغيرة [الأرانب / المنك / خنازير غينيا / إلخ]
6) دواجن [دجاج / دجاج غينيا / بطة / سمان / ديك رومي / إلخ]
7) الإبل
8) آخر
9) لا أعرف
10) رفض الإجابة</t>
  </si>
  <si>
    <t>Form Type - Buttons
IsDemographic - ls_main</t>
  </si>
  <si>
    <t>1-8 = ls_num_lastyr
9-10 = ls_proddif</t>
  </si>
  <si>
    <t>if ls_main = 1-9, go to ls_num_lastyr ; 
If ls_main = 10-11, go to ls_proddif</t>
  </si>
  <si>
    <t>ls_num_lastyr</t>
  </si>
  <si>
    <t>How many {ls_main} did you have at the same time last year?
[OPERATOR: RECORD THE NUMBER OF ANIMALS. ENTER 88888 FOR DON'T KNOW AND 99999 FOR REFUSED.]</t>
  </si>
  <si>
    <t>كم {ls_main} كان لديك في نفس الوقت من العام الماضي؟
[المُشغل: سجل عدد الحيوانات. أدخل 88888 للا أعرف و 99999 في حالة الرفض.]</t>
  </si>
  <si>
    <t>0-10000 = ls_num_now
88888-88888 = ls_num_now
99999-99999 = ls_num_now</t>
  </si>
  <si>
    <t>answers can range from 0-10000; any response goes to ls_num_now</t>
  </si>
  <si>
    <t>ls_num_now</t>
  </si>
  <si>
    <t>How many {ls_main} do you have now?
[OPERATOR: RECORD THE NUMBER OF ANIMALS. ENTER 88888 FOR DON'T KNOW AND 99999 FOR REFUSED.]</t>
  </si>
  <si>
    <t>كم {ls_main} لديك الآن؟
[المُشغل: سجل عدد الحيوانات. أدخل 88888 للا أعرف و 99999 في حالة الرفض.]</t>
  </si>
  <si>
    <t>0-10000 = ls_num_change
88888-88888 = ls_num_change
99999-99999 = ls_num_change</t>
  </si>
  <si>
    <t>answers can range from 0-10000; any response goes to ls_num_change</t>
  </si>
  <si>
    <t>ls_num_change</t>
  </si>
  <si>
    <t>ls_num_
1) ls_num_no_change
2) ls_num_inc_less_sales
3) ls_num_inc_more_birth
4) ls_num_inc_more_acquired
5) ls_num_inc_received_free
6) ls_num_dec_poor_health
7) ls_num_dec_death
8) ls_num_dec_sales_good_price
9) ls_num_dec_sales_distress
10) ls_num_dec_escape_stolen
11) ls_num_dec_consumed
12) ls_num_inc_dec_other
13) ls_num_inc_dec_dk
14) ls_num_inc_dec_ref</t>
  </si>
  <si>
    <t>Why did the number of livestock change?
[OPERATOR: MULTIPLE RESPONSES POSSIBLE.] 
1)No significant change in livestock number
2)Did not sell as many
3)Many more were born
4)Purchased or bartered more animals this year
5)Received animals for free [restocking / gift]
6)Animal death due to malnutrition/ drought/ lack of feed
7)Animal death due to other factors [e.g. diseases/ parasites/ injury]
8)Sold more than usual because of good prices
9)Sold more than usual because of distress sales [unable to feed animal / need money urgently for household basic needs even if sales were unsustainable]
10)Animal escaped or was lost or stolen
11)Killed or gave away more animals than usual for household consumption or celebrations [marriage / funerals / etc]
12)Other
13)DON’T KNOW
14)REFUSED</t>
  </si>
  <si>
    <t>لماذا تغير عدد الماشية؟
[المُشغل: احتمال وجود عدة استجابات.]
1) لا تغيير ملحوظ في عدد الماشية
2) لم نتمكن البيع بنفس المقدار
3) زيادة عدد المواليد
4) شراء أو مقايضة المزيد من الحيوانات هذا العام
5) إستلام حيوانات مجانًا [إعادة تخزين / هدية]
6) وفاة الحيوانات نتيجة سوء التغذية / الجفاف / قلة الغذاء
7) وفاة الحيوانات نتيجة عوامل أخرى [ الامراض / الطفيليات / الإصابات علي سبيل المثال ]
8) بيعت أكثر من المعتاد بسبب الأسعار الجيدة
9) تم البيع أكثر من المعتاد بسبب المبيعات الضائقة [عدم القدرة على إطعام الحيوانات / بحاجة ماسة إلى المال لتلبية الاحتياجات الأساسية للأسرة حتى لو كانت المبيعات غير مستدامة]
10) هروب الحيوانات أو فقدانها أو سرقتها
11) قتل أو توزيع حيوانات أكثر من المعتاد للاستهلاك المنزلي أو للاحتفالات [زواج / جنازات / إلخ]
12) آخر
13) لا أعرف
14) رفض الإجابة</t>
  </si>
  <si>
    <t>Form Type - Checklist
1,13,14 = IsNone</t>
  </si>
  <si>
    <t>1-14 = ls_feed</t>
  </si>
  <si>
    <t>1)ls_num_no_change
2)ls_num_inc_less_sales
3)ls_num_inc_more_birth
4)ls_num_inc_more_acquired
5)ls_num_inc_received_free
6)ls_num_dec_poor_health
7)ls_num_dec_death
8)ls_num_dec_sales_good_price
9)ls_num_dec_sales_distress
10)ls_num_dec_escape_stolen
11)ls_num_dec_consumed
12)ls_num_inc_dec_other
13)ls_num_inc_dec_dk
14)ls_num_inc_dec_ref</t>
  </si>
  <si>
    <t>If ls_num_change 1-14 = [ls_proddif OR optional question]</t>
  </si>
  <si>
    <t>1-15 = ls_feed</t>
  </si>
  <si>
    <t>ls_feed</t>
  </si>
  <si>
    <t>ls_feed
1) ls_feed_open_pasture
2) ls_feed_common_pasture
3) ls_feed_self_produced
4) ls_feed_purchased
5) ls_feed_free_dist
6) ls_feed_other
7) ls_feed_dk
8) ls_feed_ref</t>
  </si>
  <si>
    <t>Where do you usually access feed for your {ls_main}?  
[OPERATOR: MULTIPLE RESPONSES POSSIBLE.] 
1)Open pasture
2)Community-managed pasture land
3)Owned or rented field or self-produced fodder
4)Purchase feed or fodder at the market
5)Free distribution
6)Other
7)DON'T KNOW
8)REFUSED</t>
  </si>
  <si>
    <t>من أين تحصل على الغذاء ل {ls_main} ؟
[المُشغل: احتمال وجود عدة استجابات.]
1) المرعى المفتوح
2) أراضي المراعي التي يديرها المجتمع
3) الحقول المملوكة أو المؤجرة أو الأعلاف المنتجة ذاتيا
4) شراء العلف من الأسواق
5) التوزيع المجاني
6) آخر
7) لا أعرف
8) رفض الإجابة</t>
  </si>
  <si>
    <t>Form Type - Checklist
7,8 = IsNone</t>
  </si>
  <si>
    <t>1-8 = ls_proddif</t>
  </si>
  <si>
    <t>1)ls_feed_open_pasture
2)ls_feed_common_pasture
3)ls_feed_self_produced
4)ls_feed_purchased
5)ls_feed_free_dist
6)ls_feed_other
7)ls_feed_dk
8)ls_feed_ref</t>
  </si>
  <si>
    <t>For any response, go to ls_proddif</t>
  </si>
  <si>
    <t>ls_proddif</t>
  </si>
  <si>
    <t>Has your household faced any significant difficulty with livestock production over the last 3 months?
[OPERATOR: SINGLE RESPONSE.]
1)YES
2)NO
3)DON'T KNOW
4)REFUSED</t>
  </si>
  <si>
    <t>هل واجهت أسرتك أي صعوبة في إنتاج الماشية خلال الأشهر الثلاثة الماضية؟
[المشغل: استجابة واحدة.]
1) نعم
2) لا
3) لا أعرف
4) رفض الإجابة</t>
  </si>
  <si>
    <t>1=ls_proddif_2
2-4= o_ls_proddif_settler</t>
  </si>
  <si>
    <t>GeoPoll [17/4/2024]: Adjusted the skip pattern for oprions 2-4 to Q-"o_ls_proddif_settler" so that Q-"o_ls_proddif_settler" is not skipped if option 10)Animal escaped or was lost or stolen was selected at Q-"ls_num_change"</t>
  </si>
  <si>
    <t>if ls_proddif = 1, go to ls_proddif_2 ; 
if ls_proddif = 2-4, go to [ls_salesmain OR optional question]</t>
  </si>
  <si>
    <t>1=ls_proddif_2
2-4= ls_all</t>
  </si>
  <si>
    <t>ls_proddif_2</t>
  </si>
  <si>
    <t>ls_proddif_
1) ls_proddif_feed_purchase
2) ls_proddif_access_pasture
3) ls_proddif_access_water
4) ls_proddif_vet_serv
5) ls_proddif_vet_input
6) ls_proddif_diseases
7) ls_proddif_theft
8) ls_proddif_access_market
9) ls_proddif_access_credit
10) ls_proddif_access_labour
11) ls_proddif_other
12) ls_proddif_dk
13) ls_proddif_ref</t>
  </si>
  <si>
    <t>Which difficulties has your household faced with livestock production in the last 3 months?
[OPERATOR: MULTIPLE RESPONSES POSSIBLE. SELECT OPTION(S) THAT BEST FIT THE INFORMATION PROVIDED BY THE RESPONDENTS.]
1)Difficulty to purchase feed [e.g. prices or access to market]
2)Access to pasture
3)Access to water
4)Access to veterinary services [vaccinations/ treatments/ spraying/ advisory etc]
5)Access to veterinary inputs [medicine for animals / tools for animal health / etc]
6)Livestock diseases or injury
7)Livestock theft
8)Access to livestock market to buy young animals
9)Access to credit
10)Access to manpower labour 
11)Other
12)DON'T KNOW
13)REFUSED</t>
  </si>
  <si>
    <t>ما الصعوبات التي واجهتها أسرتك في إنتاج الماشية في الأشهر الثلاثة الماضية؟
[المُشغل: عدة استجابات محتملة. حدد الخيار (الخيارات) الأنسب للمعلومات المقدمة من المجيب.]
1) صعوبة شراء العلف [الأسعار أو الوصول إلى السوق]
2) الوصول إلى المراعي
3) الحصول على الماء
4) الحصول على الخدمات البيطرية [ التطعيمات / العلاج / نصائح الرش و غيرها ]
5) الوصول إلى المدخلات البيطرية [أدوية للحيوانات / أدوات لصحة الحيوان / إلخ]
6) أمراض الماشية أو الموت
7) سرقة المواشي
8) الوصول إلى سوق المواشي لشراء الحيوانات الصغيرة العمر
9) الحصول على الائتمان
10) الوصول إلى القوى العاملة
11) آخر
12) لا أعرف
13) رفض الإجابة</t>
  </si>
  <si>
    <t>Form Type - Checklist
12,13 = IsNone</t>
  </si>
  <si>
    <t>1-13 = o_ls_proddif_settler</t>
  </si>
  <si>
    <t>1)ls_proddif_feed_purchase
2)ls_proddif_access_pasture
3)ls_proddif_access_water
4)ls_proddif_vet_serv
5)ls_proddif_vet_input
6)ls_proddif_diseases
7)ls_proddif_theft
8)ls_proddif_access_market
9)ls_proddif_access_credit
10)ls_proddif_access_labour
11)ls_proddif_other
12)ls_proddif_dk
13)ls_proddif_ref</t>
  </si>
  <si>
    <t>if ls_proddif_2 = 1-13, go to ls_salesmain OR optional question</t>
  </si>
  <si>
    <t>1-14 = ls_all</t>
  </si>
  <si>
    <t>o_ls_proddif_settler</t>
  </si>
  <si>
    <t>o_ls_pd_settler</t>
  </si>
  <si>
    <t>Were any of your animals confiscated by settlers? 
[OPERATOR: SINGLE RESPONSE]
1)YES
2)NO
3)DON'T KNOW
4)REFUSED</t>
  </si>
  <si>
    <t>هل تم مصادرة أي من حيواناتك من قبل المستوطنين؟
[استجابة واحدة]
1) نعم
2) لا
3) لا أعلم
4) رفض الإجابة</t>
  </si>
  <si>
    <t>Send if "ls_num_change" "Contains" "Animal escaped or was lost or stolen" Or "ls_proddif_2" "Contains" "Livestock theft" if not satisfied go to "o_ls_proddif_conflict"</t>
  </si>
  <si>
    <t>1-4 = o_ls_proddif_conflict</t>
  </si>
  <si>
    <t>Question is asked if the respondent indicated animal theft for ls_num_change (answer #10) or ls_proddif_2 (#7)
for any response, go to o_ls_proddif_conflict</t>
  </si>
  <si>
    <t>o_ls_proddif_conflict</t>
  </si>
  <si>
    <t>o_ls_proddif_conflict
1) o_ls_pd_confl_loss_land
2) o_ls_pd_confl_ls_loss
3) o_ls_pd_confl_pasture
4) o_ls_pd_confl_loss_assets
5) o_ls_pd_confl_stop_prod
6) o_ls_pd_confl_labour
7) o_ls_pd_confl_agri_input
8) o_ls_pd_confl_none
9) o_ls_pd_confl_other
10) o_ls_pd_confl_dk
11) o_ls_pd_confl_ref</t>
  </si>
  <si>
    <t>How has insecurity and/or conflict affected  your household's production of {ls_main}?
[OPERATOR: MULTIPLE RESPONSES POSSIBLE.]
1)Abandonment of land after being displaced
2)Death or loss of livestock
3)Unable to safely access pasture
4)Damage or loss of household or productive assets
5)Stopped crop or livestock production 
6)Lack of access to farm labour / labour too expensive
7)Lack of access to agricultural inputs / inputs too expensive
8)No impact on productivity so far
9)Other [specify]
10)DON'T KNOW
11)REFUSED</t>
  </si>
  <si>
    <t>كيف أثرت حالة عدم الأمان و/أو النزاع على إنتاج أسرتك لـ {ls_main}؟
[المشغل: ممكن عدة استجابات.]
1) التخلي عن الأرض بعد التهجير
2) موت أو فقدان الثروة الحيوانية
3) عدم القدرة على الوصول بأمان إلى المراعي
4) تضرر أو فقدان أصول الأسرة أو الأصول الإنتاجية
5) توقف إنتاج المحاصيل أو الثروة الحيوانية
6) عدم القدرة على الوصول إلى عمال المزارع / تكلفة العمالة مرتفعة جدًا
7) عدم القدرة على الوصول إلى المدخلات الزراعية / المدخلات باهظة الثمن
8) لم يكن هناك تأثير على الإنتاجية حتى الآن
9) أخرى [يرجى التحديد]
10) لا أعلم
11) رفض</t>
  </si>
  <si>
    <t>Send if "ls_main" "Equals" "Cattle [cow / beef / veal / yak / buffalo]" Or "ls_main" "Equals" "Goat" Or "ls_main" "Equals" "Sheep" Or "ls_main" "Equals" "Equine [donkey / horse / etc]" Or "ls_main" "Equals" "Small domesticated mammals [rabbits / minks / guinea pigs / etc]" Or "ls_main" "Equals" "Poultry [chicken / guineafowl / duck / quail / turkey / etc]" Or "ls_main" "Equals" "Camelids" Or "ls_main" "Equals" "Other" if not satisfied go to "ls_all"</t>
  </si>
  <si>
    <t>Form Type - Checklist
8,10,11 = IsNone</t>
  </si>
  <si>
    <t>1-11 = o_ls_proddif_conflict_damage</t>
  </si>
  <si>
    <t>1) o_ls_proddif_confl_loss_land
2) o_ls_proddif_confl_ls_loss
3) o_ls_proddif_confl_pasture
4) o_ls_proddif_confl_loss_assets
5) o_ls_proddif_confl_stop_prod
6) o_ls_proddif_confl_labour
7) o_ls_proddif_confl_agri_input
8) o_ls_proddif_confl_none
9) o_ls_proddif_confl_other
10) o_ls_proddif_confl_dk
11) o_ls_proddif_confl_ref</t>
  </si>
  <si>
    <t>GeoPoll [17/4/2024]: Added a conditional logic here so that this question is asked only if any of options 1-8  is selected at Q-"ls_main", this is because we have a demo tag that pulls in the answer selected from Q-"ls_main" in the question text.</t>
  </si>
  <si>
    <t>if o_ls_proddif_conflict = 4, go to o_ls_proddif_conflict_damage
Otherwise go to ls_all</t>
  </si>
  <si>
    <t>o_ls_proddif_conflict_damage</t>
  </si>
  <si>
    <t xml:space="preserve">o_ls_proddif_conflict_damage
1) o_ls_pd_confl_dam_confiscation
2) o_ls_pd_confl_dam_water_infra
3) o_ls_pd_confl_dam_agri_prod
4) o_ls_pd_confl_dam_farm_infra
5) o_ls_pd_confl_dam_dk
6) o_ls_pd_confl_dam_ref
</t>
  </si>
  <si>
    <t>What types of damage or losses to assets and equipments have you experienced, if any?
[OPERATOR: MULTIPLE RESPONSES POSSIBLE.]
1)Confiscation of productive assets/ stored products/ inputs/ etc
2)Damages to water infrastructure
3)Damages to harvested/stored crops and agricultural products
4)Damage or destruction of other farm infrastructure / buildings [e.g. animal barn/ storage/ etc]
5)DON'T KNOW
6)REFUSED</t>
  </si>
  <si>
    <t xml:space="preserve">
ما أنواع الأضرار أو الخسائر في الأصول والمعدات التي تعرضت لها، إن وجدت؟
[المشغل: استجابات متعددة ممكنة.]
1) مصادرة الأصول الإنتاجية، المنتجات المخزنة، المدخلات، إلخ
2) أضرار في البنية التحتية للماء
3) أضرار في المحاصيل المحصودة/المخزنة والمنتجات الزراعية
4) تضرر أو تدمير بنية تحتية زراعية أخرى / مباني [مثل حظائر الحيوانات، المخازن، إلخ]
5) لا أعلم
6) رفض الإجابة</t>
  </si>
  <si>
    <t>Send if "o_ls_proddif_conflict" "Contains" "Damage or loss of household or productive assets" if not satisfied go to "ls_all"</t>
  </si>
  <si>
    <t>1-6 = ls_all</t>
  </si>
  <si>
    <t xml:space="preserve">1) o_ls_pd_confl_dam_confiscation
2) o_ls_pd_confl_dam_water_infra
3) o_ls_pd_confl_dam_agri_prod
4) o_ls_pd_confl_dam_farm_infra
5) o_ls_pd_confl_dam_dk
6) o_ls_pd_confl_dam_ref
</t>
  </si>
  <si>
    <t>for any response, go to ls_all</t>
  </si>
  <si>
    <t>ls_all</t>
  </si>
  <si>
    <t>ls_all_
1)ls_all_cattle
2)ls_all_goats
3)ls_all_sheep
4)ls_all_equine
5)ls_all_smallmammals
6)ls_all_poultry
7)ls_all_camelids
8)ls_all_other
9)ls_all_none
10)ls_all_dk
11)ls_all_ref</t>
  </si>
  <si>
    <t>Do you own any other livestock aside from {ls_main}, and if so which ones?
[OPERATOR: "No other livestock" APPEARS AT THE END OF THE LIST OF OPTIONS. SELECT ALL ANIMALS LISTED BY THE RESPONDENT.]
1)No other livestock
2)DON'T KNOW
3)REFUSED</t>
  </si>
  <si>
    <t>هل تملك أي ماشية أخرى غير {ls_main} ، وإذا كان الأمر كذلك فما هي؟
[المُشغل: "لا مواشي أخرى" موجودة في خيارات الإجابة الأخيرة. حدد كل الحيوانات المدرجة.]
1) لا مواشي أخرى
2) لا أعرف
3) رفض الإجابة</t>
  </si>
  <si>
    <t>Send if "ls_main" "Equals" "Cattle [cow / beef / veal / yak / buffalo]" Or "ls_main" "Equals" "Goat" Or "ls_main" "Equals" "Sheep" Or "ls_main" "Equals" "Equine [donkey / horse / etc]" Or "ls_main" "Equals" "Small domesticated mammals [rabbits / minks / guinea pigs / etc]" Or "ls_main" "Equals" "Poultry [chicken / guineafowl / duck / quail / turkey / etc]" Or "ls_main" "Equals" "Camelids" Or "ls_main" "Equals" "Other" if not satisfied go to "ls_salesmain"</t>
  </si>
  <si>
    <t>Form Type - Checklist
Included unselected "ls_main"
1,2,3 = IsNone</t>
  </si>
  <si>
    <t>Dynamic = ls_salesmain
1-3 = ls_salesmain</t>
  </si>
  <si>
    <t>1)ls_all_cattle
2)ls_all_goats
3)ls_all_sheep
4)ls_all_equine
5)ls_all_smallmammals
6)ls_all_poultry
7)ls_all_camelids
8)ls_all_other
9)ls_all_none
10)ls_all_dk
11)ls_all_ref</t>
  </si>
  <si>
    <t>The list of animals that were not selected at ls_main will appear here with programming. 
For any response to ls_all, go to ls_salesmain</t>
  </si>
  <si>
    <t>E. LIVESTOCK MARKETING</t>
  </si>
  <si>
    <t>ls_salesmain</t>
  </si>
  <si>
    <t>What was the main livestock or livestock product sold by your household in the last 3 months?
[OPERATOR: SINGLE RESPONSE. INSIST ON THE MAIN PRODUCT.]
1)Cattle [cow / beef / veal / yak / buffalo]
2)Goat
3)Sheep
4)Equine [donkey / horse / etc]
5)Small domesticated mammals [rabbits / minks / guinea pigs / etc]
6)Poultry [chicken / guineafowl / duck / quail / turkey / etc]
7)Camelids
8)Eggs
9)Milk or dairy products
10)Skin or leather or wool
11)DON'T KNOW
12)REFUSED</t>
  </si>
  <si>
    <t>ما كان نوع الماشية الأساسي أو المنتج الحيواني الرئيسي الذي باعته أسرتك في الأشهر الثلاثة الماضية؟
[المشغل: استجابة واحدة. قم بالإصرار على المنتج الرئيسي.]
1) البقر [بقرة / ثور / عجل / ياك / جاموس]
2) الماعز
3) الأغنام
4) الحمير/ الأحصنة
5) الثدييات المستأنسة الصغيرة [الأرانب / المنك / خنازير غينيا / إلخ]
6) دواجن [دجاج / دجاج غينيا / بطة / سمان / ديك رومي / إلخ]
7) الإبل
8) البيض
9) الحليب أو مشتقاته
10) الجلد أو الصوف
11) لا أعرف
12) رفض الإجابة</t>
  </si>
  <si>
    <t>Send if "income_main" "Equals" "Production and sale of livestock or livestock products" Or "o_income_other" "Contains" "Production and sale of livestock or livestock products" if not satisfied go to "fies_intro"</t>
  </si>
  <si>
    <t>Form Type - Buttons
IsDemographic - ls_salesmain</t>
  </si>
  <si>
    <t>1-10 = ls_salesdif
11-12 = fies_intro</t>
  </si>
  <si>
    <t>If either income_main or income_sec or income_third = "Production and sale of livestock or livestock products", then this section will be asked to respondents.
Otherwise, skip to fish_main.
if ls_salesmain = 1-11, go to ls_salesdif ; 
if ls_salesmain = 12-13, go to fish_intro</t>
  </si>
  <si>
    <t>If either income_main or income_sec or income_third = "Production and sale of livestock or livestock products", then this section will be asked to respondents.
Otherwise, skip to fies_main.
if ls_salesmain = 1-11, go to ls_salesdif ; 
if ls_salesmain = 12-13, go to fies_intro</t>
  </si>
  <si>
    <t>ls_salesdif</t>
  </si>
  <si>
    <t>Has your household faced any significant difficulty in the last 3 months selling your {ls_salesmain}?
[OPERATOR: SINGLE RESPONSE.]
1)YES
2)NO
3)DON'T KNOW
4)REFUSED</t>
  </si>
  <si>
    <t>هل واجهت أسرتك أي صعوبة خلال الأشهر الثلاثة الماضية في بيع {ls_salesmain}؟
[المشغل: استجابة واحدة.]
1) نعم
2) لا
3) لا أعرف
4) رفض الإجابة</t>
  </si>
  <si>
    <t>1 = ls_salesdif_2
2-4 = ls_salesprice</t>
  </si>
  <si>
    <t>if ls_salesdif = 1, go to ls_salesdif_2 ; 
if ls_salesdif = 2-4, go to ls_salesprice</t>
  </si>
  <si>
    <t>ls_salesdif_2</t>
  </si>
  <si>
    <t>ls_salesdif_
1) ls_salesdif_marketing_cost
2) ls_salesdif_damage_losses
3) ls_salesdif_low_demand
4) ls_salesdif_pay_delay
5) ls_salesdif_low_price
6)  ls_salesdif_slaughterhouse
7) ls_salesdif_processing
8) ls_salesdif_competition
9) ls_salesdif_other
10) ls_salesdif_dk
11) ls_salesdif_ref</t>
  </si>
  <si>
    <t>Which difficulties has your household faced in the last 3 months selling your {ls_salesmain}?
[OPERATOR: MULTIPLE RESPONSES POSSIBLE. SELECT OPTION(S) THAT BEST FIT THE INFORMATION PROVIDED BY THE RESPONDENTS.]
1)High transportation or other marketing costs
2)Damage and losses during transportation or difficulty accessing the market
3)Lack of demand from usual traders or buyers  
4)Payment delays from traders / buyers 
5)Low selling prices [e.g. compared to input prices / inflation]
6)Closure of slaughterhouses or difficulties accessing slaughterhouses
7)Difficulties processing product other than closure of slaughterhouse [lack of access to processing inputs / equipment / etc]
8)Market flooded with products
9)Other
10)DON'T KNOW
11)REFUSED</t>
  </si>
  <si>
    <t>ما الصعوبات التي واجهتها أسرتك خلال الأشهر الثلاثة الماضية في بيع {ls_salesmain}؟
[المُشغل: عدة استجابات محتملة. حدد الخيار (الخيارات) الأنسب للمعلومات المقدمة من المجيب.]
1) ارتفاع تكاليف النقل أو تكاليف التسويق الأخرى
2) الأضرار والخسائر أثناء النقل أو صعوبة الوصول إلى السوق
3) انخفاض الطلب من التجار و المشترين المعتادين
4) تأخر المدفوعات من التجار و المشترين 
5) أسعار بيع منخفضة [على سبيل المثال مقارنة بأسعار المدخلات / التضخم]
6) إغلاق المسالخ أو صعوبة الوصول إلى المسالخ
7) صعوبات في معالجة المنتج بخلاف إغلاق المسلخ [تعثر الوصول إلى مدخلات المعالجة / المعدات / إلخ]
8) تشبع السوق بالمنتجات
9) آخر
10) لا أعرف
11) رفض الإجابة</t>
  </si>
  <si>
    <t>Form Type - Checklist
10,11 = IsNone</t>
  </si>
  <si>
    <t>1-11 = o_ls_salesdif_conflict</t>
  </si>
  <si>
    <t>1)ls_salesdif_marketing_cost
2)ls_salesdif_damage_losses
3)ls_salesdif_low_demand
4)ls_salesdif_pay_delay
5)ls_salesdif_low_price
6)ls_salesdif_slaughterhouse
7)ls_salesdif_processing
8)ls_salesdif_competition
9)ls_salesdif_other
10)ls_salesdif_dk
11)ls_salesdif_ref</t>
  </si>
  <si>
    <t>if ls_salesdif_2 = 1-11, go to ls_salesprice</t>
  </si>
  <si>
    <t>o_ls_salesdif_conflict</t>
  </si>
  <si>
    <t>o_ls_salesdif_conflict
1) o_ls_salesdif_conf_mkt_access
2) o_ls_salesdif_conf_transp
3) o_ls_salesdif_conf_loss_storage
4) o_ls_salesdif_conf_lack_demand
5) o_ls_salesdif_conf_pay_delay
6) o_ls_salesdif_conf_process
7) o_ls_salesdif_conf_none
8) o_ls_salesdif_conf_other
9) o_ls_salesdif_conf_dk
10) o_ls_salesdif_conf_ref</t>
  </si>
  <si>
    <t>How has insecurity and/or conflict affected sales and marketing of your {ls_salesmain}?
[OPERATOR: MULTIPLE RESPONSES POSSIBLE.]
1)Reduced access to markets due to security concerns and movement restrictions
2)Higher transportation costs/longer transport routes 
3)Damages and losses due to storage difficulties 
4)Lack of demand from usual traders or buyers 
5)Payment delays from traders/buyers
6)Difficulty processing product [lack of processing inputs/equipment / etc]
7)No impact so far
8)Other [specify]
9)DON'T KNOW
10)REFUSED</t>
  </si>
  <si>
    <t>كيف أثرت حالة عدم الأمان و/أو النزاع على مبيعات وتسويق {ls_salesmain} الخاص بك؟
[المشغل: استجابات متعددة ممكنة.]
1) محدودية الوصول إلى الأسواق بسبب مخاوف الأمان وقيود الحركة
2) ارتفاع تكاليف النقل / طرق نقل أطول
3) الأضرار والخسائر بسبب صعوبات التخزين
4) نقص الطلب من التجار أو المشترين المعتادين
5) تأخيرات الدفع من التجار/المشترين
6) صعوبة في تجهيز المنتج [نقص في مدخلات أو معدات التجهيز / إلخ]
7) لا تأثير حتى الآن
8) أخرى [يرجى التحديد]
9) لا أعلم
10) رفض الإجابة</t>
  </si>
  <si>
    <t>1-10 = ls_salesprice</t>
  </si>
  <si>
    <t>1) o_ls_salesdif_conf_mkt_access
2) o_ls_salesdif_conf_transp
3) o_ls_salesdif_conf_loss_storage
4) o_ls_salesdif_conf_lack_demand
5) o_ls_salesdif_conf_pay_delay
6) o_ls_salesdif_conf_process
7) o_ls_salesdif_conf_none
8) o_ls_salesdif_conf_other
9) o_ls_salesdif_conf_dk
10) o_ls_salesdif_conf_ref</t>
  </si>
  <si>
    <t>for any response, go to ls_salesprice</t>
  </si>
  <si>
    <t>ls_salesprice</t>
  </si>
  <si>
    <t>How does the current price of your household's {ls_salesmain} compare to the average price in the same period of a normal year?
[OPERATOR: SINGLE RESPONSE. INSIST ON THE MAIN PRODUCT MENTIONED.]
1)A lot more [increased by more than 50%]
2)Slightly more
3)Same
4)Slightly less
5)A lot less [less than half as much]
6)DON'T KNOW
7)REFUSED</t>
  </si>
  <si>
    <t>كيف تقارن السعر الحالي ل {ls_salesmain} لأسرتك بمتوسط ​​السعر في نفس الفترة من العام العادي؟ 
[المشغل: استجابة واحدة. قم بالإصرار على المنتج الرئيسي المذكور.]
1) أكثر بكثير [زادت بنسبة تزيد عن 50٪]
2) أكثر قليلا
3) نفس الشيء
4) أقل قليلاً
5) أقل بكثير [أقل من نصف الكمية]
6) لا أعرف
7) رفض الإجابة</t>
  </si>
  <si>
    <t>1-7 = fies_intro</t>
  </si>
  <si>
    <t>For options #1-7, go to fish_intro</t>
  </si>
  <si>
    <t>For options #1-7, go to fies_intro</t>
  </si>
  <si>
    <t>G. FOOD SECURITY AND CONSUMPTION</t>
  </si>
  <si>
    <t>fies_intro</t>
  </si>
  <si>
    <t>Now I would like to ask you some questions about food consumption, food utilization and coping mechanisms. Make sure to refer to the correct time period for each set of questions. The first set of questions refers to experiences faced by you or any of your household members over the past 30 days. 
[OPERATOR: SINGLE RESPONSE]
1)NEXT</t>
  </si>
  <si>
    <t>الآن أود أن أطرح عليك بعض الأسئلة حول استهلاك الغذاء ، واستخدام الغذاء و استراتيجيات المواجهة. تأكد من الرجوع إلى الفترة الزمنية الصحيحة لكل مجموعة من الأسئلة. تشير المجموعة الأولى من الأسئلة إلى التجارب التي واجهتها أنت أو أي فرد من أفراد أسرتك خلال الثلاثين يومًا الماضية.
[المشغل: استجابة واحدة]
1) التالي</t>
  </si>
  <si>
    <t>1 = fies_worried</t>
  </si>
  <si>
    <t>if fies = 1, go to fies_worried</t>
  </si>
  <si>
    <t>fies_worried</t>
  </si>
  <si>
    <t>During the last 30 days, was there a time when you or others in your household were worried about not having enough food to eat because of lack of money or other resources?
[OPERATOR: SINGLE RESPONSE]
1)YES
2)NO
3)DON'T KNOW
4)REFUSED</t>
  </si>
  <si>
    <t>خلال الثلاثين يومًا الماضية ، هل حدث أن كنت أنت أو الآخرين في اسرتك قلقين بأنه لن يتوفر لكم الطعام الكافي لتأكلوا بسبب نقص النقود أو المصادر الأخرى؟
[المشغل: استجابة واحدة]
1) نعم
2) لا
3) لا أعرف
4) رفض الإجابة</t>
  </si>
  <si>
    <t>1-4 = fies_healthy</t>
  </si>
  <si>
    <t>if fies_worried = 1-4, go to fies_healthy</t>
  </si>
  <si>
    <t>fies_healthy</t>
  </si>
  <si>
    <t>During the last 30 days, was there a time when you or others in your household were unable to eat healthy and nutritious food because of lack of money or other resources?
[OPERATOR: SINGLE RESPONSE]
1)YES
2)NO
3)DON'T KNOW
4)REFUSED</t>
  </si>
  <si>
    <t>خلال الثلاثين يومًا الماضية ، هل حدث أن لم يكن باستطاعتك أنت أو الآخرين في اسرتك أكل طعام صحي ومغذي بسبب نقص النقود أو المصادر الأخرى؟
[المشغل: استجابة واحدة]
1) نعم
2) لا
3) لا أعرف
4) رفض الإجابة</t>
  </si>
  <si>
    <t>1-4 = fies_fewfoods</t>
  </si>
  <si>
    <t>if fies_healthy = 1-4, go to fies_fewfoods</t>
  </si>
  <si>
    <t>fies_fewfoods</t>
  </si>
  <si>
    <t>During the last 30 days, was there a time when you or others in your household ate only a few kinds of foods because of lack of money or other resources?
[OPERATOR: SINGLE RESPONSE]
1)YES
2)NO
3)DON'T KNOW
4)REFUSED</t>
  </si>
  <si>
    <t>خلال الثلاثين يومًا الماضية ، هل حدث أن أنت أو الآخرين في اسرتك أكلتم أنواعاً قليلةً من الأطعمة بسبب نقص النقود أو المصادر الأخرى ؟ 
[المشغل: استجابة واحدة]
1) نعم
2) لا
3) لا أعرف
4) رفض الإجابة</t>
  </si>
  <si>
    <t>1-4 = fies_skipped</t>
  </si>
  <si>
    <t>if fies_fewfoods = 1-4, go to fies_skipped</t>
  </si>
  <si>
    <t>fies_skipped</t>
  </si>
  <si>
    <t>During the last 30 days, was there a time when you or others in your household had to skip a meal because of lack of money or other resources to get food?
[OPERATOR: SINGLE RESPONSE]
1)YES
2)NO
3)DON'T KNOW
4)REFUSED</t>
  </si>
  <si>
    <t>خلال الثلاثين يومًا الماضية ، هل كان عليك أنت أو الآخرين في اسرتك أن تتخلوا عن وجبة طعام بسبب نقص النقود أو المصادر الأخرى للحصول على الطعام ؟
[المشغل: استجابة واحدة]
1) نعم
2) لا
3) لا أعرف
4) رفض الإجابة</t>
  </si>
  <si>
    <t>1-4 = fies_ateless</t>
  </si>
  <si>
    <t>if fies_skipped = 1-4, go to fies_ateless</t>
  </si>
  <si>
    <t>fies_ateless</t>
  </si>
  <si>
    <t>During the last 30 days, was there a time when you or others in your household ate less than you thought you should because of lack of money or other resources?
[OPERATOR: SINGLE RESPONSE]
1)YES
2)NO
3)DON'T KNOW
4)REFUSED</t>
  </si>
  <si>
    <t>خلال الثلاثين يومًا الماضية ، هل حدث أن أكلت أنت أو الآخرين في اسرتك أقل مما اعتقدت أنكم يجب أن تأكلوا بسبب نقص النقود أو المصادر الأخرى؟ 
[المشغل: استجابة واحدة]
1) نعم
2) لا
3) لا أعرف
4) رفض الإجابة</t>
  </si>
  <si>
    <t>1-4 = fies_ranout</t>
  </si>
  <si>
    <t>if fies_ateless = 1-4, go to fies_ranout</t>
  </si>
  <si>
    <t>fies_ranout</t>
  </si>
  <si>
    <t>In the past 30 days, was there ever no food to eat of any kind in your house because of lack of resources to get food?
[OPERATOR: SINGLE RESPONSE]
1)YES
2)NO
3)DON'T KNOW
4)REFUSED</t>
  </si>
  <si>
    <t>خلال الثلاثين يومًا الماضية ، هل حدث أن لم يكن هنالك أي طعام لتأكله من أي نوع في منزلك  (نفد الطعام في منزلك) بسبب نقص الموارد للحصول على الطعام؟ 
[المشغل: استجابة واحدة]
1) نعم
2) لا
3) لا أعرف
4) رفض الإجابة</t>
  </si>
  <si>
    <t>1=fies_ranout_hhs
2-4 = fies_hungry</t>
  </si>
  <si>
    <t>if fies_ranout = 1, go to fies_ranout_hhs. Otherwise, go to fies_hungry</t>
  </si>
  <si>
    <t>fies_ranout_hhs</t>
  </si>
  <si>
    <t>How often did this happen?
[OPERATOR: SINGLE RESPONSE]
1)Rarely [1-2 times in the past 30 days]
2)Sometimes [3-10 times in the past 30 days]
3)Often [more than 10 times in the last 30 days]
4)DON'T KNOW
5)REFUSED</t>
  </si>
  <si>
    <t>كم مرة حدث ذلك؟
[المشغل: استجابة واحدة]
1) نادرًا [مرة إلى مرتين في الثلاثين يومًا الماضية]
2) في بعض الأحيان [3-10 مرات في الثلاثين يومًا الماضية]
3) في كثير من الأحيان [أكثر من 10 مرات في آخر 30 يومًا]
4) لا أعرف
5) رفض الإجابة</t>
  </si>
  <si>
    <t xml:space="preserve">1-5 = fies_hungry </t>
  </si>
  <si>
    <t>if fies_ranout_hhs = 1-5, go to fies_hungry</t>
  </si>
  <si>
    <t>fies_hungry</t>
  </si>
  <si>
    <t>In the past 30 days, did you or any household member ever go to sleep at night hungry because there was not enough food?
[OPERATOR: SINGLE RESPONSE]
1)YES
2)NO
3)DON'T KNOW
4)REFUSED</t>
  </si>
  <si>
    <t>خلال الثلاثين يومًا الماضية ، هل سبق لك أو لأي فرد من أفراد أسرتك أن تنام ليلاً وأنت جائعاً بسبب عدم وجود ما يكفي من الطعام؟ 
[المشغل: استجابة واحدة]
1) نعم
2) لا
3) لا أعرف
4) رفض الإجابة</t>
  </si>
  <si>
    <t>1=fies_hungry_hhs
2-4 = fies_whlday</t>
  </si>
  <si>
    <t>if fies_hungry = 1, go to fies_hungry_hhs. Otherwise, go to fies_whlday</t>
  </si>
  <si>
    <t>fies_hungry_hhs</t>
  </si>
  <si>
    <t>1-5 = fies_whlday</t>
  </si>
  <si>
    <t>if fies_hungry_hhs = 1-5, go to fies_whlday</t>
  </si>
  <si>
    <t>fies_whlday</t>
  </si>
  <si>
    <t>In the past 30 days, did you or any household member ever go a whole day and night without eating anything at all because there was not enough food?
[OPERATOR: SINGLE RESPONSE]
1)YES
2)NO
3)DON'T KNOW
4)REFUSED</t>
  </si>
  <si>
    <t>خلال الثلاثين يومًا الماضية ، هل بقيت أنت أو أي فرد من أفراد أسرتك يومًا كاملاً ليلاً ونهارًا دون تناول أي شيء على الإطلاق بسبب عدم وجود ما يكفي من الطعام؟ 
[المشغل: استجابة واحدة]
1) نعم
2) لا
3) لا أعرف
4) رفض الإجابة</t>
  </si>
  <si>
    <t>1=fies_whlday_hhs
2-4 = lcsi_intro</t>
  </si>
  <si>
    <t>if fies_whlday = 1, go to fies_whlday_hhs. Otherwise, go to lcsi_intro OR hdds</t>
  </si>
  <si>
    <t>fies_whlday_hhs</t>
  </si>
  <si>
    <t>1-5 = lcsi_intro</t>
  </si>
  <si>
    <t>if fies_whlday_hhs = 1-5, go to lcsi_intro OR hdds</t>
  </si>
  <si>
    <t>lcsi_intro</t>
  </si>
  <si>
    <t>Now I would like to ask you another set of questions on coping strategies, referring to the past 30 days.
[OPERATOR: SINGLE RESPONSE]
1)NEXT</t>
  </si>
  <si>
    <t>الآن أود أن أسألك عن المجموعة الثانية من الأسئلة حول استراتيجيات المواجهة ، بالإشارة إلى الثلاثين يومًا الماضية.
[المشغل: استجابة واحدة]
1) التالي</t>
  </si>
  <si>
    <t>1 = cs_stress_hh_assets</t>
  </si>
  <si>
    <t>cs_stress_hh_assets</t>
  </si>
  <si>
    <t xml:space="preserve"> cs_stress_hh_assets</t>
  </si>
  <si>
    <t>Over the past 30 days, did anyone in your household have to sell household assets / goods [radio, furniture, television, jewelry, etc.] because of lack of food or money?
[OPERATOR: SINGLE RESPONSE]
1)Yes
2)No - because it wasn’t necessary
3)No - because you already sold those assets or did this activity within the last 12 months and you cannot continue to do it
4)Not applicable
5)DON'T KNOW 
6)REFUSED</t>
  </si>
  <si>
    <t>خلال الثلاثين يومًا الماضية ، هل اضطر أي شخص في أسرتك لبيع أصول / سلع منزلية [راديو ، أثاث ، تلفزيون ، مجوهرات ، إلخ] بسبب نقص الطعام أو المال؟
[المشغل: استجابة واحدة]
1) نعم
2) لا - لأنه لم يكن ذلك ضرورياً
3) لا - لأننا بعنا تلك الأصول من قبل أو لجأنا إلى هذه الإستراتيجية خلال الـ 12 شهرًا الماضية ولا يمكننا الاستمرار في القيام بذلك
4) لا ينطبق
5) لا أعرف
6) رفض الإجابة</t>
  </si>
  <si>
    <t>1-6 = cs_stress_spent_savings</t>
  </si>
  <si>
    <t>cs_stress_spent_savings</t>
  </si>
  <si>
    <t xml:space="preserve"> cs_stress_spent_savings</t>
  </si>
  <si>
    <t>Over the past 30 days, did anyone in your household have to spend savings because of lack of food or money?
[OPERATOR: SINGLE RESPONSE]
1)Yes
2)No - because it wasn’t necessary
3)No - because you already sold those assets or did this activity within the last 12 months and you cannot continue to do it
4)Not applicable
5)DON'T KNOW 
6)REFUSED</t>
  </si>
  <si>
    <t>خلال الثلاثين يومًا الماضية ، هل اضطر أي فرد في أسرتك إلى إنفاق مدخرات بسبب نقص الطعام أو المال؟
[المشغل: استجابة واحدة]
1) نعم
2) لا - لأنه لم يكن ذلك ضرورياً
3) لا - لأننا بعنا تلك الأصول من قبل أو لجأنا إلى هذه الإستراتيجية خلال الـ 12 شهرًا الماضية ولا يمكننا الاستمرار في القيام بذلك
4) لا ينطبق
5) لا أعرف
6) رفض الإجابة</t>
  </si>
  <si>
    <t>1-6 = cs_stress_credit</t>
  </si>
  <si>
    <t>cs_stress_credit</t>
  </si>
  <si>
    <t>Over the past 30 days, did anyone in your household have to purchase food on credit or borrowed food because of lack of food or money?
[OPERATOR: SINGLE RESPONSE]
1)Yes
2)No - because it wasn’t necessary
3)No - because you already sold those assets or did this activity within the last 12 months and you cannot continue to do it
4)Not applicable
5)DON'T KNOW 
6)REFUSED</t>
  </si>
  <si>
    <t>خلال الثلاثين يومًا الماضية ، هل اضطر أي فرد في أسرتك إلى شراء الطعام عن طريق الائتمان أو اقتراض الطعام بسبب نقص الطعام أو المال؟
[المشغل: استجابة واحدة]
1) نعم
2) لا - لأنه لم يكن ذلك ضرورياً
3) لا - لأننا بعنا تلك الأصول من قبل أو لجأنا إلى هذه الإستراتيجية خلال الـ 12 شهرًا الماضية ولا يمكننا الاستمرار في القيام بذلك
4) لا ينطبق
5) لا أعرف
6) رفض الإجابة</t>
  </si>
  <si>
    <t>1-6 = cs_stress_borrowed_money</t>
  </si>
  <si>
    <t>cs_stress_borrowed_money</t>
  </si>
  <si>
    <t>Over the past 30 days, did anyone in your household have to borrow money because of lack of food or money?
[OPERATOR: SINGLE RESPONSE]
1)Yes
2)No - because it wasn’t necessary
3)No - because you already sold those assets or did this activity within the last 12 months and you cannot continue to do it
4)Not applicable
5)DON'T KNOW 
6)REFUSED</t>
  </si>
  <si>
    <t>خلال الثلاثين يومًا الماضية ، هل اضطر أي فرد في أسرتك إلى اقتراض المال بسبب نقص الطعام أو المال؟
[المشغل: استجابة واحدة]
1) نعم
2) لا - لأنه لم يكن ذلك ضرورياً
3) لا - لأننا بعنا تلك الأصول من قبل أو لجأنا إلى هذه الإستراتيجية خلال الـ 12 شهرًا الماضية ولا يمكننا الاستمرار في القيام بذلك
4) لا ينطبق
5) لا أعرف
6) رفض الإجابة</t>
  </si>
  <si>
    <t>1-6 = cs_crisis_sold_prod_assets</t>
  </si>
  <si>
    <t>cs_crisis_sold_prod_assets</t>
  </si>
  <si>
    <t>Over the past 30 days, did anyone in your household have to sell productive assets or means of transport [sewing machine, wheelbarrow, bicycle, car, etc.] because of lack of food or money?
[OPERATOR: SINGLE RESPONSE]
1)Yes
2)No - because it wasn’t necessary
3)No - because you already sold those assets or did this activity within the last 12 months and you cannot continue to do it
4)Not applicable
5)DON'T KNOW 
6)REFUSED</t>
  </si>
  <si>
    <t>خلال الثلاثين يومًا الماضية ، هل اضطر أي شخص في أسرتك إلى بيع أصول منتجة أو وسائل نقل [ماكينة خياطة ، عربة يد ، دراجة ، سيارة ، إلخ] بسبب نقص الطعام أو المال؟
[المشغل: استجابة واحدة]
1) نعم
2) لا - لأنه لم يكن ذلك ضرورياً
3) لا - لأننا بعنا تلك الأصول من قبل أو لجأنا إلى هذه الإستراتيجية خلال الـ 12 شهرًا الماضية ولا يمكننا الاستمرار في القيام بذلك
4) لا ينطبق
5) لا أعرف
6) رفض الإجابة</t>
  </si>
  <si>
    <t>1-6 = cs_crisis_no_school</t>
  </si>
  <si>
    <t>cs_crisis_no_school</t>
  </si>
  <si>
    <t>Over the past 30 days, did anyone in your household have to withdraw children from school because of lack of food or money?
[OPERATOR: SINGLE RESPONSE]
1)Yes
2)No - because it wasn’t necessary
3)No - because you already sold those assets or did this activity within the last 12 months and you cannot continue to do it
4)Not applicable
5)DON'T KNOW 
6)REFUSED</t>
  </si>
  <si>
    <t>خلال الثلاثين يومًا الماضية ، هل اضطر أي فرد في أسرتك إلى سحب أطفاله من المدرسة بسبب نقص الطعام أو المال؟
[المشغل: استجابة واحدة]
1) نعم
2) لا - لأنه لم يكن ذلك ضرورياً
3) لا - لأننا بعنا تلك الأصول من قبل أو لجأنا إلى هذه الإستراتيجية خلال الـ 12 شهرًا الماضية ولا يمكننا الاستمرار في القيام بذلك
4) لا ينطبق
5) لا أعرف
6) رفض الإجابة</t>
  </si>
  <si>
    <t>1-6 = cs_crisis_reduced_health_exp</t>
  </si>
  <si>
    <t>cs_crisis_reduced_health_exp</t>
  </si>
  <si>
    <t>Over the past 30 days, did anyone in your household have to reduce expenses on health [including drugs] because of lack of food or money?
[OPERATOR: SINGLE RESPONSE]
1)Yes
2)No - because it wasn’t necessary
3)No - because you already sold those assets or did this activity within the last 12 months and you cannot continue to do it
4)Not applicable
5)DON'T KNOW 
6)REFUSED</t>
  </si>
  <si>
    <t>خلال الثلاثين يومًا الماضية ، هل اضطر أي فرد في أسرتك إلى تقليل النفقات على الصحة [بما في ذلك الأدوية] بسبب نقص الطعام أو المال؟
[المشغل: استجابة واحدة]
1) نعم
2) لا - لأنه لم يكن ذلك ضرورياً
3) لا - لأننا بعنا تلك الأصول من قبل أو لجأنا إلى هذه الإستراتيجية خلال الـ 12 شهرًا الماضية ولا يمكننا الاستمرار في القيام بذلك
4) لا ينطبق
5) لا أعرف
6) رفض الإجابة</t>
  </si>
  <si>
    <t>1-6 = cs_crisis_decrease_input_exp</t>
  </si>
  <si>
    <t>cs_crisis_decrease_input_exp</t>
  </si>
  <si>
    <t>Over the past 30 days, did anyone in your household have to decrease expenditures on fertilizer, pesticide, fodder, animal feed, veterinary care, etc. because of lack of food or money?
[OPERATOR: SINGLE RESPONSE]
1)Yes
2)No - because it wasn’t necessary
3)No - because you already sold those assets or did this activity within the last 12 months and you cannot continue to do it
4)Not applicable
5)DON'T KNOW 
6)REFUSED</t>
  </si>
  <si>
    <t>خلال الثلاثين يومًا الماضية ، هل اضطر أي شخص في أسرتك إلى تقليل الإنفاق على الأسمدة ومبيدات الآفات والأعلاف والأعلاف الحيوانية والرعاية البيطرية وما إلى ذلك بسبب نقص الطعام أو المال؟
[المشغل: استجابة واحدة]
1) نعم
2) لا - لأنه لم يكن ذلك ضرورياً
3) لا - لأننا بعنا تلك الأصول من قبل أو لجأنا إلى هذه الإستراتيجية خلال الـ 12 شهرًا الماضية ولا يمكننا الاستمرار في القيام بذلك
4) لا ينطبق
5) لا أعرف
6) رفض الإجابة</t>
  </si>
  <si>
    <t>1-6 = cs_emergency_sold_house</t>
  </si>
  <si>
    <t>cs_emergency_sold_house</t>
  </si>
  <si>
    <t>Over the past 30 days, did anyone in your household have to sell a house or land because of lack of food or money?
[OPERATOR: SINGLE RESPONSE]
1)Yes
2)No - because it wasn’t necessary
3)No - because you already sold those assets or did this activity within the last 12 months and you cannot continue to do it
4)Not applicable
5)DON'T KNOW 
6)REFUSED</t>
  </si>
  <si>
    <t>خلال الثلاثين يومًا الماضية ، هل اضطر أي فرد في أسرتك إلى بيع منزل أو أرض بسبب نقص الطعام أو المال؟
[المشغل: استجابة واحدة]
1) نعم
2) لا - لأنه لم يكن ذلك ضرورياً
3) لا - لأننا بعنا تلك الأصول من قبل أو لجأنا إلى هذه الإستراتيجية خلال الـ 12 شهرًا الماضية ولا يمكننا الاستمرار في القيام بذلك
4) لا ينطبق
5) لا أعرف
6) رفض الإجابة</t>
  </si>
  <si>
    <t>1-6 = cs_emergency_begged</t>
  </si>
  <si>
    <t>cs_emergency_begged</t>
  </si>
  <si>
    <t>Over the past 30 days, did anyone in your household have to beg because of lack of food or money?
[OPERATOR: SINGLE RESPONSE]
1)Yes
2)No - because it wasn’t necessary
3)No - because you already sold those assets or did this activity within the last 12 months and you cannot continue to do it
4)Not applicable
5)DON'T KNOW 
6)REFUSED</t>
  </si>
  <si>
    <t>خلال الثلاثين يومًا الماضية ، هل اضطر أي فرد في أسرتك إلى التسول بسبب نقص الطعام أو المال؟
[المشغل: استجابة واحدة]
1) نعم
2) لا - لأنه لم يكن ذلك ضرورياً
3) لا - لأننا بعنا تلك الأصول من قبل أو لجأنا إلى هذه الإستراتيجية خلال الـ 12 شهرًا الماضية ولا يمكننا الاستمرار في القيام بذلك
4) لا ينطبق
5) لا أعرف
6) رفض الإجابة</t>
  </si>
  <si>
    <t>1-6 = cs_emergency_sold_last_female</t>
  </si>
  <si>
    <t>cs_emergency_sold_last_female</t>
  </si>
  <si>
    <t>Over the past 30 days, did anyone in your household have to sell your last female animals because of lack of food or money?
[OPERATOR: SINGLE RESPONSE]
1)Yes
2)No - because it wasn’t necessary
3)No - because you already sold those assets or did this activity within the last 12 months and you cannot continue to do it
4)Not applicable
5)DON'T KNOW 
6)REFUSED</t>
  </si>
  <si>
    <t>خلال الثلاثين يومًا الماضية ، هل اضطر أي فرد في أسرتك لبيع آخر إناث الحيوانات بسبب نقص الطعام أو المال؟
[المشغل: استجابة واحدة]
1) نعم
2) لا - لأنه لم يكن ذلك ضرورياً
3) لا - لأننا بعنا تلك الأصول من قبل أو لجأنا إلى هذه الإستراتيجية خلال الـ 12 شهرًا الماضية ولا يمكننا الاستمرار في القيام بذلك
4) لا ينطبق
5) لا أعرف
6) رفض الإجابة</t>
  </si>
  <si>
    <t>1-6 = hdds</t>
  </si>
  <si>
    <t>hdds</t>
  </si>
  <si>
    <t>hdds
1) hdds_cereals
2) hdds_rootstubers
3) hdds_vegetables
4) hdds_fruits
5) hdds_meat
6) hdds_eggs
7) hdds_fish
8) hdds_legumes
9) hdds_milkdairy
10) hdds_oils
11)hdds_sugar
12) hdds_condiments</t>
  </si>
  <si>
    <t>Now I would like to ask you a set of questions on food consumption, referring to the 24 hours of yesterday. Please describe the foods [meals and snacks] that you or any household member ate or drank at home yesterday [in the 24 hours of yesterday: breakfast, lunch, dinner and snacks].
[OPERATOR: SELECT ALL FOOD GROUPS CONSUMED IN THE 24 HOURS OF YESTERDAY AS THE RESPONDENT ANSWERS. MULTIPLE RESPONSES POSSIBLE.]
1)Cereals [sorghum / millet / corn / wheat / rice / spaghetti / bread or insert any other locally available grain]
2)Roots and tubers [white sweet potato / potato / yam / cassava or other tubers]
3)Vegetables [all]
4)Fruit [all]
5)Meat/ poultry and offal [beef / lamb / goat / rabbit / wild game / chicken / duck / liver / kidney / heart / or other organ meats]
6)Eggs
7)Fish or shellfish [fresh or dried fish / shellfish]
8)Legumes/ nuts and seeds [beans / peas / peanut / lentils / almond / other nuts]
9)Milk and other dairy products [fresh milk / sour / yogurt / cheese / other dairy products]
10)Oils and fat [cooking / butter / margarine / fat / oil / other oil]
11)Sugar or sugary products [honey / jam / donuts / candy / chocolate / biscuits / pastries / cakes and other sweet products]
12)Condiments [cocoa / salt / garlic / spices / yeast / baking powder / tomato or tomato sauce / meat or fish as a condiment] and coffee / tea</t>
  </si>
  <si>
    <t>الآن أود أن أسألك عن المجموعة الثالثة من الأسئلة حول استهلاك الغذاء ، بالإشارة إلى 24 ساعة أمس. يرجى وصف الأطعمة (الوجبات والوجبات الخفيفة) التي أكلتها أو شربتها أنت أو أي فرد من أفراد أسرتك في المنزل أمس (في 24 ساعة من أمس: الإفطار والغداء والعشاء والوجبات الخفيفة).
[المُشغل: حدد كل المجموعات الغذائية المستهلكة خلال الـ 24 ساعة الماضية كإجابة للمُجيب. ردود متعددة ممكنة.]
1) الحبوب [الذرة الرفيعة / الدخن / الذرة / القمح / الأرز / السباغيتي / الخبز أو أدخل أي حبوب أخرى متوفرة محليًا]
2) الجذور والدرنات [البطاطا الحلوة البيضاء / البطاطا / اليام / الكسافا أو درنات أخرى]
3) الخضار [الكل]
4) الفواكه [الكل]
5) اللحوم / الدواجن ومخلفاتها [لحم البقر / لحم الغنم / لحم الماعز / الأرانب / الطرائد البرية / الدجاج / البط / الكبد / الكلى / القلب / أو غيرها من لحوم الأعضاء]
6) البيض
7) الأسماك أو المحار [الأسماك الطازجة أو المجففة/ المحار]
8) البقوليات والمكسرات [الفول / الفاصوليا / البازلاء / الفول السوداني / العدس / اللوز / المكسرات الأخرى]
9) الحليب ومنتجات الألبان الأخرى [حليب طازج / لبن رائب / زبادي / جبن / منتجات ألبان أخرى]
10) الزيوت والدهون [ الزبدة / المارجرين / الدهون / الزيت / الزيوت الأخرى]
11) السكر أو المنتجات السكرية [عسل / مربى / دوناتس / حلوى / شوكولاتة / بسكويت / حلو / كيك ومنتجات حلوة أخرى]
12) التوابل [الكاكاو / الملح / الثوم / البهارات / الخميرة / مسحوق الخبز [بكنج باودر] / الطماطم أو صلصة الطماطم / اللحوم أو الأسماك كتوابل] والقهوة / الشاي</t>
  </si>
  <si>
    <t>Form Type - Checklist</t>
  </si>
  <si>
    <t>1-12 = hdds_confirmation</t>
  </si>
  <si>
    <t>1)hdds_cereals
2)hdds_rootstubers
3)hdds_vegetables
4)hdds_fruits
5)hdds_meat
6)hdds_eggs
7)hdds_fish
8)hdds_legumes
9)hdds_milkdairy
10)hdds_oils
11)hdds_sugar
12)hdds_condiments</t>
  </si>
  <si>
    <t>if hdds = 1-12, go to hdds_confirmation</t>
  </si>
  <si>
    <t>hdds_confirmation</t>
  </si>
  <si>
    <t>[OPERATOR: REMEMBER TO PROBE FOR SNACKS, SPECIAL FOODS GIVEN TO CHILDREN OR PREGNANT WOMEN, INGREDIENTS IN MIXED DISHES. AT THE END, PROBE FOR FOOD GROUPS NOT MENTIONED. 
IF YOU HAVE ALREADY PROBED, CLICK CONTINUE. OTHERWISE, GO BACK TO MAKE SURE ALL FOOD GROUPS CONSUMED IN THE 24 HRS OF YESTERDAY WERE SELECTED.]
1)CONTINUE</t>
  </si>
  <si>
    <t>تذكر: تحقق من الوجبات الخفيفة والأطعمة الخاصة المقدمة للأطفال أو النساء الحوامل والمكونات في الأطباق المختلطة. في النهاية ، تحقق من المجموعات الغذائية التي لم يتم تناولها.
إذا قمت بالتحقق مسبقًا ، فيرجى النقر على "تابع". بخلاف ذلك ، يرجى الرجوع والتأكد من تحديد جميع المجموعات الغذائية المستهلكة في 24 ساعة من اليوم.
1) تابع</t>
  </si>
  <si>
    <t>1 = need</t>
  </si>
  <si>
    <t>if hdds_confirmation = 1, go to need or optional question</t>
  </si>
  <si>
    <t>if hdds_confirmation = 1, go to fcs_intro</t>
  </si>
  <si>
    <t>H. NEEDS ASSISTANCE</t>
  </si>
  <si>
    <t>need</t>
  </si>
  <si>
    <t>Does your household need assistance for agricultural activities [including crop, livestock and fisheries/aquaculture activities] over the next 3 to 6 months?
[OPERATOR: SINGLE RESPONSE.]
1)YES
2)NO
3)DON'T KNOW
4)REFUSED</t>
  </si>
  <si>
    <t>هل تحتاج أسرتك إلى مساعدة للقيام بالأنشطة الزراعية [بما فى ذلك انتاج المحاصيل أو الماشية أو مصايد الأسماك / أنشطة تربية الأحياء المائية] خلال الأشهر الثلاثة إلى الستة المقبلة؟
[المشغل: استجابة واحدة.]
1) نعم
2) لا
3) لا أعرف
4) رفض الإجابة</t>
  </si>
  <si>
    <t>1 = o_need_2
2-4= o_need_received</t>
  </si>
  <si>
    <t>Only administered to households involved in agricultural production [crop, livestock and/or fish]. Otherwise, go to "callback". 
if need = 1, go to need_2
if need = 2-4, go to need_received</t>
  </si>
  <si>
    <t>Only administered to households involved in agricultural production [crop and livestock only]. Otherwise, go to "callback". 
if need = 1, go to need_2
if need = 2-4, go to need_received</t>
  </si>
  <si>
    <t>o_need_2</t>
  </si>
  <si>
    <t>o_need_
1) o_need_food
2) o_need_cash
3) o_need_vouchers_fair
4) o_need_crop_inputs
5) o_need_crop_infrastructure
6) o_need_crop_knowledge
7) o_need_ls_feed
8) o_need_ls_vet_service
9) o_need_ls_infrastructure
10) o_need_ls_knowledge
11) o_need_env_infra_rehab
12) o_need_cold_storage
13) o_need_marketing_supp
14) o_need_other
15) o_need_dk
16) o_need_ref</t>
  </si>
  <si>
    <t>What are your household's greatest needs over the next 3 to 6 months?
[OPERATOR: MULTIPLE RESPONSE. DO NOT READ THE OPTIONS.]
1)Food
2)Cash
3)Vouchers or input trade fairs
4)Inputs for crop and/or vegetable production [e.g. seeds/ fertilizer/ tools]
5)Infrastructure for crop and/or vegetable production [e.g. irrigation/ canal rehabilitation/ pumps]
6)Training &amp; technical knowledge/advice for crop production
7)Livestock feed [fodder or supplementary feed]
8)Veterinary services [e.g. vaccination/ dips/ deworming]
9)Infrastructure for livestock [e.g. water points/ transhumance corridors/ shelter/ health points]
10)Training &amp; technical knowledge/advice for livestock production
11)Environmental or infrastructure rehabilitation [community-wide]
12)Cold storage
13)Marketing or sales support [e.g. public procurement]
14)Other [specify]
15)DON'T KNOW
16)REFUSED</t>
  </si>
  <si>
    <t>ما هي أكبر احتياجات أسرتك للمساعدة في إنتاج المحاصيل أو الماشية أو مصايد الأسماك / تربية الأحياء المائية خلال الأشهر الثلاثة إلى الستة المقبلة؟
[المشغل: عدة استجابات محتملة. لا تقرأ الخيارات إذا كان ذلك ممكنًا.]
1) الطعام
2) المساعدة النقدية 
3) قسائم المشتريات 
4) مدخلات انتاج المحاصيل و الخضروات [على سبيل المثال البذور و الاسمدة و المعدات] 
5) البنية التحتية لانتاج المحاصيل و الخضروات [على سبيل المثال الري، اعادة تأهيل قنوات الري و المضخات]
6) التدريبات المهنية و المعرفة / النصائح التقنية لإنتاج المحاصيل 
7) أعلاف الحيوانات [علف أو علف تكميلي]
8) الخدمات البيطرية [على سبيل المثال التطعيم والتخلص من الديدان]
9) البنية التحتية لانتاج الماشية [على سبيل المثال نقاط المياه ، ممرات التنقل الرعوي ، المأوى ، النقاط الصحية]
10) التدريبات المهنية و المعرفة / النصائح التقنية لانتاج الماشية 
11) اعادة ترميم البنية التحتية و البيئية [علي نطاق مجتمعي] 
12) التخزين البارد
13) دعم المبيعات أو التسويق [المشتريات العامة علي سبيل المثال]
14) آخر [حدد]
15)  لا أعرف
16) رفض الإجابة</t>
  </si>
  <si>
    <t>Form Type - Checklist
15,16 = IsNone</t>
  </si>
  <si>
    <t>1-16 = o_need_received</t>
  </si>
  <si>
    <t>1)o_need_food
2)o_need_cash
3)o_need_vouchers_fair
4)o_need_crop_inputs
5)o_need_crop_infrastructure
6)o_need_crop_knowledge
7)o_need_ls_feed
8)o_need_ls_vet_service
9)o_need_ls_infrastructure
10)o_need_ls_knowledge
11)o_need_env_infra_rehab
12)o_need_cold_storage
13)o_need_marketing_supp
14)o_need_other
15)o_need_dk
16)o_need_ref</t>
  </si>
  <si>
    <t>1-16 = need_received</t>
  </si>
  <si>
    <t>o_need_received</t>
  </si>
  <si>
    <t>o_need_received_
1) o_need_received_food
2) o_need_received_cash
3) o_need_received_vouchers_fair
4) o_need_received_crop_assist
5) o_need_received_ls_assist
6) o_need_received_training
7) o_need_received_rehabilitation
8) o_need_received_sales_support
9) o_need_received_other
10) o_need_received_none
11) o_need_received_dk
12) o_need_received_ref</t>
  </si>
  <si>
    <t>Has your household received any assistance in the last 3 months, and if so, which kind?
[OPERATOR: MULTIPLE RESPONSE POSSIBLE. READ OUT THE OPTIONS.]
1)Food
2)Cash 
3)Vouchers/input trade fairs
4)Crop and/or vegetable production assistance
5)Livestock assistance
6)Training specific to the agricultural livelihood including in farm/herd management/ hygiene practices/ market access etc. 
7)Environmental or infrastructure rehabilitation [community-wide]
8)Marketing or sales support [e.g. public procurement]
9)Other [specify]
10)No assistance received
11)DON'T KNOW 
12)REFUSED</t>
  </si>
  <si>
    <t>هل تلقت أسرتك أي مساعدة خلال الأشهر الثلاثة الماضية ، وإذا كان الأمر كذلك ، فمن أي نوع؟
[المشغل: عدة استجابات محتملة. اقرأ الخيارات.]
1) الغذاء
2) مساعدة نقدية 
3) قسائم المشتريات
4) مساعدة لانتاج المحاصيل و الخضروات
5) مساعدة لانتاج الماشية 
6)التدريب التعلق بسبل العيش بما فيها إدارة المزرعة/المواشي، ممارسات النظافة،مهارات  الوصول الي الأسواق 
7) اعادة تأهيل البنية التحتية و البيئية علي نطاق مجتمعي 
8) دعم المبيعات أو التسويق [المشتريات العامة على سبيل المثال]
9) آخر [حدد]
10) لم تتلق المساعدة
11) لا أعرف 
12) رفض الإجابة</t>
  </si>
  <si>
    <t>Form Type - Checklist
10,11,12 = IsNone</t>
  </si>
  <si>
    <t>1-9 = assistance_quality 
10-12 = callback</t>
  </si>
  <si>
    <t>1)o_need_received_food
2)o_need_received_cash
3)o_need_received_vouchers_fair
4)o_need_received_crop_assist
5)o_need_received_ls_assist
6)o_need_received_training
7)o_need_received_rehabilitation
8)o_need_received_sales_support
9)o_need_received_other
10)o_need_received_none
11)o_need_received_dk
12)o_need_received_ref</t>
  </si>
  <si>
    <t xml:space="preserve">if need_received = 1-9, go to assistance_quality.
Otherwise, go to callback. </t>
  </si>
  <si>
    <t>assistance_quality</t>
  </si>
  <si>
    <t>Were you satisfied with the quality of the assistance provided? 
[OPERATOR: SINGLE RESPONSE. QUALITY OF ASSISTANCE IN TERMS OF SUFFICIENT ASSISTANCE FOR PRODUCTION OR SALES DIFFICULTY TO BE OVERCOME.]
1)Yes
2)No - not received on time
3)No - did not meet my needs
4)No - quantity was not sufficient
5)No - there was a problem with the provider
6)No - there was a malfunction of the in-kind assistance provided [e.g. poor quality tools]
7)DON'T KNOW
8)REFUSED</t>
  </si>
  <si>
    <t>هل كنت راضيا عن جودة المساعدة التي قدمت لكم ؟ 
[المشغل: استجابة واحدة. جودة المساعدة من حيث كفاية المساعدة للتغلب على صعوبات الانتاج أو البيع.]
1) نعم
2) لا - لم يتم استلامها في الوقت المحدد
3) لا - لم تلبي احتياجاتي
4) لا - الكمية لم تكن كافية
5) لا - حدثت مشكلة مع المزود
6) لا - حدث خلل في المساعدة العينية المقدمة [على سبيل المثال أدوات ذات جودة رديئة]
7) لا أعرف
8) رفض الإجابة</t>
  </si>
  <si>
    <t>1-8 = o_assistance_provider</t>
  </si>
  <si>
    <t>if assistance_quality = 1-8, go to callback or assistance_provider</t>
  </si>
  <si>
    <t>1-8 = assistance_quality</t>
  </si>
  <si>
    <t>o_assistance_provider</t>
  </si>
  <si>
    <t>o_assistance_provider
1)o_assistance_fao
2)o_assistance_wfp
3)o_assistance_unrwa
4)o_assistance_otherun
5)o_assistance_gov
6)o_assistance_ngo
7)o_assistance_dk
8)o_assistance_ref</t>
  </si>
  <si>
    <t>Who provided your household with this assistance?
[OPERATOR: MULTIPLE RESPONSE.]
1)FAO
2)WFP
3)UN Relief and Works Agency
4)Other UN agencies
5)Government
6)Non-governmental/local organization
7)DON'T KNOW
8)REFUSED</t>
  </si>
  <si>
    <t>من قام بتقديم تلك المساعدة لاسرتك ؟ 
[المُشغل: احتمال وجود عدة استجابات.]
1) منطمة الاغذية و الزراعة للأمم المتحدة 
2) برنامج الغذاء العالمي 
3) وكالة الأمم المتحدة لغوث وتشغيل اللاجئين
4) منظمات أخرى تابعة للامم المتحدة
5) جهات حكومية
6) منظمة محلية / غير حكومية 
7) لا أعرف 
8) رفض الإجابة</t>
  </si>
  <si>
    <t>1-8 = callback</t>
  </si>
  <si>
    <t>1)o_assistance_fao
2)o_assistance_wfp
3)o_assistance_unrwa
4)o_assistance_otherun
5)o_assistance_gov
6)o_assistance_ngo
7)o_assistance_dk
8)o_assistance_ref</t>
  </si>
  <si>
    <t xml:space="preserve">if assistance_provider = 1-7, go to callback </t>
  </si>
  <si>
    <t>I. CLOSING</t>
  </si>
  <si>
    <t>callback</t>
  </si>
  <si>
    <t>Your answers will help us to understand and respond to your community needs. May we call you back again in a few months?
[OPERATOR: SINGLE RESPONSE.]
1)YES
2)NO</t>
  </si>
  <si>
    <t>ستساعدنا إجاباتك على فهم احتياجات مجتمعك والاستجابة لها. هل يمكننا الاتصال بك مرة أخرى في غضون بضعة أشهر؟
[المشغل: استجابة واحدة.]
1) نعم
2) لا</t>
  </si>
  <si>
    <t>1 = future_int_day
2 = closeout</t>
  </si>
  <si>
    <t>if callback = 1, go to future_int_day
if 2, go to language2</t>
  </si>
  <si>
    <t>future_int_day</t>
  </si>
  <si>
    <t>future_int_day_
1) future_int_day_mon
2) future_int_day_tues
3) future_int_day_wed
4) future_int_day_thurs
5) future_int_day_fri
6) future_int_day_sat
7) future_int_day_sun</t>
  </si>
  <si>
    <t>For future interviews, in which day[s] can I call you?
[OPERATOR: MULTIPLE ANSWERS POSSIBLE.]
1)Monday
2)Tuesday
3)Wednesday
4)Thursday
5)Friday
6)Saturday
7)Sunday</t>
  </si>
  <si>
    <t>للمقابلات المستقبلية ، في أي يوم [أيام] يمكنني الاتصال بك؟
[المُشغل: إمكانية الحصول على إجابات متعددة.]
1) الاثنين
2) الثلاثاء
3) الأربعاء
4) الخميس
5) الجمعة
6) السبت
7) الأحد</t>
  </si>
  <si>
    <t>1-7 = future_int_time</t>
  </si>
  <si>
    <t>1) future_int_day_mon
2) future_int_day_tues
3) future_int_day_wed
4) future_int_day_thurs
5) future_int_day_fri
6) future_int_day_sat
7) future_int_day_sun</t>
  </si>
  <si>
    <t>if l_future_int_day = 1-7, go to future_int_time</t>
  </si>
  <si>
    <t>yes - panel</t>
  </si>
  <si>
    <t>future_int_time</t>
  </si>
  <si>
    <t>future_int_time_ 
1) future_int_time_morn
2) future_int_time_aft
3) future_int_time_eve</t>
  </si>
  <si>
    <t>For future interviews, at what time[s] can I call you?
[OPERATOR: MULTIPLE ANSWERS POSSIBLE.]
1)Mornings
2)Afternoons
3)Evenings</t>
  </si>
  <si>
    <t>للمقابلات المستقبلية ، في أي وقت [أوقات] يمكنني الاتصال بك؟
[المُشغل: إمكانية الحصول على إجابات متعددة.]
1) الصباح
2) بعد الظهر
3) المساء</t>
  </si>
  <si>
    <t>1-3 = closeout</t>
  </si>
  <si>
    <t>1) future_int_time_morn
2) future_int_time_aft
3) future_int_time_eve</t>
  </si>
  <si>
    <t>if future_int_time = 1-3, go to language2</t>
  </si>
  <si>
    <t>closeout</t>
  </si>
  <si>
    <t>Thank you for your time. The interview has come to an end.</t>
  </si>
  <si>
    <t xml:space="preserve">شكرا لك على وقتك. انتهت المقابلة. </t>
  </si>
  <si>
    <t xml:space="preserve">AVERAGE ESTIMATED DURATION </t>
  </si>
  <si>
    <t xml:space="preserve">Select top 10 crops </t>
  </si>
  <si>
    <t>GeoPoll code</t>
  </si>
  <si>
    <t>Dataset code</t>
  </si>
  <si>
    <t>Label (EN)</t>
  </si>
  <si>
    <t>Label (AR)</t>
  </si>
  <si>
    <t>1.1</t>
  </si>
  <si>
    <t>Rice</t>
  </si>
  <si>
    <t>الرز</t>
  </si>
  <si>
    <t>x</t>
  </si>
  <si>
    <t>1.2</t>
  </si>
  <si>
    <t>Wheat</t>
  </si>
  <si>
    <t>القمح</t>
  </si>
  <si>
    <t>1.3</t>
  </si>
  <si>
    <t>Millet</t>
  </si>
  <si>
    <t>الدخن</t>
  </si>
  <si>
    <t>1.4</t>
  </si>
  <si>
    <t>Sorghum</t>
  </si>
  <si>
    <t>الذرة الرفيعة</t>
  </si>
  <si>
    <t>1.5</t>
  </si>
  <si>
    <t>Maize</t>
  </si>
  <si>
    <t>الذرة</t>
  </si>
  <si>
    <t>1.6</t>
  </si>
  <si>
    <t>Barley</t>
  </si>
  <si>
    <t>الشعير</t>
  </si>
  <si>
    <t>1.99</t>
  </si>
  <si>
    <t>Other Cereal</t>
  </si>
  <si>
    <t>الحبوب الأخرى</t>
  </si>
  <si>
    <t>2.1</t>
  </si>
  <si>
    <t>Cassava</t>
  </si>
  <si>
    <t>الكسافا</t>
  </si>
  <si>
    <t>2.2</t>
  </si>
  <si>
    <t>Potatoe</t>
  </si>
  <si>
    <t>البطاطا</t>
  </si>
  <si>
    <t>2.3</t>
  </si>
  <si>
    <t>Sweet Potatoes</t>
  </si>
  <si>
    <t>البطاطا الحلوة</t>
  </si>
  <si>
    <t>2.4</t>
  </si>
  <si>
    <t>Yams</t>
  </si>
  <si>
    <t>اليام</t>
  </si>
  <si>
    <t>2.5</t>
  </si>
  <si>
    <t>Carrots</t>
  </si>
  <si>
    <t>الجزر</t>
  </si>
  <si>
    <t>2.6</t>
  </si>
  <si>
    <t>Cocoyam</t>
  </si>
  <si>
    <t>القلقاس</t>
  </si>
  <si>
    <t>2.99</t>
  </si>
  <si>
    <t>Other tubers</t>
  </si>
  <si>
    <t>الدرنات الأخرى</t>
  </si>
  <si>
    <t>3.1</t>
  </si>
  <si>
    <t>Beans</t>
  </si>
  <si>
    <t>الفاصوليا</t>
  </si>
  <si>
    <t>3.2</t>
  </si>
  <si>
    <t>Lentils</t>
  </si>
  <si>
    <t>العدس</t>
  </si>
  <si>
    <t>3.3</t>
  </si>
  <si>
    <t>Peas</t>
  </si>
  <si>
    <t>البازيلاء</t>
  </si>
  <si>
    <t>3.4</t>
  </si>
  <si>
    <t>Soybeans</t>
  </si>
  <si>
    <t>فول الصويا</t>
  </si>
  <si>
    <t>3.5</t>
  </si>
  <si>
    <t>Chickpeas</t>
  </si>
  <si>
    <t>الحمص</t>
  </si>
  <si>
    <t>3.6</t>
  </si>
  <si>
    <t>Fava beans</t>
  </si>
  <si>
    <t>الفول</t>
  </si>
  <si>
    <t>3.7</t>
  </si>
  <si>
    <t>Broad beans</t>
  </si>
  <si>
    <t>الفاصوليا العريضة</t>
  </si>
  <si>
    <t>3.99</t>
  </si>
  <si>
    <t>Other pulses</t>
  </si>
  <si>
    <t>البقول الاخرى</t>
  </si>
  <si>
    <t>4.1</t>
  </si>
  <si>
    <t>Cabbage</t>
  </si>
  <si>
    <t>الملفوف</t>
  </si>
  <si>
    <t>4.2</t>
  </si>
  <si>
    <t>Lettuce</t>
  </si>
  <si>
    <t>الخس</t>
  </si>
  <si>
    <t>4.3</t>
  </si>
  <si>
    <t>Spinach-Amaranth</t>
  </si>
  <si>
    <t>السبانخ - القطيفة</t>
  </si>
  <si>
    <t>4.4</t>
  </si>
  <si>
    <t>Cassava leaves</t>
  </si>
  <si>
    <t>أوراق الكسافا</t>
  </si>
  <si>
    <t>4.5</t>
  </si>
  <si>
    <t>Potatoe leaves</t>
  </si>
  <si>
    <t>أوراق البطاطا</t>
  </si>
  <si>
    <t>4.6</t>
  </si>
  <si>
    <t>Moringa</t>
  </si>
  <si>
    <t>المورينجا</t>
  </si>
  <si>
    <t>4.7</t>
  </si>
  <si>
    <t>Sorrel Hibiscus / Rosselle</t>
  </si>
  <si>
    <t>الكركديه</t>
  </si>
  <si>
    <t>4.9</t>
  </si>
  <si>
    <t>Green salad herbs [thyme, parsley, mint, rocca, other]</t>
  </si>
  <si>
    <t>أعشاب السلطة الخضراء [زعتر ، بقدونس ، نعناع ، جرجير ، أنواع أخرى]</t>
  </si>
  <si>
    <t>4.101</t>
  </si>
  <si>
    <t>Cauliflower</t>
  </si>
  <si>
    <t>القرنبيط</t>
  </si>
  <si>
    <t>4.99</t>
  </si>
  <si>
    <t>Other leafy vegetables</t>
  </si>
  <si>
    <t>الخضار الورقية الأخرى</t>
  </si>
  <si>
    <t>5.1</t>
  </si>
  <si>
    <t>Tomatoes</t>
  </si>
  <si>
    <t>الطماطم</t>
  </si>
  <si>
    <t>5.2</t>
  </si>
  <si>
    <t>Cucumber</t>
  </si>
  <si>
    <t>الخيار</t>
  </si>
  <si>
    <t>5.3</t>
  </si>
  <si>
    <t>Pumpkin</t>
  </si>
  <si>
    <t>اليقطين</t>
  </si>
  <si>
    <t>5.4</t>
  </si>
  <si>
    <t>Eggplant/aubergine</t>
  </si>
  <si>
    <t>الباذنجان</t>
  </si>
  <si>
    <t>5.5</t>
  </si>
  <si>
    <t>Zucchini</t>
  </si>
  <si>
    <t>الكوسة</t>
  </si>
  <si>
    <t>5.6</t>
  </si>
  <si>
    <t>Okra</t>
  </si>
  <si>
    <t>البامية</t>
  </si>
  <si>
    <t>5.7</t>
  </si>
  <si>
    <t>Bell pepper</t>
  </si>
  <si>
    <t>الفلفل حلو</t>
  </si>
  <si>
    <t>5.8</t>
  </si>
  <si>
    <t>Onions</t>
  </si>
  <si>
    <t>بصل</t>
  </si>
  <si>
    <t>5.9</t>
  </si>
  <si>
    <t>Haricot</t>
  </si>
  <si>
    <t>اللوبياء</t>
  </si>
  <si>
    <t>5.101</t>
  </si>
  <si>
    <t>Green peas</t>
  </si>
  <si>
    <t>البازلاء الخضراء</t>
  </si>
  <si>
    <t>5.11</t>
  </si>
  <si>
    <t>Fava beans green</t>
  </si>
  <si>
    <t>الفول الأخضر</t>
  </si>
  <si>
    <t>5.99</t>
  </si>
  <si>
    <t>Other non leafy vegs</t>
  </si>
  <si>
    <t>الخضار غير الورقية الأخرى</t>
  </si>
  <si>
    <t>6.1</t>
  </si>
  <si>
    <t>Orange</t>
  </si>
  <si>
    <t>البرتقال</t>
  </si>
  <si>
    <t>6.2</t>
  </si>
  <si>
    <t>Lemon</t>
  </si>
  <si>
    <t>الليمون</t>
  </si>
  <si>
    <t>6.3</t>
  </si>
  <si>
    <t>Grapefruit</t>
  </si>
  <si>
    <t>الجريب فروت</t>
  </si>
  <si>
    <t>6.4</t>
  </si>
  <si>
    <t>Mandarins/clementines</t>
  </si>
  <si>
    <t>اليوسفي / الكليمنتين</t>
  </si>
  <si>
    <t>6.99</t>
  </si>
  <si>
    <t>Other citrus fruit</t>
  </si>
  <si>
    <t>الحمضيات الأخرى</t>
  </si>
  <si>
    <t>7.1</t>
  </si>
  <si>
    <t>Sweet Banana</t>
  </si>
  <si>
    <t>الموز</t>
  </si>
  <si>
    <t>7.2</t>
  </si>
  <si>
    <t>Plantains</t>
  </si>
  <si>
    <t>موز الجنة</t>
  </si>
  <si>
    <t>7.3</t>
  </si>
  <si>
    <t>Papaya</t>
  </si>
  <si>
    <t>البابايا</t>
  </si>
  <si>
    <t>7.4</t>
  </si>
  <si>
    <t>Mango</t>
  </si>
  <si>
    <t>المانجو</t>
  </si>
  <si>
    <t>7.5</t>
  </si>
  <si>
    <t>Guava</t>
  </si>
  <si>
    <t>الجوافة</t>
  </si>
  <si>
    <t>7.6</t>
  </si>
  <si>
    <t>Pineapple</t>
  </si>
  <si>
    <t>الأناناس</t>
  </si>
  <si>
    <t>7.7</t>
  </si>
  <si>
    <t>Avocado</t>
  </si>
  <si>
    <t>الأفوكادو</t>
  </si>
  <si>
    <t>7.8</t>
  </si>
  <si>
    <t>Water Melon</t>
  </si>
  <si>
    <t>البطيخ الأحمر</t>
  </si>
  <si>
    <t>7.9</t>
  </si>
  <si>
    <t>Dates</t>
  </si>
  <si>
    <t>التمر</t>
  </si>
  <si>
    <t>7.101</t>
  </si>
  <si>
    <t>Figs</t>
  </si>
  <si>
    <t>التين</t>
  </si>
  <si>
    <t>7.11</t>
  </si>
  <si>
    <t>Grapes</t>
  </si>
  <si>
    <t>العنب</t>
  </si>
  <si>
    <t>7.12</t>
  </si>
  <si>
    <t>Olives</t>
  </si>
  <si>
    <t>الزيتون</t>
  </si>
  <si>
    <t>7.13</t>
  </si>
  <si>
    <t>Apple</t>
  </si>
  <si>
    <t>التفاح</t>
  </si>
  <si>
    <t>7.14</t>
  </si>
  <si>
    <t>Apricot</t>
  </si>
  <si>
    <t>المشمش</t>
  </si>
  <si>
    <t>7.15</t>
  </si>
  <si>
    <t>Cherries</t>
  </si>
  <si>
    <t>الكرز</t>
  </si>
  <si>
    <t>7.16</t>
  </si>
  <si>
    <t>Peach/nectarine</t>
  </si>
  <si>
    <t>الدراق / النكتارين</t>
  </si>
  <si>
    <t>7.17</t>
  </si>
  <si>
    <t>Strawberries</t>
  </si>
  <si>
    <t>الفراولة</t>
  </si>
  <si>
    <t>7.18</t>
  </si>
  <si>
    <t>Melon [Cantaloupe]</t>
  </si>
  <si>
    <t>الشمام</t>
  </si>
  <si>
    <t>7.99</t>
  </si>
  <si>
    <t>Other fruit</t>
  </si>
  <si>
    <t>الفواكه الأخرى</t>
  </si>
  <si>
    <t>8.1</t>
  </si>
  <si>
    <t>Coconuts</t>
  </si>
  <si>
    <t>جوز الهند</t>
  </si>
  <si>
    <t>8.2</t>
  </si>
  <si>
    <t>Groundnut/peanut</t>
  </si>
  <si>
    <t>الفول السوداني</t>
  </si>
  <si>
    <t>8.3</t>
  </si>
  <si>
    <t>Cashew Nut</t>
  </si>
  <si>
    <t>الكاجو</t>
  </si>
  <si>
    <t>8.4</t>
  </si>
  <si>
    <t>Kola Nut</t>
  </si>
  <si>
    <t>جوز الكولا</t>
  </si>
  <si>
    <t>8.5</t>
  </si>
  <si>
    <t>Sesame</t>
  </si>
  <si>
    <t>السمسم</t>
  </si>
  <si>
    <t>8.6</t>
  </si>
  <si>
    <t>Bambara nut</t>
  </si>
  <si>
    <t>جوز البامبارا</t>
  </si>
  <si>
    <t>8.7</t>
  </si>
  <si>
    <t>Almond</t>
  </si>
  <si>
    <t>اللوز</t>
  </si>
  <si>
    <t>8.8</t>
  </si>
  <si>
    <t>Walnut</t>
  </si>
  <si>
    <t>الجوز</t>
  </si>
  <si>
    <t>8.99</t>
  </si>
  <si>
    <t>Other nuts</t>
  </si>
  <si>
    <t>المكسرات الأخرى</t>
  </si>
  <si>
    <t>9.1</t>
  </si>
  <si>
    <t>Cocoa</t>
  </si>
  <si>
    <t>الكاكاو</t>
  </si>
  <si>
    <t>9.2</t>
  </si>
  <si>
    <t>Coffee</t>
  </si>
  <si>
    <t>القهوة</t>
  </si>
  <si>
    <t>9.3</t>
  </si>
  <si>
    <t>Tea</t>
  </si>
  <si>
    <t>الشاي</t>
  </si>
  <si>
    <t>9.4</t>
  </si>
  <si>
    <t>Sugarcane</t>
  </si>
  <si>
    <t>قصب السكر</t>
  </si>
  <si>
    <t>9.5</t>
  </si>
  <si>
    <t>Sunflower</t>
  </si>
  <si>
    <t>دوار الشمس</t>
  </si>
  <si>
    <t>9.99</t>
  </si>
  <si>
    <t>Other food cash crop</t>
  </si>
  <si>
    <t xml:space="preserve">المحاصيل الغذائية النقدية الأخرى </t>
  </si>
  <si>
    <t>10.1</t>
  </si>
  <si>
    <t>Cotton</t>
  </si>
  <si>
    <t>القطن</t>
  </si>
  <si>
    <t>10.2</t>
  </si>
  <si>
    <t>Rubber</t>
  </si>
  <si>
    <t>المطاط</t>
  </si>
  <si>
    <t>10.3</t>
  </si>
  <si>
    <t>Jute</t>
  </si>
  <si>
    <t>الجوت</t>
  </si>
  <si>
    <t>10.4</t>
  </si>
  <si>
    <t>Fodder</t>
  </si>
  <si>
    <t>العلف</t>
  </si>
  <si>
    <t>10.5</t>
  </si>
  <si>
    <t>Tobacco</t>
  </si>
  <si>
    <t>التبغ</t>
  </si>
  <si>
    <t>10.6</t>
  </si>
  <si>
    <t>Qat</t>
  </si>
  <si>
    <t>القات</t>
  </si>
  <si>
    <t>10.99</t>
  </si>
  <si>
    <t>Other non-food cash crop</t>
  </si>
  <si>
    <t xml:space="preserve"> المحاصيل النقدية غير الغذائية الأخرى </t>
  </si>
  <si>
    <t>Jenin</t>
  </si>
  <si>
    <t>Tubas</t>
  </si>
  <si>
    <t>Tulkarm</t>
  </si>
  <si>
    <t>Qalqilia</t>
  </si>
  <si>
    <t xml:space="preserve"> Salfit</t>
  </si>
  <si>
    <t xml:space="preserve"> Nablus</t>
  </si>
  <si>
    <t xml:space="preserve"> Ramallah</t>
  </si>
  <si>
    <t>Jericho</t>
  </si>
  <si>
    <t>Jerusalem (J2)</t>
  </si>
  <si>
    <t>Bethlehem</t>
  </si>
  <si>
    <t xml:space="preserve"> Hebron</t>
  </si>
  <si>
    <t xml:space="preserve">Admin 1
code </t>
  </si>
  <si>
    <t xml:space="preserve">Admin 2
 Code </t>
  </si>
  <si>
    <t xml:space="preserve">Admin 2 name </t>
  </si>
  <si>
    <t>Zububa</t>
  </si>
  <si>
    <t>Rummana</t>
  </si>
  <si>
    <t>Ti'innik</t>
  </si>
  <si>
    <t>At Tayba</t>
  </si>
  <si>
    <t> 'Arabbuna</t>
  </si>
  <si>
    <t>Al Jalama</t>
  </si>
  <si>
    <t>Silat al Harithiya</t>
  </si>
  <si>
    <t>As Sa'aida</t>
  </si>
  <si>
    <t>'Anin</t>
  </si>
  <si>
    <t>'Arrana</t>
  </si>
  <si>
    <t>Deir Ghazala</t>
  </si>
  <si>
    <t>Faqqu'a</t>
  </si>
  <si>
    <t>Khirbet Suruj</t>
  </si>
  <si>
    <t>Al Yamun</t>
  </si>
  <si>
    <t>Umm ar Rihan</t>
  </si>
  <si>
    <t>Kafr Dan</t>
  </si>
  <si>
    <t>Khirbet 'Abdallah al Yunis</t>
  </si>
  <si>
    <t>Dhaher al Malih</t>
  </si>
  <si>
    <t>Barta'a ash Sharqiya </t>
  </si>
  <si>
    <t>Al 'Araqa</t>
  </si>
  <si>
    <t>Al Jameelat</t>
  </si>
  <si>
    <t>Beit Qad</t>
  </si>
  <si>
    <t>Tura al Gharbiya</t>
  </si>
  <si>
    <t>Tura ash Sharqiya</t>
  </si>
  <si>
    <t>Al Hashimiya</t>
  </si>
  <si>
    <t>Nazlat ash Sheikh Zeid</t>
  </si>
  <si>
    <t>At Tarem</t>
  </si>
  <si>
    <t>Khirbet al Muntar al Gharbiya</t>
  </si>
  <si>
    <t>Jenin Camp</t>
  </si>
  <si>
    <t>Jalbun</t>
  </si>
  <si>
    <t>'Aba</t>
  </si>
  <si>
    <t> Khirbet Mas'ud</t>
  </si>
  <si>
    <t>Khirbet al Muntar ash Sharqiya</t>
  </si>
  <si>
    <t>Kafr Qud </t>
  </si>
  <si>
    <t>Deir Abu Da'if</t>
  </si>
  <si>
    <t>Birqin</t>
  </si>
  <si>
    <t>Umm Dar</t>
  </si>
  <si>
    <t>Al Khuljan</t>
  </si>
  <si>
    <t>Wad ad Dabi'</t>
  </si>
  <si>
    <t>Dhaher al 'Abed</t>
  </si>
  <si>
    <t>Zabda </t>
  </si>
  <si>
    <t>Ya'bad</t>
  </si>
  <si>
    <t>Kufeirit</t>
  </si>
  <si>
    <t>Imreiha</t>
  </si>
  <si>
    <t>Umm at Tut</t>
  </si>
  <si>
    <t>Ash Shuhada</t>
  </si>
  <si>
    <t>Jalqamus</t>
  </si>
  <si>
    <t>Al Mughayyir</t>
  </si>
  <si>
    <t>Al Mutilla</t>
  </si>
  <si>
    <t>Bir al Basha</t>
  </si>
  <si>
    <t>Al Hafira</t>
  </si>
  <si>
    <t>Qabatiya </t>
  </si>
  <si>
    <t>Arraba </t>
  </si>
  <si>
    <t>Telfit</t>
  </si>
  <si>
    <t>Mirka</t>
  </si>
  <si>
    <t>Wadi Du'oq</t>
  </si>
  <si>
    <t>Fahma al Jadida</t>
  </si>
  <si>
    <t>Raba </t>
  </si>
  <si>
    <t>Al Mansura</t>
  </si>
  <si>
    <t>Misliya</t>
  </si>
  <si>
    <t>Al Jarba</t>
  </si>
  <si>
    <t>Az Zababida</t>
  </si>
  <si>
    <t>Fahma</t>
  </si>
  <si>
    <t>Az Zawiya</t>
  </si>
  <si>
    <t>Kafr Ra'i</t>
  </si>
  <si>
    <t>Al Kufeir</t>
  </si>
  <si>
    <t>Sir</t>
  </si>
  <si>
    <t>'Ajja</t>
  </si>
  <si>
    <t>'Anza</t>
  </si>
  <si>
    <t>Sanur</t>
  </si>
  <si>
    <t>Ar Rama</t>
  </si>
  <si>
    <t>Meithalun</t>
  </si>
  <si>
    <t>Al Judeida</t>
  </si>
  <si>
    <t>al 'Asa'asa</t>
  </si>
  <si>
    <t>Al 'Attara</t>
  </si>
  <si>
    <t>Siris</t>
  </si>
  <si>
    <t>Jaba'</t>
  </si>
  <si>
    <t>Al Fandaqumiya</t>
  </si>
  <si>
    <t>Silat adh Dhahr</t>
  </si>
  <si>
    <t> 'Akkaba</t>
  </si>
  <si>
    <t>Qaffin</t>
  </si>
  <si>
    <t>Nazlat 'Isa</t>
  </si>
  <si>
    <t>An Nazla ash Sharqiya</t>
  </si>
  <si>
    <t>Baqa ash Sharqiya </t>
  </si>
  <si>
    <t>An Nazla al Wusta</t>
  </si>
  <si>
    <t>An Nazla al Gharbiya</t>
  </si>
  <si>
    <t>Zeita</t>
  </si>
  <si>
    <t>Seida</t>
  </si>
  <si>
    <t>'Illar</t>
  </si>
  <si>
    <t>'Attil</t>
  </si>
  <si>
    <t>Deir al Ghusun</t>
  </si>
  <si>
    <t>Al Jarushiya</t>
  </si>
  <si>
    <t>Al Masqufa</t>
  </si>
  <si>
    <t>Bal'a</t>
  </si>
  <si>
    <t>Iktaba</t>
  </si>
  <si>
    <t>Nur Shams Camp</t>
  </si>
  <si>
    <t>Tulkarm Camp</t>
  </si>
  <si>
    <t>Tulkarm </t>
  </si>
  <si>
    <t>Anabta </t>
  </si>
  <si>
    <t>Kafr al Labad </t>
  </si>
  <si>
    <t>Kafa</t>
  </si>
  <si>
    <t>Al Haffasi</t>
  </si>
  <si>
    <t>Ramin</t>
  </si>
  <si>
    <t>Far'un</t>
  </si>
  <si>
    <t>Shufa</t>
  </si>
  <si>
    <t>Khirbet Jubara</t>
  </si>
  <si>
    <t>Saffarin</t>
  </si>
  <si>
    <t>Beit Lid</t>
  </si>
  <si>
    <t>Ar Ras</t>
  </si>
  <si>
    <t>Kafr Sur</t>
  </si>
  <si>
    <t>Kur</t>
  </si>
  <si>
    <t>Kafr Zibad</t>
  </si>
  <si>
    <t>Kafr Jammal</t>
  </si>
  <si>
    <t>Kafr 'Abbush</t>
  </si>
  <si>
    <t>Bizzariya</t>
  </si>
  <si>
    <t>Burqa</t>
  </si>
  <si>
    <t>Yasid</t>
  </si>
  <si>
    <t>Beit Imrin</t>
  </si>
  <si>
    <t>Nisf Jubeil</t>
  </si>
  <si>
    <t>Sabastiya</t>
  </si>
  <si>
    <t>Ijnisinya</t>
  </si>
  <si>
    <t>Talluza</t>
  </si>
  <si>
    <t>An Naqura</t>
  </si>
  <si>
    <t>Al Badhan</t>
  </si>
  <si>
    <t>Deir Sharaf</t>
  </si>
  <si>
    <t> 'Asira ash Shamaliya</t>
  </si>
  <si>
    <t>An Nassariya</t>
  </si>
  <si>
    <t>Zawata</t>
  </si>
  <si>
    <t>Al 'Aqrabaniya</t>
  </si>
  <si>
    <t>Qusin</t>
  </si>
  <si>
    <t>Beit Iba</t>
  </si>
  <si>
    <t>Beit Hasan</t>
  </si>
  <si>
    <t>Beit Wazan</t>
  </si>
  <si>
    <t> 'Ein Beit el Ma Camp</t>
  </si>
  <si>
    <t> 'Ein Shibli</t>
  </si>
  <si>
    <t> 'Azmut</t>
  </si>
  <si>
    <t>Nablus</t>
  </si>
  <si>
    <t> 'Askar Camp</t>
  </si>
  <si>
    <t>Deir al Hatab</t>
  </si>
  <si>
    <t>Sarra</t>
  </si>
  <si>
    <t>Salim</t>
  </si>
  <si>
    <t>Balata Camp</t>
  </si>
  <si>
    <t>'Iraq Burin</t>
  </si>
  <si>
    <t>Tell</t>
  </si>
  <si>
    <t>Beit Dajan</t>
  </si>
  <si>
    <t>Rujeib</t>
  </si>
  <si>
    <t>Kafr Qallil</t>
  </si>
  <si>
    <t>Furush Beit Dajan</t>
  </si>
  <si>
    <t>Madama</t>
  </si>
  <si>
    <t>Burin</t>
  </si>
  <si>
    <t>Beit Furik</t>
  </si>
  <si>
    <t> 'Asira al Qibliya</t>
  </si>
  <si>
    <t> 'Awarta</t>
  </si>
  <si>
    <t> 'Urif</t>
  </si>
  <si>
    <t>Odala</t>
  </si>
  <si>
    <t>Huwwara</t>
  </si>
  <si>
    <t> 'Einabus</t>
  </si>
  <si>
    <t>Yanun</t>
  </si>
  <si>
    <t>Beita</t>
  </si>
  <si>
    <t>Ar Rajman</t>
  </si>
  <si>
    <t>Zeita Jamma'in</t>
  </si>
  <si>
    <t>Jamma'in</t>
  </si>
  <si>
    <t>Osarin</t>
  </si>
  <si>
    <t>Aqraba</t>
  </si>
  <si>
    <t>Za'tara</t>
  </si>
  <si>
    <t>Tall al Khashaba</t>
  </si>
  <si>
    <t>Yatma</t>
  </si>
  <si>
    <t>Qabalan</t>
  </si>
  <si>
    <t>Jurish</t>
  </si>
  <si>
    <t>Qusra</t>
  </si>
  <si>
    <t>Talfit</t>
  </si>
  <si>
    <t>As Sawiya</t>
  </si>
  <si>
    <t>Majdal Bani Fadil</t>
  </si>
  <si>
    <t>Al Lubban ash Sharqiya</t>
  </si>
  <si>
    <t>Qaryut</t>
  </si>
  <si>
    <t>Jalud</t>
  </si>
  <si>
    <t> 'Ammuriya</t>
  </si>
  <si>
    <t>Duma</t>
  </si>
  <si>
    <t>Falamya</t>
  </si>
  <si>
    <t>Kafr Qaddum</t>
  </si>
  <si>
    <t>Jit</t>
  </si>
  <si>
    <t>Baqat al Hatab</t>
  </si>
  <si>
    <t>Hajja</t>
  </si>
  <si>
    <t>Jayyus</t>
  </si>
  <si>
    <t>Khirbet Sir</t>
  </si>
  <si>
    <t> 'Arab ar Ramadin ash Shamali</t>
  </si>
  <si>
    <t>Far'ata</t>
  </si>
  <si>
    <t>Immatin</t>
  </si>
  <si>
    <t>Al Funduq</t>
  </si>
  <si>
    <t>Qalqiliya</t>
  </si>
  <si>
    <t>An Nabi Elyas</t>
  </si>
  <si>
    <t>Kafr Laqif</t>
  </si>
  <si>
    <t> 'Arab Abu Farda</t>
  </si>
  <si>
    <t> 'Izbat at Tabib</t>
  </si>
  <si>
    <t>Jinsafut</t>
  </si>
  <si>
    <t>'Azzun</t>
  </si>
  <si>
    <t> 'Arab ar Ramadin al Janubi</t>
  </si>
  <si>
    <t> 'Isla</t>
  </si>
  <si>
    <t>Arab Al-Khouleh</t>
  </si>
  <si>
    <t>Wadi ar Rasha</t>
  </si>
  <si>
    <t>Habla</t>
  </si>
  <si>
    <t>Ras at Tira</t>
  </si>
  <si>
    <t>Ras 'Atiya</t>
  </si>
  <si>
    <t>Ad Dab'a</t>
  </si>
  <si>
    <t>Kafr Thulth</t>
  </si>
  <si>
    <t> 'Izbat Jal'ud</t>
  </si>
  <si>
    <t>Al Mudawwar</t>
  </si>
  <si>
    <t>'Izbat Salman</t>
  </si>
  <si>
    <t> 'Izbat al Ashqar</t>
  </si>
  <si>
    <t>Beit Amin</t>
  </si>
  <si>
    <t>Sanniriya</t>
  </si>
  <si>
    <t>'Azzun 'Atma</t>
  </si>
  <si>
    <t>Deir Istiya</t>
  </si>
  <si>
    <t>Qarawat Bani Hassan</t>
  </si>
  <si>
    <t>Qira</t>
  </si>
  <si>
    <t>Kifl Haris</t>
  </si>
  <si>
    <t>Marda</t>
  </si>
  <si>
    <t>Biddya</t>
  </si>
  <si>
    <t>Haris</t>
  </si>
  <si>
    <t>Yasuf</t>
  </si>
  <si>
    <t>Mas-ha</t>
  </si>
  <si>
    <t>Iskaka</t>
  </si>
  <si>
    <t>Sarta</t>
  </si>
  <si>
    <t>'Izbat Abu Adam</t>
  </si>
  <si>
    <t>Salfit</t>
  </si>
  <si>
    <t>Rafat</t>
  </si>
  <si>
    <t>Bruqin</t>
  </si>
  <si>
    <t>Farkha</t>
  </si>
  <si>
    <t>Kafr ad Dik</t>
  </si>
  <si>
    <t>Deir Ballut</t>
  </si>
  <si>
    <t>Khirbet Qeis</t>
  </si>
  <si>
    <t>Qarawat Bani Zeid</t>
  </si>
  <si>
    <t>Bani Zeid ash Sharqiya</t>
  </si>
  <si>
    <t>Kafr 'Ein</t>
  </si>
  <si>
    <t>Bani Zeid</t>
  </si>
  <si>
    <t> 'Abwein</t>
  </si>
  <si>
    <t>Turmus'ayya</t>
  </si>
  <si>
    <t>Al Lubban al Gharbi</t>
  </si>
  <si>
    <t>Sinjil</t>
  </si>
  <si>
    <t>Deir as Sudan</t>
  </si>
  <si>
    <t>Rantis</t>
  </si>
  <si>
    <t>Jilijliya</t>
  </si>
  <si>
    <t> 'Ajjul</t>
  </si>
  <si>
    <t> 'Abud</t>
  </si>
  <si>
    <t>An Nabi Salih</t>
  </si>
  <si>
    <t>Khirbet Abu Falah</t>
  </si>
  <si>
    <t>Umm Safa</t>
  </si>
  <si>
    <t>Al Mazra'a ash Sharqiya</t>
  </si>
  <si>
    <t>Deir Nidham</t>
  </si>
  <si>
    <t> 'Atara</t>
  </si>
  <si>
    <t>Deir Abu Mash'al</t>
  </si>
  <si>
    <t>Jibiya</t>
  </si>
  <si>
    <t>Burham</t>
  </si>
  <si>
    <t>Kafr Malik</t>
  </si>
  <si>
    <t>Shuqba</t>
  </si>
  <si>
    <t>Kobar</t>
  </si>
  <si>
    <t>Qibya</t>
  </si>
  <si>
    <t>Silwad</t>
  </si>
  <si>
    <t>Yabrud</t>
  </si>
  <si>
    <t>AL-Itihad</t>
  </si>
  <si>
    <t>Shabtin</t>
  </si>
  <si>
    <t>Bir Zeit</t>
  </si>
  <si>
    <t>AL-Doha</t>
  </si>
  <si>
    <t>'Ein Siniya</t>
  </si>
  <si>
    <t>Silwad Camp</t>
  </si>
  <si>
    <t>Deir Jarir</t>
  </si>
  <si>
    <t>Deir 'Ammar Camp</t>
  </si>
  <si>
    <t>Budrus</t>
  </si>
  <si>
    <t>AL-Zaytouneh</t>
  </si>
  <si>
    <t>Jifna</t>
  </si>
  <si>
    <t>Dura al Qar'</t>
  </si>
  <si>
    <t>Al Jalazun Camp</t>
  </si>
  <si>
    <t>Abu Qash</t>
  </si>
  <si>
    <t>Deir Qaddis</t>
  </si>
  <si>
    <t>Ni'lin</t>
  </si>
  <si>
    <t> 'Ein Yabrud</t>
  </si>
  <si>
    <t>Kharbatha Bani Harith</t>
  </si>
  <si>
    <t>Ras Karkar</t>
  </si>
  <si>
    <t>Surda</t>
  </si>
  <si>
    <t>Al Janiya</t>
  </si>
  <si>
    <t>Al Midya</t>
  </si>
  <si>
    <t>Rammun</t>
  </si>
  <si>
    <t>Kafr Ni'ma</t>
  </si>
  <si>
    <t>Bil'in</t>
  </si>
  <si>
    <t>Beitin</t>
  </si>
  <si>
    <t> 'Ein Qiniya</t>
  </si>
  <si>
    <t>Badiw al Mu'arrajat</t>
  </si>
  <si>
    <t>Deir Ibzi'</t>
  </si>
  <si>
    <t>Deir Dibwan</t>
  </si>
  <si>
    <t>Al Bireh</t>
  </si>
  <si>
    <t>'Ein 'Arik</t>
  </si>
  <si>
    <t>Saffa</t>
  </si>
  <si>
    <t>Ramallah</t>
  </si>
  <si>
    <t>Beit 'Ur at Tahta</t>
  </si>
  <si>
    <t>Beituniya</t>
  </si>
  <si>
    <t>Al Am'ari Camp</t>
  </si>
  <si>
    <t>Qaddura Camp</t>
  </si>
  <si>
    <t>Beit Sira</t>
  </si>
  <si>
    <t>Kharbatha al Misbah</t>
  </si>
  <si>
    <t>Beit 'Ur al Fauqa</t>
  </si>
  <si>
    <t>At Tira</t>
  </si>
  <si>
    <t>Beit Liqya</t>
  </si>
  <si>
    <t>Beit Nuba</t>
  </si>
  <si>
    <t>Marj Na'ja</t>
  </si>
  <si>
    <t>Az Zubeidat</t>
  </si>
  <si>
    <t>Marj al Ghazal</t>
  </si>
  <si>
    <t>Al Jiftlik</t>
  </si>
  <si>
    <t>Fasayil</t>
  </si>
  <si>
    <t>Al 'Auja</t>
  </si>
  <si>
    <t>An Nuwei'ma</t>
  </si>
  <si>
    <t>'Ein ad Duyuk al Fauqa </t>
  </si>
  <si>
    <t>'Ein as Sultan Camp</t>
  </si>
  <si>
    <t>Jericho (Ariha)</t>
  </si>
  <si>
    <t>Deir al Qilt</t>
  </si>
  <si>
    <t>Aqbat Jaber Camp</t>
  </si>
  <si>
    <t>Deir Hajla</t>
  </si>
  <si>
    <t>An Nabi Musa</t>
  </si>
  <si>
    <t>Kafr 'Aqab</t>
  </si>
  <si>
    <t>Mikhmas</t>
  </si>
  <si>
    <t>Qalandiya Camp</t>
  </si>
  <si>
    <t>Jaba' (Tajammu' Badawi)</t>
  </si>
  <si>
    <t>Qalandiya</t>
  </si>
  <si>
    <t>Beit Duqqu</t>
  </si>
  <si>
    <t>Al Judeira</t>
  </si>
  <si>
    <t>Ar Ram &amp; Dahiyat al Bareed</t>
  </si>
  <si>
    <t>Beit 'Anan</t>
  </si>
  <si>
    <t>Al Jib</t>
  </si>
  <si>
    <t>Bir Nabala</t>
  </si>
  <si>
    <t>Beit Ijza</t>
  </si>
  <si>
    <t>Al Qubeiba</t>
  </si>
  <si>
    <t>Kharayib Umm al Lahim</t>
  </si>
  <si>
    <t>Beit Hanina</t>
  </si>
  <si>
    <t>Biddu</t>
  </si>
  <si>
    <t>An Nabi Samwil</t>
  </si>
  <si>
    <t>Hizma</t>
  </si>
  <si>
    <t>Beit Hanina al Balad</t>
  </si>
  <si>
    <t>Qatanna</t>
  </si>
  <si>
    <t>Beit Surik</t>
  </si>
  <si>
    <t>Beit Iksa</t>
  </si>
  <si>
    <t>Shu'fat Camp</t>
  </si>
  <si>
    <t>Shu'fat</t>
  </si>
  <si>
    <t>'Anata</t>
  </si>
  <si>
    <t>Al Ka'abina (Tajammu' Badawi)</t>
  </si>
  <si>
    <t>Al 'Isawiya</t>
  </si>
  <si>
    <t>Az Za'ayyem</t>
  </si>
  <si>
    <t>Jerusalem (Al Quds)</t>
  </si>
  <si>
    <t>Al 'Eizariya</t>
  </si>
  <si>
    <t>Silwan</t>
  </si>
  <si>
    <t>Ath Thuri</t>
  </si>
  <si>
    <t>Abu Dis</t>
  </si>
  <si>
    <t> 'Arab al Jahalin</t>
  </si>
  <si>
    <t>Jabal al Mukabbir</t>
  </si>
  <si>
    <t>As Sawahira al Gharbiya</t>
  </si>
  <si>
    <t>Beit Safafa</t>
  </si>
  <si>
    <t>As Sawahira ash Sharqiya</t>
  </si>
  <si>
    <t>Sharafat</t>
  </si>
  <si>
    <t>Sur Bahir</t>
  </si>
  <si>
    <t>Ash Sheikh Sa'd</t>
  </si>
  <si>
    <t>Umm Tuba</t>
  </si>
  <si>
    <t>Al Walaja</t>
  </si>
  <si>
    <t>Battir</t>
  </si>
  <si>
    <t>Al 'Ubeidiya</t>
  </si>
  <si>
    <t>'Ayda Camp</t>
  </si>
  <si>
    <t>Khallet an Nu'man</t>
  </si>
  <si>
    <t>Al 'Aza Camp</t>
  </si>
  <si>
    <t>Al Khas</t>
  </si>
  <si>
    <t>Al Haddadiya</t>
  </si>
  <si>
    <t>Khallet Hamameh</t>
  </si>
  <si>
    <t>Bir Onah</t>
  </si>
  <si>
    <t>Beit Jala</t>
  </si>
  <si>
    <t>Dar  Salah</t>
  </si>
  <si>
    <t>Husan</t>
  </si>
  <si>
    <t>Wadi Fukin</t>
  </si>
  <si>
    <t>Bethlehem (Beit Lahm)</t>
  </si>
  <si>
    <t>Beit Sahur</t>
  </si>
  <si>
    <t>Ad Doha</t>
  </si>
  <si>
    <t>Al Khadr</t>
  </si>
  <si>
    <t>Ad Duheisha Camp</t>
  </si>
  <si>
    <t>Hindaza</t>
  </si>
  <si>
    <t>Ash Shawawra</t>
  </si>
  <si>
    <t>Artas</t>
  </si>
  <si>
    <t>Nahhalin</t>
  </si>
  <si>
    <t>Beit Ta'mir</t>
  </si>
  <si>
    <t>Khallet al Louza</t>
  </si>
  <si>
    <t>Al Jab'a</t>
  </si>
  <si>
    <t>Jannatah</t>
  </si>
  <si>
    <t>Wadi Rahhal</t>
  </si>
  <si>
    <t>Jubbet adh Dhib</t>
  </si>
  <si>
    <t>Khallet Sakariya</t>
  </si>
  <si>
    <t>Khallet al Haddad</t>
  </si>
  <si>
    <t>Al Ma'sara</t>
  </si>
  <si>
    <t>Wadi an Nis</t>
  </si>
  <si>
    <t>Jurat ash Sham'a</t>
  </si>
  <si>
    <t>Khallet 'Afana</t>
  </si>
  <si>
    <t>Marah Ma'alla</t>
  </si>
  <si>
    <t>Umm Salamuna</t>
  </si>
  <si>
    <t>Al Manshiya</t>
  </si>
  <si>
    <t>Tuqu'</t>
  </si>
  <si>
    <t>Marah Rabah</t>
  </si>
  <si>
    <t>Beit Fajjar</t>
  </si>
  <si>
    <t>Al Maniya</t>
  </si>
  <si>
    <t>Kisan</t>
  </si>
  <si>
    <t>'Arab ar Rashayida</t>
  </si>
  <si>
    <t>Khirbet ad Deir</t>
  </si>
  <si>
    <t>Surif</t>
  </si>
  <si>
    <t>Al 'Arrub Camp</t>
  </si>
  <si>
    <t>Beit Ummar</t>
  </si>
  <si>
    <t>Jala</t>
  </si>
  <si>
    <t>Hitta</t>
  </si>
  <si>
    <t>Shuyukh al 'Arrub</t>
  </si>
  <si>
    <t>Kharas</t>
  </si>
  <si>
    <t>Umm al Butm</t>
  </si>
  <si>
    <t>Hamrush</t>
  </si>
  <si>
    <t>Nuba</t>
  </si>
  <si>
    <t>Beit Ula</t>
  </si>
  <si>
    <t>Sa'ir</t>
  </si>
  <si>
    <t>Halhul</t>
  </si>
  <si>
    <t>Ash Shuyukh</t>
  </si>
  <si>
    <t>Tarqumiya</t>
  </si>
  <si>
    <t>Beit Kahil</t>
  </si>
  <si>
    <t>Beit 'Einun</t>
  </si>
  <si>
    <t>Qla’a Zeta</t>
  </si>
  <si>
    <t>Idhna</t>
  </si>
  <si>
    <t>Taffuh</t>
  </si>
  <si>
    <t>Beit Maqdum</t>
  </si>
  <si>
    <t>Al Baqa</t>
  </si>
  <si>
    <t>Hebron (Al Khalil)</t>
  </si>
  <si>
    <t>Al Bowereh (Aqabat Injeleh)</t>
  </si>
  <si>
    <t>Khallet Edar</t>
  </si>
  <si>
    <t>Deir Samit</t>
  </si>
  <si>
    <t>Bani Na'im</t>
  </si>
  <si>
    <t>Khallet Al Masafer</t>
  </si>
  <si>
    <t>Beit 'Awwa</t>
  </si>
  <si>
    <t>Dura</t>
  </si>
  <si>
    <t>Qalqas</t>
  </si>
  <si>
    <t> Sikka</t>
  </si>
  <si>
    <t>Khirbet Salama</t>
  </si>
  <si>
    <t>Wadi 'Ubeid</t>
  </si>
  <si>
    <t>Fuqeiqis</t>
  </si>
  <si>
    <t>Khursa</t>
  </si>
  <si>
    <t>Tarrama</t>
  </si>
  <si>
    <t>Al Fawwar Camp</t>
  </si>
  <si>
    <t>Al Majd</t>
  </si>
  <si>
    <t>Marah al Baqqar</t>
  </si>
  <si>
    <t>Hadab al Fawwar</t>
  </si>
  <si>
    <t>Deir al 'Asal at Tahta</t>
  </si>
  <si>
    <t>Al Heila</t>
  </si>
  <si>
    <t>Wadi ash Shajina</t>
  </si>
  <si>
    <t>As Sura</t>
  </si>
  <si>
    <t>Deir Razih</t>
  </si>
  <si>
    <t>Ar Rihiya</t>
  </si>
  <si>
    <t>Zif</t>
  </si>
  <si>
    <t>Deir al 'Asal al Fauqa</t>
  </si>
  <si>
    <t>Khallet al 'Aqed</t>
  </si>
  <si>
    <t>Imreish</t>
  </si>
  <si>
    <t>Al Buweib</t>
  </si>
  <si>
    <t>Beit ar Rush at Tahta</t>
  </si>
  <si>
    <t>Hadab al 'Alaqa</t>
  </si>
  <si>
    <t>Beit Mirsim</t>
  </si>
  <si>
    <t>Beit ar Rush al Fauqa</t>
  </si>
  <si>
    <t>Karma</t>
  </si>
  <si>
    <t>Beit 'Amra</t>
  </si>
  <si>
    <t>Om Adaraj (Arab Al Ka’abneh)</t>
  </si>
  <si>
    <t>Wadi al Kilab</t>
  </si>
  <si>
    <t>Om Ashoqhan</t>
  </si>
  <si>
    <t>Khallet al Maiyya</t>
  </si>
  <si>
    <t>Kheroshewesh Wal Hadedeyah</t>
  </si>
  <si>
    <t>Om Al Amad (Sahel Wadi Elma)</t>
  </si>
  <si>
    <t>Yatta</t>
  </si>
  <si>
    <t>Ad Deirat</t>
  </si>
  <si>
    <t>Khashem Adaraj (Al-Hathaleen)</t>
  </si>
  <si>
    <t>Kurza</t>
  </si>
  <si>
    <t>Rabud</t>
  </si>
  <si>
    <t>Umm Lasafa</t>
  </si>
  <si>
    <t>Al Burj</t>
  </si>
  <si>
    <t>Um Al-Khair</t>
  </si>
  <si>
    <t>Al Karmil</t>
  </si>
  <si>
    <t>Khallet Salih</t>
  </si>
  <si>
    <t>Adh Dhahiriya</t>
  </si>
  <si>
    <t>At Tuwani</t>
  </si>
  <si>
    <t>Ma'in</t>
  </si>
  <si>
    <t>An Najada</t>
  </si>
  <si>
    <t> 'Anab al Kabir</t>
  </si>
  <si>
    <t>Khirbet Asafi</t>
  </si>
  <si>
    <t>Mantiqat Shi'b al Batin</t>
  </si>
  <si>
    <t>As Samu'</t>
  </si>
  <si>
    <t>Wadi Al Amayer</t>
  </si>
  <si>
    <t>Khirbet Tawil ash Shih</t>
  </si>
  <si>
    <t>Ar Ramadin</t>
  </si>
  <si>
    <t>Maghayir al 'Abeed</t>
  </si>
  <si>
    <t>Khirbet al Fakheit</t>
  </si>
  <si>
    <t>Khirbet Bir al 'Idd</t>
  </si>
  <si>
    <t>Khirbet Zanuta</t>
  </si>
  <si>
    <t>Imneizil</t>
  </si>
  <si>
    <t> 'Arab al Fureijat</t>
  </si>
  <si>
    <t>Original</t>
  </si>
  <si>
    <t>Replacement (EN)</t>
  </si>
  <si>
    <t>Replacement (AR)</t>
  </si>
  <si>
    <t>Comment (EN)</t>
  </si>
  <si>
    <t>Comment (AR)</t>
  </si>
  <si>
    <t>Example (EN)</t>
  </si>
  <si>
    <t>Example (AR)</t>
  </si>
  <si>
    <t>FOR CORE QUESTIONS    .
(Mandatory to fill out)    .</t>
  </si>
  <si>
    <t>ADMIN1</t>
  </si>
  <si>
    <t>Region</t>
  </si>
  <si>
    <t>محافظة</t>
  </si>
  <si>
    <t>The first subdivision of the country, after national level; region; province; governorate; etc.</t>
  </si>
  <si>
    <t>التقسيم الأول للبلاد ، بعد المستوى الوطني ؛ منطقة؛ محافظة؛ ولاية ؛ إلخ.</t>
  </si>
  <si>
    <t>region</t>
  </si>
  <si>
    <t>منطقة</t>
  </si>
  <si>
    <t>ADMIN2</t>
  </si>
  <si>
    <t>Governorate</t>
  </si>
  <si>
    <t>تجمع سكاني</t>
  </si>
  <si>
    <t>The second subdivision of the country; district; municipality; LGA; etc.</t>
  </si>
  <si>
    <t>التقسيم الثاني للبلاد ؛ قضاء؛ بلدية؛ إلخ.</t>
  </si>
  <si>
    <t>district</t>
  </si>
  <si>
    <t>قضاء</t>
  </si>
  <si>
    <t>reference year</t>
  </si>
  <si>
    <t>a normal year</t>
  </si>
  <si>
    <t>العام العادي</t>
  </si>
  <si>
    <t xml:space="preserve">Comparison questions will need need a reference year. Select whether you want to use "last year" or "a normal year" as a baseline. A "normal year" should refers to an average year from the past 5 years - make sure to train the enumerators accordingly. </t>
  </si>
  <si>
    <t>سوف تحتاج أسئلة المقارنة إلى سنة مرجعية. حدد ما إذا كنت تريد استخدام "العام الماضي" أو "العام العادي" كخط أساس. يجب أن يشير "العام العادي" إلى متوسط ​​عام من السنوات الخمس الماضية - تأكد من تدريب جامعي البيانات وفقًا لذلك.</t>
  </si>
  <si>
    <t>season</t>
  </si>
  <si>
    <t>Winter season</t>
  </si>
  <si>
    <t>الموسم الشتوي</t>
  </si>
  <si>
    <t>Name the crop season(s) of interest if there are several cropping seasons in the country (e.g. Meher and Belg in Ethiopia, rainy season / flood-recession cropping / irrigated dry season in the Sahel). You can refer to the “last season” or “ongoing season".</t>
  </si>
  <si>
    <t>قم بتسمية موسم (مواسم) المحاصيل ذات الأهمية إذا كان هناك عدة مواسم محصولية في البلد (على سبيل المثال ، Meher و Belg في إثيوبيا ، موسم الأمطار / محاصيل الركود بسبب الفيضانات / موسم الجفاف المروي في منطقة الساحل). يمكنك الرجوع إلى "الموسم الماضي" أو "الموسم الجاري".</t>
  </si>
  <si>
    <t>wet season</t>
  </si>
  <si>
    <t>موسم الأمطار</t>
  </si>
  <si>
    <t>season phase</t>
  </si>
  <si>
    <t>Harvesting</t>
  </si>
  <si>
    <t>الحصاد</t>
  </si>
  <si>
    <t>Indicate the phase of the season at the time of data collection. If the harvest from the season has not yet occurred, the question on crop harvest (crp_harv_change) will include the word “expected” (where #expected or nothing# is located). If the harvest has occured, "expected" will not be inserted in the question.</t>
  </si>
  <si>
    <t>حدد مرحلة الموسم في وقت جمع البيانات. إذا لم يتم الحصاد من الموسم بعد ، فإن السؤال عن حصاد المحاصيل (crp_harv_change) سيتضمن كلمة "متوقع" (حيث يوجد # متوقع أو لا شيء #). إذا تم الحصاد ، لن يتم إدخال "متوقع" في السؤال .</t>
  </si>
  <si>
    <t>local measurement unit</t>
  </si>
  <si>
    <t>Dunum</t>
  </si>
  <si>
    <t>دونم</t>
  </si>
  <si>
    <t xml:space="preserve">Specify the local measurement unit for land size, other than acres, hectares, square meters and square feet. If no other unit of measurement is needed, keep this cell blank. </t>
  </si>
  <si>
    <t>حدد وحدة القياس المحلية لمساحة الأرض ، بخلاف الفدان والهكتار والمتر المربع والقدم المربع. إذا لم تكن هناك حاجة إلى وحدة قياس أخرى ، احتفظ بهذه الخلية فارغة.</t>
  </si>
  <si>
    <t>Jeribs</t>
  </si>
  <si>
    <t>جريب</t>
  </si>
  <si>
    <t>local measurement unit conversion</t>
  </si>
  <si>
    <t>Include the conversion of the local measurement unit to hectares. In other words, how many local measurement units are in 1 ha. Only digits in Latin numbers should be inputted.</t>
  </si>
  <si>
    <t xml:space="preserve">قم بتضمين تحويل وحدة القياس المحلية إلى هكتار. بمعنى آخر ، إلى كم هو عدد وحدات القياس المحلية في هكتار واحد. يرجى إدخال الأرقام في الأبجدية اللاتينية (...3, 2, 1). </t>
  </si>
  <si>
    <t>FOR OPTIONAL QUESTIONS    .
(Fill out if applicable)    .</t>
  </si>
  <si>
    <t>currency</t>
  </si>
  <si>
    <t>NIS</t>
  </si>
  <si>
    <t>شيكل</t>
  </si>
  <si>
    <t xml:space="preserve">The name of the main currency used nationally; USD; Naira; Rial; Pesos; etc. </t>
  </si>
  <si>
    <t>اسم العملة الرئيسية المستخدمة وطنيا ؛ دولار أمريكي؛ نيرة؛ الريال؛ بيزو؛ إلخ.</t>
  </si>
  <si>
    <t>Naira</t>
  </si>
  <si>
    <t>نيرة</t>
  </si>
  <si>
    <t>MIN AMOUNT</t>
  </si>
  <si>
    <t>The minimum amount for an income source should be set at 0 or any value below which it is not possible to do a transaction. For example, the smallest coin/banknote in a currency can be 1000, in which case you would set the minimum at 1000. Provide this input in the same currency as specified above. Only digits in Latin numbers should be inputted.</t>
  </si>
  <si>
    <t xml:space="preserve">يجب تعيين الحد الأدنى لمبلغ مصدر الدخل على 0 أو أي قيمة أقل منها لا يمكن إجراء معاملة. على سبيل المثال ، يمكن أن تكون أصغر عملة / ورقة نقدية في عملة ما هي 1000 ، وفي هذه الحالة يمكنك تعيين الحد الأدنى عند 1000. يجب أن يكون هذا المبلغ بنفس العملة المحددة في الصف أعلاه. يرجى إدخال الأرقام في الأبجدية اللاتينية (...3, 2, 1). </t>
  </si>
  <si>
    <t>MAX AMOUNT</t>
  </si>
  <si>
    <t>Set the maximum amount for an income source over 3 months. Enumerators will not be able to input values above this amount in questions related to income amounts. Using previous representative surveys for this population, you can estimate this amount by using the mean income plus five (5) standard deviations, unless the country has high inflation. In the latter case, set the maximum value based on your country context (higher than the proposed approach). Provide this input in the same currency as specified above. Only digits in Latin numbers should be inputted.</t>
  </si>
  <si>
    <t xml:space="preserve">حدد الحد الأقصى لمبلغ مصدر الدخل على مدى 3 أشهر. لن يتمكن جامعي البيانات من إدخال قيم أعلى من هذا المبلغ في الأسئلة المتعلقة بمبالغ الدخل. باستخدام المسوح التمثيلية السابقة لهذه الفئة من السكان ، يمكنك تقدير هذا المبلغ باستخدام متوسط ​​الدخل بالإضافة إلى خمسة انحرافات معيارية ما لم يكن هناك تضخم مرتفع في الدولة. في الحالة الأخيرة ، قم بتعيين الحد الأقصى للقيمة بناءً على سياق بلدك (أعلى من النهج المقترح). يجب أن يكون هذا المبلغ بنفس العملة المحددة أعلاه.  يرجى إدخال الأرقام في الأبجدية اللاتينية (...3, 2, 1). </t>
  </si>
  <si>
    <t>THRESHOLD</t>
  </si>
  <si>
    <t>The threshold salary should be calculated to flag outliers (responses that look suspiciously high). Using previous representative surveys for this population, a good estimate is the average plus three (3) standard deviations, which should give the threshold for the 3 or 4% highest income values. Provide this input in the same currency as specified above. Only digits in Latin numbers should be inputted.</t>
  </si>
  <si>
    <t xml:space="preserve">يجب حساب قيمة العتبة للراتب لتحديد القيم المتطرفة (الاستجابات التي تبدو مرتفعة بشكل مثير للريبة). باستخدام المسوح التمثيلية السابقة لهذه الفئة من السكان ، فإن التقدير الجيد هو المتوسط ​​زائد ثلاثة انحرافات معيارية ، والذي يجب أن يعطي قيمة العتبة لقيم الدخل الأعلى بنسبة 3 أو 4٪. يجب أن يكون هذا المبلغ بنفس العملة المحددة أعلاه. يرجى إدخال الأرقام في الأبجدية اللاتينية (...3, 2, 1). </t>
  </si>
  <si>
    <t>local vegetables</t>
  </si>
  <si>
    <t>Tomatoes, eggplant, zucchini, cauliflower</t>
  </si>
  <si>
    <t>بندورة، باذنجان، كوسا، قرنبيط</t>
  </si>
  <si>
    <t>Input some common local vegetables [to be used as examples in the food consumption score indicator].</t>
  </si>
  <si>
    <t>أدخل بعض الخضروات المحلية الشائعة [لاستخدامها كأمثلة في مؤشر درجة استهلاك الغذاء].</t>
  </si>
  <si>
    <t>eggplants, zucchini, cauliflower</t>
  </si>
  <si>
    <t>باذنجان ، كوسة ، قرنبيط</t>
  </si>
  <si>
    <t>local fruits</t>
  </si>
  <si>
    <t>Apple, banana, orange</t>
  </si>
  <si>
    <t>تفاح، موز، برتقال</t>
  </si>
  <si>
    <t>Input some common local fruits [to be used as examples in the food consumption score indicator].</t>
  </si>
  <si>
    <t>أدخل بعض الفاكهة المحلية الشائعة [لاستخدامها كأمثلة في مؤشر درجة استهلاك الغذاء].</t>
  </si>
  <si>
    <t>apples, bananas, oranges</t>
  </si>
  <si>
    <t>التفاح والموز والبرتقال</t>
  </si>
  <si>
    <t>FILL OUT FOR QUESTIONNAIRE DURATION ESTIMATION    .</t>
  </si>
  <si>
    <t>Expected percentage of respondents cultivating crops</t>
  </si>
  <si>
    <t>If the survey is representative and has no quotas, write the proportion of rural households cultivating crops at country level, or if the survey follows a previous round with identical sample design, just report the percentage from the previous round. If you are using quotas, calculate the ratio of the quota over the minimum sample size at the level where the quota is implemented (so if you have a minimum sample size per strata of 110 with a quota of 100 crop producers, then it's 100/110 = 91% (the maximum you should write is 100%).</t>
  </si>
  <si>
    <t xml:space="preserve">إذا كان المسح تمثيليًا وليس له حصص نسبية ، فاكتب نسبة الأسر الريفية التي تزرع محاصيل على المستوى الوطني ، أو إذا كان المسح يتبع جولة سابقة بتصميم عينة متطابق ، فما عليك سوى الإبلاغ عن النسبة المئوية من الجولة السابقة. إذا كنت تستخدم نظام الحصص النسبية ، فاحسب نسبة الحصة إلى الحد الأدنى لحجم العينة على المستوى الذي يتم فيه تنفيذ الحصة (لذلك إذا كان لديك حد أدنى لحجم العينة لكل طبقة 110 مع حصة 100 منتج محصول ، فسيكون 100 / 110 = 91٪ (الحد الأقصى الذي يجب أن تكتبه هو 100٪). </t>
  </si>
  <si>
    <t>Expected percentage of respondents raising livestock</t>
  </si>
  <si>
    <t>If the survey is representative and has no quotas, write the proportion of rural households raising livestock at country level, or if the survey follows a previous round with identical sample design, just report the percentage from the previous round. If you are using quotas, calculate the ratio of the quota over the minimum sample size at the level where the quota is implemented (so if you have a minimum sample size of 110 but a quota of 100 livestock producers, then it's 100/110 = 91% (the maximum you should write is 100%)</t>
  </si>
  <si>
    <t xml:space="preserve">إذا كان المسح تمثيليًا وليس له حصص نسبية ، فاكتب نسبة الأسر الريفية التي تربي الماشية على المستوى الوطني ، أو إذا كان المسح يتبع جولة سابقة بتصميم عينة متطابق ، فما عليك سوى الإبلاغ عن النسبة المئوية من الجولة السابقة. إذا كنت تستخدم نظام الحصص النسبية ، فاحسب نسبة الحصة إلى الحد الأدنى لحجم العينة على المستوى الذي يتم فيه تنفيذ الحصة (لذلك إذا كان لديك حد أدنى لحجم العينة لكل طبقة 110 مع حصة 100 مربي الماشية ، فسيكون 100 / 110 = 91٪ (الحد الأقصى الذي يجب أن تكتبه هو 100٪). </t>
  </si>
  <si>
    <t>Expected percentage of respondents involved in fishery</t>
  </si>
  <si>
    <t>If the survey is representative and has no quotas, write the proportion of rural households involved in fisheries or aquaculture, otherwise if you are using quotas, calculate the ratio of the quota over the sample size at the level where the quota is implemented. (so if you haven't set a quota, and you expect to have a representative proportion of fishermen, just write the percentage of fishermen in the population you are targeting, in the example to the right, 5%)</t>
  </si>
  <si>
    <t xml:space="preserve">إذا كان المسح تمثيليًا وليس له حصص نسبية ، فاكتب نسبة الأسر الريفية العاملة في مصايد الأسماك أو تربية الأحياء المائية على المستوى الوطني. وإلا إذا كنت تستخدم الحصص النسبية ، فاحسب نسبة الحصة إلى حجم العينة على المستوى الذي يتم فيه تنفيذ الحصة. (لذلك إذا لم تحدد حصة ، وكنت تتوقع أن يكون لديك نسبة تمثيلية من الصيادين ، فاكتب فقط النسبة المئوية للصيادين من السكان الذين تستهدفهم ، في المثال على اليمين ، 5٪). </t>
  </si>
  <si>
    <t>Livelihoodtype</t>
  </si>
  <si>
    <t>Sample Size</t>
  </si>
  <si>
    <t>Plant</t>
  </si>
  <si>
    <t>Livestock</t>
  </si>
  <si>
    <t>Mixed</t>
  </si>
  <si>
    <t>Tubas &amp; Northern Valleys</t>
  </si>
  <si>
    <t>Tulkarm/Qalqiliya/Salfit</t>
  </si>
  <si>
    <t>Ramallah &amp; Al-Bireh</t>
  </si>
  <si>
    <t>Jericho &amp; Al- Aghwar</t>
  </si>
  <si>
    <t>Jerusalem</t>
  </si>
  <si>
    <t>Hebron</t>
  </si>
  <si>
    <t>TOTAL</t>
  </si>
  <si>
    <t>adm2_name</t>
  </si>
  <si>
    <t>adm2_name_local</t>
  </si>
  <si>
    <t>adm2_pcode</t>
  </si>
  <si>
    <t>adm1_name</t>
  </si>
  <si>
    <t>adm1_pcode</t>
  </si>
  <si>
    <t>adm0_name</t>
  </si>
  <si>
    <t>adm0_ISO3</t>
  </si>
  <si>
    <t>North Gaza</t>
  </si>
  <si>
    <t>PS0255</t>
  </si>
  <si>
    <t>Gaza Strip</t>
  </si>
  <si>
    <t>PS02</t>
  </si>
  <si>
    <t>State of Palestine (the)</t>
  </si>
  <si>
    <t>PSE</t>
  </si>
  <si>
    <t>Gaza</t>
  </si>
  <si>
    <t>PS0260</t>
  </si>
  <si>
    <t>Deir Al-Balah</t>
  </si>
  <si>
    <t>PS0265</t>
  </si>
  <si>
    <t>Khan Younis</t>
  </si>
  <si>
    <t>PS0270</t>
  </si>
  <si>
    <t>Rafah</t>
  </si>
  <si>
    <t>PS0275</t>
  </si>
  <si>
    <t>PS0101</t>
  </si>
  <si>
    <t>West Bank</t>
  </si>
  <si>
    <t>PS01</t>
  </si>
  <si>
    <t>PS0105</t>
  </si>
  <si>
    <t>PS0110</t>
  </si>
  <si>
    <t>PS0115</t>
  </si>
  <si>
    <t>Qalqilya</t>
  </si>
  <si>
    <t>PS0120</t>
  </si>
  <si>
    <t>PS0125</t>
  </si>
  <si>
    <t>PS0130</t>
  </si>
  <si>
    <t>PS0135</t>
  </si>
  <si>
    <t>PS0140</t>
  </si>
  <si>
    <t>PS0145</t>
  </si>
  <si>
    <t>PS0150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</si>
</sst>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
    <numFmt numFmtId="165" formatCode="[$-1170000]B2dd/mm/yyyy;@"/>
    <numFmt numFmtId="166" formatCode="0.0"/>
  </numFmts>
  <fonts count="51" x14ac:knownFonts="1">
    <font>
      <sz val="11"/>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1"/>
      <color theme="1"/>
      <name val="Calibri"/>
      <family val="2"/>
      <scheme val="minor"/>
    </font>
    <font>
      <sz val="12"/>
      <color theme="1"/>
      <name val="Calibri"/>
      <family val="2"/>
      <scheme val="minor"/>
    </font>
    <font>
      <sz val="10"/>
      <color rgb="FF000000"/>
      <name val="Arial"/>
      <family val="2"/>
    </font>
    <font>
      <sz val="11"/>
      <name val="Calibri"/>
      <family val="2"/>
      <scheme val="minor"/>
    </font>
    <font>
      <sz val="12"/>
      <name val="Calibri"/>
      <family val="2"/>
      <scheme val="minor"/>
    </font>
    <font>
      <b/>
      <sz val="12"/>
      <color theme="0"/>
      <name val="Calibri"/>
      <family val="2"/>
      <scheme val="minor"/>
    </font>
    <font>
      <b/>
      <sz val="12"/>
      <name val="Calibri"/>
      <family val="2"/>
      <scheme val="minor"/>
    </font>
    <font>
      <sz val="12"/>
      <color rgb="FFFF0000"/>
      <name val="Calibri"/>
      <family val="2"/>
      <scheme val="minor"/>
    </font>
    <font>
      <sz val="12"/>
      <color theme="4"/>
      <name val="Calibri"/>
      <family val="2"/>
      <scheme val="minor"/>
    </font>
    <font>
      <b/>
      <sz val="12"/>
      <color rgb="FF0070C0"/>
      <name val="Calibri"/>
      <family val="2"/>
      <scheme val="minor"/>
    </font>
    <font>
      <i/>
      <sz val="12"/>
      <name val="Calibri"/>
      <family val="2"/>
      <scheme val="minor"/>
    </font>
    <font>
      <b/>
      <i/>
      <sz val="12"/>
      <name val="Calibri"/>
      <family val="2"/>
      <scheme val="minor"/>
    </font>
    <font>
      <b/>
      <sz val="12"/>
      <color rgb="FF7030A0"/>
      <name val="Calibri"/>
      <family val="2"/>
      <scheme val="minor"/>
    </font>
    <font>
      <b/>
      <sz val="11"/>
      <color rgb="FF000000"/>
      <name val="Calibri"/>
      <family val="2"/>
    </font>
    <font>
      <sz val="11"/>
      <color rgb="FF000000"/>
      <name val="Calibri"/>
      <family val="2"/>
    </font>
    <font>
      <sz val="11"/>
      <name val="Calibri"/>
      <family val="2"/>
    </font>
    <font>
      <i/>
      <sz val="11"/>
      <color rgb="FF000000"/>
      <name val="Calibri"/>
      <family val="2"/>
    </font>
    <font>
      <b/>
      <sz val="11"/>
      <name val="Calibri"/>
      <family val="2"/>
      <scheme val="minor"/>
    </font>
    <font>
      <b/>
      <sz val="12"/>
      <color theme="1"/>
      <name val="Calibri"/>
      <family val="2"/>
      <scheme val="minor"/>
    </font>
    <font>
      <sz val="12"/>
      <color rgb="FF000000"/>
      <name val="Calibri"/>
      <family val="2"/>
      <scheme val="minor"/>
    </font>
    <font>
      <b/>
      <i/>
      <sz val="12"/>
      <color theme="1"/>
      <name val="Calibri"/>
      <family val="2"/>
      <scheme val="minor"/>
    </font>
    <font>
      <i/>
      <sz val="12"/>
      <color theme="1"/>
      <name val="Calibri"/>
      <family val="2"/>
      <scheme val="minor"/>
    </font>
    <font>
      <b/>
      <sz val="12"/>
      <color theme="9" tint="-0.499984740745262"/>
      <name val="Calibri"/>
      <family val="2"/>
      <scheme val="minor"/>
    </font>
    <font>
      <sz val="12"/>
      <color theme="9" tint="-0.499984740745262"/>
      <name val="Calibri"/>
      <family val="2"/>
      <scheme val="minor"/>
    </font>
    <font>
      <sz val="12"/>
      <name val="Calibri"/>
      <family val="2"/>
    </font>
    <font>
      <i/>
      <sz val="10.5"/>
      <name val="Calibri"/>
      <family val="2"/>
    </font>
    <font>
      <sz val="12"/>
      <color rgb="FF000000"/>
      <name val="Calibri"/>
      <family val="2"/>
    </font>
    <font>
      <b/>
      <sz val="12"/>
      <color rgb="FFFF0000"/>
      <name val="Calibri"/>
      <family val="2"/>
      <scheme val="minor"/>
    </font>
    <font>
      <i/>
      <sz val="12"/>
      <color rgb="FFFF0000"/>
      <name val="Calibri"/>
      <family val="2"/>
      <scheme val="minor"/>
    </font>
    <font>
      <b/>
      <sz val="11"/>
      <color theme="1"/>
      <name val="Calibri"/>
      <family val="2"/>
      <scheme val="minor"/>
    </font>
    <font>
      <sz val="10"/>
      <name val="Arial"/>
      <family val="2"/>
    </font>
    <font>
      <sz val="10"/>
      <color indexed="8"/>
      <name val="Calibri"/>
      <family val="2"/>
      <scheme val="minor"/>
    </font>
    <font>
      <sz val="10"/>
      <color theme="1"/>
      <name val="Arial Narrow"/>
      <family val="2"/>
    </font>
    <font>
      <b/>
      <sz val="10"/>
      <color theme="1"/>
      <name val="Arial Narrow"/>
      <family val="2"/>
    </font>
    <font>
      <sz val="10"/>
      <color theme="1"/>
      <name val="Arial"/>
      <family val="2"/>
    </font>
    <font>
      <sz val="9"/>
      <color rgb="FF000000"/>
      <name val="Arial"/>
      <family val="2"/>
    </font>
    <font>
      <sz val="9"/>
      <name val="Arial"/>
      <family val="2"/>
    </font>
    <font>
      <sz val="12"/>
      <name val="Calibri (Body)"/>
    </font>
    <font>
      <sz val="11"/>
      <name val="Aptos Narrow"/>
      <family val="2"/>
    </font>
    <font>
      <b/>
      <sz val="12"/>
      <name val="Calibri (Body)"/>
    </font>
    <font>
      <sz val="11"/>
      <name val="Calibri (Body)"/>
    </font>
    <font>
      <b/>
      <sz val="12"/>
      <name val="Calibri"/>
      <family val="2"/>
    </font>
    <font>
      <sz val="12"/>
      <color theme="1"/>
      <name val="Calibri (Body)"/>
    </font>
    <font>
      <b/>
      <sz val="12"/>
      <color theme="1"/>
      <name val="Calibri (Body)"/>
    </font>
    <font>
      <sz val="11"/>
      <color theme="1"/>
      <name val="Calibri (Body)"/>
    </font>
    <font>
      <b/>
      <sz val="11"/>
      <name val="Calibri"/>
      <family val="2"/>
    </font>
  </fonts>
  <fills count="13">
    <fill>
      <patternFill patternType="none"/>
    </fill>
    <fill>
      <patternFill patternType="gray125"/>
    </fill>
    <fill>
      <patternFill patternType="solid">
        <fgColor theme="1"/>
        <bgColor indexed="64"/>
      </patternFill>
    </fill>
    <fill>
      <patternFill patternType="solid">
        <fgColor rgb="FF4398B6"/>
        <bgColor indexed="64"/>
      </patternFill>
    </fill>
    <fill>
      <patternFill patternType="solid">
        <fgColor theme="0"/>
        <bgColor indexed="64"/>
      </patternFill>
    </fill>
    <fill>
      <patternFill patternType="solid">
        <fgColor theme="4" tint="0.79998168889431442"/>
        <bgColor indexed="64"/>
      </patternFill>
    </fill>
    <fill>
      <patternFill patternType="solid">
        <fgColor rgb="FFA5A5A5"/>
      </patternFill>
    </fill>
    <fill>
      <patternFill patternType="solid">
        <fgColor rgb="FFF6DFDC"/>
        <bgColor indexed="64"/>
      </patternFill>
    </fill>
    <fill>
      <patternFill patternType="solid">
        <fgColor rgb="FFFFFF00"/>
        <bgColor indexed="64"/>
      </patternFill>
    </fill>
    <fill>
      <patternFill patternType="solid">
        <fgColor rgb="FFFFFF00"/>
        <bgColor rgb="FF000000"/>
      </patternFill>
    </fill>
    <fill>
      <patternFill patternType="solid">
        <fgColor rgb="FFF6DFDC"/>
        <bgColor rgb="FF000000"/>
      </patternFill>
    </fill>
    <fill>
      <patternFill patternType="solid">
        <fgColor theme="4" tint="0.59999389629810485"/>
        <bgColor indexed="64"/>
      </patternFill>
    </fill>
    <fill>
      <patternFill patternType="solid">
        <fgColor rgb="FFFFFFFF"/>
        <bgColor indexed="64"/>
      </patternFill>
    </fill>
  </fills>
  <borders count="93">
    <border>
      <left/>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style="thin">
        <color auto="1"/>
      </bottom>
      <diagonal/>
    </border>
    <border>
      <left style="thin">
        <color auto="1"/>
      </left>
      <right style="thin">
        <color auto="1"/>
      </right>
      <top style="medium">
        <color indexed="64"/>
      </top>
      <bottom style="medium">
        <color indexed="64"/>
      </bottom>
      <diagonal/>
    </border>
    <border>
      <left style="medium">
        <color indexed="64"/>
      </left>
      <right style="thin">
        <color auto="1"/>
      </right>
      <top style="medium">
        <color indexed="64"/>
      </top>
      <bottom style="medium">
        <color indexed="64"/>
      </bottom>
      <diagonal/>
    </border>
    <border>
      <left style="medium">
        <color indexed="64"/>
      </left>
      <right style="thin">
        <color auto="1"/>
      </right>
      <top style="thin">
        <color auto="1"/>
      </top>
      <bottom/>
      <diagonal/>
    </border>
    <border>
      <left style="medium">
        <color indexed="64"/>
      </left>
      <right style="thin">
        <color auto="1"/>
      </right>
      <top/>
      <bottom style="thin">
        <color auto="1"/>
      </bottom>
      <diagonal/>
    </border>
    <border>
      <left style="medium">
        <color indexed="64"/>
      </left>
      <right style="thin">
        <color auto="1"/>
      </right>
      <top style="thin">
        <color auto="1"/>
      </top>
      <bottom style="thin">
        <color auto="1"/>
      </bottom>
      <diagonal/>
    </border>
    <border>
      <left style="medium">
        <color indexed="64"/>
      </left>
      <right style="thin">
        <color auto="1"/>
      </right>
      <top style="thin">
        <color auto="1"/>
      </top>
      <bottom style="medium">
        <color indexed="64"/>
      </bottom>
      <diagonal/>
    </border>
    <border>
      <left style="thin">
        <color auto="1"/>
      </left>
      <right style="thin">
        <color auto="1"/>
      </right>
      <top style="thin">
        <color auto="1"/>
      </top>
      <bottom style="medium">
        <color indexed="64"/>
      </bottom>
      <diagonal/>
    </border>
    <border>
      <left style="thin">
        <color indexed="64"/>
      </left>
      <right style="thin">
        <color indexed="64"/>
      </right>
      <top/>
      <bottom style="medium">
        <color indexed="64"/>
      </bottom>
      <diagonal/>
    </border>
    <border>
      <left style="thin">
        <color indexed="64"/>
      </left>
      <right style="thin">
        <color indexed="64"/>
      </right>
      <top/>
      <bottom/>
      <diagonal/>
    </border>
    <border>
      <left style="thin">
        <color auto="1"/>
      </left>
      <right/>
      <top style="thin">
        <color auto="1"/>
      </top>
      <bottom style="thin">
        <color auto="1"/>
      </bottom>
      <diagonal/>
    </border>
    <border>
      <left style="thin">
        <color auto="1"/>
      </left>
      <right/>
      <top style="thin">
        <color auto="1"/>
      </top>
      <bottom/>
      <diagonal/>
    </border>
    <border>
      <left style="thin">
        <color auto="1"/>
      </left>
      <right/>
      <top style="medium">
        <color indexed="64"/>
      </top>
      <bottom style="medium">
        <color indexed="64"/>
      </bottom>
      <diagonal/>
    </border>
    <border>
      <left style="thin">
        <color auto="1"/>
      </left>
      <right/>
      <top/>
      <bottom style="thin">
        <color auto="1"/>
      </bottom>
      <diagonal/>
    </border>
    <border>
      <left style="thin">
        <color auto="1"/>
      </left>
      <right/>
      <top style="thin">
        <color auto="1"/>
      </top>
      <bottom style="medium">
        <color indexed="64"/>
      </bottom>
      <diagonal/>
    </border>
    <border>
      <left style="thin">
        <color auto="1"/>
      </left>
      <right/>
      <top/>
      <bottom/>
      <diagonal/>
    </border>
    <border>
      <left style="double">
        <color rgb="FF3F3F3F"/>
      </left>
      <right style="double">
        <color rgb="FF3F3F3F"/>
      </right>
      <top style="double">
        <color rgb="FF3F3F3F"/>
      </top>
      <bottom style="double">
        <color rgb="FF3F3F3F"/>
      </bottom>
      <diagonal/>
    </border>
    <border>
      <left style="thin">
        <color theme="0"/>
      </left>
      <right style="thin">
        <color theme="0"/>
      </right>
      <top style="thin">
        <color theme="0"/>
      </top>
      <bottom style="thin">
        <color theme="0"/>
      </bottom>
      <diagonal/>
    </border>
    <border>
      <left style="thin">
        <color theme="0"/>
      </left>
      <right/>
      <top style="thin">
        <color theme="0"/>
      </top>
      <bottom style="thin">
        <color theme="0"/>
      </bottom>
      <diagonal/>
    </border>
    <border>
      <left/>
      <right style="thin">
        <color theme="0"/>
      </right>
      <top style="thin">
        <color theme="0"/>
      </top>
      <bottom style="thin">
        <color theme="0"/>
      </bottom>
      <diagonal/>
    </border>
    <border>
      <left style="thin">
        <color theme="0"/>
      </left>
      <right style="thin">
        <color theme="0"/>
      </right>
      <top style="thin">
        <color theme="0"/>
      </top>
      <bottom/>
      <diagonal/>
    </border>
    <border>
      <left style="thin">
        <color theme="0"/>
      </left>
      <right style="thin">
        <color theme="0"/>
      </right>
      <top/>
      <bottom style="thin">
        <color theme="0"/>
      </bottom>
      <diagonal/>
    </border>
    <border>
      <left style="medium">
        <color indexed="64"/>
      </left>
      <right/>
      <top/>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style="thin">
        <color auto="1"/>
      </top>
      <bottom/>
      <diagonal/>
    </border>
    <border>
      <left style="medium">
        <color indexed="64"/>
      </left>
      <right style="medium">
        <color indexed="64"/>
      </right>
      <top style="medium">
        <color indexed="64"/>
      </top>
      <bottom style="thin">
        <color auto="1"/>
      </bottom>
      <diagonal/>
    </border>
    <border>
      <left style="medium">
        <color indexed="64"/>
      </left>
      <right style="medium">
        <color indexed="64"/>
      </right>
      <top style="thin">
        <color auto="1"/>
      </top>
      <bottom style="thin">
        <color auto="1"/>
      </bottom>
      <diagonal/>
    </border>
    <border>
      <left style="medium">
        <color indexed="64"/>
      </left>
      <right style="medium">
        <color indexed="64"/>
      </right>
      <top style="thin">
        <color auto="1"/>
      </top>
      <bottom style="medium">
        <color indexed="64"/>
      </bottom>
      <diagonal/>
    </border>
    <border>
      <left style="thin">
        <color theme="0" tint="-0.499984740745262"/>
      </left>
      <right style="thin">
        <color theme="0" tint="-0.499984740745262"/>
      </right>
      <top style="thin">
        <color theme="0" tint="-0.499984740745262"/>
      </top>
      <bottom style="thin">
        <color theme="0" tint="-0.499984740745262"/>
      </bottom>
      <diagonal/>
    </border>
    <border>
      <left style="thin">
        <color auto="1"/>
      </left>
      <right style="thin">
        <color theme="1"/>
      </right>
      <top style="medium">
        <color indexed="64"/>
      </top>
      <bottom style="medium">
        <color indexed="64"/>
      </bottom>
      <diagonal/>
    </border>
    <border>
      <left/>
      <right style="medium">
        <color indexed="64"/>
      </right>
      <top style="thin">
        <color auto="1"/>
      </top>
      <bottom style="thin">
        <color auto="1"/>
      </bottom>
      <diagonal/>
    </border>
    <border>
      <left style="thin">
        <color auto="1"/>
      </left>
      <right style="thin">
        <color theme="1"/>
      </right>
      <top style="thin">
        <color auto="1"/>
      </top>
      <bottom style="thin">
        <color auto="1"/>
      </bottom>
      <diagonal/>
    </border>
    <border>
      <left/>
      <right style="medium">
        <color indexed="64"/>
      </right>
      <top style="thin">
        <color auto="1"/>
      </top>
      <bottom/>
      <diagonal/>
    </border>
    <border>
      <left style="medium">
        <color indexed="64"/>
      </left>
      <right style="thin">
        <color auto="1"/>
      </right>
      <top style="medium">
        <color indexed="64"/>
      </top>
      <bottom style="thin">
        <color auto="1"/>
      </bottom>
      <diagonal/>
    </border>
    <border>
      <left style="thin">
        <color auto="1"/>
      </left>
      <right style="thin">
        <color auto="1"/>
      </right>
      <top style="medium">
        <color indexed="64"/>
      </top>
      <bottom style="thin">
        <color auto="1"/>
      </bottom>
      <diagonal/>
    </border>
    <border>
      <left style="thin">
        <color auto="1"/>
      </left>
      <right style="thin">
        <color theme="1"/>
      </right>
      <top style="medium">
        <color indexed="64"/>
      </top>
      <bottom style="thin">
        <color auto="1"/>
      </bottom>
      <diagonal/>
    </border>
    <border>
      <left/>
      <right style="medium">
        <color indexed="64"/>
      </right>
      <top style="medium">
        <color indexed="64"/>
      </top>
      <bottom style="thin">
        <color auto="1"/>
      </bottom>
      <diagonal/>
    </border>
    <border>
      <left/>
      <right style="medium">
        <color indexed="64"/>
      </right>
      <top style="thin">
        <color auto="1"/>
      </top>
      <bottom style="medium">
        <color indexed="64"/>
      </bottom>
      <diagonal/>
    </border>
    <border>
      <left style="thin">
        <color theme="1"/>
      </left>
      <right style="thin">
        <color theme="1"/>
      </right>
      <top style="thin">
        <color theme="1"/>
      </top>
      <bottom style="thin">
        <color theme="1"/>
      </bottom>
      <diagonal/>
    </border>
    <border>
      <left style="medium">
        <color indexed="64"/>
      </left>
      <right style="medium">
        <color indexed="64"/>
      </right>
      <top/>
      <bottom style="thin">
        <color auto="1"/>
      </bottom>
      <diagonal/>
    </border>
    <border>
      <left/>
      <right style="medium">
        <color indexed="64"/>
      </right>
      <top/>
      <bottom style="medium">
        <color indexed="64"/>
      </bottom>
      <diagonal/>
    </border>
    <border>
      <left style="thin">
        <color theme="1"/>
      </left>
      <right style="thin">
        <color auto="1"/>
      </right>
      <top style="thin">
        <color auto="1"/>
      </top>
      <bottom style="thin">
        <color indexed="64"/>
      </bottom>
      <diagonal/>
    </border>
    <border>
      <left style="thin">
        <color auto="1"/>
      </left>
      <right style="thin">
        <color theme="1"/>
      </right>
      <top style="thin">
        <color auto="1"/>
      </top>
      <bottom style="medium">
        <color indexed="64"/>
      </bottom>
      <diagonal/>
    </border>
    <border>
      <left style="thin">
        <color theme="0"/>
      </left>
      <right/>
      <top style="thin">
        <color theme="0"/>
      </top>
      <bottom/>
      <diagonal/>
    </border>
    <border>
      <left style="medium">
        <color indexed="64"/>
      </left>
      <right style="thin">
        <color auto="1"/>
      </right>
      <top/>
      <bottom style="medium">
        <color indexed="64"/>
      </bottom>
      <diagonal/>
    </border>
    <border>
      <left style="thin">
        <color auto="1"/>
      </left>
      <right style="thin">
        <color theme="1"/>
      </right>
      <top/>
      <bottom style="medium">
        <color indexed="64"/>
      </bottom>
      <diagonal/>
    </border>
    <border>
      <left style="thin">
        <color auto="1"/>
      </left>
      <right style="thin">
        <color theme="1"/>
      </right>
      <top/>
      <bottom style="thin">
        <color auto="1"/>
      </bottom>
      <diagonal/>
    </border>
    <border>
      <left/>
      <right style="medium">
        <color indexed="64"/>
      </right>
      <top/>
      <bottom style="thin">
        <color auto="1"/>
      </bottom>
      <diagonal/>
    </border>
    <border>
      <left style="thin">
        <color auto="1"/>
      </left>
      <right/>
      <top style="medium">
        <color indexed="64"/>
      </top>
      <bottom style="thin">
        <color indexed="64"/>
      </bottom>
      <diagonal/>
    </border>
    <border>
      <left style="medium">
        <color indexed="64"/>
      </left>
      <right/>
      <top style="thin">
        <color auto="1"/>
      </top>
      <bottom style="thin">
        <color auto="1"/>
      </bottom>
      <diagonal/>
    </border>
    <border>
      <left/>
      <right/>
      <top style="thin">
        <color auto="1"/>
      </top>
      <bottom style="thin">
        <color auto="1"/>
      </bottom>
      <diagonal/>
    </border>
    <border>
      <left style="thin">
        <color theme="1"/>
      </left>
      <right style="thin">
        <color theme="1"/>
      </right>
      <top/>
      <bottom style="thin">
        <color theme="1"/>
      </bottom>
      <diagonal/>
    </border>
    <border>
      <left style="thin">
        <color auto="1"/>
      </left>
      <right style="medium">
        <color indexed="64"/>
      </right>
      <top style="thin">
        <color auto="1"/>
      </top>
      <bottom style="thin">
        <color indexed="64"/>
      </bottom>
      <diagonal/>
    </border>
    <border>
      <left style="thin">
        <color indexed="64"/>
      </left>
      <right/>
      <top/>
      <bottom style="medium">
        <color indexed="64"/>
      </bottom>
      <diagonal/>
    </border>
    <border>
      <left/>
      <right style="thin">
        <color indexed="64"/>
      </right>
      <top style="medium">
        <color indexed="64"/>
      </top>
      <bottom style="medium">
        <color indexed="64"/>
      </bottom>
      <diagonal/>
    </border>
    <border>
      <left/>
      <right style="thin">
        <color indexed="64"/>
      </right>
      <top style="thin">
        <color auto="1"/>
      </top>
      <bottom style="thin">
        <color auto="1"/>
      </bottom>
      <diagonal/>
    </border>
    <border>
      <left/>
      <right style="thin">
        <color indexed="64"/>
      </right>
      <top/>
      <bottom style="medium">
        <color indexed="64"/>
      </bottom>
      <diagonal/>
    </border>
    <border>
      <left/>
      <right style="thin">
        <color indexed="64"/>
      </right>
      <top style="thin">
        <color auto="1"/>
      </top>
      <bottom style="medium">
        <color indexed="64"/>
      </bottom>
      <diagonal/>
    </border>
    <border>
      <left/>
      <right style="thin">
        <color indexed="64"/>
      </right>
      <top style="thin">
        <color auto="1"/>
      </top>
      <bottom/>
      <diagonal/>
    </border>
    <border>
      <left/>
      <right style="medium">
        <color indexed="64"/>
      </right>
      <top style="medium">
        <color indexed="64"/>
      </top>
      <bottom/>
      <diagonal/>
    </border>
    <border>
      <left style="thin">
        <color theme="1"/>
      </left>
      <right style="thin">
        <color theme="1"/>
      </right>
      <top style="thin">
        <color auto="1"/>
      </top>
      <bottom style="thin">
        <color auto="1"/>
      </bottom>
      <diagonal/>
    </border>
    <border>
      <left style="thin">
        <color theme="1"/>
      </left>
      <right style="thin">
        <color indexed="64"/>
      </right>
      <top/>
      <bottom style="medium">
        <color indexed="64"/>
      </bottom>
      <diagonal/>
    </border>
    <border>
      <left/>
      <right style="thin">
        <color indexed="64"/>
      </right>
      <top/>
      <bottom style="thin">
        <color indexed="64"/>
      </bottom>
      <diagonal/>
    </border>
    <border>
      <left/>
      <right style="thin">
        <color indexed="64"/>
      </right>
      <top style="medium">
        <color indexed="64"/>
      </top>
      <bottom/>
      <diagonal/>
    </border>
    <border>
      <left style="thin">
        <color indexed="64"/>
      </left>
      <right style="thin">
        <color indexed="64"/>
      </right>
      <top style="medium">
        <color indexed="64"/>
      </top>
      <bottom/>
      <diagonal/>
    </border>
    <border>
      <left style="medium">
        <color indexed="64"/>
      </left>
      <right style="medium">
        <color indexed="64"/>
      </right>
      <top style="thin">
        <color auto="1"/>
      </top>
      <bottom style="thin">
        <color theme="1"/>
      </bottom>
      <diagonal/>
    </border>
    <border>
      <left style="medium">
        <color indexed="64"/>
      </left>
      <right style="medium">
        <color indexed="64"/>
      </right>
      <top style="thin">
        <color theme="1"/>
      </top>
      <bottom style="thin">
        <color theme="1"/>
      </bottom>
      <diagonal/>
    </border>
    <border>
      <left style="thin">
        <color theme="1"/>
      </left>
      <right style="thin">
        <color theme="1"/>
      </right>
      <top style="thin">
        <color theme="1"/>
      </top>
      <bottom/>
      <diagonal/>
    </border>
    <border>
      <left style="thin">
        <color theme="1"/>
      </left>
      <right/>
      <top style="thin">
        <color theme="1"/>
      </top>
      <bottom style="thin">
        <color theme="1"/>
      </bottom>
      <diagonal/>
    </border>
    <border>
      <left/>
      <right style="thin">
        <color theme="1"/>
      </right>
      <top style="thin">
        <color theme="1"/>
      </top>
      <bottom style="thin">
        <color theme="1"/>
      </bottom>
      <diagonal/>
    </border>
    <border>
      <left style="thin">
        <color indexed="64"/>
      </left>
      <right style="medium">
        <color indexed="64"/>
      </right>
      <top style="medium">
        <color indexed="64"/>
      </top>
      <bottom style="thin">
        <color indexed="64"/>
      </bottom>
      <diagonal/>
    </border>
    <border>
      <left style="thin">
        <color indexed="64"/>
      </left>
      <right style="medium">
        <color indexed="64"/>
      </right>
      <top style="thin">
        <color indexed="64"/>
      </top>
      <bottom style="medium">
        <color indexed="64"/>
      </bottom>
      <diagonal/>
    </border>
    <border>
      <left style="thin">
        <color indexed="64"/>
      </left>
      <right style="medium">
        <color indexed="64"/>
      </right>
      <top style="medium">
        <color indexed="64"/>
      </top>
      <bottom style="medium">
        <color indexed="64"/>
      </bottom>
      <diagonal/>
    </border>
    <border>
      <left/>
      <right style="thin">
        <color rgb="FF000000"/>
      </right>
      <top style="thin">
        <color rgb="FF000000"/>
      </top>
      <bottom/>
      <diagonal/>
    </border>
    <border>
      <left style="medium">
        <color indexed="64"/>
      </left>
      <right/>
      <top style="medium">
        <color indexed="64"/>
      </top>
      <bottom/>
      <diagonal/>
    </border>
    <border>
      <left/>
      <right/>
      <top/>
      <bottom style="thin">
        <color auto="1"/>
      </bottom>
      <diagonal/>
    </border>
    <border>
      <left/>
      <right/>
      <top style="thin">
        <color auto="1"/>
      </top>
      <bottom style="medium">
        <color indexed="64"/>
      </bottom>
      <diagonal/>
    </border>
    <border>
      <left/>
      <right/>
      <top style="medium">
        <color indexed="64"/>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style="thin">
        <color auto="1"/>
      </left>
      <right style="thin">
        <color auto="1"/>
      </right>
      <top/>
      <bottom/>
      <diagonal/>
    </border>
    <border>
      <left style="medium">
        <color indexed="64"/>
      </left>
      <right style="thin">
        <color auto="1"/>
      </right>
      <top/>
      <bottom/>
      <diagonal/>
    </border>
    <border>
      <left/>
      <right style="thin">
        <color auto="1"/>
      </right>
      <top style="medium">
        <color indexed="64"/>
      </top>
      <bottom style="medium">
        <color indexed="64"/>
      </bottom>
      <diagonal/>
    </border>
    <border>
      <left style="thin">
        <color auto="1"/>
      </left>
      <right style="thin">
        <color auto="1"/>
      </right>
      <top style="thin">
        <color auto="1"/>
      </top>
      <bottom style="thin">
        <color auto="1"/>
      </bottom>
      <diagonal/>
    </border>
  </borders>
  <cellStyleXfs count="20">
    <xf numFmtId="0" fontId="0" fillId="0" borderId="0"/>
    <xf numFmtId="0" fontId="6" fillId="0" borderId="0"/>
    <xf numFmtId="0" fontId="7" fillId="0" borderId="0"/>
    <xf numFmtId="0" fontId="5" fillId="0" borderId="0"/>
    <xf numFmtId="0" fontId="6" fillId="0" borderId="0"/>
    <xf numFmtId="0" fontId="5" fillId="0" borderId="0"/>
    <xf numFmtId="0" fontId="5" fillId="0" borderId="0"/>
    <xf numFmtId="0" fontId="10" fillId="6" borderId="19"/>
    <xf numFmtId="0" fontId="6" fillId="0" borderId="0"/>
    <xf numFmtId="0" fontId="6" fillId="0" borderId="0"/>
    <xf numFmtId="0" fontId="6" fillId="0" borderId="0"/>
    <xf numFmtId="9" fontId="5"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35" fillId="0" borderId="0"/>
  </cellStyleXfs>
  <cellXfs count="623">
    <xf numFmtId="0" fontId="0" fillId="0" borderId="0" xfId="0"/>
    <xf numFmtId="0" fontId="0" fillId="0" borderId="20" xfId="0" applyBorder="1"/>
    <xf numFmtId="0" fontId="8" fillId="0" borderId="20" xfId="0" applyFont="1" applyBorder="1" applyAlignment="1">
      <alignment horizontal="center" vertical="center"/>
    </xf>
    <xf numFmtId="0" fontId="0" fillId="0" borderId="21" xfId="0" applyBorder="1"/>
    <xf numFmtId="0" fontId="8" fillId="0" borderId="23" xfId="0" applyFont="1" applyBorder="1" applyAlignment="1">
      <alignment horizontal="center" vertical="center"/>
    </xf>
    <xf numFmtId="0" fontId="0" fillId="0" borderId="23" xfId="0" applyBorder="1"/>
    <xf numFmtId="0" fontId="8" fillId="0" borderId="24" xfId="0" applyFont="1" applyBorder="1" applyAlignment="1">
      <alignment horizontal="center" vertical="center"/>
    </xf>
    <xf numFmtId="0" fontId="0" fillId="0" borderId="24" xfId="0" applyBorder="1"/>
    <xf numFmtId="0" fontId="8" fillId="0" borderId="1" xfId="0" applyFont="1" applyBorder="1"/>
    <xf numFmtId="0" fontId="9" fillId="0" borderId="34" xfId="3" applyFont="1" applyBorder="1" applyAlignment="1" applyProtection="1">
      <alignment horizontal="left" vertical="center" wrapText="1"/>
      <protection locked="0"/>
    </xf>
    <xf numFmtId="0" fontId="9" fillId="0" borderId="35" xfId="3" applyFont="1" applyBorder="1" applyAlignment="1" applyProtection="1">
      <alignment horizontal="left" vertical="center" wrapText="1"/>
      <protection locked="0"/>
    </xf>
    <xf numFmtId="0" fontId="9" fillId="0" borderId="35" xfId="5" applyFont="1" applyBorder="1" applyAlignment="1" applyProtection="1">
      <alignment horizontal="left" vertical="center" wrapText="1"/>
      <protection locked="0"/>
    </xf>
    <xf numFmtId="0" fontId="9" fillId="0" borderId="36" xfId="3" applyFont="1" applyBorder="1" applyAlignment="1" applyProtection="1">
      <alignment horizontal="left" vertical="center" wrapText="1"/>
      <protection locked="0"/>
    </xf>
    <xf numFmtId="0" fontId="9" fillId="0" borderId="33" xfId="3" applyFont="1" applyBorder="1" applyAlignment="1" applyProtection="1">
      <alignment horizontal="left" vertical="center" wrapText="1"/>
      <protection locked="0"/>
    </xf>
    <xf numFmtId="0" fontId="9" fillId="0" borderId="8" xfId="2" applyFont="1" applyBorder="1" applyAlignment="1" applyProtection="1">
      <alignment horizontal="center" vertical="center"/>
      <protection locked="0"/>
    </xf>
    <xf numFmtId="0" fontId="9" fillId="0" borderId="1" xfId="0" applyFont="1" applyBorder="1" applyAlignment="1" applyProtection="1">
      <alignment horizontal="left" vertical="center" wrapText="1"/>
      <protection locked="0"/>
    </xf>
    <xf numFmtId="0" fontId="22" fillId="0" borderId="1" xfId="0" applyFont="1" applyBorder="1"/>
    <xf numFmtId="0" fontId="9" fillId="0" borderId="48" xfId="3" applyFont="1" applyBorder="1" applyAlignment="1" applyProtection="1">
      <alignment horizontal="left" vertical="center" wrapText="1"/>
      <protection locked="0"/>
    </xf>
    <xf numFmtId="0" fontId="9" fillId="0" borderId="13" xfId="2" applyFont="1" applyBorder="1" applyAlignment="1" applyProtection="1">
      <alignment horizontal="left" vertical="center" wrapText="1"/>
      <protection locked="0"/>
    </xf>
    <xf numFmtId="0" fontId="9" fillId="0" borderId="48" xfId="3" applyFont="1" applyBorder="1" applyAlignment="1" applyProtection="1">
      <alignment horizontal="left" vertical="center"/>
      <protection locked="0"/>
    </xf>
    <xf numFmtId="0" fontId="9" fillId="0" borderId="28" xfId="3" applyFont="1" applyBorder="1" applyAlignment="1" applyProtection="1">
      <alignment horizontal="left" vertical="center" wrapText="1"/>
      <protection locked="0"/>
    </xf>
    <xf numFmtId="0" fontId="9" fillId="0" borderId="1" xfId="3" applyFont="1" applyBorder="1" applyAlignment="1" applyProtection="1">
      <alignment horizontal="left" vertical="center" wrapText="1"/>
      <protection locked="0"/>
    </xf>
    <xf numFmtId="0" fontId="9" fillId="0" borderId="16" xfId="3" applyFont="1" applyBorder="1" applyAlignment="1" applyProtection="1">
      <alignment horizontal="center" vertical="center" wrapText="1"/>
      <protection locked="0"/>
    </xf>
    <xf numFmtId="0" fontId="9" fillId="0" borderId="13" xfId="3" applyFont="1" applyBorder="1" applyAlignment="1" applyProtection="1">
      <alignment horizontal="center" vertical="center" wrapText="1"/>
      <protection locked="0"/>
    </xf>
    <xf numFmtId="0" fontId="9" fillId="0" borderId="13" xfId="5" applyFont="1" applyBorder="1" applyAlignment="1" applyProtection="1">
      <alignment horizontal="center" vertical="center" wrapText="1"/>
      <protection locked="0"/>
    </xf>
    <xf numFmtId="0" fontId="15" fillId="0" borderId="13" xfId="3" applyFont="1" applyBorder="1" applyAlignment="1" applyProtection="1">
      <alignment horizontal="left" vertical="center" wrapText="1"/>
      <protection locked="0"/>
    </xf>
    <xf numFmtId="0" fontId="9" fillId="0" borderId="13" xfId="3" applyFont="1" applyBorder="1" applyAlignment="1" applyProtection="1">
      <alignment horizontal="left" vertical="center" wrapText="1"/>
      <protection locked="0"/>
    </xf>
    <xf numFmtId="0" fontId="9" fillId="0" borderId="14" xfId="3" applyFont="1" applyBorder="1" applyAlignment="1" applyProtection="1">
      <alignment horizontal="center" vertical="center" wrapText="1"/>
      <protection locked="0"/>
    </xf>
    <xf numFmtId="0" fontId="9" fillId="0" borderId="16" xfId="3" applyFont="1" applyBorder="1" applyAlignment="1" applyProtection="1">
      <alignment horizontal="left" vertical="center" wrapText="1"/>
      <protection locked="0"/>
    </xf>
    <xf numFmtId="0" fontId="9" fillId="0" borderId="13" xfId="0" applyFont="1" applyBorder="1" applyAlignment="1" applyProtection="1">
      <alignment horizontal="left" vertical="center" wrapText="1"/>
      <protection locked="0"/>
    </xf>
    <xf numFmtId="0" fontId="9" fillId="0" borderId="15" xfId="2" applyFont="1" applyBorder="1" applyAlignment="1" applyProtection="1">
      <alignment horizontal="center" vertical="center" wrapText="1"/>
      <protection locked="0"/>
    </xf>
    <xf numFmtId="0" fontId="9" fillId="0" borderId="26" xfId="3" applyFont="1" applyBorder="1" applyAlignment="1" applyProtection="1">
      <alignment horizontal="left" vertical="center" wrapText="1"/>
      <protection locked="0"/>
    </xf>
    <xf numFmtId="0" fontId="9" fillId="0" borderId="7" xfId="2" applyFont="1" applyBorder="1" applyAlignment="1" applyProtection="1">
      <alignment horizontal="center" vertical="center"/>
      <protection locked="0"/>
    </xf>
    <xf numFmtId="9" fontId="20" fillId="0" borderId="41" xfId="11" applyFont="1" applyBorder="1" applyAlignment="1">
      <alignment horizontal="center" vertical="center" wrapText="1"/>
    </xf>
    <xf numFmtId="9" fontId="20" fillId="0" borderId="46" xfId="11" applyFont="1" applyBorder="1" applyAlignment="1">
      <alignment horizontal="center" vertical="center" wrapText="1"/>
    </xf>
    <xf numFmtId="0" fontId="9" fillId="0" borderId="35" xfId="3" applyFont="1" applyBorder="1" applyAlignment="1" applyProtection="1">
      <alignment horizontal="center" vertical="center" wrapText="1"/>
      <protection locked="0"/>
    </xf>
    <xf numFmtId="0" fontId="9" fillId="0" borderId="15" xfId="2" applyFont="1" applyBorder="1" applyAlignment="1">
      <alignment horizontal="center" vertical="center" wrapText="1"/>
    </xf>
    <xf numFmtId="0" fontId="9" fillId="0" borderId="15" xfId="2" applyFont="1" applyBorder="1" applyAlignment="1">
      <alignment horizontal="left" vertical="center" wrapText="1"/>
    </xf>
    <xf numFmtId="0" fontId="9" fillId="0" borderId="4" xfId="2" applyFont="1" applyBorder="1" applyAlignment="1">
      <alignment horizontal="center" vertical="center" wrapText="1"/>
    </xf>
    <xf numFmtId="0" fontId="9" fillId="0" borderId="4" xfId="3" applyFont="1" applyBorder="1" applyAlignment="1">
      <alignment horizontal="left" vertical="center" wrapText="1"/>
    </xf>
    <xf numFmtId="0" fontId="9" fillId="0" borderId="4" xfId="0" applyFont="1" applyBorder="1" applyAlignment="1">
      <alignment horizontal="center" vertical="center" wrapText="1"/>
    </xf>
    <xf numFmtId="0" fontId="9" fillId="0" borderId="2" xfId="2" applyFont="1" applyBorder="1" applyAlignment="1">
      <alignment horizontal="center" vertical="center" wrapText="1"/>
    </xf>
    <xf numFmtId="0" fontId="9" fillId="0" borderId="12" xfId="2" applyFont="1" applyBorder="1" applyAlignment="1">
      <alignment horizontal="center" vertical="center" wrapText="1"/>
    </xf>
    <xf numFmtId="0" fontId="9" fillId="0" borderId="0" xfId="0" applyFont="1" applyAlignment="1" applyProtection="1">
      <alignment horizontal="center" vertical="center"/>
      <protection locked="0"/>
    </xf>
    <xf numFmtId="0" fontId="9" fillId="0" borderId="0" xfId="0" applyFont="1" applyAlignment="1" applyProtection="1">
      <alignment horizontal="center" vertical="center" wrapText="1"/>
      <protection locked="0"/>
    </xf>
    <xf numFmtId="0" fontId="9" fillId="0" borderId="16" xfId="3" applyFont="1" applyBorder="1" applyAlignment="1">
      <alignment horizontal="left" vertical="center" wrapText="1"/>
    </xf>
    <xf numFmtId="0" fontId="9" fillId="0" borderId="3" xfId="2" applyFont="1" applyBorder="1" applyAlignment="1">
      <alignment horizontal="center" vertical="center" wrapText="1"/>
    </xf>
    <xf numFmtId="0" fontId="9" fillId="0" borderId="3" xfId="3" applyFont="1" applyBorder="1" applyAlignment="1">
      <alignment horizontal="left" vertical="center" wrapText="1"/>
    </xf>
    <xf numFmtId="0" fontId="9" fillId="0" borderId="3" xfId="0" applyFont="1" applyBorder="1" applyAlignment="1">
      <alignment horizontal="center" vertical="center" wrapText="1"/>
    </xf>
    <xf numFmtId="0" fontId="9" fillId="0" borderId="0" xfId="3" applyFont="1" applyProtection="1">
      <protection locked="0"/>
    </xf>
    <xf numFmtId="0" fontId="9" fillId="0" borderId="0" xfId="0" applyFont="1" applyProtection="1">
      <protection locked="0"/>
    </xf>
    <xf numFmtId="0" fontId="11" fillId="0" borderId="0" xfId="3" applyFont="1" applyAlignment="1" applyProtection="1">
      <alignment horizontal="center" vertical="center"/>
      <protection locked="0"/>
    </xf>
    <xf numFmtId="0" fontId="9" fillId="0" borderId="16" xfId="0" applyFont="1" applyBorder="1" applyAlignment="1">
      <alignment horizontal="left" vertical="center" wrapText="1"/>
    </xf>
    <xf numFmtId="0" fontId="9" fillId="0" borderId="13" xfId="3" applyFont="1" applyBorder="1" applyAlignment="1">
      <alignment horizontal="left" vertical="center" wrapText="1"/>
    </xf>
    <xf numFmtId="0" fontId="9" fillId="0" borderId="1" xfId="2" applyFont="1" applyBorder="1" applyAlignment="1">
      <alignment horizontal="center" vertical="center" wrapText="1"/>
    </xf>
    <xf numFmtId="0" fontId="9" fillId="0" borderId="1" xfId="0" applyFont="1" applyBorder="1" applyAlignment="1">
      <alignment horizontal="center" vertical="center" wrapText="1"/>
    </xf>
    <xf numFmtId="0" fontId="9" fillId="0" borderId="3" xfId="3" applyFont="1" applyBorder="1" applyAlignment="1">
      <alignment horizontal="center" vertical="center" wrapText="1"/>
    </xf>
    <xf numFmtId="0" fontId="9" fillId="0" borderId="48" xfId="3" applyFont="1" applyBorder="1" applyAlignment="1" applyProtection="1">
      <alignment vertical="center" wrapText="1"/>
      <protection locked="0"/>
    </xf>
    <xf numFmtId="0" fontId="9" fillId="0" borderId="18" xfId="3" applyFont="1" applyBorder="1" applyAlignment="1">
      <alignment horizontal="left" vertical="center" wrapText="1"/>
    </xf>
    <xf numFmtId="0" fontId="9" fillId="0" borderId="35" xfId="3" applyFont="1" applyBorder="1" applyAlignment="1" applyProtection="1">
      <alignment vertical="center" wrapText="1"/>
      <protection locked="0"/>
    </xf>
    <xf numFmtId="0" fontId="9" fillId="0" borderId="1" xfId="3" applyFont="1" applyBorder="1" applyAlignment="1">
      <alignment horizontal="center" vertical="center" wrapText="1"/>
    </xf>
    <xf numFmtId="0" fontId="9" fillId="0" borderId="13" xfId="0" applyFont="1" applyBorder="1" applyAlignment="1">
      <alignment horizontal="left" vertical="center" wrapText="1"/>
    </xf>
    <xf numFmtId="0" fontId="9" fillId="0" borderId="1" xfId="3" applyFont="1" applyBorder="1" applyAlignment="1">
      <alignment vertical="center" wrapText="1"/>
    </xf>
    <xf numFmtId="0" fontId="9" fillId="0" borderId="1" xfId="3" applyFont="1" applyBorder="1" applyAlignment="1">
      <alignment horizontal="left" vertical="center" wrapText="1"/>
    </xf>
    <xf numFmtId="0" fontId="9" fillId="0" borderId="16" xfId="2" applyFont="1" applyBorder="1" applyAlignment="1">
      <alignment horizontal="left" vertical="center" wrapText="1"/>
    </xf>
    <xf numFmtId="0" fontId="9" fillId="0" borderId="16" xfId="0" applyFont="1" applyBorder="1" applyAlignment="1" applyProtection="1">
      <alignment horizontal="left" vertical="center" wrapText="1"/>
      <protection locked="0"/>
    </xf>
    <xf numFmtId="0" fontId="9" fillId="0" borderId="13" xfId="2" applyFont="1" applyBorder="1" applyAlignment="1">
      <alignment horizontal="left" vertical="center" wrapText="1"/>
    </xf>
    <xf numFmtId="0" fontId="9" fillId="0" borderId="1" xfId="14" applyFont="1" applyBorder="1" applyAlignment="1">
      <alignment horizontal="center" vertical="center" wrapText="1"/>
    </xf>
    <xf numFmtId="0" fontId="11" fillId="0" borderId="1" xfId="14" applyFont="1" applyBorder="1" applyAlignment="1">
      <alignment horizontal="center" vertical="center" wrapText="1"/>
    </xf>
    <xf numFmtId="0" fontId="15" fillId="0" borderId="48" xfId="3" applyFont="1" applyBorder="1" applyAlignment="1" applyProtection="1">
      <alignment vertical="center" wrapText="1"/>
      <protection locked="0"/>
    </xf>
    <xf numFmtId="0" fontId="15" fillId="0" borderId="35" xfId="3" applyFont="1" applyBorder="1" applyAlignment="1" applyProtection="1">
      <alignment vertical="center" wrapText="1"/>
      <protection locked="0"/>
    </xf>
    <xf numFmtId="0" fontId="16" fillId="0" borderId="16" xfId="0" applyFont="1" applyBorder="1" applyAlignment="1" applyProtection="1">
      <alignment horizontal="center" vertical="center" wrapText="1"/>
      <protection locked="0"/>
    </xf>
    <xf numFmtId="0" fontId="11" fillId="0" borderId="35" xfId="3" applyFont="1" applyBorder="1" applyAlignment="1" applyProtection="1">
      <alignment horizontal="center" vertical="center" wrapText="1"/>
      <protection locked="0"/>
    </xf>
    <xf numFmtId="0" fontId="9" fillId="0" borderId="1" xfId="0" applyFont="1" applyBorder="1" applyAlignment="1">
      <alignment horizontal="left" vertical="center" wrapText="1"/>
    </xf>
    <xf numFmtId="0" fontId="9" fillId="0" borderId="3" xfId="0" applyFont="1" applyBorder="1" applyAlignment="1">
      <alignment horizontal="left" vertical="center" wrapText="1"/>
    </xf>
    <xf numFmtId="0" fontId="11" fillId="0" borderId="0" xfId="0" applyFont="1" applyAlignment="1" applyProtection="1">
      <alignment horizontal="center" vertical="center"/>
      <protection locked="0"/>
    </xf>
    <xf numFmtId="0" fontId="15" fillId="0" borderId="16" xfId="3" applyFont="1" applyBorder="1" applyAlignment="1" applyProtection="1">
      <alignment horizontal="left" vertical="center"/>
      <protection locked="0"/>
    </xf>
    <xf numFmtId="0" fontId="15" fillId="0" borderId="16" xfId="3" applyFont="1" applyBorder="1" applyAlignment="1">
      <alignment horizontal="left" vertical="center" wrapText="1"/>
    </xf>
    <xf numFmtId="0" fontId="9" fillId="0" borderId="3" xfId="2" applyFont="1" applyBorder="1" applyAlignment="1">
      <alignment horizontal="center" vertical="center"/>
    </xf>
    <xf numFmtId="0" fontId="9" fillId="0" borderId="3" xfId="0" applyFont="1" applyBorder="1" applyAlignment="1">
      <alignment horizontal="center" vertical="center"/>
    </xf>
    <xf numFmtId="0" fontId="9" fillId="0" borderId="13" xfId="3" applyFont="1" applyBorder="1" applyAlignment="1">
      <alignment horizontal="center" vertical="center" wrapText="1"/>
    </xf>
    <xf numFmtId="0" fontId="9" fillId="0" borderId="17" xfId="3" applyFont="1" applyBorder="1" applyAlignment="1">
      <alignment horizontal="left" vertical="center" wrapText="1"/>
    </xf>
    <xf numFmtId="0" fontId="9" fillId="0" borderId="10" xfId="2" applyFont="1" applyBorder="1" applyAlignment="1">
      <alignment horizontal="center" vertical="center" wrapText="1"/>
    </xf>
    <xf numFmtId="0" fontId="9" fillId="0" borderId="10" xfId="3" applyFont="1" applyBorder="1" applyAlignment="1">
      <alignment horizontal="center" vertical="center" wrapText="1"/>
    </xf>
    <xf numFmtId="0" fontId="9" fillId="0" borderId="10" xfId="3" applyFont="1" applyBorder="1" applyAlignment="1">
      <alignment horizontal="left" vertical="center" wrapText="1"/>
    </xf>
    <xf numFmtId="0" fontId="9" fillId="0" borderId="11" xfId="0" applyFont="1" applyBorder="1" applyAlignment="1">
      <alignment horizontal="center" vertical="center" wrapText="1"/>
    </xf>
    <xf numFmtId="0" fontId="11" fillId="0" borderId="10" xfId="14" applyFont="1" applyBorder="1" applyAlignment="1">
      <alignment horizontal="center" vertical="center" wrapText="1"/>
    </xf>
    <xf numFmtId="0" fontId="15" fillId="0" borderId="13" xfId="3" applyFont="1" applyBorder="1" applyAlignment="1">
      <alignment horizontal="left" vertical="center" wrapText="1"/>
    </xf>
    <xf numFmtId="0" fontId="9" fillId="0" borderId="13" xfId="5" applyFont="1" applyBorder="1" applyAlignment="1">
      <alignment horizontal="center" vertical="center" wrapText="1"/>
    </xf>
    <xf numFmtId="0" fontId="9" fillId="0" borderId="13" xfId="5" applyFont="1" applyBorder="1" applyAlignment="1">
      <alignment horizontal="left" vertical="center" wrapText="1"/>
    </xf>
    <xf numFmtId="0" fontId="9" fillId="0" borderId="1" xfId="5" applyFont="1" applyBorder="1" applyAlignment="1">
      <alignment horizontal="left" vertical="center" wrapText="1"/>
    </xf>
    <xf numFmtId="0" fontId="9" fillId="0" borderId="16" xfId="3" applyFont="1" applyBorder="1" applyAlignment="1">
      <alignment horizontal="center" vertical="center" wrapText="1"/>
    </xf>
    <xf numFmtId="0" fontId="11" fillId="3" borderId="14" xfId="2" applyFont="1" applyFill="1" applyBorder="1" applyAlignment="1">
      <alignment horizontal="center" vertical="center" wrapText="1"/>
    </xf>
    <xf numFmtId="0" fontId="11" fillId="0" borderId="14" xfId="2" applyFont="1" applyBorder="1" applyAlignment="1">
      <alignment horizontal="center" vertical="center" wrapText="1"/>
    </xf>
    <xf numFmtId="0" fontId="11" fillId="0" borderId="2" xfId="2" applyFont="1" applyBorder="1" applyAlignment="1">
      <alignment horizontal="center" vertical="center" wrapText="1"/>
    </xf>
    <xf numFmtId="0" fontId="11" fillId="4" borderId="2" xfId="2" applyFont="1" applyFill="1" applyBorder="1" applyAlignment="1">
      <alignment horizontal="center" vertical="center" wrapText="1"/>
    </xf>
    <xf numFmtId="0" fontId="11" fillId="3" borderId="2" xfId="2" applyFont="1" applyFill="1" applyBorder="1" applyAlignment="1">
      <alignment horizontal="center" vertical="center" wrapText="1"/>
    </xf>
    <xf numFmtId="0" fontId="11" fillId="0" borderId="6" xfId="2" applyFont="1" applyBorder="1" applyAlignment="1">
      <alignment horizontal="center" vertical="center"/>
    </xf>
    <xf numFmtId="0" fontId="9" fillId="0" borderId="0" xfId="0" applyFont="1" applyAlignment="1" applyProtection="1">
      <alignment wrapText="1"/>
      <protection locked="0"/>
    </xf>
    <xf numFmtId="0" fontId="9" fillId="0" borderId="0" xfId="0" applyFont="1" applyAlignment="1" applyProtection="1">
      <alignment horizontal="center"/>
      <protection locked="0"/>
    </xf>
    <xf numFmtId="0" fontId="11" fillId="0" borderId="0" xfId="0" applyFont="1" applyProtection="1">
      <protection locked="0"/>
    </xf>
    <xf numFmtId="0" fontId="11" fillId="0" borderId="31" xfId="0" applyFont="1" applyBorder="1" applyProtection="1">
      <protection locked="0"/>
    </xf>
    <xf numFmtId="0" fontId="11" fillId="0" borderId="30" xfId="0" applyFont="1" applyBorder="1" applyAlignment="1" applyProtection="1">
      <alignment wrapText="1"/>
      <protection locked="0"/>
    </xf>
    <xf numFmtId="0" fontId="11" fillId="0" borderId="4" xfId="14" applyFont="1" applyBorder="1" applyAlignment="1">
      <alignment horizontal="center" vertical="center" wrapText="1"/>
    </xf>
    <xf numFmtId="0" fontId="9" fillId="0" borderId="0" xfId="3" applyFont="1" applyAlignment="1" applyProtection="1">
      <alignment wrapText="1"/>
      <protection locked="0"/>
    </xf>
    <xf numFmtId="0" fontId="11" fillId="0" borderId="3" xfId="14" applyFont="1" applyBorder="1" applyAlignment="1">
      <alignment horizontal="center" vertical="center" wrapText="1"/>
    </xf>
    <xf numFmtId="0" fontId="11" fillId="0" borderId="2" xfId="14" applyFont="1" applyBorder="1" applyAlignment="1">
      <alignment horizontal="center" vertical="center" wrapText="1"/>
    </xf>
    <xf numFmtId="0" fontId="12" fillId="0" borderId="0" xfId="3" applyFont="1" applyProtection="1">
      <protection locked="0"/>
    </xf>
    <xf numFmtId="0" fontId="9" fillId="0" borderId="3" xfId="14" applyFont="1" applyBorder="1" applyAlignment="1">
      <alignment horizontal="center" vertical="center" wrapText="1"/>
    </xf>
    <xf numFmtId="0" fontId="11" fillId="0" borderId="3" xfId="14" applyFont="1" applyBorder="1" applyAlignment="1">
      <alignment horizontal="center" vertical="center"/>
    </xf>
    <xf numFmtId="0" fontId="11" fillId="0" borderId="0" xfId="0" applyFont="1" applyAlignment="1" applyProtection="1">
      <alignment horizontal="center" vertical="center" wrapText="1"/>
      <protection locked="0"/>
    </xf>
    <xf numFmtId="0" fontId="9" fillId="0" borderId="59" xfId="3" applyFont="1" applyBorder="1" applyAlignment="1" applyProtection="1">
      <alignment horizontal="left" vertical="center" wrapText="1"/>
      <protection locked="0"/>
    </xf>
    <xf numFmtId="0" fontId="22" fillId="0" borderId="1" xfId="0" applyFont="1" applyBorder="1" applyAlignment="1">
      <alignment horizontal="center" vertical="center"/>
    </xf>
    <xf numFmtId="0" fontId="8" fillId="0" borderId="1" xfId="0" applyFont="1" applyBorder="1" applyAlignment="1">
      <alignment horizontal="center"/>
    </xf>
    <xf numFmtId="0" fontId="8" fillId="0" borderId="23" xfId="0" applyFont="1" applyBorder="1"/>
    <xf numFmtId="0" fontId="22" fillId="0" borderId="1" xfId="0" applyFont="1" applyBorder="1" applyAlignment="1">
      <alignment horizontal="center" vertical="center" wrapText="1"/>
    </xf>
    <xf numFmtId="0" fontId="8" fillId="0" borderId="24" xfId="0" applyFont="1" applyBorder="1"/>
    <xf numFmtId="0" fontId="8" fillId="0" borderId="20" xfId="0" applyFont="1" applyBorder="1"/>
    <xf numFmtId="0" fontId="9" fillId="4" borderId="8" xfId="2" applyFont="1" applyFill="1" applyBorder="1" applyAlignment="1" applyProtection="1">
      <alignment horizontal="center" vertical="center"/>
      <protection locked="0"/>
    </xf>
    <xf numFmtId="0" fontId="9" fillId="0" borderId="5" xfId="2" applyFont="1" applyBorder="1" applyAlignment="1" applyProtection="1">
      <alignment horizontal="center" vertical="center"/>
      <protection locked="0"/>
    </xf>
    <xf numFmtId="0" fontId="9" fillId="0" borderId="7" xfId="2" applyFont="1" applyBorder="1" applyAlignment="1" applyProtection="1">
      <alignment horizontal="center" vertical="center" wrapText="1"/>
      <protection locked="0"/>
    </xf>
    <xf numFmtId="0" fontId="11" fillId="0" borderId="0" xfId="3" applyFont="1" applyProtection="1">
      <protection locked="0"/>
    </xf>
    <xf numFmtId="0" fontId="9" fillId="0" borderId="9" xfId="2" applyFont="1" applyBorder="1" applyAlignment="1" applyProtection="1">
      <alignment horizontal="center" vertical="center"/>
      <protection locked="0"/>
    </xf>
    <xf numFmtId="0" fontId="11" fillId="3" borderId="26" xfId="0" applyFont="1" applyFill="1" applyBorder="1" applyAlignment="1" applyProtection="1">
      <alignment horizontal="center" vertical="center" wrapText="1"/>
      <protection locked="0"/>
    </xf>
    <xf numFmtId="0" fontId="11" fillId="0" borderId="1" xfId="7" applyFont="1" applyFill="1" applyBorder="1" applyAlignment="1">
      <alignment horizontal="center" vertical="center"/>
    </xf>
    <xf numFmtId="0" fontId="9" fillId="0" borderId="14" xfId="3" applyFont="1" applyBorder="1" applyAlignment="1">
      <alignment horizontal="left" vertical="center" wrapText="1"/>
    </xf>
    <xf numFmtId="0" fontId="9" fillId="0" borderId="47" xfId="3" applyFont="1" applyBorder="1" applyAlignment="1">
      <alignment horizontal="left" vertical="center" wrapText="1"/>
    </xf>
    <xf numFmtId="0" fontId="9" fillId="0" borderId="0" xfId="3" applyFont="1"/>
    <xf numFmtId="0" fontId="11" fillId="0" borderId="0" xfId="3" applyFont="1" applyAlignment="1">
      <alignment horizontal="center" vertical="center"/>
    </xf>
    <xf numFmtId="0" fontId="9" fillId="0" borderId="0" xfId="0" applyFont="1" applyAlignment="1">
      <alignment horizontal="center" vertical="center"/>
    </xf>
    <xf numFmtId="0" fontId="9" fillId="0" borderId="0" xfId="0" applyFont="1"/>
    <xf numFmtId="0" fontId="11" fillId="0" borderId="0" xfId="3" applyFont="1" applyAlignment="1">
      <alignment horizontal="center" vertical="center" wrapText="1"/>
    </xf>
    <xf numFmtId="0" fontId="11" fillId="0" borderId="0" xfId="0" applyFont="1" applyAlignment="1">
      <alignment horizontal="center" vertical="center"/>
    </xf>
    <xf numFmtId="2" fontId="9" fillId="0" borderId="0" xfId="0" applyNumberFormat="1" applyFont="1" applyProtection="1">
      <protection locked="0"/>
    </xf>
    <xf numFmtId="9" fontId="20" fillId="0" borderId="2" xfId="11" applyFont="1" applyBorder="1" applyAlignment="1">
      <alignment horizontal="center" vertical="center" wrapText="1"/>
    </xf>
    <xf numFmtId="9" fontId="20" fillId="0" borderId="10" xfId="11" applyFont="1" applyBorder="1" applyAlignment="1">
      <alignment horizontal="center" vertical="center" wrapText="1"/>
    </xf>
    <xf numFmtId="9" fontId="20" fillId="0" borderId="68" xfId="11" applyFont="1" applyBorder="1" applyAlignment="1">
      <alignment horizontal="center" vertical="center" wrapText="1"/>
    </xf>
    <xf numFmtId="0" fontId="4" fillId="0" borderId="20" xfId="10" applyFont="1" applyBorder="1"/>
    <xf numFmtId="0" fontId="4" fillId="0" borderId="23" xfId="10" applyFont="1" applyBorder="1"/>
    <xf numFmtId="0" fontId="4" fillId="0" borderId="23" xfId="10" applyFont="1" applyBorder="1" applyAlignment="1">
      <alignment horizontal="left" vertical="center"/>
    </xf>
    <xf numFmtId="0" fontId="4" fillId="0" borderId="21" xfId="10" applyFont="1" applyBorder="1"/>
    <xf numFmtId="0" fontId="4" fillId="0" borderId="52" xfId="10" applyFont="1" applyBorder="1"/>
    <xf numFmtId="0" fontId="18" fillId="0" borderId="5" xfId="10" applyFont="1" applyBorder="1" applyAlignment="1">
      <alignment horizontal="center"/>
    </xf>
    <xf numFmtId="0" fontId="18" fillId="0" borderId="4" xfId="10" applyFont="1" applyBorder="1" applyAlignment="1">
      <alignment horizontal="center"/>
    </xf>
    <xf numFmtId="0" fontId="18" fillId="0" borderId="15" xfId="10" applyFont="1" applyBorder="1" applyAlignment="1">
      <alignment horizontal="center"/>
    </xf>
    <xf numFmtId="0" fontId="18" fillId="0" borderId="38" xfId="10" applyFont="1" applyBorder="1" applyAlignment="1">
      <alignment horizontal="center" vertical="center"/>
    </xf>
    <xf numFmtId="0" fontId="18" fillId="0" borderId="63" xfId="16" applyFont="1" applyBorder="1" applyAlignment="1">
      <alignment horizontal="center" vertical="center"/>
    </xf>
    <xf numFmtId="0" fontId="18" fillId="0" borderId="32" xfId="10" applyFont="1" applyBorder="1" applyAlignment="1">
      <alignment horizontal="center"/>
    </xf>
    <xf numFmtId="0" fontId="4" fillId="0" borderId="22" xfId="10" applyFont="1" applyBorder="1"/>
    <xf numFmtId="0" fontId="19" fillId="0" borderId="42" xfId="10" applyFont="1" applyBorder="1" applyAlignment="1">
      <alignment vertical="center"/>
    </xf>
    <xf numFmtId="0" fontId="19" fillId="0" borderId="44" xfId="10" applyFont="1" applyBorder="1" applyAlignment="1">
      <alignment horizontal="left" vertical="center" wrapText="1"/>
    </xf>
    <xf numFmtId="0" fontId="19" fillId="0" borderId="1" xfId="16" applyFont="1" applyBorder="1" applyAlignment="1">
      <alignment vertical="center" wrapText="1"/>
    </xf>
    <xf numFmtId="0" fontId="19" fillId="0" borderId="43" xfId="10" applyFont="1" applyBorder="1" applyAlignment="1">
      <alignment horizontal="center" vertical="center" wrapText="1"/>
    </xf>
    <xf numFmtId="0" fontId="19" fillId="0" borderId="8" xfId="10" applyFont="1" applyBorder="1" applyAlignment="1">
      <alignment vertical="center"/>
    </xf>
    <xf numFmtId="0" fontId="19" fillId="0" borderId="40" xfId="10" applyFont="1" applyBorder="1" applyAlignment="1">
      <alignment horizontal="left" vertical="center" wrapText="1"/>
    </xf>
    <xf numFmtId="0" fontId="19" fillId="0" borderId="1" xfId="10" applyFont="1" applyBorder="1" applyAlignment="1">
      <alignment horizontal="center" vertical="center" wrapText="1"/>
    </xf>
    <xf numFmtId="0" fontId="20" fillId="0" borderId="40" xfId="10" applyFont="1" applyBorder="1" applyAlignment="1">
      <alignment horizontal="left" vertical="center" wrapText="1"/>
    </xf>
    <xf numFmtId="0" fontId="20" fillId="0" borderId="1" xfId="10" applyFont="1" applyBorder="1" applyAlignment="1">
      <alignment horizontal="center" vertical="center" wrapText="1"/>
    </xf>
    <xf numFmtId="0" fontId="21" fillId="0" borderId="8" xfId="10" applyFont="1" applyBorder="1" applyAlignment="1">
      <alignment vertical="center"/>
    </xf>
    <xf numFmtId="0" fontId="20" fillId="0" borderId="40" xfId="12" applyFont="1" applyBorder="1" applyAlignment="1">
      <alignment vertical="center" wrapText="1"/>
    </xf>
    <xf numFmtId="0" fontId="21" fillId="0" borderId="53" xfId="10" applyFont="1" applyBorder="1" applyAlignment="1">
      <alignment vertical="center"/>
    </xf>
    <xf numFmtId="2" fontId="2" fillId="4" borderId="10" xfId="16" applyNumberFormat="1" applyFont="1" applyFill="1" applyBorder="1" applyAlignment="1">
      <alignment horizontal="center" vertical="center"/>
    </xf>
    <xf numFmtId="0" fontId="20" fillId="0" borderId="54" xfId="12" applyFont="1" applyBorder="1" applyAlignment="1">
      <alignment vertical="center" wrapText="1"/>
    </xf>
    <xf numFmtId="2" fontId="20" fillId="0" borderId="11" xfId="10" applyNumberFormat="1" applyFont="1" applyBorder="1" applyAlignment="1">
      <alignment horizontal="center" vertical="center" wrapText="1"/>
    </xf>
    <xf numFmtId="2" fontId="20" fillId="0" borderId="49" xfId="16" applyNumberFormat="1" applyFont="1" applyBorder="1" applyAlignment="1">
      <alignment horizontal="center" vertical="center" wrapText="1"/>
    </xf>
    <xf numFmtId="0" fontId="19" fillId="0" borderId="7" xfId="10" applyFont="1" applyBorder="1" applyAlignment="1">
      <alignment vertical="center"/>
    </xf>
    <xf numFmtId="0" fontId="19" fillId="0" borderId="55" xfId="10" applyFont="1" applyBorder="1" applyAlignment="1">
      <alignment horizontal="left" vertical="center" wrapText="1"/>
    </xf>
    <xf numFmtId="0" fontId="19" fillId="0" borderId="3" xfId="10" applyFont="1" applyBorder="1" applyAlignment="1">
      <alignment horizontal="center" vertical="center" wrapText="1"/>
    </xf>
    <xf numFmtId="0" fontId="19" fillId="0" borderId="8" xfId="12" applyFont="1" applyBorder="1" applyAlignment="1">
      <alignment horizontal="left" vertical="center"/>
    </xf>
    <xf numFmtId="0" fontId="20" fillId="0" borderId="40" xfId="10" applyFont="1" applyBorder="1" applyAlignment="1">
      <alignment vertical="center" wrapText="1"/>
    </xf>
    <xf numFmtId="0" fontId="20" fillId="4" borderId="0" xfId="10" applyFont="1" applyFill="1" applyAlignment="1">
      <alignment wrapText="1"/>
    </xf>
    <xf numFmtId="0" fontId="4" fillId="0" borderId="24" xfId="10" applyFont="1" applyBorder="1"/>
    <xf numFmtId="0" fontId="21" fillId="0" borderId="9" xfId="10" applyFont="1" applyBorder="1" applyAlignment="1">
      <alignment vertical="center"/>
    </xf>
    <xf numFmtId="0" fontId="20" fillId="0" borderId="51" xfId="10" applyFont="1" applyBorder="1" applyAlignment="1">
      <alignment horizontal="left" vertical="center" wrapText="1"/>
    </xf>
    <xf numFmtId="0" fontId="20" fillId="0" borderId="10" xfId="10" applyFont="1" applyBorder="1" applyAlignment="1">
      <alignment horizontal="center" vertical="center" wrapText="1"/>
    </xf>
    <xf numFmtId="0" fontId="4" fillId="0" borderId="26" xfId="10" applyFont="1" applyBorder="1" applyAlignment="1">
      <alignment wrapText="1"/>
    </xf>
    <xf numFmtId="0" fontId="19" fillId="0" borderId="53" xfId="10" applyFont="1" applyBorder="1" applyAlignment="1">
      <alignment vertical="center"/>
    </xf>
    <xf numFmtId="0" fontId="20" fillId="0" borderId="54" xfId="10" applyFont="1" applyBorder="1" applyAlignment="1">
      <alignment horizontal="left" vertical="center" wrapText="1"/>
    </xf>
    <xf numFmtId="0" fontId="20" fillId="4" borderId="65" xfId="16" applyFont="1" applyFill="1" applyBorder="1" applyAlignment="1">
      <alignment vertical="center" wrapText="1"/>
    </xf>
    <xf numFmtId="0" fontId="20" fillId="0" borderId="11" xfId="10" applyFont="1" applyBorder="1" applyAlignment="1">
      <alignment horizontal="center" vertical="center" wrapText="1"/>
    </xf>
    <xf numFmtId="0" fontId="20" fillId="4" borderId="49" xfId="16" applyFont="1" applyFill="1" applyBorder="1" applyAlignment="1">
      <alignment horizontal="center" vertical="center" wrapText="1"/>
    </xf>
    <xf numFmtId="164" fontId="2" fillId="0" borderId="43" xfId="16" applyNumberFormat="1" applyFont="1" applyBorder="1" applyAlignment="1">
      <alignment horizontal="center" vertical="center"/>
    </xf>
    <xf numFmtId="0" fontId="21" fillId="0" borderId="8" xfId="10" applyFont="1" applyBorder="1" applyAlignment="1">
      <alignment horizontal="left" vertical="center" wrapText="1"/>
    </xf>
    <xf numFmtId="164" fontId="2" fillId="0" borderId="12" xfId="16" applyNumberFormat="1" applyFont="1" applyBorder="1" applyAlignment="1">
      <alignment horizontal="center" vertical="center"/>
    </xf>
    <xf numFmtId="0" fontId="21" fillId="0" borderId="9" xfId="10" applyFont="1" applyBorder="1" applyAlignment="1">
      <alignment horizontal="left" vertical="center" wrapText="1"/>
    </xf>
    <xf numFmtId="164" fontId="2" fillId="0" borderId="10" xfId="16" applyNumberFormat="1" applyFont="1" applyBorder="1" applyAlignment="1">
      <alignment horizontal="center" vertical="center"/>
    </xf>
    <xf numFmtId="0" fontId="4" fillId="0" borderId="24" xfId="10" applyFont="1" applyBorder="1" applyAlignment="1">
      <alignment horizontal="left" vertical="center"/>
    </xf>
    <xf numFmtId="0" fontId="4" fillId="0" borderId="20" xfId="10" applyFont="1" applyBorder="1" applyAlignment="1">
      <alignment horizontal="left" vertical="center"/>
    </xf>
    <xf numFmtId="0" fontId="0" fillId="0" borderId="23" xfId="0" applyBorder="1" applyAlignment="1">
      <alignment wrapText="1"/>
    </xf>
    <xf numFmtId="0" fontId="0" fillId="0" borderId="24" xfId="0" applyBorder="1" applyAlignment="1">
      <alignment wrapText="1"/>
    </xf>
    <xf numFmtId="0" fontId="0" fillId="0" borderId="20" xfId="0" applyBorder="1" applyAlignment="1">
      <alignment wrapText="1"/>
    </xf>
    <xf numFmtId="0" fontId="8" fillId="0" borderId="1" xfId="0" applyFont="1" applyBorder="1" applyAlignment="1">
      <alignment readingOrder="2"/>
    </xf>
    <xf numFmtId="0" fontId="8" fillId="0" borderId="3" xfId="0" applyFont="1" applyBorder="1" applyAlignment="1">
      <alignment readingOrder="2"/>
    </xf>
    <xf numFmtId="0" fontId="22" fillId="0" borderId="3" xfId="0" applyFont="1" applyBorder="1" applyAlignment="1">
      <alignment readingOrder="2"/>
    </xf>
    <xf numFmtId="0" fontId="20" fillId="0" borderId="64" xfId="10" applyFont="1" applyBorder="1" applyAlignment="1">
      <alignment vertical="center" wrapText="1"/>
    </xf>
    <xf numFmtId="0" fontId="20" fillId="0" borderId="69" xfId="10" applyFont="1" applyBorder="1" applyAlignment="1">
      <alignment vertical="center" wrapText="1"/>
    </xf>
    <xf numFmtId="0" fontId="20" fillId="0" borderId="66" xfId="10" applyFont="1" applyBorder="1" applyAlignment="1">
      <alignment vertical="center" wrapText="1"/>
    </xf>
    <xf numFmtId="0" fontId="20" fillId="0" borderId="67" xfId="10" applyFont="1" applyBorder="1" applyAlignment="1">
      <alignment vertical="center" wrapText="1"/>
    </xf>
    <xf numFmtId="0" fontId="19" fillId="0" borderId="45" xfId="10" applyFont="1" applyBorder="1" applyAlignment="1">
      <alignment horizontal="center" vertical="center" wrapText="1"/>
    </xf>
    <xf numFmtId="0" fontId="19" fillId="0" borderId="39" xfId="10" applyFont="1" applyBorder="1" applyAlignment="1">
      <alignment horizontal="center" vertical="center" wrapText="1"/>
    </xf>
    <xf numFmtId="0" fontId="20" fillId="0" borderId="39" xfId="10" applyFont="1" applyBorder="1" applyAlignment="1">
      <alignment horizontal="center" vertical="center" wrapText="1"/>
    </xf>
    <xf numFmtId="0" fontId="20" fillId="0" borderId="41" xfId="10" applyFont="1" applyBorder="1" applyAlignment="1">
      <alignment horizontal="center" vertical="center" wrapText="1"/>
    </xf>
    <xf numFmtId="0" fontId="20" fillId="0" borderId="61" xfId="10" applyFont="1" applyBorder="1" applyAlignment="1">
      <alignment horizontal="center" vertical="center" wrapText="1"/>
    </xf>
    <xf numFmtId="0" fontId="20" fillId="0" borderId="46" xfId="10" applyFont="1" applyBorder="1" applyAlignment="1">
      <alignment horizontal="center" vertical="center" wrapText="1"/>
    </xf>
    <xf numFmtId="0" fontId="19" fillId="0" borderId="56" xfId="10" applyFont="1" applyBorder="1" applyAlignment="1">
      <alignment horizontal="center" vertical="center" wrapText="1"/>
    </xf>
    <xf numFmtId="3" fontId="20" fillId="0" borderId="1" xfId="12" applyNumberFormat="1" applyFont="1" applyBorder="1" applyAlignment="1">
      <alignment horizontal="center" vertical="center" wrapText="1"/>
    </xf>
    <xf numFmtId="3" fontId="2" fillId="4" borderId="61" xfId="16" applyNumberFormat="1" applyFont="1" applyFill="1" applyBorder="1" applyAlignment="1">
      <alignment horizontal="center" vertical="center"/>
    </xf>
    <xf numFmtId="3" fontId="20" fillId="0" borderId="1" xfId="10" applyNumberFormat="1" applyFont="1" applyBorder="1" applyAlignment="1">
      <alignment horizontal="center" vertical="center" wrapText="1"/>
    </xf>
    <xf numFmtId="1" fontId="3" fillId="0" borderId="1" xfId="12" applyNumberFormat="1" applyFont="1" applyBorder="1" applyAlignment="1">
      <alignment horizontal="center" vertical="center"/>
    </xf>
    <xf numFmtId="1" fontId="3" fillId="7" borderId="1" xfId="12" applyNumberFormat="1" applyFont="1" applyFill="1" applyBorder="1" applyAlignment="1">
      <alignment horizontal="center" vertical="center"/>
    </xf>
    <xf numFmtId="0" fontId="11" fillId="7" borderId="1" xfId="7" applyFont="1" applyFill="1" applyBorder="1" applyAlignment="1" applyProtection="1">
      <alignment horizontal="center" vertical="center"/>
      <protection locked="0"/>
    </xf>
    <xf numFmtId="0" fontId="9" fillId="0" borderId="1" xfId="3" applyFont="1" applyBorder="1" applyAlignment="1">
      <alignment horizontal="right" vertical="center" wrapText="1"/>
    </xf>
    <xf numFmtId="0" fontId="9" fillId="0" borderId="1" xfId="5" applyFont="1" applyBorder="1" applyAlignment="1">
      <alignment horizontal="right" vertical="center" wrapText="1"/>
    </xf>
    <xf numFmtId="0" fontId="9" fillId="0" borderId="1" xfId="0" applyFont="1" applyBorder="1" applyAlignment="1">
      <alignment horizontal="right" vertical="center" wrapText="1"/>
    </xf>
    <xf numFmtId="0" fontId="9" fillId="0" borderId="10" xfId="3" applyFont="1" applyBorder="1" applyAlignment="1">
      <alignment horizontal="right" vertical="center" wrapText="1"/>
    </xf>
    <xf numFmtId="0" fontId="9" fillId="0" borderId="3" xfId="3" applyFont="1" applyBorder="1" applyAlignment="1">
      <alignment horizontal="right" vertical="center" wrapText="1"/>
    </xf>
    <xf numFmtId="0" fontId="9" fillId="0" borderId="3" xfId="0" applyFont="1" applyBorder="1" applyAlignment="1">
      <alignment horizontal="right" vertical="center" wrapText="1"/>
    </xf>
    <xf numFmtId="0" fontId="9" fillId="0" borderId="4" xfId="3" applyFont="1" applyBorder="1" applyAlignment="1">
      <alignment horizontal="right" vertical="center" wrapText="1"/>
    </xf>
    <xf numFmtId="0" fontId="9" fillId="0" borderId="47" xfId="3" applyFont="1" applyBorder="1" applyAlignment="1">
      <alignment horizontal="right" vertical="center" wrapText="1"/>
    </xf>
    <xf numFmtId="165" fontId="9" fillId="0" borderId="1" xfId="0" applyNumberFormat="1" applyFont="1" applyBorder="1" applyAlignment="1">
      <alignment horizontal="right" vertical="center" wrapText="1"/>
    </xf>
    <xf numFmtId="0" fontId="21" fillId="0" borderId="42" xfId="10" applyFont="1" applyBorder="1" applyAlignment="1">
      <alignment horizontal="left" vertical="center" wrapText="1"/>
    </xf>
    <xf numFmtId="0" fontId="20" fillId="0" borderId="72" xfId="10" applyFont="1" applyBorder="1" applyAlignment="1">
      <alignment vertical="center" wrapText="1"/>
    </xf>
    <xf numFmtId="9" fontId="20" fillId="0" borderId="73" xfId="11" applyFont="1" applyBorder="1" applyAlignment="1">
      <alignment horizontal="center" vertical="center" wrapText="1"/>
    </xf>
    <xf numFmtId="0" fontId="20" fillId="0" borderId="1" xfId="16" applyFont="1" applyBorder="1" applyAlignment="1">
      <alignment vertical="center" wrapText="1"/>
    </xf>
    <xf numFmtId="0" fontId="20" fillId="0" borderId="64" xfId="16" applyFont="1" applyBorder="1" applyAlignment="1">
      <alignment vertical="center" wrapText="1"/>
    </xf>
    <xf numFmtId="0" fontId="20" fillId="0" borderId="70" xfId="10" applyFont="1" applyBorder="1" applyAlignment="1">
      <alignment vertical="center" wrapText="1"/>
    </xf>
    <xf numFmtId="0" fontId="19" fillId="0" borderId="71" xfId="10" applyFont="1" applyBorder="1" applyAlignment="1">
      <alignment wrapText="1"/>
    </xf>
    <xf numFmtId="0" fontId="30" fillId="0" borderId="43" xfId="12" applyFont="1" applyBorder="1" applyAlignment="1">
      <alignment vertical="center" wrapText="1"/>
    </xf>
    <xf numFmtId="0" fontId="30" fillId="0" borderId="1" xfId="12" applyFont="1" applyBorder="1" applyAlignment="1">
      <alignment vertical="center" wrapText="1"/>
    </xf>
    <xf numFmtId="0" fontId="30" fillId="0" borderId="10" xfId="12" applyFont="1" applyBorder="1" applyAlignment="1">
      <alignment vertical="center" wrapText="1"/>
    </xf>
    <xf numFmtId="0" fontId="9" fillId="0" borderId="18" xfId="0" applyFont="1" applyBorder="1" applyAlignment="1">
      <alignment horizontal="left" vertical="center" wrapText="1"/>
    </xf>
    <xf numFmtId="0" fontId="9" fillId="8" borderId="13" xfId="3" applyFont="1" applyFill="1" applyBorder="1" applyAlignment="1" applyProtection="1">
      <alignment horizontal="left" vertical="center" wrapText="1"/>
      <protection locked="0"/>
    </xf>
    <xf numFmtId="0" fontId="9" fillId="8" borderId="16" xfId="0" applyFont="1" applyFill="1" applyBorder="1" applyAlignment="1">
      <alignment horizontal="left" vertical="center" wrapText="1"/>
    </xf>
    <xf numFmtId="0" fontId="9" fillId="8" borderId="16" xfId="3" applyFont="1" applyFill="1" applyBorder="1" applyAlignment="1">
      <alignment horizontal="left" vertical="center" wrapText="1"/>
    </xf>
    <xf numFmtId="0" fontId="9" fillId="8" borderId="1" xfId="3" applyFont="1" applyFill="1" applyBorder="1" applyAlignment="1">
      <alignment horizontal="left" vertical="center" wrapText="1"/>
    </xf>
    <xf numFmtId="0" fontId="9" fillId="8" borderId="13" xfId="2" applyFont="1" applyFill="1" applyBorder="1" applyAlignment="1">
      <alignment horizontal="left" vertical="center" wrapText="1"/>
    </xf>
    <xf numFmtId="0" fontId="9" fillId="8" borderId="13" xfId="3" applyFont="1" applyFill="1" applyBorder="1" applyAlignment="1">
      <alignment horizontal="left" vertical="center" wrapText="1"/>
    </xf>
    <xf numFmtId="0" fontId="9" fillId="8" borderId="14" xfId="3" applyFont="1" applyFill="1" applyBorder="1" applyAlignment="1">
      <alignment horizontal="left" vertical="center" wrapText="1"/>
    </xf>
    <xf numFmtId="0" fontId="9" fillId="8" borderId="13" xfId="0" applyFont="1" applyFill="1" applyBorder="1" applyAlignment="1">
      <alignment horizontal="left" vertical="center" wrapText="1"/>
    </xf>
    <xf numFmtId="0" fontId="33" fillId="8" borderId="35" xfId="3" applyFont="1" applyFill="1" applyBorder="1" applyAlignment="1" applyProtection="1">
      <alignment horizontal="left" vertical="center" wrapText="1"/>
      <protection locked="0"/>
    </xf>
    <xf numFmtId="0" fontId="13" fillId="8" borderId="1" xfId="3" applyFont="1" applyFill="1" applyBorder="1" applyAlignment="1">
      <alignment horizontal="left" vertical="center" wrapText="1"/>
    </xf>
    <xf numFmtId="0" fontId="9" fillId="9" borderId="16" xfId="0" applyFont="1" applyFill="1" applyBorder="1" applyAlignment="1">
      <alignment horizontal="left" vertical="center" wrapText="1"/>
    </xf>
    <xf numFmtId="0" fontId="9" fillId="0" borderId="76" xfId="3" applyFont="1" applyBorder="1" applyAlignment="1">
      <alignment horizontal="right" vertical="center" wrapText="1"/>
    </xf>
    <xf numFmtId="0" fontId="9" fillId="8" borderId="18" xfId="3" applyFont="1" applyFill="1" applyBorder="1" applyAlignment="1">
      <alignment horizontal="left" vertical="center" wrapText="1"/>
    </xf>
    <xf numFmtId="0" fontId="31" fillId="10" borderId="57" xfId="0" applyFont="1" applyFill="1" applyBorder="1" applyAlignment="1" applyProtection="1">
      <alignment readingOrder="2"/>
      <protection locked="0"/>
    </xf>
    <xf numFmtId="0" fontId="31" fillId="10" borderId="13" xfId="0" applyFont="1" applyFill="1" applyBorder="1" applyAlignment="1" applyProtection="1">
      <alignment readingOrder="2"/>
      <protection locked="0"/>
    </xf>
    <xf numFmtId="0" fontId="31" fillId="10" borderId="1" xfId="0" applyFont="1" applyFill="1" applyBorder="1" applyAlignment="1" applyProtection="1">
      <alignment readingOrder="2"/>
      <protection locked="0"/>
    </xf>
    <xf numFmtId="0" fontId="31" fillId="10" borderId="16" xfId="0" applyFont="1" applyFill="1" applyBorder="1" applyAlignment="1" applyProtection="1">
      <alignment readingOrder="2"/>
      <protection locked="0"/>
    </xf>
    <xf numFmtId="0" fontId="29" fillId="0" borderId="1" xfId="0" applyFont="1" applyBorder="1" applyAlignment="1" applyProtection="1">
      <alignment readingOrder="2"/>
      <protection locked="0"/>
    </xf>
    <xf numFmtId="0" fontId="31" fillId="10" borderId="16" xfId="0" applyFont="1" applyFill="1" applyBorder="1" applyAlignment="1" applyProtection="1">
      <alignment wrapText="1"/>
      <protection locked="0"/>
    </xf>
    <xf numFmtId="0" fontId="31" fillId="10" borderId="62" xfId="0" applyFont="1" applyFill="1" applyBorder="1" applyAlignment="1" applyProtection="1">
      <alignment wrapText="1"/>
      <protection locked="0"/>
    </xf>
    <xf numFmtId="0" fontId="31" fillId="10" borderId="13" xfId="0" applyFont="1" applyFill="1" applyBorder="1" applyProtection="1">
      <protection locked="0"/>
    </xf>
    <xf numFmtId="0" fontId="31" fillId="10" borderId="16" xfId="0" applyFont="1" applyFill="1" applyBorder="1" applyProtection="1">
      <protection locked="0"/>
    </xf>
    <xf numFmtId="0" fontId="31" fillId="10" borderId="62" xfId="0" applyFont="1" applyFill="1" applyBorder="1" applyAlignment="1" applyProtection="1">
      <alignment readingOrder="2"/>
      <protection locked="0"/>
    </xf>
    <xf numFmtId="0" fontId="1" fillId="0" borderId="47" xfId="3" applyFont="1" applyBorder="1" applyAlignment="1">
      <alignment horizontal="right" vertical="center" wrapText="1"/>
    </xf>
    <xf numFmtId="0" fontId="1" fillId="0" borderId="1" xfId="10" applyFont="1" applyBorder="1" applyAlignment="1">
      <alignment horizontal="center" vertical="center"/>
    </xf>
    <xf numFmtId="0" fontId="1" fillId="7" borderId="1" xfId="10" applyFont="1" applyFill="1" applyBorder="1" applyAlignment="1" applyProtection="1">
      <alignment horizontal="center" vertical="center"/>
      <protection locked="0"/>
    </xf>
    <xf numFmtId="0" fontId="1" fillId="0" borderId="20" xfId="10" applyFont="1" applyBorder="1"/>
    <xf numFmtId="0" fontId="1" fillId="7" borderId="1" xfId="16" applyFont="1" applyFill="1" applyBorder="1" applyAlignment="1" applyProtection="1">
      <alignment horizontal="center" vertical="center" wrapText="1"/>
      <protection locked="0"/>
    </xf>
    <xf numFmtId="0" fontId="1" fillId="7" borderId="16" xfId="10" applyFont="1" applyFill="1" applyBorder="1" applyAlignment="1" applyProtection="1">
      <alignment horizontal="center" vertical="center"/>
      <protection locked="0"/>
    </xf>
    <xf numFmtId="0" fontId="1" fillId="7" borderId="10" xfId="10" applyFont="1" applyFill="1" applyBorder="1" applyAlignment="1" applyProtection="1">
      <alignment horizontal="center" vertical="center"/>
      <protection locked="0"/>
    </xf>
    <xf numFmtId="0" fontId="1" fillId="0" borderId="11" xfId="10" applyFont="1" applyBorder="1" applyAlignment="1">
      <alignment horizontal="center" vertical="center"/>
    </xf>
    <xf numFmtId="0" fontId="1" fillId="0" borderId="62" xfId="10" applyFont="1" applyBorder="1" applyAlignment="1">
      <alignment horizontal="center" vertical="center"/>
    </xf>
    <xf numFmtId="164" fontId="1" fillId="7" borderId="43" xfId="10" applyNumberFormat="1" applyFont="1" applyFill="1" applyBorder="1" applyAlignment="1" applyProtection="1">
      <alignment horizontal="center" vertical="center"/>
      <protection locked="0"/>
    </xf>
    <xf numFmtId="164" fontId="1" fillId="7" borderId="1" xfId="10" applyNumberFormat="1" applyFont="1" applyFill="1" applyBorder="1" applyAlignment="1" applyProtection="1">
      <alignment horizontal="center" vertical="center"/>
      <protection locked="0"/>
    </xf>
    <xf numFmtId="164" fontId="1" fillId="7" borderId="10" xfId="10" applyNumberFormat="1" applyFont="1" applyFill="1" applyBorder="1" applyAlignment="1" applyProtection="1">
      <alignment horizontal="center" vertical="center"/>
      <protection locked="0"/>
    </xf>
    <xf numFmtId="0" fontId="34" fillId="11" borderId="26" xfId="0" applyFont="1" applyFill="1" applyBorder="1" applyAlignment="1">
      <alignment horizontal="left" vertical="center"/>
    </xf>
    <xf numFmtId="0" fontId="34" fillId="11" borderId="26" xfId="0" applyFont="1" applyFill="1" applyBorder="1" applyAlignment="1">
      <alignment vertical="center"/>
    </xf>
    <xf numFmtId="0" fontId="34" fillId="11" borderId="26" xfId="0" applyFont="1" applyFill="1" applyBorder="1" applyAlignment="1">
      <alignment horizontal="center" vertical="center" wrapText="1"/>
    </xf>
    <xf numFmtId="0" fontId="37" fillId="12" borderId="43" xfId="0" applyFont="1" applyFill="1" applyBorder="1" applyAlignment="1">
      <alignment vertical="center" wrapText="1"/>
    </xf>
    <xf numFmtId="0" fontId="0" fillId="0" borderId="79" xfId="0" applyBorder="1" applyAlignment="1">
      <alignment horizontal="center"/>
    </xf>
    <xf numFmtId="0" fontId="37" fillId="12" borderId="1" xfId="0" applyFont="1" applyFill="1" applyBorder="1" applyAlignment="1">
      <alignment vertical="center" wrapText="1"/>
    </xf>
    <xf numFmtId="0" fontId="0" fillId="0" borderId="61" xfId="0" applyBorder="1" applyAlignment="1">
      <alignment horizontal="center"/>
    </xf>
    <xf numFmtId="0" fontId="37" fillId="12" borderId="10" xfId="0" applyFont="1" applyFill="1" applyBorder="1" applyAlignment="1">
      <alignment vertical="center" wrapText="1"/>
    </xf>
    <xf numFmtId="0" fontId="0" fillId="0" borderId="80" xfId="0" applyBorder="1" applyAlignment="1">
      <alignment horizontal="center"/>
    </xf>
    <xf numFmtId="0" fontId="34" fillId="11" borderId="81" xfId="0" applyFont="1" applyFill="1" applyBorder="1" applyAlignment="1">
      <alignment horizontal="center" wrapText="1"/>
    </xf>
    <xf numFmtId="0" fontId="34" fillId="0" borderId="0" xfId="0" applyFont="1"/>
    <xf numFmtId="0" fontId="9" fillId="0" borderId="0" xfId="0" applyFont="1" applyAlignment="1" applyProtection="1">
      <alignment horizontal="left"/>
      <protection locked="0"/>
    </xf>
    <xf numFmtId="0" fontId="11" fillId="0" borderId="31" xfId="0" applyFont="1" applyBorder="1" applyAlignment="1" applyProtection="1">
      <alignment horizontal="left"/>
      <protection locked="0"/>
    </xf>
    <xf numFmtId="0" fontId="14" fillId="0" borderId="16" xfId="3" applyFont="1" applyBorder="1" applyAlignment="1">
      <alignment horizontal="left" vertical="center" wrapText="1"/>
    </xf>
    <xf numFmtId="0" fontId="1" fillId="0" borderId="50" xfId="2" applyFont="1" applyBorder="1" applyAlignment="1" applyProtection="1">
      <alignment horizontal="left" vertical="center" wrapText="1"/>
      <protection locked="0"/>
    </xf>
    <xf numFmtId="0" fontId="1" fillId="0" borderId="0" xfId="0" applyFont="1" applyProtection="1">
      <protection locked="0"/>
    </xf>
    <xf numFmtId="9" fontId="9" fillId="0" borderId="0" xfId="11" applyFont="1" applyAlignment="1" applyProtection="1">
      <alignment horizontal="center" vertical="center"/>
      <protection locked="0"/>
    </xf>
    <xf numFmtId="0" fontId="11" fillId="3" borderId="4" xfId="2" applyFont="1" applyFill="1" applyBorder="1" applyAlignment="1">
      <alignment horizontal="center" vertical="center" wrapText="1"/>
    </xf>
    <xf numFmtId="0" fontId="11" fillId="3" borderId="32" xfId="2" applyFont="1" applyFill="1" applyBorder="1" applyAlignment="1">
      <alignment horizontal="center" vertical="center" wrapText="1"/>
    </xf>
    <xf numFmtId="166" fontId="9" fillId="0" borderId="0" xfId="0" applyNumberFormat="1" applyFont="1" applyAlignment="1">
      <alignment horizontal="center" vertical="center"/>
    </xf>
    <xf numFmtId="166" fontId="9" fillId="0" borderId="0" xfId="0" applyNumberFormat="1" applyFont="1" applyAlignment="1" applyProtection="1">
      <alignment horizontal="center" vertical="center"/>
      <protection locked="0"/>
    </xf>
    <xf numFmtId="9" fontId="9" fillId="0" borderId="0" xfId="11" applyFont="1" applyAlignment="1">
      <alignment horizontal="center" vertical="center"/>
    </xf>
    <xf numFmtId="0" fontId="9" fillId="0" borderId="16" xfId="2" applyFont="1" applyBorder="1" applyAlignment="1" applyProtection="1">
      <alignment horizontal="center" vertical="center"/>
      <protection locked="0"/>
    </xf>
    <xf numFmtId="9" fontId="9" fillId="0" borderId="0" xfId="11" applyFont="1" applyAlignment="1" applyProtection="1">
      <alignment horizontal="center" vertical="center" wrapText="1"/>
      <protection locked="0"/>
    </xf>
    <xf numFmtId="0" fontId="11" fillId="0" borderId="3" xfId="2" applyFont="1" applyBorder="1" applyAlignment="1">
      <alignment horizontal="center" vertical="center"/>
    </xf>
    <xf numFmtId="166" fontId="9" fillId="0" borderId="0" xfId="0" applyNumberFormat="1" applyFont="1" applyAlignment="1">
      <alignment horizontal="center" vertical="center" wrapText="1"/>
    </xf>
    <xf numFmtId="0" fontId="28" fillId="4" borderId="16" xfId="3" applyFont="1" applyFill="1" applyBorder="1" applyAlignment="1" applyProtection="1">
      <alignment horizontal="left" vertical="center" wrapText="1"/>
      <protection locked="0"/>
    </xf>
    <xf numFmtId="0" fontId="28" fillId="4" borderId="35" xfId="3" applyFont="1" applyFill="1" applyBorder="1" applyAlignment="1" applyProtection="1">
      <alignment horizontal="left" vertical="center" wrapText="1"/>
      <protection locked="0"/>
    </xf>
    <xf numFmtId="9" fontId="28" fillId="0" borderId="0" xfId="11" applyFont="1" applyAlignment="1">
      <alignment horizontal="center" vertical="center"/>
    </xf>
    <xf numFmtId="0" fontId="28" fillId="0" borderId="0" xfId="0" applyFont="1" applyAlignment="1" applyProtection="1">
      <alignment horizontal="center" vertical="center"/>
      <protection locked="0"/>
    </xf>
    <xf numFmtId="0" fontId="28" fillId="0" borderId="0" xfId="0" applyFont="1" applyProtection="1">
      <protection locked="0"/>
    </xf>
    <xf numFmtId="0" fontId="27" fillId="0" borderId="0" xfId="3" applyFont="1" applyAlignment="1">
      <alignment horizontal="center" vertical="center" wrapText="1"/>
    </xf>
    <xf numFmtId="166" fontId="28" fillId="0" borderId="0" xfId="0" applyNumberFormat="1" applyFont="1" applyAlignment="1">
      <alignment horizontal="center" vertical="center" wrapText="1"/>
    </xf>
    <xf numFmtId="166" fontId="9" fillId="0" borderId="0" xfId="0" applyNumberFormat="1" applyFont="1" applyAlignment="1">
      <alignment horizontal="right" vertical="center"/>
    </xf>
    <xf numFmtId="9" fontId="9" fillId="0" borderId="0" xfId="11" applyFont="1" applyAlignment="1" applyProtection="1">
      <alignment horizontal="right" vertical="center"/>
      <protection locked="0"/>
    </xf>
    <xf numFmtId="166" fontId="9" fillId="0" borderId="0" xfId="0" applyNumberFormat="1" applyFont="1" applyAlignment="1" applyProtection="1">
      <alignment horizontal="right" vertical="center"/>
      <protection locked="0"/>
    </xf>
    <xf numFmtId="0" fontId="9" fillId="0" borderId="0" xfId="0" applyFont="1" applyAlignment="1" applyProtection="1">
      <alignment horizontal="right" vertical="center"/>
      <protection locked="0"/>
    </xf>
    <xf numFmtId="9" fontId="11" fillId="0" borderId="31" xfId="11" applyFont="1" applyBorder="1" applyAlignment="1" applyProtection="1">
      <alignment horizontal="right" vertical="center"/>
      <protection locked="0"/>
    </xf>
    <xf numFmtId="0" fontId="11" fillId="0" borderId="31" xfId="0" applyFont="1" applyBorder="1" applyAlignment="1" applyProtection="1">
      <alignment horizontal="right" vertical="center"/>
      <protection locked="0"/>
    </xf>
    <xf numFmtId="2" fontId="11" fillId="0" borderId="32" xfId="0" applyNumberFormat="1" applyFont="1" applyBorder="1" applyAlignment="1" applyProtection="1">
      <alignment horizontal="right" vertical="center"/>
      <protection locked="0"/>
    </xf>
    <xf numFmtId="0" fontId="12" fillId="0" borderId="1" xfId="3" applyFont="1" applyBorder="1" applyAlignment="1" applyProtection="1">
      <alignment horizontal="left" vertical="center" wrapText="1"/>
      <protection locked="0"/>
    </xf>
    <xf numFmtId="0" fontId="12" fillId="0" borderId="16" xfId="3" applyFont="1" applyBorder="1" applyAlignment="1" applyProtection="1">
      <alignment horizontal="left" vertical="center" wrapText="1"/>
      <protection locked="0"/>
    </xf>
    <xf numFmtId="0" fontId="9" fillId="0" borderId="1" xfId="3" applyFont="1" applyBorder="1" applyAlignment="1" applyProtection="1">
      <alignment vertical="center" wrapText="1"/>
      <protection locked="0"/>
    </xf>
    <xf numFmtId="0" fontId="11" fillId="0" borderId="0" xfId="3" applyFont="1" applyAlignment="1" applyProtection="1">
      <alignment horizontal="center" vertical="center" wrapText="1"/>
      <protection locked="0"/>
    </xf>
    <xf numFmtId="166" fontId="9" fillId="0" borderId="0" xfId="0" applyNumberFormat="1" applyFont="1" applyAlignment="1" applyProtection="1">
      <alignment horizontal="center" vertical="center" wrapText="1"/>
      <protection locked="0"/>
    </xf>
    <xf numFmtId="0" fontId="11" fillId="0" borderId="1" xfId="14" applyFont="1" applyBorder="1" applyAlignment="1" applyProtection="1">
      <alignment horizontal="center" vertical="center" wrapText="1"/>
      <protection locked="0"/>
    </xf>
    <xf numFmtId="0" fontId="9" fillId="0" borderId="3" xfId="0" applyFont="1" applyBorder="1" applyAlignment="1" applyProtection="1">
      <alignment horizontal="center" vertical="center" wrapText="1"/>
      <protection locked="0"/>
    </xf>
    <xf numFmtId="0" fontId="9" fillId="0" borderId="12" xfId="0" applyFont="1" applyBorder="1" applyAlignment="1" applyProtection="1">
      <alignment horizontal="left" vertical="center" wrapText="1"/>
      <protection locked="0"/>
    </xf>
    <xf numFmtId="0" fontId="9" fillId="0" borderId="3" xfId="2" applyFont="1" applyBorder="1" applyAlignment="1" applyProtection="1">
      <alignment horizontal="center" vertical="center" wrapText="1"/>
      <protection locked="0"/>
    </xf>
    <xf numFmtId="0" fontId="9" fillId="0" borderId="3" xfId="0" applyFont="1" applyBorder="1" applyAlignment="1" applyProtection="1">
      <alignment horizontal="right" vertical="center" wrapText="1"/>
      <protection locked="0"/>
    </xf>
    <xf numFmtId="0" fontId="9" fillId="0" borderId="16" xfId="0" applyFont="1" applyBorder="1" applyAlignment="1" applyProtection="1">
      <alignment horizontal="center" vertical="center" wrapText="1"/>
      <protection locked="0"/>
    </xf>
    <xf numFmtId="0" fontId="9" fillId="0" borderId="77" xfId="0" applyFont="1" applyBorder="1" applyAlignment="1">
      <alignment vertical="center" wrapText="1"/>
    </xf>
    <xf numFmtId="0" fontId="9" fillId="0" borderId="1" xfId="2" applyFont="1" applyBorder="1" applyAlignment="1" applyProtection="1">
      <alignment horizontal="center" vertical="center" wrapText="1"/>
      <protection locked="0"/>
    </xf>
    <xf numFmtId="0" fontId="9" fillId="0" borderId="78" xfId="0" applyFont="1" applyBorder="1" applyAlignment="1">
      <alignment vertical="center" wrapText="1"/>
    </xf>
    <xf numFmtId="0" fontId="9" fillId="0" borderId="1" xfId="0" applyFont="1" applyBorder="1" applyAlignment="1" applyProtection="1">
      <alignment horizontal="center" vertical="center" wrapText="1"/>
      <protection locked="0"/>
    </xf>
    <xf numFmtId="0" fontId="9" fillId="0" borderId="47" xfId="0" applyFont="1" applyBorder="1" applyAlignment="1">
      <alignment vertical="center" wrapText="1"/>
    </xf>
    <xf numFmtId="0" fontId="9" fillId="0" borderId="47" xfId="0" applyFont="1" applyBorder="1" applyAlignment="1">
      <alignment horizontal="left" vertical="center" wrapText="1"/>
    </xf>
    <xf numFmtId="0" fontId="1" fillId="7" borderId="1" xfId="12" applyFont="1" applyFill="1" applyBorder="1" applyAlignment="1" applyProtection="1">
      <alignment horizontal="center" vertical="center"/>
      <protection locked="0"/>
    </xf>
    <xf numFmtId="0" fontId="9" fillId="4" borderId="1" xfId="0" applyFont="1" applyFill="1" applyBorder="1" applyAlignment="1">
      <alignment horizontal="center" vertical="center" wrapText="1"/>
    </xf>
    <xf numFmtId="0" fontId="9" fillId="4" borderId="16" xfId="0" applyFont="1" applyFill="1" applyBorder="1" applyAlignment="1">
      <alignment horizontal="left" vertical="center" wrapText="1"/>
    </xf>
    <xf numFmtId="0" fontId="9" fillId="4" borderId="16" xfId="3" applyFont="1" applyFill="1" applyBorder="1" applyAlignment="1">
      <alignment horizontal="left" vertical="center" wrapText="1"/>
    </xf>
    <xf numFmtId="0" fontId="39" fillId="0" borderId="13" xfId="0" applyFont="1" applyBorder="1" applyAlignment="1">
      <alignment horizontal="right"/>
    </xf>
    <xf numFmtId="0" fontId="39" fillId="0" borderId="1" xfId="0" applyFont="1" applyBorder="1" applyAlignment="1">
      <alignment vertical="center" readingOrder="1"/>
    </xf>
    <xf numFmtId="0" fontId="0" fillId="0" borderId="0" xfId="0" applyAlignment="1">
      <alignment horizontal="center" wrapText="1"/>
    </xf>
    <xf numFmtId="0" fontId="34" fillId="0" borderId="0" xfId="0" applyFont="1" applyAlignment="1">
      <alignment wrapText="1"/>
    </xf>
    <xf numFmtId="0" fontId="0" fillId="0" borderId="0" xfId="0" applyAlignment="1">
      <alignment horizontal="center"/>
    </xf>
    <xf numFmtId="0" fontId="40" fillId="0" borderId="0" xfId="0" applyFont="1" applyAlignment="1">
      <alignment horizontal="left" vertical="top" readingOrder="1"/>
    </xf>
    <xf numFmtId="0" fontId="41" fillId="0" borderId="0" xfId="0" applyFont="1" applyAlignment="1">
      <alignment horizontal="left" vertical="top" readingOrder="1"/>
    </xf>
    <xf numFmtId="0" fontId="40" fillId="0" borderId="0" xfId="0" applyFont="1" applyAlignment="1">
      <alignment horizontal="center" vertical="top" readingOrder="1"/>
    </xf>
    <xf numFmtId="0" fontId="32" fillId="0" borderId="16" xfId="3" applyFont="1" applyBorder="1" applyAlignment="1">
      <alignment horizontal="left" vertical="center" wrapText="1"/>
    </xf>
    <xf numFmtId="0" fontId="32" fillId="0" borderId="18" xfId="3" applyFont="1" applyBorder="1" applyAlignment="1">
      <alignment horizontal="left" vertical="center" wrapText="1"/>
    </xf>
    <xf numFmtId="0" fontId="15" fillId="0" borderId="48" xfId="3" applyFont="1" applyBorder="1" applyAlignment="1" applyProtection="1">
      <alignment horizontal="center" vertical="center" wrapText="1"/>
      <protection locked="0"/>
    </xf>
    <xf numFmtId="0" fontId="9" fillId="0" borderId="1" xfId="2" applyFont="1" applyBorder="1" applyAlignment="1">
      <alignment horizontal="center" vertical="center"/>
    </xf>
    <xf numFmtId="0" fontId="9" fillId="0" borderId="71" xfId="2" applyFont="1" applyBorder="1" applyAlignment="1">
      <alignment horizontal="center" vertical="center"/>
    </xf>
    <xf numFmtId="0" fontId="9" fillId="0" borderId="16" xfId="2" applyFont="1" applyBorder="1" applyAlignment="1">
      <alignment horizontal="center" vertical="center"/>
    </xf>
    <xf numFmtId="0" fontId="9" fillId="0" borderId="84" xfId="2" applyFont="1" applyBorder="1" applyAlignment="1">
      <alignment horizontal="center" vertical="center"/>
    </xf>
    <xf numFmtId="0" fontId="32" fillId="0" borderId="2" xfId="3" applyFont="1" applyBorder="1" applyAlignment="1">
      <alignment horizontal="left" vertical="center" wrapText="1"/>
    </xf>
    <xf numFmtId="0" fontId="11" fillId="0" borderId="1" xfId="3" applyFont="1" applyBorder="1" applyAlignment="1">
      <alignment horizontal="left" vertical="center" wrapText="1"/>
    </xf>
    <xf numFmtId="0" fontId="11" fillId="0" borderId="16" xfId="3" applyFont="1" applyBorder="1" applyAlignment="1">
      <alignment horizontal="left" vertical="center" wrapText="1"/>
    </xf>
    <xf numFmtId="0" fontId="11" fillId="0" borderId="18" xfId="3" applyFont="1" applyBorder="1" applyAlignment="1">
      <alignment horizontal="left" vertical="center" wrapText="1"/>
    </xf>
    <xf numFmtId="0" fontId="9" fillId="0" borderId="1" xfId="0" applyFont="1" applyBorder="1" applyAlignment="1" applyProtection="1">
      <alignment horizontal="right" vertical="center" wrapText="1"/>
      <protection locked="0"/>
    </xf>
    <xf numFmtId="0" fontId="11" fillId="0" borderId="12" xfId="14" applyFont="1" applyBorder="1" applyAlignment="1" applyProtection="1">
      <alignment horizontal="center" vertical="center" wrapText="1"/>
      <protection locked="0"/>
    </xf>
    <xf numFmtId="0" fontId="9" fillId="0" borderId="12" xfId="14" applyFont="1" applyBorder="1" applyAlignment="1" applyProtection="1">
      <alignment horizontal="center" vertical="center" wrapText="1"/>
      <protection locked="0"/>
    </xf>
    <xf numFmtId="0" fontId="9" fillId="0" borderId="2" xfId="2" applyFont="1" applyBorder="1" applyAlignment="1" applyProtection="1">
      <alignment horizontal="center" vertical="center" wrapText="1"/>
      <protection locked="0"/>
    </xf>
    <xf numFmtId="0" fontId="9" fillId="0" borderId="12" xfId="0" applyFont="1" applyBorder="1" applyAlignment="1" applyProtection="1">
      <alignment horizontal="right" vertical="center" wrapText="1"/>
      <protection locked="0"/>
    </xf>
    <xf numFmtId="0" fontId="9" fillId="0" borderId="12" xfId="2" applyFont="1" applyBorder="1" applyAlignment="1" applyProtection="1">
      <alignment horizontal="center" vertical="center" wrapText="1"/>
      <protection locked="0"/>
    </xf>
    <xf numFmtId="0" fontId="16" fillId="0" borderId="1" xfId="3" applyFont="1" applyBorder="1" applyAlignment="1" applyProtection="1">
      <alignment horizontal="center" vertical="center" wrapText="1"/>
      <protection locked="0"/>
    </xf>
    <xf numFmtId="0" fontId="11" fillId="0" borderId="2" xfId="14" applyFont="1" applyBorder="1" applyAlignment="1" applyProtection="1">
      <alignment horizontal="center" vertical="center" wrapText="1"/>
      <protection locked="0"/>
    </xf>
    <xf numFmtId="0" fontId="9" fillId="0" borderId="2" xfId="14" applyFont="1" applyBorder="1" applyAlignment="1" applyProtection="1">
      <alignment horizontal="center" vertical="center" wrapText="1"/>
      <protection locked="0"/>
    </xf>
    <xf numFmtId="0" fontId="9" fillId="0" borderId="2" xfId="0" applyFont="1" applyBorder="1" applyAlignment="1" applyProtection="1">
      <alignment horizontal="left" vertical="center" wrapText="1"/>
      <protection locked="0"/>
    </xf>
    <xf numFmtId="0" fontId="9" fillId="0" borderId="2" xfId="0" applyFont="1" applyBorder="1" applyAlignment="1" applyProtection="1">
      <alignment horizontal="right" vertical="center" wrapText="1"/>
      <protection locked="0"/>
    </xf>
    <xf numFmtId="0" fontId="11" fillId="0" borderId="16" xfId="3" applyFont="1" applyBorder="1" applyAlignment="1" applyProtection="1">
      <alignment horizontal="left" vertical="center" wrapText="1"/>
      <protection locked="0"/>
    </xf>
    <xf numFmtId="0" fontId="32" fillId="0" borderId="16" xfId="3" applyFont="1" applyBorder="1" applyAlignment="1" applyProtection="1">
      <alignment horizontal="left" vertical="center" wrapText="1"/>
      <protection locked="0"/>
    </xf>
    <xf numFmtId="0" fontId="16" fillId="0" borderId="18" xfId="3" applyFont="1" applyBorder="1" applyAlignment="1" applyProtection="1">
      <alignment horizontal="center" vertical="center" wrapText="1"/>
      <protection locked="0"/>
    </xf>
    <xf numFmtId="0" fontId="9" fillId="0" borderId="1" xfId="3" applyFont="1" applyBorder="1" applyAlignment="1" applyProtection="1">
      <alignment horizontal="right" vertical="center" wrapText="1"/>
      <protection locked="0"/>
    </xf>
    <xf numFmtId="0" fontId="15" fillId="0" borderId="13" xfId="0" applyFont="1" applyBorder="1" applyAlignment="1" applyProtection="1">
      <alignment horizontal="left" vertical="center" wrapText="1"/>
      <protection locked="0"/>
    </xf>
    <xf numFmtId="0" fontId="9" fillId="0" borderId="1" xfId="14" applyFont="1" applyBorder="1" applyAlignment="1" applyProtection="1">
      <alignment horizontal="center" vertical="center" wrapText="1"/>
      <protection locked="0"/>
    </xf>
    <xf numFmtId="0" fontId="9" fillId="0" borderId="3" xfId="3" applyFont="1" applyBorder="1" applyAlignment="1" applyProtection="1">
      <alignment horizontal="center" vertical="center" wrapText="1"/>
      <protection locked="0"/>
    </xf>
    <xf numFmtId="0" fontId="9" fillId="0" borderId="0" xfId="3" applyFont="1" applyAlignment="1" applyProtection="1">
      <alignment horizontal="center" vertical="center"/>
      <protection locked="0"/>
    </xf>
    <xf numFmtId="0" fontId="9" fillId="0" borderId="3" xfId="14" applyFont="1" applyBorder="1" applyAlignment="1" applyProtection="1">
      <alignment horizontal="center" vertical="center" wrapText="1"/>
      <protection locked="0"/>
    </xf>
    <xf numFmtId="0" fontId="9" fillId="0" borderId="47" xfId="3" applyFont="1" applyBorder="1" applyAlignment="1" applyProtection="1">
      <alignment vertical="center" wrapText="1"/>
      <protection locked="0"/>
    </xf>
    <xf numFmtId="0" fontId="9" fillId="0" borderId="12" xfId="3" applyFont="1" applyBorder="1" applyAlignment="1" applyProtection="1">
      <alignment horizontal="left" vertical="center" wrapText="1"/>
      <protection locked="0"/>
    </xf>
    <xf numFmtId="0" fontId="9" fillId="0" borderId="1" xfId="3" applyFont="1" applyBorder="1" applyAlignment="1" applyProtection="1">
      <alignment horizontal="center" vertical="center" wrapText="1"/>
      <protection locked="0"/>
    </xf>
    <xf numFmtId="0" fontId="9" fillId="0" borderId="61" xfId="3" applyFont="1" applyBorder="1" applyAlignment="1" applyProtection="1">
      <alignment horizontal="left" vertical="center" wrapText="1"/>
      <protection locked="0"/>
    </xf>
    <xf numFmtId="0" fontId="1" fillId="0" borderId="0" xfId="0" applyFont="1" applyAlignment="1" applyProtection="1">
      <alignment horizontal="left" vertical="center"/>
      <protection locked="0"/>
    </xf>
    <xf numFmtId="0" fontId="9" fillId="0" borderId="16" xfId="14" applyFont="1" applyBorder="1" applyAlignment="1" applyProtection="1">
      <alignment horizontal="center" vertical="center" wrapText="1"/>
      <protection locked="0"/>
    </xf>
    <xf numFmtId="0" fontId="43" fillId="0" borderId="87" xfId="0" applyFont="1" applyBorder="1" applyAlignment="1" applyProtection="1">
      <alignment wrapText="1"/>
      <protection locked="0"/>
    </xf>
    <xf numFmtId="0" fontId="9" fillId="0" borderId="64" xfId="2" applyFont="1" applyBorder="1" applyAlignment="1" applyProtection="1">
      <alignment horizontal="center" vertical="center" wrapText="1"/>
      <protection locked="0"/>
    </xf>
    <xf numFmtId="0" fontId="9" fillId="0" borderId="1" xfId="3" applyFont="1" applyBorder="1" applyProtection="1">
      <protection locked="0"/>
    </xf>
    <xf numFmtId="166" fontId="20" fillId="0" borderId="0" xfId="0" applyNumberFormat="1" applyFont="1" applyAlignment="1" applyProtection="1">
      <alignment horizontal="center" vertical="center"/>
      <protection locked="0"/>
    </xf>
    <xf numFmtId="0" fontId="42" fillId="0" borderId="83" xfId="2" applyFont="1" applyBorder="1" applyAlignment="1" applyProtection="1">
      <alignment horizontal="center" vertical="center"/>
      <protection locked="0"/>
    </xf>
    <xf numFmtId="0" fontId="44" fillId="0" borderId="43" xfId="14" applyFont="1" applyBorder="1" applyAlignment="1" applyProtection="1">
      <alignment horizontal="center" vertical="center" wrapText="1"/>
      <protection locked="0"/>
    </xf>
    <xf numFmtId="0" fontId="42" fillId="0" borderId="43" xfId="14" applyFont="1" applyBorder="1" applyAlignment="1" applyProtection="1">
      <alignment horizontal="center" vertical="center" wrapText="1"/>
      <protection locked="0"/>
    </xf>
    <xf numFmtId="0" fontId="42" fillId="0" borderId="43" xfId="3" applyFont="1" applyBorder="1" applyAlignment="1" applyProtection="1">
      <alignment horizontal="left" vertical="center" wrapText="1"/>
      <protection locked="0"/>
    </xf>
    <xf numFmtId="0" fontId="9" fillId="0" borderId="43" xfId="2" applyFont="1" applyBorder="1" applyAlignment="1" applyProtection="1">
      <alignment horizontal="center" vertical="center" wrapText="1"/>
      <protection locked="0"/>
    </xf>
    <xf numFmtId="0" fontId="42" fillId="0" borderId="43" xfId="3" applyFont="1" applyBorder="1" applyAlignment="1" applyProtection="1">
      <alignment horizontal="right" vertical="center" wrapText="1"/>
      <protection locked="0"/>
    </xf>
    <xf numFmtId="0" fontId="9" fillId="0" borderId="43" xfId="3" applyFont="1" applyBorder="1" applyAlignment="1" applyProtection="1">
      <alignment horizontal="center" vertical="center" wrapText="1"/>
      <protection locked="0"/>
    </xf>
    <xf numFmtId="0" fontId="9" fillId="0" borderId="43" xfId="2" applyFont="1" applyBorder="1" applyAlignment="1" applyProtection="1">
      <alignment horizontal="left" vertical="center" wrapText="1"/>
      <protection locked="0"/>
    </xf>
    <xf numFmtId="0" fontId="42" fillId="0" borderId="1" xfId="2" applyFont="1" applyBorder="1" applyAlignment="1" applyProtection="1">
      <alignment horizontal="left" vertical="center" wrapText="1"/>
      <protection locked="0"/>
    </xf>
    <xf numFmtId="0" fontId="42" fillId="0" borderId="1" xfId="3" applyFont="1" applyBorder="1" applyProtection="1">
      <protection locked="0"/>
    </xf>
    <xf numFmtId="0" fontId="42" fillId="0" borderId="43" xfId="2" applyFont="1" applyBorder="1" applyAlignment="1" applyProtection="1">
      <alignment horizontal="left" vertical="center" wrapText="1"/>
      <protection locked="0"/>
    </xf>
    <xf numFmtId="0" fontId="42" fillId="0" borderId="79" xfId="3" applyFont="1" applyBorder="1" applyAlignment="1" applyProtection="1">
      <alignment horizontal="left" vertical="center" wrapText="1"/>
      <protection locked="0"/>
    </xf>
    <xf numFmtId="9" fontId="45" fillId="0" borderId="0" xfId="11" applyFont="1" applyAlignment="1" applyProtection="1">
      <alignment horizontal="center" vertical="center"/>
      <protection locked="0"/>
    </xf>
    <xf numFmtId="0" fontId="42" fillId="0" borderId="0" xfId="3" applyFont="1" applyProtection="1">
      <protection locked="0"/>
    </xf>
    <xf numFmtId="0" fontId="44" fillId="0" borderId="0" xfId="3" applyFont="1" applyAlignment="1" applyProtection="1">
      <alignment horizontal="center" vertical="center"/>
      <protection locked="0"/>
    </xf>
    <xf numFmtId="0" fontId="42" fillId="0" borderId="0" xfId="0" applyFont="1" applyProtection="1">
      <protection locked="0"/>
    </xf>
    <xf numFmtId="166" fontId="45" fillId="0" borderId="0" xfId="0" applyNumberFormat="1" applyFont="1" applyAlignment="1" applyProtection="1">
      <alignment horizontal="center" vertical="center"/>
      <protection locked="0"/>
    </xf>
    <xf numFmtId="0" fontId="42" fillId="0" borderId="0" xfId="0" applyFont="1" applyAlignment="1" applyProtection="1">
      <alignment horizontal="center" vertical="center"/>
      <protection locked="0"/>
    </xf>
    <xf numFmtId="0" fontId="42" fillId="0" borderId="25" xfId="2" applyFont="1" applyBorder="1" applyAlignment="1" applyProtection="1">
      <alignment horizontal="center" vertical="center"/>
      <protection locked="0"/>
    </xf>
    <xf numFmtId="0" fontId="44" fillId="0" borderId="1" xfId="14" applyFont="1" applyBorder="1" applyAlignment="1" applyProtection="1">
      <alignment horizontal="center" vertical="center" wrapText="1"/>
      <protection locked="0"/>
    </xf>
    <xf numFmtId="0" fontId="42" fillId="0" borderId="1" xfId="14" applyFont="1" applyBorder="1" applyAlignment="1" applyProtection="1">
      <alignment horizontal="center" vertical="center" wrapText="1"/>
      <protection locked="0"/>
    </xf>
    <xf numFmtId="0" fontId="42" fillId="0" borderId="1" xfId="3" applyFont="1" applyBorder="1" applyAlignment="1" applyProtection="1">
      <alignment horizontal="left" vertical="center" wrapText="1"/>
      <protection locked="0"/>
    </xf>
    <xf numFmtId="0" fontId="42" fillId="0" borderId="1" xfId="3" applyFont="1" applyBorder="1" applyAlignment="1" applyProtection="1">
      <alignment horizontal="right" vertical="center" wrapText="1"/>
      <protection locked="0"/>
    </xf>
    <xf numFmtId="0" fontId="9" fillId="0" borderId="1" xfId="2" applyFont="1" applyBorder="1" applyAlignment="1" applyProtection="1">
      <alignment horizontal="left" vertical="center" wrapText="1"/>
      <protection locked="0"/>
    </xf>
    <xf numFmtId="0" fontId="42" fillId="0" borderId="61" xfId="3" applyFont="1" applyBorder="1" applyAlignment="1" applyProtection="1">
      <alignment horizontal="left" vertical="center" wrapText="1"/>
      <protection locked="0"/>
    </xf>
    <xf numFmtId="0" fontId="44" fillId="0" borderId="1" xfId="2" applyFont="1" applyBorder="1" applyAlignment="1" applyProtection="1">
      <alignment horizontal="left" vertical="center" wrapText="1"/>
      <protection locked="0"/>
    </xf>
    <xf numFmtId="0" fontId="42" fillId="0" borderId="84" xfId="3" applyFont="1" applyBorder="1" applyAlignment="1" applyProtection="1">
      <alignment horizontal="right" vertical="center" wrapText="1"/>
      <protection locked="0"/>
    </xf>
    <xf numFmtId="0" fontId="44" fillId="0" borderId="10" xfId="14" applyFont="1" applyBorder="1" applyAlignment="1" applyProtection="1">
      <alignment horizontal="center" vertical="center" wrapText="1"/>
      <protection locked="0"/>
    </xf>
    <xf numFmtId="0" fontId="42" fillId="0" borderId="10" xfId="14" applyFont="1" applyBorder="1" applyAlignment="1" applyProtection="1">
      <alignment horizontal="center" vertical="center" wrapText="1"/>
      <protection locked="0"/>
    </xf>
    <xf numFmtId="0" fontId="42" fillId="0" borderId="10" xfId="3" applyFont="1" applyBorder="1" applyAlignment="1" applyProtection="1">
      <alignment horizontal="left" vertical="center" wrapText="1"/>
      <protection locked="0"/>
    </xf>
    <xf numFmtId="0" fontId="9" fillId="0" borderId="10" xfId="2" applyFont="1" applyBorder="1" applyAlignment="1" applyProtection="1">
      <alignment horizontal="center" vertical="center" wrapText="1"/>
      <protection locked="0"/>
    </xf>
    <xf numFmtId="0" fontId="42" fillId="0" borderId="85" xfId="3" applyFont="1" applyBorder="1" applyAlignment="1" applyProtection="1">
      <alignment horizontal="right" vertical="center" wrapText="1"/>
      <protection locked="0"/>
    </xf>
    <xf numFmtId="0" fontId="9" fillId="0" borderId="10" xfId="3" applyFont="1" applyBorder="1" applyAlignment="1" applyProtection="1">
      <alignment horizontal="center" vertical="center" wrapText="1"/>
      <protection locked="0"/>
    </xf>
    <xf numFmtId="0" fontId="9" fillId="0" borderId="10" xfId="2" applyFont="1" applyBorder="1" applyAlignment="1" applyProtection="1">
      <alignment horizontal="left" vertical="center" wrapText="1"/>
      <protection locked="0"/>
    </xf>
    <xf numFmtId="0" fontId="44" fillId="0" borderId="10" xfId="2" applyFont="1" applyBorder="1" applyAlignment="1" applyProtection="1">
      <alignment horizontal="left" vertical="center" wrapText="1"/>
      <protection locked="0"/>
    </xf>
    <xf numFmtId="0" fontId="42" fillId="0" borderId="80" xfId="3" applyFont="1" applyBorder="1" applyAlignment="1" applyProtection="1">
      <alignment horizontal="left" vertical="center" wrapText="1"/>
      <protection locked="0"/>
    </xf>
    <xf numFmtId="0" fontId="1" fillId="0" borderId="78" xfId="2" applyFont="1" applyBorder="1" applyAlignment="1">
      <alignment horizontal="left" vertical="center" wrapText="1"/>
    </xf>
    <xf numFmtId="0" fontId="1" fillId="0" borderId="78" xfId="2" applyFont="1" applyBorder="1" applyAlignment="1" applyProtection="1">
      <alignment horizontal="left" vertical="center" wrapText="1"/>
      <protection locked="0"/>
    </xf>
    <xf numFmtId="0" fontId="15" fillId="0" borderId="84" xfId="0" applyFont="1" applyBorder="1" applyAlignment="1" applyProtection="1">
      <alignment horizontal="left" vertical="center" wrapText="1"/>
      <protection locked="0"/>
    </xf>
    <xf numFmtId="0" fontId="9" fillId="0" borderId="0" xfId="3" applyFont="1" applyAlignment="1">
      <alignment horizontal="center" vertical="center"/>
    </xf>
    <xf numFmtId="0" fontId="9" fillId="0" borderId="3" xfId="3" applyFont="1" applyBorder="1" applyAlignment="1" applyProtection="1">
      <alignment horizontal="left" vertical="center" wrapText="1"/>
      <protection locked="0"/>
    </xf>
    <xf numFmtId="0" fontId="9" fillId="0" borderId="14" xfId="3" applyFont="1" applyBorder="1" applyAlignment="1" applyProtection="1">
      <alignment horizontal="left" vertical="center" wrapText="1"/>
      <protection locked="0"/>
    </xf>
    <xf numFmtId="0" fontId="9" fillId="0" borderId="13" xfId="0" applyFont="1" applyBorder="1" applyAlignment="1" applyProtection="1">
      <alignment horizontal="center" vertical="center" wrapText="1"/>
      <protection locked="0"/>
    </xf>
    <xf numFmtId="0" fontId="9" fillId="0" borderId="82" xfId="0" applyFont="1" applyBorder="1" applyAlignment="1">
      <alignment horizontal="left" vertical="center" wrapText="1"/>
    </xf>
    <xf numFmtId="0" fontId="9" fillId="0" borderId="0" xfId="3" applyFont="1" applyAlignment="1">
      <alignment horizontal="left" vertical="center" wrapText="1"/>
    </xf>
    <xf numFmtId="0" fontId="24" fillId="0" borderId="1" xfId="0" applyFont="1" applyBorder="1" applyAlignment="1" applyProtection="1">
      <alignment horizontal="left" vertical="center" wrapText="1"/>
      <protection locked="0"/>
    </xf>
    <xf numFmtId="0" fontId="24" fillId="0" borderId="13" xfId="0" applyFont="1" applyBorder="1" applyAlignment="1" applyProtection="1">
      <alignment horizontal="left" vertical="center" wrapText="1"/>
      <protection locked="0"/>
    </xf>
    <xf numFmtId="0" fontId="25" fillId="0" borderId="75" xfId="3" applyFont="1" applyBorder="1" applyAlignment="1" applyProtection="1">
      <alignment vertical="center" wrapText="1"/>
      <protection locked="0"/>
    </xf>
    <xf numFmtId="0" fontId="16" fillId="0" borderId="74" xfId="3" applyFont="1" applyBorder="1" applyAlignment="1" applyProtection="1">
      <alignment vertical="center" wrapText="1"/>
      <protection locked="0"/>
    </xf>
    <xf numFmtId="0" fontId="16" fillId="0" borderId="75" xfId="3" applyFont="1" applyBorder="1" applyAlignment="1" applyProtection="1">
      <alignment vertical="center" wrapText="1"/>
      <protection locked="0"/>
    </xf>
    <xf numFmtId="0" fontId="25" fillId="0" borderId="48" xfId="3" applyFont="1" applyBorder="1" applyAlignment="1" applyProtection="1">
      <alignment vertical="center" wrapText="1"/>
      <protection locked="0"/>
    </xf>
    <xf numFmtId="0" fontId="46" fillId="0" borderId="13" xfId="3" applyFont="1" applyBorder="1" applyAlignment="1" applyProtection="1">
      <alignment horizontal="left" vertical="center" wrapText="1"/>
      <protection locked="0"/>
    </xf>
    <xf numFmtId="0" fontId="9" fillId="0" borderId="18" xfId="3" applyFont="1" applyBorder="1" applyAlignment="1" applyProtection="1">
      <alignment horizontal="left" vertical="center" wrapText="1"/>
      <protection locked="0"/>
    </xf>
    <xf numFmtId="0" fontId="16" fillId="0" borderId="16" xfId="3" applyFont="1" applyBorder="1" applyAlignment="1" applyProtection="1">
      <alignment horizontal="left" vertical="center" wrapText="1"/>
      <protection locked="0"/>
    </xf>
    <xf numFmtId="0" fontId="42" fillId="0" borderId="13" xfId="14" applyFont="1" applyBorder="1" applyAlignment="1" applyProtection="1">
      <alignment horizontal="center" vertical="center" wrapText="1"/>
      <protection locked="0"/>
    </xf>
    <xf numFmtId="0" fontId="42" fillId="0" borderId="16" xfId="3" applyFont="1" applyBorder="1" applyAlignment="1" applyProtection="1">
      <alignment horizontal="left" vertical="center" wrapText="1"/>
      <protection locked="0"/>
    </xf>
    <xf numFmtId="0" fontId="42" fillId="0" borderId="35" xfId="3" applyFont="1" applyBorder="1" applyAlignment="1" applyProtection="1">
      <alignment horizontal="left" vertical="center" wrapText="1"/>
      <protection locked="0"/>
    </xf>
    <xf numFmtId="0" fontId="42" fillId="0" borderId="16" xfId="0" applyFont="1" applyBorder="1" applyAlignment="1" applyProtection="1">
      <alignment horizontal="center" vertical="center" wrapText="1"/>
      <protection locked="0"/>
    </xf>
    <xf numFmtId="0" fontId="44" fillId="0" borderId="16" xfId="3" applyFont="1" applyBorder="1" applyAlignment="1" applyProtection="1">
      <alignment horizontal="left" vertical="center" wrapText="1"/>
      <protection locked="0"/>
    </xf>
    <xf numFmtId="0" fontId="15" fillId="0" borderId="16" xfId="0" applyFont="1" applyBorder="1" applyAlignment="1" applyProtection="1">
      <alignment horizontal="left" vertical="center" wrapText="1"/>
      <protection locked="0"/>
    </xf>
    <xf numFmtId="0" fontId="42" fillId="0" borderId="3" xfId="0" applyFont="1" applyBorder="1" applyAlignment="1" applyProtection="1">
      <alignment horizontal="center" vertical="center" wrapText="1"/>
      <protection locked="0"/>
    </xf>
    <xf numFmtId="0" fontId="42" fillId="0" borderId="13" xfId="3" applyFont="1" applyBorder="1" applyAlignment="1" applyProtection="1">
      <alignment horizontal="left" vertical="center" wrapText="1"/>
      <protection locked="0"/>
    </xf>
    <xf numFmtId="0" fontId="16" fillId="0" borderId="2" xfId="3" applyFont="1" applyBorder="1" applyAlignment="1" applyProtection="1">
      <alignment vertical="center" wrapText="1"/>
      <protection locked="0"/>
    </xf>
    <xf numFmtId="0" fontId="16" fillId="0" borderId="14" xfId="3" applyFont="1" applyBorder="1" applyAlignment="1" applyProtection="1">
      <alignment vertical="center" wrapText="1"/>
      <protection locked="0"/>
    </xf>
    <xf numFmtId="0" fontId="9" fillId="0" borderId="2" xfId="3" applyFont="1" applyBorder="1" applyAlignment="1" applyProtection="1">
      <alignment horizontal="left" vertical="center" wrapText="1"/>
      <protection locked="0"/>
    </xf>
    <xf numFmtId="9" fontId="20" fillId="0" borderId="0" xfId="11" applyFont="1" applyAlignment="1" applyProtection="1">
      <alignment horizontal="center" vertical="center"/>
      <protection locked="0"/>
    </xf>
    <xf numFmtId="0" fontId="9" fillId="0" borderId="13" xfId="3" applyFont="1" applyBorder="1" applyProtection="1">
      <protection locked="0"/>
    </xf>
    <xf numFmtId="0" fontId="16" fillId="0" borderId="1" xfId="3" applyFont="1" applyBorder="1" applyAlignment="1" applyProtection="1">
      <alignment vertical="center" wrapText="1"/>
      <protection locked="0"/>
    </xf>
    <xf numFmtId="0" fontId="16" fillId="0" borderId="13" xfId="3" applyFont="1" applyBorder="1" applyAlignment="1" applyProtection="1">
      <alignment vertical="center" wrapText="1"/>
      <protection locked="0"/>
    </xf>
    <xf numFmtId="0" fontId="11" fillId="0" borderId="3" xfId="0" applyFont="1" applyBorder="1" applyAlignment="1">
      <alignment horizontal="center" vertical="center" wrapText="1"/>
    </xf>
    <xf numFmtId="0" fontId="9" fillId="0" borderId="3" xfId="3" applyFont="1" applyBorder="1" applyAlignment="1">
      <alignment vertical="center" wrapText="1"/>
    </xf>
    <xf numFmtId="0" fontId="11" fillId="0" borderId="1" xfId="2" applyFont="1" applyBorder="1" applyAlignment="1">
      <alignment horizontal="center" vertical="center" wrapText="1"/>
    </xf>
    <xf numFmtId="0" fontId="11" fillId="0" borderId="1" xfId="2" applyFont="1" applyBorder="1" applyAlignment="1" applyProtection="1">
      <alignment horizontal="center" vertical="center" wrapText="1"/>
      <protection locked="0"/>
    </xf>
    <xf numFmtId="0" fontId="9" fillId="0" borderId="16" xfId="2" applyFont="1" applyBorder="1" applyAlignment="1" applyProtection="1">
      <alignment horizontal="left" vertical="center" wrapText="1"/>
      <protection locked="0"/>
    </xf>
    <xf numFmtId="0" fontId="11" fillId="0" borderId="47" xfId="0" applyFont="1" applyBorder="1" applyAlignment="1" applyProtection="1">
      <alignment horizontal="center" vertical="center"/>
      <protection locked="0"/>
    </xf>
    <xf numFmtId="0" fontId="9" fillId="0" borderId="47" xfId="0" applyFont="1" applyBorder="1" applyAlignment="1" applyProtection="1">
      <alignment horizontal="center" vertical="center"/>
      <protection locked="0"/>
    </xf>
    <xf numFmtId="0" fontId="9" fillId="0" borderId="47" xfId="3" applyFont="1" applyBorder="1" applyAlignment="1" applyProtection="1">
      <alignment horizontal="center" vertical="center" wrapText="1"/>
      <protection locked="0"/>
    </xf>
    <xf numFmtId="0" fontId="9" fillId="0" borderId="3" xfId="0" applyFont="1" applyBorder="1" applyAlignment="1" applyProtection="1">
      <alignment horizontal="left" vertical="center" wrapText="1"/>
      <protection locked="0"/>
    </xf>
    <xf numFmtId="0" fontId="9" fillId="0" borderId="87" xfId="3" applyFont="1" applyBorder="1" applyAlignment="1" applyProtection="1">
      <alignment horizontal="left" vertical="center" wrapText="1"/>
      <protection locked="0"/>
    </xf>
    <xf numFmtId="0" fontId="9" fillId="0" borderId="67" xfId="2" applyFont="1" applyBorder="1" applyAlignment="1" applyProtection="1">
      <alignment horizontal="center" vertical="center" wrapText="1"/>
      <protection locked="0"/>
    </xf>
    <xf numFmtId="0" fontId="9" fillId="0" borderId="0" xfId="0" applyFont="1" applyAlignment="1">
      <alignment horizontal="left" vertical="center" wrapText="1"/>
    </xf>
    <xf numFmtId="0" fontId="11" fillId="0" borderId="3" xfId="2" applyFont="1" applyBorder="1" applyAlignment="1">
      <alignment horizontal="center" vertical="center" wrapText="1"/>
    </xf>
    <xf numFmtId="0" fontId="9" fillId="0" borderId="60" xfId="3" applyFont="1" applyBorder="1" applyAlignment="1">
      <alignment horizontal="left" vertical="center" wrapText="1"/>
    </xf>
    <xf numFmtId="0" fontId="9" fillId="0" borderId="1" xfId="3" applyFont="1" applyBorder="1" applyAlignment="1">
      <alignment horizontal="center" vertical="center"/>
    </xf>
    <xf numFmtId="0" fontId="9" fillId="0" borderId="0" xfId="3" applyFont="1" applyAlignment="1" applyProtection="1">
      <alignment horizontal="left" vertical="center" wrapText="1"/>
      <protection locked="0"/>
    </xf>
    <xf numFmtId="0" fontId="9" fillId="0" borderId="3" xfId="3" applyFont="1" applyBorder="1" applyAlignment="1" applyProtection="1">
      <alignment horizontal="right" vertical="center" wrapText="1"/>
      <protection locked="0"/>
    </xf>
    <xf numFmtId="0" fontId="44" fillId="0" borderId="2" xfId="14" applyFont="1" applyBorder="1" applyAlignment="1" applyProtection="1">
      <alignment horizontal="center" vertical="center" wrapText="1"/>
      <protection locked="0"/>
    </xf>
    <xf numFmtId="0" fontId="42" fillId="0" borderId="2" xfId="14" applyFont="1" applyBorder="1" applyAlignment="1" applyProtection="1">
      <alignment horizontal="center" vertical="center" wrapText="1"/>
      <protection locked="0"/>
    </xf>
    <xf numFmtId="0" fontId="42" fillId="0" borderId="87" xfId="3" applyFont="1" applyBorder="1" applyAlignment="1" applyProtection="1">
      <alignment horizontal="left" vertical="center" wrapText="1"/>
      <protection locked="0"/>
    </xf>
    <xf numFmtId="0" fontId="42" fillId="0" borderId="1" xfId="2" applyFont="1" applyBorder="1" applyAlignment="1" applyProtection="1">
      <alignment horizontal="center" vertical="center" wrapText="1"/>
      <protection locked="0"/>
    </xf>
    <xf numFmtId="0" fontId="42" fillId="0" borderId="12" xfId="3" applyFont="1" applyBorder="1" applyAlignment="1" applyProtection="1">
      <alignment horizontal="right" vertical="center" wrapText="1"/>
      <protection locked="0"/>
    </xf>
    <xf numFmtId="0" fontId="42" fillId="0" borderId="12" xfId="0" applyFont="1" applyBorder="1" applyAlignment="1" applyProtection="1">
      <alignment horizontal="center" vertical="center" wrapText="1"/>
      <protection locked="0"/>
    </xf>
    <xf numFmtId="0" fontId="42" fillId="0" borderId="12" xfId="2" applyFont="1" applyBorder="1" applyAlignment="1" applyProtection="1">
      <alignment horizontal="center" vertical="center" wrapText="1"/>
      <protection locked="0"/>
    </xf>
    <xf numFmtId="0" fontId="42" fillId="0" borderId="18" xfId="3" applyFont="1" applyBorder="1" applyAlignment="1" applyProtection="1">
      <alignment horizontal="left" vertical="center" wrapText="1"/>
      <protection locked="0"/>
    </xf>
    <xf numFmtId="0" fontId="42" fillId="0" borderId="88" xfId="3" applyFont="1" applyBorder="1" applyAlignment="1" applyProtection="1">
      <alignment horizontal="left" vertical="center" wrapText="1"/>
      <protection locked="0"/>
    </xf>
    <xf numFmtId="0" fontId="42" fillId="0" borderId="1" xfId="0" applyFont="1" applyBorder="1" applyAlignment="1" applyProtection="1">
      <alignment horizontal="center" vertical="center" wrapText="1"/>
      <protection locked="0"/>
    </xf>
    <xf numFmtId="0" fontId="9" fillId="0" borderId="12" xfId="0" applyFont="1" applyBorder="1" applyAlignment="1" applyProtection="1">
      <alignment horizontal="center" vertical="center" wrapText="1"/>
      <protection locked="0"/>
    </xf>
    <xf numFmtId="0" fontId="11" fillId="0" borderId="47" xfId="0" applyFont="1" applyBorder="1" applyAlignment="1">
      <alignment horizontal="center" vertical="center"/>
    </xf>
    <xf numFmtId="0" fontId="9" fillId="0" borderId="47" xfId="0" applyFont="1" applyBorder="1" applyAlignment="1">
      <alignment horizontal="center" vertical="center"/>
    </xf>
    <xf numFmtId="0" fontId="42" fillId="0" borderId="0" xfId="3" applyFont="1" applyAlignment="1" applyProtection="1">
      <alignment horizontal="left" vertical="center" wrapText="1"/>
      <protection locked="0"/>
    </xf>
    <xf numFmtId="0" fontId="42" fillId="0" borderId="0" xfId="3" applyFont="1" applyAlignment="1" applyProtection="1">
      <alignment horizontal="right" vertical="center" wrapText="1"/>
      <protection locked="0"/>
    </xf>
    <xf numFmtId="0" fontId="9" fillId="0" borderId="47" xfId="3" applyFont="1" applyBorder="1" applyAlignment="1">
      <alignment vertical="center" wrapText="1"/>
    </xf>
    <xf numFmtId="0" fontId="9" fillId="0" borderId="47" xfId="6" applyFont="1" applyBorder="1" applyAlignment="1">
      <alignment vertical="center" wrapText="1"/>
    </xf>
    <xf numFmtId="0" fontId="11" fillId="0" borderId="3" xfId="0" applyFont="1" applyBorder="1" applyAlignment="1" applyProtection="1">
      <alignment horizontal="center" vertical="center" wrapText="1"/>
      <protection locked="0"/>
    </xf>
    <xf numFmtId="0" fontId="9" fillId="0" borderId="2" xfId="3" applyFont="1" applyBorder="1" applyAlignment="1">
      <alignment horizontal="left" vertical="center" wrapText="1"/>
    </xf>
    <xf numFmtId="0" fontId="9" fillId="0" borderId="2" xfId="3" applyFont="1" applyBorder="1" applyAlignment="1">
      <alignment horizontal="right" vertical="center" wrapText="1"/>
    </xf>
    <xf numFmtId="0" fontId="9" fillId="0" borderId="12" xfId="3" applyFont="1" applyBorder="1" applyAlignment="1">
      <alignment horizontal="center" vertical="center" wrapText="1"/>
    </xf>
    <xf numFmtId="0" fontId="9" fillId="0" borderId="2" xfId="0" applyFont="1" applyBorder="1" applyAlignment="1">
      <alignment horizontal="center" vertical="center" wrapText="1"/>
    </xf>
    <xf numFmtId="0" fontId="9" fillId="0" borderId="47" xfId="0" applyFont="1" applyBorder="1" applyAlignment="1" applyProtection="1">
      <alignment horizontal="center" vertical="center" wrapText="1"/>
      <protection locked="0"/>
    </xf>
    <xf numFmtId="0" fontId="9" fillId="0" borderId="47" xfId="3" applyFont="1" applyBorder="1" applyAlignment="1" applyProtection="1">
      <alignment horizontal="left" vertical="center" wrapText="1"/>
      <protection locked="0"/>
    </xf>
    <xf numFmtId="0" fontId="11" fillId="0" borderId="1" xfId="0" applyFont="1" applyBorder="1" applyAlignment="1">
      <alignment horizontal="center" vertical="center" wrapText="1"/>
    </xf>
    <xf numFmtId="49" fontId="9" fillId="0" borderId="37" xfId="0" applyNumberFormat="1" applyFont="1" applyBorder="1" applyAlignment="1">
      <alignment horizontal="left" vertical="center" wrapText="1"/>
    </xf>
    <xf numFmtId="49" fontId="9" fillId="0" borderId="37" xfId="0" applyNumberFormat="1" applyFont="1" applyBorder="1" applyAlignment="1" applyProtection="1">
      <alignment horizontal="right" vertical="center" wrapText="1"/>
      <protection locked="0"/>
    </xf>
    <xf numFmtId="0" fontId="9" fillId="0" borderId="3" xfId="2" applyFont="1" applyBorder="1" applyAlignment="1">
      <alignment horizontal="left" vertical="center" wrapText="1"/>
    </xf>
    <xf numFmtId="0" fontId="9" fillId="0" borderId="3" xfId="2" applyFont="1" applyBorder="1" applyAlignment="1">
      <alignment horizontal="right" vertical="center" wrapText="1"/>
    </xf>
    <xf numFmtId="0" fontId="1" fillId="0" borderId="47" xfId="2" applyFont="1" applyBorder="1" applyAlignment="1">
      <alignment horizontal="left" vertical="center" wrapText="1"/>
    </xf>
    <xf numFmtId="0" fontId="17" fillId="0" borderId="16" xfId="3" applyFont="1" applyBorder="1" applyAlignment="1">
      <alignment horizontal="left" vertical="center" wrapText="1"/>
    </xf>
    <xf numFmtId="0" fontId="11" fillId="0" borderId="12" xfId="14" applyFont="1" applyBorder="1" applyAlignment="1">
      <alignment horizontal="center" vertical="center" wrapText="1"/>
    </xf>
    <xf numFmtId="0" fontId="9" fillId="0" borderId="12" xfId="3" applyFont="1" applyBorder="1" applyAlignment="1">
      <alignment horizontal="left" vertical="center" wrapText="1"/>
    </xf>
    <xf numFmtId="0" fontId="9" fillId="0" borderId="12" xfId="0" applyFont="1" applyBorder="1" applyAlignment="1">
      <alignment horizontal="center" vertical="center" wrapText="1"/>
    </xf>
    <xf numFmtId="0" fontId="1" fillId="0" borderId="8" xfId="2" applyFont="1" applyBorder="1" applyAlignment="1" applyProtection="1">
      <alignment horizontal="center" vertical="center"/>
      <protection locked="0"/>
    </xf>
    <xf numFmtId="0" fontId="23" fillId="0" borderId="1" xfId="14" applyFont="1" applyBorder="1" applyAlignment="1">
      <alignment horizontal="center" vertical="center" wrapText="1"/>
    </xf>
    <xf numFmtId="0" fontId="1" fillId="0" borderId="3" xfId="0" applyFont="1" applyBorder="1" applyAlignment="1">
      <alignment horizontal="center" vertical="center" wrapText="1"/>
    </xf>
    <xf numFmtId="0" fontId="1" fillId="0" borderId="1" xfId="0" applyFont="1" applyBorder="1" applyAlignment="1" applyProtection="1">
      <alignment horizontal="left" vertical="center" wrapText="1"/>
      <protection locked="0"/>
    </xf>
    <xf numFmtId="0" fontId="1" fillId="0" borderId="1" xfId="2" applyFont="1" applyBorder="1" applyAlignment="1">
      <alignment horizontal="center" vertical="center" wrapText="1"/>
    </xf>
    <xf numFmtId="0" fontId="1" fillId="0" borderId="1" xfId="3" applyFont="1" applyBorder="1" applyAlignment="1">
      <alignment horizontal="center" vertical="center" wrapText="1"/>
    </xf>
    <xf numFmtId="0" fontId="1" fillId="0" borderId="13" xfId="3" applyFont="1" applyBorder="1" applyAlignment="1">
      <alignment horizontal="left" vertical="center" wrapText="1"/>
    </xf>
    <xf numFmtId="0" fontId="1" fillId="0" borderId="16" xfId="3" applyFont="1" applyBorder="1" applyAlignment="1">
      <alignment horizontal="center" vertical="center" wrapText="1"/>
    </xf>
    <xf numFmtId="0" fontId="23" fillId="0" borderId="16" xfId="3" applyFont="1" applyBorder="1" applyAlignment="1">
      <alignment horizontal="left" vertical="center" wrapText="1"/>
    </xf>
    <xf numFmtId="0" fontId="26" fillId="0" borderId="13" xfId="3" applyFont="1" applyBorder="1" applyAlignment="1">
      <alignment horizontal="left" vertical="center" wrapText="1"/>
    </xf>
    <xf numFmtId="0" fontId="26" fillId="0" borderId="13" xfId="3" applyFont="1" applyBorder="1" applyAlignment="1" applyProtection="1">
      <alignment horizontal="left" vertical="center" wrapText="1"/>
      <protection locked="0"/>
    </xf>
    <xf numFmtId="0" fontId="26" fillId="0" borderId="35" xfId="3" applyFont="1" applyBorder="1" applyAlignment="1" applyProtection="1">
      <alignment horizontal="left" vertical="center" wrapText="1"/>
      <protection locked="0"/>
    </xf>
    <xf numFmtId="9" fontId="1" fillId="0" borderId="0" xfId="11" applyFont="1" applyAlignment="1" applyProtection="1">
      <alignment horizontal="center" vertical="center"/>
      <protection locked="0"/>
    </xf>
    <xf numFmtId="0" fontId="1" fillId="0" borderId="0" xfId="0" applyFont="1" applyAlignment="1" applyProtection="1">
      <alignment horizontal="center" vertical="center"/>
      <protection locked="0"/>
    </xf>
    <xf numFmtId="0" fontId="23" fillId="0" borderId="0" xfId="0" applyFont="1" applyAlignment="1" applyProtection="1">
      <alignment horizontal="center" vertical="center"/>
      <protection locked="0"/>
    </xf>
    <xf numFmtId="166" fontId="1" fillId="0" borderId="0" xfId="0" applyNumberFormat="1" applyFont="1" applyAlignment="1" applyProtection="1">
      <alignment horizontal="center" vertical="center"/>
      <protection locked="0"/>
    </xf>
    <xf numFmtId="166" fontId="1" fillId="0" borderId="0" xfId="0" applyNumberFormat="1" applyFont="1" applyAlignment="1">
      <alignment horizontal="center" vertical="center"/>
    </xf>
    <xf numFmtId="0" fontId="1" fillId="0" borderId="1" xfId="2" applyFont="1" applyBorder="1" applyAlignment="1">
      <alignment horizontal="center" vertical="center"/>
    </xf>
    <xf numFmtId="0" fontId="1" fillId="0" borderId="1" xfId="2" applyFont="1" applyBorder="1" applyAlignment="1">
      <alignment horizontal="left" vertical="center" wrapText="1"/>
    </xf>
    <xf numFmtId="9" fontId="1" fillId="0" borderId="1" xfId="11" applyFont="1" applyBorder="1" applyAlignment="1">
      <alignment horizontal="center" vertical="center"/>
    </xf>
    <xf numFmtId="0" fontId="1" fillId="0" borderId="1" xfId="0" applyFont="1" applyBorder="1" applyAlignment="1">
      <alignment horizontal="center" vertical="center"/>
    </xf>
    <xf numFmtId="0" fontId="1" fillId="0" borderId="1" xfId="3" applyFont="1" applyBorder="1"/>
    <xf numFmtId="0" fontId="1" fillId="0" borderId="1" xfId="0" applyFont="1" applyBorder="1"/>
    <xf numFmtId="166" fontId="1" fillId="0" borderId="1" xfId="0" applyNumberFormat="1" applyFont="1" applyBorder="1" applyAlignment="1">
      <alignment horizontal="center" vertical="center"/>
    </xf>
    <xf numFmtId="0" fontId="1" fillId="0" borderId="71" xfId="2" applyFont="1" applyBorder="1" applyAlignment="1">
      <alignment horizontal="center" vertical="center"/>
    </xf>
    <xf numFmtId="0" fontId="1" fillId="0" borderId="3" xfId="2" applyFont="1" applyBorder="1" applyAlignment="1">
      <alignment horizontal="center" vertical="center"/>
    </xf>
    <xf numFmtId="0" fontId="1" fillId="0" borderId="3" xfId="2" applyFont="1" applyBorder="1" applyAlignment="1">
      <alignment horizontal="left" vertical="center" wrapText="1"/>
    </xf>
    <xf numFmtId="0" fontId="1" fillId="0" borderId="16" xfId="2" applyFont="1" applyBorder="1" applyAlignment="1">
      <alignment horizontal="left" vertical="center" wrapText="1"/>
    </xf>
    <xf numFmtId="0" fontId="1" fillId="0" borderId="16" xfId="2" applyFont="1" applyBorder="1" applyAlignment="1">
      <alignment horizontal="center" vertical="center"/>
    </xf>
    <xf numFmtId="0" fontId="1" fillId="0" borderId="84" xfId="2" applyFont="1" applyBorder="1" applyAlignment="1">
      <alignment horizontal="center" vertical="center"/>
    </xf>
    <xf numFmtId="9" fontId="1" fillId="0" borderId="0" xfId="11" applyFont="1" applyAlignment="1">
      <alignment horizontal="center" vertical="center"/>
    </xf>
    <xf numFmtId="0" fontId="1" fillId="0" borderId="0" xfId="0" applyFont="1" applyAlignment="1">
      <alignment horizontal="center" vertical="center"/>
    </xf>
    <xf numFmtId="0" fontId="1" fillId="0" borderId="0" xfId="3" applyFont="1"/>
    <xf numFmtId="0" fontId="23" fillId="0" borderId="0" xfId="3" applyFont="1" applyAlignment="1">
      <alignment horizontal="center" vertical="center"/>
    </xf>
    <xf numFmtId="0" fontId="1" fillId="0" borderId="0" xfId="0" applyFont="1"/>
    <xf numFmtId="0" fontId="23" fillId="0" borderId="0" xfId="0" applyFont="1" applyAlignment="1">
      <alignment horizontal="center" vertical="center"/>
    </xf>
    <xf numFmtId="0" fontId="1" fillId="0" borderId="1" xfId="3" applyFont="1" applyBorder="1" applyAlignment="1">
      <alignment horizontal="center" vertical="center"/>
    </xf>
    <xf numFmtId="0" fontId="1" fillId="0" borderId="0" xfId="3" applyFont="1" applyAlignment="1">
      <alignment horizontal="center" vertical="center"/>
    </xf>
    <xf numFmtId="0" fontId="1" fillId="0" borderId="7" xfId="2" applyFont="1" applyBorder="1" applyAlignment="1" applyProtection="1">
      <alignment horizontal="center" vertical="center"/>
      <protection locked="0"/>
    </xf>
    <xf numFmtId="0" fontId="1" fillId="0" borderId="2" xfId="0" applyFont="1" applyBorder="1" applyAlignment="1">
      <alignment horizontal="left" vertical="center" wrapText="1"/>
    </xf>
    <xf numFmtId="0" fontId="1" fillId="0" borderId="2" xfId="0" applyFont="1" applyBorder="1" applyAlignment="1">
      <alignment horizontal="right" vertical="center" wrapText="1"/>
    </xf>
    <xf numFmtId="0" fontId="23" fillId="0" borderId="2" xfId="3" applyFont="1" applyBorder="1" applyAlignment="1">
      <alignment horizontal="left" vertical="center" wrapText="1"/>
    </xf>
    <xf numFmtId="0" fontId="1" fillId="0" borderId="61" xfId="3" applyFont="1" applyBorder="1" applyAlignment="1" applyProtection="1">
      <alignment horizontal="center" vertical="center" wrapText="1"/>
      <protection locked="0"/>
    </xf>
    <xf numFmtId="0" fontId="1" fillId="0" borderId="35" xfId="3" applyFont="1" applyBorder="1" applyAlignment="1" applyProtection="1">
      <alignment horizontal="center" vertical="center" wrapText="1"/>
      <protection locked="0"/>
    </xf>
    <xf numFmtId="0" fontId="1" fillId="0" borderId="0" xfId="3" applyFont="1" applyProtection="1">
      <protection locked="0"/>
    </xf>
    <xf numFmtId="0" fontId="1" fillId="0" borderId="16" xfId="3" applyFont="1" applyBorder="1" applyAlignment="1">
      <alignment horizontal="left" vertical="center" wrapText="1"/>
    </xf>
    <xf numFmtId="0" fontId="26" fillId="0" borderId="16" xfId="3" applyFont="1" applyBorder="1" applyAlignment="1">
      <alignment horizontal="center" vertical="center" wrapText="1"/>
    </xf>
    <xf numFmtId="0" fontId="1" fillId="0" borderId="2" xfId="2" applyFont="1" applyBorder="1" applyAlignment="1">
      <alignment horizontal="center" vertical="center" wrapText="1"/>
    </xf>
    <xf numFmtId="0" fontId="1" fillId="0" borderId="1" xfId="0" applyFont="1" applyBorder="1" applyAlignment="1">
      <alignment horizontal="center" vertical="center" wrapText="1"/>
    </xf>
    <xf numFmtId="0" fontId="1" fillId="0" borderId="33" xfId="3" applyFont="1" applyBorder="1" applyAlignment="1" applyProtection="1">
      <alignment horizontal="left" vertical="center" wrapText="1"/>
      <protection locked="0"/>
    </xf>
    <xf numFmtId="0" fontId="1" fillId="0" borderId="1" xfId="3" applyFont="1" applyBorder="1" applyAlignment="1">
      <alignment vertical="center" wrapText="1"/>
    </xf>
    <xf numFmtId="0" fontId="1" fillId="0" borderId="16" xfId="0" applyFont="1" applyBorder="1" applyAlignment="1">
      <alignment horizontal="left" vertical="center" wrapText="1"/>
    </xf>
    <xf numFmtId="0" fontId="1" fillId="0" borderId="35" xfId="3" applyFont="1" applyBorder="1" applyAlignment="1" applyProtection="1">
      <alignment horizontal="left" vertical="center" wrapText="1"/>
      <protection locked="0"/>
    </xf>
    <xf numFmtId="0" fontId="23" fillId="0" borderId="1" xfId="14" applyFont="1" applyBorder="1" applyAlignment="1" applyProtection="1">
      <alignment horizontal="center" vertical="center" wrapText="1"/>
      <protection locked="0"/>
    </xf>
    <xf numFmtId="0" fontId="1" fillId="0" borderId="3" xfId="0" applyFont="1" applyBorder="1" applyAlignment="1" applyProtection="1">
      <alignment horizontal="center" vertical="center" wrapText="1"/>
      <protection locked="0"/>
    </xf>
    <xf numFmtId="0" fontId="1" fillId="0" borderId="1" xfId="3" applyFont="1" applyBorder="1" applyAlignment="1" applyProtection="1">
      <alignment horizontal="left" vertical="center" wrapText="1"/>
      <protection locked="0"/>
    </xf>
    <xf numFmtId="0" fontId="1" fillId="0" borderId="1" xfId="2" applyFont="1" applyBorder="1" applyAlignment="1" applyProtection="1">
      <alignment horizontal="center" vertical="center" wrapText="1"/>
      <protection locked="0"/>
    </xf>
    <xf numFmtId="0" fontId="1" fillId="0" borderId="1" xfId="3" applyFont="1" applyBorder="1" applyAlignment="1" applyProtection="1">
      <alignment horizontal="right" vertical="center" wrapText="1"/>
      <protection locked="0"/>
    </xf>
    <xf numFmtId="0" fontId="1" fillId="0" borderId="3" xfId="2" applyFont="1" applyBorder="1" applyAlignment="1" applyProtection="1">
      <alignment horizontal="center" vertical="center" wrapText="1"/>
      <protection locked="0"/>
    </xf>
    <xf numFmtId="0" fontId="1" fillId="0" borderId="13" xfId="3" applyFont="1" applyBorder="1" applyAlignment="1" applyProtection="1">
      <alignment horizontal="left" vertical="center" wrapText="1"/>
      <protection locked="0"/>
    </xf>
    <xf numFmtId="0" fontId="1" fillId="0" borderId="16" xfId="3" applyFont="1" applyBorder="1" applyAlignment="1" applyProtection="1">
      <alignment horizontal="center" vertical="center" wrapText="1"/>
      <protection locked="0"/>
    </xf>
    <xf numFmtId="0" fontId="1" fillId="0" borderId="16" xfId="3" applyFont="1" applyBorder="1" applyAlignment="1" applyProtection="1">
      <alignment horizontal="left" vertical="center" wrapText="1"/>
      <protection locked="0"/>
    </xf>
    <xf numFmtId="0" fontId="23" fillId="0" borderId="16" xfId="3" applyFont="1" applyBorder="1" applyAlignment="1" applyProtection="1">
      <alignment horizontal="left" vertical="center" wrapText="1"/>
      <protection locked="0"/>
    </xf>
    <xf numFmtId="0" fontId="26" fillId="0" borderId="13" xfId="0" applyFont="1" applyBorder="1" applyAlignment="1" applyProtection="1">
      <alignment horizontal="left" vertical="center" wrapText="1"/>
      <protection locked="0"/>
    </xf>
    <xf numFmtId="0" fontId="23" fillId="0" borderId="0" xfId="3" applyFont="1" applyAlignment="1" applyProtection="1">
      <alignment horizontal="center" vertical="center"/>
      <protection locked="0"/>
    </xf>
    <xf numFmtId="0" fontId="1" fillId="0" borderId="1" xfId="3" applyFont="1" applyBorder="1" applyAlignment="1">
      <alignment vertical="top" wrapText="1"/>
    </xf>
    <xf numFmtId="0" fontId="1" fillId="0" borderId="1" xfId="0" applyFont="1" applyBorder="1" applyAlignment="1">
      <alignment vertical="center" wrapText="1"/>
    </xf>
    <xf numFmtId="0" fontId="1" fillId="0" borderId="13" xfId="2" applyFont="1" applyBorder="1" applyAlignment="1">
      <alignment horizontal="left" vertical="center" wrapText="1"/>
    </xf>
    <xf numFmtId="0" fontId="47" fillId="0" borderId="25" xfId="2" applyFont="1" applyBorder="1" applyAlignment="1" applyProtection="1">
      <alignment horizontal="center" vertical="center"/>
      <protection locked="0"/>
    </xf>
    <xf numFmtId="0" fontId="48" fillId="0" borderId="1" xfId="14" applyFont="1" applyBorder="1" applyAlignment="1" applyProtection="1">
      <alignment horizontal="center" vertical="center" wrapText="1"/>
      <protection locked="0"/>
    </xf>
    <xf numFmtId="0" fontId="47" fillId="0" borderId="1" xfId="14" applyFont="1" applyBorder="1" applyAlignment="1" applyProtection="1">
      <alignment horizontal="center" vertical="center" wrapText="1"/>
      <protection locked="0"/>
    </xf>
    <xf numFmtId="0" fontId="47" fillId="0" borderId="1" xfId="3" applyFont="1" applyBorder="1" applyAlignment="1" applyProtection="1">
      <alignment horizontal="left" vertical="center" wrapText="1"/>
      <protection locked="0"/>
    </xf>
    <xf numFmtId="0" fontId="47" fillId="0" borderId="1" xfId="3" applyFont="1" applyBorder="1" applyAlignment="1" applyProtection="1">
      <alignment horizontal="right" vertical="center" wrapText="1"/>
      <protection locked="0"/>
    </xf>
    <xf numFmtId="0" fontId="1" fillId="0" borderId="1" xfId="3" applyFont="1" applyBorder="1" applyAlignment="1" applyProtection="1">
      <alignment horizontal="center" vertical="center" wrapText="1"/>
      <protection locked="0"/>
    </xf>
    <xf numFmtId="0" fontId="1" fillId="0" borderId="1" xfId="2" applyFont="1" applyBorder="1" applyAlignment="1" applyProtection="1">
      <alignment horizontal="left" vertical="center" wrapText="1"/>
      <protection locked="0"/>
    </xf>
    <xf numFmtId="0" fontId="47" fillId="0" borderId="1" xfId="2" applyFont="1" applyBorder="1" applyAlignment="1" applyProtection="1">
      <alignment horizontal="left" vertical="center" wrapText="1"/>
      <protection locked="0"/>
    </xf>
    <xf numFmtId="0" fontId="47" fillId="0" borderId="1" xfId="3" applyFont="1" applyBorder="1" applyProtection="1">
      <protection locked="0"/>
    </xf>
    <xf numFmtId="0" fontId="47" fillId="0" borderId="61" xfId="3" applyFont="1" applyBorder="1" applyAlignment="1" applyProtection="1">
      <alignment horizontal="left" vertical="center" wrapText="1"/>
      <protection locked="0"/>
    </xf>
    <xf numFmtId="9" fontId="49" fillId="0" borderId="0" xfId="11" applyFont="1" applyAlignment="1" applyProtection="1">
      <alignment horizontal="center" vertical="center"/>
      <protection locked="0"/>
    </xf>
    <xf numFmtId="0" fontId="47" fillId="0" borderId="0" xfId="3" applyFont="1" applyProtection="1">
      <protection locked="0"/>
    </xf>
    <xf numFmtId="0" fontId="48" fillId="0" borderId="0" xfId="3" applyFont="1" applyAlignment="1" applyProtection="1">
      <alignment horizontal="center" vertical="center"/>
      <protection locked="0"/>
    </xf>
    <xf numFmtId="0" fontId="47" fillId="0" borderId="0" xfId="0" applyFont="1" applyProtection="1">
      <protection locked="0"/>
    </xf>
    <xf numFmtId="166" fontId="49" fillId="0" borderId="0" xfId="0" applyNumberFormat="1" applyFont="1" applyAlignment="1" applyProtection="1">
      <alignment horizontal="center" vertical="center"/>
      <protection locked="0"/>
    </xf>
    <xf numFmtId="0" fontId="47" fillId="0" borderId="0" xfId="0" applyFont="1" applyAlignment="1" applyProtection="1">
      <alignment horizontal="center" vertical="center"/>
      <protection locked="0"/>
    </xf>
    <xf numFmtId="0" fontId="47" fillId="0" borderId="59" xfId="3" applyFont="1" applyBorder="1" applyAlignment="1" applyProtection="1">
      <alignment horizontal="right" vertical="center" wrapText="1"/>
      <protection locked="0"/>
    </xf>
    <xf numFmtId="0" fontId="48" fillId="0" borderId="1" xfId="2" applyFont="1" applyBorder="1" applyAlignment="1" applyProtection="1">
      <alignment horizontal="left" vertical="center" wrapText="1"/>
      <protection locked="0"/>
    </xf>
    <xf numFmtId="0" fontId="23" fillId="0" borderId="3" xfId="14" applyFont="1" applyBorder="1" applyAlignment="1">
      <alignment horizontal="center" vertical="center" wrapText="1"/>
    </xf>
    <xf numFmtId="0" fontId="1" fillId="0" borderId="3" xfId="3" applyFont="1" applyBorder="1" applyAlignment="1">
      <alignment vertical="center" wrapText="1"/>
    </xf>
    <xf numFmtId="0" fontId="1" fillId="0" borderId="3" xfId="2" applyFont="1" applyBorder="1" applyAlignment="1">
      <alignment horizontal="center" vertical="center" wrapText="1"/>
    </xf>
    <xf numFmtId="0" fontId="1" fillId="0" borderId="3" xfId="3" applyFont="1" applyBorder="1" applyAlignment="1">
      <alignment horizontal="center" vertical="center" wrapText="1"/>
    </xf>
    <xf numFmtId="0" fontId="23" fillId="0" borderId="0" xfId="3" applyFont="1" applyAlignment="1">
      <alignment horizontal="left" vertical="center" wrapText="1"/>
    </xf>
    <xf numFmtId="0" fontId="1" fillId="0" borderId="48" xfId="3" applyFont="1" applyBorder="1" applyAlignment="1" applyProtection="1">
      <alignment horizontal="left" vertical="center" wrapText="1"/>
      <protection locked="0"/>
    </xf>
    <xf numFmtId="0" fontId="1" fillId="0" borderId="1" xfId="3" applyFont="1" applyBorder="1" applyAlignment="1" applyProtection="1">
      <alignment vertical="center" wrapText="1"/>
      <protection locked="0"/>
    </xf>
    <xf numFmtId="0" fontId="1" fillId="0" borderId="13" xfId="2" applyFont="1" applyBorder="1" applyAlignment="1" applyProtection="1">
      <alignment horizontal="left" vertical="center" wrapText="1"/>
      <protection locked="0"/>
    </xf>
    <xf numFmtId="0" fontId="1" fillId="0" borderId="0" xfId="3" applyFont="1" applyAlignment="1" applyProtection="1">
      <alignment horizontal="center" vertical="center"/>
      <protection locked="0"/>
    </xf>
    <xf numFmtId="0" fontId="1" fillId="0" borderId="1" xfId="2" applyFont="1" applyBorder="1" applyAlignment="1">
      <alignment horizontal="right" vertical="center" wrapText="1"/>
    </xf>
    <xf numFmtId="0" fontId="50" fillId="0" borderId="92" xfId="0" applyFont="1" applyBorder="1" applyAlignment="1">
      <alignment horizontal="center" vertical="top"/>
    </xf>
    <xf numFmtId="0" fontId="9" fillId="2" borderId="25" xfId="14" applyFont="1" applyFill="1" applyBorder="1" applyAlignment="1">
      <alignment horizontal="center" vertical="center" wrapText="1"/>
    </xf>
    <xf numFmtId="0" fontId="11" fillId="0" borderId="0" xfId="0" applyFont="1" applyProtection="1">
      <protection locked="0"/>
    </xf>
    <xf numFmtId="0" fontId="9" fillId="0" borderId="0" xfId="0" applyFont="1" applyAlignment="1" applyProtection="1">
      <alignment horizontal="center"/>
      <protection locked="0"/>
    </xf>
    <xf numFmtId="0" fontId="9" fillId="0" borderId="0" xfId="0" applyFont="1" applyAlignment="1" applyProtection="1">
      <alignment wrapText="1"/>
      <protection locked="0"/>
    </xf>
    <xf numFmtId="0" fontId="9" fillId="0" borderId="0" xfId="0" applyFont="1" applyProtection="1">
      <protection locked="0"/>
    </xf>
    <xf numFmtId="0" fontId="9" fillId="0" borderId="0" xfId="0" applyFont="1" applyAlignment="1" applyProtection="1">
      <alignment horizontal="left"/>
      <protection locked="0"/>
    </xf>
    <xf numFmtId="0" fontId="9" fillId="3" borderId="58" xfId="14" applyFont="1" applyFill="1" applyBorder="1" applyAlignment="1">
      <alignment horizontal="center" vertical="center" wrapText="1"/>
    </xf>
    <xf numFmtId="0" fontId="0" fillId="0" borderId="59" xfId="0" applyBorder="1"/>
    <xf numFmtId="0" fontId="11" fillId="3" borderId="26" xfId="2" applyFont="1" applyFill="1" applyBorder="1" applyAlignment="1">
      <alignment horizontal="center" vertical="center" wrapText="1"/>
    </xf>
    <xf numFmtId="0" fontId="0" fillId="0" borderId="29" xfId="0" applyBorder="1"/>
    <xf numFmtId="0" fontId="9" fillId="5" borderId="26" xfId="2" applyFont="1" applyFill="1" applyBorder="1" applyAlignment="1">
      <alignment horizontal="center" vertical="center"/>
    </xf>
    <xf numFmtId="0" fontId="0" fillId="0" borderId="31" xfId="0" applyBorder="1"/>
    <xf numFmtId="0" fontId="0" fillId="0" borderId="32" xfId="0" applyBorder="1"/>
    <xf numFmtId="0" fontId="9" fillId="5" borderId="27" xfId="2" applyFont="1" applyFill="1" applyBorder="1" applyAlignment="1">
      <alignment horizontal="center" vertical="center"/>
    </xf>
    <xf numFmtId="0" fontId="0" fillId="0" borderId="86" xfId="0" applyBorder="1"/>
    <xf numFmtId="0" fontId="0" fillId="0" borderId="68" xfId="0" applyBorder="1"/>
    <xf numFmtId="0" fontId="15" fillId="0" borderId="35" xfId="3" applyFont="1" applyBorder="1" applyAlignment="1" applyProtection="1">
      <alignment horizontal="center" vertical="center" wrapText="1"/>
      <protection locked="0"/>
    </xf>
    <xf numFmtId="0" fontId="0" fillId="0" borderId="48" xfId="0" applyBorder="1" applyProtection="1">
      <protection locked="0"/>
    </xf>
    <xf numFmtId="0" fontId="11" fillId="5" borderId="26" xfId="2" applyFont="1" applyFill="1" applyBorder="1" applyAlignment="1">
      <alignment horizontal="center" vertical="center"/>
    </xf>
    <xf numFmtId="0" fontId="15" fillId="0" borderId="1" xfId="3" applyFont="1" applyBorder="1" applyAlignment="1">
      <alignment horizontal="center" vertical="center" wrapText="1"/>
    </xf>
    <xf numFmtId="0" fontId="0" fillId="0" borderId="89" xfId="0" applyBorder="1"/>
    <xf numFmtId="0" fontId="0" fillId="0" borderId="3" xfId="0" applyBorder="1"/>
    <xf numFmtId="0" fontId="1" fillId="0" borderId="26" xfId="10" applyFont="1" applyBorder="1" applyAlignment="1">
      <alignment horizontal="center" vertical="top" textRotation="90"/>
    </xf>
    <xf numFmtId="0" fontId="0" fillId="0" borderId="28" xfId="0" applyBorder="1"/>
    <xf numFmtId="0" fontId="1" fillId="0" borderId="26" xfId="10" applyFont="1" applyBorder="1" applyAlignment="1">
      <alignment horizontal="center" vertical="top" textRotation="90" wrapText="1"/>
    </xf>
    <xf numFmtId="0" fontId="36" fillId="0" borderId="42" xfId="19" applyFont="1" applyBorder="1" applyAlignment="1">
      <alignment horizontal="left" vertical="center"/>
    </xf>
    <xf numFmtId="0" fontId="0" fillId="0" borderId="90" xfId="0" applyBorder="1"/>
    <xf numFmtId="0" fontId="0" fillId="0" borderId="7" xfId="0" applyBorder="1"/>
    <xf numFmtId="0" fontId="38" fillId="11" borderId="5" xfId="0" applyFont="1" applyFill="1" applyBorder="1" applyAlignment="1">
      <alignment horizontal="left" wrapText="1"/>
    </xf>
    <xf numFmtId="0" fontId="0" fillId="0" borderId="91" xfId="0" applyBorder="1"/>
  </cellXfs>
  <cellStyles count="20">
    <cellStyle name="Check Cell" xfId="7" builtinId="23"/>
    <cellStyle name="Normal" xfId="0" builtinId="0"/>
    <cellStyle name="Normal 10" xfId="19" xr:uid="{00000000-0005-0000-0000-000013000000}"/>
    <cellStyle name="Normal 2" xfId="1" xr:uid="{00000000-0005-0000-0000-000001000000}"/>
    <cellStyle name="Normal 2 2" xfId="4" xr:uid="{00000000-0005-0000-0000-000004000000}"/>
    <cellStyle name="Normal 2 2 2" xfId="9" xr:uid="{00000000-0005-0000-0000-000009000000}"/>
    <cellStyle name="Normal 2 2 3" xfId="14" xr:uid="{00000000-0005-0000-0000-00000E000000}"/>
    <cellStyle name="Normal 2 2 3 2" xfId="15" xr:uid="{00000000-0005-0000-0000-00000F000000}"/>
    <cellStyle name="Normal 2 2 3 3" xfId="17" xr:uid="{00000000-0005-0000-0000-000011000000}"/>
    <cellStyle name="Normal 2 2 3 4" xfId="18" xr:uid="{00000000-0005-0000-0000-000012000000}"/>
    <cellStyle name="Normal 2 3" xfId="8" xr:uid="{00000000-0005-0000-0000-000008000000}"/>
    <cellStyle name="Normal 2 4" xfId="13" xr:uid="{00000000-0005-0000-0000-00000D000000}"/>
    <cellStyle name="Normal 3" xfId="3" xr:uid="{00000000-0005-0000-0000-000003000000}"/>
    <cellStyle name="Normal 3 2" xfId="6" xr:uid="{00000000-0005-0000-0000-000006000000}"/>
    <cellStyle name="Normal 4" xfId="5" xr:uid="{00000000-0005-0000-0000-000005000000}"/>
    <cellStyle name="Normal 4 2" xfId="10" xr:uid="{00000000-0005-0000-0000-00000A000000}"/>
    <cellStyle name="Normal 4 2 2" xfId="12" xr:uid="{00000000-0005-0000-0000-00000C000000}"/>
    <cellStyle name="Normal 4 2 2 2" xfId="16" xr:uid="{00000000-0005-0000-0000-000010000000}"/>
    <cellStyle name="Normal 5" xfId="2" xr:uid="{00000000-0005-0000-0000-000002000000}"/>
    <cellStyle name="Percent" xfId="11" builtinId="5"/>
  </cellStyles>
  <dxfs count="108">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bgColor theme="7" tint="0.39994506668294322"/>
        </patternFill>
      </fill>
    </dxf>
    <dxf>
      <fill>
        <patternFill patternType="solid">
          <fgColor indexed="64"/>
          <bgColor rgb="FFE4E300"/>
        </patternFill>
      </fill>
    </dxf>
    <dxf>
      <fill>
        <patternFill patternType="solid">
          <fgColor indexed="64"/>
          <bgColor rgb="FFE7D480"/>
        </patternFill>
      </fill>
    </dxf>
    <dxf>
      <fill>
        <patternFill patternType="solid">
          <fgColor indexed="64"/>
          <bgColor rgb="FFDCC97A"/>
        </patternFill>
      </fill>
    </dxf>
    <dxf>
      <fill>
        <patternFill>
          <bgColor rgb="FFDDE8C6"/>
        </patternFill>
      </fill>
    </dxf>
    <dxf>
      <fill>
        <patternFill>
          <bgColor theme="6" tint="0.39994506668294322"/>
        </patternFill>
      </fill>
    </dxf>
    <dxf>
      <fill>
        <patternFill>
          <bgColor rgb="FFE3E0CF"/>
        </patternFill>
      </fill>
    </dxf>
    <dxf>
      <fill>
        <patternFill patternType="solid">
          <fgColor indexed="64"/>
          <bgColor theme="4" tint="0.79998168889431442"/>
        </patternFill>
      </fill>
    </dxf>
    <dxf>
      <fill>
        <patternFill>
          <bgColor rgb="FFFF0000"/>
        </patternFill>
      </fill>
    </dxf>
    <dxf>
      <fill>
        <patternFill patternType="solid">
          <fgColor indexed="64"/>
          <bgColor theme="0" tint="-4.9989318521683403E-2"/>
        </patternFill>
      </fill>
    </dxf>
    <dxf>
      <fill>
        <patternFill patternType="solid">
          <fgColor indexed="64"/>
          <bgColor theme="6" tint="0.79998168889431442"/>
        </patternFill>
      </fill>
    </dxf>
    <dxf>
      <fill>
        <patternFill patternType="solid">
          <fgColor indexed="64"/>
          <bgColor theme="6" tint="0.59999389629810485"/>
        </patternFill>
      </fill>
    </dxf>
    <dxf>
      <fill>
        <patternFill>
          <bgColor rgb="FF99BCE7"/>
        </patternFill>
      </fill>
    </dxf>
    <dxf>
      <fill>
        <patternFill>
          <bgColor rgb="FF4685D2"/>
        </patternFill>
      </fill>
    </dxf>
    <dxf>
      <fill>
        <patternFill patternType="solid">
          <fgColor indexed="64"/>
          <bgColor theme="4" tint="0.59999389629810485"/>
        </patternFill>
      </fill>
    </dxf>
    <dxf>
      <fill>
        <patternFill>
          <bgColor theme="9" tint="0.59996337778862885"/>
        </patternFill>
      </fill>
    </dxf>
    <dxf>
      <fill>
        <patternFill>
          <bgColor theme="7" tint="0.59996337778862885"/>
        </patternFill>
      </fill>
    </dxf>
    <dxf>
      <fill>
        <patternFill>
          <bgColor rgb="FFE1AAA9"/>
        </patternFill>
      </fill>
    </dxf>
    <dxf>
      <fill>
        <patternFill>
          <bgColor theme="9" tint="0.39994506668294322"/>
        </patternFill>
      </fill>
    </dxf>
    <dxf>
      <fill>
        <patternFill>
          <bgColor rgb="FFFF9900"/>
        </patternFill>
      </fill>
    </dxf>
    <dxf>
      <fill>
        <patternFill>
          <bgColor rgb="FFF2DBDA"/>
        </patternFill>
      </fill>
    </dxf>
    <dxf>
      <fill>
        <patternFill>
          <bgColor rgb="FFFF9900"/>
        </patternFill>
      </fill>
    </dxf>
    <dxf>
      <fill>
        <patternFill>
          <bgColor rgb="FFEEB400"/>
        </patternFill>
      </fill>
    </dxf>
    <dxf>
      <fill>
        <patternFill>
          <bgColor rgb="FFFFD44B"/>
        </patternFill>
      </fill>
    </dxf>
    <dxf>
      <fill>
        <patternFill patternType="solid">
          <fgColor indexed="64"/>
          <bgColor rgb="FF9E004F"/>
        </patternFill>
      </fill>
    </dxf>
    <dxf>
      <fill>
        <patternFill>
          <bgColor rgb="FFEEB400"/>
        </patternFill>
      </fill>
    </dxf>
    <dxf>
      <fill>
        <patternFill patternType="solid">
          <fgColor indexed="64"/>
          <bgColor rgb="FFBA005D"/>
        </patternFill>
      </fill>
    </dxf>
    <dxf>
      <fill>
        <patternFill>
          <bgColor theme="2" tint="-0.24994659260841701"/>
        </patternFill>
      </fill>
    </dxf>
    <dxf>
      <fill>
        <patternFill>
          <bgColor rgb="FFFFBB57"/>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0</xdr:col>
      <xdr:colOff>0</xdr:colOff>
      <xdr:row>0</xdr:row>
      <xdr:rowOff>28916</xdr:rowOff>
    </xdr:from>
    <xdr:ext cx="935182" cy="411480"/>
    <xdr:pic>
      <xdr:nvPicPr>
        <xdr:cNvPr id="2" name="Picture 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rcRect t="26785" b="35417"/>
        <a:stretch>
          <a:fillRect/>
        </a:stretch>
      </xdr:blipFill>
      <xdr:spPr bwMode="auto">
        <a:xfrm>
          <a:off x="0" y="28916"/>
          <a:ext cx="935182" cy="411480"/>
        </a:xfrm>
        <a:prstGeom prst="rect">
          <a:avLst/>
        </a:prstGeom>
        <a:noFill/>
        <a:ln>
          <a:noFill/>
          <a:prstDash val="solid"/>
        </a:ln>
      </xdr:spPr>
    </xdr:pic>
    <xdr:clientData/>
  </xdr:oneCellAnchor>
  <xdr:oneCellAnchor>
    <xdr:from>
      <xdr:col>0</xdr:col>
      <xdr:colOff>0</xdr:colOff>
      <xdr:row>0</xdr:row>
      <xdr:rowOff>28916</xdr:rowOff>
    </xdr:from>
    <xdr:ext cx="935182" cy="411480"/>
    <xdr:pic>
      <xdr:nvPicPr>
        <xdr:cNvPr id="3" name="Picture 4">
          <a:extLst>
            <a:ext uri="{FF2B5EF4-FFF2-40B4-BE49-F238E27FC236}">
              <a16:creationId xmlns:a16="http://schemas.microsoft.com/office/drawing/2014/main" id="{00000000-0008-0000-0000-000003000000}"/>
            </a:ext>
          </a:extLst>
        </xdr:cNvPr>
        <xdr:cNvPicPr>
          <a:picLocks noChangeAspect="1"/>
        </xdr:cNvPicPr>
      </xdr:nvPicPr>
      <xdr:blipFill>
        <a:blip xmlns:r="http://schemas.openxmlformats.org/officeDocument/2006/relationships" r:embed="rId1" cstate="print"/>
        <a:srcRect t="26785" b="35417"/>
        <a:stretch>
          <a:fillRect/>
        </a:stretch>
      </xdr:blipFill>
      <xdr:spPr bwMode="auto">
        <a:xfrm>
          <a:off x="0" y="28916"/>
          <a:ext cx="935182" cy="411480"/>
        </a:xfrm>
        <a:prstGeom prst="rect">
          <a:avLst/>
        </a:prstGeom>
        <a:noFill/>
        <a:ln>
          <a:noFill/>
          <a:prstDash val="solid"/>
        </a:ln>
      </xdr:spPr>
    </xdr:pic>
    <xdr:clientData/>
  </xdr:oneCellAnchor>
  <xdr:oneCellAnchor>
    <xdr:from>
      <xdr:col>0</xdr:col>
      <xdr:colOff>0</xdr:colOff>
      <xdr:row>0</xdr:row>
      <xdr:rowOff>28916</xdr:rowOff>
    </xdr:from>
    <xdr:ext cx="935182" cy="411480"/>
    <xdr:pic>
      <xdr:nvPicPr>
        <xdr:cNvPr id="4" name="Picture 4">
          <a:extLst>
            <a:ext uri="{FF2B5EF4-FFF2-40B4-BE49-F238E27FC236}">
              <a16:creationId xmlns:a16="http://schemas.microsoft.com/office/drawing/2014/main" id="{00000000-0008-0000-0000-000004000000}"/>
            </a:ext>
          </a:extLst>
        </xdr:cNvPr>
        <xdr:cNvPicPr>
          <a:picLocks noChangeAspect="1"/>
        </xdr:cNvPicPr>
      </xdr:nvPicPr>
      <xdr:blipFill>
        <a:blip xmlns:r="http://schemas.openxmlformats.org/officeDocument/2006/relationships" r:embed="rId1" cstate="print"/>
        <a:srcRect t="26785" b="35417"/>
        <a:stretch>
          <a:fillRect/>
        </a:stretch>
      </xdr:blipFill>
      <xdr:spPr bwMode="auto">
        <a:xfrm>
          <a:off x="0" y="28916"/>
          <a:ext cx="935182" cy="411480"/>
        </a:xfrm>
        <a:prstGeom prst="rect">
          <a:avLst/>
        </a:prstGeom>
        <a:noFill/>
        <a:ln>
          <a:noFill/>
          <a:prstDash val="solid"/>
        </a:ln>
      </xdr:spPr>
    </xdr:pic>
    <xdr:clientData/>
  </xdr:oneCellAnchor>
</xdr:wsDr>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theme="9" tint="-0.499984740745262"/>
  </sheetPr>
  <dimension ref="A1:XER163"/>
  <sheetViews>
    <sheetView zoomScale="60" zoomScaleNormal="60" workbookViewId="0">
      <pane xSplit="4" ySplit="4" topLeftCell="E76" activePane="bottomRight" state="frozen"/>
      <selection pane="topRight" activeCell="E1" sqref="E1"/>
      <selection pane="bottomLeft" activeCell="A5" sqref="A5"/>
      <selection pane="bottomRight" activeCell="F79" sqref="F79"/>
    </sheetView>
  </sheetViews>
  <sheetFormatPr baseColWidth="10" defaultColWidth="8.6640625" defaultRowHeight="16" outlineLevelCol="1" x14ac:dyDescent="0.2"/>
  <cols>
    <col min="1" max="1" width="5.83203125" style="50" customWidth="1"/>
    <col min="2" max="2" width="29.5" style="100" customWidth="1"/>
    <col min="3" max="3" width="21.6640625" style="99" customWidth="1"/>
    <col min="4" max="4" width="60.6640625" style="98" customWidth="1"/>
    <col min="5" max="5" width="9.6640625" style="50" customWidth="1"/>
    <col min="6" max="6" width="60.1640625" style="98" customWidth="1"/>
    <col min="7" max="7" width="9.6640625" style="50" customWidth="1"/>
    <col min="8" max="8" width="14.5" style="50" customWidth="1"/>
    <col min="9" max="9" width="12.33203125" style="50" customWidth="1"/>
    <col min="10" max="10" width="41" style="50" customWidth="1"/>
    <col min="11" max="11" width="28.1640625" style="50" customWidth="1"/>
    <col min="12" max="12" width="34.83203125" style="50" customWidth="1"/>
    <col min="13" max="13" width="54.33203125" style="50" customWidth="1"/>
    <col min="14" max="15" width="52.1640625" style="277" customWidth="1"/>
    <col min="16" max="16" width="21.6640625" style="50" customWidth="1"/>
    <col min="17" max="17" width="25.1640625" style="50" customWidth="1"/>
    <col min="18" max="18" width="39.1640625" style="50" bestFit="1" customWidth="1"/>
    <col min="19" max="19" width="15" style="300" customWidth="1"/>
    <col min="20" max="20" width="8.6640625" style="281" customWidth="1"/>
    <col min="21" max="21" width="8.6640625" style="50" customWidth="1"/>
    <col min="22" max="22" width="20.6640625" style="75" customWidth="1"/>
    <col min="23" max="23" width="8.6640625" style="50" customWidth="1" outlineLevel="1"/>
    <col min="24" max="25" width="8.6640625" style="50" customWidth="1"/>
    <col min="26" max="26" width="15.33203125" style="302" customWidth="1"/>
    <col min="27" max="27" width="11.5" style="302" customWidth="1"/>
    <col min="28" max="28" width="10.6640625" style="50" customWidth="1" outlineLevel="1"/>
    <col min="29" max="29" width="21.5" style="50" customWidth="1"/>
    <col min="30" max="30" width="8.6640625" style="50" customWidth="1"/>
    <col min="31" max="16384" width="8.6640625" style="50"/>
  </cols>
  <sheetData>
    <row r="1" spans="1:28" ht="17" customHeight="1" thickBot="1" x14ac:dyDescent="0.25">
      <c r="A1" s="593" t="s">
        <v>0</v>
      </c>
      <c r="B1" s="594"/>
      <c r="C1" s="595"/>
      <c r="D1" s="596"/>
      <c r="E1" s="597"/>
      <c r="F1" s="596"/>
      <c r="G1" s="597"/>
      <c r="H1" s="597"/>
      <c r="I1" s="597"/>
      <c r="J1" s="597"/>
      <c r="K1" s="597"/>
      <c r="L1" s="597"/>
      <c r="M1" s="597"/>
      <c r="N1" s="598"/>
      <c r="O1" s="598"/>
      <c r="P1" s="597"/>
      <c r="Q1" s="597"/>
      <c r="R1" s="597"/>
      <c r="S1" s="282"/>
      <c r="T1" s="43"/>
      <c r="V1" s="43"/>
      <c r="Z1" s="43"/>
      <c r="AA1" s="43"/>
    </row>
    <row r="2" spans="1:28" ht="17" customHeight="1" thickBot="1" x14ac:dyDescent="0.25">
      <c r="A2" s="599" t="s">
        <v>1</v>
      </c>
      <c r="B2" s="600"/>
      <c r="C2" s="600"/>
      <c r="D2" s="600"/>
      <c r="E2" s="600"/>
      <c r="F2" s="600"/>
      <c r="G2" s="600"/>
      <c r="H2" s="600"/>
      <c r="I2" s="600"/>
      <c r="J2" s="600"/>
      <c r="K2" s="600"/>
      <c r="L2" s="600"/>
      <c r="M2" s="600"/>
      <c r="N2" s="600"/>
      <c r="O2" s="600"/>
      <c r="P2" s="600"/>
      <c r="Q2" s="600"/>
      <c r="R2" s="601" t="s">
        <v>2</v>
      </c>
      <c r="S2" s="282"/>
      <c r="T2" s="43"/>
      <c r="Z2" s="43"/>
      <c r="AA2" s="43"/>
    </row>
    <row r="3" spans="1:28" s="100" customFormat="1" ht="52" customHeight="1" thickBot="1" x14ac:dyDescent="0.25">
      <c r="A3" s="97" t="s">
        <v>3</v>
      </c>
      <c r="B3" s="96" t="s">
        <v>4</v>
      </c>
      <c r="C3" s="94" t="s">
        <v>5</v>
      </c>
      <c r="D3" s="96" t="s">
        <v>6</v>
      </c>
      <c r="E3" s="95" t="s">
        <v>7</v>
      </c>
      <c r="F3" s="96" t="s">
        <v>8</v>
      </c>
      <c r="G3" s="95" t="s">
        <v>7</v>
      </c>
      <c r="H3" s="96" t="s">
        <v>9</v>
      </c>
      <c r="I3" s="95" t="s">
        <v>10</v>
      </c>
      <c r="J3" s="94" t="s">
        <v>11</v>
      </c>
      <c r="K3" s="94" t="s">
        <v>12</v>
      </c>
      <c r="L3" s="93" t="s">
        <v>13</v>
      </c>
      <c r="M3" s="93" t="s">
        <v>14</v>
      </c>
      <c r="N3" s="93" t="s">
        <v>15</v>
      </c>
      <c r="O3" s="93" t="s">
        <v>16</v>
      </c>
      <c r="P3" s="92" t="s">
        <v>17</v>
      </c>
      <c r="Q3" s="92" t="s">
        <v>18</v>
      </c>
      <c r="R3" s="602"/>
      <c r="S3" s="283" t="s">
        <v>19</v>
      </c>
      <c r="T3" s="110"/>
      <c r="V3" s="123" t="s">
        <v>20</v>
      </c>
      <c r="Z3" s="283" t="s">
        <v>21</v>
      </c>
      <c r="AA3" s="284" t="s">
        <v>22</v>
      </c>
      <c r="AB3" s="284" t="s">
        <v>23</v>
      </c>
    </row>
    <row r="4" spans="1:28" ht="17" customHeight="1" thickBot="1" x14ac:dyDescent="0.25">
      <c r="A4" s="603" t="s">
        <v>24</v>
      </c>
      <c r="B4" s="604"/>
      <c r="C4" s="604"/>
      <c r="D4" s="604"/>
      <c r="E4" s="604"/>
      <c r="F4" s="604"/>
      <c r="G4" s="604"/>
      <c r="H4" s="604"/>
      <c r="I4" s="604"/>
      <c r="J4" s="604"/>
      <c r="K4" s="604"/>
      <c r="L4" s="604"/>
      <c r="M4" s="604"/>
      <c r="N4" s="604"/>
      <c r="O4" s="604"/>
      <c r="P4" s="604"/>
      <c r="Q4" s="604"/>
      <c r="R4" s="605"/>
      <c r="S4" s="282"/>
      <c r="T4" s="43"/>
      <c r="V4" s="75" t="s">
        <v>25</v>
      </c>
      <c r="Z4" s="43"/>
      <c r="AA4" s="285" t="str">
        <f>IF(Z4="","",Z4*X4)</f>
        <v/>
      </c>
      <c r="AB4" s="43" t="str">
        <f t="shared" ref="AB4:AB19" si="0">IF(V4="yes",AA4,"")</f>
        <v/>
      </c>
    </row>
    <row r="5" spans="1:28" ht="17" customHeight="1" x14ac:dyDescent="0.2">
      <c r="A5" s="32" t="s">
        <v>26</v>
      </c>
      <c r="B5" s="105" t="s">
        <v>27</v>
      </c>
      <c r="C5" s="108"/>
      <c r="D5" s="47" t="s">
        <v>27</v>
      </c>
      <c r="E5" s="46">
        <f t="shared" ref="E5:E18" si="1">LEN(D5)</f>
        <v>5</v>
      </c>
      <c r="F5" s="47" t="s">
        <v>27</v>
      </c>
      <c r="G5" s="46">
        <f t="shared" ref="G5:G18" si="2">LEN(F5)</f>
        <v>5</v>
      </c>
      <c r="H5" s="46" t="s">
        <v>28</v>
      </c>
      <c r="I5" s="46" t="s">
        <v>26</v>
      </c>
      <c r="J5" s="46" t="s">
        <v>26</v>
      </c>
      <c r="K5" s="46" t="s">
        <v>29</v>
      </c>
      <c r="L5" s="45" t="s">
        <v>30</v>
      </c>
      <c r="M5" s="91" t="s">
        <v>26</v>
      </c>
      <c r="N5" s="45"/>
      <c r="O5" s="45"/>
      <c r="P5" s="91" t="s">
        <v>26</v>
      </c>
      <c r="Q5" s="22"/>
      <c r="R5" s="9"/>
      <c r="S5" s="282"/>
      <c r="T5" s="43"/>
      <c r="V5" s="75" t="s">
        <v>25</v>
      </c>
      <c r="Z5" s="286">
        <v>0</v>
      </c>
      <c r="AA5" s="285">
        <f t="shared" ref="AA5:AA19" si="3">IF(Z5="","",Z5*S5)</f>
        <v>0</v>
      </c>
      <c r="AB5" s="43" t="str">
        <f t="shared" si="0"/>
        <v/>
      </c>
    </row>
    <row r="6" spans="1:28" ht="136" customHeight="1" x14ac:dyDescent="0.2">
      <c r="A6" s="14" t="s">
        <v>26</v>
      </c>
      <c r="B6" s="68" t="s">
        <v>31</v>
      </c>
      <c r="C6" s="48" t="s">
        <v>31</v>
      </c>
      <c r="D6" s="63" t="s">
        <v>32</v>
      </c>
      <c r="E6" s="54">
        <f t="shared" si="1"/>
        <v>146</v>
      </c>
      <c r="F6" s="211" t="s">
        <v>33</v>
      </c>
      <c r="G6" s="54">
        <f t="shared" si="2"/>
        <v>153</v>
      </c>
      <c r="H6" s="60" t="s">
        <v>34</v>
      </c>
      <c r="I6" s="54" t="s">
        <v>26</v>
      </c>
      <c r="J6" s="54" t="s">
        <v>26</v>
      </c>
      <c r="K6" s="54" t="s">
        <v>35</v>
      </c>
      <c r="L6" s="53" t="s">
        <v>36</v>
      </c>
      <c r="M6" s="91" t="s">
        <v>26</v>
      </c>
      <c r="N6" s="45"/>
      <c r="O6" s="45"/>
      <c r="P6" s="80" t="s">
        <v>26</v>
      </c>
      <c r="Q6" s="23"/>
      <c r="R6" s="10"/>
      <c r="S6" s="282"/>
      <c r="T6" s="43"/>
      <c r="V6" s="75" t="s">
        <v>25</v>
      </c>
      <c r="Z6" s="286">
        <v>14.69530773162842</v>
      </c>
      <c r="AA6" s="285">
        <f t="shared" si="3"/>
        <v>0</v>
      </c>
      <c r="AB6" s="43" t="str">
        <f t="shared" si="0"/>
        <v/>
      </c>
    </row>
    <row r="7" spans="1:28" ht="34" customHeight="1" x14ac:dyDescent="0.2">
      <c r="A7" s="14" t="s">
        <v>26</v>
      </c>
      <c r="B7" s="68" t="s">
        <v>37</v>
      </c>
      <c r="C7" s="48" t="s">
        <v>38</v>
      </c>
      <c r="D7" s="90" t="s">
        <v>39</v>
      </c>
      <c r="E7" s="54">
        <f t="shared" si="1"/>
        <v>29</v>
      </c>
      <c r="F7" s="212" t="s">
        <v>40</v>
      </c>
      <c r="G7" s="54">
        <f t="shared" si="2"/>
        <v>33</v>
      </c>
      <c r="H7" s="60" t="s">
        <v>26</v>
      </c>
      <c r="I7" s="60" t="s">
        <v>26</v>
      </c>
      <c r="J7" s="60" t="s">
        <v>26</v>
      </c>
      <c r="K7" s="60" t="s">
        <v>26</v>
      </c>
      <c r="L7" s="89" t="s">
        <v>41</v>
      </c>
      <c r="M7" s="91" t="s">
        <v>26</v>
      </c>
      <c r="N7" s="45"/>
      <c r="O7" s="45"/>
      <c r="P7" s="88" t="s">
        <v>26</v>
      </c>
      <c r="Q7" s="24"/>
      <c r="R7" s="11"/>
      <c r="S7" s="282"/>
      <c r="T7" s="43"/>
      <c r="V7" s="75" t="s">
        <v>25</v>
      </c>
      <c r="Z7" s="286">
        <v>0</v>
      </c>
      <c r="AA7" s="285">
        <f t="shared" si="3"/>
        <v>0</v>
      </c>
      <c r="AB7" s="43" t="str">
        <f t="shared" si="0"/>
        <v/>
      </c>
    </row>
    <row r="8" spans="1:28" ht="17" customHeight="1" x14ac:dyDescent="0.2">
      <c r="A8" s="14" t="s">
        <v>26</v>
      </c>
      <c r="B8" s="68" t="s">
        <v>42</v>
      </c>
      <c r="C8" s="48" t="s">
        <v>43</v>
      </c>
      <c r="D8" s="90" t="s">
        <v>44</v>
      </c>
      <c r="E8" s="54">
        <f t="shared" si="1"/>
        <v>31</v>
      </c>
      <c r="F8" s="212" t="s">
        <v>45</v>
      </c>
      <c r="G8" s="54">
        <f t="shared" si="2"/>
        <v>21</v>
      </c>
      <c r="H8" s="60" t="s">
        <v>26</v>
      </c>
      <c r="I8" s="60" t="s">
        <v>26</v>
      </c>
      <c r="J8" s="60" t="s">
        <v>26</v>
      </c>
      <c r="K8" s="60" t="s">
        <v>26</v>
      </c>
      <c r="L8" s="89" t="s">
        <v>46</v>
      </c>
      <c r="M8" s="91" t="s">
        <v>26</v>
      </c>
      <c r="N8" s="45"/>
      <c r="O8" s="45"/>
      <c r="P8" s="88" t="s">
        <v>26</v>
      </c>
      <c r="Q8" s="24"/>
      <c r="R8" s="11"/>
      <c r="S8" s="282"/>
      <c r="T8" s="43"/>
      <c r="V8" s="75" t="s">
        <v>25</v>
      </c>
      <c r="Z8" s="286">
        <v>0</v>
      </c>
      <c r="AA8" s="285">
        <f t="shared" si="3"/>
        <v>0</v>
      </c>
      <c r="AB8" s="43" t="str">
        <f t="shared" si="0"/>
        <v/>
      </c>
    </row>
    <row r="9" spans="1:28" ht="17" customHeight="1" x14ac:dyDescent="0.2">
      <c r="A9" s="14" t="s">
        <v>26</v>
      </c>
      <c r="B9" s="68" t="s">
        <v>47</v>
      </c>
      <c r="C9" s="48" t="s">
        <v>48</v>
      </c>
      <c r="D9" s="90" t="s">
        <v>49</v>
      </c>
      <c r="E9" s="54">
        <f t="shared" si="1"/>
        <v>34</v>
      </c>
      <c r="F9" s="212" t="s">
        <v>50</v>
      </c>
      <c r="G9" s="54">
        <f t="shared" si="2"/>
        <v>35</v>
      </c>
      <c r="H9" s="60" t="s">
        <v>26</v>
      </c>
      <c r="I9" s="60" t="s">
        <v>26</v>
      </c>
      <c r="J9" s="60" t="s">
        <v>26</v>
      </c>
      <c r="K9" s="60" t="s">
        <v>26</v>
      </c>
      <c r="L9" s="89" t="s">
        <v>51</v>
      </c>
      <c r="M9" s="91" t="s">
        <v>26</v>
      </c>
      <c r="N9" s="45"/>
      <c r="O9" s="45"/>
      <c r="P9" s="88" t="s">
        <v>26</v>
      </c>
      <c r="Q9" s="24"/>
      <c r="R9" s="11"/>
      <c r="S9" s="282"/>
      <c r="T9" s="43"/>
      <c r="V9" s="75" t="s">
        <v>25</v>
      </c>
      <c r="Z9" s="286">
        <v>0</v>
      </c>
      <c r="AA9" s="285">
        <f t="shared" si="3"/>
        <v>0</v>
      </c>
      <c r="AB9" s="43" t="str">
        <f t="shared" si="0"/>
        <v/>
      </c>
    </row>
    <row r="10" spans="1:28" ht="17" customHeight="1" x14ac:dyDescent="0.2">
      <c r="A10" s="14" t="s">
        <v>26</v>
      </c>
      <c r="B10" s="68" t="s">
        <v>52</v>
      </c>
      <c r="C10" s="48" t="s">
        <v>53</v>
      </c>
      <c r="D10" s="90" t="s">
        <v>54</v>
      </c>
      <c r="E10" s="54">
        <f t="shared" si="1"/>
        <v>41</v>
      </c>
      <c r="F10" s="212" t="s">
        <v>55</v>
      </c>
      <c r="G10" s="54">
        <f t="shared" si="2"/>
        <v>35</v>
      </c>
      <c r="H10" s="60" t="s">
        <v>26</v>
      </c>
      <c r="I10" s="60" t="s">
        <v>26</v>
      </c>
      <c r="J10" s="60" t="s">
        <v>26</v>
      </c>
      <c r="K10" s="60" t="s">
        <v>26</v>
      </c>
      <c r="L10" s="89" t="s">
        <v>56</v>
      </c>
      <c r="M10" s="91" t="s">
        <v>26</v>
      </c>
      <c r="N10" s="45"/>
      <c r="O10" s="45"/>
      <c r="P10" s="88" t="s">
        <v>26</v>
      </c>
      <c r="Q10" s="24"/>
      <c r="R10" s="11"/>
      <c r="S10" s="282"/>
      <c r="T10" s="43"/>
      <c r="V10" s="75" t="s">
        <v>25</v>
      </c>
      <c r="Z10" s="286">
        <v>0</v>
      </c>
      <c r="AA10" s="285">
        <f t="shared" si="3"/>
        <v>0</v>
      </c>
      <c r="AB10" s="43" t="str">
        <f t="shared" si="0"/>
        <v/>
      </c>
    </row>
    <row r="11" spans="1:28" ht="102" customHeight="1" x14ac:dyDescent="0.2">
      <c r="A11" s="14" t="s">
        <v>26</v>
      </c>
      <c r="B11" s="68" t="s">
        <v>57</v>
      </c>
      <c r="C11" s="48" t="s">
        <v>57</v>
      </c>
      <c r="D11" s="126" t="s">
        <v>58</v>
      </c>
      <c r="E11" s="54">
        <f t="shared" si="1"/>
        <v>124</v>
      </c>
      <c r="F11" s="218" t="s">
        <v>59</v>
      </c>
      <c r="G11" s="54">
        <f t="shared" si="2"/>
        <v>118</v>
      </c>
      <c r="H11" s="60" t="s">
        <v>34</v>
      </c>
      <c r="I11" s="54" t="s">
        <v>26</v>
      </c>
      <c r="J11" s="54" t="s">
        <v>26</v>
      </c>
      <c r="K11" s="54" t="s">
        <v>35</v>
      </c>
      <c r="L11" s="53" t="s">
        <v>60</v>
      </c>
      <c r="M11" s="91" t="s">
        <v>26</v>
      </c>
      <c r="N11" s="279" t="s">
        <v>61</v>
      </c>
      <c r="O11" s="279" t="s">
        <v>62</v>
      </c>
      <c r="P11" s="87" t="s">
        <v>63</v>
      </c>
      <c r="Q11" s="25"/>
      <c r="R11" s="239" t="s">
        <v>8</v>
      </c>
      <c r="S11" s="282"/>
      <c r="T11" s="43"/>
      <c r="V11" s="75" t="s">
        <v>25</v>
      </c>
      <c r="Z11" s="286">
        <v>3.103272438049316</v>
      </c>
      <c r="AA11" s="285">
        <f t="shared" si="3"/>
        <v>0</v>
      </c>
      <c r="AB11" s="43" t="str">
        <f t="shared" si="0"/>
        <v/>
      </c>
    </row>
    <row r="12" spans="1:28" s="281" customFormat="1" ht="388" customHeight="1" x14ac:dyDescent="0.2">
      <c r="A12" s="496">
        <v>1</v>
      </c>
      <c r="B12" s="497" t="s">
        <v>64</v>
      </c>
      <c r="C12" s="498" t="s">
        <v>64</v>
      </c>
      <c r="D12" s="499" t="s">
        <v>65</v>
      </c>
      <c r="E12" s="500">
        <f t="shared" si="1"/>
        <v>1046</v>
      </c>
      <c r="F12" s="254" t="s">
        <v>66</v>
      </c>
      <c r="G12" s="500">
        <f t="shared" si="2"/>
        <v>643</v>
      </c>
      <c r="H12" s="501" t="s">
        <v>34</v>
      </c>
      <c r="I12" s="500" t="s">
        <v>26</v>
      </c>
      <c r="J12" s="500" t="s">
        <v>26</v>
      </c>
      <c r="K12" s="500" t="s">
        <v>35</v>
      </c>
      <c r="L12" s="502" t="s">
        <v>67</v>
      </c>
      <c r="M12" s="503" t="s">
        <v>26</v>
      </c>
      <c r="N12" s="504" t="s">
        <v>68</v>
      </c>
      <c r="O12" s="504" t="s">
        <v>69</v>
      </c>
      <c r="P12" s="505" t="s">
        <v>70</v>
      </c>
      <c r="Q12" s="506"/>
      <c r="R12" s="507" t="s">
        <v>71</v>
      </c>
      <c r="S12" s="508"/>
      <c r="T12" s="509"/>
      <c r="V12" s="510" t="s">
        <v>25</v>
      </c>
      <c r="Z12" s="511">
        <v>37.418449401855469</v>
      </c>
      <c r="AA12" s="512">
        <f t="shared" si="3"/>
        <v>0</v>
      </c>
      <c r="AB12" s="509" t="str">
        <f t="shared" si="0"/>
        <v/>
      </c>
    </row>
    <row r="13" spans="1:28" s="49" customFormat="1" ht="119" customHeight="1" x14ac:dyDescent="0.2">
      <c r="A13" s="14" t="s">
        <v>26</v>
      </c>
      <c r="B13" s="68" t="s">
        <v>72</v>
      </c>
      <c r="C13" s="48" t="s">
        <v>73</v>
      </c>
      <c r="D13" s="63" t="s">
        <v>74</v>
      </c>
      <c r="E13" s="54">
        <f t="shared" si="1"/>
        <v>131</v>
      </c>
      <c r="F13" s="254" t="s">
        <v>75</v>
      </c>
      <c r="G13" s="54">
        <f t="shared" si="2"/>
        <v>119</v>
      </c>
      <c r="H13" s="60" t="s">
        <v>76</v>
      </c>
      <c r="I13" s="54" t="s">
        <v>26</v>
      </c>
      <c r="J13" s="54" t="s">
        <v>26</v>
      </c>
      <c r="K13" s="54" t="s">
        <v>35</v>
      </c>
      <c r="L13" s="53" t="s">
        <v>77</v>
      </c>
      <c r="M13" s="91" t="s">
        <v>26</v>
      </c>
      <c r="N13" s="45"/>
      <c r="O13" s="45"/>
      <c r="P13" s="53" t="s">
        <v>78</v>
      </c>
      <c r="Q13" s="231" t="s">
        <v>79</v>
      </c>
      <c r="R13" s="10"/>
      <c r="S13" s="282">
        <v>1</v>
      </c>
      <c r="T13" s="43"/>
      <c r="V13" s="75" t="s">
        <v>25</v>
      </c>
      <c r="W13" s="50"/>
      <c r="Z13" s="286">
        <v>3.805951595306396</v>
      </c>
      <c r="AA13" s="285">
        <f t="shared" si="3"/>
        <v>3.805951595306396</v>
      </c>
      <c r="AB13" s="43" t="str">
        <f t="shared" si="0"/>
        <v/>
      </c>
    </row>
    <row r="14" spans="1:28" s="49" customFormat="1" ht="119" customHeight="1" x14ac:dyDescent="0.2">
      <c r="A14" s="14" t="s">
        <v>26</v>
      </c>
      <c r="B14" s="68" t="s">
        <v>80</v>
      </c>
      <c r="C14" s="48" t="s">
        <v>80</v>
      </c>
      <c r="D14" s="73" t="s">
        <v>81</v>
      </c>
      <c r="E14" s="54">
        <f t="shared" si="1"/>
        <v>153</v>
      </c>
      <c r="F14" s="213" t="s">
        <v>82</v>
      </c>
      <c r="G14" s="54">
        <f t="shared" si="2"/>
        <v>122</v>
      </c>
      <c r="H14" s="60" t="s">
        <v>83</v>
      </c>
      <c r="I14" s="54" t="s">
        <v>26</v>
      </c>
      <c r="J14" s="54" t="s">
        <v>26</v>
      </c>
      <c r="K14" s="54" t="s">
        <v>84</v>
      </c>
      <c r="L14" s="53" t="s">
        <v>85</v>
      </c>
      <c r="M14" s="91" t="s">
        <v>26</v>
      </c>
      <c r="N14" s="45"/>
      <c r="O14" s="45"/>
      <c r="P14" s="53" t="s">
        <v>86</v>
      </c>
      <c r="Q14" s="26"/>
      <c r="R14" s="10"/>
      <c r="S14" s="282">
        <v>1</v>
      </c>
      <c r="T14" s="43"/>
      <c r="V14" s="51" t="s">
        <v>25</v>
      </c>
      <c r="W14" s="50"/>
      <c r="Z14" s="286">
        <v>0</v>
      </c>
      <c r="AA14" s="285">
        <f t="shared" si="3"/>
        <v>0</v>
      </c>
      <c r="AB14" s="43" t="str">
        <f t="shared" si="0"/>
        <v/>
      </c>
    </row>
    <row r="15" spans="1:28" s="49" customFormat="1" ht="51" customHeight="1" x14ac:dyDescent="0.2">
      <c r="A15" s="14" t="s">
        <v>26</v>
      </c>
      <c r="B15" s="68" t="s">
        <v>87</v>
      </c>
      <c r="C15" s="48" t="s">
        <v>88</v>
      </c>
      <c r="D15" s="63" t="s">
        <v>89</v>
      </c>
      <c r="E15" s="54">
        <f t="shared" si="1"/>
        <v>80</v>
      </c>
      <c r="F15" s="62" t="s">
        <v>90</v>
      </c>
      <c r="G15" s="54">
        <f t="shared" si="2"/>
        <v>89</v>
      </c>
      <c r="H15" s="60" t="s">
        <v>28</v>
      </c>
      <c r="I15" s="54" t="s">
        <v>26</v>
      </c>
      <c r="J15" s="54" t="s">
        <v>26</v>
      </c>
      <c r="K15" s="54" t="s">
        <v>91</v>
      </c>
      <c r="L15" s="53" t="s">
        <v>92</v>
      </c>
      <c r="M15" s="91" t="s">
        <v>26</v>
      </c>
      <c r="N15" s="45"/>
      <c r="O15" s="45"/>
      <c r="P15" s="53" t="s">
        <v>93</v>
      </c>
      <c r="Q15" s="26"/>
      <c r="R15" s="10"/>
      <c r="S15" s="282">
        <v>1</v>
      </c>
      <c r="T15" s="43"/>
      <c r="V15" s="51" t="s">
        <v>25</v>
      </c>
      <c r="W15" s="50"/>
      <c r="Z15" s="286">
        <v>0</v>
      </c>
      <c r="AA15" s="285">
        <f t="shared" si="3"/>
        <v>0</v>
      </c>
      <c r="AB15" s="43" t="str">
        <f t="shared" si="0"/>
        <v/>
      </c>
    </row>
    <row r="16" spans="1:28" s="49" customFormat="1" ht="85" customHeight="1" x14ac:dyDescent="0.2">
      <c r="A16" s="14" t="s">
        <v>26</v>
      </c>
      <c r="B16" s="68" t="s">
        <v>94</v>
      </c>
      <c r="C16" s="48" t="s">
        <v>95</v>
      </c>
      <c r="D16" s="63" t="s">
        <v>96</v>
      </c>
      <c r="E16" s="54">
        <f t="shared" si="1"/>
        <v>176</v>
      </c>
      <c r="F16" s="211" t="s">
        <v>97</v>
      </c>
      <c r="G16" s="54">
        <f t="shared" si="2"/>
        <v>164</v>
      </c>
      <c r="H16" s="60" t="s">
        <v>28</v>
      </c>
      <c r="I16" s="54" t="s">
        <v>26</v>
      </c>
      <c r="J16" s="54" t="s">
        <v>26</v>
      </c>
      <c r="K16" s="54" t="s">
        <v>29</v>
      </c>
      <c r="L16" s="53" t="s">
        <v>98</v>
      </c>
      <c r="M16" s="91" t="s">
        <v>26</v>
      </c>
      <c r="N16" s="45"/>
      <c r="O16" s="45"/>
      <c r="P16" s="80" t="s">
        <v>26</v>
      </c>
      <c r="Q16" s="23"/>
      <c r="R16" s="10"/>
      <c r="S16" s="282">
        <v>1</v>
      </c>
      <c r="T16" s="43"/>
      <c r="V16" s="51" t="s">
        <v>25</v>
      </c>
      <c r="W16" s="50"/>
      <c r="Z16" s="286">
        <v>0</v>
      </c>
      <c r="AA16" s="285">
        <f t="shared" si="3"/>
        <v>0</v>
      </c>
      <c r="AB16" s="43" t="str">
        <f t="shared" si="0"/>
        <v/>
      </c>
    </row>
    <row r="17" spans="1:28" s="49" customFormat="1" ht="34" customHeight="1" x14ac:dyDescent="0.2">
      <c r="A17" s="14" t="s">
        <v>26</v>
      </c>
      <c r="B17" s="68" t="s">
        <v>99</v>
      </c>
      <c r="C17" s="48" t="s">
        <v>26</v>
      </c>
      <c r="D17" s="63" t="s">
        <v>100</v>
      </c>
      <c r="E17" s="54">
        <f t="shared" si="1"/>
        <v>99</v>
      </c>
      <c r="F17" s="211" t="s">
        <v>101</v>
      </c>
      <c r="G17" s="54">
        <f t="shared" si="2"/>
        <v>89</v>
      </c>
      <c r="H17" s="60" t="s">
        <v>26</v>
      </c>
      <c r="I17" s="54" t="s">
        <v>26</v>
      </c>
      <c r="J17" s="54" t="s">
        <v>26</v>
      </c>
      <c r="K17" s="54" t="s">
        <v>26</v>
      </c>
      <c r="L17" s="53" t="s">
        <v>102</v>
      </c>
      <c r="M17" s="91" t="s">
        <v>26</v>
      </c>
      <c r="N17" s="45"/>
      <c r="O17" s="45"/>
      <c r="P17" s="80" t="s">
        <v>26</v>
      </c>
      <c r="Q17" s="23"/>
      <c r="R17" s="10"/>
      <c r="S17" s="282">
        <v>1</v>
      </c>
      <c r="T17" s="43"/>
      <c r="V17" s="51" t="s">
        <v>25</v>
      </c>
      <c r="W17" s="50"/>
      <c r="Z17" s="286">
        <v>0</v>
      </c>
      <c r="AA17" s="285">
        <f t="shared" si="3"/>
        <v>0</v>
      </c>
      <c r="AB17" s="43" t="str">
        <f t="shared" si="0"/>
        <v/>
      </c>
    </row>
    <row r="18" spans="1:28" s="49" customFormat="1" ht="18" customHeight="1" thickBot="1" x14ac:dyDescent="0.25">
      <c r="A18" s="122" t="s">
        <v>26</v>
      </c>
      <c r="B18" s="86" t="s">
        <v>103</v>
      </c>
      <c r="C18" s="85" t="s">
        <v>104</v>
      </c>
      <c r="D18" s="84" t="s">
        <v>105</v>
      </c>
      <c r="E18" s="82">
        <f t="shared" si="1"/>
        <v>65</v>
      </c>
      <c r="F18" s="214" t="s">
        <v>106</v>
      </c>
      <c r="G18" s="82">
        <f t="shared" si="2"/>
        <v>54</v>
      </c>
      <c r="H18" s="83" t="s">
        <v>26</v>
      </c>
      <c r="I18" s="82" t="s">
        <v>26</v>
      </c>
      <c r="J18" s="82" t="s">
        <v>26</v>
      </c>
      <c r="K18" s="82" t="s">
        <v>26</v>
      </c>
      <c r="L18" s="81" t="s">
        <v>107</v>
      </c>
      <c r="M18" s="91" t="s">
        <v>26</v>
      </c>
      <c r="N18" s="45"/>
      <c r="O18" s="45"/>
      <c r="P18" s="80" t="s">
        <v>26</v>
      </c>
      <c r="Q18" s="27"/>
      <c r="R18" s="12"/>
      <c r="S18" s="282">
        <v>1</v>
      </c>
      <c r="T18" s="43"/>
      <c r="V18" s="51" t="s">
        <v>25</v>
      </c>
      <c r="W18" s="50"/>
      <c r="Z18" s="286">
        <v>0</v>
      </c>
      <c r="AA18" s="285">
        <f t="shared" si="3"/>
        <v>0</v>
      </c>
      <c r="AB18" s="43" t="str">
        <f t="shared" si="0"/>
        <v/>
      </c>
    </row>
    <row r="19" spans="1:28" s="127" customFormat="1" x14ac:dyDescent="0.2">
      <c r="A19" s="606" t="s">
        <v>108</v>
      </c>
      <c r="B19" s="607"/>
      <c r="C19" s="607"/>
      <c r="D19" s="607"/>
      <c r="E19" s="607"/>
      <c r="F19" s="607"/>
      <c r="G19" s="607"/>
      <c r="H19" s="607"/>
      <c r="I19" s="607"/>
      <c r="J19" s="607"/>
      <c r="K19" s="607"/>
      <c r="L19" s="607"/>
      <c r="M19" s="607"/>
      <c r="N19" s="607"/>
      <c r="O19" s="607"/>
      <c r="P19" s="607"/>
      <c r="Q19" s="607"/>
      <c r="R19" s="608"/>
      <c r="S19" s="287"/>
      <c r="T19" s="129"/>
      <c r="V19" s="128"/>
      <c r="W19" s="130"/>
      <c r="Z19" s="285"/>
      <c r="AA19" s="285" t="str">
        <f t="shared" si="3"/>
        <v/>
      </c>
      <c r="AB19" s="129" t="str">
        <f t="shared" si="0"/>
        <v/>
      </c>
    </row>
    <row r="20" spans="1:28" s="517" customFormat="1" ht="142.5" customHeight="1" x14ac:dyDescent="0.2">
      <c r="A20" s="513">
        <v>2</v>
      </c>
      <c r="B20" s="513" t="s">
        <v>109</v>
      </c>
      <c r="C20" s="513" t="s">
        <v>109</v>
      </c>
      <c r="D20" s="514" t="s">
        <v>110</v>
      </c>
      <c r="E20" s="513">
        <f t="shared" ref="E20:E39" si="4">LEN(D20)</f>
        <v>184</v>
      </c>
      <c r="F20" s="254" t="s">
        <v>111</v>
      </c>
      <c r="G20" s="513">
        <f t="shared" ref="G20:G39" si="5">LEN(F20)</f>
        <v>192</v>
      </c>
      <c r="H20" s="501" t="s">
        <v>34</v>
      </c>
      <c r="I20" s="513" t="s">
        <v>26</v>
      </c>
      <c r="J20" s="513" t="s">
        <v>26</v>
      </c>
      <c r="K20" s="500" t="s">
        <v>35</v>
      </c>
      <c r="L20" s="514" t="s">
        <v>112</v>
      </c>
      <c r="M20" s="513" t="s">
        <v>26</v>
      </c>
      <c r="N20" s="514" t="s">
        <v>113</v>
      </c>
      <c r="O20" s="513"/>
      <c r="P20" s="513"/>
      <c r="Q20" s="513"/>
      <c r="R20" s="513"/>
      <c r="S20" s="515"/>
      <c r="T20" s="516"/>
      <c r="V20" s="532"/>
      <c r="W20" s="518"/>
      <c r="Z20" s="519"/>
      <c r="AA20" s="519"/>
      <c r="AB20" s="516"/>
    </row>
    <row r="21" spans="1:28" s="528" customFormat="1" ht="182.25" customHeight="1" x14ac:dyDescent="0.2">
      <c r="A21" s="520">
        <v>3</v>
      </c>
      <c r="B21" s="521" t="s">
        <v>114</v>
      </c>
      <c r="C21" s="521" t="s">
        <v>114</v>
      </c>
      <c r="D21" s="522" t="s">
        <v>115</v>
      </c>
      <c r="E21" s="521">
        <f t="shared" si="4"/>
        <v>334</v>
      </c>
      <c r="F21" s="254" t="s">
        <v>116</v>
      </c>
      <c r="G21" s="521">
        <f t="shared" si="5"/>
        <v>298</v>
      </c>
      <c r="H21" s="501" t="s">
        <v>34</v>
      </c>
      <c r="I21" s="513" t="s">
        <v>26</v>
      </c>
      <c r="J21" s="513" t="s">
        <v>26</v>
      </c>
      <c r="K21" s="500" t="s">
        <v>35</v>
      </c>
      <c r="L21" s="523" t="s">
        <v>117</v>
      </c>
      <c r="M21" s="513" t="s">
        <v>26</v>
      </c>
      <c r="N21" s="524"/>
      <c r="O21" s="524"/>
      <c r="P21" s="524"/>
      <c r="Q21" s="524"/>
      <c r="R21" s="525"/>
      <c r="S21" s="526"/>
      <c r="T21" s="527"/>
      <c r="V21" s="533"/>
      <c r="W21" s="530"/>
      <c r="Z21" s="512"/>
      <c r="AA21" s="512"/>
      <c r="AB21" s="527"/>
    </row>
    <row r="22" spans="1:28" s="127" customFormat="1" ht="205.5" customHeight="1" x14ac:dyDescent="0.2">
      <c r="A22" s="339">
        <v>4</v>
      </c>
      <c r="B22" s="78" t="s">
        <v>118</v>
      </c>
      <c r="C22" s="78" t="s">
        <v>118</v>
      </c>
      <c r="D22" s="489" t="s">
        <v>119</v>
      </c>
      <c r="E22" s="78">
        <f t="shared" si="4"/>
        <v>396</v>
      </c>
      <c r="F22" s="490" t="s">
        <v>120</v>
      </c>
      <c r="G22" s="78">
        <f t="shared" si="5"/>
        <v>298</v>
      </c>
      <c r="H22" s="60" t="s">
        <v>34</v>
      </c>
      <c r="I22" s="338" t="s">
        <v>26</v>
      </c>
      <c r="J22" s="338" t="s">
        <v>26</v>
      </c>
      <c r="K22" s="54" t="s">
        <v>35</v>
      </c>
      <c r="L22" s="64" t="s">
        <v>117</v>
      </c>
      <c r="M22" s="338" t="s">
        <v>26</v>
      </c>
      <c r="N22" s="340"/>
      <c r="O22" s="340"/>
      <c r="P22" s="340"/>
      <c r="Q22" s="340"/>
      <c r="R22" s="341"/>
      <c r="S22" s="287"/>
      <c r="T22" s="129"/>
      <c r="V22" s="128"/>
      <c r="W22" s="130"/>
      <c r="Z22" s="285"/>
      <c r="AA22" s="285"/>
      <c r="AB22" s="129"/>
    </row>
    <row r="23" spans="1:28" s="49" customFormat="1" ht="85" customHeight="1" x14ac:dyDescent="0.2">
      <c r="A23" s="32">
        <v>5</v>
      </c>
      <c r="B23" s="109" t="s">
        <v>121</v>
      </c>
      <c r="C23" s="79" t="s">
        <v>121</v>
      </c>
      <c r="D23" s="47" t="s">
        <v>122</v>
      </c>
      <c r="E23" s="78">
        <f t="shared" si="4"/>
        <v>177</v>
      </c>
      <c r="F23" s="215" t="s">
        <v>123</v>
      </c>
      <c r="G23" s="78">
        <f t="shared" si="5"/>
        <v>135</v>
      </c>
      <c r="H23" s="78" t="s">
        <v>124</v>
      </c>
      <c r="I23" s="78" t="s">
        <v>26</v>
      </c>
      <c r="J23" s="78" t="s">
        <v>26</v>
      </c>
      <c r="K23" s="78" t="s">
        <v>29</v>
      </c>
      <c r="L23" s="45" t="s">
        <v>125</v>
      </c>
      <c r="M23" s="91" t="s">
        <v>26</v>
      </c>
      <c r="N23" s="45"/>
      <c r="O23" s="45"/>
      <c r="P23" s="77" t="s">
        <v>126</v>
      </c>
      <c r="Q23" s="76"/>
      <c r="R23" s="19"/>
      <c r="S23" s="287">
        <f>1</f>
        <v>1</v>
      </c>
      <c r="T23" s="43"/>
      <c r="V23" s="132" t="s">
        <v>127</v>
      </c>
      <c r="W23" s="50"/>
      <c r="Z23" s="285">
        <v>9.8907184600830078</v>
      </c>
      <c r="AA23" s="285">
        <f t="shared" ref="AA23:AA36" si="6">IF(Z23="","",Z23*S23)</f>
        <v>9.8907184600830078</v>
      </c>
      <c r="AB23" s="43">
        <f t="shared" ref="AB23:AB36" si="7">IF(V23="yes",AA23,"")</f>
        <v>9.8907184600830078</v>
      </c>
    </row>
    <row r="24" spans="1:28" s="49" customFormat="1" ht="153" customHeight="1" x14ac:dyDescent="0.2">
      <c r="A24" s="32">
        <f>A23+1</f>
        <v>6</v>
      </c>
      <c r="B24" s="68" t="s">
        <v>128</v>
      </c>
      <c r="C24" s="48" t="s">
        <v>128</v>
      </c>
      <c r="D24" s="63" t="s">
        <v>129</v>
      </c>
      <c r="E24" s="54">
        <f t="shared" si="4"/>
        <v>168</v>
      </c>
      <c r="F24" s="211" t="s">
        <v>130</v>
      </c>
      <c r="G24" s="54">
        <f t="shared" si="5"/>
        <v>127</v>
      </c>
      <c r="H24" s="60" t="s">
        <v>34</v>
      </c>
      <c r="I24" s="54" t="s">
        <v>26</v>
      </c>
      <c r="J24" s="54" t="s">
        <v>26</v>
      </c>
      <c r="K24" s="54" t="s">
        <v>35</v>
      </c>
      <c r="L24" s="53" t="s">
        <v>131</v>
      </c>
      <c r="M24" s="91" t="s">
        <v>26</v>
      </c>
      <c r="N24" s="45"/>
      <c r="O24" s="45"/>
      <c r="P24" s="45" t="s">
        <v>132</v>
      </c>
      <c r="Q24" s="233" t="s">
        <v>133</v>
      </c>
      <c r="R24" s="10"/>
      <c r="S24" s="287">
        <f>1</f>
        <v>1</v>
      </c>
      <c r="T24" s="43"/>
      <c r="V24" s="132" t="s">
        <v>127</v>
      </c>
      <c r="W24" s="50"/>
      <c r="Z24" s="285">
        <v>1.7156481742858889</v>
      </c>
      <c r="AA24" s="285">
        <f t="shared" si="6"/>
        <v>1.7156481742858889</v>
      </c>
      <c r="AB24" s="43">
        <f t="shared" si="7"/>
        <v>1.7156481742858889</v>
      </c>
    </row>
    <row r="25" spans="1:28" s="49" customFormat="1" ht="340" customHeight="1" x14ac:dyDescent="0.2">
      <c r="A25" s="32">
        <v>7</v>
      </c>
      <c r="B25" s="105" t="s">
        <v>134</v>
      </c>
      <c r="C25" s="48" t="s">
        <v>134</v>
      </c>
      <c r="D25" s="47" t="s">
        <v>135</v>
      </c>
      <c r="E25" s="46">
        <f t="shared" si="4"/>
        <v>338</v>
      </c>
      <c r="F25" s="215" t="s">
        <v>136</v>
      </c>
      <c r="G25" s="46">
        <f t="shared" si="5"/>
        <v>291</v>
      </c>
      <c r="H25" s="56" t="s">
        <v>34</v>
      </c>
      <c r="I25" s="46" t="s">
        <v>26</v>
      </c>
      <c r="J25" s="46" t="s">
        <v>26</v>
      </c>
      <c r="K25" s="46" t="s">
        <v>137</v>
      </c>
      <c r="L25" s="45" t="s">
        <v>138</v>
      </c>
      <c r="M25" s="91" t="s">
        <v>26</v>
      </c>
      <c r="N25" s="343" t="s">
        <v>139</v>
      </c>
      <c r="O25" s="342"/>
      <c r="P25" s="612" t="s">
        <v>140</v>
      </c>
      <c r="Q25" s="111"/>
      <c r="R25" s="10"/>
      <c r="S25" s="287">
        <f>1</f>
        <v>1</v>
      </c>
      <c r="T25" s="43"/>
      <c r="V25" s="132" t="s">
        <v>127</v>
      </c>
      <c r="W25" s="50"/>
      <c r="Z25" s="285">
        <v>13.957258919109851</v>
      </c>
      <c r="AA25" s="285">
        <f t="shared" si="6"/>
        <v>13.957258919109851</v>
      </c>
      <c r="AB25" s="43">
        <f t="shared" si="7"/>
        <v>13.957258919109851</v>
      </c>
    </row>
    <row r="26" spans="1:28" s="540" customFormat="1" ht="409.5" customHeight="1" x14ac:dyDescent="0.2">
      <c r="A26" s="534">
        <f t="shared" ref="A26:A35" si="8">A25+1</f>
        <v>8</v>
      </c>
      <c r="B26" s="497" t="s">
        <v>141</v>
      </c>
      <c r="C26" s="498" t="s">
        <v>141</v>
      </c>
      <c r="D26" s="535" t="s">
        <v>142</v>
      </c>
      <c r="E26" s="500">
        <f t="shared" si="4"/>
        <v>1578</v>
      </c>
      <c r="F26" s="536" t="s">
        <v>143</v>
      </c>
      <c r="G26" s="500">
        <f t="shared" si="5"/>
        <v>1269</v>
      </c>
      <c r="H26" s="501" t="s">
        <v>34</v>
      </c>
      <c r="I26" s="500" t="s">
        <v>26</v>
      </c>
      <c r="J26" s="500" t="s">
        <v>26</v>
      </c>
      <c r="K26" s="500" t="s">
        <v>144</v>
      </c>
      <c r="L26" s="502" t="s">
        <v>145</v>
      </c>
      <c r="M26" s="503" t="s">
        <v>26</v>
      </c>
      <c r="N26" s="504" t="s">
        <v>146</v>
      </c>
      <c r="O26" s="537" t="s">
        <v>147</v>
      </c>
      <c r="P26" s="613"/>
      <c r="Q26" s="538"/>
      <c r="R26" s="539"/>
      <c r="S26" s="526">
        <f>1</f>
        <v>1</v>
      </c>
      <c r="T26" s="509"/>
      <c r="V26" s="531" t="s">
        <v>127</v>
      </c>
      <c r="W26" s="281"/>
      <c r="Z26" s="512">
        <v>7.9549989700317383</v>
      </c>
      <c r="AA26" s="512">
        <f t="shared" si="6"/>
        <v>7.9549989700317383</v>
      </c>
      <c r="AB26" s="509">
        <f t="shared" si="7"/>
        <v>7.9549989700317383</v>
      </c>
    </row>
    <row r="27" spans="1:28" s="540" customFormat="1" ht="409.5" customHeight="1" x14ac:dyDescent="0.2">
      <c r="A27" s="534">
        <f t="shared" si="8"/>
        <v>9</v>
      </c>
      <c r="B27" s="497" t="s">
        <v>148</v>
      </c>
      <c r="C27" s="498" t="s">
        <v>148</v>
      </c>
      <c r="D27" s="535" t="s">
        <v>149</v>
      </c>
      <c r="E27" s="500">
        <f t="shared" si="4"/>
        <v>963</v>
      </c>
      <c r="F27" s="536" t="s">
        <v>150</v>
      </c>
      <c r="G27" s="500">
        <f t="shared" si="5"/>
        <v>803</v>
      </c>
      <c r="H27" s="501" t="s">
        <v>34</v>
      </c>
      <c r="I27" s="500" t="s">
        <v>26</v>
      </c>
      <c r="J27" s="500" t="s">
        <v>26</v>
      </c>
      <c r="K27" s="500" t="s">
        <v>144</v>
      </c>
      <c r="L27" s="502" t="s">
        <v>151</v>
      </c>
      <c r="M27" s="503" t="s">
        <v>26</v>
      </c>
      <c r="N27" s="541"/>
      <c r="O27" s="537" t="s">
        <v>147</v>
      </c>
      <c r="P27" s="613"/>
      <c r="Q27" s="538"/>
      <c r="R27" s="539"/>
      <c r="S27" s="526">
        <f>1</f>
        <v>1</v>
      </c>
      <c r="T27" s="509"/>
      <c r="V27" s="531" t="s">
        <v>127</v>
      </c>
      <c r="W27" s="281"/>
      <c r="Z27" s="512">
        <v>7.9549989700317383</v>
      </c>
      <c r="AA27" s="512">
        <f t="shared" si="6"/>
        <v>7.9549989700317383</v>
      </c>
      <c r="AB27" s="509">
        <f t="shared" si="7"/>
        <v>7.9549989700317383</v>
      </c>
    </row>
    <row r="28" spans="1:28" s="540" customFormat="1" ht="409.5" customHeight="1" x14ac:dyDescent="0.2">
      <c r="A28" s="534">
        <f t="shared" si="8"/>
        <v>10</v>
      </c>
      <c r="B28" s="497" t="s">
        <v>152</v>
      </c>
      <c r="C28" s="498" t="s">
        <v>152</v>
      </c>
      <c r="D28" s="535" t="s">
        <v>153</v>
      </c>
      <c r="E28" s="500">
        <f t="shared" si="4"/>
        <v>1189</v>
      </c>
      <c r="F28" s="536" t="s">
        <v>154</v>
      </c>
      <c r="G28" s="500">
        <f t="shared" si="5"/>
        <v>984</v>
      </c>
      <c r="H28" s="501" t="s">
        <v>34</v>
      </c>
      <c r="I28" s="500" t="s">
        <v>26</v>
      </c>
      <c r="J28" s="500" t="s">
        <v>26</v>
      </c>
      <c r="K28" s="500" t="s">
        <v>144</v>
      </c>
      <c r="L28" s="502" t="s">
        <v>155</v>
      </c>
      <c r="M28" s="503" t="s">
        <v>26</v>
      </c>
      <c r="N28" s="541"/>
      <c r="O28" s="537" t="s">
        <v>147</v>
      </c>
      <c r="P28" s="613"/>
      <c r="Q28" s="538"/>
      <c r="R28" s="539"/>
      <c r="S28" s="526">
        <f>1</f>
        <v>1</v>
      </c>
      <c r="T28" s="509"/>
      <c r="V28" s="531" t="s">
        <v>127</v>
      </c>
      <c r="W28" s="281"/>
      <c r="Z28" s="512">
        <v>7.9549989700317383</v>
      </c>
      <c r="AA28" s="512">
        <f t="shared" si="6"/>
        <v>7.9549989700317383</v>
      </c>
      <c r="AB28" s="509">
        <f t="shared" si="7"/>
        <v>7.9549989700317383</v>
      </c>
    </row>
    <row r="29" spans="1:28" s="540" customFormat="1" ht="409.5" customHeight="1" x14ac:dyDescent="0.2">
      <c r="A29" s="534">
        <f t="shared" si="8"/>
        <v>11</v>
      </c>
      <c r="B29" s="497" t="s">
        <v>156</v>
      </c>
      <c r="C29" s="498" t="s">
        <v>156</v>
      </c>
      <c r="D29" s="535" t="s">
        <v>157</v>
      </c>
      <c r="E29" s="500">
        <f t="shared" si="4"/>
        <v>367</v>
      </c>
      <c r="F29" s="536" t="s">
        <v>158</v>
      </c>
      <c r="G29" s="500">
        <f t="shared" si="5"/>
        <v>315</v>
      </c>
      <c r="H29" s="501" t="s">
        <v>34</v>
      </c>
      <c r="I29" s="500" t="s">
        <v>26</v>
      </c>
      <c r="J29" s="500" t="s">
        <v>26</v>
      </c>
      <c r="K29" s="500" t="s">
        <v>144</v>
      </c>
      <c r="L29" s="502" t="s">
        <v>159</v>
      </c>
      <c r="M29" s="503" t="s">
        <v>26</v>
      </c>
      <c r="N29" s="541"/>
      <c r="O29" s="537" t="s">
        <v>147</v>
      </c>
      <c r="P29" s="613"/>
      <c r="Q29" s="538"/>
      <c r="R29" s="539"/>
      <c r="S29" s="526">
        <f>1</f>
        <v>1</v>
      </c>
      <c r="T29" s="509"/>
      <c r="V29" s="531" t="s">
        <v>127</v>
      </c>
      <c r="W29" s="281"/>
      <c r="Z29" s="512">
        <v>7.9549989700317383</v>
      </c>
      <c r="AA29" s="512">
        <f t="shared" si="6"/>
        <v>7.9549989700317383</v>
      </c>
      <c r="AB29" s="509">
        <f t="shared" si="7"/>
        <v>7.9549989700317383</v>
      </c>
    </row>
    <row r="30" spans="1:28" s="540" customFormat="1" ht="409.5" customHeight="1" x14ac:dyDescent="0.2">
      <c r="A30" s="534">
        <f t="shared" si="8"/>
        <v>12</v>
      </c>
      <c r="B30" s="497" t="s">
        <v>160</v>
      </c>
      <c r="C30" s="498" t="s">
        <v>160</v>
      </c>
      <c r="D30" s="535" t="s">
        <v>161</v>
      </c>
      <c r="E30" s="500">
        <f t="shared" si="4"/>
        <v>795</v>
      </c>
      <c r="F30" s="536" t="s">
        <v>162</v>
      </c>
      <c r="G30" s="500">
        <f t="shared" si="5"/>
        <v>632</v>
      </c>
      <c r="H30" s="501" t="s">
        <v>34</v>
      </c>
      <c r="I30" s="500" t="s">
        <v>26</v>
      </c>
      <c r="J30" s="500" t="s">
        <v>26</v>
      </c>
      <c r="K30" s="500" t="s">
        <v>144</v>
      </c>
      <c r="L30" s="502" t="s">
        <v>163</v>
      </c>
      <c r="M30" s="503" t="s">
        <v>26</v>
      </c>
      <c r="N30" s="541"/>
      <c r="O30" s="537" t="s">
        <v>147</v>
      </c>
      <c r="P30" s="613"/>
      <c r="Q30" s="538"/>
      <c r="R30" s="539"/>
      <c r="S30" s="526">
        <f>1</f>
        <v>1</v>
      </c>
      <c r="T30" s="509"/>
      <c r="V30" s="531" t="s">
        <v>127</v>
      </c>
      <c r="W30" s="281"/>
      <c r="Z30" s="512">
        <v>7.9549989700317383</v>
      </c>
      <c r="AA30" s="512">
        <f t="shared" si="6"/>
        <v>7.9549989700317383</v>
      </c>
      <c r="AB30" s="509">
        <f t="shared" si="7"/>
        <v>7.9549989700317383</v>
      </c>
    </row>
    <row r="31" spans="1:28" s="540" customFormat="1" ht="409.5" customHeight="1" x14ac:dyDescent="0.2">
      <c r="A31" s="534">
        <f t="shared" si="8"/>
        <v>13</v>
      </c>
      <c r="B31" s="497" t="s">
        <v>164</v>
      </c>
      <c r="C31" s="498" t="s">
        <v>164</v>
      </c>
      <c r="D31" s="535" t="s">
        <v>165</v>
      </c>
      <c r="E31" s="500">
        <f t="shared" si="4"/>
        <v>1256</v>
      </c>
      <c r="F31" s="536" t="s">
        <v>166</v>
      </c>
      <c r="G31" s="500">
        <f t="shared" si="5"/>
        <v>1030</v>
      </c>
      <c r="H31" s="501" t="s">
        <v>34</v>
      </c>
      <c r="I31" s="500" t="s">
        <v>26</v>
      </c>
      <c r="J31" s="500" t="s">
        <v>26</v>
      </c>
      <c r="K31" s="500" t="s">
        <v>144</v>
      </c>
      <c r="L31" s="502" t="s">
        <v>167</v>
      </c>
      <c r="M31" s="503" t="s">
        <v>26</v>
      </c>
      <c r="N31" s="541"/>
      <c r="O31" s="537" t="s">
        <v>147</v>
      </c>
      <c r="P31" s="614"/>
      <c r="Q31" s="538"/>
      <c r="R31" s="539"/>
      <c r="S31" s="526">
        <f>1</f>
        <v>1</v>
      </c>
      <c r="T31" s="509"/>
      <c r="V31" s="531" t="s">
        <v>127</v>
      </c>
      <c r="W31" s="281"/>
      <c r="Z31" s="512">
        <v>7.9549989700317383</v>
      </c>
      <c r="AA31" s="512">
        <f t="shared" si="6"/>
        <v>7.9549989700317383</v>
      </c>
      <c r="AB31" s="509">
        <f t="shared" si="7"/>
        <v>7.9549989700317383</v>
      </c>
    </row>
    <row r="32" spans="1:28" s="540" customFormat="1" ht="356" customHeight="1" x14ac:dyDescent="0.2">
      <c r="A32" s="534">
        <f t="shared" si="8"/>
        <v>14</v>
      </c>
      <c r="B32" s="497" t="s">
        <v>168</v>
      </c>
      <c r="C32" s="498" t="s">
        <v>168</v>
      </c>
      <c r="D32" s="535" t="s">
        <v>169</v>
      </c>
      <c r="E32" s="500">
        <f t="shared" si="4"/>
        <v>358</v>
      </c>
      <c r="F32" s="536" t="s">
        <v>170</v>
      </c>
      <c r="G32" s="500">
        <f t="shared" si="5"/>
        <v>288</v>
      </c>
      <c r="H32" s="501" t="s">
        <v>34</v>
      </c>
      <c r="I32" s="500" t="s">
        <v>26</v>
      </c>
      <c r="J32" s="500" t="s">
        <v>26</v>
      </c>
      <c r="K32" s="500" t="s">
        <v>144</v>
      </c>
      <c r="L32" s="502" t="s">
        <v>171</v>
      </c>
      <c r="M32" s="503" t="s">
        <v>26</v>
      </c>
      <c r="N32" s="541"/>
      <c r="O32" s="537" t="s">
        <v>147</v>
      </c>
      <c r="P32" s="542"/>
      <c r="Q32" s="538"/>
      <c r="R32" s="539"/>
      <c r="S32" s="526">
        <f>1</f>
        <v>1</v>
      </c>
      <c r="T32" s="509"/>
      <c r="V32" s="531" t="s">
        <v>127</v>
      </c>
      <c r="W32" s="281"/>
      <c r="Z32" s="512">
        <v>7.9549989700317383</v>
      </c>
      <c r="AA32" s="512">
        <f t="shared" si="6"/>
        <v>7.9549989700317383</v>
      </c>
      <c r="AB32" s="509">
        <f t="shared" si="7"/>
        <v>7.9549989700317383</v>
      </c>
    </row>
    <row r="33" spans="1:29" s="540" customFormat="1" ht="409.5" customHeight="1" x14ac:dyDescent="0.2">
      <c r="A33" s="534">
        <f t="shared" si="8"/>
        <v>15</v>
      </c>
      <c r="B33" s="497" t="s">
        <v>172</v>
      </c>
      <c r="C33" s="498" t="s">
        <v>172</v>
      </c>
      <c r="D33" s="535" t="s">
        <v>173</v>
      </c>
      <c r="E33" s="500">
        <f t="shared" si="4"/>
        <v>827</v>
      </c>
      <c r="F33" s="536" t="s">
        <v>174</v>
      </c>
      <c r="G33" s="500">
        <f t="shared" si="5"/>
        <v>668</v>
      </c>
      <c r="H33" s="501" t="s">
        <v>34</v>
      </c>
      <c r="I33" s="500" t="s">
        <v>26</v>
      </c>
      <c r="J33" s="500" t="s">
        <v>26</v>
      </c>
      <c r="K33" s="500" t="s">
        <v>144</v>
      </c>
      <c r="L33" s="502" t="s">
        <v>175</v>
      </c>
      <c r="M33" s="503" t="s">
        <v>26</v>
      </c>
      <c r="N33" s="541"/>
      <c r="O33" s="537" t="s">
        <v>147</v>
      </c>
      <c r="P33" s="542"/>
      <c r="Q33" s="538"/>
      <c r="R33" s="539"/>
      <c r="S33" s="526">
        <f>1</f>
        <v>1</v>
      </c>
      <c r="T33" s="509"/>
      <c r="V33" s="531" t="s">
        <v>127</v>
      </c>
      <c r="W33" s="281"/>
      <c r="Z33" s="512">
        <v>7.9549989700317383</v>
      </c>
      <c r="AA33" s="512">
        <f t="shared" si="6"/>
        <v>7.9549989700317383</v>
      </c>
      <c r="AB33" s="509">
        <f t="shared" si="7"/>
        <v>7.9549989700317383</v>
      </c>
    </row>
    <row r="34" spans="1:29" s="540" customFormat="1" ht="409.5" customHeight="1" x14ac:dyDescent="0.2">
      <c r="A34" s="534">
        <f t="shared" si="8"/>
        <v>16</v>
      </c>
      <c r="B34" s="497" t="s">
        <v>176</v>
      </c>
      <c r="C34" s="498" t="s">
        <v>176</v>
      </c>
      <c r="D34" s="535" t="s">
        <v>177</v>
      </c>
      <c r="E34" s="500">
        <f t="shared" si="4"/>
        <v>638</v>
      </c>
      <c r="F34" s="536" t="s">
        <v>178</v>
      </c>
      <c r="G34" s="500">
        <f t="shared" si="5"/>
        <v>529</v>
      </c>
      <c r="H34" s="501" t="s">
        <v>34</v>
      </c>
      <c r="I34" s="500" t="s">
        <v>26</v>
      </c>
      <c r="J34" s="500" t="s">
        <v>26</v>
      </c>
      <c r="K34" s="500" t="s">
        <v>144</v>
      </c>
      <c r="L34" s="502" t="s">
        <v>179</v>
      </c>
      <c r="M34" s="503" t="s">
        <v>26</v>
      </c>
      <c r="N34" s="541"/>
      <c r="O34" s="537" t="s">
        <v>147</v>
      </c>
      <c r="P34" s="542"/>
      <c r="Q34" s="538"/>
      <c r="R34" s="539"/>
      <c r="S34" s="526">
        <f>1</f>
        <v>1</v>
      </c>
      <c r="T34" s="509"/>
      <c r="V34" s="531" t="s">
        <v>127</v>
      </c>
      <c r="W34" s="281"/>
      <c r="Z34" s="512">
        <v>7.9549989700317383</v>
      </c>
      <c r="AA34" s="512">
        <f t="shared" si="6"/>
        <v>7.9549989700317383</v>
      </c>
      <c r="AB34" s="509">
        <f t="shared" si="7"/>
        <v>7.9549989700317383</v>
      </c>
    </row>
    <row r="35" spans="1:29" s="540" customFormat="1" ht="404" customHeight="1" x14ac:dyDescent="0.2">
      <c r="A35" s="534">
        <f t="shared" si="8"/>
        <v>17</v>
      </c>
      <c r="B35" s="497" t="s">
        <v>180</v>
      </c>
      <c r="C35" s="498" t="s">
        <v>180</v>
      </c>
      <c r="D35" s="535" t="s">
        <v>181</v>
      </c>
      <c r="E35" s="500">
        <f t="shared" si="4"/>
        <v>347</v>
      </c>
      <c r="F35" s="536" t="s">
        <v>182</v>
      </c>
      <c r="G35" s="500">
        <f t="shared" si="5"/>
        <v>310</v>
      </c>
      <c r="H35" s="501" t="s">
        <v>34</v>
      </c>
      <c r="I35" s="500" t="s">
        <v>26</v>
      </c>
      <c r="J35" s="500" t="s">
        <v>26</v>
      </c>
      <c r="K35" s="500" t="s">
        <v>144</v>
      </c>
      <c r="L35" s="502" t="s">
        <v>183</v>
      </c>
      <c r="M35" s="503" t="s">
        <v>26</v>
      </c>
      <c r="N35" s="541"/>
      <c r="O35" s="537"/>
      <c r="P35" s="542"/>
      <c r="Q35" s="538"/>
      <c r="R35" s="539"/>
      <c r="S35" s="526">
        <f>1</f>
        <v>1</v>
      </c>
      <c r="T35" s="509"/>
      <c r="V35" s="531" t="s">
        <v>127</v>
      </c>
      <c r="W35" s="281"/>
      <c r="Z35" s="512">
        <v>7.9549989700317383</v>
      </c>
      <c r="AA35" s="512">
        <f t="shared" si="6"/>
        <v>7.9549989700317383</v>
      </c>
      <c r="AB35" s="509">
        <f t="shared" si="7"/>
        <v>7.9549989700317383</v>
      </c>
    </row>
    <row r="36" spans="1:29" s="540" customFormat="1" ht="409.5" customHeight="1" x14ac:dyDescent="0.2">
      <c r="A36" s="534">
        <f>A34+1</f>
        <v>17</v>
      </c>
      <c r="B36" s="497" t="s">
        <v>184</v>
      </c>
      <c r="C36" s="498" t="s">
        <v>184</v>
      </c>
      <c r="D36" s="535" t="s">
        <v>185</v>
      </c>
      <c r="E36" s="500">
        <f t="shared" si="4"/>
        <v>599</v>
      </c>
      <c r="F36" s="536" t="s">
        <v>186</v>
      </c>
      <c r="G36" s="500">
        <f t="shared" si="5"/>
        <v>497</v>
      </c>
      <c r="H36" s="501" t="s">
        <v>34</v>
      </c>
      <c r="I36" s="500" t="s">
        <v>26</v>
      </c>
      <c r="J36" s="500" t="s">
        <v>26</v>
      </c>
      <c r="K36" s="500" t="s">
        <v>144</v>
      </c>
      <c r="L36" s="502" t="s">
        <v>187</v>
      </c>
      <c r="M36" s="503" t="s">
        <v>26</v>
      </c>
      <c r="N36" s="541"/>
      <c r="O36" s="537" t="s">
        <v>147</v>
      </c>
      <c r="P36" s="542"/>
      <c r="Q36" s="538"/>
      <c r="R36" s="539"/>
      <c r="S36" s="526">
        <f>1</f>
        <v>1</v>
      </c>
      <c r="T36" s="509"/>
      <c r="V36" s="531" t="s">
        <v>127</v>
      </c>
      <c r="W36" s="281"/>
      <c r="Z36" s="512">
        <v>7.9549989700317383</v>
      </c>
      <c r="AA36" s="512">
        <f t="shared" si="6"/>
        <v>7.9549989700317383</v>
      </c>
      <c r="AB36" s="509">
        <f t="shared" si="7"/>
        <v>7.9549989700317383</v>
      </c>
    </row>
    <row r="37" spans="1:29" s="49" customFormat="1" ht="183" customHeight="1" x14ac:dyDescent="0.2">
      <c r="A37" s="32">
        <f>A36+1</f>
        <v>18</v>
      </c>
      <c r="B37" s="106" t="s">
        <v>188</v>
      </c>
      <c r="C37" s="55" t="s">
        <v>188</v>
      </c>
      <c r="D37" s="63" t="s">
        <v>189</v>
      </c>
      <c r="E37" s="54">
        <f t="shared" si="4"/>
        <v>218</v>
      </c>
      <c r="F37" s="219" t="s">
        <v>190</v>
      </c>
      <c r="G37" s="54">
        <f t="shared" si="5"/>
        <v>191</v>
      </c>
      <c r="H37" s="60" t="s">
        <v>34</v>
      </c>
      <c r="I37" s="60" t="s">
        <v>26</v>
      </c>
      <c r="J37" s="60" t="s">
        <v>26</v>
      </c>
      <c r="K37" s="60" t="s">
        <v>35</v>
      </c>
      <c r="L37" s="53" t="s">
        <v>191</v>
      </c>
      <c r="M37" s="91" t="s">
        <v>26</v>
      </c>
      <c r="N37" s="45"/>
      <c r="O37" s="45"/>
      <c r="P37" s="64"/>
      <c r="Q37" s="288"/>
      <c r="R37" s="17"/>
      <c r="S37" s="285"/>
      <c r="T37" s="285"/>
      <c r="U37" s="43"/>
      <c r="W37" s="75"/>
      <c r="X37" s="50"/>
      <c r="AA37" s="285"/>
      <c r="AB37" s="285"/>
      <c r="AC37" s="43"/>
    </row>
    <row r="38" spans="1:29" s="104" customFormat="1" ht="144" customHeight="1" x14ac:dyDescent="0.2">
      <c r="A38" s="32">
        <f>A37+1</f>
        <v>19</v>
      </c>
      <c r="B38" s="311" t="s">
        <v>192</v>
      </c>
      <c r="C38" s="312" t="s">
        <v>192</v>
      </c>
      <c r="D38" s="313" t="s">
        <v>193</v>
      </c>
      <c r="E38" s="314">
        <f t="shared" si="4"/>
        <v>128</v>
      </c>
      <c r="F38" s="315" t="s">
        <v>194</v>
      </c>
      <c r="G38" s="54">
        <f t="shared" si="5"/>
        <v>148</v>
      </c>
      <c r="H38" s="312" t="s">
        <v>34</v>
      </c>
      <c r="I38" s="314" t="s">
        <v>26</v>
      </c>
      <c r="J38" s="314" t="s">
        <v>26</v>
      </c>
      <c r="K38" s="314" t="s">
        <v>35</v>
      </c>
      <c r="L38" s="21" t="s">
        <v>195</v>
      </c>
      <c r="M38" s="22" t="s">
        <v>26</v>
      </c>
      <c r="N38" s="28"/>
      <c r="O38" s="28"/>
      <c r="P38" s="308"/>
      <c r="Q38" s="21" t="s">
        <v>195</v>
      </c>
      <c r="R38" s="17"/>
      <c r="S38" s="289">
        <f>1</f>
        <v>1</v>
      </c>
      <c r="T38" s="44"/>
      <c r="V38" s="309" t="s">
        <v>25</v>
      </c>
      <c r="W38" s="98"/>
      <c r="Z38" s="310">
        <v>13.22066497802734</v>
      </c>
      <c r="AA38" s="310">
        <f t="shared" ref="AA38:AA44" si="9">IF(Z38="","",Z38*S38)</f>
        <v>13.22066497802734</v>
      </c>
      <c r="AB38" s="44" t="str">
        <f t="shared" ref="AB38:AB44" si="10">IF(V38="yes",AA38,"")</f>
        <v/>
      </c>
    </row>
    <row r="39" spans="1:29" s="49" customFormat="1" ht="330.75" customHeight="1" thickBot="1" x14ac:dyDescent="0.25">
      <c r="A39" s="32">
        <f>A38+1</f>
        <v>20</v>
      </c>
      <c r="B39" s="106" t="s">
        <v>196</v>
      </c>
      <c r="C39" s="67" t="s">
        <v>196</v>
      </c>
      <c r="D39" s="63" t="s">
        <v>197</v>
      </c>
      <c r="E39" s="54">
        <f t="shared" si="4"/>
        <v>655</v>
      </c>
      <c r="F39" s="219" t="s">
        <v>198</v>
      </c>
      <c r="G39" s="54">
        <f t="shared" si="5"/>
        <v>607</v>
      </c>
      <c r="H39" s="60" t="s">
        <v>34</v>
      </c>
      <c r="I39" s="54" t="s">
        <v>26</v>
      </c>
      <c r="J39" s="54" t="s">
        <v>26</v>
      </c>
      <c r="K39" s="54" t="s">
        <v>35</v>
      </c>
      <c r="L39" s="63" t="s">
        <v>199</v>
      </c>
      <c r="M39" s="91" t="s">
        <v>26</v>
      </c>
      <c r="N39" s="345" t="s">
        <v>200</v>
      </c>
      <c r="O39" s="336" t="s">
        <v>201</v>
      </c>
      <c r="P39" s="230" t="s">
        <v>202</v>
      </c>
      <c r="Q39" s="238" t="s">
        <v>203</v>
      </c>
      <c r="R39" s="10"/>
      <c r="S39" s="287">
        <f>1</f>
        <v>1</v>
      </c>
      <c r="T39" s="43"/>
      <c r="V39" s="132" t="s">
        <v>127</v>
      </c>
      <c r="W39" s="50"/>
      <c r="Z39" s="285">
        <v>24.41083908081055</v>
      </c>
      <c r="AA39" s="285">
        <f t="shared" si="9"/>
        <v>24.41083908081055</v>
      </c>
      <c r="AB39" s="43">
        <f t="shared" si="10"/>
        <v>24.41083908081055</v>
      </c>
    </row>
    <row r="40" spans="1:29" s="49" customFormat="1" ht="17" customHeight="1" thickBot="1" x14ac:dyDescent="0.25">
      <c r="A40" s="603" t="s">
        <v>204</v>
      </c>
      <c r="B40" s="604"/>
      <c r="C40" s="604"/>
      <c r="D40" s="604"/>
      <c r="E40" s="604"/>
      <c r="F40" s="604"/>
      <c r="G40" s="604"/>
      <c r="H40" s="604"/>
      <c r="I40" s="604"/>
      <c r="J40" s="604"/>
      <c r="K40" s="604"/>
      <c r="L40" s="604"/>
      <c r="M40" s="604"/>
      <c r="N40" s="604"/>
      <c r="O40" s="604"/>
      <c r="P40" s="604"/>
      <c r="Q40" s="604"/>
      <c r="R40" s="605"/>
      <c r="S40" s="282"/>
      <c r="T40" s="43"/>
      <c r="V40" s="51"/>
      <c r="W40" s="50"/>
      <c r="Z40" s="286"/>
      <c r="AA40" s="285" t="str">
        <f t="shared" si="9"/>
        <v/>
      </c>
      <c r="AB40" s="43" t="str">
        <f t="shared" si="10"/>
        <v/>
      </c>
    </row>
    <row r="41" spans="1:29" s="49" customFormat="1" ht="136" customHeight="1" x14ac:dyDescent="0.2">
      <c r="A41" s="32">
        <f>A39+1</f>
        <v>21</v>
      </c>
      <c r="B41" s="290" t="s">
        <v>205</v>
      </c>
      <c r="C41" s="78" t="s">
        <v>205</v>
      </c>
      <c r="D41" s="322" t="s">
        <v>206</v>
      </c>
      <c r="E41" s="78">
        <f t="shared" ref="E41:E50" si="11">LEN(D41)</f>
        <v>96</v>
      </c>
      <c r="F41" s="219" t="s">
        <v>207</v>
      </c>
      <c r="G41" s="78">
        <f t="shared" ref="G41:G50" si="12">LEN(F41)</f>
        <v>84</v>
      </c>
      <c r="H41" s="78" t="s">
        <v>34</v>
      </c>
      <c r="I41" s="78" t="s">
        <v>26</v>
      </c>
      <c r="J41" s="78" t="s">
        <v>26</v>
      </c>
      <c r="K41" s="78" t="s">
        <v>35</v>
      </c>
      <c r="L41" s="64" t="s">
        <v>208</v>
      </c>
      <c r="M41" s="91" t="s">
        <v>26</v>
      </c>
      <c r="N41" s="45"/>
      <c r="O41" s="45"/>
      <c r="P41" s="64" t="s">
        <v>209</v>
      </c>
      <c r="Q41" s="288"/>
      <c r="R41" s="17"/>
      <c r="S41" s="282">
        <v>1</v>
      </c>
      <c r="T41" s="43"/>
      <c r="V41" s="128" t="s">
        <v>127</v>
      </c>
      <c r="W41" s="50"/>
      <c r="Z41" s="285">
        <v>10.5</v>
      </c>
      <c r="AA41" s="285">
        <f t="shared" si="9"/>
        <v>10.5</v>
      </c>
      <c r="AB41" s="43">
        <f t="shared" si="10"/>
        <v>10.5</v>
      </c>
    </row>
    <row r="42" spans="1:29" s="49" customFormat="1" ht="136" customHeight="1" x14ac:dyDescent="0.2">
      <c r="A42" s="32">
        <f t="shared" ref="A42:A50" si="13">A41+1</f>
        <v>22</v>
      </c>
      <c r="B42" s="105" t="s">
        <v>210</v>
      </c>
      <c r="C42" s="48" t="s">
        <v>210</v>
      </c>
      <c r="D42" s="74" t="s">
        <v>211</v>
      </c>
      <c r="E42" s="46">
        <f t="shared" si="11"/>
        <v>116</v>
      </c>
      <c r="F42" s="216" t="s">
        <v>212</v>
      </c>
      <c r="G42" s="46">
        <f t="shared" si="12"/>
        <v>92</v>
      </c>
      <c r="H42" s="48" t="s">
        <v>34</v>
      </c>
      <c r="I42" s="46" t="s">
        <v>26</v>
      </c>
      <c r="J42" s="46" t="s">
        <v>26</v>
      </c>
      <c r="K42" s="46" t="s">
        <v>35</v>
      </c>
      <c r="L42" s="45" t="s">
        <v>213</v>
      </c>
      <c r="M42" s="91" t="s">
        <v>26</v>
      </c>
      <c r="N42" s="45"/>
      <c r="O42" s="45"/>
      <c r="P42" s="45" t="s">
        <v>214</v>
      </c>
      <c r="Q42" s="28"/>
      <c r="R42" s="17"/>
      <c r="S42" s="287">
        <f>1</f>
        <v>1</v>
      </c>
      <c r="T42" s="43"/>
      <c r="V42" s="128" t="s">
        <v>127</v>
      </c>
      <c r="W42" s="50"/>
      <c r="Z42" s="285">
        <v>10.504533767700201</v>
      </c>
      <c r="AA42" s="285">
        <f t="shared" si="9"/>
        <v>10.504533767700201</v>
      </c>
      <c r="AB42" s="43">
        <f t="shared" si="10"/>
        <v>10.504533767700201</v>
      </c>
    </row>
    <row r="43" spans="1:29" s="540" customFormat="1" ht="187" customHeight="1" x14ac:dyDescent="0.2">
      <c r="A43" s="534">
        <f t="shared" si="13"/>
        <v>23</v>
      </c>
      <c r="B43" s="497" t="s">
        <v>215</v>
      </c>
      <c r="C43" s="498" t="s">
        <v>215</v>
      </c>
      <c r="D43" s="535" t="s">
        <v>216</v>
      </c>
      <c r="E43" s="543">
        <f t="shared" si="11"/>
        <v>314</v>
      </c>
      <c r="F43" s="536" t="s">
        <v>217</v>
      </c>
      <c r="G43" s="500">
        <f t="shared" si="12"/>
        <v>257</v>
      </c>
      <c r="H43" s="544" t="s">
        <v>34</v>
      </c>
      <c r="I43" s="500" t="s">
        <v>26</v>
      </c>
      <c r="J43" s="500" t="s">
        <v>26</v>
      </c>
      <c r="K43" s="500" t="s">
        <v>35</v>
      </c>
      <c r="L43" s="502" t="s">
        <v>218</v>
      </c>
      <c r="M43" s="503" t="s">
        <v>26</v>
      </c>
      <c r="N43" s="541"/>
      <c r="O43" s="541"/>
      <c r="P43" s="541" t="s">
        <v>219</v>
      </c>
      <c r="Q43" s="541" t="s">
        <v>220</v>
      </c>
      <c r="R43" s="545"/>
      <c r="S43" s="526">
        <f>1</f>
        <v>1</v>
      </c>
      <c r="T43" s="509"/>
      <c r="V43" s="529" t="s">
        <v>127</v>
      </c>
      <c r="W43" s="281"/>
      <c r="Z43" s="512">
        <v>12.42189884185791</v>
      </c>
      <c r="AA43" s="512">
        <f t="shared" si="9"/>
        <v>12.42189884185791</v>
      </c>
      <c r="AB43" s="509">
        <f t="shared" si="10"/>
        <v>12.42189884185791</v>
      </c>
    </row>
    <row r="44" spans="1:29" s="49" customFormat="1" ht="230.25" customHeight="1" x14ac:dyDescent="0.2">
      <c r="A44" s="32">
        <f t="shared" si="13"/>
        <v>24</v>
      </c>
      <c r="B44" s="311" t="s">
        <v>221</v>
      </c>
      <c r="C44" s="316" t="s">
        <v>222</v>
      </c>
      <c r="D44" s="317" t="s">
        <v>223</v>
      </c>
      <c r="E44" s="318">
        <f t="shared" si="11"/>
        <v>207</v>
      </c>
      <c r="F44" s="319" t="s">
        <v>224</v>
      </c>
      <c r="G44" s="54">
        <f t="shared" si="12"/>
        <v>213</v>
      </c>
      <c r="H44" s="320" t="s">
        <v>83</v>
      </c>
      <c r="I44" s="314" t="s">
        <v>26</v>
      </c>
      <c r="J44" s="314" t="s">
        <v>26</v>
      </c>
      <c r="K44" s="314" t="s">
        <v>84</v>
      </c>
      <c r="L44" s="21" t="s">
        <v>225</v>
      </c>
      <c r="M44" s="22" t="s">
        <v>26</v>
      </c>
      <c r="N44" s="28"/>
      <c r="O44" s="28"/>
      <c r="P44" s="28"/>
      <c r="Q44" s="306" t="s">
        <v>225</v>
      </c>
      <c r="R44" s="13"/>
      <c r="S44" s="282">
        <f>1</f>
        <v>1</v>
      </c>
      <c r="T44" s="43"/>
      <c r="V44" s="51"/>
      <c r="W44" s="50"/>
      <c r="Z44" s="286"/>
      <c r="AA44" s="286" t="str">
        <f t="shared" si="9"/>
        <v/>
      </c>
      <c r="AB44" s="43" t="str">
        <f t="shared" si="10"/>
        <v/>
      </c>
    </row>
    <row r="45" spans="1:29" s="49" customFormat="1" ht="213.75" customHeight="1" x14ac:dyDescent="0.2">
      <c r="A45" s="32">
        <f t="shared" si="13"/>
        <v>25</v>
      </c>
      <c r="B45" s="311" t="s">
        <v>226</v>
      </c>
      <c r="C45" s="316" t="s">
        <v>226</v>
      </c>
      <c r="D45" s="321" t="s">
        <v>227</v>
      </c>
      <c r="E45" s="314">
        <f t="shared" si="11"/>
        <v>280</v>
      </c>
      <c r="F45" s="321" t="s">
        <v>228</v>
      </c>
      <c r="G45" s="54">
        <f t="shared" si="12"/>
        <v>277</v>
      </c>
      <c r="H45" s="312" t="s">
        <v>83</v>
      </c>
      <c r="I45" s="314" t="s">
        <v>26</v>
      </c>
      <c r="J45" s="314" t="s">
        <v>26</v>
      </c>
      <c r="K45" s="314" t="s">
        <v>84</v>
      </c>
      <c r="L45" s="21" t="s">
        <v>229</v>
      </c>
      <c r="M45" s="22" t="s">
        <v>26</v>
      </c>
      <c r="N45" s="307"/>
      <c r="O45" s="307"/>
      <c r="P45" s="28"/>
      <c r="Q45" s="306" t="s">
        <v>229</v>
      </c>
      <c r="R45" s="20"/>
      <c r="S45" s="282"/>
      <c r="T45" s="43"/>
      <c r="V45" s="51"/>
      <c r="W45" s="50"/>
      <c r="Z45" s="286"/>
      <c r="AA45" s="286"/>
      <c r="AB45" s="43"/>
    </row>
    <row r="46" spans="1:29" s="49" customFormat="1" ht="187.5" customHeight="1" x14ac:dyDescent="0.2">
      <c r="A46" s="32">
        <f t="shared" si="13"/>
        <v>26</v>
      </c>
      <c r="B46" s="311" t="s">
        <v>230</v>
      </c>
      <c r="C46" s="316" t="s">
        <v>230</v>
      </c>
      <c r="D46" s="321" t="s">
        <v>231</v>
      </c>
      <c r="E46" s="314">
        <f t="shared" si="11"/>
        <v>187</v>
      </c>
      <c r="F46" s="321" t="s">
        <v>232</v>
      </c>
      <c r="G46" s="54">
        <f t="shared" si="12"/>
        <v>151</v>
      </c>
      <c r="H46" s="312" t="s">
        <v>83</v>
      </c>
      <c r="I46" s="314" t="s">
        <v>26</v>
      </c>
      <c r="J46" s="314" t="s">
        <v>26</v>
      </c>
      <c r="K46" s="314" t="s">
        <v>84</v>
      </c>
      <c r="L46" s="21" t="s">
        <v>233</v>
      </c>
      <c r="M46" s="22" t="s">
        <v>26</v>
      </c>
      <c r="N46" s="307"/>
      <c r="O46" s="307"/>
      <c r="P46" s="28"/>
      <c r="Q46" s="306" t="s">
        <v>233</v>
      </c>
      <c r="R46" s="20"/>
      <c r="S46" s="282"/>
      <c r="T46" s="43"/>
      <c r="V46" s="51"/>
      <c r="W46" s="50"/>
      <c r="Z46" s="286"/>
      <c r="AA46" s="286"/>
      <c r="AB46" s="43"/>
    </row>
    <row r="47" spans="1:29" s="49" customFormat="1" ht="159" customHeight="1" x14ac:dyDescent="0.2">
      <c r="A47" s="32">
        <f t="shared" si="13"/>
        <v>27</v>
      </c>
      <c r="B47" s="311" t="s">
        <v>234</v>
      </c>
      <c r="C47" s="316" t="s">
        <v>234</v>
      </c>
      <c r="D47" s="321" t="s">
        <v>235</v>
      </c>
      <c r="E47" s="314">
        <f t="shared" si="11"/>
        <v>169</v>
      </c>
      <c r="F47" s="321" t="s">
        <v>236</v>
      </c>
      <c r="G47" s="54">
        <f t="shared" si="12"/>
        <v>153</v>
      </c>
      <c r="H47" s="312" t="s">
        <v>83</v>
      </c>
      <c r="I47" s="314" t="s">
        <v>26</v>
      </c>
      <c r="J47" s="314" t="s">
        <v>26</v>
      </c>
      <c r="K47" s="314" t="s">
        <v>84</v>
      </c>
      <c r="L47" s="21" t="s">
        <v>237</v>
      </c>
      <c r="M47" s="22" t="s">
        <v>26</v>
      </c>
      <c r="N47" s="307"/>
      <c r="O47" s="307"/>
      <c r="P47" s="28"/>
      <c r="Q47" s="306" t="s">
        <v>237</v>
      </c>
      <c r="R47" s="20"/>
      <c r="S47" s="282"/>
      <c r="T47" s="43"/>
      <c r="V47" s="51"/>
      <c r="W47" s="50"/>
      <c r="Z47" s="286"/>
      <c r="AA47" s="286"/>
      <c r="AB47" s="43"/>
    </row>
    <row r="48" spans="1:29" s="49" customFormat="1" ht="145.5" customHeight="1" x14ac:dyDescent="0.2">
      <c r="A48" s="32">
        <f t="shared" si="13"/>
        <v>28</v>
      </c>
      <c r="B48" s="311" t="s">
        <v>238</v>
      </c>
      <c r="C48" s="320" t="s">
        <v>238</v>
      </c>
      <c r="D48" s="15" t="s">
        <v>239</v>
      </c>
      <c r="E48" s="318">
        <f t="shared" si="11"/>
        <v>269</v>
      </c>
      <c r="F48" s="346" t="s">
        <v>240</v>
      </c>
      <c r="G48" s="318">
        <f t="shared" si="12"/>
        <v>247</v>
      </c>
      <c r="H48" s="320" t="s">
        <v>124</v>
      </c>
      <c r="I48" s="318" t="s">
        <v>26</v>
      </c>
      <c r="J48" s="318" t="s">
        <v>26</v>
      </c>
      <c r="K48" s="318" t="s">
        <v>29</v>
      </c>
      <c r="L48" s="21" t="s">
        <v>241</v>
      </c>
      <c r="M48" s="22" t="s">
        <v>26</v>
      </c>
      <c r="N48" s="28"/>
      <c r="O48" s="28"/>
      <c r="P48" s="308" t="s">
        <v>242</v>
      </c>
      <c r="Q48" s="22"/>
      <c r="R48" s="10"/>
      <c r="S48" s="282">
        <f>1</f>
        <v>1</v>
      </c>
      <c r="T48" s="43"/>
      <c r="V48" s="51" t="s">
        <v>25</v>
      </c>
      <c r="W48" s="50"/>
      <c r="Z48" s="286">
        <v>16.90229415893555</v>
      </c>
      <c r="AA48" s="286">
        <f t="shared" ref="AA48:AA60" si="14">IF(Z48="","",Z48*S48)</f>
        <v>16.90229415893555</v>
      </c>
      <c r="AB48" s="43" t="str">
        <f t="shared" ref="AB48:AB60" si="15">IF(V48="yes",AA48,"")</f>
        <v/>
      </c>
    </row>
    <row r="49" spans="1:16372" s="49" customFormat="1" ht="210" customHeight="1" x14ac:dyDescent="0.2">
      <c r="A49" s="32">
        <f t="shared" si="13"/>
        <v>29</v>
      </c>
      <c r="B49" s="347" t="s">
        <v>243</v>
      </c>
      <c r="C49" s="348" t="s">
        <v>243</v>
      </c>
      <c r="D49" s="313" t="s">
        <v>244</v>
      </c>
      <c r="E49" s="349">
        <f t="shared" si="11"/>
        <v>180</v>
      </c>
      <c r="F49" s="350" t="s">
        <v>245</v>
      </c>
      <c r="G49" s="349">
        <f t="shared" si="12"/>
        <v>152</v>
      </c>
      <c r="H49" s="320" t="s">
        <v>34</v>
      </c>
      <c r="I49" s="351" t="s">
        <v>26</v>
      </c>
      <c r="J49" s="351" t="s">
        <v>26</v>
      </c>
      <c r="K49" s="318" t="s">
        <v>35</v>
      </c>
      <c r="L49" s="21" t="s">
        <v>246</v>
      </c>
      <c r="M49" s="22" t="s">
        <v>26</v>
      </c>
      <c r="N49" s="28"/>
      <c r="O49" s="28"/>
      <c r="P49" s="308" t="s">
        <v>242</v>
      </c>
      <c r="Q49" s="352"/>
      <c r="R49" s="13"/>
      <c r="S49" s="282">
        <f>1</f>
        <v>1</v>
      </c>
      <c r="T49" s="43"/>
      <c r="V49" s="51" t="s">
        <v>25</v>
      </c>
      <c r="W49" s="50"/>
      <c r="Z49" s="286">
        <v>9.9618663787841797</v>
      </c>
      <c r="AA49" s="286">
        <f t="shared" si="14"/>
        <v>9.9618663787841797</v>
      </c>
      <c r="AB49" s="43" t="str">
        <f t="shared" si="15"/>
        <v/>
      </c>
    </row>
    <row r="50" spans="1:16372" s="49" customFormat="1" ht="199.5" customHeight="1" thickBot="1" x14ac:dyDescent="0.25">
      <c r="A50" s="32">
        <f t="shared" si="13"/>
        <v>30</v>
      </c>
      <c r="B50" s="353" t="s">
        <v>247</v>
      </c>
      <c r="C50" s="354" t="s">
        <v>247</v>
      </c>
      <c r="D50" s="355" t="s">
        <v>248</v>
      </c>
      <c r="E50" s="349">
        <f t="shared" si="11"/>
        <v>133</v>
      </c>
      <c r="F50" s="356" t="s">
        <v>249</v>
      </c>
      <c r="G50" s="349">
        <f t="shared" si="12"/>
        <v>147</v>
      </c>
      <c r="H50" s="320" t="s">
        <v>34</v>
      </c>
      <c r="I50" s="349" t="s">
        <v>26</v>
      </c>
      <c r="J50" s="349" t="s">
        <v>250</v>
      </c>
      <c r="K50" s="318" t="s">
        <v>35</v>
      </c>
      <c r="L50" s="21" t="s">
        <v>251</v>
      </c>
      <c r="M50" s="22" t="s">
        <v>26</v>
      </c>
      <c r="N50" s="357" t="s">
        <v>252</v>
      </c>
      <c r="O50" s="358" t="s">
        <v>253</v>
      </c>
      <c r="P50" s="308" t="s">
        <v>242</v>
      </c>
      <c r="Q50" s="359"/>
      <c r="R50" s="10"/>
      <c r="S50" s="282">
        <f>1</f>
        <v>1</v>
      </c>
      <c r="T50" s="43"/>
      <c r="V50" s="51" t="s">
        <v>25</v>
      </c>
      <c r="W50" s="50"/>
      <c r="Z50" s="286">
        <v>7.02484130859375</v>
      </c>
      <c r="AA50" s="286">
        <f t="shared" si="14"/>
        <v>7.02484130859375</v>
      </c>
      <c r="AB50" s="43" t="str">
        <f t="shared" si="15"/>
        <v/>
      </c>
    </row>
    <row r="51" spans="1:16372" s="127" customFormat="1" ht="17" customHeight="1" thickBot="1" x14ac:dyDescent="0.25">
      <c r="A51" s="603" t="s">
        <v>254</v>
      </c>
      <c r="B51" s="604"/>
      <c r="C51" s="604"/>
      <c r="D51" s="604"/>
      <c r="E51" s="604"/>
      <c r="F51" s="604"/>
      <c r="G51" s="604"/>
      <c r="H51" s="604"/>
      <c r="I51" s="604"/>
      <c r="J51" s="604"/>
      <c r="K51" s="604"/>
      <c r="L51" s="604"/>
      <c r="M51" s="604"/>
      <c r="N51" s="604"/>
      <c r="O51" s="604"/>
      <c r="P51" s="604"/>
      <c r="Q51" s="604"/>
      <c r="R51" s="605"/>
      <c r="S51" s="287"/>
      <c r="T51" s="129"/>
      <c r="V51" s="128"/>
      <c r="W51" s="130"/>
      <c r="Z51" s="285"/>
      <c r="AA51" s="285" t="str">
        <f t="shared" si="14"/>
        <v/>
      </c>
      <c r="AB51" s="129" t="str">
        <f t="shared" si="15"/>
        <v/>
      </c>
    </row>
    <row r="52" spans="1:16372" s="49" customFormat="1" ht="409.5" customHeight="1" x14ac:dyDescent="0.2">
      <c r="A52" s="32">
        <f>A50+1</f>
        <v>31</v>
      </c>
      <c r="B52" s="493" t="s">
        <v>255</v>
      </c>
      <c r="C52" s="55" t="s">
        <v>255</v>
      </c>
      <c r="D52" s="494" t="s">
        <v>256</v>
      </c>
      <c r="E52" s="42">
        <f t="shared" ref="E52:E66" si="16">LEN(D52)</f>
        <v>1215</v>
      </c>
      <c r="F52" s="242" t="s">
        <v>257</v>
      </c>
      <c r="G52" s="42">
        <f t="shared" ref="G52:G66" si="17">LEN(F52)</f>
        <v>1150</v>
      </c>
      <c r="H52" s="495" t="s">
        <v>34</v>
      </c>
      <c r="I52" s="46" t="s">
        <v>26</v>
      </c>
      <c r="J52" s="46" t="s">
        <v>26</v>
      </c>
      <c r="K52" s="46" t="s">
        <v>258</v>
      </c>
      <c r="L52" s="45" t="s">
        <v>259</v>
      </c>
      <c r="M52" s="91" t="s">
        <v>26</v>
      </c>
      <c r="N52" s="45"/>
      <c r="O52" s="45"/>
      <c r="P52" s="52" t="s">
        <v>260</v>
      </c>
      <c r="Q52" s="52" t="s">
        <v>261</v>
      </c>
      <c r="R52" s="17"/>
      <c r="S52" s="287">
        <f>1</f>
        <v>1</v>
      </c>
      <c r="T52" s="43"/>
      <c r="V52" s="128" t="s">
        <v>127</v>
      </c>
      <c r="W52" s="50"/>
      <c r="Z52" s="285">
        <v>31.888334274291989</v>
      </c>
      <c r="AA52" s="285">
        <f t="shared" si="14"/>
        <v>31.888334274291989</v>
      </c>
      <c r="AB52" s="43">
        <f t="shared" si="15"/>
        <v>31.888334274291989</v>
      </c>
    </row>
    <row r="53" spans="1:16372" s="49" customFormat="1" ht="170" customHeight="1" x14ac:dyDescent="0.2">
      <c r="A53" s="32">
        <f t="shared" ref="A53:A66" si="18">A52+1</f>
        <v>32</v>
      </c>
      <c r="B53" s="311" t="s">
        <v>262</v>
      </c>
      <c r="C53" s="312" t="s">
        <v>262</v>
      </c>
      <c r="D53" s="21" t="s">
        <v>263</v>
      </c>
      <c r="E53" s="318">
        <f t="shared" si="16"/>
        <v>226</v>
      </c>
      <c r="F53" s="360" t="s">
        <v>264</v>
      </c>
      <c r="G53" s="318">
        <f t="shared" si="17"/>
        <v>208</v>
      </c>
      <c r="H53" s="318" t="s">
        <v>124</v>
      </c>
      <c r="I53" s="318" t="s">
        <v>26</v>
      </c>
      <c r="J53" s="318" t="s">
        <v>26</v>
      </c>
      <c r="K53" s="318" t="s">
        <v>265</v>
      </c>
      <c r="L53" s="26" t="s">
        <v>266</v>
      </c>
      <c r="M53" s="22" t="s">
        <v>26</v>
      </c>
      <c r="N53" s="358" t="s">
        <v>267</v>
      </c>
      <c r="O53" s="358" t="s">
        <v>268</v>
      </c>
      <c r="P53" s="361" t="s">
        <v>269</v>
      </c>
      <c r="Q53" s="361" t="s">
        <v>270</v>
      </c>
      <c r="R53" s="609"/>
      <c r="S53" s="282">
        <f>1</f>
        <v>1</v>
      </c>
      <c r="T53" s="43"/>
      <c r="V53" s="51" t="s">
        <v>25</v>
      </c>
      <c r="W53" s="50"/>
      <c r="Z53" s="286">
        <v>31.963766098022461</v>
      </c>
      <c r="AA53" s="286">
        <f t="shared" si="14"/>
        <v>31.963766098022461</v>
      </c>
      <c r="AB53" s="43" t="str">
        <f t="shared" si="15"/>
        <v/>
      </c>
    </row>
    <row r="54" spans="1:16372" s="49" customFormat="1" ht="159" customHeight="1" x14ac:dyDescent="0.2">
      <c r="A54" s="32">
        <f t="shared" si="18"/>
        <v>33</v>
      </c>
      <c r="B54" s="362" t="s">
        <v>271</v>
      </c>
      <c r="C54" s="362" t="s">
        <v>271</v>
      </c>
      <c r="D54" s="21" t="s">
        <v>272</v>
      </c>
      <c r="E54" s="318">
        <f t="shared" si="16"/>
        <v>278</v>
      </c>
      <c r="F54" s="360" t="s">
        <v>273</v>
      </c>
      <c r="G54" s="318">
        <f t="shared" si="17"/>
        <v>262</v>
      </c>
      <c r="H54" s="363" t="s">
        <v>34</v>
      </c>
      <c r="I54" s="314" t="s">
        <v>26</v>
      </c>
      <c r="J54" s="314" t="s">
        <v>26</v>
      </c>
      <c r="K54" s="314" t="s">
        <v>35</v>
      </c>
      <c r="L54" s="28" t="s">
        <v>274</v>
      </c>
      <c r="M54" s="22" t="s">
        <v>26</v>
      </c>
      <c r="N54" s="28" t="s">
        <v>275</v>
      </c>
      <c r="O54" s="28" t="s">
        <v>276</v>
      </c>
      <c r="P54" s="65" t="s">
        <v>277</v>
      </c>
      <c r="Q54" s="65" t="s">
        <v>278</v>
      </c>
      <c r="R54" s="610"/>
      <c r="S54" s="282">
        <f>1</f>
        <v>1</v>
      </c>
      <c r="T54" s="43"/>
      <c r="V54" s="364" t="s">
        <v>25</v>
      </c>
      <c r="W54" s="50"/>
      <c r="Z54" s="286">
        <v>2.2273674011230469</v>
      </c>
      <c r="AA54" s="286">
        <f t="shared" si="14"/>
        <v>2.2273674011230469</v>
      </c>
      <c r="AB54" s="43" t="str">
        <f t="shared" si="15"/>
        <v/>
      </c>
    </row>
    <row r="55" spans="1:16372" s="49" customFormat="1" ht="170" customHeight="1" x14ac:dyDescent="0.2">
      <c r="A55" s="32">
        <f t="shared" si="18"/>
        <v>34</v>
      </c>
      <c r="B55" s="365" t="s">
        <v>279</v>
      </c>
      <c r="C55" s="365" t="s">
        <v>279</v>
      </c>
      <c r="D55" s="366" t="s">
        <v>280</v>
      </c>
      <c r="E55" s="314">
        <f t="shared" si="16"/>
        <v>181</v>
      </c>
      <c r="F55" s="360" t="s">
        <v>281</v>
      </c>
      <c r="G55" s="318">
        <f t="shared" si="17"/>
        <v>167</v>
      </c>
      <c r="H55" s="312" t="s">
        <v>34</v>
      </c>
      <c r="I55" s="314" t="s">
        <v>26</v>
      </c>
      <c r="J55" s="314" t="s">
        <v>26</v>
      </c>
      <c r="K55" s="314" t="s">
        <v>35</v>
      </c>
      <c r="L55" s="28" t="s">
        <v>282</v>
      </c>
      <c r="M55" s="22" t="s">
        <v>26</v>
      </c>
      <c r="N55" s="28"/>
      <c r="O55" s="28"/>
      <c r="P55" s="65" t="s">
        <v>283</v>
      </c>
      <c r="Q55" s="65" t="s">
        <v>284</v>
      </c>
      <c r="R55" s="17"/>
      <c r="S55" s="282">
        <f>1</f>
        <v>1</v>
      </c>
      <c r="T55" s="43"/>
      <c r="V55" s="364" t="s">
        <v>25</v>
      </c>
      <c r="W55" s="50"/>
      <c r="Z55" s="286">
        <v>4.7874016761779794</v>
      </c>
      <c r="AA55" s="286">
        <f t="shared" si="14"/>
        <v>4.7874016761779794</v>
      </c>
      <c r="AB55" s="43" t="str">
        <f t="shared" si="15"/>
        <v/>
      </c>
    </row>
    <row r="56" spans="1:16372" s="49" customFormat="1" ht="170" customHeight="1" x14ac:dyDescent="0.2">
      <c r="A56" s="32">
        <f t="shared" si="18"/>
        <v>35</v>
      </c>
      <c r="B56" s="348" t="s">
        <v>285</v>
      </c>
      <c r="C56" s="362" t="s">
        <v>285</v>
      </c>
      <c r="D56" s="367" t="s">
        <v>286</v>
      </c>
      <c r="E56" s="351">
        <f t="shared" si="16"/>
        <v>215</v>
      </c>
      <c r="F56" s="360" t="s">
        <v>287</v>
      </c>
      <c r="G56" s="318">
        <f t="shared" si="17"/>
        <v>164</v>
      </c>
      <c r="H56" s="368" t="s">
        <v>34</v>
      </c>
      <c r="I56" s="318" t="s">
        <v>26</v>
      </c>
      <c r="J56" s="318" t="s">
        <v>26</v>
      </c>
      <c r="K56" s="318" t="s">
        <v>35</v>
      </c>
      <c r="L56" s="21" t="s">
        <v>288</v>
      </c>
      <c r="M56" s="22" t="s">
        <v>26</v>
      </c>
      <c r="N56" s="28"/>
      <c r="O56" s="28"/>
      <c r="P56" s="26" t="s">
        <v>289</v>
      </c>
      <c r="Q56" s="369"/>
      <c r="R56" s="10"/>
      <c r="S56" s="282">
        <f>1</f>
        <v>1</v>
      </c>
      <c r="T56" s="43"/>
      <c r="U56" s="370"/>
      <c r="V56" s="51" t="s">
        <v>25</v>
      </c>
      <c r="W56" s="50"/>
      <c r="X56" s="370"/>
      <c r="Y56" s="370"/>
      <c r="Z56" s="286">
        <v>20.918367385864261</v>
      </c>
      <c r="AA56" s="286">
        <f t="shared" si="14"/>
        <v>20.918367385864261</v>
      </c>
      <c r="AB56" s="43" t="str">
        <f t="shared" si="15"/>
        <v/>
      </c>
      <c r="AC56" s="370"/>
      <c r="AD56" s="370"/>
      <c r="AE56" s="370"/>
      <c r="AF56" s="370"/>
      <c r="AG56" s="370"/>
      <c r="AH56" s="370"/>
      <c r="AI56" s="370"/>
      <c r="AJ56" s="370"/>
      <c r="AK56" s="370"/>
      <c r="AL56" s="370"/>
      <c r="AM56" s="370"/>
      <c r="AN56" s="370"/>
      <c r="AO56" s="370"/>
      <c r="AP56" s="370"/>
      <c r="AQ56" s="370"/>
      <c r="AR56" s="370"/>
      <c r="AS56" s="370"/>
      <c r="AT56" s="370"/>
      <c r="AU56" s="370"/>
      <c r="AV56" s="370"/>
      <c r="AW56" s="370"/>
      <c r="AX56" s="370"/>
      <c r="AY56" s="370"/>
      <c r="AZ56" s="370"/>
      <c r="BA56" s="370"/>
      <c r="BB56" s="370"/>
      <c r="BC56" s="370"/>
      <c r="BD56" s="370"/>
      <c r="BE56" s="370"/>
      <c r="BF56" s="370"/>
      <c r="BG56" s="370"/>
      <c r="BH56" s="370"/>
      <c r="BI56" s="370"/>
      <c r="BJ56" s="370"/>
      <c r="BK56" s="370"/>
      <c r="BL56" s="370"/>
      <c r="BM56" s="370"/>
      <c r="BN56" s="370"/>
      <c r="BO56" s="370"/>
      <c r="BP56" s="370"/>
      <c r="BQ56" s="370"/>
      <c r="BR56" s="370"/>
      <c r="BS56" s="370"/>
      <c r="BT56" s="370"/>
      <c r="BU56" s="370"/>
      <c r="BV56" s="370"/>
      <c r="BW56" s="370"/>
      <c r="BX56" s="370"/>
      <c r="BY56" s="370"/>
      <c r="BZ56" s="370"/>
      <c r="CA56" s="370"/>
      <c r="CB56" s="370"/>
      <c r="CC56" s="370"/>
      <c r="CD56" s="370"/>
      <c r="CE56" s="370"/>
      <c r="CF56" s="370"/>
      <c r="CG56" s="370"/>
      <c r="CH56" s="370"/>
      <c r="CI56" s="370"/>
      <c r="CJ56" s="370"/>
      <c r="CK56" s="370"/>
      <c r="CL56" s="370"/>
      <c r="CM56" s="370"/>
      <c r="CN56" s="370"/>
      <c r="CO56" s="370"/>
      <c r="CP56" s="370"/>
      <c r="CQ56" s="370"/>
      <c r="CR56" s="370"/>
      <c r="CS56" s="370"/>
      <c r="CT56" s="370"/>
      <c r="CU56" s="370"/>
      <c r="CV56" s="370"/>
      <c r="CW56" s="370"/>
      <c r="CX56" s="370"/>
      <c r="CY56" s="370"/>
      <c r="CZ56" s="370"/>
      <c r="DA56" s="370"/>
      <c r="DB56" s="370"/>
      <c r="DC56" s="370"/>
      <c r="DD56" s="370"/>
      <c r="DE56" s="370"/>
      <c r="DF56" s="370"/>
      <c r="DG56" s="370"/>
      <c r="DH56" s="370"/>
      <c r="DI56" s="370"/>
      <c r="DJ56" s="370"/>
      <c r="DK56" s="370"/>
      <c r="DL56" s="370"/>
      <c r="DM56" s="370"/>
      <c r="DN56" s="370"/>
      <c r="DO56" s="370"/>
      <c r="DP56" s="370"/>
      <c r="DQ56" s="370"/>
      <c r="DR56" s="370"/>
      <c r="DS56" s="370"/>
      <c r="DT56" s="370"/>
      <c r="DU56" s="370"/>
      <c r="DV56" s="370"/>
      <c r="DW56" s="370"/>
      <c r="DX56" s="370"/>
      <c r="DY56" s="370"/>
      <c r="DZ56" s="370"/>
      <c r="EA56" s="370"/>
      <c r="EB56" s="370"/>
      <c r="EC56" s="370"/>
      <c r="ED56" s="370"/>
      <c r="EE56" s="370"/>
      <c r="EF56" s="370"/>
      <c r="EG56" s="370"/>
      <c r="EH56" s="370"/>
      <c r="EI56" s="370"/>
      <c r="EJ56" s="370"/>
      <c r="EK56" s="370"/>
      <c r="EL56" s="370"/>
      <c r="EM56" s="370"/>
      <c r="EN56" s="370"/>
      <c r="EO56" s="370"/>
      <c r="EP56" s="370"/>
      <c r="EQ56" s="370"/>
      <c r="ER56" s="370"/>
      <c r="ES56" s="370"/>
      <c r="ET56" s="370"/>
      <c r="EU56" s="370"/>
      <c r="EV56" s="370"/>
      <c r="EW56" s="370"/>
      <c r="EX56" s="370"/>
      <c r="EY56" s="370"/>
      <c r="EZ56" s="370"/>
      <c r="FA56" s="370"/>
      <c r="FB56" s="370"/>
      <c r="FC56" s="370"/>
      <c r="FD56" s="370"/>
      <c r="FE56" s="370"/>
      <c r="FF56" s="370"/>
      <c r="FG56" s="370"/>
      <c r="FH56" s="370"/>
      <c r="FI56" s="370"/>
      <c r="FJ56" s="370"/>
      <c r="FK56" s="370"/>
      <c r="FL56" s="370"/>
      <c r="FM56" s="370"/>
      <c r="FN56" s="370"/>
      <c r="FO56" s="370"/>
      <c r="FP56" s="370"/>
      <c r="FQ56" s="370"/>
      <c r="FR56" s="370"/>
      <c r="FS56" s="370"/>
      <c r="FT56" s="370"/>
      <c r="FU56" s="370"/>
      <c r="FV56" s="370"/>
      <c r="FW56" s="370"/>
      <c r="FX56" s="370"/>
      <c r="FY56" s="370"/>
      <c r="FZ56" s="370"/>
      <c r="GA56" s="370"/>
      <c r="GB56" s="370"/>
      <c r="GC56" s="370"/>
      <c r="GD56" s="370"/>
      <c r="GE56" s="370"/>
      <c r="GF56" s="370"/>
      <c r="GG56" s="370"/>
      <c r="GH56" s="370"/>
      <c r="GI56" s="370"/>
      <c r="GJ56" s="370"/>
      <c r="GK56" s="370"/>
      <c r="GL56" s="370"/>
      <c r="GM56" s="370"/>
      <c r="GN56" s="370"/>
      <c r="GO56" s="370"/>
      <c r="GP56" s="370"/>
      <c r="GQ56" s="370"/>
      <c r="GR56" s="370"/>
      <c r="GS56" s="370"/>
      <c r="GT56" s="370"/>
      <c r="GU56" s="370"/>
      <c r="GV56" s="370"/>
      <c r="GW56" s="370"/>
      <c r="GX56" s="370"/>
      <c r="GY56" s="370"/>
      <c r="GZ56" s="370"/>
      <c r="HA56" s="370"/>
      <c r="HB56" s="370"/>
      <c r="HC56" s="370"/>
      <c r="HD56" s="370"/>
      <c r="HE56" s="370"/>
      <c r="HF56" s="370"/>
      <c r="HG56" s="370"/>
      <c r="HH56" s="370"/>
      <c r="HI56" s="370"/>
      <c r="HJ56" s="370"/>
      <c r="HK56" s="370"/>
      <c r="HL56" s="370"/>
      <c r="HM56" s="370"/>
      <c r="HN56" s="370"/>
      <c r="HO56" s="370"/>
      <c r="HP56" s="370"/>
      <c r="HQ56" s="370"/>
      <c r="HR56" s="370"/>
      <c r="HS56" s="370"/>
      <c r="HT56" s="370"/>
      <c r="HU56" s="370"/>
      <c r="HV56" s="370"/>
      <c r="HW56" s="370"/>
      <c r="HX56" s="370"/>
      <c r="HY56" s="370"/>
      <c r="HZ56" s="370"/>
      <c r="IA56" s="370"/>
      <c r="IB56" s="370"/>
      <c r="IC56" s="370"/>
      <c r="ID56" s="370"/>
      <c r="IE56" s="370"/>
      <c r="IF56" s="370"/>
      <c r="IG56" s="370"/>
      <c r="IH56" s="370"/>
      <c r="II56" s="370"/>
      <c r="IJ56" s="370"/>
      <c r="IK56" s="370"/>
      <c r="IL56" s="370"/>
      <c r="IM56" s="370"/>
      <c r="IN56" s="370"/>
      <c r="IO56" s="370"/>
      <c r="IP56" s="370"/>
      <c r="IQ56" s="370"/>
      <c r="IR56" s="370"/>
      <c r="IS56" s="370"/>
      <c r="IT56" s="370"/>
      <c r="IU56" s="370"/>
      <c r="IV56" s="370"/>
      <c r="IW56" s="370"/>
      <c r="IX56" s="370"/>
      <c r="IY56" s="370"/>
      <c r="IZ56" s="370"/>
      <c r="JA56" s="370"/>
      <c r="JB56" s="370"/>
      <c r="JC56" s="370"/>
      <c r="JD56" s="370"/>
      <c r="JE56" s="370"/>
      <c r="JF56" s="370"/>
      <c r="JG56" s="370"/>
      <c r="JH56" s="370"/>
      <c r="JI56" s="370"/>
      <c r="JJ56" s="370"/>
      <c r="JK56" s="370"/>
      <c r="JL56" s="370"/>
      <c r="JM56" s="370"/>
      <c r="JN56" s="370"/>
      <c r="JO56" s="370"/>
      <c r="JP56" s="370"/>
      <c r="JQ56" s="370"/>
      <c r="JR56" s="370"/>
      <c r="JS56" s="370"/>
      <c r="JT56" s="370"/>
      <c r="JU56" s="370"/>
      <c r="JV56" s="370"/>
      <c r="JW56" s="370"/>
      <c r="JX56" s="370"/>
      <c r="JY56" s="370"/>
      <c r="JZ56" s="370"/>
      <c r="KA56" s="370"/>
      <c r="KB56" s="370"/>
      <c r="KC56" s="370"/>
      <c r="KD56" s="370"/>
      <c r="KE56" s="370"/>
      <c r="KF56" s="370"/>
      <c r="KG56" s="370"/>
      <c r="KH56" s="370"/>
      <c r="KI56" s="370"/>
      <c r="KJ56" s="370"/>
      <c r="KK56" s="370"/>
      <c r="KL56" s="370"/>
      <c r="KM56" s="370"/>
      <c r="KN56" s="370"/>
      <c r="KO56" s="370"/>
      <c r="KP56" s="370"/>
      <c r="KQ56" s="370"/>
      <c r="KR56" s="370"/>
      <c r="KS56" s="370"/>
      <c r="KT56" s="370"/>
      <c r="KU56" s="370"/>
      <c r="KV56" s="370"/>
      <c r="KW56" s="370"/>
      <c r="KX56" s="370"/>
      <c r="KY56" s="370"/>
      <c r="KZ56" s="370"/>
      <c r="LA56" s="370"/>
      <c r="LB56" s="370"/>
      <c r="LC56" s="370"/>
      <c r="LD56" s="370"/>
      <c r="LE56" s="370"/>
      <c r="LF56" s="370"/>
      <c r="LG56" s="370"/>
      <c r="LH56" s="370"/>
      <c r="LI56" s="370"/>
      <c r="LJ56" s="370"/>
      <c r="LK56" s="370"/>
      <c r="LL56" s="370"/>
      <c r="LM56" s="370"/>
      <c r="LN56" s="370"/>
      <c r="LO56" s="370"/>
      <c r="LP56" s="370"/>
      <c r="LQ56" s="370"/>
      <c r="LR56" s="370"/>
      <c r="LS56" s="370"/>
      <c r="LT56" s="370"/>
      <c r="LU56" s="370"/>
      <c r="LV56" s="370"/>
      <c r="LW56" s="370"/>
      <c r="LX56" s="370"/>
      <c r="LY56" s="370"/>
      <c r="LZ56" s="370"/>
      <c r="MA56" s="370"/>
      <c r="MB56" s="370"/>
      <c r="MC56" s="370"/>
      <c r="MD56" s="370"/>
      <c r="ME56" s="370"/>
      <c r="MF56" s="370"/>
      <c r="MG56" s="370"/>
      <c r="MH56" s="370"/>
      <c r="MI56" s="370"/>
      <c r="MJ56" s="370"/>
      <c r="MK56" s="370"/>
      <c r="ML56" s="370"/>
      <c r="MM56" s="370"/>
      <c r="MN56" s="370"/>
      <c r="MO56" s="370"/>
      <c r="MP56" s="370"/>
      <c r="MQ56" s="370"/>
      <c r="MR56" s="370"/>
      <c r="MS56" s="370"/>
      <c r="MT56" s="370"/>
      <c r="MU56" s="370"/>
      <c r="MV56" s="370"/>
      <c r="MW56" s="370"/>
      <c r="MX56" s="370"/>
      <c r="MY56" s="370"/>
      <c r="MZ56" s="370"/>
      <c r="NA56" s="370"/>
      <c r="NB56" s="370"/>
      <c r="NC56" s="370"/>
      <c r="ND56" s="370"/>
      <c r="NE56" s="370"/>
      <c r="NF56" s="370"/>
      <c r="NG56" s="370"/>
      <c r="NH56" s="370"/>
      <c r="NI56" s="370"/>
      <c r="NJ56" s="370"/>
      <c r="NK56" s="370"/>
      <c r="NL56" s="370"/>
      <c r="NM56" s="370"/>
      <c r="NN56" s="370"/>
      <c r="NO56" s="370"/>
      <c r="NP56" s="370"/>
      <c r="NQ56" s="370"/>
      <c r="NR56" s="370"/>
      <c r="NS56" s="370"/>
      <c r="NT56" s="370"/>
      <c r="NU56" s="370"/>
      <c r="NV56" s="370"/>
      <c r="NW56" s="370"/>
      <c r="NX56" s="370"/>
      <c r="NY56" s="370"/>
      <c r="NZ56" s="370"/>
      <c r="OA56" s="370"/>
      <c r="OB56" s="370"/>
      <c r="OC56" s="370"/>
      <c r="OD56" s="370"/>
      <c r="OE56" s="370"/>
      <c r="OF56" s="370"/>
      <c r="OG56" s="370"/>
      <c r="OH56" s="370"/>
      <c r="OI56" s="370"/>
      <c r="OJ56" s="370"/>
      <c r="OK56" s="370"/>
      <c r="OL56" s="370"/>
      <c r="OM56" s="370"/>
      <c r="ON56" s="370"/>
      <c r="OO56" s="370"/>
      <c r="OP56" s="370"/>
      <c r="OQ56" s="370"/>
      <c r="OR56" s="370"/>
      <c r="OS56" s="370"/>
      <c r="OT56" s="370"/>
      <c r="OU56" s="370"/>
      <c r="OV56" s="370"/>
      <c r="OW56" s="370"/>
      <c r="OX56" s="370"/>
      <c r="OY56" s="370"/>
      <c r="OZ56" s="370"/>
      <c r="PA56" s="370"/>
      <c r="PB56" s="370"/>
      <c r="PC56" s="370"/>
      <c r="PD56" s="370"/>
      <c r="PE56" s="370"/>
      <c r="PF56" s="370"/>
      <c r="PG56" s="370"/>
      <c r="PH56" s="370"/>
      <c r="PI56" s="370"/>
      <c r="PJ56" s="370"/>
      <c r="PK56" s="370"/>
      <c r="PL56" s="370"/>
      <c r="PM56" s="370"/>
      <c r="PN56" s="370"/>
      <c r="PO56" s="370"/>
      <c r="PP56" s="370"/>
      <c r="PQ56" s="370"/>
      <c r="PR56" s="370"/>
      <c r="PS56" s="370"/>
      <c r="PT56" s="370"/>
      <c r="PU56" s="370"/>
      <c r="PV56" s="370"/>
      <c r="PW56" s="370"/>
      <c r="PX56" s="370"/>
      <c r="PY56" s="370"/>
      <c r="PZ56" s="370"/>
      <c r="QA56" s="370"/>
      <c r="QB56" s="370"/>
      <c r="QC56" s="370"/>
      <c r="QD56" s="370"/>
      <c r="QE56" s="370"/>
      <c r="QF56" s="370"/>
      <c r="QG56" s="370"/>
      <c r="QH56" s="370"/>
      <c r="QI56" s="370"/>
      <c r="QJ56" s="370"/>
      <c r="QK56" s="370"/>
      <c r="QL56" s="370"/>
      <c r="QM56" s="370"/>
      <c r="QN56" s="370"/>
      <c r="QO56" s="370"/>
      <c r="QP56" s="370"/>
      <c r="QQ56" s="370"/>
      <c r="QR56" s="370"/>
      <c r="QS56" s="370"/>
      <c r="QT56" s="370"/>
      <c r="QU56" s="370"/>
      <c r="QV56" s="370"/>
      <c r="QW56" s="370"/>
      <c r="QX56" s="370"/>
      <c r="QY56" s="370"/>
      <c r="QZ56" s="370"/>
      <c r="RA56" s="370"/>
      <c r="RB56" s="370"/>
      <c r="RC56" s="370"/>
      <c r="RD56" s="370"/>
      <c r="RE56" s="370"/>
      <c r="RF56" s="370"/>
      <c r="RG56" s="370"/>
      <c r="RH56" s="370"/>
      <c r="RI56" s="370"/>
      <c r="RJ56" s="370"/>
      <c r="RK56" s="370"/>
      <c r="RL56" s="370"/>
      <c r="RM56" s="370"/>
      <c r="RN56" s="370"/>
      <c r="RO56" s="370"/>
      <c r="RP56" s="370"/>
      <c r="RQ56" s="370"/>
      <c r="RR56" s="370"/>
      <c r="RS56" s="370"/>
      <c r="RT56" s="370"/>
      <c r="RU56" s="370"/>
      <c r="RV56" s="370"/>
      <c r="RW56" s="370"/>
      <c r="RX56" s="370"/>
      <c r="RY56" s="370"/>
      <c r="RZ56" s="370"/>
      <c r="SA56" s="370"/>
      <c r="SB56" s="370"/>
      <c r="SC56" s="370"/>
      <c r="SD56" s="370"/>
      <c r="SE56" s="370"/>
      <c r="SF56" s="370"/>
      <c r="SG56" s="370"/>
      <c r="SH56" s="370"/>
      <c r="SI56" s="370"/>
      <c r="SJ56" s="370"/>
      <c r="SK56" s="370"/>
      <c r="SL56" s="370"/>
      <c r="SM56" s="370"/>
      <c r="SN56" s="370"/>
      <c r="SO56" s="370"/>
      <c r="SP56" s="370"/>
      <c r="SQ56" s="370"/>
      <c r="SR56" s="370"/>
      <c r="SS56" s="370"/>
      <c r="ST56" s="370"/>
      <c r="SU56" s="370"/>
      <c r="SV56" s="370"/>
      <c r="SW56" s="370"/>
      <c r="SX56" s="370"/>
      <c r="SY56" s="370"/>
      <c r="SZ56" s="370"/>
      <c r="TA56" s="370"/>
      <c r="TB56" s="370"/>
      <c r="TC56" s="370"/>
      <c r="TD56" s="370"/>
      <c r="TE56" s="370"/>
      <c r="TF56" s="370"/>
      <c r="TG56" s="370"/>
      <c r="TH56" s="370"/>
      <c r="TI56" s="370"/>
      <c r="TJ56" s="370"/>
      <c r="TK56" s="370"/>
      <c r="TL56" s="370"/>
      <c r="TM56" s="370"/>
      <c r="TN56" s="370"/>
      <c r="TO56" s="370"/>
      <c r="TP56" s="370"/>
      <c r="TQ56" s="370"/>
      <c r="TR56" s="370"/>
      <c r="TS56" s="370"/>
      <c r="TT56" s="370"/>
      <c r="TU56" s="370"/>
      <c r="TV56" s="370"/>
      <c r="TW56" s="370"/>
      <c r="TX56" s="370"/>
      <c r="TY56" s="370"/>
      <c r="TZ56" s="370"/>
      <c r="UA56" s="370"/>
      <c r="UB56" s="370"/>
      <c r="UC56" s="370"/>
      <c r="UD56" s="370"/>
      <c r="UE56" s="370"/>
      <c r="UF56" s="370"/>
      <c r="UG56" s="370"/>
      <c r="UH56" s="370"/>
      <c r="UI56" s="370"/>
      <c r="UJ56" s="370"/>
      <c r="UK56" s="370"/>
      <c r="UL56" s="370"/>
      <c r="UM56" s="370"/>
      <c r="UN56" s="370"/>
      <c r="UO56" s="370"/>
      <c r="UP56" s="370"/>
      <c r="UQ56" s="370"/>
      <c r="UR56" s="370"/>
      <c r="US56" s="370"/>
      <c r="UT56" s="370"/>
      <c r="UU56" s="370"/>
      <c r="UV56" s="370"/>
      <c r="UW56" s="370"/>
      <c r="UX56" s="370"/>
      <c r="UY56" s="370"/>
      <c r="UZ56" s="370"/>
      <c r="VA56" s="370"/>
      <c r="VB56" s="370"/>
      <c r="VC56" s="370"/>
      <c r="VD56" s="370"/>
      <c r="VE56" s="370"/>
      <c r="VF56" s="370"/>
      <c r="VG56" s="370"/>
      <c r="VH56" s="370"/>
      <c r="VI56" s="370"/>
      <c r="VJ56" s="370"/>
      <c r="VK56" s="370"/>
      <c r="VL56" s="370"/>
      <c r="VM56" s="370"/>
      <c r="VN56" s="370"/>
      <c r="VO56" s="370"/>
      <c r="VP56" s="370"/>
      <c r="VQ56" s="370"/>
      <c r="VR56" s="370"/>
      <c r="VS56" s="370"/>
      <c r="VT56" s="370"/>
      <c r="VU56" s="370"/>
      <c r="VV56" s="370"/>
      <c r="VW56" s="370"/>
      <c r="VX56" s="370"/>
      <c r="VY56" s="370"/>
      <c r="VZ56" s="370"/>
      <c r="WA56" s="370"/>
      <c r="WB56" s="370"/>
      <c r="WC56" s="370"/>
      <c r="WD56" s="370"/>
      <c r="WE56" s="370"/>
      <c r="WF56" s="370"/>
      <c r="WG56" s="370"/>
      <c r="WH56" s="370"/>
      <c r="WI56" s="370"/>
      <c r="WJ56" s="370"/>
      <c r="WK56" s="370"/>
      <c r="WL56" s="370"/>
      <c r="WM56" s="370"/>
      <c r="WN56" s="370"/>
      <c r="WO56" s="370"/>
      <c r="WP56" s="370"/>
      <c r="WQ56" s="370"/>
      <c r="WR56" s="370"/>
      <c r="WS56" s="370"/>
      <c r="WT56" s="370"/>
      <c r="WU56" s="370"/>
      <c r="WV56" s="370"/>
      <c r="WW56" s="370"/>
      <c r="WX56" s="370"/>
      <c r="WY56" s="370"/>
      <c r="WZ56" s="370"/>
      <c r="XA56" s="370"/>
      <c r="XB56" s="370"/>
      <c r="XC56" s="370"/>
      <c r="XD56" s="370"/>
      <c r="XE56" s="370"/>
      <c r="XF56" s="370"/>
      <c r="XG56" s="370"/>
      <c r="XH56" s="370"/>
      <c r="XI56" s="370"/>
      <c r="XJ56" s="370"/>
      <c r="XK56" s="370"/>
      <c r="XL56" s="370"/>
      <c r="XM56" s="370"/>
      <c r="XN56" s="370"/>
      <c r="XO56" s="370"/>
      <c r="XP56" s="370"/>
      <c r="XQ56" s="370"/>
      <c r="XR56" s="370"/>
      <c r="XS56" s="370"/>
      <c r="XT56" s="370"/>
      <c r="XU56" s="370"/>
      <c r="XV56" s="370"/>
      <c r="XW56" s="370"/>
      <c r="XX56" s="370"/>
      <c r="XY56" s="370"/>
      <c r="XZ56" s="370"/>
      <c r="YA56" s="370"/>
      <c r="YB56" s="370"/>
      <c r="YC56" s="370"/>
      <c r="YD56" s="370"/>
      <c r="YE56" s="370"/>
      <c r="YF56" s="370"/>
      <c r="YG56" s="370"/>
      <c r="YH56" s="370"/>
      <c r="YI56" s="370"/>
      <c r="YJ56" s="370"/>
      <c r="YK56" s="370"/>
      <c r="YL56" s="370"/>
      <c r="YM56" s="370"/>
      <c r="YN56" s="370"/>
      <c r="YO56" s="370"/>
      <c r="YP56" s="370"/>
      <c r="YQ56" s="370"/>
      <c r="YR56" s="370"/>
      <c r="YS56" s="370"/>
      <c r="YT56" s="370"/>
      <c r="YU56" s="370"/>
      <c r="YV56" s="370"/>
      <c r="YW56" s="370"/>
      <c r="YX56" s="370"/>
      <c r="YY56" s="370"/>
      <c r="YZ56" s="370"/>
      <c r="ZA56" s="370"/>
      <c r="ZB56" s="370"/>
      <c r="ZC56" s="370"/>
      <c r="ZD56" s="370"/>
      <c r="ZE56" s="370"/>
      <c r="ZF56" s="370"/>
      <c r="ZG56" s="370"/>
      <c r="ZH56" s="370"/>
      <c r="ZI56" s="370"/>
      <c r="ZJ56" s="370"/>
      <c r="ZK56" s="370"/>
      <c r="ZL56" s="370"/>
      <c r="ZM56" s="370"/>
      <c r="ZN56" s="370"/>
      <c r="ZO56" s="370"/>
      <c r="ZP56" s="370"/>
      <c r="ZQ56" s="370"/>
      <c r="ZR56" s="370"/>
      <c r="ZS56" s="370"/>
      <c r="ZT56" s="370"/>
      <c r="ZU56" s="370"/>
      <c r="ZV56" s="370"/>
      <c r="ZW56" s="370"/>
      <c r="ZX56" s="370"/>
      <c r="ZY56" s="370"/>
      <c r="ZZ56" s="370"/>
      <c r="AAA56" s="370"/>
      <c r="AAB56" s="370"/>
      <c r="AAC56" s="370"/>
      <c r="AAD56" s="370"/>
      <c r="AAE56" s="370"/>
      <c r="AAF56" s="370"/>
      <c r="AAG56" s="370"/>
      <c r="AAH56" s="370"/>
      <c r="AAI56" s="370"/>
      <c r="AAJ56" s="370"/>
      <c r="AAK56" s="370"/>
      <c r="AAL56" s="370"/>
      <c r="AAM56" s="370"/>
      <c r="AAN56" s="370"/>
      <c r="AAO56" s="370"/>
      <c r="AAP56" s="370"/>
      <c r="AAQ56" s="370"/>
      <c r="AAR56" s="370"/>
      <c r="AAS56" s="370"/>
      <c r="AAT56" s="370"/>
      <c r="AAU56" s="370"/>
      <c r="AAV56" s="370"/>
      <c r="AAW56" s="370"/>
      <c r="AAX56" s="370"/>
      <c r="AAY56" s="370"/>
      <c r="AAZ56" s="370"/>
      <c r="ABA56" s="370"/>
      <c r="ABB56" s="370"/>
      <c r="ABC56" s="370"/>
      <c r="ABD56" s="370"/>
      <c r="ABE56" s="370"/>
      <c r="ABF56" s="370"/>
      <c r="ABG56" s="370"/>
      <c r="ABH56" s="370"/>
      <c r="ABI56" s="370"/>
      <c r="ABJ56" s="370"/>
      <c r="ABK56" s="370"/>
      <c r="ABL56" s="370"/>
      <c r="ABM56" s="370"/>
      <c r="ABN56" s="370"/>
      <c r="ABO56" s="370"/>
      <c r="ABP56" s="370"/>
      <c r="ABQ56" s="370"/>
      <c r="ABR56" s="370"/>
      <c r="ABS56" s="370"/>
      <c r="ABT56" s="370"/>
      <c r="ABU56" s="370"/>
      <c r="ABV56" s="370"/>
      <c r="ABW56" s="370"/>
      <c r="ABX56" s="370"/>
      <c r="ABY56" s="370"/>
      <c r="ABZ56" s="370"/>
      <c r="ACA56" s="370"/>
      <c r="ACB56" s="370"/>
      <c r="ACC56" s="370"/>
      <c r="ACD56" s="370"/>
      <c r="ACE56" s="370"/>
      <c r="ACF56" s="370"/>
      <c r="ACG56" s="370"/>
      <c r="ACH56" s="370"/>
      <c r="ACI56" s="370"/>
      <c r="ACJ56" s="370"/>
      <c r="ACK56" s="370"/>
      <c r="ACL56" s="370"/>
      <c r="ACM56" s="370"/>
      <c r="ACN56" s="370"/>
      <c r="ACO56" s="370"/>
      <c r="ACP56" s="370"/>
      <c r="ACQ56" s="370"/>
      <c r="ACR56" s="370"/>
      <c r="ACS56" s="370"/>
      <c r="ACT56" s="370"/>
      <c r="ACU56" s="370"/>
      <c r="ACV56" s="370"/>
      <c r="ACW56" s="370"/>
      <c r="ACX56" s="370"/>
      <c r="ACY56" s="370"/>
      <c r="ACZ56" s="370"/>
      <c r="ADA56" s="370"/>
      <c r="ADB56" s="370"/>
      <c r="ADC56" s="370"/>
      <c r="ADD56" s="370"/>
      <c r="ADE56" s="370"/>
      <c r="ADF56" s="370"/>
      <c r="ADG56" s="370"/>
      <c r="ADH56" s="370"/>
      <c r="ADI56" s="370"/>
      <c r="ADJ56" s="370"/>
      <c r="ADK56" s="370"/>
      <c r="ADL56" s="370"/>
      <c r="ADM56" s="370"/>
      <c r="ADN56" s="370"/>
      <c r="ADO56" s="370"/>
      <c r="ADP56" s="370"/>
      <c r="ADQ56" s="370"/>
      <c r="ADR56" s="370"/>
      <c r="ADS56" s="370"/>
      <c r="ADT56" s="370"/>
      <c r="ADU56" s="370"/>
      <c r="ADV56" s="370"/>
      <c r="ADW56" s="370"/>
      <c r="ADX56" s="370"/>
      <c r="ADY56" s="370"/>
      <c r="ADZ56" s="370"/>
      <c r="AEA56" s="370"/>
      <c r="AEB56" s="370"/>
      <c r="AEC56" s="370"/>
      <c r="AED56" s="370"/>
      <c r="AEE56" s="370"/>
      <c r="AEF56" s="370"/>
      <c r="AEG56" s="370"/>
      <c r="AEH56" s="370"/>
      <c r="AEI56" s="370"/>
      <c r="AEJ56" s="370"/>
      <c r="AEK56" s="370"/>
      <c r="AEL56" s="370"/>
      <c r="AEM56" s="370"/>
      <c r="AEN56" s="370"/>
      <c r="AEO56" s="370"/>
      <c r="AEP56" s="370"/>
      <c r="AEQ56" s="370"/>
      <c r="AER56" s="370"/>
      <c r="AES56" s="370"/>
      <c r="AET56" s="370"/>
      <c r="AEU56" s="370"/>
      <c r="AEV56" s="370"/>
      <c r="AEW56" s="370"/>
      <c r="AEX56" s="370"/>
      <c r="AEY56" s="370"/>
      <c r="AEZ56" s="370"/>
      <c r="AFA56" s="370"/>
      <c r="AFB56" s="370"/>
      <c r="AFC56" s="370"/>
      <c r="AFD56" s="370"/>
      <c r="AFE56" s="370"/>
      <c r="AFF56" s="370"/>
      <c r="AFG56" s="370"/>
      <c r="AFH56" s="370"/>
      <c r="AFI56" s="370"/>
      <c r="AFJ56" s="370"/>
      <c r="AFK56" s="370"/>
      <c r="AFL56" s="370"/>
      <c r="AFM56" s="370"/>
      <c r="AFN56" s="370"/>
      <c r="AFO56" s="370"/>
      <c r="AFP56" s="370"/>
      <c r="AFQ56" s="370"/>
      <c r="AFR56" s="370"/>
      <c r="AFS56" s="370"/>
      <c r="AFT56" s="370"/>
      <c r="AFU56" s="370"/>
      <c r="AFV56" s="370"/>
      <c r="AFW56" s="370"/>
      <c r="AFX56" s="370"/>
      <c r="AFY56" s="370"/>
      <c r="AFZ56" s="370"/>
      <c r="AGA56" s="370"/>
      <c r="AGB56" s="370"/>
      <c r="AGC56" s="370"/>
      <c r="AGD56" s="370"/>
      <c r="AGE56" s="370"/>
      <c r="AGF56" s="370"/>
      <c r="AGG56" s="370"/>
      <c r="AGH56" s="370"/>
      <c r="AGI56" s="370"/>
      <c r="AGJ56" s="370"/>
      <c r="AGK56" s="370"/>
      <c r="AGL56" s="370"/>
      <c r="AGM56" s="370"/>
      <c r="AGN56" s="370"/>
      <c r="AGO56" s="370"/>
      <c r="AGP56" s="370"/>
      <c r="AGQ56" s="370"/>
      <c r="AGR56" s="370"/>
      <c r="AGS56" s="370"/>
      <c r="AGT56" s="370"/>
      <c r="AGU56" s="370"/>
      <c r="AGV56" s="370"/>
      <c r="AGW56" s="370"/>
      <c r="AGX56" s="370"/>
      <c r="AGY56" s="370"/>
      <c r="AGZ56" s="370"/>
      <c r="AHA56" s="370"/>
      <c r="AHB56" s="370"/>
      <c r="AHC56" s="370"/>
      <c r="AHD56" s="370"/>
      <c r="AHE56" s="370"/>
      <c r="AHF56" s="370"/>
      <c r="AHG56" s="370"/>
      <c r="AHH56" s="370"/>
      <c r="AHI56" s="370"/>
      <c r="AHJ56" s="370"/>
      <c r="AHK56" s="370"/>
      <c r="AHL56" s="370"/>
      <c r="AHM56" s="370"/>
      <c r="AHN56" s="370"/>
      <c r="AHO56" s="370"/>
      <c r="AHP56" s="370"/>
      <c r="AHQ56" s="370"/>
      <c r="AHR56" s="370"/>
      <c r="AHS56" s="370"/>
      <c r="AHT56" s="370"/>
      <c r="AHU56" s="370"/>
      <c r="AHV56" s="370"/>
      <c r="AHW56" s="370"/>
      <c r="AHX56" s="370"/>
      <c r="AHY56" s="370"/>
      <c r="AHZ56" s="370"/>
      <c r="AIA56" s="370"/>
      <c r="AIB56" s="370"/>
      <c r="AIC56" s="370"/>
      <c r="AID56" s="370"/>
      <c r="AIE56" s="370"/>
      <c r="AIF56" s="370"/>
      <c r="AIG56" s="370"/>
      <c r="AIH56" s="370"/>
      <c r="AII56" s="370"/>
      <c r="AIJ56" s="370"/>
      <c r="AIK56" s="370"/>
      <c r="AIL56" s="370"/>
      <c r="AIM56" s="370"/>
      <c r="AIN56" s="370"/>
      <c r="AIO56" s="370"/>
      <c r="AIP56" s="370"/>
      <c r="AIQ56" s="370"/>
      <c r="AIR56" s="370"/>
      <c r="AIS56" s="370"/>
      <c r="AIT56" s="370"/>
      <c r="AIU56" s="370"/>
      <c r="AIV56" s="370"/>
      <c r="AIW56" s="370"/>
      <c r="AIX56" s="370"/>
      <c r="AIY56" s="370"/>
      <c r="AIZ56" s="370"/>
      <c r="AJA56" s="370"/>
      <c r="AJB56" s="370"/>
      <c r="AJC56" s="370"/>
      <c r="AJD56" s="370"/>
      <c r="AJE56" s="370"/>
      <c r="AJF56" s="370"/>
      <c r="AJG56" s="370"/>
      <c r="AJH56" s="370"/>
      <c r="AJI56" s="370"/>
      <c r="AJJ56" s="370"/>
      <c r="AJK56" s="370"/>
      <c r="AJL56" s="370"/>
      <c r="AJM56" s="370"/>
      <c r="AJN56" s="370"/>
      <c r="AJO56" s="370"/>
      <c r="AJP56" s="370"/>
      <c r="AJQ56" s="370"/>
      <c r="AJR56" s="370"/>
      <c r="AJS56" s="370"/>
      <c r="AJT56" s="370"/>
      <c r="AJU56" s="370"/>
      <c r="AJV56" s="370"/>
      <c r="AJW56" s="370"/>
      <c r="AJX56" s="370"/>
      <c r="AJY56" s="370"/>
      <c r="AJZ56" s="370"/>
      <c r="AKA56" s="370"/>
      <c r="AKB56" s="370"/>
      <c r="AKC56" s="370"/>
      <c r="AKD56" s="370"/>
      <c r="AKE56" s="370"/>
      <c r="AKF56" s="370"/>
      <c r="AKG56" s="370"/>
      <c r="AKH56" s="370"/>
      <c r="AKI56" s="370"/>
      <c r="AKJ56" s="370"/>
      <c r="AKK56" s="370"/>
      <c r="AKL56" s="370"/>
      <c r="AKM56" s="370"/>
      <c r="AKN56" s="370"/>
      <c r="AKO56" s="370"/>
      <c r="AKP56" s="370"/>
      <c r="AKQ56" s="370"/>
      <c r="AKR56" s="370"/>
      <c r="AKS56" s="370"/>
      <c r="AKT56" s="370"/>
      <c r="AKU56" s="370"/>
      <c r="AKV56" s="370"/>
      <c r="AKW56" s="370"/>
      <c r="AKX56" s="370"/>
      <c r="AKY56" s="370"/>
      <c r="AKZ56" s="370"/>
      <c r="ALA56" s="370"/>
      <c r="ALB56" s="370"/>
      <c r="ALC56" s="370"/>
      <c r="ALD56" s="370"/>
      <c r="ALE56" s="370"/>
      <c r="ALF56" s="370"/>
      <c r="ALG56" s="370"/>
      <c r="ALH56" s="370"/>
      <c r="ALI56" s="370"/>
      <c r="ALJ56" s="370"/>
      <c r="ALK56" s="370"/>
      <c r="ALL56" s="370"/>
      <c r="ALM56" s="370"/>
      <c r="ALN56" s="370"/>
      <c r="ALO56" s="370"/>
      <c r="ALP56" s="370"/>
      <c r="ALQ56" s="370"/>
      <c r="ALR56" s="370"/>
      <c r="ALS56" s="370"/>
      <c r="ALT56" s="370"/>
      <c r="ALU56" s="370"/>
      <c r="ALV56" s="370"/>
      <c r="ALW56" s="370"/>
      <c r="ALX56" s="370"/>
      <c r="ALY56" s="370"/>
      <c r="ALZ56" s="370"/>
      <c r="AMA56" s="370"/>
      <c r="AMB56" s="370"/>
      <c r="AMC56" s="370"/>
      <c r="AMD56" s="370"/>
      <c r="AME56" s="370"/>
      <c r="AMF56" s="370"/>
      <c r="AMG56" s="370"/>
      <c r="AMH56" s="370"/>
      <c r="AMI56" s="370"/>
      <c r="AMJ56" s="370"/>
      <c r="AMK56" s="370"/>
      <c r="AML56" s="370"/>
      <c r="AMM56" s="370"/>
      <c r="AMN56" s="370"/>
      <c r="AMO56" s="370"/>
      <c r="AMP56" s="370"/>
      <c r="AMQ56" s="370"/>
      <c r="AMR56" s="370"/>
      <c r="AMS56" s="370"/>
      <c r="AMT56" s="370"/>
      <c r="AMU56" s="370"/>
      <c r="AMV56" s="370"/>
      <c r="AMW56" s="370"/>
      <c r="AMX56" s="370"/>
      <c r="AMY56" s="370"/>
      <c r="AMZ56" s="370"/>
      <c r="ANA56" s="370"/>
      <c r="ANB56" s="370"/>
      <c r="ANC56" s="370"/>
      <c r="AND56" s="370"/>
      <c r="ANE56" s="370"/>
      <c r="ANF56" s="370"/>
      <c r="ANG56" s="370"/>
      <c r="ANH56" s="370"/>
      <c r="ANI56" s="370"/>
      <c r="ANJ56" s="370"/>
      <c r="ANK56" s="370"/>
      <c r="ANL56" s="370"/>
      <c r="ANM56" s="370"/>
      <c r="ANN56" s="370"/>
      <c r="ANO56" s="370"/>
      <c r="ANP56" s="370"/>
      <c r="ANQ56" s="370"/>
      <c r="ANR56" s="370"/>
      <c r="ANS56" s="370"/>
      <c r="ANT56" s="370"/>
      <c r="ANU56" s="370"/>
      <c r="ANV56" s="370"/>
      <c r="ANW56" s="370"/>
      <c r="ANX56" s="370"/>
      <c r="ANY56" s="370"/>
      <c r="ANZ56" s="370"/>
      <c r="AOA56" s="370"/>
      <c r="AOB56" s="370"/>
      <c r="AOC56" s="370"/>
      <c r="AOD56" s="370"/>
      <c r="AOE56" s="370"/>
      <c r="AOF56" s="370"/>
      <c r="AOG56" s="370"/>
      <c r="AOH56" s="370"/>
      <c r="AOI56" s="370"/>
      <c r="AOJ56" s="370"/>
      <c r="AOK56" s="370"/>
      <c r="AOL56" s="370"/>
      <c r="AOM56" s="370"/>
      <c r="AON56" s="370"/>
      <c r="AOO56" s="370"/>
      <c r="AOP56" s="370"/>
      <c r="AOQ56" s="370"/>
      <c r="AOR56" s="370"/>
      <c r="AOS56" s="370"/>
      <c r="AOT56" s="370"/>
      <c r="AOU56" s="370"/>
      <c r="AOV56" s="370"/>
      <c r="AOW56" s="370"/>
      <c r="AOX56" s="370"/>
      <c r="AOY56" s="370"/>
      <c r="AOZ56" s="370"/>
      <c r="APA56" s="370"/>
      <c r="APB56" s="370"/>
      <c r="APC56" s="370"/>
      <c r="APD56" s="370"/>
      <c r="APE56" s="370"/>
      <c r="APF56" s="370"/>
      <c r="APG56" s="370"/>
      <c r="APH56" s="370"/>
      <c r="API56" s="370"/>
      <c r="APJ56" s="370"/>
      <c r="APK56" s="370"/>
      <c r="APL56" s="370"/>
      <c r="APM56" s="370"/>
      <c r="APN56" s="370"/>
      <c r="APO56" s="370"/>
      <c r="APP56" s="370"/>
      <c r="APQ56" s="370"/>
      <c r="APR56" s="370"/>
      <c r="APS56" s="370"/>
      <c r="APT56" s="370"/>
      <c r="APU56" s="370"/>
      <c r="APV56" s="370"/>
      <c r="APW56" s="370"/>
      <c r="APX56" s="370"/>
      <c r="APY56" s="370"/>
      <c r="APZ56" s="370"/>
      <c r="AQA56" s="370"/>
      <c r="AQB56" s="370"/>
      <c r="AQC56" s="370"/>
      <c r="AQD56" s="370"/>
      <c r="AQE56" s="370"/>
      <c r="AQF56" s="370"/>
      <c r="AQG56" s="370"/>
      <c r="AQH56" s="370"/>
      <c r="AQI56" s="370"/>
      <c r="AQJ56" s="370"/>
      <c r="AQK56" s="370"/>
      <c r="AQL56" s="370"/>
      <c r="AQM56" s="370"/>
      <c r="AQN56" s="370"/>
      <c r="AQO56" s="370"/>
      <c r="AQP56" s="370"/>
      <c r="AQQ56" s="370"/>
      <c r="AQR56" s="370"/>
      <c r="AQS56" s="370"/>
      <c r="AQT56" s="370"/>
      <c r="AQU56" s="370"/>
      <c r="AQV56" s="370"/>
      <c r="AQW56" s="370"/>
      <c r="AQX56" s="370"/>
      <c r="AQY56" s="370"/>
      <c r="AQZ56" s="370"/>
      <c r="ARA56" s="370"/>
      <c r="ARB56" s="370"/>
      <c r="ARC56" s="370"/>
      <c r="ARD56" s="370"/>
      <c r="ARE56" s="370"/>
      <c r="ARF56" s="370"/>
      <c r="ARG56" s="370"/>
      <c r="ARH56" s="370"/>
      <c r="ARI56" s="370"/>
      <c r="ARJ56" s="370"/>
      <c r="ARK56" s="370"/>
      <c r="ARL56" s="370"/>
      <c r="ARM56" s="370"/>
      <c r="ARN56" s="370"/>
      <c r="ARO56" s="370"/>
      <c r="ARP56" s="370"/>
      <c r="ARQ56" s="370"/>
      <c r="ARR56" s="370"/>
      <c r="ARS56" s="370"/>
      <c r="ART56" s="370"/>
      <c r="ARU56" s="370"/>
      <c r="ARV56" s="370"/>
      <c r="ARW56" s="370"/>
      <c r="ARX56" s="370"/>
      <c r="ARY56" s="370"/>
      <c r="ARZ56" s="370"/>
      <c r="ASA56" s="370"/>
      <c r="ASB56" s="370"/>
      <c r="ASC56" s="370"/>
      <c r="ASD56" s="370"/>
      <c r="ASE56" s="370"/>
      <c r="ASF56" s="370"/>
      <c r="ASG56" s="370"/>
      <c r="ASH56" s="370"/>
      <c r="ASI56" s="370"/>
      <c r="ASJ56" s="370"/>
      <c r="ASK56" s="370"/>
      <c r="ASL56" s="370"/>
      <c r="ASM56" s="370"/>
      <c r="ASN56" s="370"/>
      <c r="ASO56" s="370"/>
      <c r="ASP56" s="370"/>
      <c r="ASQ56" s="370"/>
      <c r="ASR56" s="370"/>
      <c r="ASS56" s="370"/>
      <c r="AST56" s="370"/>
      <c r="ASU56" s="370"/>
      <c r="ASV56" s="370"/>
      <c r="ASW56" s="370"/>
      <c r="ASX56" s="370"/>
      <c r="ASY56" s="370"/>
      <c r="ASZ56" s="370"/>
      <c r="ATA56" s="370"/>
      <c r="ATB56" s="370"/>
      <c r="ATC56" s="370"/>
      <c r="ATD56" s="370"/>
      <c r="ATE56" s="370"/>
      <c r="ATF56" s="370"/>
      <c r="ATG56" s="370"/>
      <c r="ATH56" s="370"/>
      <c r="ATI56" s="370"/>
      <c r="ATJ56" s="370"/>
      <c r="ATK56" s="370"/>
      <c r="ATL56" s="370"/>
      <c r="ATM56" s="370"/>
      <c r="ATN56" s="370"/>
      <c r="ATO56" s="370"/>
      <c r="ATP56" s="370"/>
      <c r="ATQ56" s="370"/>
      <c r="ATR56" s="370"/>
      <c r="ATS56" s="370"/>
      <c r="ATT56" s="370"/>
      <c r="ATU56" s="370"/>
      <c r="ATV56" s="370"/>
      <c r="ATW56" s="370"/>
      <c r="ATX56" s="370"/>
      <c r="ATY56" s="370"/>
      <c r="ATZ56" s="370"/>
      <c r="AUA56" s="370"/>
      <c r="AUB56" s="370"/>
      <c r="AUC56" s="370"/>
      <c r="AUD56" s="370"/>
      <c r="AUE56" s="370"/>
      <c r="AUF56" s="370"/>
      <c r="AUG56" s="370"/>
      <c r="AUH56" s="370"/>
      <c r="AUI56" s="370"/>
      <c r="AUJ56" s="370"/>
      <c r="AUK56" s="370"/>
      <c r="AUL56" s="370"/>
      <c r="AUM56" s="370"/>
      <c r="AUN56" s="370"/>
      <c r="AUO56" s="370"/>
      <c r="AUP56" s="370"/>
      <c r="AUQ56" s="370"/>
      <c r="AUR56" s="370"/>
      <c r="AUS56" s="370"/>
      <c r="AUT56" s="370"/>
      <c r="AUU56" s="370"/>
      <c r="AUV56" s="370"/>
      <c r="AUW56" s="370"/>
      <c r="AUX56" s="370"/>
      <c r="AUY56" s="370"/>
      <c r="AUZ56" s="370"/>
      <c r="AVA56" s="370"/>
      <c r="AVB56" s="370"/>
      <c r="AVC56" s="370"/>
      <c r="AVD56" s="370"/>
      <c r="AVE56" s="370"/>
      <c r="AVF56" s="370"/>
      <c r="AVG56" s="370"/>
      <c r="AVH56" s="370"/>
      <c r="AVI56" s="370"/>
      <c r="AVJ56" s="370"/>
      <c r="AVK56" s="370"/>
      <c r="AVL56" s="370"/>
      <c r="AVM56" s="370"/>
      <c r="AVN56" s="370"/>
      <c r="AVO56" s="370"/>
      <c r="AVP56" s="370"/>
      <c r="AVQ56" s="370"/>
      <c r="AVR56" s="370"/>
      <c r="AVS56" s="370"/>
      <c r="AVT56" s="370"/>
      <c r="AVU56" s="370"/>
      <c r="AVV56" s="370"/>
      <c r="AVW56" s="370"/>
      <c r="AVX56" s="370"/>
      <c r="AVY56" s="370"/>
      <c r="AVZ56" s="370"/>
      <c r="AWA56" s="370"/>
      <c r="AWB56" s="370"/>
      <c r="AWC56" s="370"/>
      <c r="AWD56" s="370"/>
      <c r="AWE56" s="370"/>
      <c r="AWF56" s="370"/>
      <c r="AWG56" s="370"/>
      <c r="AWH56" s="370"/>
      <c r="AWI56" s="370"/>
      <c r="AWJ56" s="370"/>
      <c r="AWK56" s="370"/>
      <c r="AWL56" s="370"/>
      <c r="AWM56" s="370"/>
      <c r="AWN56" s="370"/>
      <c r="AWO56" s="370"/>
      <c r="AWP56" s="370"/>
      <c r="AWQ56" s="370"/>
      <c r="AWR56" s="370"/>
      <c r="AWS56" s="370"/>
      <c r="AWT56" s="370"/>
      <c r="AWU56" s="370"/>
      <c r="AWV56" s="370"/>
      <c r="AWW56" s="370"/>
      <c r="AWX56" s="370"/>
      <c r="AWY56" s="370"/>
      <c r="AWZ56" s="370"/>
      <c r="AXA56" s="370"/>
      <c r="AXB56" s="370"/>
      <c r="AXC56" s="370"/>
      <c r="AXD56" s="370"/>
      <c r="AXE56" s="370"/>
      <c r="AXF56" s="370"/>
      <c r="AXG56" s="370"/>
      <c r="AXH56" s="370"/>
      <c r="AXI56" s="370"/>
      <c r="AXJ56" s="370"/>
      <c r="AXK56" s="370"/>
      <c r="AXL56" s="370"/>
      <c r="AXM56" s="370"/>
      <c r="AXN56" s="370"/>
      <c r="AXO56" s="370"/>
      <c r="AXP56" s="370"/>
      <c r="AXQ56" s="370"/>
      <c r="AXR56" s="370"/>
      <c r="AXS56" s="370"/>
      <c r="AXT56" s="370"/>
      <c r="AXU56" s="370"/>
      <c r="AXV56" s="370"/>
      <c r="AXW56" s="370"/>
      <c r="AXX56" s="370"/>
      <c r="AXY56" s="370"/>
      <c r="AXZ56" s="370"/>
      <c r="AYA56" s="370"/>
      <c r="AYB56" s="370"/>
      <c r="AYC56" s="370"/>
      <c r="AYD56" s="370"/>
      <c r="AYE56" s="370"/>
      <c r="AYF56" s="370"/>
      <c r="AYG56" s="370"/>
      <c r="AYH56" s="370"/>
      <c r="AYI56" s="370"/>
      <c r="AYJ56" s="370"/>
      <c r="AYK56" s="370"/>
      <c r="AYL56" s="370"/>
      <c r="AYM56" s="370"/>
      <c r="AYN56" s="370"/>
      <c r="AYO56" s="370"/>
      <c r="AYP56" s="370"/>
      <c r="AYQ56" s="370"/>
      <c r="AYR56" s="370"/>
      <c r="AYS56" s="370"/>
      <c r="AYT56" s="370"/>
      <c r="AYU56" s="370"/>
      <c r="AYV56" s="370"/>
      <c r="AYW56" s="370"/>
      <c r="AYX56" s="370"/>
      <c r="AYY56" s="370"/>
      <c r="AYZ56" s="370"/>
      <c r="AZA56" s="370"/>
      <c r="AZB56" s="370"/>
      <c r="AZC56" s="370"/>
      <c r="AZD56" s="370"/>
      <c r="AZE56" s="370"/>
      <c r="AZF56" s="370"/>
      <c r="AZG56" s="370"/>
      <c r="AZH56" s="370"/>
      <c r="AZI56" s="370"/>
      <c r="AZJ56" s="370"/>
      <c r="AZK56" s="370"/>
      <c r="AZL56" s="370"/>
      <c r="AZM56" s="370"/>
      <c r="AZN56" s="370"/>
      <c r="AZO56" s="370"/>
      <c r="AZP56" s="370"/>
      <c r="AZQ56" s="370"/>
      <c r="AZR56" s="370"/>
      <c r="AZS56" s="370"/>
      <c r="AZT56" s="370"/>
      <c r="AZU56" s="370"/>
      <c r="AZV56" s="370"/>
      <c r="AZW56" s="370"/>
      <c r="AZX56" s="370"/>
      <c r="AZY56" s="370"/>
      <c r="AZZ56" s="370"/>
      <c r="BAA56" s="370"/>
      <c r="BAB56" s="370"/>
      <c r="BAC56" s="370"/>
      <c r="BAD56" s="370"/>
      <c r="BAE56" s="370"/>
      <c r="BAF56" s="370"/>
      <c r="BAG56" s="370"/>
      <c r="BAH56" s="370"/>
      <c r="BAI56" s="370"/>
      <c r="BAJ56" s="370"/>
      <c r="BAK56" s="370"/>
      <c r="BAL56" s="370"/>
      <c r="BAM56" s="370"/>
      <c r="BAN56" s="370"/>
      <c r="BAO56" s="370"/>
      <c r="BAP56" s="370"/>
      <c r="BAQ56" s="370"/>
      <c r="BAR56" s="370"/>
      <c r="BAS56" s="370"/>
      <c r="BAT56" s="370"/>
      <c r="BAU56" s="370"/>
      <c r="BAV56" s="370"/>
      <c r="BAW56" s="370"/>
      <c r="BAX56" s="370"/>
      <c r="BAY56" s="370"/>
      <c r="BAZ56" s="370"/>
      <c r="BBA56" s="370"/>
      <c r="BBB56" s="370"/>
      <c r="BBC56" s="370"/>
      <c r="BBD56" s="370"/>
      <c r="BBE56" s="370"/>
      <c r="BBF56" s="370"/>
      <c r="BBG56" s="370"/>
      <c r="BBH56" s="370"/>
      <c r="BBI56" s="370"/>
      <c r="BBJ56" s="370"/>
      <c r="BBK56" s="370"/>
      <c r="BBL56" s="370"/>
      <c r="BBM56" s="370"/>
      <c r="BBN56" s="370"/>
      <c r="BBO56" s="370"/>
      <c r="BBP56" s="370"/>
      <c r="BBQ56" s="370"/>
      <c r="BBR56" s="370"/>
      <c r="BBS56" s="370"/>
      <c r="BBT56" s="370"/>
      <c r="BBU56" s="370"/>
      <c r="BBV56" s="370"/>
      <c r="BBW56" s="370"/>
      <c r="BBX56" s="370"/>
      <c r="BBY56" s="370"/>
      <c r="BBZ56" s="370"/>
      <c r="BCA56" s="370"/>
      <c r="BCB56" s="370"/>
      <c r="BCC56" s="370"/>
      <c r="BCD56" s="370"/>
      <c r="BCE56" s="370"/>
      <c r="BCF56" s="370"/>
      <c r="BCG56" s="370"/>
      <c r="BCH56" s="370"/>
      <c r="BCI56" s="370"/>
      <c r="BCJ56" s="370"/>
      <c r="BCK56" s="370"/>
      <c r="BCL56" s="370"/>
      <c r="BCM56" s="370"/>
      <c r="BCN56" s="370"/>
      <c r="BCO56" s="370"/>
      <c r="BCP56" s="370"/>
      <c r="BCQ56" s="370"/>
      <c r="BCR56" s="370"/>
      <c r="BCS56" s="370"/>
      <c r="BCT56" s="370"/>
      <c r="BCU56" s="370"/>
      <c r="BCV56" s="370"/>
      <c r="BCW56" s="370"/>
      <c r="BCX56" s="370"/>
      <c r="BCY56" s="370"/>
      <c r="BCZ56" s="370"/>
      <c r="BDA56" s="370"/>
      <c r="BDB56" s="370"/>
      <c r="BDC56" s="370"/>
      <c r="BDD56" s="370"/>
      <c r="BDE56" s="370"/>
      <c r="BDF56" s="370"/>
      <c r="BDG56" s="370"/>
      <c r="BDH56" s="370"/>
      <c r="BDI56" s="370"/>
      <c r="BDJ56" s="370"/>
      <c r="BDK56" s="370"/>
      <c r="BDL56" s="370"/>
      <c r="BDM56" s="370"/>
      <c r="BDN56" s="370"/>
      <c r="BDO56" s="370"/>
      <c r="BDP56" s="370"/>
      <c r="BDQ56" s="370"/>
      <c r="BDR56" s="370"/>
      <c r="BDS56" s="370"/>
      <c r="BDT56" s="370"/>
      <c r="BDU56" s="370"/>
      <c r="BDV56" s="370"/>
      <c r="BDW56" s="370"/>
      <c r="BDX56" s="370"/>
      <c r="BDY56" s="370"/>
      <c r="BDZ56" s="370"/>
      <c r="BEA56" s="370"/>
      <c r="BEB56" s="370"/>
      <c r="BEC56" s="370"/>
      <c r="BED56" s="370"/>
      <c r="BEE56" s="370"/>
      <c r="BEF56" s="370"/>
      <c r="BEG56" s="370"/>
      <c r="BEH56" s="370"/>
      <c r="BEI56" s="370"/>
      <c r="BEJ56" s="370"/>
      <c r="BEK56" s="370"/>
      <c r="BEL56" s="370"/>
      <c r="BEM56" s="370"/>
      <c r="BEN56" s="370"/>
      <c r="BEO56" s="370"/>
      <c r="BEP56" s="370"/>
      <c r="BEQ56" s="370"/>
      <c r="BER56" s="370"/>
      <c r="BES56" s="370"/>
      <c r="BET56" s="370"/>
      <c r="BEU56" s="370"/>
      <c r="BEV56" s="370"/>
      <c r="BEW56" s="370"/>
      <c r="BEX56" s="370"/>
      <c r="BEY56" s="370"/>
      <c r="BEZ56" s="370"/>
      <c r="BFA56" s="370"/>
      <c r="BFB56" s="370"/>
      <c r="BFC56" s="370"/>
      <c r="BFD56" s="370"/>
      <c r="BFE56" s="370"/>
      <c r="BFF56" s="370"/>
      <c r="BFG56" s="370"/>
      <c r="BFH56" s="370"/>
      <c r="BFI56" s="370"/>
      <c r="BFJ56" s="370"/>
      <c r="BFK56" s="370"/>
      <c r="BFL56" s="370"/>
      <c r="BFM56" s="370"/>
      <c r="BFN56" s="370"/>
      <c r="BFO56" s="370"/>
      <c r="BFP56" s="370"/>
      <c r="BFQ56" s="370"/>
      <c r="BFR56" s="370"/>
      <c r="BFS56" s="370"/>
      <c r="BFT56" s="370"/>
      <c r="BFU56" s="370"/>
      <c r="BFV56" s="370"/>
      <c r="BFW56" s="370"/>
      <c r="BFX56" s="370"/>
      <c r="BFY56" s="370"/>
      <c r="BFZ56" s="370"/>
      <c r="BGA56" s="370"/>
      <c r="BGB56" s="370"/>
      <c r="BGC56" s="370"/>
      <c r="BGD56" s="370"/>
      <c r="BGE56" s="370"/>
      <c r="BGF56" s="370"/>
      <c r="BGG56" s="370"/>
      <c r="BGH56" s="370"/>
      <c r="BGI56" s="370"/>
      <c r="BGJ56" s="370"/>
      <c r="BGK56" s="370"/>
      <c r="BGL56" s="370"/>
      <c r="BGM56" s="370"/>
      <c r="BGN56" s="370"/>
      <c r="BGO56" s="370"/>
      <c r="BGP56" s="370"/>
      <c r="BGQ56" s="370"/>
      <c r="BGR56" s="370"/>
      <c r="BGS56" s="370"/>
      <c r="BGT56" s="370"/>
      <c r="BGU56" s="370"/>
      <c r="BGV56" s="370"/>
      <c r="BGW56" s="370"/>
      <c r="BGX56" s="370"/>
      <c r="BGY56" s="370"/>
      <c r="BGZ56" s="370"/>
      <c r="BHA56" s="370"/>
      <c r="BHB56" s="370"/>
      <c r="BHC56" s="370"/>
      <c r="BHD56" s="370"/>
      <c r="BHE56" s="370"/>
      <c r="BHF56" s="370"/>
      <c r="BHG56" s="370"/>
      <c r="BHH56" s="370"/>
      <c r="BHI56" s="370"/>
      <c r="BHJ56" s="370"/>
      <c r="BHK56" s="370"/>
      <c r="BHL56" s="370"/>
      <c r="BHM56" s="370"/>
      <c r="BHN56" s="370"/>
      <c r="BHO56" s="370"/>
      <c r="BHP56" s="370"/>
      <c r="BHQ56" s="370"/>
      <c r="BHR56" s="370"/>
      <c r="BHS56" s="370"/>
      <c r="BHT56" s="370"/>
      <c r="BHU56" s="370"/>
      <c r="BHV56" s="370"/>
      <c r="BHW56" s="370"/>
      <c r="BHX56" s="370"/>
      <c r="BHY56" s="370"/>
      <c r="BHZ56" s="370"/>
      <c r="BIA56" s="370"/>
      <c r="BIB56" s="370"/>
      <c r="BIC56" s="370"/>
      <c r="BID56" s="370"/>
      <c r="BIE56" s="370"/>
      <c r="BIF56" s="370"/>
      <c r="BIG56" s="370"/>
      <c r="BIH56" s="370"/>
      <c r="BII56" s="370"/>
      <c r="BIJ56" s="370"/>
      <c r="BIK56" s="370"/>
      <c r="BIL56" s="370"/>
      <c r="BIM56" s="370"/>
      <c r="BIN56" s="370"/>
      <c r="BIO56" s="370"/>
      <c r="BIP56" s="370"/>
      <c r="BIQ56" s="370"/>
      <c r="BIR56" s="370"/>
      <c r="BIS56" s="370"/>
      <c r="BIT56" s="370"/>
      <c r="BIU56" s="370"/>
      <c r="BIV56" s="370"/>
      <c r="BIW56" s="370"/>
      <c r="BIX56" s="370"/>
      <c r="BIY56" s="370"/>
      <c r="BIZ56" s="370"/>
      <c r="BJA56" s="370"/>
      <c r="BJB56" s="370"/>
      <c r="BJC56" s="370"/>
      <c r="BJD56" s="370"/>
      <c r="BJE56" s="370"/>
      <c r="BJF56" s="370"/>
      <c r="BJG56" s="370"/>
      <c r="BJH56" s="370"/>
      <c r="BJI56" s="370"/>
      <c r="BJJ56" s="370"/>
      <c r="BJK56" s="370"/>
      <c r="BJL56" s="370"/>
      <c r="BJM56" s="370"/>
      <c r="BJN56" s="370"/>
      <c r="BJO56" s="370"/>
      <c r="BJP56" s="370"/>
      <c r="BJQ56" s="370"/>
      <c r="BJR56" s="370"/>
      <c r="BJS56" s="370"/>
      <c r="BJT56" s="370"/>
      <c r="BJU56" s="370"/>
      <c r="BJV56" s="370"/>
      <c r="BJW56" s="370"/>
      <c r="BJX56" s="370"/>
      <c r="BJY56" s="370"/>
      <c r="BJZ56" s="370"/>
      <c r="BKA56" s="370"/>
      <c r="BKB56" s="370"/>
      <c r="BKC56" s="370"/>
      <c r="BKD56" s="370"/>
      <c r="BKE56" s="370"/>
      <c r="BKF56" s="370"/>
      <c r="BKG56" s="370"/>
      <c r="BKH56" s="370"/>
      <c r="BKI56" s="370"/>
      <c r="BKJ56" s="370"/>
      <c r="BKK56" s="370"/>
      <c r="BKL56" s="370"/>
      <c r="BKM56" s="370"/>
      <c r="BKN56" s="370"/>
      <c r="BKO56" s="370"/>
      <c r="BKP56" s="370"/>
      <c r="BKQ56" s="370"/>
      <c r="BKR56" s="370"/>
      <c r="BKS56" s="370"/>
      <c r="BKT56" s="370"/>
      <c r="BKU56" s="370"/>
      <c r="BKV56" s="370"/>
      <c r="BKW56" s="370"/>
      <c r="BKX56" s="370"/>
      <c r="BKY56" s="370"/>
      <c r="BKZ56" s="370"/>
      <c r="BLA56" s="370"/>
      <c r="BLB56" s="370"/>
      <c r="BLC56" s="370"/>
      <c r="BLD56" s="370"/>
      <c r="BLE56" s="370"/>
      <c r="BLF56" s="370"/>
      <c r="BLG56" s="370"/>
      <c r="BLH56" s="370"/>
      <c r="BLI56" s="370"/>
      <c r="BLJ56" s="370"/>
      <c r="BLK56" s="370"/>
      <c r="BLL56" s="370"/>
      <c r="BLM56" s="370"/>
      <c r="BLN56" s="370"/>
      <c r="BLO56" s="370"/>
      <c r="BLP56" s="370"/>
      <c r="BLQ56" s="370"/>
      <c r="BLR56" s="370"/>
      <c r="BLS56" s="370"/>
      <c r="BLT56" s="370"/>
      <c r="BLU56" s="370"/>
      <c r="BLV56" s="370"/>
      <c r="BLW56" s="370"/>
      <c r="BLX56" s="370"/>
      <c r="BLY56" s="370"/>
      <c r="BLZ56" s="370"/>
      <c r="BMA56" s="370"/>
      <c r="BMB56" s="370"/>
      <c r="BMC56" s="370"/>
      <c r="BMD56" s="370"/>
      <c r="BME56" s="370"/>
      <c r="BMF56" s="370"/>
      <c r="BMG56" s="370"/>
      <c r="BMH56" s="370"/>
      <c r="BMI56" s="370"/>
      <c r="BMJ56" s="370"/>
      <c r="BMK56" s="370"/>
      <c r="BML56" s="370"/>
      <c r="BMM56" s="370"/>
      <c r="BMN56" s="370"/>
      <c r="BMO56" s="370"/>
      <c r="BMP56" s="370"/>
      <c r="BMQ56" s="370"/>
      <c r="BMR56" s="370"/>
      <c r="BMS56" s="370"/>
      <c r="BMT56" s="370"/>
      <c r="BMU56" s="370"/>
      <c r="BMV56" s="370"/>
      <c r="BMW56" s="370"/>
      <c r="BMX56" s="370"/>
      <c r="BMY56" s="370"/>
      <c r="BMZ56" s="370"/>
      <c r="BNA56" s="370"/>
      <c r="BNB56" s="370"/>
      <c r="BNC56" s="370"/>
      <c r="BND56" s="370"/>
      <c r="BNE56" s="370"/>
      <c r="BNF56" s="370"/>
      <c r="BNG56" s="370"/>
      <c r="BNH56" s="370"/>
      <c r="BNI56" s="370"/>
      <c r="BNJ56" s="370"/>
      <c r="BNK56" s="370"/>
      <c r="BNL56" s="370"/>
      <c r="BNM56" s="370"/>
      <c r="BNN56" s="370"/>
      <c r="BNO56" s="370"/>
      <c r="BNP56" s="370"/>
      <c r="BNQ56" s="370"/>
      <c r="BNR56" s="370"/>
      <c r="BNS56" s="370"/>
      <c r="BNT56" s="370"/>
      <c r="BNU56" s="370"/>
      <c r="BNV56" s="370"/>
      <c r="BNW56" s="370"/>
      <c r="BNX56" s="370"/>
      <c r="BNY56" s="370"/>
      <c r="BNZ56" s="370"/>
      <c r="BOA56" s="370"/>
      <c r="BOB56" s="370"/>
      <c r="BOC56" s="370"/>
      <c r="BOD56" s="370"/>
      <c r="BOE56" s="370"/>
      <c r="BOF56" s="370"/>
      <c r="BOG56" s="370"/>
      <c r="BOH56" s="370"/>
      <c r="BOI56" s="370"/>
      <c r="BOJ56" s="370"/>
      <c r="BOK56" s="370"/>
      <c r="BOL56" s="370"/>
      <c r="BOM56" s="370"/>
      <c r="BON56" s="370"/>
      <c r="BOO56" s="370"/>
      <c r="BOP56" s="370"/>
      <c r="BOQ56" s="370"/>
      <c r="BOR56" s="370"/>
      <c r="BOS56" s="370"/>
      <c r="BOT56" s="370"/>
      <c r="BOU56" s="370"/>
      <c r="BOV56" s="370"/>
      <c r="BOW56" s="370"/>
      <c r="BOX56" s="370"/>
      <c r="BOY56" s="370"/>
      <c r="BOZ56" s="370"/>
      <c r="BPA56" s="370"/>
      <c r="BPB56" s="370"/>
      <c r="BPC56" s="370"/>
      <c r="BPD56" s="370"/>
      <c r="BPE56" s="370"/>
      <c r="BPF56" s="370"/>
      <c r="BPG56" s="370"/>
      <c r="BPH56" s="370"/>
      <c r="BPI56" s="370"/>
      <c r="BPJ56" s="370"/>
      <c r="BPK56" s="370"/>
      <c r="BPL56" s="370"/>
      <c r="BPM56" s="370"/>
      <c r="BPN56" s="370"/>
      <c r="BPO56" s="370"/>
      <c r="BPP56" s="370"/>
      <c r="BPQ56" s="370"/>
      <c r="BPR56" s="370"/>
      <c r="BPS56" s="370"/>
      <c r="BPT56" s="370"/>
      <c r="BPU56" s="370"/>
      <c r="BPV56" s="370"/>
      <c r="BPW56" s="370"/>
      <c r="BPX56" s="370"/>
      <c r="BPY56" s="370"/>
      <c r="BPZ56" s="370"/>
      <c r="BQA56" s="370"/>
      <c r="BQB56" s="370"/>
      <c r="BQC56" s="370"/>
      <c r="BQD56" s="370"/>
      <c r="BQE56" s="370"/>
      <c r="BQF56" s="370"/>
      <c r="BQG56" s="370"/>
      <c r="BQH56" s="370"/>
      <c r="BQI56" s="370"/>
      <c r="BQJ56" s="370"/>
      <c r="BQK56" s="370"/>
      <c r="BQL56" s="370"/>
      <c r="BQM56" s="370"/>
      <c r="BQN56" s="370"/>
      <c r="BQO56" s="370"/>
      <c r="BQP56" s="370"/>
      <c r="BQQ56" s="370"/>
      <c r="BQR56" s="370"/>
      <c r="BQS56" s="370"/>
      <c r="BQT56" s="370"/>
      <c r="BQU56" s="370"/>
      <c r="BQV56" s="370"/>
      <c r="BQW56" s="370"/>
      <c r="BQX56" s="370"/>
      <c r="BQY56" s="370"/>
      <c r="BQZ56" s="370"/>
      <c r="BRA56" s="370"/>
      <c r="BRB56" s="370"/>
      <c r="BRC56" s="370"/>
      <c r="BRD56" s="370"/>
      <c r="BRE56" s="370"/>
      <c r="BRF56" s="370"/>
      <c r="BRG56" s="370"/>
      <c r="BRH56" s="370"/>
      <c r="BRI56" s="370"/>
      <c r="BRJ56" s="370"/>
      <c r="BRK56" s="370"/>
      <c r="BRL56" s="370"/>
      <c r="BRM56" s="370"/>
      <c r="BRN56" s="370"/>
      <c r="BRO56" s="370"/>
      <c r="BRP56" s="370"/>
      <c r="BRQ56" s="370"/>
      <c r="BRR56" s="370"/>
      <c r="BRS56" s="370"/>
      <c r="BRT56" s="370"/>
      <c r="BRU56" s="370"/>
      <c r="BRV56" s="370"/>
      <c r="BRW56" s="370"/>
      <c r="BRX56" s="370"/>
      <c r="BRY56" s="370"/>
      <c r="BRZ56" s="370"/>
      <c r="BSA56" s="370"/>
      <c r="BSB56" s="370"/>
      <c r="BSC56" s="370"/>
      <c r="BSD56" s="370"/>
      <c r="BSE56" s="370"/>
      <c r="BSF56" s="370"/>
      <c r="BSG56" s="370"/>
      <c r="BSH56" s="370"/>
      <c r="BSI56" s="370"/>
      <c r="BSJ56" s="370"/>
      <c r="BSK56" s="370"/>
      <c r="BSL56" s="370"/>
      <c r="BSM56" s="370"/>
      <c r="BSN56" s="370"/>
      <c r="BSO56" s="370"/>
      <c r="BSP56" s="370"/>
      <c r="BSQ56" s="370"/>
      <c r="BSR56" s="370"/>
      <c r="BSS56" s="370"/>
      <c r="BST56" s="370"/>
      <c r="BSU56" s="370"/>
      <c r="BSV56" s="370"/>
      <c r="BSW56" s="370"/>
      <c r="BSX56" s="370"/>
      <c r="BSY56" s="370"/>
      <c r="BSZ56" s="370"/>
      <c r="BTA56" s="370"/>
      <c r="BTB56" s="370"/>
      <c r="BTC56" s="370"/>
      <c r="BTD56" s="370"/>
      <c r="BTE56" s="370"/>
      <c r="BTF56" s="370"/>
      <c r="BTG56" s="370"/>
      <c r="BTH56" s="370"/>
      <c r="BTI56" s="370"/>
      <c r="BTJ56" s="370"/>
      <c r="BTK56" s="370"/>
      <c r="BTL56" s="370"/>
      <c r="BTM56" s="370"/>
      <c r="BTN56" s="370"/>
      <c r="BTO56" s="370"/>
      <c r="BTP56" s="370"/>
      <c r="BTQ56" s="370"/>
      <c r="BTR56" s="370"/>
      <c r="BTS56" s="370"/>
      <c r="BTT56" s="370"/>
      <c r="BTU56" s="370"/>
      <c r="BTV56" s="370"/>
      <c r="BTW56" s="370"/>
      <c r="BTX56" s="370"/>
      <c r="BTY56" s="370"/>
      <c r="BTZ56" s="370"/>
      <c r="BUA56" s="370"/>
      <c r="BUB56" s="370"/>
      <c r="BUC56" s="370"/>
      <c r="BUD56" s="370"/>
      <c r="BUE56" s="370"/>
      <c r="BUF56" s="370"/>
      <c r="BUG56" s="370"/>
      <c r="BUH56" s="370"/>
      <c r="BUI56" s="370"/>
      <c r="BUJ56" s="370"/>
      <c r="BUK56" s="370"/>
      <c r="BUL56" s="370"/>
      <c r="BUM56" s="370"/>
      <c r="BUN56" s="370"/>
      <c r="BUO56" s="370"/>
      <c r="BUP56" s="370"/>
      <c r="BUQ56" s="370"/>
      <c r="BUR56" s="370"/>
      <c r="BUS56" s="370"/>
      <c r="BUT56" s="370"/>
      <c r="BUU56" s="370"/>
      <c r="BUV56" s="370"/>
      <c r="BUW56" s="370"/>
      <c r="BUX56" s="370"/>
      <c r="BUY56" s="370"/>
      <c r="BUZ56" s="370"/>
      <c r="BVA56" s="370"/>
      <c r="BVB56" s="370"/>
      <c r="BVC56" s="370"/>
      <c r="BVD56" s="370"/>
      <c r="BVE56" s="370"/>
      <c r="BVF56" s="370"/>
      <c r="BVG56" s="370"/>
      <c r="BVH56" s="370"/>
      <c r="BVI56" s="370"/>
      <c r="BVJ56" s="370"/>
      <c r="BVK56" s="370"/>
      <c r="BVL56" s="370"/>
      <c r="BVM56" s="370"/>
      <c r="BVN56" s="370"/>
      <c r="BVO56" s="370"/>
      <c r="BVP56" s="370"/>
      <c r="BVQ56" s="370"/>
      <c r="BVR56" s="370"/>
      <c r="BVS56" s="370"/>
      <c r="BVT56" s="370"/>
      <c r="BVU56" s="370"/>
      <c r="BVV56" s="370"/>
      <c r="BVW56" s="370"/>
      <c r="BVX56" s="370"/>
      <c r="BVY56" s="370"/>
      <c r="BVZ56" s="370"/>
      <c r="BWA56" s="370"/>
      <c r="BWB56" s="370"/>
      <c r="BWC56" s="370"/>
      <c r="BWD56" s="370"/>
      <c r="BWE56" s="370"/>
      <c r="BWF56" s="370"/>
      <c r="BWG56" s="370"/>
      <c r="BWH56" s="370"/>
      <c r="BWI56" s="370"/>
      <c r="BWJ56" s="370"/>
      <c r="BWK56" s="370"/>
      <c r="BWL56" s="370"/>
      <c r="BWM56" s="370"/>
      <c r="BWN56" s="370"/>
      <c r="BWO56" s="370"/>
      <c r="BWP56" s="370"/>
      <c r="BWQ56" s="370"/>
      <c r="BWR56" s="370"/>
      <c r="BWS56" s="370"/>
      <c r="BWT56" s="370"/>
      <c r="BWU56" s="370"/>
      <c r="BWV56" s="370"/>
      <c r="BWW56" s="370"/>
      <c r="BWX56" s="370"/>
      <c r="BWY56" s="370"/>
      <c r="BWZ56" s="370"/>
      <c r="BXA56" s="370"/>
      <c r="BXB56" s="370"/>
      <c r="BXC56" s="370"/>
      <c r="BXD56" s="370"/>
      <c r="BXE56" s="370"/>
      <c r="BXF56" s="370"/>
      <c r="BXG56" s="370"/>
      <c r="BXH56" s="370"/>
      <c r="BXI56" s="370"/>
      <c r="BXJ56" s="370"/>
      <c r="BXK56" s="370"/>
      <c r="BXL56" s="370"/>
      <c r="BXM56" s="370"/>
      <c r="BXN56" s="370"/>
      <c r="BXO56" s="370"/>
      <c r="BXP56" s="370"/>
      <c r="BXQ56" s="370"/>
      <c r="BXR56" s="370"/>
      <c r="BXS56" s="370"/>
      <c r="BXT56" s="370"/>
      <c r="BXU56" s="370"/>
      <c r="BXV56" s="370"/>
      <c r="BXW56" s="370"/>
      <c r="BXX56" s="370"/>
      <c r="BXY56" s="370"/>
      <c r="BXZ56" s="370"/>
      <c r="BYA56" s="370"/>
      <c r="BYB56" s="370"/>
      <c r="BYC56" s="370"/>
      <c r="BYD56" s="370"/>
      <c r="BYE56" s="370"/>
      <c r="BYF56" s="370"/>
      <c r="BYG56" s="370"/>
      <c r="BYH56" s="370"/>
      <c r="BYI56" s="370"/>
      <c r="BYJ56" s="370"/>
      <c r="BYK56" s="370"/>
      <c r="BYL56" s="370"/>
      <c r="BYM56" s="370"/>
      <c r="BYN56" s="370"/>
      <c r="BYO56" s="370"/>
      <c r="BYP56" s="370"/>
      <c r="BYQ56" s="370"/>
      <c r="BYR56" s="370"/>
      <c r="BYS56" s="370"/>
      <c r="BYT56" s="370"/>
      <c r="BYU56" s="370"/>
      <c r="BYV56" s="370"/>
      <c r="BYW56" s="370"/>
      <c r="BYX56" s="370"/>
      <c r="BYY56" s="370"/>
      <c r="BYZ56" s="370"/>
      <c r="BZA56" s="370"/>
      <c r="BZB56" s="370"/>
      <c r="BZC56" s="370"/>
      <c r="BZD56" s="370"/>
      <c r="BZE56" s="370"/>
      <c r="BZF56" s="370"/>
      <c r="BZG56" s="370"/>
      <c r="BZH56" s="370"/>
      <c r="BZI56" s="370"/>
      <c r="BZJ56" s="370"/>
      <c r="BZK56" s="370"/>
      <c r="BZL56" s="370"/>
      <c r="BZM56" s="370"/>
      <c r="BZN56" s="370"/>
      <c r="BZO56" s="370"/>
      <c r="BZP56" s="370"/>
      <c r="BZQ56" s="370"/>
      <c r="BZR56" s="370"/>
      <c r="BZS56" s="370"/>
      <c r="BZT56" s="370"/>
      <c r="BZU56" s="370"/>
      <c r="BZV56" s="370"/>
      <c r="BZW56" s="370"/>
      <c r="BZX56" s="370"/>
      <c r="BZY56" s="370"/>
      <c r="BZZ56" s="370"/>
      <c r="CAA56" s="370"/>
      <c r="CAB56" s="370"/>
      <c r="CAC56" s="370"/>
      <c r="CAD56" s="370"/>
      <c r="CAE56" s="370"/>
      <c r="CAF56" s="370"/>
      <c r="CAG56" s="370"/>
      <c r="CAH56" s="370"/>
      <c r="CAI56" s="370"/>
      <c r="CAJ56" s="370"/>
      <c r="CAK56" s="370"/>
      <c r="CAL56" s="370"/>
      <c r="CAM56" s="370"/>
      <c r="CAN56" s="370"/>
      <c r="CAO56" s="370"/>
      <c r="CAP56" s="370"/>
      <c r="CAQ56" s="370"/>
      <c r="CAR56" s="370"/>
      <c r="CAS56" s="370"/>
      <c r="CAT56" s="370"/>
      <c r="CAU56" s="370"/>
      <c r="CAV56" s="370"/>
      <c r="CAW56" s="370"/>
      <c r="CAX56" s="370"/>
      <c r="CAY56" s="370"/>
      <c r="CAZ56" s="370"/>
      <c r="CBA56" s="370"/>
      <c r="CBB56" s="370"/>
      <c r="CBC56" s="370"/>
      <c r="CBD56" s="370"/>
      <c r="CBE56" s="370"/>
      <c r="CBF56" s="370"/>
      <c r="CBG56" s="370"/>
      <c r="CBH56" s="370"/>
      <c r="CBI56" s="370"/>
      <c r="CBJ56" s="370"/>
      <c r="CBK56" s="370"/>
      <c r="CBL56" s="370"/>
      <c r="CBM56" s="370"/>
      <c r="CBN56" s="370"/>
      <c r="CBO56" s="370"/>
      <c r="CBP56" s="370"/>
      <c r="CBQ56" s="370"/>
      <c r="CBR56" s="370"/>
      <c r="CBS56" s="370"/>
      <c r="CBT56" s="370"/>
      <c r="CBU56" s="370"/>
      <c r="CBV56" s="370"/>
      <c r="CBW56" s="370"/>
      <c r="CBX56" s="370"/>
      <c r="CBY56" s="370"/>
      <c r="CBZ56" s="370"/>
      <c r="CCA56" s="370"/>
      <c r="CCB56" s="370"/>
      <c r="CCC56" s="370"/>
      <c r="CCD56" s="370"/>
      <c r="CCE56" s="370"/>
      <c r="CCF56" s="370"/>
      <c r="CCG56" s="370"/>
      <c r="CCH56" s="370"/>
      <c r="CCI56" s="370"/>
      <c r="CCJ56" s="370"/>
      <c r="CCK56" s="370"/>
      <c r="CCL56" s="370"/>
      <c r="CCM56" s="370"/>
      <c r="CCN56" s="370"/>
      <c r="CCO56" s="370"/>
      <c r="CCP56" s="370"/>
      <c r="CCQ56" s="370"/>
      <c r="CCR56" s="370"/>
      <c r="CCS56" s="370"/>
      <c r="CCT56" s="370"/>
      <c r="CCU56" s="370"/>
      <c r="CCV56" s="370"/>
      <c r="CCW56" s="370"/>
      <c r="CCX56" s="370"/>
      <c r="CCY56" s="370"/>
      <c r="CCZ56" s="370"/>
      <c r="CDA56" s="370"/>
      <c r="CDB56" s="370"/>
      <c r="CDC56" s="370"/>
      <c r="CDD56" s="370"/>
      <c r="CDE56" s="370"/>
      <c r="CDF56" s="370"/>
      <c r="CDG56" s="370"/>
      <c r="CDH56" s="370"/>
      <c r="CDI56" s="370"/>
      <c r="CDJ56" s="370"/>
      <c r="CDK56" s="370"/>
      <c r="CDL56" s="370"/>
      <c r="CDM56" s="370"/>
      <c r="CDN56" s="370"/>
      <c r="CDO56" s="370"/>
      <c r="CDP56" s="370"/>
      <c r="CDQ56" s="370"/>
      <c r="CDR56" s="370"/>
      <c r="CDS56" s="370"/>
      <c r="CDT56" s="370"/>
      <c r="CDU56" s="370"/>
      <c r="CDV56" s="370"/>
      <c r="CDW56" s="370"/>
      <c r="CDX56" s="370"/>
      <c r="CDY56" s="370"/>
      <c r="CDZ56" s="370"/>
      <c r="CEA56" s="370"/>
      <c r="CEB56" s="370"/>
      <c r="CEC56" s="370"/>
      <c r="CED56" s="370"/>
      <c r="CEE56" s="370"/>
      <c r="CEF56" s="370"/>
      <c r="CEG56" s="370"/>
      <c r="CEH56" s="370"/>
      <c r="CEI56" s="370"/>
      <c r="CEJ56" s="370"/>
      <c r="CEK56" s="370"/>
      <c r="CEL56" s="370"/>
      <c r="CEM56" s="370"/>
      <c r="CEN56" s="370"/>
      <c r="CEO56" s="370"/>
      <c r="CEP56" s="370"/>
      <c r="CEQ56" s="370"/>
      <c r="CER56" s="370"/>
      <c r="CES56" s="370"/>
      <c r="CET56" s="370"/>
      <c r="CEU56" s="370"/>
      <c r="CEV56" s="370"/>
      <c r="CEW56" s="370"/>
      <c r="CEX56" s="370"/>
      <c r="CEY56" s="370"/>
      <c r="CEZ56" s="370"/>
      <c r="CFA56" s="370"/>
      <c r="CFB56" s="370"/>
      <c r="CFC56" s="370"/>
      <c r="CFD56" s="370"/>
      <c r="CFE56" s="370"/>
      <c r="CFF56" s="370"/>
      <c r="CFG56" s="370"/>
      <c r="CFH56" s="370"/>
      <c r="CFI56" s="370"/>
      <c r="CFJ56" s="370"/>
      <c r="CFK56" s="370"/>
      <c r="CFL56" s="370"/>
      <c r="CFM56" s="370"/>
      <c r="CFN56" s="370"/>
      <c r="CFO56" s="370"/>
      <c r="CFP56" s="370"/>
      <c r="CFQ56" s="370"/>
      <c r="CFR56" s="370"/>
      <c r="CFS56" s="370"/>
      <c r="CFT56" s="370"/>
      <c r="CFU56" s="370"/>
      <c r="CFV56" s="370"/>
      <c r="CFW56" s="370"/>
      <c r="CFX56" s="370"/>
      <c r="CFY56" s="370"/>
      <c r="CFZ56" s="370"/>
      <c r="CGA56" s="370"/>
      <c r="CGB56" s="370"/>
      <c r="CGC56" s="370"/>
      <c r="CGD56" s="370"/>
      <c r="CGE56" s="370"/>
      <c r="CGF56" s="370"/>
      <c r="CGG56" s="370"/>
      <c r="CGH56" s="370"/>
      <c r="CGI56" s="370"/>
      <c r="CGJ56" s="370"/>
      <c r="CGK56" s="370"/>
      <c r="CGL56" s="370"/>
      <c r="CGM56" s="370"/>
      <c r="CGN56" s="370"/>
      <c r="CGO56" s="370"/>
      <c r="CGP56" s="370"/>
      <c r="CGQ56" s="370"/>
      <c r="CGR56" s="370"/>
      <c r="CGS56" s="370"/>
      <c r="CGT56" s="370"/>
      <c r="CGU56" s="370"/>
      <c r="CGV56" s="370"/>
      <c r="CGW56" s="370"/>
      <c r="CGX56" s="370"/>
      <c r="CGY56" s="370"/>
      <c r="CGZ56" s="370"/>
      <c r="CHA56" s="370"/>
      <c r="CHB56" s="370"/>
      <c r="CHC56" s="370"/>
      <c r="CHD56" s="370"/>
      <c r="CHE56" s="370"/>
      <c r="CHF56" s="370"/>
      <c r="CHG56" s="370"/>
      <c r="CHH56" s="370"/>
      <c r="CHI56" s="370"/>
      <c r="CHJ56" s="370"/>
      <c r="CHK56" s="370"/>
      <c r="CHL56" s="370"/>
      <c r="CHM56" s="370"/>
      <c r="CHN56" s="370"/>
      <c r="CHO56" s="370"/>
      <c r="CHP56" s="370"/>
      <c r="CHQ56" s="370"/>
      <c r="CHR56" s="370"/>
      <c r="CHS56" s="370"/>
      <c r="CHT56" s="370"/>
      <c r="CHU56" s="370"/>
      <c r="CHV56" s="370"/>
      <c r="CHW56" s="370"/>
      <c r="CHX56" s="370"/>
      <c r="CHY56" s="370"/>
      <c r="CHZ56" s="370"/>
      <c r="CIA56" s="370"/>
      <c r="CIB56" s="370"/>
      <c r="CIC56" s="370"/>
      <c r="CID56" s="370"/>
      <c r="CIE56" s="370"/>
      <c r="CIF56" s="370"/>
      <c r="CIG56" s="370"/>
      <c r="CIH56" s="370"/>
      <c r="CII56" s="370"/>
      <c r="CIJ56" s="370"/>
      <c r="CIK56" s="370"/>
      <c r="CIL56" s="370"/>
      <c r="CIM56" s="370"/>
      <c r="CIN56" s="370"/>
      <c r="CIO56" s="370"/>
      <c r="CIP56" s="370"/>
      <c r="CIQ56" s="370"/>
      <c r="CIR56" s="370"/>
      <c r="CIS56" s="370"/>
      <c r="CIT56" s="370"/>
      <c r="CIU56" s="370"/>
      <c r="CIV56" s="370"/>
      <c r="CIW56" s="370"/>
      <c r="CIX56" s="370"/>
      <c r="CIY56" s="370"/>
      <c r="CIZ56" s="370"/>
      <c r="CJA56" s="370"/>
      <c r="CJB56" s="370"/>
      <c r="CJC56" s="370"/>
      <c r="CJD56" s="370"/>
      <c r="CJE56" s="370"/>
      <c r="CJF56" s="370"/>
      <c r="CJG56" s="370"/>
      <c r="CJH56" s="370"/>
      <c r="CJI56" s="370"/>
      <c r="CJJ56" s="370"/>
      <c r="CJK56" s="370"/>
      <c r="CJL56" s="370"/>
      <c r="CJM56" s="370"/>
      <c r="CJN56" s="370"/>
      <c r="CJO56" s="370"/>
      <c r="CJP56" s="370"/>
      <c r="CJQ56" s="370"/>
      <c r="CJR56" s="370"/>
      <c r="CJS56" s="370"/>
      <c r="CJT56" s="370"/>
      <c r="CJU56" s="370"/>
      <c r="CJV56" s="370"/>
      <c r="CJW56" s="370"/>
      <c r="CJX56" s="370"/>
      <c r="CJY56" s="370"/>
      <c r="CJZ56" s="370"/>
      <c r="CKA56" s="370"/>
      <c r="CKB56" s="370"/>
      <c r="CKC56" s="370"/>
      <c r="CKD56" s="370"/>
      <c r="CKE56" s="370"/>
      <c r="CKF56" s="370"/>
      <c r="CKG56" s="370"/>
      <c r="CKH56" s="370"/>
      <c r="CKI56" s="370"/>
      <c r="CKJ56" s="370"/>
      <c r="CKK56" s="370"/>
      <c r="CKL56" s="370"/>
      <c r="CKM56" s="370"/>
      <c r="CKN56" s="370"/>
      <c r="CKO56" s="370"/>
      <c r="CKP56" s="370"/>
      <c r="CKQ56" s="370"/>
      <c r="CKR56" s="370"/>
      <c r="CKS56" s="370"/>
      <c r="CKT56" s="370"/>
      <c r="CKU56" s="370"/>
      <c r="CKV56" s="370"/>
      <c r="CKW56" s="370"/>
      <c r="CKX56" s="370"/>
      <c r="CKY56" s="370"/>
      <c r="CKZ56" s="370"/>
      <c r="CLA56" s="370"/>
      <c r="CLB56" s="370"/>
      <c r="CLC56" s="370"/>
      <c r="CLD56" s="370"/>
      <c r="CLE56" s="370"/>
      <c r="CLF56" s="370"/>
      <c r="CLG56" s="370"/>
      <c r="CLH56" s="370"/>
      <c r="CLI56" s="370"/>
      <c r="CLJ56" s="370"/>
      <c r="CLK56" s="370"/>
      <c r="CLL56" s="370"/>
      <c r="CLM56" s="370"/>
      <c r="CLN56" s="370"/>
      <c r="CLO56" s="370"/>
      <c r="CLP56" s="370"/>
      <c r="CLQ56" s="370"/>
      <c r="CLR56" s="370"/>
      <c r="CLS56" s="370"/>
      <c r="CLT56" s="370"/>
      <c r="CLU56" s="370"/>
      <c r="CLV56" s="370"/>
      <c r="CLW56" s="370"/>
      <c r="CLX56" s="370"/>
      <c r="CLY56" s="370"/>
      <c r="CLZ56" s="370"/>
      <c r="CMA56" s="370"/>
      <c r="CMB56" s="370"/>
      <c r="CMC56" s="370"/>
      <c r="CMD56" s="370"/>
      <c r="CME56" s="370"/>
      <c r="CMF56" s="370"/>
      <c r="CMG56" s="370"/>
      <c r="CMH56" s="370"/>
      <c r="CMI56" s="370"/>
      <c r="CMJ56" s="370"/>
      <c r="CMK56" s="370"/>
      <c r="CML56" s="370"/>
      <c r="CMM56" s="370"/>
      <c r="CMN56" s="370"/>
      <c r="CMO56" s="370"/>
      <c r="CMP56" s="370"/>
      <c r="CMQ56" s="370"/>
      <c r="CMR56" s="370"/>
      <c r="CMS56" s="370"/>
      <c r="CMT56" s="370"/>
      <c r="CMU56" s="370"/>
      <c r="CMV56" s="370"/>
      <c r="CMW56" s="370"/>
      <c r="CMX56" s="370"/>
      <c r="CMY56" s="370"/>
      <c r="CMZ56" s="370"/>
      <c r="CNA56" s="370"/>
      <c r="CNB56" s="370"/>
      <c r="CNC56" s="370"/>
      <c r="CND56" s="370"/>
      <c r="CNE56" s="370"/>
      <c r="CNF56" s="370"/>
      <c r="CNG56" s="370"/>
      <c r="CNH56" s="370"/>
      <c r="CNI56" s="370"/>
      <c r="CNJ56" s="370"/>
      <c r="CNK56" s="370"/>
      <c r="CNL56" s="370"/>
      <c r="CNM56" s="370"/>
      <c r="CNN56" s="370"/>
      <c r="CNO56" s="370"/>
      <c r="CNP56" s="370"/>
      <c r="CNQ56" s="370"/>
      <c r="CNR56" s="370"/>
      <c r="CNS56" s="370"/>
      <c r="CNT56" s="370"/>
      <c r="CNU56" s="370"/>
      <c r="CNV56" s="370"/>
      <c r="CNW56" s="370"/>
      <c r="CNX56" s="370"/>
      <c r="CNY56" s="370"/>
      <c r="CNZ56" s="370"/>
      <c r="COA56" s="370"/>
      <c r="COB56" s="370"/>
      <c r="COC56" s="370"/>
      <c r="COD56" s="370"/>
      <c r="COE56" s="370"/>
      <c r="COF56" s="370"/>
      <c r="COG56" s="370"/>
      <c r="COH56" s="370"/>
      <c r="COI56" s="370"/>
      <c r="COJ56" s="370"/>
      <c r="COK56" s="370"/>
      <c r="COL56" s="370"/>
      <c r="COM56" s="370"/>
      <c r="CON56" s="370"/>
      <c r="COO56" s="370"/>
      <c r="COP56" s="370"/>
      <c r="COQ56" s="370"/>
      <c r="COR56" s="370"/>
      <c r="COS56" s="370"/>
      <c r="COT56" s="370"/>
      <c r="COU56" s="370"/>
      <c r="COV56" s="370"/>
      <c r="COW56" s="370"/>
      <c r="COX56" s="370"/>
      <c r="COY56" s="370"/>
      <c r="COZ56" s="370"/>
      <c r="CPA56" s="370"/>
      <c r="CPB56" s="370"/>
      <c r="CPC56" s="370"/>
      <c r="CPD56" s="370"/>
      <c r="CPE56" s="370"/>
      <c r="CPF56" s="370"/>
      <c r="CPG56" s="370"/>
      <c r="CPH56" s="370"/>
      <c r="CPI56" s="370"/>
      <c r="CPJ56" s="370"/>
      <c r="CPK56" s="370"/>
      <c r="CPL56" s="370"/>
      <c r="CPM56" s="370"/>
      <c r="CPN56" s="370"/>
      <c r="CPO56" s="370"/>
      <c r="CPP56" s="370"/>
      <c r="CPQ56" s="370"/>
      <c r="CPR56" s="370"/>
      <c r="CPS56" s="370"/>
      <c r="CPT56" s="370"/>
      <c r="CPU56" s="370"/>
      <c r="CPV56" s="370"/>
      <c r="CPW56" s="370"/>
      <c r="CPX56" s="370"/>
      <c r="CPY56" s="370"/>
      <c r="CPZ56" s="370"/>
      <c r="CQA56" s="370"/>
      <c r="CQB56" s="370"/>
      <c r="CQC56" s="370"/>
      <c r="CQD56" s="370"/>
      <c r="CQE56" s="370"/>
      <c r="CQF56" s="370"/>
      <c r="CQG56" s="370"/>
      <c r="CQH56" s="370"/>
      <c r="CQI56" s="370"/>
      <c r="CQJ56" s="370"/>
      <c r="CQK56" s="370"/>
      <c r="CQL56" s="370"/>
      <c r="CQM56" s="370"/>
      <c r="CQN56" s="370"/>
      <c r="CQO56" s="370"/>
      <c r="CQP56" s="370"/>
      <c r="CQQ56" s="370"/>
      <c r="CQR56" s="370"/>
      <c r="CQS56" s="370"/>
      <c r="CQT56" s="370"/>
      <c r="CQU56" s="370"/>
      <c r="CQV56" s="370"/>
      <c r="CQW56" s="370"/>
      <c r="CQX56" s="370"/>
      <c r="CQY56" s="370"/>
      <c r="CQZ56" s="370"/>
      <c r="CRA56" s="370"/>
      <c r="CRB56" s="370"/>
      <c r="CRC56" s="370"/>
      <c r="CRD56" s="370"/>
      <c r="CRE56" s="370"/>
      <c r="CRF56" s="370"/>
      <c r="CRG56" s="370"/>
      <c r="CRH56" s="370"/>
      <c r="CRI56" s="370"/>
      <c r="CRJ56" s="370"/>
      <c r="CRK56" s="370"/>
      <c r="CRL56" s="370"/>
      <c r="CRM56" s="370"/>
      <c r="CRN56" s="370"/>
      <c r="CRO56" s="370"/>
      <c r="CRP56" s="370"/>
      <c r="CRQ56" s="370"/>
      <c r="CRR56" s="370"/>
      <c r="CRS56" s="370"/>
      <c r="CRT56" s="370"/>
      <c r="CRU56" s="370"/>
      <c r="CRV56" s="370"/>
      <c r="CRW56" s="370"/>
      <c r="CRX56" s="370"/>
      <c r="CRY56" s="370"/>
      <c r="CRZ56" s="370"/>
      <c r="CSA56" s="370"/>
      <c r="CSB56" s="370"/>
      <c r="CSC56" s="370"/>
      <c r="CSD56" s="370"/>
      <c r="CSE56" s="370"/>
      <c r="CSF56" s="370"/>
      <c r="CSG56" s="370"/>
      <c r="CSH56" s="370"/>
      <c r="CSI56" s="370"/>
      <c r="CSJ56" s="370"/>
      <c r="CSK56" s="370"/>
      <c r="CSL56" s="370"/>
      <c r="CSM56" s="370"/>
      <c r="CSN56" s="370"/>
      <c r="CSO56" s="370"/>
      <c r="CSP56" s="370"/>
      <c r="CSQ56" s="370"/>
      <c r="CSR56" s="370"/>
      <c r="CSS56" s="370"/>
      <c r="CST56" s="370"/>
      <c r="CSU56" s="370"/>
      <c r="CSV56" s="370"/>
      <c r="CSW56" s="370"/>
      <c r="CSX56" s="370"/>
      <c r="CSY56" s="370"/>
      <c r="CSZ56" s="370"/>
      <c r="CTA56" s="370"/>
      <c r="CTB56" s="370"/>
      <c r="CTC56" s="370"/>
      <c r="CTD56" s="370"/>
      <c r="CTE56" s="370"/>
      <c r="CTF56" s="370"/>
      <c r="CTG56" s="370"/>
      <c r="CTH56" s="370"/>
      <c r="CTI56" s="370"/>
      <c r="CTJ56" s="370"/>
      <c r="CTK56" s="370"/>
      <c r="CTL56" s="370"/>
      <c r="CTM56" s="370"/>
      <c r="CTN56" s="370"/>
      <c r="CTO56" s="370"/>
      <c r="CTP56" s="370"/>
      <c r="CTQ56" s="370"/>
      <c r="CTR56" s="370"/>
      <c r="CTS56" s="370"/>
      <c r="CTT56" s="370"/>
      <c r="CTU56" s="370"/>
      <c r="CTV56" s="370"/>
      <c r="CTW56" s="370"/>
      <c r="CTX56" s="370"/>
      <c r="CTY56" s="370"/>
      <c r="CTZ56" s="370"/>
      <c r="CUA56" s="370"/>
      <c r="CUB56" s="370"/>
      <c r="CUC56" s="370"/>
      <c r="CUD56" s="370"/>
      <c r="CUE56" s="370"/>
      <c r="CUF56" s="370"/>
      <c r="CUG56" s="370"/>
      <c r="CUH56" s="370"/>
      <c r="CUI56" s="370"/>
      <c r="CUJ56" s="370"/>
      <c r="CUK56" s="370"/>
      <c r="CUL56" s="370"/>
      <c r="CUM56" s="370"/>
      <c r="CUN56" s="370"/>
      <c r="CUO56" s="370"/>
      <c r="CUP56" s="370"/>
      <c r="CUQ56" s="370"/>
      <c r="CUR56" s="370"/>
      <c r="CUS56" s="370"/>
      <c r="CUT56" s="370"/>
      <c r="CUU56" s="370"/>
      <c r="CUV56" s="370"/>
      <c r="CUW56" s="370"/>
      <c r="CUX56" s="370"/>
      <c r="CUY56" s="370"/>
      <c r="CUZ56" s="370"/>
      <c r="CVA56" s="370"/>
      <c r="CVB56" s="370"/>
      <c r="CVC56" s="370"/>
      <c r="CVD56" s="370"/>
      <c r="CVE56" s="370"/>
      <c r="CVF56" s="370"/>
      <c r="CVG56" s="370"/>
      <c r="CVH56" s="370"/>
      <c r="CVI56" s="370"/>
      <c r="CVJ56" s="370"/>
      <c r="CVK56" s="370"/>
      <c r="CVL56" s="370"/>
      <c r="CVM56" s="370"/>
      <c r="CVN56" s="370"/>
      <c r="CVO56" s="370"/>
      <c r="CVP56" s="370"/>
      <c r="CVQ56" s="370"/>
      <c r="CVR56" s="370"/>
      <c r="CVS56" s="370"/>
      <c r="CVT56" s="370"/>
      <c r="CVU56" s="370"/>
      <c r="CVV56" s="370"/>
      <c r="CVW56" s="370"/>
      <c r="CVX56" s="370"/>
      <c r="CVY56" s="370"/>
      <c r="CVZ56" s="370"/>
      <c r="CWA56" s="370"/>
      <c r="CWB56" s="370"/>
      <c r="CWC56" s="370"/>
      <c r="CWD56" s="370"/>
      <c r="CWE56" s="370"/>
      <c r="CWF56" s="370"/>
      <c r="CWG56" s="370"/>
      <c r="CWH56" s="370"/>
      <c r="CWI56" s="370"/>
      <c r="CWJ56" s="370"/>
      <c r="CWK56" s="370"/>
      <c r="CWL56" s="370"/>
      <c r="CWM56" s="370"/>
      <c r="CWN56" s="370"/>
      <c r="CWO56" s="370"/>
      <c r="CWP56" s="370"/>
      <c r="CWQ56" s="370"/>
      <c r="CWR56" s="370"/>
      <c r="CWS56" s="370"/>
      <c r="CWT56" s="370"/>
      <c r="CWU56" s="370"/>
      <c r="CWV56" s="370"/>
      <c r="CWW56" s="370"/>
      <c r="CWX56" s="370"/>
      <c r="CWY56" s="370"/>
      <c r="CWZ56" s="370"/>
      <c r="CXA56" s="370"/>
      <c r="CXB56" s="370"/>
      <c r="CXC56" s="370"/>
      <c r="CXD56" s="370"/>
      <c r="CXE56" s="370"/>
      <c r="CXF56" s="370"/>
      <c r="CXG56" s="370"/>
      <c r="CXH56" s="370"/>
      <c r="CXI56" s="370"/>
      <c r="CXJ56" s="370"/>
      <c r="CXK56" s="370"/>
      <c r="CXL56" s="370"/>
      <c r="CXM56" s="370"/>
      <c r="CXN56" s="370"/>
      <c r="CXO56" s="370"/>
      <c r="CXP56" s="370"/>
      <c r="CXQ56" s="370"/>
      <c r="CXR56" s="370"/>
      <c r="CXS56" s="370"/>
      <c r="CXT56" s="370"/>
      <c r="CXU56" s="370"/>
      <c r="CXV56" s="370"/>
      <c r="CXW56" s="370"/>
      <c r="CXX56" s="370"/>
      <c r="CXY56" s="370"/>
      <c r="CXZ56" s="370"/>
      <c r="CYA56" s="370"/>
      <c r="CYB56" s="370"/>
      <c r="CYC56" s="370"/>
      <c r="CYD56" s="370"/>
      <c r="CYE56" s="370"/>
      <c r="CYF56" s="370"/>
      <c r="CYG56" s="370"/>
      <c r="CYH56" s="370"/>
      <c r="CYI56" s="370"/>
      <c r="CYJ56" s="370"/>
      <c r="CYK56" s="370"/>
      <c r="CYL56" s="370"/>
      <c r="CYM56" s="370"/>
      <c r="CYN56" s="370"/>
      <c r="CYO56" s="370"/>
      <c r="CYP56" s="370"/>
      <c r="CYQ56" s="370"/>
      <c r="CYR56" s="370"/>
      <c r="CYS56" s="370"/>
      <c r="CYT56" s="370"/>
      <c r="CYU56" s="370"/>
      <c r="CYV56" s="370"/>
      <c r="CYW56" s="370"/>
      <c r="CYX56" s="370"/>
      <c r="CYY56" s="370"/>
      <c r="CYZ56" s="370"/>
      <c r="CZA56" s="370"/>
      <c r="CZB56" s="370"/>
      <c r="CZC56" s="370"/>
      <c r="CZD56" s="370"/>
      <c r="CZE56" s="370"/>
      <c r="CZF56" s="370"/>
      <c r="CZG56" s="370"/>
      <c r="CZH56" s="370"/>
      <c r="CZI56" s="370"/>
      <c r="CZJ56" s="370"/>
      <c r="CZK56" s="370"/>
      <c r="CZL56" s="370"/>
      <c r="CZM56" s="370"/>
      <c r="CZN56" s="370"/>
      <c r="CZO56" s="370"/>
      <c r="CZP56" s="370"/>
      <c r="CZQ56" s="370"/>
      <c r="CZR56" s="370"/>
      <c r="CZS56" s="370"/>
      <c r="CZT56" s="370"/>
      <c r="CZU56" s="370"/>
      <c r="CZV56" s="370"/>
      <c r="CZW56" s="370"/>
      <c r="CZX56" s="370"/>
      <c r="CZY56" s="370"/>
      <c r="CZZ56" s="370"/>
      <c r="DAA56" s="370"/>
      <c r="DAB56" s="370"/>
      <c r="DAC56" s="370"/>
      <c r="DAD56" s="370"/>
      <c r="DAE56" s="370"/>
      <c r="DAF56" s="370"/>
      <c r="DAG56" s="370"/>
      <c r="DAH56" s="370"/>
      <c r="DAI56" s="370"/>
      <c r="DAJ56" s="370"/>
      <c r="DAK56" s="370"/>
      <c r="DAL56" s="370"/>
      <c r="DAM56" s="370"/>
      <c r="DAN56" s="370"/>
      <c r="DAO56" s="370"/>
      <c r="DAP56" s="370"/>
      <c r="DAQ56" s="370"/>
      <c r="DAR56" s="370"/>
      <c r="DAS56" s="370"/>
      <c r="DAT56" s="370"/>
      <c r="DAU56" s="370"/>
      <c r="DAV56" s="370"/>
      <c r="DAW56" s="370"/>
      <c r="DAX56" s="370"/>
      <c r="DAY56" s="370"/>
      <c r="DAZ56" s="370"/>
      <c r="DBA56" s="370"/>
      <c r="DBB56" s="370"/>
      <c r="DBC56" s="370"/>
      <c r="DBD56" s="370"/>
      <c r="DBE56" s="370"/>
      <c r="DBF56" s="370"/>
      <c r="DBG56" s="370"/>
      <c r="DBH56" s="370"/>
      <c r="DBI56" s="370"/>
      <c r="DBJ56" s="370"/>
      <c r="DBK56" s="370"/>
      <c r="DBL56" s="370"/>
      <c r="DBM56" s="370"/>
      <c r="DBN56" s="370"/>
      <c r="DBO56" s="370"/>
      <c r="DBP56" s="370"/>
      <c r="DBQ56" s="370"/>
      <c r="DBR56" s="370"/>
      <c r="DBS56" s="370"/>
      <c r="DBT56" s="370"/>
      <c r="DBU56" s="370"/>
      <c r="DBV56" s="370"/>
      <c r="DBW56" s="370"/>
      <c r="DBX56" s="370"/>
      <c r="DBY56" s="370"/>
      <c r="DBZ56" s="370"/>
      <c r="DCA56" s="370"/>
      <c r="DCB56" s="370"/>
      <c r="DCC56" s="370"/>
      <c r="DCD56" s="370"/>
      <c r="DCE56" s="370"/>
      <c r="DCF56" s="370"/>
      <c r="DCG56" s="370"/>
      <c r="DCH56" s="370"/>
      <c r="DCI56" s="370"/>
      <c r="DCJ56" s="370"/>
      <c r="DCK56" s="370"/>
      <c r="DCL56" s="370"/>
      <c r="DCM56" s="370"/>
      <c r="DCN56" s="370"/>
      <c r="DCO56" s="370"/>
      <c r="DCP56" s="370"/>
      <c r="DCQ56" s="370"/>
      <c r="DCR56" s="370"/>
      <c r="DCS56" s="370"/>
      <c r="DCT56" s="370"/>
      <c r="DCU56" s="370"/>
      <c r="DCV56" s="370"/>
      <c r="DCW56" s="370"/>
      <c r="DCX56" s="370"/>
      <c r="DCY56" s="370"/>
      <c r="DCZ56" s="370"/>
      <c r="DDA56" s="370"/>
      <c r="DDB56" s="370"/>
      <c r="DDC56" s="370"/>
      <c r="DDD56" s="370"/>
      <c r="DDE56" s="370"/>
      <c r="DDF56" s="370"/>
      <c r="DDG56" s="370"/>
      <c r="DDH56" s="370"/>
      <c r="DDI56" s="370"/>
      <c r="DDJ56" s="370"/>
      <c r="DDK56" s="370"/>
      <c r="DDL56" s="370"/>
      <c r="DDM56" s="370"/>
      <c r="DDN56" s="370"/>
      <c r="DDO56" s="370"/>
      <c r="DDP56" s="370"/>
      <c r="DDQ56" s="370"/>
      <c r="DDR56" s="370"/>
      <c r="DDS56" s="370"/>
      <c r="DDT56" s="370"/>
      <c r="DDU56" s="370"/>
      <c r="DDV56" s="370"/>
      <c r="DDW56" s="370"/>
      <c r="DDX56" s="370"/>
      <c r="DDY56" s="370"/>
      <c r="DDZ56" s="370"/>
      <c r="DEA56" s="370"/>
      <c r="DEB56" s="370"/>
      <c r="DEC56" s="370"/>
      <c r="DED56" s="370"/>
      <c r="DEE56" s="370"/>
      <c r="DEF56" s="370"/>
      <c r="DEG56" s="370"/>
      <c r="DEH56" s="370"/>
      <c r="DEI56" s="370"/>
      <c r="DEJ56" s="370"/>
      <c r="DEK56" s="370"/>
      <c r="DEL56" s="370"/>
      <c r="DEM56" s="370"/>
      <c r="DEN56" s="370"/>
      <c r="DEO56" s="370"/>
      <c r="DEP56" s="370"/>
      <c r="DEQ56" s="370"/>
      <c r="DER56" s="370"/>
      <c r="DES56" s="370"/>
      <c r="DET56" s="370"/>
      <c r="DEU56" s="370"/>
      <c r="DEV56" s="370"/>
      <c r="DEW56" s="370"/>
      <c r="DEX56" s="370"/>
      <c r="DEY56" s="370"/>
      <c r="DEZ56" s="370"/>
      <c r="DFA56" s="370"/>
      <c r="DFB56" s="370"/>
      <c r="DFC56" s="370"/>
      <c r="DFD56" s="370"/>
      <c r="DFE56" s="370"/>
      <c r="DFF56" s="370"/>
      <c r="DFG56" s="370"/>
      <c r="DFH56" s="370"/>
      <c r="DFI56" s="370"/>
      <c r="DFJ56" s="370"/>
      <c r="DFK56" s="370"/>
      <c r="DFL56" s="370"/>
      <c r="DFM56" s="370"/>
      <c r="DFN56" s="370"/>
      <c r="DFO56" s="370"/>
      <c r="DFP56" s="370"/>
      <c r="DFQ56" s="370"/>
      <c r="DFR56" s="370"/>
      <c r="DFS56" s="370"/>
      <c r="DFT56" s="370"/>
      <c r="DFU56" s="370"/>
      <c r="DFV56" s="370"/>
      <c r="DFW56" s="370"/>
      <c r="DFX56" s="370"/>
      <c r="DFY56" s="370"/>
      <c r="DFZ56" s="370"/>
      <c r="DGA56" s="370"/>
      <c r="DGB56" s="370"/>
      <c r="DGC56" s="370"/>
      <c r="DGD56" s="370"/>
      <c r="DGE56" s="370"/>
      <c r="DGF56" s="370"/>
      <c r="DGG56" s="370"/>
      <c r="DGH56" s="370"/>
      <c r="DGI56" s="370"/>
      <c r="DGJ56" s="370"/>
      <c r="DGK56" s="370"/>
      <c r="DGL56" s="370"/>
      <c r="DGM56" s="370"/>
      <c r="DGN56" s="370"/>
      <c r="DGO56" s="370"/>
      <c r="DGP56" s="370"/>
      <c r="DGQ56" s="370"/>
      <c r="DGR56" s="370"/>
      <c r="DGS56" s="370"/>
      <c r="DGT56" s="370"/>
      <c r="DGU56" s="370"/>
      <c r="DGV56" s="370"/>
      <c r="DGW56" s="370"/>
      <c r="DGX56" s="370"/>
      <c r="DGY56" s="370"/>
      <c r="DGZ56" s="370"/>
      <c r="DHA56" s="370"/>
      <c r="DHB56" s="370"/>
      <c r="DHC56" s="370"/>
      <c r="DHD56" s="370"/>
      <c r="DHE56" s="370"/>
      <c r="DHF56" s="370"/>
      <c r="DHG56" s="370"/>
      <c r="DHH56" s="370"/>
      <c r="DHI56" s="370"/>
      <c r="DHJ56" s="370"/>
      <c r="DHK56" s="370"/>
      <c r="DHL56" s="370"/>
      <c r="DHM56" s="370"/>
      <c r="DHN56" s="370"/>
      <c r="DHO56" s="370"/>
      <c r="DHP56" s="370"/>
      <c r="DHQ56" s="370"/>
      <c r="DHR56" s="370"/>
      <c r="DHS56" s="370"/>
      <c r="DHT56" s="370"/>
      <c r="DHU56" s="370"/>
      <c r="DHV56" s="370"/>
      <c r="DHW56" s="370"/>
      <c r="DHX56" s="370"/>
      <c r="DHY56" s="370"/>
      <c r="DHZ56" s="370"/>
      <c r="DIA56" s="370"/>
      <c r="DIB56" s="370"/>
      <c r="DIC56" s="370"/>
      <c r="DID56" s="370"/>
      <c r="DIE56" s="370"/>
      <c r="DIF56" s="370"/>
      <c r="DIG56" s="370"/>
      <c r="DIH56" s="370"/>
      <c r="DII56" s="370"/>
      <c r="DIJ56" s="370"/>
      <c r="DIK56" s="370"/>
      <c r="DIL56" s="370"/>
      <c r="DIM56" s="370"/>
      <c r="DIN56" s="370"/>
      <c r="DIO56" s="370"/>
      <c r="DIP56" s="370"/>
      <c r="DIQ56" s="370"/>
      <c r="DIR56" s="370"/>
      <c r="DIS56" s="370"/>
      <c r="DIT56" s="370"/>
      <c r="DIU56" s="370"/>
      <c r="DIV56" s="370"/>
      <c r="DIW56" s="370"/>
      <c r="DIX56" s="370"/>
      <c r="DIY56" s="370"/>
      <c r="DIZ56" s="370"/>
      <c r="DJA56" s="370"/>
      <c r="DJB56" s="370"/>
      <c r="DJC56" s="370"/>
      <c r="DJD56" s="370"/>
      <c r="DJE56" s="370"/>
      <c r="DJF56" s="370"/>
      <c r="DJG56" s="370"/>
      <c r="DJH56" s="370"/>
      <c r="DJI56" s="370"/>
      <c r="DJJ56" s="370"/>
      <c r="DJK56" s="370"/>
      <c r="DJL56" s="370"/>
      <c r="DJM56" s="370"/>
      <c r="DJN56" s="370"/>
      <c r="DJO56" s="370"/>
      <c r="DJP56" s="370"/>
      <c r="DJQ56" s="370"/>
      <c r="DJR56" s="370"/>
      <c r="DJS56" s="370"/>
      <c r="DJT56" s="370"/>
      <c r="DJU56" s="370"/>
      <c r="DJV56" s="370"/>
      <c r="DJW56" s="370"/>
      <c r="DJX56" s="370"/>
      <c r="DJY56" s="370"/>
      <c r="DJZ56" s="370"/>
      <c r="DKA56" s="370"/>
      <c r="DKB56" s="370"/>
      <c r="DKC56" s="370"/>
      <c r="DKD56" s="370"/>
      <c r="DKE56" s="370"/>
      <c r="DKF56" s="370"/>
      <c r="DKG56" s="370"/>
      <c r="DKH56" s="370"/>
      <c r="DKI56" s="370"/>
      <c r="DKJ56" s="370"/>
      <c r="DKK56" s="370"/>
      <c r="DKL56" s="370"/>
      <c r="DKM56" s="370"/>
      <c r="DKN56" s="370"/>
      <c r="DKO56" s="370"/>
      <c r="DKP56" s="370"/>
      <c r="DKQ56" s="370"/>
      <c r="DKR56" s="370"/>
      <c r="DKS56" s="370"/>
      <c r="DKT56" s="370"/>
      <c r="DKU56" s="370"/>
      <c r="DKV56" s="370"/>
      <c r="DKW56" s="370"/>
      <c r="DKX56" s="370"/>
      <c r="DKY56" s="370"/>
      <c r="DKZ56" s="370"/>
      <c r="DLA56" s="370"/>
      <c r="DLB56" s="370"/>
      <c r="DLC56" s="370"/>
      <c r="DLD56" s="370"/>
      <c r="DLE56" s="370"/>
      <c r="DLF56" s="370"/>
      <c r="DLG56" s="370"/>
      <c r="DLH56" s="370"/>
      <c r="DLI56" s="370"/>
      <c r="DLJ56" s="370"/>
      <c r="DLK56" s="370"/>
      <c r="DLL56" s="370"/>
      <c r="DLM56" s="370"/>
      <c r="DLN56" s="370"/>
      <c r="DLO56" s="370"/>
      <c r="DLP56" s="370"/>
      <c r="DLQ56" s="370"/>
      <c r="DLR56" s="370"/>
      <c r="DLS56" s="370"/>
      <c r="DLT56" s="370"/>
      <c r="DLU56" s="370"/>
      <c r="DLV56" s="370"/>
      <c r="DLW56" s="370"/>
      <c r="DLX56" s="370"/>
      <c r="DLY56" s="370"/>
      <c r="DLZ56" s="370"/>
      <c r="DMA56" s="370"/>
      <c r="DMB56" s="370"/>
      <c r="DMC56" s="370"/>
      <c r="DMD56" s="370"/>
      <c r="DME56" s="370"/>
      <c r="DMF56" s="370"/>
      <c r="DMG56" s="370"/>
      <c r="DMH56" s="370"/>
      <c r="DMI56" s="370"/>
      <c r="DMJ56" s="370"/>
      <c r="DMK56" s="370"/>
      <c r="DML56" s="370"/>
      <c r="DMM56" s="370"/>
      <c r="DMN56" s="370"/>
      <c r="DMO56" s="370"/>
      <c r="DMP56" s="370"/>
      <c r="DMQ56" s="370"/>
      <c r="DMR56" s="370"/>
      <c r="DMS56" s="370"/>
      <c r="DMT56" s="370"/>
      <c r="DMU56" s="370"/>
      <c r="DMV56" s="370"/>
      <c r="DMW56" s="370"/>
      <c r="DMX56" s="370"/>
      <c r="DMY56" s="370"/>
      <c r="DMZ56" s="370"/>
      <c r="DNA56" s="370"/>
      <c r="DNB56" s="370"/>
      <c r="DNC56" s="370"/>
      <c r="DND56" s="370"/>
      <c r="DNE56" s="370"/>
      <c r="DNF56" s="370"/>
      <c r="DNG56" s="370"/>
      <c r="DNH56" s="370"/>
      <c r="DNI56" s="370"/>
      <c r="DNJ56" s="370"/>
      <c r="DNK56" s="370"/>
      <c r="DNL56" s="370"/>
      <c r="DNM56" s="370"/>
      <c r="DNN56" s="370"/>
      <c r="DNO56" s="370"/>
      <c r="DNP56" s="370"/>
      <c r="DNQ56" s="370"/>
      <c r="DNR56" s="370"/>
      <c r="DNS56" s="370"/>
      <c r="DNT56" s="370"/>
      <c r="DNU56" s="370"/>
      <c r="DNV56" s="370"/>
      <c r="DNW56" s="370"/>
      <c r="DNX56" s="370"/>
      <c r="DNY56" s="370"/>
      <c r="DNZ56" s="370"/>
      <c r="DOA56" s="370"/>
      <c r="DOB56" s="370"/>
      <c r="DOC56" s="370"/>
      <c r="DOD56" s="370"/>
      <c r="DOE56" s="370"/>
      <c r="DOF56" s="370"/>
      <c r="DOG56" s="370"/>
      <c r="DOH56" s="370"/>
      <c r="DOI56" s="370"/>
      <c r="DOJ56" s="370"/>
      <c r="DOK56" s="370"/>
      <c r="DOL56" s="370"/>
      <c r="DOM56" s="370"/>
      <c r="DON56" s="370"/>
      <c r="DOO56" s="370"/>
      <c r="DOP56" s="370"/>
      <c r="DOQ56" s="370"/>
      <c r="DOR56" s="370"/>
      <c r="DOS56" s="370"/>
      <c r="DOT56" s="370"/>
      <c r="DOU56" s="370"/>
      <c r="DOV56" s="370"/>
      <c r="DOW56" s="370"/>
      <c r="DOX56" s="370"/>
      <c r="DOY56" s="370"/>
      <c r="DOZ56" s="370"/>
      <c r="DPA56" s="370"/>
      <c r="DPB56" s="370"/>
      <c r="DPC56" s="370"/>
      <c r="DPD56" s="370"/>
      <c r="DPE56" s="370"/>
      <c r="DPF56" s="370"/>
      <c r="DPG56" s="370"/>
      <c r="DPH56" s="370"/>
      <c r="DPI56" s="370"/>
      <c r="DPJ56" s="370"/>
      <c r="DPK56" s="370"/>
      <c r="DPL56" s="370"/>
      <c r="DPM56" s="370"/>
      <c r="DPN56" s="370"/>
      <c r="DPO56" s="370"/>
      <c r="DPP56" s="370"/>
      <c r="DPQ56" s="370"/>
      <c r="DPR56" s="370"/>
      <c r="DPS56" s="370"/>
      <c r="DPT56" s="370"/>
      <c r="DPU56" s="370"/>
      <c r="DPV56" s="370"/>
      <c r="DPW56" s="370"/>
      <c r="DPX56" s="370"/>
      <c r="DPY56" s="370"/>
      <c r="DPZ56" s="370"/>
      <c r="DQA56" s="370"/>
      <c r="DQB56" s="370"/>
      <c r="DQC56" s="370"/>
      <c r="DQD56" s="370"/>
      <c r="DQE56" s="370"/>
      <c r="DQF56" s="370"/>
      <c r="DQG56" s="370"/>
      <c r="DQH56" s="370"/>
      <c r="DQI56" s="370"/>
      <c r="DQJ56" s="370"/>
      <c r="DQK56" s="370"/>
      <c r="DQL56" s="370"/>
      <c r="DQM56" s="370"/>
      <c r="DQN56" s="370"/>
      <c r="DQO56" s="370"/>
      <c r="DQP56" s="370"/>
      <c r="DQQ56" s="370"/>
      <c r="DQR56" s="370"/>
      <c r="DQS56" s="370"/>
      <c r="DQT56" s="370"/>
      <c r="DQU56" s="370"/>
      <c r="DQV56" s="370"/>
      <c r="DQW56" s="370"/>
      <c r="DQX56" s="370"/>
      <c r="DQY56" s="370"/>
      <c r="DQZ56" s="370"/>
      <c r="DRA56" s="370"/>
      <c r="DRB56" s="370"/>
      <c r="DRC56" s="370"/>
      <c r="DRD56" s="370"/>
      <c r="DRE56" s="370"/>
      <c r="DRF56" s="370"/>
      <c r="DRG56" s="370"/>
      <c r="DRH56" s="370"/>
      <c r="DRI56" s="370"/>
      <c r="DRJ56" s="370"/>
      <c r="DRK56" s="370"/>
      <c r="DRL56" s="370"/>
      <c r="DRM56" s="370"/>
      <c r="DRN56" s="370"/>
      <c r="DRO56" s="370"/>
      <c r="DRP56" s="370"/>
      <c r="DRQ56" s="370"/>
      <c r="DRR56" s="370"/>
      <c r="DRS56" s="370"/>
      <c r="DRT56" s="370"/>
      <c r="DRU56" s="370"/>
      <c r="DRV56" s="370"/>
      <c r="DRW56" s="370"/>
      <c r="DRX56" s="370"/>
      <c r="DRY56" s="370"/>
      <c r="DRZ56" s="370"/>
      <c r="DSA56" s="370"/>
      <c r="DSB56" s="370"/>
      <c r="DSC56" s="370"/>
      <c r="DSD56" s="370"/>
      <c r="DSE56" s="370"/>
      <c r="DSF56" s="370"/>
      <c r="DSG56" s="370"/>
      <c r="DSH56" s="370"/>
      <c r="DSI56" s="370"/>
      <c r="DSJ56" s="370"/>
      <c r="DSK56" s="370"/>
      <c r="DSL56" s="370"/>
      <c r="DSM56" s="370"/>
      <c r="DSN56" s="370"/>
      <c r="DSO56" s="370"/>
      <c r="DSP56" s="370"/>
      <c r="DSQ56" s="370"/>
      <c r="DSR56" s="370"/>
      <c r="DSS56" s="370"/>
      <c r="DST56" s="370"/>
      <c r="DSU56" s="370"/>
      <c r="DSV56" s="370"/>
      <c r="DSW56" s="370"/>
      <c r="DSX56" s="370"/>
      <c r="DSY56" s="370"/>
      <c r="DSZ56" s="370"/>
      <c r="DTA56" s="370"/>
      <c r="DTB56" s="370"/>
      <c r="DTC56" s="370"/>
      <c r="DTD56" s="370"/>
      <c r="DTE56" s="370"/>
      <c r="DTF56" s="370"/>
      <c r="DTG56" s="370"/>
      <c r="DTH56" s="370"/>
      <c r="DTI56" s="370"/>
      <c r="DTJ56" s="370"/>
      <c r="DTK56" s="370"/>
      <c r="DTL56" s="370"/>
      <c r="DTM56" s="370"/>
      <c r="DTN56" s="370"/>
      <c r="DTO56" s="370"/>
      <c r="DTP56" s="370"/>
      <c r="DTQ56" s="370"/>
      <c r="DTR56" s="370"/>
      <c r="DTS56" s="370"/>
      <c r="DTT56" s="370"/>
      <c r="DTU56" s="370"/>
      <c r="DTV56" s="370"/>
      <c r="DTW56" s="370"/>
      <c r="DTX56" s="370"/>
      <c r="DTY56" s="370"/>
      <c r="DTZ56" s="370"/>
      <c r="DUA56" s="370"/>
      <c r="DUB56" s="370"/>
      <c r="DUC56" s="370"/>
      <c r="DUD56" s="370"/>
      <c r="DUE56" s="370"/>
      <c r="DUF56" s="370"/>
      <c r="DUG56" s="370"/>
      <c r="DUH56" s="370"/>
      <c r="DUI56" s="370"/>
      <c r="DUJ56" s="370"/>
      <c r="DUK56" s="370"/>
      <c r="DUL56" s="370"/>
      <c r="DUM56" s="370"/>
      <c r="DUN56" s="370"/>
      <c r="DUO56" s="370"/>
      <c r="DUP56" s="370"/>
      <c r="DUQ56" s="370"/>
      <c r="DUR56" s="370"/>
      <c r="DUS56" s="370"/>
      <c r="DUT56" s="370"/>
      <c r="DUU56" s="370"/>
      <c r="DUV56" s="370"/>
      <c r="DUW56" s="370"/>
      <c r="DUX56" s="370"/>
      <c r="DUY56" s="370"/>
      <c r="DUZ56" s="370"/>
      <c r="DVA56" s="370"/>
      <c r="DVB56" s="370"/>
      <c r="DVC56" s="370"/>
      <c r="DVD56" s="370"/>
      <c r="DVE56" s="370"/>
      <c r="DVF56" s="370"/>
      <c r="DVG56" s="370"/>
      <c r="DVH56" s="370"/>
      <c r="DVI56" s="370"/>
      <c r="DVJ56" s="370"/>
      <c r="DVK56" s="370"/>
      <c r="DVL56" s="370"/>
      <c r="DVM56" s="370"/>
      <c r="DVN56" s="370"/>
      <c r="DVO56" s="370"/>
      <c r="DVP56" s="370"/>
      <c r="DVQ56" s="370"/>
      <c r="DVR56" s="370"/>
      <c r="DVS56" s="370"/>
      <c r="DVT56" s="370"/>
      <c r="DVU56" s="370"/>
      <c r="DVV56" s="370"/>
      <c r="DVW56" s="370"/>
      <c r="DVX56" s="370"/>
      <c r="DVY56" s="370"/>
      <c r="DVZ56" s="370"/>
      <c r="DWA56" s="370"/>
      <c r="DWB56" s="370"/>
      <c r="DWC56" s="370"/>
      <c r="DWD56" s="370"/>
      <c r="DWE56" s="370"/>
      <c r="DWF56" s="370"/>
      <c r="DWG56" s="370"/>
      <c r="DWH56" s="370"/>
      <c r="DWI56" s="370"/>
      <c r="DWJ56" s="370"/>
      <c r="DWK56" s="370"/>
      <c r="DWL56" s="370"/>
      <c r="DWM56" s="370"/>
      <c r="DWN56" s="370"/>
      <c r="DWO56" s="370"/>
      <c r="DWP56" s="370"/>
      <c r="DWQ56" s="370"/>
      <c r="DWR56" s="370"/>
      <c r="DWS56" s="370"/>
      <c r="DWT56" s="370"/>
      <c r="DWU56" s="370"/>
      <c r="DWV56" s="370"/>
      <c r="DWW56" s="370"/>
      <c r="DWX56" s="370"/>
      <c r="DWY56" s="370"/>
      <c r="DWZ56" s="370"/>
      <c r="DXA56" s="370"/>
      <c r="DXB56" s="370"/>
      <c r="DXC56" s="370"/>
      <c r="DXD56" s="370"/>
      <c r="DXE56" s="370"/>
      <c r="DXF56" s="370"/>
      <c r="DXG56" s="370"/>
      <c r="DXH56" s="370"/>
      <c r="DXI56" s="370"/>
      <c r="DXJ56" s="370"/>
      <c r="DXK56" s="370"/>
      <c r="DXL56" s="370"/>
      <c r="DXM56" s="370"/>
      <c r="DXN56" s="370"/>
      <c r="DXO56" s="370"/>
      <c r="DXP56" s="370"/>
      <c r="DXQ56" s="370"/>
      <c r="DXR56" s="370"/>
      <c r="DXS56" s="370"/>
      <c r="DXT56" s="370"/>
      <c r="DXU56" s="370"/>
      <c r="DXV56" s="370"/>
      <c r="DXW56" s="370"/>
      <c r="DXX56" s="370"/>
      <c r="DXY56" s="370"/>
      <c r="DXZ56" s="370"/>
      <c r="DYA56" s="370"/>
      <c r="DYB56" s="370"/>
      <c r="DYC56" s="370"/>
      <c r="DYD56" s="370"/>
      <c r="DYE56" s="370"/>
      <c r="DYF56" s="370"/>
      <c r="DYG56" s="370"/>
      <c r="DYH56" s="370"/>
      <c r="DYI56" s="370"/>
      <c r="DYJ56" s="370"/>
      <c r="DYK56" s="370"/>
      <c r="DYL56" s="370"/>
      <c r="DYM56" s="370"/>
      <c r="DYN56" s="370"/>
      <c r="DYO56" s="370"/>
      <c r="DYP56" s="370"/>
      <c r="DYQ56" s="370"/>
      <c r="DYR56" s="370"/>
      <c r="DYS56" s="370"/>
      <c r="DYT56" s="370"/>
      <c r="DYU56" s="370"/>
      <c r="DYV56" s="370"/>
      <c r="DYW56" s="370"/>
      <c r="DYX56" s="370"/>
      <c r="DYY56" s="370"/>
      <c r="DYZ56" s="370"/>
      <c r="DZA56" s="370"/>
      <c r="DZB56" s="370"/>
      <c r="DZC56" s="370"/>
      <c r="DZD56" s="370"/>
      <c r="DZE56" s="370"/>
      <c r="DZF56" s="370"/>
      <c r="DZG56" s="370"/>
      <c r="DZH56" s="370"/>
      <c r="DZI56" s="370"/>
      <c r="DZJ56" s="370"/>
      <c r="DZK56" s="370"/>
      <c r="DZL56" s="370"/>
      <c r="DZM56" s="370"/>
      <c r="DZN56" s="370"/>
      <c r="DZO56" s="370"/>
      <c r="DZP56" s="370"/>
      <c r="DZQ56" s="370"/>
      <c r="DZR56" s="370"/>
      <c r="DZS56" s="370"/>
      <c r="DZT56" s="370"/>
      <c r="DZU56" s="370"/>
      <c r="DZV56" s="370"/>
      <c r="DZW56" s="370"/>
      <c r="DZX56" s="370"/>
      <c r="DZY56" s="370"/>
      <c r="DZZ56" s="370"/>
      <c r="EAA56" s="370"/>
      <c r="EAB56" s="370"/>
      <c r="EAC56" s="370"/>
      <c r="EAD56" s="370"/>
      <c r="EAE56" s="370"/>
      <c r="EAF56" s="370"/>
      <c r="EAG56" s="370"/>
      <c r="EAH56" s="370"/>
      <c r="EAI56" s="370"/>
      <c r="EAJ56" s="370"/>
      <c r="EAK56" s="370"/>
      <c r="EAL56" s="370"/>
      <c r="EAM56" s="370"/>
      <c r="EAN56" s="370"/>
      <c r="EAO56" s="370"/>
      <c r="EAP56" s="370"/>
      <c r="EAQ56" s="370"/>
      <c r="EAR56" s="370"/>
      <c r="EAS56" s="370"/>
      <c r="EAT56" s="370"/>
      <c r="EAU56" s="370"/>
      <c r="EAV56" s="370"/>
      <c r="EAW56" s="370"/>
      <c r="EAX56" s="370"/>
      <c r="EAY56" s="370"/>
      <c r="EAZ56" s="370"/>
      <c r="EBA56" s="370"/>
      <c r="EBB56" s="370"/>
      <c r="EBC56" s="370"/>
      <c r="EBD56" s="370"/>
      <c r="EBE56" s="370"/>
      <c r="EBF56" s="370"/>
      <c r="EBG56" s="370"/>
      <c r="EBH56" s="370"/>
      <c r="EBI56" s="370"/>
      <c r="EBJ56" s="370"/>
      <c r="EBK56" s="370"/>
      <c r="EBL56" s="370"/>
      <c r="EBM56" s="370"/>
      <c r="EBN56" s="370"/>
      <c r="EBO56" s="370"/>
      <c r="EBP56" s="370"/>
      <c r="EBQ56" s="370"/>
      <c r="EBR56" s="370"/>
      <c r="EBS56" s="370"/>
      <c r="EBT56" s="370"/>
      <c r="EBU56" s="370"/>
      <c r="EBV56" s="370"/>
      <c r="EBW56" s="370"/>
      <c r="EBX56" s="370"/>
      <c r="EBY56" s="370"/>
      <c r="EBZ56" s="370"/>
      <c r="ECA56" s="370"/>
      <c r="ECB56" s="370"/>
      <c r="ECC56" s="370"/>
      <c r="ECD56" s="370"/>
      <c r="ECE56" s="370"/>
      <c r="ECF56" s="370"/>
      <c r="ECG56" s="370"/>
      <c r="ECH56" s="370"/>
      <c r="ECI56" s="370"/>
      <c r="ECJ56" s="370"/>
      <c r="ECK56" s="370"/>
      <c r="ECL56" s="370"/>
      <c r="ECM56" s="370"/>
      <c r="ECN56" s="370"/>
      <c r="ECO56" s="370"/>
      <c r="ECP56" s="370"/>
      <c r="ECQ56" s="370"/>
      <c r="ECR56" s="370"/>
      <c r="ECS56" s="370"/>
      <c r="ECT56" s="370"/>
      <c r="ECU56" s="370"/>
      <c r="ECV56" s="370"/>
      <c r="ECW56" s="370"/>
      <c r="ECX56" s="370"/>
      <c r="ECY56" s="370"/>
      <c r="ECZ56" s="370"/>
      <c r="EDA56" s="370"/>
      <c r="EDB56" s="370"/>
      <c r="EDC56" s="370"/>
      <c r="EDD56" s="370"/>
      <c r="EDE56" s="370"/>
      <c r="EDF56" s="370"/>
      <c r="EDG56" s="370"/>
      <c r="EDH56" s="370"/>
      <c r="EDI56" s="370"/>
      <c r="EDJ56" s="370"/>
      <c r="EDK56" s="370"/>
      <c r="EDL56" s="370"/>
      <c r="EDM56" s="370"/>
      <c r="EDN56" s="370"/>
      <c r="EDO56" s="370"/>
      <c r="EDP56" s="370"/>
      <c r="EDQ56" s="370"/>
      <c r="EDR56" s="370"/>
      <c r="EDS56" s="370"/>
      <c r="EDT56" s="370"/>
      <c r="EDU56" s="370"/>
      <c r="EDV56" s="370"/>
      <c r="EDW56" s="370"/>
      <c r="EDX56" s="370"/>
      <c r="EDY56" s="370"/>
      <c r="EDZ56" s="370"/>
      <c r="EEA56" s="370"/>
      <c r="EEB56" s="370"/>
      <c r="EEC56" s="370"/>
      <c r="EED56" s="370"/>
      <c r="EEE56" s="370"/>
      <c r="EEF56" s="370"/>
      <c r="EEG56" s="370"/>
      <c r="EEH56" s="370"/>
      <c r="EEI56" s="370"/>
      <c r="EEJ56" s="370"/>
      <c r="EEK56" s="370"/>
      <c r="EEL56" s="370"/>
      <c r="EEM56" s="370"/>
      <c r="EEN56" s="370"/>
      <c r="EEO56" s="370"/>
      <c r="EEP56" s="370"/>
      <c r="EEQ56" s="370"/>
      <c r="EER56" s="370"/>
      <c r="EES56" s="370"/>
      <c r="EET56" s="370"/>
      <c r="EEU56" s="370"/>
      <c r="EEV56" s="370"/>
      <c r="EEW56" s="370"/>
      <c r="EEX56" s="370"/>
      <c r="EEY56" s="370"/>
      <c r="EEZ56" s="370"/>
      <c r="EFA56" s="370"/>
      <c r="EFB56" s="370"/>
      <c r="EFC56" s="370"/>
      <c r="EFD56" s="370"/>
      <c r="EFE56" s="370"/>
      <c r="EFF56" s="370"/>
      <c r="EFG56" s="370"/>
      <c r="EFH56" s="370"/>
      <c r="EFI56" s="370"/>
      <c r="EFJ56" s="370"/>
      <c r="EFK56" s="370"/>
      <c r="EFL56" s="370"/>
      <c r="EFM56" s="370"/>
      <c r="EFN56" s="370"/>
      <c r="EFO56" s="370"/>
      <c r="EFP56" s="370"/>
      <c r="EFQ56" s="370"/>
      <c r="EFR56" s="370"/>
      <c r="EFS56" s="370"/>
      <c r="EFT56" s="370"/>
      <c r="EFU56" s="370"/>
      <c r="EFV56" s="370"/>
      <c r="EFW56" s="370"/>
      <c r="EFX56" s="370"/>
      <c r="EFY56" s="370"/>
      <c r="EFZ56" s="370"/>
      <c r="EGA56" s="370"/>
      <c r="EGB56" s="370"/>
      <c r="EGC56" s="370"/>
      <c r="EGD56" s="370"/>
      <c r="EGE56" s="370"/>
      <c r="EGF56" s="370"/>
      <c r="EGG56" s="370"/>
      <c r="EGH56" s="370"/>
      <c r="EGI56" s="370"/>
      <c r="EGJ56" s="370"/>
      <c r="EGK56" s="370"/>
      <c r="EGL56" s="370"/>
      <c r="EGM56" s="370"/>
      <c r="EGN56" s="370"/>
      <c r="EGO56" s="370"/>
      <c r="EGP56" s="370"/>
      <c r="EGQ56" s="370"/>
      <c r="EGR56" s="370"/>
      <c r="EGS56" s="370"/>
      <c r="EGT56" s="370"/>
      <c r="EGU56" s="370"/>
      <c r="EGV56" s="370"/>
      <c r="EGW56" s="370"/>
      <c r="EGX56" s="370"/>
      <c r="EGY56" s="370"/>
      <c r="EGZ56" s="370"/>
      <c r="EHA56" s="370"/>
      <c r="EHB56" s="370"/>
      <c r="EHC56" s="370"/>
      <c r="EHD56" s="370"/>
      <c r="EHE56" s="370"/>
      <c r="EHF56" s="370"/>
      <c r="EHG56" s="370"/>
      <c r="EHH56" s="370"/>
      <c r="EHI56" s="370"/>
      <c r="EHJ56" s="370"/>
      <c r="EHK56" s="370"/>
      <c r="EHL56" s="370"/>
      <c r="EHM56" s="370"/>
      <c r="EHN56" s="370"/>
      <c r="EHO56" s="370"/>
      <c r="EHP56" s="370"/>
      <c r="EHQ56" s="370"/>
      <c r="EHR56" s="370"/>
      <c r="EHS56" s="370"/>
      <c r="EHT56" s="370"/>
      <c r="EHU56" s="370"/>
      <c r="EHV56" s="370"/>
      <c r="EHW56" s="370"/>
      <c r="EHX56" s="370"/>
      <c r="EHY56" s="370"/>
      <c r="EHZ56" s="370"/>
      <c r="EIA56" s="370"/>
      <c r="EIB56" s="370"/>
      <c r="EIC56" s="370"/>
      <c r="EID56" s="370"/>
      <c r="EIE56" s="370"/>
      <c r="EIF56" s="370"/>
      <c r="EIG56" s="370"/>
      <c r="EIH56" s="370"/>
      <c r="EII56" s="370"/>
      <c r="EIJ56" s="370"/>
      <c r="EIK56" s="370"/>
      <c r="EIL56" s="370"/>
      <c r="EIM56" s="370"/>
      <c r="EIN56" s="370"/>
      <c r="EIO56" s="370"/>
      <c r="EIP56" s="370"/>
      <c r="EIQ56" s="370"/>
      <c r="EIR56" s="370"/>
      <c r="EIS56" s="370"/>
      <c r="EIT56" s="370"/>
      <c r="EIU56" s="370"/>
      <c r="EIV56" s="370"/>
      <c r="EIW56" s="370"/>
      <c r="EIX56" s="370"/>
      <c r="EIY56" s="370"/>
      <c r="EIZ56" s="370"/>
      <c r="EJA56" s="370"/>
      <c r="EJB56" s="370"/>
      <c r="EJC56" s="370"/>
      <c r="EJD56" s="370"/>
      <c r="EJE56" s="370"/>
      <c r="EJF56" s="370"/>
      <c r="EJG56" s="370"/>
      <c r="EJH56" s="370"/>
      <c r="EJI56" s="370"/>
      <c r="EJJ56" s="370"/>
      <c r="EJK56" s="370"/>
      <c r="EJL56" s="370"/>
      <c r="EJM56" s="370"/>
      <c r="EJN56" s="370"/>
      <c r="EJO56" s="370"/>
      <c r="EJP56" s="370"/>
      <c r="EJQ56" s="370"/>
      <c r="EJR56" s="370"/>
      <c r="EJS56" s="370"/>
      <c r="EJT56" s="370"/>
      <c r="EJU56" s="370"/>
      <c r="EJV56" s="370"/>
      <c r="EJW56" s="370"/>
      <c r="EJX56" s="370"/>
      <c r="EJY56" s="370"/>
      <c r="EJZ56" s="370"/>
      <c r="EKA56" s="370"/>
      <c r="EKB56" s="370"/>
      <c r="EKC56" s="370"/>
      <c r="EKD56" s="370"/>
      <c r="EKE56" s="370"/>
      <c r="EKF56" s="370"/>
      <c r="EKG56" s="370"/>
      <c r="EKH56" s="370"/>
      <c r="EKI56" s="370"/>
      <c r="EKJ56" s="370"/>
      <c r="EKK56" s="370"/>
      <c r="EKL56" s="370"/>
      <c r="EKM56" s="370"/>
      <c r="EKN56" s="370"/>
      <c r="EKO56" s="370"/>
      <c r="EKP56" s="370"/>
      <c r="EKQ56" s="370"/>
      <c r="EKR56" s="370"/>
      <c r="EKS56" s="370"/>
      <c r="EKT56" s="370"/>
      <c r="EKU56" s="370"/>
      <c r="EKV56" s="370"/>
      <c r="EKW56" s="370"/>
      <c r="EKX56" s="370"/>
      <c r="EKY56" s="370"/>
      <c r="EKZ56" s="370"/>
      <c r="ELA56" s="370"/>
      <c r="ELB56" s="370"/>
      <c r="ELC56" s="370"/>
      <c r="ELD56" s="370"/>
      <c r="ELE56" s="370"/>
      <c r="ELF56" s="370"/>
      <c r="ELG56" s="370"/>
      <c r="ELH56" s="370"/>
      <c r="ELI56" s="370"/>
      <c r="ELJ56" s="370"/>
      <c r="ELK56" s="370"/>
      <c r="ELL56" s="370"/>
      <c r="ELM56" s="370"/>
      <c r="ELN56" s="370"/>
      <c r="ELO56" s="370"/>
      <c r="ELP56" s="370"/>
      <c r="ELQ56" s="370"/>
      <c r="ELR56" s="370"/>
      <c r="ELS56" s="370"/>
      <c r="ELT56" s="370"/>
      <c r="ELU56" s="370"/>
      <c r="ELV56" s="370"/>
      <c r="ELW56" s="370"/>
      <c r="ELX56" s="370"/>
      <c r="ELY56" s="370"/>
      <c r="ELZ56" s="370"/>
      <c r="EMA56" s="370"/>
      <c r="EMB56" s="370"/>
      <c r="EMC56" s="370"/>
      <c r="EMD56" s="370"/>
      <c r="EME56" s="370"/>
      <c r="EMF56" s="370"/>
      <c r="EMG56" s="370"/>
      <c r="EMH56" s="370"/>
      <c r="EMI56" s="370"/>
      <c r="EMJ56" s="370"/>
      <c r="EMK56" s="370"/>
      <c r="EML56" s="370"/>
      <c r="EMM56" s="370"/>
      <c r="EMN56" s="370"/>
      <c r="EMO56" s="370"/>
      <c r="EMP56" s="370"/>
      <c r="EMQ56" s="370"/>
      <c r="EMR56" s="370"/>
      <c r="EMS56" s="370"/>
      <c r="EMT56" s="370"/>
      <c r="EMU56" s="370"/>
      <c r="EMV56" s="370"/>
      <c r="EMW56" s="370"/>
      <c r="EMX56" s="370"/>
      <c r="EMY56" s="370"/>
      <c r="EMZ56" s="370"/>
      <c r="ENA56" s="370"/>
      <c r="ENB56" s="370"/>
      <c r="ENC56" s="370"/>
      <c r="END56" s="370"/>
      <c r="ENE56" s="370"/>
      <c r="ENF56" s="370"/>
      <c r="ENG56" s="370"/>
      <c r="ENH56" s="370"/>
      <c r="ENI56" s="370"/>
      <c r="ENJ56" s="370"/>
      <c r="ENK56" s="370"/>
      <c r="ENL56" s="370"/>
      <c r="ENM56" s="370"/>
      <c r="ENN56" s="370"/>
      <c r="ENO56" s="370"/>
      <c r="ENP56" s="370"/>
      <c r="ENQ56" s="370"/>
      <c r="ENR56" s="370"/>
      <c r="ENS56" s="370"/>
      <c r="ENT56" s="370"/>
      <c r="ENU56" s="370"/>
      <c r="ENV56" s="370"/>
      <c r="ENW56" s="370"/>
      <c r="ENX56" s="370"/>
      <c r="ENY56" s="370"/>
      <c r="ENZ56" s="370"/>
      <c r="EOA56" s="370"/>
      <c r="EOB56" s="370"/>
      <c r="EOC56" s="370"/>
      <c r="EOD56" s="370"/>
      <c r="EOE56" s="370"/>
      <c r="EOF56" s="370"/>
      <c r="EOG56" s="370"/>
      <c r="EOH56" s="370"/>
      <c r="EOI56" s="370"/>
      <c r="EOJ56" s="370"/>
      <c r="EOK56" s="370"/>
      <c r="EOL56" s="370"/>
      <c r="EOM56" s="370"/>
      <c r="EON56" s="370"/>
      <c r="EOO56" s="370"/>
      <c r="EOP56" s="370"/>
      <c r="EOQ56" s="370"/>
      <c r="EOR56" s="370"/>
      <c r="EOS56" s="370"/>
      <c r="EOT56" s="370"/>
      <c r="EOU56" s="370"/>
      <c r="EOV56" s="370"/>
      <c r="EOW56" s="370"/>
      <c r="EOX56" s="370"/>
      <c r="EOY56" s="370"/>
      <c r="EOZ56" s="370"/>
      <c r="EPA56" s="370"/>
      <c r="EPB56" s="370"/>
      <c r="EPC56" s="370"/>
      <c r="EPD56" s="370"/>
      <c r="EPE56" s="370"/>
      <c r="EPF56" s="370"/>
      <c r="EPG56" s="370"/>
      <c r="EPH56" s="370"/>
      <c r="EPI56" s="370"/>
      <c r="EPJ56" s="370"/>
      <c r="EPK56" s="370"/>
      <c r="EPL56" s="370"/>
      <c r="EPM56" s="370"/>
      <c r="EPN56" s="370"/>
      <c r="EPO56" s="370"/>
      <c r="EPP56" s="370"/>
      <c r="EPQ56" s="370"/>
      <c r="EPR56" s="370"/>
      <c r="EPS56" s="370"/>
      <c r="EPT56" s="370"/>
      <c r="EPU56" s="370"/>
      <c r="EPV56" s="370"/>
      <c r="EPW56" s="370"/>
      <c r="EPX56" s="370"/>
      <c r="EPY56" s="370"/>
      <c r="EPZ56" s="370"/>
      <c r="EQA56" s="370"/>
      <c r="EQB56" s="370"/>
      <c r="EQC56" s="370"/>
      <c r="EQD56" s="370"/>
      <c r="EQE56" s="370"/>
      <c r="EQF56" s="370"/>
      <c r="EQG56" s="370"/>
      <c r="EQH56" s="370"/>
      <c r="EQI56" s="370"/>
      <c r="EQJ56" s="370"/>
      <c r="EQK56" s="370"/>
      <c r="EQL56" s="370"/>
      <c r="EQM56" s="370"/>
      <c r="EQN56" s="370"/>
      <c r="EQO56" s="370"/>
      <c r="EQP56" s="370"/>
      <c r="EQQ56" s="370"/>
      <c r="EQR56" s="370"/>
      <c r="EQS56" s="370"/>
      <c r="EQT56" s="370"/>
      <c r="EQU56" s="370"/>
      <c r="EQV56" s="370"/>
      <c r="EQW56" s="370"/>
      <c r="EQX56" s="370"/>
      <c r="EQY56" s="370"/>
      <c r="EQZ56" s="370"/>
      <c r="ERA56" s="370"/>
      <c r="ERB56" s="370"/>
      <c r="ERC56" s="370"/>
      <c r="ERD56" s="370"/>
      <c r="ERE56" s="370"/>
      <c r="ERF56" s="370"/>
      <c r="ERG56" s="370"/>
      <c r="ERH56" s="370"/>
      <c r="ERI56" s="370"/>
      <c r="ERJ56" s="370"/>
      <c r="ERK56" s="370"/>
      <c r="ERL56" s="370"/>
      <c r="ERM56" s="370"/>
      <c r="ERN56" s="370"/>
      <c r="ERO56" s="370"/>
      <c r="ERP56" s="370"/>
      <c r="ERQ56" s="370"/>
      <c r="ERR56" s="370"/>
      <c r="ERS56" s="370"/>
      <c r="ERT56" s="370"/>
      <c r="ERU56" s="370"/>
      <c r="ERV56" s="370"/>
      <c r="ERW56" s="370"/>
      <c r="ERX56" s="370"/>
      <c r="ERY56" s="370"/>
      <c r="ERZ56" s="370"/>
      <c r="ESA56" s="370"/>
      <c r="ESB56" s="370"/>
      <c r="ESC56" s="370"/>
      <c r="ESD56" s="370"/>
      <c r="ESE56" s="370"/>
      <c r="ESF56" s="370"/>
      <c r="ESG56" s="370"/>
      <c r="ESH56" s="370"/>
      <c r="ESI56" s="370"/>
      <c r="ESJ56" s="370"/>
      <c r="ESK56" s="370"/>
      <c r="ESL56" s="370"/>
      <c r="ESM56" s="370"/>
      <c r="ESN56" s="370"/>
      <c r="ESO56" s="370"/>
      <c r="ESP56" s="370"/>
      <c r="ESQ56" s="370"/>
      <c r="ESR56" s="370"/>
      <c r="ESS56" s="370"/>
      <c r="EST56" s="370"/>
      <c r="ESU56" s="370"/>
      <c r="ESV56" s="370"/>
      <c r="ESW56" s="370"/>
      <c r="ESX56" s="370"/>
      <c r="ESY56" s="370"/>
      <c r="ESZ56" s="370"/>
      <c r="ETA56" s="370"/>
      <c r="ETB56" s="370"/>
      <c r="ETC56" s="370"/>
      <c r="ETD56" s="370"/>
      <c r="ETE56" s="370"/>
      <c r="ETF56" s="370"/>
      <c r="ETG56" s="370"/>
      <c r="ETH56" s="370"/>
      <c r="ETI56" s="370"/>
      <c r="ETJ56" s="370"/>
      <c r="ETK56" s="370"/>
      <c r="ETL56" s="370"/>
      <c r="ETM56" s="370"/>
      <c r="ETN56" s="370"/>
      <c r="ETO56" s="370"/>
      <c r="ETP56" s="370"/>
      <c r="ETQ56" s="370"/>
      <c r="ETR56" s="370"/>
      <c r="ETS56" s="370"/>
      <c r="ETT56" s="370"/>
      <c r="ETU56" s="370"/>
      <c r="ETV56" s="370"/>
      <c r="ETW56" s="370"/>
      <c r="ETX56" s="370"/>
      <c r="ETY56" s="370"/>
      <c r="ETZ56" s="370"/>
      <c r="EUA56" s="370"/>
      <c r="EUB56" s="370"/>
      <c r="EUC56" s="370"/>
      <c r="EUD56" s="370"/>
      <c r="EUE56" s="370"/>
      <c r="EUF56" s="370"/>
      <c r="EUG56" s="370"/>
      <c r="EUH56" s="370"/>
      <c r="EUI56" s="370"/>
      <c r="EUJ56" s="370"/>
      <c r="EUK56" s="370"/>
      <c r="EUL56" s="370"/>
      <c r="EUM56" s="370"/>
      <c r="EUN56" s="370"/>
      <c r="EUO56" s="370"/>
      <c r="EUP56" s="370"/>
      <c r="EUQ56" s="370"/>
      <c r="EUR56" s="370"/>
      <c r="EUS56" s="370"/>
      <c r="EUT56" s="370"/>
      <c r="EUU56" s="370"/>
      <c r="EUV56" s="370"/>
      <c r="EUW56" s="370"/>
      <c r="EUX56" s="370"/>
      <c r="EUY56" s="370"/>
      <c r="EUZ56" s="370"/>
      <c r="EVA56" s="370"/>
      <c r="EVB56" s="370"/>
      <c r="EVC56" s="370"/>
      <c r="EVD56" s="370"/>
      <c r="EVE56" s="370"/>
      <c r="EVF56" s="370"/>
      <c r="EVG56" s="370"/>
      <c r="EVH56" s="370"/>
      <c r="EVI56" s="370"/>
      <c r="EVJ56" s="370"/>
      <c r="EVK56" s="370"/>
      <c r="EVL56" s="370"/>
      <c r="EVM56" s="370"/>
      <c r="EVN56" s="370"/>
      <c r="EVO56" s="370"/>
      <c r="EVP56" s="370"/>
      <c r="EVQ56" s="370"/>
      <c r="EVR56" s="370"/>
      <c r="EVS56" s="370"/>
      <c r="EVT56" s="370"/>
      <c r="EVU56" s="370"/>
      <c r="EVV56" s="370"/>
      <c r="EVW56" s="370"/>
      <c r="EVX56" s="370"/>
      <c r="EVY56" s="370"/>
      <c r="EVZ56" s="370"/>
      <c r="EWA56" s="370"/>
      <c r="EWB56" s="370"/>
      <c r="EWC56" s="370"/>
      <c r="EWD56" s="370"/>
      <c r="EWE56" s="370"/>
      <c r="EWF56" s="370"/>
      <c r="EWG56" s="370"/>
      <c r="EWH56" s="370"/>
      <c r="EWI56" s="370"/>
      <c r="EWJ56" s="370"/>
      <c r="EWK56" s="370"/>
      <c r="EWL56" s="370"/>
      <c r="EWM56" s="370"/>
      <c r="EWN56" s="370"/>
      <c r="EWO56" s="370"/>
      <c r="EWP56" s="370"/>
      <c r="EWQ56" s="370"/>
      <c r="EWR56" s="370"/>
      <c r="EWS56" s="370"/>
      <c r="EWT56" s="370"/>
      <c r="EWU56" s="370"/>
      <c r="EWV56" s="370"/>
      <c r="EWW56" s="370"/>
      <c r="EWX56" s="370"/>
      <c r="EWY56" s="370"/>
      <c r="EWZ56" s="370"/>
      <c r="EXA56" s="370"/>
      <c r="EXB56" s="370"/>
      <c r="EXC56" s="370"/>
      <c r="EXD56" s="370"/>
      <c r="EXE56" s="370"/>
      <c r="EXF56" s="370"/>
      <c r="EXG56" s="370"/>
      <c r="EXH56" s="370"/>
      <c r="EXI56" s="370"/>
      <c r="EXJ56" s="370"/>
      <c r="EXK56" s="370"/>
      <c r="EXL56" s="370"/>
      <c r="EXM56" s="370"/>
      <c r="EXN56" s="370"/>
      <c r="EXO56" s="370"/>
      <c r="EXP56" s="370"/>
      <c r="EXQ56" s="370"/>
      <c r="EXR56" s="370"/>
      <c r="EXS56" s="370"/>
      <c r="EXT56" s="370"/>
      <c r="EXU56" s="370"/>
      <c r="EXV56" s="370"/>
      <c r="EXW56" s="370"/>
      <c r="EXX56" s="370"/>
      <c r="EXY56" s="370"/>
      <c r="EXZ56" s="370"/>
      <c r="EYA56" s="370"/>
      <c r="EYB56" s="370"/>
      <c r="EYC56" s="370"/>
      <c r="EYD56" s="370"/>
      <c r="EYE56" s="370"/>
      <c r="EYF56" s="370"/>
      <c r="EYG56" s="370"/>
      <c r="EYH56" s="370"/>
      <c r="EYI56" s="370"/>
      <c r="EYJ56" s="370"/>
      <c r="EYK56" s="370"/>
      <c r="EYL56" s="370"/>
      <c r="EYM56" s="370"/>
      <c r="EYN56" s="370"/>
      <c r="EYO56" s="370"/>
      <c r="EYP56" s="370"/>
      <c r="EYQ56" s="370"/>
      <c r="EYR56" s="370"/>
      <c r="EYS56" s="370"/>
      <c r="EYT56" s="370"/>
      <c r="EYU56" s="370"/>
      <c r="EYV56" s="370"/>
      <c r="EYW56" s="370"/>
      <c r="EYX56" s="370"/>
      <c r="EYY56" s="370"/>
      <c r="EYZ56" s="370"/>
      <c r="EZA56" s="370"/>
      <c r="EZB56" s="370"/>
      <c r="EZC56" s="370"/>
      <c r="EZD56" s="370"/>
      <c r="EZE56" s="370"/>
      <c r="EZF56" s="370"/>
      <c r="EZG56" s="370"/>
      <c r="EZH56" s="370"/>
      <c r="EZI56" s="370"/>
      <c r="EZJ56" s="370"/>
      <c r="EZK56" s="370"/>
      <c r="EZL56" s="370"/>
      <c r="EZM56" s="370"/>
      <c r="EZN56" s="370"/>
      <c r="EZO56" s="370"/>
      <c r="EZP56" s="370"/>
      <c r="EZQ56" s="370"/>
      <c r="EZR56" s="370"/>
      <c r="EZS56" s="370"/>
      <c r="EZT56" s="370"/>
      <c r="EZU56" s="370"/>
      <c r="EZV56" s="370"/>
      <c r="EZW56" s="370"/>
      <c r="EZX56" s="370"/>
      <c r="EZY56" s="370"/>
      <c r="EZZ56" s="370"/>
      <c r="FAA56" s="370"/>
      <c r="FAB56" s="370"/>
      <c r="FAC56" s="370"/>
      <c r="FAD56" s="370"/>
      <c r="FAE56" s="370"/>
      <c r="FAF56" s="370"/>
      <c r="FAG56" s="370"/>
      <c r="FAH56" s="370"/>
      <c r="FAI56" s="370"/>
      <c r="FAJ56" s="370"/>
      <c r="FAK56" s="370"/>
      <c r="FAL56" s="370"/>
      <c r="FAM56" s="370"/>
      <c r="FAN56" s="370"/>
      <c r="FAO56" s="370"/>
      <c r="FAP56" s="370"/>
      <c r="FAQ56" s="370"/>
      <c r="FAR56" s="370"/>
      <c r="FAS56" s="370"/>
      <c r="FAT56" s="370"/>
      <c r="FAU56" s="370"/>
      <c r="FAV56" s="370"/>
      <c r="FAW56" s="370"/>
      <c r="FAX56" s="370"/>
      <c r="FAY56" s="370"/>
      <c r="FAZ56" s="370"/>
      <c r="FBA56" s="370"/>
      <c r="FBB56" s="370"/>
      <c r="FBC56" s="370"/>
      <c r="FBD56" s="370"/>
      <c r="FBE56" s="370"/>
      <c r="FBF56" s="370"/>
      <c r="FBG56" s="370"/>
      <c r="FBH56" s="370"/>
      <c r="FBI56" s="370"/>
      <c r="FBJ56" s="370"/>
      <c r="FBK56" s="370"/>
      <c r="FBL56" s="370"/>
      <c r="FBM56" s="370"/>
      <c r="FBN56" s="370"/>
      <c r="FBO56" s="370"/>
      <c r="FBP56" s="370"/>
      <c r="FBQ56" s="370"/>
      <c r="FBR56" s="370"/>
      <c r="FBS56" s="370"/>
      <c r="FBT56" s="370"/>
      <c r="FBU56" s="370"/>
      <c r="FBV56" s="370"/>
      <c r="FBW56" s="370"/>
      <c r="FBX56" s="370"/>
      <c r="FBY56" s="370"/>
      <c r="FBZ56" s="370"/>
      <c r="FCA56" s="370"/>
      <c r="FCB56" s="370"/>
      <c r="FCC56" s="370"/>
      <c r="FCD56" s="370"/>
      <c r="FCE56" s="370"/>
      <c r="FCF56" s="370"/>
      <c r="FCG56" s="370"/>
      <c r="FCH56" s="370"/>
      <c r="FCI56" s="370"/>
      <c r="FCJ56" s="370"/>
      <c r="FCK56" s="370"/>
      <c r="FCL56" s="370"/>
      <c r="FCM56" s="370"/>
      <c r="FCN56" s="370"/>
      <c r="FCO56" s="370"/>
      <c r="FCP56" s="370"/>
      <c r="FCQ56" s="370"/>
      <c r="FCR56" s="370"/>
      <c r="FCS56" s="370"/>
      <c r="FCT56" s="370"/>
      <c r="FCU56" s="370"/>
      <c r="FCV56" s="370"/>
      <c r="FCW56" s="370"/>
      <c r="FCX56" s="370"/>
      <c r="FCY56" s="370"/>
      <c r="FCZ56" s="370"/>
      <c r="FDA56" s="370"/>
      <c r="FDB56" s="370"/>
      <c r="FDC56" s="370"/>
      <c r="FDD56" s="370"/>
      <c r="FDE56" s="370"/>
      <c r="FDF56" s="370"/>
      <c r="FDG56" s="370"/>
      <c r="FDH56" s="370"/>
      <c r="FDI56" s="370"/>
      <c r="FDJ56" s="370"/>
      <c r="FDK56" s="370"/>
      <c r="FDL56" s="370"/>
      <c r="FDM56" s="370"/>
      <c r="FDN56" s="370"/>
      <c r="FDO56" s="370"/>
      <c r="FDP56" s="370"/>
      <c r="FDQ56" s="370"/>
      <c r="FDR56" s="370"/>
      <c r="FDS56" s="370"/>
      <c r="FDT56" s="370"/>
      <c r="FDU56" s="370"/>
      <c r="FDV56" s="370"/>
      <c r="FDW56" s="370"/>
      <c r="FDX56" s="370"/>
      <c r="FDY56" s="370"/>
      <c r="FDZ56" s="370"/>
      <c r="FEA56" s="370"/>
      <c r="FEB56" s="370"/>
      <c r="FEC56" s="370"/>
      <c r="FED56" s="370"/>
      <c r="FEE56" s="370"/>
      <c r="FEF56" s="370"/>
      <c r="FEG56" s="370"/>
      <c r="FEH56" s="370"/>
      <c r="FEI56" s="370"/>
      <c r="FEJ56" s="370"/>
      <c r="FEK56" s="370"/>
      <c r="FEL56" s="370"/>
      <c r="FEM56" s="370"/>
      <c r="FEN56" s="370"/>
      <c r="FEO56" s="370"/>
      <c r="FEP56" s="370"/>
      <c r="FEQ56" s="370"/>
      <c r="FER56" s="370"/>
      <c r="FES56" s="370"/>
      <c r="FET56" s="370"/>
      <c r="FEU56" s="370"/>
      <c r="FEV56" s="370"/>
      <c r="FEW56" s="370"/>
      <c r="FEX56" s="370"/>
      <c r="FEY56" s="370"/>
      <c r="FEZ56" s="370"/>
      <c r="FFA56" s="370"/>
      <c r="FFB56" s="370"/>
      <c r="FFC56" s="370"/>
      <c r="FFD56" s="370"/>
      <c r="FFE56" s="370"/>
      <c r="FFF56" s="370"/>
      <c r="FFG56" s="370"/>
      <c r="FFH56" s="370"/>
      <c r="FFI56" s="370"/>
      <c r="FFJ56" s="370"/>
      <c r="FFK56" s="370"/>
      <c r="FFL56" s="370"/>
      <c r="FFM56" s="370"/>
      <c r="FFN56" s="370"/>
      <c r="FFO56" s="370"/>
      <c r="FFP56" s="370"/>
      <c r="FFQ56" s="370"/>
      <c r="FFR56" s="370"/>
      <c r="FFS56" s="370"/>
      <c r="FFT56" s="370"/>
      <c r="FFU56" s="370"/>
      <c r="FFV56" s="370"/>
      <c r="FFW56" s="370"/>
      <c r="FFX56" s="370"/>
      <c r="FFY56" s="370"/>
      <c r="FFZ56" s="370"/>
      <c r="FGA56" s="370"/>
      <c r="FGB56" s="370"/>
      <c r="FGC56" s="370"/>
      <c r="FGD56" s="370"/>
      <c r="FGE56" s="370"/>
      <c r="FGF56" s="370"/>
      <c r="FGG56" s="370"/>
      <c r="FGH56" s="370"/>
      <c r="FGI56" s="370"/>
      <c r="FGJ56" s="370"/>
      <c r="FGK56" s="370"/>
      <c r="FGL56" s="370"/>
      <c r="FGM56" s="370"/>
      <c r="FGN56" s="370"/>
      <c r="FGO56" s="370"/>
      <c r="FGP56" s="370"/>
      <c r="FGQ56" s="370"/>
      <c r="FGR56" s="370"/>
      <c r="FGS56" s="370"/>
      <c r="FGT56" s="370"/>
      <c r="FGU56" s="370"/>
      <c r="FGV56" s="370"/>
      <c r="FGW56" s="370"/>
      <c r="FGX56" s="370"/>
      <c r="FGY56" s="370"/>
      <c r="FGZ56" s="370"/>
      <c r="FHA56" s="370"/>
      <c r="FHB56" s="370"/>
      <c r="FHC56" s="370"/>
      <c r="FHD56" s="370"/>
      <c r="FHE56" s="370"/>
      <c r="FHF56" s="370"/>
      <c r="FHG56" s="370"/>
      <c r="FHH56" s="370"/>
      <c r="FHI56" s="370"/>
      <c r="FHJ56" s="370"/>
      <c r="FHK56" s="370"/>
      <c r="FHL56" s="370"/>
      <c r="FHM56" s="370"/>
      <c r="FHN56" s="370"/>
      <c r="FHO56" s="370"/>
      <c r="FHP56" s="370"/>
      <c r="FHQ56" s="370"/>
      <c r="FHR56" s="370"/>
      <c r="FHS56" s="370"/>
      <c r="FHT56" s="370"/>
      <c r="FHU56" s="370"/>
      <c r="FHV56" s="370"/>
      <c r="FHW56" s="370"/>
      <c r="FHX56" s="370"/>
      <c r="FHY56" s="370"/>
      <c r="FHZ56" s="370"/>
      <c r="FIA56" s="370"/>
      <c r="FIB56" s="370"/>
      <c r="FIC56" s="370"/>
      <c r="FID56" s="370"/>
      <c r="FIE56" s="370"/>
      <c r="FIF56" s="370"/>
      <c r="FIG56" s="370"/>
      <c r="FIH56" s="370"/>
      <c r="FII56" s="370"/>
      <c r="FIJ56" s="370"/>
      <c r="FIK56" s="370"/>
      <c r="FIL56" s="370"/>
      <c r="FIM56" s="370"/>
      <c r="FIN56" s="370"/>
      <c r="FIO56" s="370"/>
      <c r="FIP56" s="370"/>
      <c r="FIQ56" s="370"/>
      <c r="FIR56" s="370"/>
      <c r="FIS56" s="370"/>
      <c r="FIT56" s="370"/>
      <c r="FIU56" s="370"/>
      <c r="FIV56" s="370"/>
      <c r="FIW56" s="370"/>
      <c r="FIX56" s="370"/>
      <c r="FIY56" s="370"/>
      <c r="FIZ56" s="370"/>
      <c r="FJA56" s="370"/>
      <c r="FJB56" s="370"/>
      <c r="FJC56" s="370"/>
      <c r="FJD56" s="370"/>
      <c r="FJE56" s="370"/>
      <c r="FJF56" s="370"/>
      <c r="FJG56" s="370"/>
      <c r="FJH56" s="370"/>
      <c r="FJI56" s="370"/>
      <c r="FJJ56" s="370"/>
      <c r="FJK56" s="370"/>
      <c r="FJL56" s="370"/>
      <c r="FJM56" s="370"/>
      <c r="FJN56" s="370"/>
      <c r="FJO56" s="370"/>
      <c r="FJP56" s="370"/>
      <c r="FJQ56" s="370"/>
      <c r="FJR56" s="370"/>
      <c r="FJS56" s="370"/>
      <c r="FJT56" s="370"/>
      <c r="FJU56" s="370"/>
      <c r="FJV56" s="370"/>
      <c r="FJW56" s="370"/>
      <c r="FJX56" s="370"/>
      <c r="FJY56" s="370"/>
      <c r="FJZ56" s="370"/>
      <c r="FKA56" s="370"/>
      <c r="FKB56" s="370"/>
      <c r="FKC56" s="370"/>
      <c r="FKD56" s="370"/>
      <c r="FKE56" s="370"/>
      <c r="FKF56" s="370"/>
      <c r="FKG56" s="370"/>
      <c r="FKH56" s="370"/>
      <c r="FKI56" s="370"/>
      <c r="FKJ56" s="370"/>
      <c r="FKK56" s="370"/>
      <c r="FKL56" s="370"/>
      <c r="FKM56" s="370"/>
      <c r="FKN56" s="370"/>
      <c r="FKO56" s="370"/>
      <c r="FKP56" s="370"/>
      <c r="FKQ56" s="370"/>
      <c r="FKR56" s="370"/>
      <c r="FKS56" s="370"/>
      <c r="FKT56" s="370"/>
      <c r="FKU56" s="370"/>
      <c r="FKV56" s="370"/>
      <c r="FKW56" s="370"/>
      <c r="FKX56" s="370"/>
      <c r="FKY56" s="370"/>
      <c r="FKZ56" s="370"/>
      <c r="FLA56" s="370"/>
      <c r="FLB56" s="370"/>
      <c r="FLC56" s="370"/>
      <c r="FLD56" s="370"/>
      <c r="FLE56" s="370"/>
      <c r="FLF56" s="370"/>
      <c r="FLG56" s="370"/>
      <c r="FLH56" s="370"/>
      <c r="FLI56" s="370"/>
      <c r="FLJ56" s="370"/>
      <c r="FLK56" s="370"/>
      <c r="FLL56" s="370"/>
      <c r="FLM56" s="370"/>
      <c r="FLN56" s="370"/>
      <c r="FLO56" s="370"/>
      <c r="FLP56" s="370"/>
      <c r="FLQ56" s="370"/>
      <c r="FLR56" s="370"/>
      <c r="FLS56" s="370"/>
      <c r="FLT56" s="370"/>
      <c r="FLU56" s="370"/>
      <c r="FLV56" s="370"/>
      <c r="FLW56" s="370"/>
      <c r="FLX56" s="370"/>
      <c r="FLY56" s="370"/>
      <c r="FLZ56" s="370"/>
      <c r="FMA56" s="370"/>
      <c r="FMB56" s="370"/>
      <c r="FMC56" s="370"/>
      <c r="FMD56" s="370"/>
      <c r="FME56" s="370"/>
      <c r="FMF56" s="370"/>
      <c r="FMG56" s="370"/>
      <c r="FMH56" s="370"/>
      <c r="FMI56" s="370"/>
      <c r="FMJ56" s="370"/>
      <c r="FMK56" s="370"/>
      <c r="FML56" s="370"/>
      <c r="FMM56" s="370"/>
      <c r="FMN56" s="370"/>
      <c r="FMO56" s="370"/>
      <c r="FMP56" s="370"/>
      <c r="FMQ56" s="370"/>
      <c r="FMR56" s="370"/>
      <c r="FMS56" s="370"/>
      <c r="FMT56" s="370"/>
      <c r="FMU56" s="370"/>
      <c r="FMV56" s="370"/>
      <c r="FMW56" s="370"/>
      <c r="FMX56" s="370"/>
      <c r="FMY56" s="370"/>
      <c r="FMZ56" s="370"/>
      <c r="FNA56" s="370"/>
      <c r="FNB56" s="370"/>
      <c r="FNC56" s="370"/>
      <c r="FND56" s="370"/>
      <c r="FNE56" s="370"/>
      <c r="FNF56" s="370"/>
      <c r="FNG56" s="370"/>
      <c r="FNH56" s="370"/>
      <c r="FNI56" s="370"/>
      <c r="FNJ56" s="370"/>
      <c r="FNK56" s="370"/>
      <c r="FNL56" s="370"/>
      <c r="FNM56" s="370"/>
      <c r="FNN56" s="370"/>
      <c r="FNO56" s="370"/>
      <c r="FNP56" s="370"/>
      <c r="FNQ56" s="370"/>
      <c r="FNR56" s="370"/>
      <c r="FNS56" s="370"/>
      <c r="FNT56" s="370"/>
      <c r="FNU56" s="370"/>
      <c r="FNV56" s="370"/>
      <c r="FNW56" s="370"/>
      <c r="FNX56" s="370"/>
      <c r="FNY56" s="370"/>
      <c r="FNZ56" s="370"/>
      <c r="FOA56" s="370"/>
      <c r="FOB56" s="370"/>
      <c r="FOC56" s="370"/>
      <c r="FOD56" s="370"/>
      <c r="FOE56" s="370"/>
      <c r="FOF56" s="370"/>
      <c r="FOG56" s="370"/>
      <c r="FOH56" s="370"/>
      <c r="FOI56" s="370"/>
      <c r="FOJ56" s="370"/>
      <c r="FOK56" s="370"/>
      <c r="FOL56" s="370"/>
      <c r="FOM56" s="370"/>
      <c r="FON56" s="370"/>
      <c r="FOO56" s="370"/>
      <c r="FOP56" s="370"/>
      <c r="FOQ56" s="370"/>
      <c r="FOR56" s="370"/>
      <c r="FOS56" s="370"/>
      <c r="FOT56" s="370"/>
      <c r="FOU56" s="370"/>
      <c r="FOV56" s="370"/>
      <c r="FOW56" s="370"/>
      <c r="FOX56" s="370"/>
      <c r="FOY56" s="370"/>
      <c r="FOZ56" s="370"/>
      <c r="FPA56" s="370"/>
      <c r="FPB56" s="370"/>
      <c r="FPC56" s="370"/>
      <c r="FPD56" s="370"/>
      <c r="FPE56" s="370"/>
      <c r="FPF56" s="370"/>
      <c r="FPG56" s="370"/>
      <c r="FPH56" s="370"/>
      <c r="FPI56" s="370"/>
      <c r="FPJ56" s="370"/>
      <c r="FPK56" s="370"/>
      <c r="FPL56" s="370"/>
      <c r="FPM56" s="370"/>
      <c r="FPN56" s="370"/>
      <c r="FPO56" s="370"/>
      <c r="FPP56" s="370"/>
      <c r="FPQ56" s="370"/>
      <c r="FPR56" s="370"/>
      <c r="FPS56" s="370"/>
      <c r="FPT56" s="370"/>
      <c r="FPU56" s="370"/>
      <c r="FPV56" s="370"/>
      <c r="FPW56" s="370"/>
      <c r="FPX56" s="370"/>
      <c r="FPY56" s="370"/>
      <c r="FPZ56" s="370"/>
      <c r="FQA56" s="370"/>
      <c r="FQB56" s="370"/>
      <c r="FQC56" s="370"/>
      <c r="FQD56" s="370"/>
      <c r="FQE56" s="370"/>
      <c r="FQF56" s="370"/>
      <c r="FQG56" s="370"/>
      <c r="FQH56" s="370"/>
      <c r="FQI56" s="370"/>
      <c r="FQJ56" s="370"/>
      <c r="FQK56" s="370"/>
      <c r="FQL56" s="370"/>
      <c r="FQM56" s="370"/>
      <c r="FQN56" s="370"/>
      <c r="FQO56" s="370"/>
      <c r="FQP56" s="370"/>
      <c r="FQQ56" s="370"/>
      <c r="FQR56" s="370"/>
      <c r="FQS56" s="370"/>
      <c r="FQT56" s="370"/>
      <c r="FQU56" s="370"/>
      <c r="FQV56" s="370"/>
      <c r="FQW56" s="370"/>
      <c r="FQX56" s="370"/>
      <c r="FQY56" s="370"/>
      <c r="FQZ56" s="370"/>
      <c r="FRA56" s="370"/>
      <c r="FRB56" s="370"/>
      <c r="FRC56" s="370"/>
      <c r="FRD56" s="370"/>
      <c r="FRE56" s="370"/>
      <c r="FRF56" s="370"/>
      <c r="FRG56" s="370"/>
      <c r="FRH56" s="370"/>
      <c r="FRI56" s="370"/>
      <c r="FRJ56" s="370"/>
      <c r="FRK56" s="370"/>
      <c r="FRL56" s="370"/>
      <c r="FRM56" s="370"/>
      <c r="FRN56" s="370"/>
      <c r="FRO56" s="370"/>
      <c r="FRP56" s="370"/>
      <c r="FRQ56" s="370"/>
      <c r="FRR56" s="370"/>
      <c r="FRS56" s="370"/>
      <c r="FRT56" s="370"/>
      <c r="FRU56" s="370"/>
      <c r="FRV56" s="370"/>
      <c r="FRW56" s="370"/>
      <c r="FRX56" s="370"/>
      <c r="FRY56" s="370"/>
      <c r="FRZ56" s="370"/>
      <c r="FSA56" s="370"/>
      <c r="FSB56" s="370"/>
      <c r="FSC56" s="370"/>
      <c r="FSD56" s="370"/>
      <c r="FSE56" s="370"/>
      <c r="FSF56" s="370"/>
      <c r="FSG56" s="370"/>
      <c r="FSH56" s="370"/>
      <c r="FSI56" s="370"/>
      <c r="FSJ56" s="370"/>
      <c r="FSK56" s="370"/>
      <c r="FSL56" s="370"/>
      <c r="FSM56" s="370"/>
      <c r="FSN56" s="370"/>
      <c r="FSO56" s="370"/>
      <c r="FSP56" s="370"/>
      <c r="FSQ56" s="370"/>
      <c r="FSR56" s="370"/>
      <c r="FSS56" s="370"/>
      <c r="FST56" s="370"/>
      <c r="FSU56" s="370"/>
      <c r="FSV56" s="370"/>
      <c r="FSW56" s="370"/>
      <c r="FSX56" s="370"/>
      <c r="FSY56" s="370"/>
      <c r="FSZ56" s="370"/>
      <c r="FTA56" s="370"/>
      <c r="FTB56" s="370"/>
      <c r="FTC56" s="370"/>
      <c r="FTD56" s="370"/>
      <c r="FTE56" s="370"/>
      <c r="FTF56" s="370"/>
      <c r="FTG56" s="370"/>
      <c r="FTH56" s="370"/>
      <c r="FTI56" s="370"/>
      <c r="FTJ56" s="370"/>
      <c r="FTK56" s="370"/>
      <c r="FTL56" s="370"/>
      <c r="FTM56" s="370"/>
      <c r="FTN56" s="370"/>
      <c r="FTO56" s="370"/>
      <c r="FTP56" s="370"/>
      <c r="FTQ56" s="370"/>
      <c r="FTR56" s="370"/>
      <c r="FTS56" s="370"/>
      <c r="FTT56" s="370"/>
      <c r="FTU56" s="370"/>
      <c r="FTV56" s="370"/>
      <c r="FTW56" s="370"/>
      <c r="FTX56" s="370"/>
      <c r="FTY56" s="370"/>
      <c r="FTZ56" s="370"/>
      <c r="FUA56" s="370"/>
      <c r="FUB56" s="370"/>
      <c r="FUC56" s="370"/>
      <c r="FUD56" s="370"/>
      <c r="FUE56" s="370"/>
      <c r="FUF56" s="370"/>
      <c r="FUG56" s="370"/>
      <c r="FUH56" s="370"/>
      <c r="FUI56" s="370"/>
      <c r="FUJ56" s="370"/>
      <c r="FUK56" s="370"/>
      <c r="FUL56" s="370"/>
      <c r="FUM56" s="370"/>
      <c r="FUN56" s="370"/>
      <c r="FUO56" s="370"/>
      <c r="FUP56" s="370"/>
      <c r="FUQ56" s="370"/>
      <c r="FUR56" s="370"/>
      <c r="FUS56" s="370"/>
      <c r="FUT56" s="370"/>
      <c r="FUU56" s="370"/>
      <c r="FUV56" s="370"/>
      <c r="FUW56" s="370"/>
      <c r="FUX56" s="370"/>
      <c r="FUY56" s="370"/>
      <c r="FUZ56" s="370"/>
      <c r="FVA56" s="370"/>
      <c r="FVB56" s="370"/>
      <c r="FVC56" s="370"/>
      <c r="FVD56" s="370"/>
      <c r="FVE56" s="370"/>
      <c r="FVF56" s="370"/>
      <c r="FVG56" s="370"/>
      <c r="FVH56" s="370"/>
      <c r="FVI56" s="370"/>
      <c r="FVJ56" s="370"/>
      <c r="FVK56" s="370"/>
      <c r="FVL56" s="370"/>
      <c r="FVM56" s="370"/>
      <c r="FVN56" s="370"/>
      <c r="FVO56" s="370"/>
      <c r="FVP56" s="370"/>
      <c r="FVQ56" s="370"/>
      <c r="FVR56" s="370"/>
      <c r="FVS56" s="370"/>
      <c r="FVT56" s="370"/>
      <c r="FVU56" s="370"/>
      <c r="FVV56" s="370"/>
      <c r="FVW56" s="370"/>
      <c r="FVX56" s="370"/>
      <c r="FVY56" s="370"/>
      <c r="FVZ56" s="370"/>
      <c r="FWA56" s="370"/>
      <c r="FWB56" s="370"/>
      <c r="FWC56" s="370"/>
      <c r="FWD56" s="370"/>
      <c r="FWE56" s="370"/>
      <c r="FWF56" s="370"/>
      <c r="FWG56" s="370"/>
      <c r="FWH56" s="370"/>
      <c r="FWI56" s="370"/>
      <c r="FWJ56" s="370"/>
      <c r="FWK56" s="370"/>
      <c r="FWL56" s="370"/>
      <c r="FWM56" s="370"/>
      <c r="FWN56" s="370"/>
      <c r="FWO56" s="370"/>
      <c r="FWP56" s="370"/>
      <c r="FWQ56" s="370"/>
      <c r="FWR56" s="370"/>
      <c r="FWS56" s="370"/>
      <c r="FWT56" s="370"/>
      <c r="FWU56" s="370"/>
      <c r="FWV56" s="370"/>
      <c r="FWW56" s="370"/>
      <c r="FWX56" s="370"/>
      <c r="FWY56" s="370"/>
      <c r="FWZ56" s="370"/>
      <c r="FXA56" s="370"/>
      <c r="FXB56" s="370"/>
      <c r="FXC56" s="370"/>
      <c r="FXD56" s="370"/>
      <c r="FXE56" s="370"/>
      <c r="FXF56" s="370"/>
      <c r="FXG56" s="370"/>
      <c r="FXH56" s="370"/>
      <c r="FXI56" s="370"/>
      <c r="FXJ56" s="370"/>
      <c r="FXK56" s="370"/>
      <c r="FXL56" s="370"/>
      <c r="FXM56" s="370"/>
      <c r="FXN56" s="370"/>
      <c r="FXO56" s="370"/>
      <c r="FXP56" s="370"/>
      <c r="FXQ56" s="370"/>
      <c r="FXR56" s="370"/>
      <c r="FXS56" s="370"/>
      <c r="FXT56" s="370"/>
      <c r="FXU56" s="370"/>
      <c r="FXV56" s="370"/>
      <c r="FXW56" s="370"/>
      <c r="FXX56" s="370"/>
      <c r="FXY56" s="370"/>
      <c r="FXZ56" s="370"/>
      <c r="FYA56" s="370"/>
      <c r="FYB56" s="370"/>
      <c r="FYC56" s="370"/>
      <c r="FYD56" s="370"/>
      <c r="FYE56" s="370"/>
      <c r="FYF56" s="370"/>
      <c r="FYG56" s="370"/>
      <c r="FYH56" s="370"/>
      <c r="FYI56" s="370"/>
      <c r="FYJ56" s="370"/>
      <c r="FYK56" s="370"/>
      <c r="FYL56" s="370"/>
      <c r="FYM56" s="370"/>
      <c r="FYN56" s="370"/>
      <c r="FYO56" s="370"/>
      <c r="FYP56" s="370"/>
      <c r="FYQ56" s="370"/>
      <c r="FYR56" s="370"/>
      <c r="FYS56" s="370"/>
      <c r="FYT56" s="370"/>
      <c r="FYU56" s="370"/>
      <c r="FYV56" s="370"/>
      <c r="FYW56" s="370"/>
      <c r="FYX56" s="370"/>
      <c r="FYY56" s="370"/>
      <c r="FYZ56" s="370"/>
      <c r="FZA56" s="370"/>
      <c r="FZB56" s="370"/>
      <c r="FZC56" s="370"/>
      <c r="FZD56" s="370"/>
      <c r="FZE56" s="370"/>
      <c r="FZF56" s="370"/>
      <c r="FZG56" s="370"/>
      <c r="FZH56" s="370"/>
      <c r="FZI56" s="370"/>
      <c r="FZJ56" s="370"/>
      <c r="FZK56" s="370"/>
      <c r="FZL56" s="370"/>
      <c r="FZM56" s="370"/>
      <c r="FZN56" s="370"/>
      <c r="FZO56" s="370"/>
      <c r="FZP56" s="370"/>
      <c r="FZQ56" s="370"/>
      <c r="FZR56" s="370"/>
      <c r="FZS56" s="370"/>
      <c r="FZT56" s="370"/>
      <c r="FZU56" s="370"/>
      <c r="FZV56" s="370"/>
      <c r="FZW56" s="370"/>
      <c r="FZX56" s="370"/>
      <c r="FZY56" s="370"/>
      <c r="FZZ56" s="370"/>
      <c r="GAA56" s="370"/>
      <c r="GAB56" s="370"/>
      <c r="GAC56" s="370"/>
      <c r="GAD56" s="370"/>
      <c r="GAE56" s="370"/>
      <c r="GAF56" s="370"/>
      <c r="GAG56" s="370"/>
      <c r="GAH56" s="370"/>
      <c r="GAI56" s="370"/>
      <c r="GAJ56" s="370"/>
      <c r="GAK56" s="370"/>
      <c r="GAL56" s="370"/>
      <c r="GAM56" s="370"/>
      <c r="GAN56" s="370"/>
      <c r="GAO56" s="370"/>
      <c r="GAP56" s="370"/>
      <c r="GAQ56" s="370"/>
      <c r="GAR56" s="370"/>
      <c r="GAS56" s="370"/>
      <c r="GAT56" s="370"/>
      <c r="GAU56" s="370"/>
      <c r="GAV56" s="370"/>
      <c r="GAW56" s="370"/>
      <c r="GAX56" s="370"/>
      <c r="GAY56" s="370"/>
      <c r="GAZ56" s="370"/>
      <c r="GBA56" s="370"/>
      <c r="GBB56" s="370"/>
      <c r="GBC56" s="370"/>
      <c r="GBD56" s="370"/>
      <c r="GBE56" s="370"/>
      <c r="GBF56" s="370"/>
      <c r="GBG56" s="370"/>
      <c r="GBH56" s="370"/>
      <c r="GBI56" s="370"/>
      <c r="GBJ56" s="370"/>
      <c r="GBK56" s="370"/>
      <c r="GBL56" s="370"/>
      <c r="GBM56" s="370"/>
      <c r="GBN56" s="370"/>
      <c r="GBO56" s="370"/>
      <c r="GBP56" s="370"/>
      <c r="GBQ56" s="370"/>
      <c r="GBR56" s="370"/>
      <c r="GBS56" s="370"/>
      <c r="GBT56" s="370"/>
      <c r="GBU56" s="370"/>
      <c r="GBV56" s="370"/>
      <c r="GBW56" s="370"/>
      <c r="GBX56" s="370"/>
      <c r="GBY56" s="370"/>
      <c r="GBZ56" s="370"/>
      <c r="GCA56" s="370"/>
      <c r="GCB56" s="370"/>
      <c r="GCC56" s="370"/>
      <c r="GCD56" s="370"/>
      <c r="GCE56" s="370"/>
      <c r="GCF56" s="370"/>
      <c r="GCG56" s="370"/>
      <c r="GCH56" s="370"/>
      <c r="GCI56" s="370"/>
      <c r="GCJ56" s="370"/>
      <c r="GCK56" s="370"/>
      <c r="GCL56" s="370"/>
      <c r="GCM56" s="370"/>
      <c r="GCN56" s="370"/>
      <c r="GCO56" s="370"/>
      <c r="GCP56" s="370"/>
      <c r="GCQ56" s="370"/>
      <c r="GCR56" s="370"/>
      <c r="GCS56" s="370"/>
      <c r="GCT56" s="370"/>
      <c r="GCU56" s="370"/>
      <c r="GCV56" s="370"/>
      <c r="GCW56" s="370"/>
      <c r="GCX56" s="370"/>
      <c r="GCY56" s="370"/>
      <c r="GCZ56" s="370"/>
      <c r="GDA56" s="370"/>
      <c r="GDB56" s="370"/>
      <c r="GDC56" s="370"/>
      <c r="GDD56" s="370"/>
      <c r="GDE56" s="370"/>
      <c r="GDF56" s="370"/>
      <c r="GDG56" s="370"/>
      <c r="GDH56" s="370"/>
      <c r="GDI56" s="370"/>
      <c r="GDJ56" s="370"/>
      <c r="GDK56" s="370"/>
      <c r="GDL56" s="370"/>
      <c r="GDM56" s="370"/>
      <c r="GDN56" s="370"/>
      <c r="GDO56" s="370"/>
      <c r="GDP56" s="370"/>
      <c r="GDQ56" s="370"/>
      <c r="GDR56" s="370"/>
      <c r="GDS56" s="370"/>
      <c r="GDT56" s="370"/>
      <c r="GDU56" s="370"/>
      <c r="GDV56" s="370"/>
      <c r="GDW56" s="370"/>
      <c r="GDX56" s="370"/>
      <c r="GDY56" s="370"/>
      <c r="GDZ56" s="370"/>
      <c r="GEA56" s="370"/>
      <c r="GEB56" s="370"/>
      <c r="GEC56" s="370"/>
      <c r="GED56" s="370"/>
      <c r="GEE56" s="370"/>
      <c r="GEF56" s="370"/>
      <c r="GEG56" s="370"/>
      <c r="GEH56" s="370"/>
      <c r="GEI56" s="370"/>
      <c r="GEJ56" s="370"/>
      <c r="GEK56" s="370"/>
      <c r="GEL56" s="370"/>
      <c r="GEM56" s="370"/>
      <c r="GEN56" s="370"/>
      <c r="GEO56" s="370"/>
      <c r="GEP56" s="370"/>
      <c r="GEQ56" s="370"/>
      <c r="GER56" s="370"/>
      <c r="GES56" s="370"/>
      <c r="GET56" s="370"/>
      <c r="GEU56" s="370"/>
      <c r="GEV56" s="370"/>
      <c r="GEW56" s="370"/>
      <c r="GEX56" s="370"/>
      <c r="GEY56" s="370"/>
      <c r="GEZ56" s="370"/>
      <c r="GFA56" s="370"/>
      <c r="GFB56" s="370"/>
      <c r="GFC56" s="370"/>
      <c r="GFD56" s="370"/>
      <c r="GFE56" s="370"/>
      <c r="GFF56" s="370"/>
      <c r="GFG56" s="370"/>
      <c r="GFH56" s="370"/>
      <c r="GFI56" s="370"/>
      <c r="GFJ56" s="370"/>
      <c r="GFK56" s="370"/>
      <c r="GFL56" s="370"/>
      <c r="GFM56" s="370"/>
      <c r="GFN56" s="370"/>
      <c r="GFO56" s="370"/>
      <c r="GFP56" s="370"/>
      <c r="GFQ56" s="370"/>
      <c r="GFR56" s="370"/>
      <c r="GFS56" s="370"/>
      <c r="GFT56" s="370"/>
      <c r="GFU56" s="370"/>
      <c r="GFV56" s="370"/>
      <c r="GFW56" s="370"/>
      <c r="GFX56" s="370"/>
      <c r="GFY56" s="370"/>
      <c r="GFZ56" s="370"/>
      <c r="GGA56" s="370"/>
      <c r="GGB56" s="370"/>
      <c r="GGC56" s="370"/>
      <c r="GGD56" s="370"/>
      <c r="GGE56" s="370"/>
      <c r="GGF56" s="370"/>
      <c r="GGG56" s="370"/>
      <c r="GGH56" s="370"/>
      <c r="GGI56" s="370"/>
      <c r="GGJ56" s="370"/>
      <c r="GGK56" s="370"/>
      <c r="GGL56" s="370"/>
      <c r="GGM56" s="370"/>
      <c r="GGN56" s="370"/>
      <c r="GGO56" s="370"/>
      <c r="GGP56" s="370"/>
      <c r="GGQ56" s="370"/>
      <c r="GGR56" s="370"/>
      <c r="GGS56" s="370"/>
      <c r="GGT56" s="370"/>
      <c r="GGU56" s="370"/>
      <c r="GGV56" s="370"/>
      <c r="GGW56" s="370"/>
      <c r="GGX56" s="370"/>
      <c r="GGY56" s="370"/>
      <c r="GGZ56" s="370"/>
      <c r="GHA56" s="370"/>
      <c r="GHB56" s="370"/>
      <c r="GHC56" s="370"/>
      <c r="GHD56" s="370"/>
      <c r="GHE56" s="370"/>
      <c r="GHF56" s="370"/>
      <c r="GHG56" s="370"/>
      <c r="GHH56" s="370"/>
      <c r="GHI56" s="370"/>
      <c r="GHJ56" s="370"/>
      <c r="GHK56" s="370"/>
      <c r="GHL56" s="370"/>
      <c r="GHM56" s="370"/>
      <c r="GHN56" s="370"/>
      <c r="GHO56" s="370"/>
      <c r="GHP56" s="370"/>
      <c r="GHQ56" s="370"/>
      <c r="GHR56" s="370"/>
      <c r="GHS56" s="370"/>
      <c r="GHT56" s="370"/>
      <c r="GHU56" s="370"/>
      <c r="GHV56" s="370"/>
      <c r="GHW56" s="370"/>
      <c r="GHX56" s="370"/>
      <c r="GHY56" s="370"/>
      <c r="GHZ56" s="370"/>
      <c r="GIA56" s="370"/>
      <c r="GIB56" s="370"/>
      <c r="GIC56" s="370"/>
      <c r="GID56" s="370"/>
      <c r="GIE56" s="370"/>
      <c r="GIF56" s="370"/>
      <c r="GIG56" s="370"/>
      <c r="GIH56" s="370"/>
      <c r="GII56" s="370"/>
      <c r="GIJ56" s="370"/>
      <c r="GIK56" s="370"/>
      <c r="GIL56" s="370"/>
      <c r="GIM56" s="370"/>
      <c r="GIN56" s="370"/>
      <c r="GIO56" s="370"/>
      <c r="GIP56" s="370"/>
      <c r="GIQ56" s="370"/>
      <c r="GIR56" s="370"/>
      <c r="GIS56" s="370"/>
      <c r="GIT56" s="370"/>
      <c r="GIU56" s="370"/>
      <c r="GIV56" s="370"/>
      <c r="GIW56" s="370"/>
      <c r="GIX56" s="370"/>
      <c r="GIY56" s="370"/>
      <c r="GIZ56" s="370"/>
      <c r="GJA56" s="370"/>
      <c r="GJB56" s="370"/>
      <c r="GJC56" s="370"/>
      <c r="GJD56" s="370"/>
      <c r="GJE56" s="370"/>
      <c r="GJF56" s="370"/>
      <c r="GJG56" s="370"/>
      <c r="GJH56" s="370"/>
      <c r="GJI56" s="370"/>
      <c r="GJJ56" s="370"/>
      <c r="GJK56" s="370"/>
      <c r="GJL56" s="370"/>
      <c r="GJM56" s="370"/>
      <c r="GJN56" s="370"/>
      <c r="GJO56" s="370"/>
      <c r="GJP56" s="370"/>
      <c r="GJQ56" s="370"/>
      <c r="GJR56" s="370"/>
      <c r="GJS56" s="370"/>
      <c r="GJT56" s="370"/>
      <c r="GJU56" s="370"/>
      <c r="GJV56" s="370"/>
      <c r="GJW56" s="370"/>
      <c r="GJX56" s="370"/>
      <c r="GJY56" s="370"/>
      <c r="GJZ56" s="370"/>
      <c r="GKA56" s="370"/>
      <c r="GKB56" s="370"/>
      <c r="GKC56" s="370"/>
      <c r="GKD56" s="370"/>
      <c r="GKE56" s="370"/>
      <c r="GKF56" s="370"/>
      <c r="GKG56" s="370"/>
      <c r="GKH56" s="370"/>
      <c r="GKI56" s="370"/>
      <c r="GKJ56" s="370"/>
      <c r="GKK56" s="370"/>
      <c r="GKL56" s="370"/>
      <c r="GKM56" s="370"/>
      <c r="GKN56" s="370"/>
      <c r="GKO56" s="370"/>
      <c r="GKP56" s="370"/>
      <c r="GKQ56" s="370"/>
      <c r="GKR56" s="370"/>
      <c r="GKS56" s="370"/>
      <c r="GKT56" s="370"/>
      <c r="GKU56" s="370"/>
      <c r="GKV56" s="370"/>
      <c r="GKW56" s="370"/>
      <c r="GKX56" s="370"/>
      <c r="GKY56" s="370"/>
      <c r="GKZ56" s="370"/>
      <c r="GLA56" s="370"/>
      <c r="GLB56" s="370"/>
      <c r="GLC56" s="370"/>
      <c r="GLD56" s="370"/>
      <c r="GLE56" s="370"/>
      <c r="GLF56" s="370"/>
      <c r="GLG56" s="370"/>
      <c r="GLH56" s="370"/>
      <c r="GLI56" s="370"/>
      <c r="GLJ56" s="370"/>
      <c r="GLK56" s="370"/>
      <c r="GLL56" s="370"/>
      <c r="GLM56" s="370"/>
      <c r="GLN56" s="370"/>
      <c r="GLO56" s="370"/>
      <c r="GLP56" s="370"/>
      <c r="GLQ56" s="370"/>
      <c r="GLR56" s="370"/>
      <c r="GLS56" s="370"/>
      <c r="GLT56" s="370"/>
      <c r="GLU56" s="370"/>
      <c r="GLV56" s="370"/>
      <c r="GLW56" s="370"/>
      <c r="GLX56" s="370"/>
      <c r="GLY56" s="370"/>
      <c r="GLZ56" s="370"/>
      <c r="GMA56" s="370"/>
      <c r="GMB56" s="370"/>
      <c r="GMC56" s="370"/>
      <c r="GMD56" s="370"/>
      <c r="GME56" s="370"/>
      <c r="GMF56" s="370"/>
      <c r="GMG56" s="370"/>
      <c r="GMH56" s="370"/>
      <c r="GMI56" s="370"/>
      <c r="GMJ56" s="370"/>
      <c r="GMK56" s="370"/>
      <c r="GML56" s="370"/>
      <c r="GMM56" s="370"/>
      <c r="GMN56" s="370"/>
      <c r="GMO56" s="370"/>
      <c r="GMP56" s="370"/>
      <c r="GMQ56" s="370"/>
      <c r="GMR56" s="370"/>
      <c r="GMS56" s="370"/>
      <c r="GMT56" s="370"/>
      <c r="GMU56" s="370"/>
      <c r="GMV56" s="370"/>
      <c r="GMW56" s="370"/>
      <c r="GMX56" s="370"/>
      <c r="GMY56" s="370"/>
      <c r="GMZ56" s="370"/>
      <c r="GNA56" s="370"/>
      <c r="GNB56" s="370"/>
      <c r="GNC56" s="370"/>
      <c r="GND56" s="370"/>
      <c r="GNE56" s="370"/>
      <c r="GNF56" s="370"/>
      <c r="GNG56" s="370"/>
      <c r="GNH56" s="370"/>
      <c r="GNI56" s="370"/>
      <c r="GNJ56" s="370"/>
      <c r="GNK56" s="370"/>
      <c r="GNL56" s="370"/>
      <c r="GNM56" s="370"/>
      <c r="GNN56" s="370"/>
      <c r="GNO56" s="370"/>
      <c r="GNP56" s="370"/>
      <c r="GNQ56" s="370"/>
      <c r="GNR56" s="370"/>
      <c r="GNS56" s="370"/>
      <c r="GNT56" s="370"/>
      <c r="GNU56" s="370"/>
      <c r="GNV56" s="370"/>
      <c r="GNW56" s="370"/>
      <c r="GNX56" s="370"/>
      <c r="GNY56" s="370"/>
      <c r="GNZ56" s="370"/>
      <c r="GOA56" s="370"/>
      <c r="GOB56" s="370"/>
      <c r="GOC56" s="370"/>
      <c r="GOD56" s="370"/>
      <c r="GOE56" s="370"/>
      <c r="GOF56" s="370"/>
      <c r="GOG56" s="370"/>
      <c r="GOH56" s="370"/>
      <c r="GOI56" s="370"/>
      <c r="GOJ56" s="370"/>
      <c r="GOK56" s="370"/>
      <c r="GOL56" s="370"/>
      <c r="GOM56" s="370"/>
      <c r="GON56" s="370"/>
      <c r="GOO56" s="370"/>
      <c r="GOP56" s="370"/>
      <c r="GOQ56" s="370"/>
      <c r="GOR56" s="370"/>
      <c r="GOS56" s="370"/>
      <c r="GOT56" s="370"/>
      <c r="GOU56" s="370"/>
      <c r="GOV56" s="370"/>
      <c r="GOW56" s="370"/>
      <c r="GOX56" s="370"/>
      <c r="GOY56" s="370"/>
      <c r="GOZ56" s="370"/>
      <c r="GPA56" s="370"/>
      <c r="GPB56" s="370"/>
      <c r="GPC56" s="370"/>
      <c r="GPD56" s="370"/>
      <c r="GPE56" s="370"/>
      <c r="GPF56" s="370"/>
      <c r="GPG56" s="370"/>
      <c r="GPH56" s="370"/>
      <c r="GPI56" s="370"/>
      <c r="GPJ56" s="370"/>
      <c r="GPK56" s="370"/>
      <c r="GPL56" s="370"/>
      <c r="GPM56" s="370"/>
      <c r="GPN56" s="370"/>
      <c r="GPO56" s="370"/>
      <c r="GPP56" s="370"/>
      <c r="GPQ56" s="370"/>
      <c r="GPR56" s="370"/>
      <c r="GPS56" s="370"/>
      <c r="GPT56" s="370"/>
      <c r="GPU56" s="370"/>
      <c r="GPV56" s="370"/>
      <c r="GPW56" s="370"/>
      <c r="GPX56" s="370"/>
      <c r="GPY56" s="370"/>
      <c r="GPZ56" s="370"/>
      <c r="GQA56" s="370"/>
      <c r="GQB56" s="370"/>
      <c r="GQC56" s="370"/>
      <c r="GQD56" s="370"/>
      <c r="GQE56" s="370"/>
      <c r="GQF56" s="370"/>
      <c r="GQG56" s="370"/>
      <c r="GQH56" s="370"/>
      <c r="GQI56" s="370"/>
      <c r="GQJ56" s="370"/>
      <c r="GQK56" s="370"/>
      <c r="GQL56" s="370"/>
      <c r="GQM56" s="370"/>
      <c r="GQN56" s="370"/>
      <c r="GQO56" s="370"/>
      <c r="GQP56" s="370"/>
      <c r="GQQ56" s="370"/>
      <c r="GQR56" s="370"/>
      <c r="GQS56" s="370"/>
      <c r="GQT56" s="370"/>
      <c r="GQU56" s="370"/>
      <c r="GQV56" s="370"/>
      <c r="GQW56" s="370"/>
      <c r="GQX56" s="370"/>
      <c r="GQY56" s="370"/>
      <c r="GQZ56" s="370"/>
      <c r="GRA56" s="370"/>
      <c r="GRB56" s="370"/>
      <c r="GRC56" s="370"/>
      <c r="GRD56" s="370"/>
      <c r="GRE56" s="370"/>
      <c r="GRF56" s="370"/>
      <c r="GRG56" s="370"/>
      <c r="GRH56" s="370"/>
      <c r="GRI56" s="370"/>
      <c r="GRJ56" s="370"/>
      <c r="GRK56" s="370"/>
      <c r="GRL56" s="370"/>
      <c r="GRM56" s="370"/>
      <c r="GRN56" s="370"/>
      <c r="GRO56" s="370"/>
      <c r="GRP56" s="370"/>
      <c r="GRQ56" s="370"/>
      <c r="GRR56" s="370"/>
      <c r="GRS56" s="370"/>
      <c r="GRT56" s="370"/>
      <c r="GRU56" s="370"/>
      <c r="GRV56" s="370"/>
      <c r="GRW56" s="370"/>
      <c r="GRX56" s="370"/>
      <c r="GRY56" s="370"/>
      <c r="GRZ56" s="370"/>
      <c r="GSA56" s="370"/>
      <c r="GSB56" s="370"/>
      <c r="GSC56" s="370"/>
      <c r="GSD56" s="370"/>
      <c r="GSE56" s="370"/>
      <c r="GSF56" s="370"/>
      <c r="GSG56" s="370"/>
      <c r="GSH56" s="370"/>
      <c r="GSI56" s="370"/>
      <c r="GSJ56" s="370"/>
      <c r="GSK56" s="370"/>
      <c r="GSL56" s="370"/>
      <c r="GSM56" s="370"/>
      <c r="GSN56" s="370"/>
      <c r="GSO56" s="370"/>
      <c r="GSP56" s="370"/>
      <c r="GSQ56" s="370"/>
      <c r="GSR56" s="370"/>
      <c r="GSS56" s="370"/>
      <c r="GST56" s="370"/>
      <c r="GSU56" s="370"/>
      <c r="GSV56" s="370"/>
      <c r="GSW56" s="370"/>
      <c r="GSX56" s="370"/>
      <c r="GSY56" s="370"/>
      <c r="GSZ56" s="370"/>
      <c r="GTA56" s="370"/>
      <c r="GTB56" s="370"/>
      <c r="GTC56" s="370"/>
      <c r="GTD56" s="370"/>
      <c r="GTE56" s="370"/>
      <c r="GTF56" s="370"/>
      <c r="GTG56" s="370"/>
      <c r="GTH56" s="370"/>
      <c r="GTI56" s="370"/>
      <c r="GTJ56" s="370"/>
      <c r="GTK56" s="370"/>
      <c r="GTL56" s="370"/>
      <c r="GTM56" s="370"/>
      <c r="GTN56" s="370"/>
      <c r="GTO56" s="370"/>
      <c r="GTP56" s="370"/>
      <c r="GTQ56" s="370"/>
      <c r="GTR56" s="370"/>
      <c r="GTS56" s="370"/>
      <c r="GTT56" s="370"/>
      <c r="GTU56" s="370"/>
      <c r="GTV56" s="370"/>
      <c r="GTW56" s="370"/>
      <c r="GTX56" s="370"/>
      <c r="GTY56" s="370"/>
      <c r="GTZ56" s="370"/>
      <c r="GUA56" s="370"/>
      <c r="GUB56" s="370"/>
      <c r="GUC56" s="370"/>
      <c r="GUD56" s="370"/>
      <c r="GUE56" s="370"/>
      <c r="GUF56" s="370"/>
      <c r="GUG56" s="370"/>
      <c r="GUH56" s="370"/>
      <c r="GUI56" s="370"/>
      <c r="GUJ56" s="370"/>
      <c r="GUK56" s="370"/>
      <c r="GUL56" s="370"/>
      <c r="GUM56" s="370"/>
      <c r="GUN56" s="370"/>
      <c r="GUO56" s="370"/>
      <c r="GUP56" s="370"/>
      <c r="GUQ56" s="370"/>
      <c r="GUR56" s="370"/>
      <c r="GUS56" s="370"/>
      <c r="GUT56" s="370"/>
      <c r="GUU56" s="370"/>
      <c r="GUV56" s="370"/>
      <c r="GUW56" s="370"/>
      <c r="GUX56" s="370"/>
      <c r="GUY56" s="370"/>
      <c r="GUZ56" s="370"/>
      <c r="GVA56" s="370"/>
      <c r="GVB56" s="370"/>
      <c r="GVC56" s="370"/>
      <c r="GVD56" s="370"/>
      <c r="GVE56" s="370"/>
      <c r="GVF56" s="370"/>
      <c r="GVG56" s="370"/>
      <c r="GVH56" s="370"/>
      <c r="GVI56" s="370"/>
      <c r="GVJ56" s="370"/>
      <c r="GVK56" s="370"/>
      <c r="GVL56" s="370"/>
      <c r="GVM56" s="370"/>
      <c r="GVN56" s="370"/>
      <c r="GVO56" s="370"/>
      <c r="GVP56" s="370"/>
      <c r="GVQ56" s="370"/>
      <c r="GVR56" s="370"/>
      <c r="GVS56" s="370"/>
      <c r="GVT56" s="370"/>
      <c r="GVU56" s="370"/>
      <c r="GVV56" s="370"/>
      <c r="GVW56" s="370"/>
      <c r="GVX56" s="370"/>
      <c r="GVY56" s="370"/>
      <c r="GVZ56" s="370"/>
      <c r="GWA56" s="370"/>
      <c r="GWB56" s="370"/>
      <c r="GWC56" s="370"/>
      <c r="GWD56" s="370"/>
      <c r="GWE56" s="370"/>
      <c r="GWF56" s="370"/>
      <c r="GWG56" s="370"/>
      <c r="GWH56" s="370"/>
      <c r="GWI56" s="370"/>
      <c r="GWJ56" s="370"/>
      <c r="GWK56" s="370"/>
      <c r="GWL56" s="370"/>
      <c r="GWM56" s="370"/>
      <c r="GWN56" s="370"/>
      <c r="GWO56" s="370"/>
      <c r="GWP56" s="370"/>
      <c r="GWQ56" s="370"/>
      <c r="GWR56" s="370"/>
      <c r="GWS56" s="370"/>
      <c r="GWT56" s="370"/>
      <c r="GWU56" s="370"/>
      <c r="GWV56" s="370"/>
      <c r="GWW56" s="370"/>
      <c r="GWX56" s="370"/>
      <c r="GWY56" s="370"/>
      <c r="GWZ56" s="370"/>
      <c r="GXA56" s="370"/>
      <c r="GXB56" s="370"/>
      <c r="GXC56" s="370"/>
      <c r="GXD56" s="370"/>
      <c r="GXE56" s="370"/>
      <c r="GXF56" s="370"/>
      <c r="GXG56" s="370"/>
      <c r="GXH56" s="370"/>
      <c r="GXI56" s="370"/>
      <c r="GXJ56" s="370"/>
      <c r="GXK56" s="370"/>
      <c r="GXL56" s="370"/>
      <c r="GXM56" s="370"/>
      <c r="GXN56" s="370"/>
      <c r="GXO56" s="370"/>
      <c r="GXP56" s="370"/>
      <c r="GXQ56" s="370"/>
      <c r="GXR56" s="370"/>
      <c r="GXS56" s="370"/>
      <c r="GXT56" s="370"/>
      <c r="GXU56" s="370"/>
      <c r="GXV56" s="370"/>
      <c r="GXW56" s="370"/>
      <c r="GXX56" s="370"/>
      <c r="GXY56" s="370"/>
      <c r="GXZ56" s="370"/>
      <c r="GYA56" s="370"/>
      <c r="GYB56" s="370"/>
      <c r="GYC56" s="370"/>
      <c r="GYD56" s="370"/>
      <c r="GYE56" s="370"/>
      <c r="GYF56" s="370"/>
      <c r="GYG56" s="370"/>
      <c r="GYH56" s="370"/>
      <c r="GYI56" s="370"/>
      <c r="GYJ56" s="370"/>
      <c r="GYK56" s="370"/>
      <c r="GYL56" s="370"/>
      <c r="GYM56" s="370"/>
      <c r="GYN56" s="370"/>
      <c r="GYO56" s="370"/>
      <c r="GYP56" s="370"/>
      <c r="GYQ56" s="370"/>
      <c r="GYR56" s="370"/>
      <c r="GYS56" s="370"/>
      <c r="GYT56" s="370"/>
      <c r="GYU56" s="370"/>
      <c r="GYV56" s="370"/>
      <c r="GYW56" s="370"/>
      <c r="GYX56" s="370"/>
      <c r="GYY56" s="370"/>
      <c r="GYZ56" s="370"/>
      <c r="GZA56" s="370"/>
      <c r="GZB56" s="370"/>
      <c r="GZC56" s="370"/>
      <c r="GZD56" s="370"/>
      <c r="GZE56" s="370"/>
      <c r="GZF56" s="370"/>
      <c r="GZG56" s="370"/>
      <c r="GZH56" s="370"/>
      <c r="GZI56" s="370"/>
      <c r="GZJ56" s="370"/>
      <c r="GZK56" s="370"/>
      <c r="GZL56" s="370"/>
      <c r="GZM56" s="370"/>
      <c r="GZN56" s="370"/>
      <c r="GZO56" s="370"/>
      <c r="GZP56" s="370"/>
      <c r="GZQ56" s="370"/>
      <c r="GZR56" s="370"/>
      <c r="GZS56" s="370"/>
      <c r="GZT56" s="370"/>
      <c r="GZU56" s="370"/>
      <c r="GZV56" s="370"/>
      <c r="GZW56" s="370"/>
      <c r="GZX56" s="370"/>
      <c r="GZY56" s="370"/>
      <c r="GZZ56" s="370"/>
      <c r="HAA56" s="370"/>
      <c r="HAB56" s="370"/>
      <c r="HAC56" s="370"/>
      <c r="HAD56" s="370"/>
      <c r="HAE56" s="370"/>
      <c r="HAF56" s="370"/>
      <c r="HAG56" s="370"/>
      <c r="HAH56" s="370"/>
      <c r="HAI56" s="370"/>
      <c r="HAJ56" s="370"/>
      <c r="HAK56" s="370"/>
      <c r="HAL56" s="370"/>
      <c r="HAM56" s="370"/>
      <c r="HAN56" s="370"/>
      <c r="HAO56" s="370"/>
      <c r="HAP56" s="370"/>
      <c r="HAQ56" s="370"/>
      <c r="HAR56" s="370"/>
      <c r="HAS56" s="370"/>
      <c r="HAT56" s="370"/>
      <c r="HAU56" s="370"/>
      <c r="HAV56" s="370"/>
      <c r="HAW56" s="370"/>
      <c r="HAX56" s="370"/>
      <c r="HAY56" s="370"/>
      <c r="HAZ56" s="370"/>
      <c r="HBA56" s="370"/>
      <c r="HBB56" s="370"/>
      <c r="HBC56" s="370"/>
      <c r="HBD56" s="370"/>
      <c r="HBE56" s="370"/>
      <c r="HBF56" s="370"/>
      <c r="HBG56" s="370"/>
      <c r="HBH56" s="370"/>
      <c r="HBI56" s="370"/>
      <c r="HBJ56" s="370"/>
      <c r="HBK56" s="370"/>
      <c r="HBL56" s="370"/>
      <c r="HBM56" s="370"/>
      <c r="HBN56" s="370"/>
      <c r="HBO56" s="370"/>
      <c r="HBP56" s="370"/>
      <c r="HBQ56" s="370"/>
      <c r="HBR56" s="370"/>
      <c r="HBS56" s="370"/>
      <c r="HBT56" s="370"/>
      <c r="HBU56" s="370"/>
      <c r="HBV56" s="370"/>
      <c r="HBW56" s="370"/>
      <c r="HBX56" s="370"/>
      <c r="HBY56" s="370"/>
      <c r="HBZ56" s="370"/>
      <c r="HCA56" s="370"/>
      <c r="HCB56" s="370"/>
      <c r="HCC56" s="370"/>
      <c r="HCD56" s="370"/>
      <c r="HCE56" s="370"/>
      <c r="HCF56" s="370"/>
      <c r="HCG56" s="370"/>
      <c r="HCH56" s="370"/>
      <c r="HCI56" s="370"/>
      <c r="HCJ56" s="370"/>
      <c r="HCK56" s="370"/>
      <c r="HCL56" s="370"/>
      <c r="HCM56" s="370"/>
      <c r="HCN56" s="370"/>
      <c r="HCO56" s="370"/>
      <c r="HCP56" s="370"/>
      <c r="HCQ56" s="370"/>
      <c r="HCR56" s="370"/>
      <c r="HCS56" s="370"/>
      <c r="HCT56" s="370"/>
      <c r="HCU56" s="370"/>
      <c r="HCV56" s="370"/>
      <c r="HCW56" s="370"/>
      <c r="HCX56" s="370"/>
      <c r="HCY56" s="370"/>
      <c r="HCZ56" s="370"/>
      <c r="HDA56" s="370"/>
      <c r="HDB56" s="370"/>
      <c r="HDC56" s="370"/>
      <c r="HDD56" s="370"/>
      <c r="HDE56" s="370"/>
      <c r="HDF56" s="370"/>
      <c r="HDG56" s="370"/>
      <c r="HDH56" s="370"/>
      <c r="HDI56" s="370"/>
      <c r="HDJ56" s="370"/>
      <c r="HDK56" s="370"/>
      <c r="HDL56" s="370"/>
      <c r="HDM56" s="370"/>
      <c r="HDN56" s="370"/>
      <c r="HDO56" s="370"/>
      <c r="HDP56" s="370"/>
      <c r="HDQ56" s="370"/>
      <c r="HDR56" s="370"/>
      <c r="HDS56" s="370"/>
      <c r="HDT56" s="370"/>
      <c r="HDU56" s="370"/>
      <c r="HDV56" s="370"/>
      <c r="HDW56" s="370"/>
      <c r="HDX56" s="370"/>
      <c r="HDY56" s="370"/>
      <c r="HDZ56" s="370"/>
      <c r="HEA56" s="370"/>
      <c r="HEB56" s="370"/>
      <c r="HEC56" s="370"/>
      <c r="HED56" s="370"/>
      <c r="HEE56" s="370"/>
      <c r="HEF56" s="370"/>
      <c r="HEG56" s="370"/>
      <c r="HEH56" s="370"/>
      <c r="HEI56" s="370"/>
      <c r="HEJ56" s="370"/>
      <c r="HEK56" s="370"/>
      <c r="HEL56" s="370"/>
      <c r="HEM56" s="370"/>
      <c r="HEN56" s="370"/>
      <c r="HEO56" s="370"/>
      <c r="HEP56" s="370"/>
      <c r="HEQ56" s="370"/>
      <c r="HER56" s="370"/>
      <c r="HES56" s="370"/>
      <c r="HET56" s="370"/>
      <c r="HEU56" s="370"/>
      <c r="HEV56" s="370"/>
      <c r="HEW56" s="370"/>
      <c r="HEX56" s="370"/>
      <c r="HEY56" s="370"/>
      <c r="HEZ56" s="370"/>
      <c r="HFA56" s="370"/>
      <c r="HFB56" s="370"/>
      <c r="HFC56" s="370"/>
      <c r="HFD56" s="370"/>
      <c r="HFE56" s="370"/>
      <c r="HFF56" s="370"/>
      <c r="HFG56" s="370"/>
      <c r="HFH56" s="370"/>
      <c r="HFI56" s="370"/>
      <c r="HFJ56" s="370"/>
      <c r="HFK56" s="370"/>
      <c r="HFL56" s="370"/>
      <c r="HFM56" s="370"/>
      <c r="HFN56" s="370"/>
      <c r="HFO56" s="370"/>
      <c r="HFP56" s="370"/>
      <c r="HFQ56" s="370"/>
      <c r="HFR56" s="370"/>
      <c r="HFS56" s="370"/>
      <c r="HFT56" s="370"/>
      <c r="HFU56" s="370"/>
      <c r="HFV56" s="370"/>
      <c r="HFW56" s="370"/>
      <c r="HFX56" s="370"/>
      <c r="HFY56" s="370"/>
      <c r="HFZ56" s="370"/>
      <c r="HGA56" s="370"/>
      <c r="HGB56" s="370"/>
      <c r="HGC56" s="370"/>
      <c r="HGD56" s="370"/>
      <c r="HGE56" s="370"/>
      <c r="HGF56" s="370"/>
      <c r="HGG56" s="370"/>
      <c r="HGH56" s="370"/>
      <c r="HGI56" s="370"/>
      <c r="HGJ56" s="370"/>
      <c r="HGK56" s="370"/>
      <c r="HGL56" s="370"/>
      <c r="HGM56" s="370"/>
      <c r="HGN56" s="370"/>
      <c r="HGO56" s="370"/>
      <c r="HGP56" s="370"/>
      <c r="HGQ56" s="370"/>
      <c r="HGR56" s="370"/>
      <c r="HGS56" s="370"/>
      <c r="HGT56" s="370"/>
      <c r="HGU56" s="370"/>
      <c r="HGV56" s="370"/>
      <c r="HGW56" s="370"/>
      <c r="HGX56" s="370"/>
      <c r="HGY56" s="370"/>
      <c r="HGZ56" s="370"/>
      <c r="HHA56" s="370"/>
      <c r="HHB56" s="370"/>
      <c r="HHC56" s="370"/>
      <c r="HHD56" s="370"/>
      <c r="HHE56" s="370"/>
      <c r="HHF56" s="370"/>
      <c r="HHG56" s="370"/>
      <c r="HHH56" s="370"/>
      <c r="HHI56" s="370"/>
      <c r="HHJ56" s="370"/>
      <c r="HHK56" s="370"/>
      <c r="HHL56" s="370"/>
      <c r="HHM56" s="370"/>
      <c r="HHN56" s="370"/>
      <c r="HHO56" s="370"/>
      <c r="HHP56" s="370"/>
      <c r="HHQ56" s="370"/>
      <c r="HHR56" s="370"/>
      <c r="HHS56" s="370"/>
      <c r="HHT56" s="370"/>
      <c r="HHU56" s="370"/>
      <c r="HHV56" s="370"/>
      <c r="HHW56" s="370"/>
      <c r="HHX56" s="370"/>
      <c r="HHY56" s="370"/>
      <c r="HHZ56" s="370"/>
      <c r="HIA56" s="370"/>
      <c r="HIB56" s="370"/>
      <c r="HIC56" s="370"/>
      <c r="HID56" s="370"/>
      <c r="HIE56" s="370"/>
      <c r="HIF56" s="370"/>
      <c r="HIG56" s="370"/>
      <c r="HIH56" s="370"/>
      <c r="HII56" s="370"/>
      <c r="HIJ56" s="370"/>
      <c r="HIK56" s="370"/>
      <c r="HIL56" s="370"/>
      <c r="HIM56" s="370"/>
      <c r="HIN56" s="370"/>
      <c r="HIO56" s="370"/>
      <c r="HIP56" s="370"/>
      <c r="HIQ56" s="370"/>
      <c r="HIR56" s="370"/>
      <c r="HIS56" s="370"/>
      <c r="HIT56" s="370"/>
      <c r="HIU56" s="370"/>
      <c r="HIV56" s="370"/>
      <c r="HIW56" s="370"/>
      <c r="HIX56" s="370"/>
      <c r="HIY56" s="370"/>
      <c r="HIZ56" s="370"/>
      <c r="HJA56" s="370"/>
      <c r="HJB56" s="370"/>
      <c r="HJC56" s="370"/>
      <c r="HJD56" s="370"/>
      <c r="HJE56" s="370"/>
      <c r="HJF56" s="370"/>
      <c r="HJG56" s="370"/>
      <c r="HJH56" s="370"/>
      <c r="HJI56" s="370"/>
      <c r="HJJ56" s="370"/>
      <c r="HJK56" s="370"/>
      <c r="HJL56" s="370"/>
      <c r="HJM56" s="370"/>
      <c r="HJN56" s="370"/>
      <c r="HJO56" s="370"/>
      <c r="HJP56" s="370"/>
      <c r="HJQ56" s="370"/>
      <c r="HJR56" s="370"/>
      <c r="HJS56" s="370"/>
      <c r="HJT56" s="370"/>
      <c r="HJU56" s="370"/>
      <c r="HJV56" s="370"/>
      <c r="HJW56" s="370"/>
      <c r="HJX56" s="370"/>
      <c r="HJY56" s="370"/>
      <c r="HJZ56" s="370"/>
      <c r="HKA56" s="370"/>
      <c r="HKB56" s="370"/>
      <c r="HKC56" s="370"/>
      <c r="HKD56" s="370"/>
      <c r="HKE56" s="370"/>
      <c r="HKF56" s="370"/>
      <c r="HKG56" s="370"/>
      <c r="HKH56" s="370"/>
      <c r="HKI56" s="370"/>
      <c r="HKJ56" s="370"/>
      <c r="HKK56" s="370"/>
      <c r="HKL56" s="370"/>
      <c r="HKM56" s="370"/>
      <c r="HKN56" s="370"/>
      <c r="HKO56" s="370"/>
      <c r="HKP56" s="370"/>
      <c r="HKQ56" s="370"/>
      <c r="HKR56" s="370"/>
      <c r="HKS56" s="370"/>
      <c r="HKT56" s="370"/>
      <c r="HKU56" s="370"/>
      <c r="HKV56" s="370"/>
      <c r="HKW56" s="370"/>
      <c r="HKX56" s="370"/>
      <c r="HKY56" s="370"/>
      <c r="HKZ56" s="370"/>
      <c r="HLA56" s="370"/>
      <c r="HLB56" s="370"/>
      <c r="HLC56" s="370"/>
      <c r="HLD56" s="370"/>
      <c r="HLE56" s="370"/>
      <c r="HLF56" s="370"/>
      <c r="HLG56" s="370"/>
      <c r="HLH56" s="370"/>
      <c r="HLI56" s="370"/>
      <c r="HLJ56" s="370"/>
      <c r="HLK56" s="370"/>
      <c r="HLL56" s="370"/>
      <c r="HLM56" s="370"/>
      <c r="HLN56" s="370"/>
      <c r="HLO56" s="370"/>
      <c r="HLP56" s="370"/>
      <c r="HLQ56" s="370"/>
      <c r="HLR56" s="370"/>
      <c r="HLS56" s="370"/>
      <c r="HLT56" s="370"/>
      <c r="HLU56" s="370"/>
      <c r="HLV56" s="370"/>
      <c r="HLW56" s="370"/>
      <c r="HLX56" s="370"/>
      <c r="HLY56" s="370"/>
      <c r="HLZ56" s="370"/>
      <c r="HMA56" s="370"/>
      <c r="HMB56" s="370"/>
      <c r="HMC56" s="370"/>
      <c r="HMD56" s="370"/>
      <c r="HME56" s="370"/>
      <c r="HMF56" s="370"/>
      <c r="HMG56" s="370"/>
      <c r="HMH56" s="370"/>
      <c r="HMI56" s="370"/>
      <c r="HMJ56" s="370"/>
      <c r="HMK56" s="370"/>
      <c r="HML56" s="370"/>
      <c r="HMM56" s="370"/>
      <c r="HMN56" s="370"/>
      <c r="HMO56" s="370"/>
      <c r="HMP56" s="370"/>
      <c r="HMQ56" s="370"/>
      <c r="HMR56" s="370"/>
      <c r="HMS56" s="370"/>
      <c r="HMT56" s="370"/>
      <c r="HMU56" s="370"/>
      <c r="HMV56" s="370"/>
      <c r="HMW56" s="370"/>
      <c r="HMX56" s="370"/>
      <c r="HMY56" s="370"/>
      <c r="HMZ56" s="370"/>
      <c r="HNA56" s="370"/>
      <c r="HNB56" s="370"/>
      <c r="HNC56" s="370"/>
      <c r="HND56" s="370"/>
      <c r="HNE56" s="370"/>
      <c r="HNF56" s="370"/>
      <c r="HNG56" s="370"/>
      <c r="HNH56" s="370"/>
      <c r="HNI56" s="370"/>
      <c r="HNJ56" s="370"/>
      <c r="HNK56" s="370"/>
      <c r="HNL56" s="370"/>
      <c r="HNM56" s="370"/>
      <c r="HNN56" s="370"/>
      <c r="HNO56" s="370"/>
      <c r="HNP56" s="370"/>
      <c r="HNQ56" s="370"/>
      <c r="HNR56" s="370"/>
      <c r="HNS56" s="370"/>
      <c r="HNT56" s="370"/>
      <c r="HNU56" s="370"/>
      <c r="HNV56" s="370"/>
      <c r="HNW56" s="370"/>
      <c r="HNX56" s="370"/>
      <c r="HNY56" s="370"/>
      <c r="HNZ56" s="370"/>
      <c r="HOA56" s="370"/>
      <c r="HOB56" s="370"/>
      <c r="HOC56" s="370"/>
      <c r="HOD56" s="370"/>
      <c r="HOE56" s="370"/>
      <c r="HOF56" s="370"/>
      <c r="HOG56" s="370"/>
      <c r="HOH56" s="370"/>
      <c r="HOI56" s="370"/>
      <c r="HOJ56" s="370"/>
      <c r="HOK56" s="370"/>
      <c r="HOL56" s="370"/>
      <c r="HOM56" s="370"/>
      <c r="HON56" s="370"/>
      <c r="HOO56" s="370"/>
      <c r="HOP56" s="370"/>
      <c r="HOQ56" s="370"/>
      <c r="HOR56" s="370"/>
      <c r="HOS56" s="370"/>
      <c r="HOT56" s="370"/>
      <c r="HOU56" s="370"/>
      <c r="HOV56" s="370"/>
      <c r="HOW56" s="370"/>
      <c r="HOX56" s="370"/>
      <c r="HOY56" s="370"/>
      <c r="HOZ56" s="370"/>
      <c r="HPA56" s="370"/>
      <c r="HPB56" s="370"/>
      <c r="HPC56" s="370"/>
      <c r="HPD56" s="370"/>
      <c r="HPE56" s="370"/>
      <c r="HPF56" s="370"/>
      <c r="HPG56" s="370"/>
      <c r="HPH56" s="370"/>
      <c r="HPI56" s="370"/>
      <c r="HPJ56" s="370"/>
      <c r="HPK56" s="370"/>
      <c r="HPL56" s="370"/>
      <c r="HPM56" s="370"/>
      <c r="HPN56" s="370"/>
      <c r="HPO56" s="370"/>
      <c r="HPP56" s="370"/>
      <c r="HPQ56" s="370"/>
      <c r="HPR56" s="370"/>
      <c r="HPS56" s="370"/>
      <c r="HPT56" s="370"/>
      <c r="HPU56" s="370"/>
      <c r="HPV56" s="370"/>
      <c r="HPW56" s="370"/>
      <c r="HPX56" s="370"/>
      <c r="HPY56" s="370"/>
      <c r="HPZ56" s="370"/>
      <c r="HQA56" s="370"/>
      <c r="HQB56" s="370"/>
      <c r="HQC56" s="370"/>
      <c r="HQD56" s="370"/>
      <c r="HQE56" s="370"/>
      <c r="HQF56" s="370"/>
      <c r="HQG56" s="370"/>
      <c r="HQH56" s="370"/>
      <c r="HQI56" s="370"/>
      <c r="HQJ56" s="370"/>
      <c r="HQK56" s="370"/>
      <c r="HQL56" s="370"/>
      <c r="HQM56" s="370"/>
      <c r="HQN56" s="370"/>
      <c r="HQO56" s="370"/>
      <c r="HQP56" s="370"/>
      <c r="HQQ56" s="370"/>
      <c r="HQR56" s="370"/>
      <c r="HQS56" s="370"/>
      <c r="HQT56" s="370"/>
      <c r="HQU56" s="370"/>
      <c r="HQV56" s="370"/>
      <c r="HQW56" s="370"/>
      <c r="HQX56" s="370"/>
      <c r="HQY56" s="370"/>
      <c r="HQZ56" s="370"/>
      <c r="HRA56" s="370"/>
      <c r="HRB56" s="370"/>
      <c r="HRC56" s="370"/>
      <c r="HRD56" s="370"/>
      <c r="HRE56" s="370"/>
      <c r="HRF56" s="370"/>
      <c r="HRG56" s="370"/>
      <c r="HRH56" s="370"/>
      <c r="HRI56" s="370"/>
      <c r="HRJ56" s="370"/>
      <c r="HRK56" s="370"/>
      <c r="HRL56" s="370"/>
      <c r="HRM56" s="370"/>
      <c r="HRN56" s="370"/>
      <c r="HRO56" s="370"/>
      <c r="HRP56" s="370"/>
      <c r="HRQ56" s="370"/>
      <c r="HRR56" s="370"/>
      <c r="HRS56" s="370"/>
      <c r="HRT56" s="370"/>
      <c r="HRU56" s="370"/>
      <c r="HRV56" s="370"/>
      <c r="HRW56" s="370"/>
      <c r="HRX56" s="370"/>
      <c r="HRY56" s="370"/>
      <c r="HRZ56" s="370"/>
      <c r="HSA56" s="370"/>
      <c r="HSB56" s="370"/>
      <c r="HSC56" s="370"/>
      <c r="HSD56" s="370"/>
      <c r="HSE56" s="370"/>
      <c r="HSF56" s="370"/>
      <c r="HSG56" s="370"/>
      <c r="HSH56" s="370"/>
      <c r="HSI56" s="370"/>
      <c r="HSJ56" s="370"/>
      <c r="HSK56" s="370"/>
      <c r="HSL56" s="370"/>
      <c r="HSM56" s="370"/>
      <c r="HSN56" s="370"/>
      <c r="HSO56" s="370"/>
      <c r="HSP56" s="370"/>
      <c r="HSQ56" s="370"/>
      <c r="HSR56" s="370"/>
      <c r="HSS56" s="370"/>
      <c r="HST56" s="370"/>
      <c r="HSU56" s="370"/>
      <c r="HSV56" s="370"/>
      <c r="HSW56" s="370"/>
      <c r="HSX56" s="370"/>
      <c r="HSY56" s="370"/>
      <c r="HSZ56" s="370"/>
      <c r="HTA56" s="370"/>
      <c r="HTB56" s="370"/>
      <c r="HTC56" s="370"/>
      <c r="HTD56" s="370"/>
      <c r="HTE56" s="370"/>
      <c r="HTF56" s="370"/>
      <c r="HTG56" s="370"/>
      <c r="HTH56" s="370"/>
      <c r="HTI56" s="370"/>
      <c r="HTJ56" s="370"/>
      <c r="HTK56" s="370"/>
      <c r="HTL56" s="370"/>
      <c r="HTM56" s="370"/>
      <c r="HTN56" s="370"/>
      <c r="HTO56" s="370"/>
      <c r="HTP56" s="370"/>
      <c r="HTQ56" s="370"/>
      <c r="HTR56" s="370"/>
      <c r="HTS56" s="370"/>
      <c r="HTT56" s="370"/>
      <c r="HTU56" s="370"/>
      <c r="HTV56" s="370"/>
      <c r="HTW56" s="370"/>
      <c r="HTX56" s="370"/>
      <c r="HTY56" s="370"/>
      <c r="HTZ56" s="370"/>
      <c r="HUA56" s="370"/>
      <c r="HUB56" s="370"/>
      <c r="HUC56" s="370"/>
      <c r="HUD56" s="370"/>
      <c r="HUE56" s="370"/>
      <c r="HUF56" s="370"/>
      <c r="HUG56" s="370"/>
      <c r="HUH56" s="370"/>
      <c r="HUI56" s="370"/>
      <c r="HUJ56" s="370"/>
      <c r="HUK56" s="370"/>
      <c r="HUL56" s="370"/>
      <c r="HUM56" s="370"/>
      <c r="HUN56" s="370"/>
      <c r="HUO56" s="370"/>
      <c r="HUP56" s="370"/>
      <c r="HUQ56" s="370"/>
      <c r="HUR56" s="370"/>
      <c r="HUS56" s="370"/>
      <c r="HUT56" s="370"/>
      <c r="HUU56" s="370"/>
      <c r="HUV56" s="370"/>
      <c r="HUW56" s="370"/>
      <c r="HUX56" s="370"/>
      <c r="HUY56" s="370"/>
      <c r="HUZ56" s="370"/>
      <c r="HVA56" s="370"/>
      <c r="HVB56" s="370"/>
      <c r="HVC56" s="370"/>
      <c r="HVD56" s="370"/>
      <c r="HVE56" s="370"/>
      <c r="HVF56" s="370"/>
      <c r="HVG56" s="370"/>
      <c r="HVH56" s="370"/>
      <c r="HVI56" s="370"/>
      <c r="HVJ56" s="370"/>
      <c r="HVK56" s="370"/>
      <c r="HVL56" s="370"/>
      <c r="HVM56" s="370"/>
      <c r="HVN56" s="370"/>
      <c r="HVO56" s="370"/>
      <c r="HVP56" s="370"/>
      <c r="HVQ56" s="370"/>
      <c r="HVR56" s="370"/>
      <c r="HVS56" s="370"/>
      <c r="HVT56" s="370"/>
      <c r="HVU56" s="370"/>
      <c r="HVV56" s="370"/>
      <c r="HVW56" s="370"/>
      <c r="HVX56" s="370"/>
      <c r="HVY56" s="370"/>
      <c r="HVZ56" s="370"/>
      <c r="HWA56" s="370"/>
      <c r="HWB56" s="370"/>
      <c r="HWC56" s="370"/>
      <c r="HWD56" s="370"/>
      <c r="HWE56" s="370"/>
      <c r="HWF56" s="370"/>
      <c r="HWG56" s="370"/>
      <c r="HWH56" s="370"/>
      <c r="HWI56" s="370"/>
      <c r="HWJ56" s="370"/>
      <c r="HWK56" s="370"/>
      <c r="HWL56" s="370"/>
      <c r="HWM56" s="370"/>
      <c r="HWN56" s="370"/>
      <c r="HWO56" s="370"/>
      <c r="HWP56" s="370"/>
      <c r="HWQ56" s="370"/>
      <c r="HWR56" s="370"/>
      <c r="HWS56" s="370"/>
      <c r="HWT56" s="370"/>
      <c r="HWU56" s="370"/>
      <c r="HWV56" s="370"/>
      <c r="HWW56" s="370"/>
      <c r="HWX56" s="370"/>
      <c r="HWY56" s="370"/>
      <c r="HWZ56" s="370"/>
      <c r="HXA56" s="370"/>
      <c r="HXB56" s="370"/>
      <c r="HXC56" s="370"/>
      <c r="HXD56" s="370"/>
      <c r="HXE56" s="370"/>
      <c r="HXF56" s="370"/>
      <c r="HXG56" s="370"/>
      <c r="HXH56" s="370"/>
      <c r="HXI56" s="370"/>
      <c r="HXJ56" s="370"/>
      <c r="HXK56" s="370"/>
      <c r="HXL56" s="370"/>
      <c r="HXM56" s="370"/>
      <c r="HXN56" s="370"/>
      <c r="HXO56" s="370"/>
      <c r="HXP56" s="370"/>
      <c r="HXQ56" s="370"/>
      <c r="HXR56" s="370"/>
      <c r="HXS56" s="370"/>
      <c r="HXT56" s="370"/>
      <c r="HXU56" s="370"/>
      <c r="HXV56" s="370"/>
      <c r="HXW56" s="370"/>
      <c r="HXX56" s="370"/>
      <c r="HXY56" s="370"/>
      <c r="HXZ56" s="370"/>
      <c r="HYA56" s="370"/>
      <c r="HYB56" s="370"/>
      <c r="HYC56" s="370"/>
      <c r="HYD56" s="370"/>
      <c r="HYE56" s="370"/>
      <c r="HYF56" s="370"/>
      <c r="HYG56" s="370"/>
      <c r="HYH56" s="370"/>
      <c r="HYI56" s="370"/>
      <c r="HYJ56" s="370"/>
      <c r="HYK56" s="370"/>
      <c r="HYL56" s="370"/>
      <c r="HYM56" s="370"/>
      <c r="HYN56" s="370"/>
      <c r="HYO56" s="370"/>
      <c r="HYP56" s="370"/>
      <c r="HYQ56" s="370"/>
      <c r="HYR56" s="370"/>
      <c r="HYS56" s="370"/>
      <c r="HYT56" s="370"/>
      <c r="HYU56" s="370"/>
      <c r="HYV56" s="370"/>
      <c r="HYW56" s="370"/>
      <c r="HYX56" s="370"/>
      <c r="HYY56" s="370"/>
      <c r="HYZ56" s="370"/>
      <c r="HZA56" s="370"/>
      <c r="HZB56" s="370"/>
      <c r="HZC56" s="370"/>
      <c r="HZD56" s="370"/>
      <c r="HZE56" s="370"/>
      <c r="HZF56" s="370"/>
      <c r="HZG56" s="370"/>
      <c r="HZH56" s="370"/>
      <c r="HZI56" s="370"/>
      <c r="HZJ56" s="370"/>
      <c r="HZK56" s="370"/>
      <c r="HZL56" s="370"/>
      <c r="HZM56" s="370"/>
      <c r="HZN56" s="370"/>
      <c r="HZO56" s="370"/>
      <c r="HZP56" s="370"/>
      <c r="HZQ56" s="370"/>
      <c r="HZR56" s="370"/>
      <c r="HZS56" s="370"/>
      <c r="HZT56" s="370"/>
      <c r="HZU56" s="370"/>
      <c r="HZV56" s="370"/>
      <c r="HZW56" s="370"/>
      <c r="HZX56" s="370"/>
      <c r="HZY56" s="370"/>
      <c r="HZZ56" s="370"/>
      <c r="IAA56" s="370"/>
      <c r="IAB56" s="370"/>
      <c r="IAC56" s="370"/>
      <c r="IAD56" s="370"/>
      <c r="IAE56" s="370"/>
      <c r="IAF56" s="370"/>
      <c r="IAG56" s="370"/>
      <c r="IAH56" s="370"/>
      <c r="IAI56" s="370"/>
      <c r="IAJ56" s="370"/>
      <c r="IAK56" s="370"/>
      <c r="IAL56" s="370"/>
      <c r="IAM56" s="370"/>
      <c r="IAN56" s="370"/>
      <c r="IAO56" s="370"/>
      <c r="IAP56" s="370"/>
      <c r="IAQ56" s="370"/>
      <c r="IAR56" s="370"/>
      <c r="IAS56" s="370"/>
      <c r="IAT56" s="370"/>
      <c r="IAU56" s="370"/>
      <c r="IAV56" s="370"/>
      <c r="IAW56" s="370"/>
      <c r="IAX56" s="370"/>
      <c r="IAY56" s="370"/>
      <c r="IAZ56" s="370"/>
      <c r="IBA56" s="370"/>
      <c r="IBB56" s="370"/>
      <c r="IBC56" s="370"/>
      <c r="IBD56" s="370"/>
      <c r="IBE56" s="370"/>
      <c r="IBF56" s="370"/>
      <c r="IBG56" s="370"/>
      <c r="IBH56" s="370"/>
      <c r="IBI56" s="370"/>
      <c r="IBJ56" s="370"/>
      <c r="IBK56" s="370"/>
      <c r="IBL56" s="370"/>
      <c r="IBM56" s="370"/>
      <c r="IBN56" s="370"/>
      <c r="IBO56" s="370"/>
      <c r="IBP56" s="370"/>
      <c r="IBQ56" s="370"/>
      <c r="IBR56" s="370"/>
      <c r="IBS56" s="370"/>
      <c r="IBT56" s="370"/>
      <c r="IBU56" s="370"/>
      <c r="IBV56" s="370"/>
      <c r="IBW56" s="370"/>
      <c r="IBX56" s="370"/>
      <c r="IBY56" s="370"/>
      <c r="IBZ56" s="370"/>
      <c r="ICA56" s="370"/>
      <c r="ICB56" s="370"/>
      <c r="ICC56" s="370"/>
      <c r="ICD56" s="370"/>
      <c r="ICE56" s="370"/>
      <c r="ICF56" s="370"/>
      <c r="ICG56" s="370"/>
      <c r="ICH56" s="370"/>
      <c r="ICI56" s="370"/>
      <c r="ICJ56" s="370"/>
      <c r="ICK56" s="370"/>
      <c r="ICL56" s="370"/>
      <c r="ICM56" s="370"/>
      <c r="ICN56" s="370"/>
      <c r="ICO56" s="370"/>
      <c r="ICP56" s="370"/>
      <c r="ICQ56" s="370"/>
      <c r="ICR56" s="370"/>
      <c r="ICS56" s="370"/>
      <c r="ICT56" s="370"/>
      <c r="ICU56" s="370"/>
      <c r="ICV56" s="370"/>
      <c r="ICW56" s="370"/>
      <c r="ICX56" s="370"/>
      <c r="ICY56" s="370"/>
      <c r="ICZ56" s="370"/>
      <c r="IDA56" s="370"/>
      <c r="IDB56" s="370"/>
      <c r="IDC56" s="370"/>
      <c r="IDD56" s="370"/>
      <c r="IDE56" s="370"/>
      <c r="IDF56" s="370"/>
      <c r="IDG56" s="370"/>
      <c r="IDH56" s="370"/>
      <c r="IDI56" s="370"/>
      <c r="IDJ56" s="370"/>
      <c r="IDK56" s="370"/>
      <c r="IDL56" s="370"/>
      <c r="IDM56" s="370"/>
      <c r="IDN56" s="370"/>
      <c r="IDO56" s="370"/>
      <c r="IDP56" s="370"/>
      <c r="IDQ56" s="370"/>
      <c r="IDR56" s="370"/>
      <c r="IDS56" s="370"/>
      <c r="IDT56" s="370"/>
      <c r="IDU56" s="370"/>
      <c r="IDV56" s="370"/>
      <c r="IDW56" s="370"/>
      <c r="IDX56" s="370"/>
      <c r="IDY56" s="370"/>
      <c r="IDZ56" s="370"/>
      <c r="IEA56" s="370"/>
      <c r="IEB56" s="370"/>
      <c r="IEC56" s="370"/>
      <c r="IED56" s="370"/>
      <c r="IEE56" s="370"/>
      <c r="IEF56" s="370"/>
      <c r="IEG56" s="370"/>
      <c r="IEH56" s="370"/>
      <c r="IEI56" s="370"/>
      <c r="IEJ56" s="370"/>
      <c r="IEK56" s="370"/>
      <c r="IEL56" s="370"/>
      <c r="IEM56" s="370"/>
      <c r="IEN56" s="370"/>
      <c r="IEO56" s="370"/>
      <c r="IEP56" s="370"/>
      <c r="IEQ56" s="370"/>
      <c r="IER56" s="370"/>
      <c r="IES56" s="370"/>
      <c r="IET56" s="370"/>
      <c r="IEU56" s="370"/>
      <c r="IEV56" s="370"/>
      <c r="IEW56" s="370"/>
      <c r="IEX56" s="370"/>
      <c r="IEY56" s="370"/>
      <c r="IEZ56" s="370"/>
      <c r="IFA56" s="370"/>
      <c r="IFB56" s="370"/>
      <c r="IFC56" s="370"/>
      <c r="IFD56" s="370"/>
      <c r="IFE56" s="370"/>
      <c r="IFF56" s="370"/>
      <c r="IFG56" s="370"/>
      <c r="IFH56" s="370"/>
      <c r="IFI56" s="370"/>
      <c r="IFJ56" s="370"/>
      <c r="IFK56" s="370"/>
      <c r="IFL56" s="370"/>
      <c r="IFM56" s="370"/>
      <c r="IFN56" s="370"/>
      <c r="IFO56" s="370"/>
      <c r="IFP56" s="370"/>
      <c r="IFQ56" s="370"/>
      <c r="IFR56" s="370"/>
      <c r="IFS56" s="370"/>
      <c r="IFT56" s="370"/>
      <c r="IFU56" s="370"/>
      <c r="IFV56" s="370"/>
      <c r="IFW56" s="370"/>
      <c r="IFX56" s="370"/>
      <c r="IFY56" s="370"/>
      <c r="IFZ56" s="370"/>
      <c r="IGA56" s="370"/>
      <c r="IGB56" s="370"/>
      <c r="IGC56" s="370"/>
      <c r="IGD56" s="370"/>
      <c r="IGE56" s="370"/>
      <c r="IGF56" s="370"/>
      <c r="IGG56" s="370"/>
      <c r="IGH56" s="370"/>
      <c r="IGI56" s="370"/>
      <c r="IGJ56" s="370"/>
      <c r="IGK56" s="370"/>
      <c r="IGL56" s="370"/>
      <c r="IGM56" s="370"/>
      <c r="IGN56" s="370"/>
      <c r="IGO56" s="370"/>
      <c r="IGP56" s="370"/>
      <c r="IGQ56" s="370"/>
      <c r="IGR56" s="370"/>
      <c r="IGS56" s="370"/>
      <c r="IGT56" s="370"/>
      <c r="IGU56" s="370"/>
      <c r="IGV56" s="370"/>
      <c r="IGW56" s="370"/>
      <c r="IGX56" s="370"/>
      <c r="IGY56" s="370"/>
      <c r="IGZ56" s="370"/>
      <c r="IHA56" s="370"/>
      <c r="IHB56" s="370"/>
      <c r="IHC56" s="370"/>
      <c r="IHD56" s="370"/>
      <c r="IHE56" s="370"/>
      <c r="IHF56" s="370"/>
      <c r="IHG56" s="370"/>
      <c r="IHH56" s="370"/>
      <c r="IHI56" s="370"/>
      <c r="IHJ56" s="370"/>
      <c r="IHK56" s="370"/>
      <c r="IHL56" s="370"/>
      <c r="IHM56" s="370"/>
      <c r="IHN56" s="370"/>
      <c r="IHO56" s="370"/>
      <c r="IHP56" s="370"/>
      <c r="IHQ56" s="370"/>
      <c r="IHR56" s="370"/>
      <c r="IHS56" s="370"/>
      <c r="IHT56" s="370"/>
      <c r="IHU56" s="370"/>
      <c r="IHV56" s="370"/>
      <c r="IHW56" s="370"/>
      <c r="IHX56" s="370"/>
      <c r="IHY56" s="370"/>
      <c r="IHZ56" s="370"/>
      <c r="IIA56" s="370"/>
      <c r="IIB56" s="370"/>
      <c r="IIC56" s="370"/>
      <c r="IID56" s="370"/>
      <c r="IIE56" s="370"/>
      <c r="IIF56" s="370"/>
      <c r="IIG56" s="370"/>
      <c r="IIH56" s="370"/>
      <c r="III56" s="370"/>
      <c r="IIJ56" s="370"/>
      <c r="IIK56" s="370"/>
      <c r="IIL56" s="370"/>
      <c r="IIM56" s="370"/>
      <c r="IIN56" s="370"/>
      <c r="IIO56" s="370"/>
      <c r="IIP56" s="370"/>
      <c r="IIQ56" s="370"/>
      <c r="IIR56" s="370"/>
      <c r="IIS56" s="370"/>
      <c r="IIT56" s="370"/>
      <c r="IIU56" s="370"/>
      <c r="IIV56" s="370"/>
      <c r="IIW56" s="370"/>
      <c r="IIX56" s="370"/>
      <c r="IIY56" s="370"/>
      <c r="IIZ56" s="370"/>
      <c r="IJA56" s="370"/>
      <c r="IJB56" s="370"/>
      <c r="IJC56" s="370"/>
      <c r="IJD56" s="370"/>
      <c r="IJE56" s="370"/>
      <c r="IJF56" s="370"/>
      <c r="IJG56" s="370"/>
      <c r="IJH56" s="370"/>
      <c r="IJI56" s="370"/>
      <c r="IJJ56" s="370"/>
      <c r="IJK56" s="370"/>
      <c r="IJL56" s="370"/>
      <c r="IJM56" s="370"/>
      <c r="IJN56" s="370"/>
      <c r="IJO56" s="370"/>
      <c r="IJP56" s="370"/>
      <c r="IJQ56" s="370"/>
      <c r="IJR56" s="370"/>
      <c r="IJS56" s="370"/>
      <c r="IJT56" s="370"/>
      <c r="IJU56" s="370"/>
      <c r="IJV56" s="370"/>
      <c r="IJW56" s="370"/>
      <c r="IJX56" s="370"/>
      <c r="IJY56" s="370"/>
      <c r="IJZ56" s="370"/>
      <c r="IKA56" s="370"/>
      <c r="IKB56" s="370"/>
      <c r="IKC56" s="370"/>
      <c r="IKD56" s="370"/>
      <c r="IKE56" s="370"/>
      <c r="IKF56" s="370"/>
      <c r="IKG56" s="370"/>
      <c r="IKH56" s="370"/>
      <c r="IKI56" s="370"/>
      <c r="IKJ56" s="370"/>
      <c r="IKK56" s="370"/>
      <c r="IKL56" s="370"/>
      <c r="IKM56" s="370"/>
      <c r="IKN56" s="370"/>
      <c r="IKO56" s="370"/>
      <c r="IKP56" s="370"/>
      <c r="IKQ56" s="370"/>
      <c r="IKR56" s="370"/>
      <c r="IKS56" s="370"/>
      <c r="IKT56" s="370"/>
      <c r="IKU56" s="370"/>
      <c r="IKV56" s="370"/>
      <c r="IKW56" s="370"/>
      <c r="IKX56" s="370"/>
      <c r="IKY56" s="370"/>
      <c r="IKZ56" s="370"/>
      <c r="ILA56" s="370"/>
      <c r="ILB56" s="370"/>
      <c r="ILC56" s="370"/>
      <c r="ILD56" s="370"/>
      <c r="ILE56" s="370"/>
      <c r="ILF56" s="370"/>
      <c r="ILG56" s="370"/>
      <c r="ILH56" s="370"/>
      <c r="ILI56" s="370"/>
      <c r="ILJ56" s="370"/>
      <c r="ILK56" s="370"/>
      <c r="ILL56" s="370"/>
      <c r="ILM56" s="370"/>
      <c r="ILN56" s="370"/>
      <c r="ILO56" s="370"/>
      <c r="ILP56" s="370"/>
      <c r="ILQ56" s="370"/>
      <c r="ILR56" s="370"/>
      <c r="ILS56" s="370"/>
      <c r="ILT56" s="370"/>
      <c r="ILU56" s="370"/>
      <c r="ILV56" s="370"/>
      <c r="ILW56" s="370"/>
      <c r="ILX56" s="370"/>
      <c r="ILY56" s="370"/>
      <c r="ILZ56" s="370"/>
      <c r="IMA56" s="370"/>
      <c r="IMB56" s="370"/>
      <c r="IMC56" s="370"/>
      <c r="IMD56" s="370"/>
      <c r="IME56" s="370"/>
      <c r="IMF56" s="370"/>
      <c r="IMG56" s="370"/>
      <c r="IMH56" s="370"/>
      <c r="IMI56" s="370"/>
      <c r="IMJ56" s="370"/>
      <c r="IMK56" s="370"/>
      <c r="IML56" s="370"/>
      <c r="IMM56" s="370"/>
      <c r="IMN56" s="370"/>
      <c r="IMO56" s="370"/>
      <c r="IMP56" s="370"/>
      <c r="IMQ56" s="370"/>
      <c r="IMR56" s="370"/>
      <c r="IMS56" s="370"/>
      <c r="IMT56" s="370"/>
      <c r="IMU56" s="370"/>
      <c r="IMV56" s="370"/>
      <c r="IMW56" s="370"/>
      <c r="IMX56" s="370"/>
      <c r="IMY56" s="370"/>
      <c r="IMZ56" s="370"/>
      <c r="INA56" s="370"/>
      <c r="INB56" s="370"/>
      <c r="INC56" s="370"/>
      <c r="IND56" s="370"/>
      <c r="INE56" s="370"/>
      <c r="INF56" s="370"/>
      <c r="ING56" s="370"/>
      <c r="INH56" s="370"/>
      <c r="INI56" s="370"/>
      <c r="INJ56" s="370"/>
      <c r="INK56" s="370"/>
      <c r="INL56" s="370"/>
      <c r="INM56" s="370"/>
      <c r="INN56" s="370"/>
      <c r="INO56" s="370"/>
      <c r="INP56" s="370"/>
      <c r="INQ56" s="370"/>
      <c r="INR56" s="370"/>
      <c r="INS56" s="370"/>
      <c r="INT56" s="370"/>
      <c r="INU56" s="370"/>
      <c r="INV56" s="370"/>
      <c r="INW56" s="370"/>
      <c r="INX56" s="370"/>
      <c r="INY56" s="370"/>
      <c r="INZ56" s="370"/>
      <c r="IOA56" s="370"/>
      <c r="IOB56" s="370"/>
      <c r="IOC56" s="370"/>
      <c r="IOD56" s="370"/>
      <c r="IOE56" s="370"/>
      <c r="IOF56" s="370"/>
      <c r="IOG56" s="370"/>
      <c r="IOH56" s="370"/>
      <c r="IOI56" s="370"/>
      <c r="IOJ56" s="370"/>
      <c r="IOK56" s="370"/>
      <c r="IOL56" s="370"/>
      <c r="IOM56" s="370"/>
      <c r="ION56" s="370"/>
      <c r="IOO56" s="370"/>
      <c r="IOP56" s="370"/>
      <c r="IOQ56" s="370"/>
      <c r="IOR56" s="370"/>
      <c r="IOS56" s="370"/>
      <c r="IOT56" s="370"/>
      <c r="IOU56" s="370"/>
      <c r="IOV56" s="370"/>
      <c r="IOW56" s="370"/>
      <c r="IOX56" s="370"/>
      <c r="IOY56" s="370"/>
      <c r="IOZ56" s="370"/>
      <c r="IPA56" s="370"/>
      <c r="IPB56" s="370"/>
      <c r="IPC56" s="370"/>
      <c r="IPD56" s="370"/>
      <c r="IPE56" s="370"/>
      <c r="IPF56" s="370"/>
      <c r="IPG56" s="370"/>
      <c r="IPH56" s="370"/>
      <c r="IPI56" s="370"/>
      <c r="IPJ56" s="370"/>
      <c r="IPK56" s="370"/>
      <c r="IPL56" s="370"/>
      <c r="IPM56" s="370"/>
      <c r="IPN56" s="370"/>
      <c r="IPO56" s="370"/>
      <c r="IPP56" s="370"/>
      <c r="IPQ56" s="370"/>
      <c r="IPR56" s="370"/>
      <c r="IPS56" s="370"/>
      <c r="IPT56" s="370"/>
      <c r="IPU56" s="370"/>
      <c r="IPV56" s="370"/>
      <c r="IPW56" s="370"/>
      <c r="IPX56" s="370"/>
      <c r="IPY56" s="370"/>
      <c r="IPZ56" s="370"/>
      <c r="IQA56" s="370"/>
      <c r="IQB56" s="370"/>
      <c r="IQC56" s="370"/>
      <c r="IQD56" s="370"/>
      <c r="IQE56" s="370"/>
      <c r="IQF56" s="370"/>
      <c r="IQG56" s="370"/>
      <c r="IQH56" s="370"/>
      <c r="IQI56" s="370"/>
      <c r="IQJ56" s="370"/>
      <c r="IQK56" s="370"/>
      <c r="IQL56" s="370"/>
      <c r="IQM56" s="370"/>
      <c r="IQN56" s="370"/>
      <c r="IQO56" s="370"/>
      <c r="IQP56" s="370"/>
      <c r="IQQ56" s="370"/>
      <c r="IQR56" s="370"/>
      <c r="IQS56" s="370"/>
      <c r="IQT56" s="370"/>
      <c r="IQU56" s="370"/>
      <c r="IQV56" s="370"/>
      <c r="IQW56" s="370"/>
      <c r="IQX56" s="370"/>
      <c r="IQY56" s="370"/>
      <c r="IQZ56" s="370"/>
      <c r="IRA56" s="370"/>
      <c r="IRB56" s="370"/>
      <c r="IRC56" s="370"/>
      <c r="IRD56" s="370"/>
      <c r="IRE56" s="370"/>
      <c r="IRF56" s="370"/>
      <c r="IRG56" s="370"/>
      <c r="IRH56" s="370"/>
      <c r="IRI56" s="370"/>
      <c r="IRJ56" s="370"/>
      <c r="IRK56" s="370"/>
      <c r="IRL56" s="370"/>
      <c r="IRM56" s="370"/>
      <c r="IRN56" s="370"/>
      <c r="IRO56" s="370"/>
      <c r="IRP56" s="370"/>
      <c r="IRQ56" s="370"/>
      <c r="IRR56" s="370"/>
      <c r="IRS56" s="370"/>
      <c r="IRT56" s="370"/>
      <c r="IRU56" s="370"/>
      <c r="IRV56" s="370"/>
      <c r="IRW56" s="370"/>
      <c r="IRX56" s="370"/>
      <c r="IRY56" s="370"/>
      <c r="IRZ56" s="370"/>
      <c r="ISA56" s="370"/>
      <c r="ISB56" s="370"/>
      <c r="ISC56" s="370"/>
      <c r="ISD56" s="370"/>
      <c r="ISE56" s="370"/>
      <c r="ISF56" s="370"/>
      <c r="ISG56" s="370"/>
      <c r="ISH56" s="370"/>
      <c r="ISI56" s="370"/>
      <c r="ISJ56" s="370"/>
      <c r="ISK56" s="370"/>
      <c r="ISL56" s="370"/>
      <c r="ISM56" s="370"/>
      <c r="ISN56" s="370"/>
      <c r="ISO56" s="370"/>
      <c r="ISP56" s="370"/>
      <c r="ISQ56" s="370"/>
      <c r="ISR56" s="370"/>
      <c r="ISS56" s="370"/>
      <c r="IST56" s="370"/>
      <c r="ISU56" s="370"/>
      <c r="ISV56" s="370"/>
      <c r="ISW56" s="370"/>
      <c r="ISX56" s="370"/>
      <c r="ISY56" s="370"/>
      <c r="ISZ56" s="370"/>
      <c r="ITA56" s="370"/>
      <c r="ITB56" s="370"/>
      <c r="ITC56" s="370"/>
      <c r="ITD56" s="370"/>
      <c r="ITE56" s="370"/>
      <c r="ITF56" s="370"/>
      <c r="ITG56" s="370"/>
      <c r="ITH56" s="370"/>
      <c r="ITI56" s="370"/>
      <c r="ITJ56" s="370"/>
      <c r="ITK56" s="370"/>
      <c r="ITL56" s="370"/>
      <c r="ITM56" s="370"/>
      <c r="ITN56" s="370"/>
      <c r="ITO56" s="370"/>
      <c r="ITP56" s="370"/>
      <c r="ITQ56" s="370"/>
      <c r="ITR56" s="370"/>
      <c r="ITS56" s="370"/>
      <c r="ITT56" s="370"/>
      <c r="ITU56" s="370"/>
      <c r="ITV56" s="370"/>
      <c r="ITW56" s="370"/>
      <c r="ITX56" s="370"/>
      <c r="ITY56" s="370"/>
      <c r="ITZ56" s="370"/>
      <c r="IUA56" s="370"/>
      <c r="IUB56" s="370"/>
      <c r="IUC56" s="370"/>
      <c r="IUD56" s="370"/>
      <c r="IUE56" s="370"/>
      <c r="IUF56" s="370"/>
      <c r="IUG56" s="370"/>
      <c r="IUH56" s="370"/>
      <c r="IUI56" s="370"/>
      <c r="IUJ56" s="370"/>
      <c r="IUK56" s="370"/>
      <c r="IUL56" s="370"/>
      <c r="IUM56" s="370"/>
      <c r="IUN56" s="370"/>
      <c r="IUO56" s="370"/>
      <c r="IUP56" s="370"/>
      <c r="IUQ56" s="370"/>
      <c r="IUR56" s="370"/>
      <c r="IUS56" s="370"/>
      <c r="IUT56" s="370"/>
      <c r="IUU56" s="370"/>
      <c r="IUV56" s="370"/>
      <c r="IUW56" s="370"/>
      <c r="IUX56" s="370"/>
      <c r="IUY56" s="370"/>
      <c r="IUZ56" s="370"/>
      <c r="IVA56" s="370"/>
      <c r="IVB56" s="370"/>
      <c r="IVC56" s="370"/>
      <c r="IVD56" s="370"/>
      <c r="IVE56" s="370"/>
      <c r="IVF56" s="370"/>
      <c r="IVG56" s="370"/>
      <c r="IVH56" s="370"/>
      <c r="IVI56" s="370"/>
      <c r="IVJ56" s="370"/>
      <c r="IVK56" s="370"/>
      <c r="IVL56" s="370"/>
      <c r="IVM56" s="370"/>
      <c r="IVN56" s="370"/>
      <c r="IVO56" s="370"/>
      <c r="IVP56" s="370"/>
      <c r="IVQ56" s="370"/>
      <c r="IVR56" s="370"/>
      <c r="IVS56" s="370"/>
      <c r="IVT56" s="370"/>
      <c r="IVU56" s="370"/>
      <c r="IVV56" s="370"/>
      <c r="IVW56" s="370"/>
      <c r="IVX56" s="370"/>
      <c r="IVY56" s="370"/>
      <c r="IVZ56" s="370"/>
      <c r="IWA56" s="370"/>
      <c r="IWB56" s="370"/>
      <c r="IWC56" s="370"/>
      <c r="IWD56" s="370"/>
      <c r="IWE56" s="370"/>
      <c r="IWF56" s="370"/>
      <c r="IWG56" s="370"/>
      <c r="IWH56" s="370"/>
      <c r="IWI56" s="370"/>
      <c r="IWJ56" s="370"/>
      <c r="IWK56" s="370"/>
      <c r="IWL56" s="370"/>
      <c r="IWM56" s="370"/>
      <c r="IWN56" s="370"/>
      <c r="IWO56" s="370"/>
      <c r="IWP56" s="370"/>
      <c r="IWQ56" s="370"/>
      <c r="IWR56" s="370"/>
      <c r="IWS56" s="370"/>
      <c r="IWT56" s="370"/>
      <c r="IWU56" s="370"/>
      <c r="IWV56" s="370"/>
      <c r="IWW56" s="370"/>
      <c r="IWX56" s="370"/>
      <c r="IWY56" s="370"/>
      <c r="IWZ56" s="370"/>
      <c r="IXA56" s="370"/>
      <c r="IXB56" s="370"/>
      <c r="IXC56" s="370"/>
      <c r="IXD56" s="370"/>
      <c r="IXE56" s="370"/>
      <c r="IXF56" s="370"/>
      <c r="IXG56" s="370"/>
      <c r="IXH56" s="370"/>
      <c r="IXI56" s="370"/>
      <c r="IXJ56" s="370"/>
      <c r="IXK56" s="370"/>
      <c r="IXL56" s="370"/>
      <c r="IXM56" s="370"/>
      <c r="IXN56" s="370"/>
      <c r="IXO56" s="370"/>
      <c r="IXP56" s="370"/>
      <c r="IXQ56" s="370"/>
      <c r="IXR56" s="370"/>
      <c r="IXS56" s="370"/>
      <c r="IXT56" s="370"/>
      <c r="IXU56" s="370"/>
      <c r="IXV56" s="370"/>
      <c r="IXW56" s="370"/>
      <c r="IXX56" s="370"/>
      <c r="IXY56" s="370"/>
      <c r="IXZ56" s="370"/>
      <c r="IYA56" s="370"/>
      <c r="IYB56" s="370"/>
      <c r="IYC56" s="370"/>
      <c r="IYD56" s="370"/>
      <c r="IYE56" s="370"/>
      <c r="IYF56" s="370"/>
      <c r="IYG56" s="370"/>
      <c r="IYH56" s="370"/>
      <c r="IYI56" s="370"/>
      <c r="IYJ56" s="370"/>
      <c r="IYK56" s="370"/>
      <c r="IYL56" s="370"/>
      <c r="IYM56" s="370"/>
      <c r="IYN56" s="370"/>
      <c r="IYO56" s="370"/>
      <c r="IYP56" s="370"/>
      <c r="IYQ56" s="370"/>
      <c r="IYR56" s="370"/>
      <c r="IYS56" s="370"/>
      <c r="IYT56" s="370"/>
      <c r="IYU56" s="370"/>
      <c r="IYV56" s="370"/>
      <c r="IYW56" s="370"/>
      <c r="IYX56" s="370"/>
      <c r="IYY56" s="370"/>
      <c r="IYZ56" s="370"/>
      <c r="IZA56" s="370"/>
      <c r="IZB56" s="370"/>
      <c r="IZC56" s="370"/>
      <c r="IZD56" s="370"/>
      <c r="IZE56" s="370"/>
      <c r="IZF56" s="370"/>
      <c r="IZG56" s="370"/>
      <c r="IZH56" s="370"/>
      <c r="IZI56" s="370"/>
      <c r="IZJ56" s="370"/>
      <c r="IZK56" s="370"/>
      <c r="IZL56" s="370"/>
      <c r="IZM56" s="370"/>
      <c r="IZN56" s="370"/>
      <c r="IZO56" s="370"/>
      <c r="IZP56" s="370"/>
      <c r="IZQ56" s="370"/>
      <c r="IZR56" s="370"/>
      <c r="IZS56" s="370"/>
      <c r="IZT56" s="370"/>
      <c r="IZU56" s="370"/>
      <c r="IZV56" s="370"/>
      <c r="IZW56" s="370"/>
      <c r="IZX56" s="370"/>
      <c r="IZY56" s="370"/>
      <c r="IZZ56" s="370"/>
      <c r="JAA56" s="370"/>
      <c r="JAB56" s="370"/>
      <c r="JAC56" s="370"/>
      <c r="JAD56" s="370"/>
      <c r="JAE56" s="370"/>
      <c r="JAF56" s="370"/>
      <c r="JAG56" s="370"/>
      <c r="JAH56" s="370"/>
      <c r="JAI56" s="370"/>
      <c r="JAJ56" s="370"/>
      <c r="JAK56" s="370"/>
      <c r="JAL56" s="370"/>
      <c r="JAM56" s="370"/>
      <c r="JAN56" s="370"/>
      <c r="JAO56" s="370"/>
      <c r="JAP56" s="370"/>
      <c r="JAQ56" s="370"/>
      <c r="JAR56" s="370"/>
      <c r="JAS56" s="370"/>
      <c r="JAT56" s="370"/>
      <c r="JAU56" s="370"/>
      <c r="JAV56" s="370"/>
      <c r="JAW56" s="370"/>
      <c r="JAX56" s="370"/>
      <c r="JAY56" s="370"/>
      <c r="JAZ56" s="370"/>
      <c r="JBA56" s="370"/>
      <c r="JBB56" s="370"/>
      <c r="JBC56" s="370"/>
      <c r="JBD56" s="370"/>
      <c r="JBE56" s="370"/>
      <c r="JBF56" s="370"/>
      <c r="JBG56" s="370"/>
      <c r="JBH56" s="370"/>
      <c r="JBI56" s="370"/>
      <c r="JBJ56" s="370"/>
      <c r="JBK56" s="370"/>
      <c r="JBL56" s="370"/>
      <c r="JBM56" s="370"/>
      <c r="JBN56" s="370"/>
      <c r="JBO56" s="370"/>
      <c r="JBP56" s="370"/>
      <c r="JBQ56" s="370"/>
      <c r="JBR56" s="370"/>
      <c r="JBS56" s="370"/>
      <c r="JBT56" s="370"/>
      <c r="JBU56" s="370"/>
      <c r="JBV56" s="370"/>
      <c r="JBW56" s="370"/>
      <c r="JBX56" s="370"/>
      <c r="JBY56" s="370"/>
      <c r="JBZ56" s="370"/>
      <c r="JCA56" s="370"/>
      <c r="JCB56" s="370"/>
      <c r="JCC56" s="370"/>
      <c r="JCD56" s="370"/>
      <c r="JCE56" s="370"/>
      <c r="JCF56" s="370"/>
      <c r="JCG56" s="370"/>
      <c r="JCH56" s="370"/>
      <c r="JCI56" s="370"/>
      <c r="JCJ56" s="370"/>
      <c r="JCK56" s="370"/>
      <c r="JCL56" s="370"/>
      <c r="JCM56" s="370"/>
      <c r="JCN56" s="370"/>
      <c r="JCO56" s="370"/>
      <c r="JCP56" s="370"/>
      <c r="JCQ56" s="370"/>
      <c r="JCR56" s="370"/>
      <c r="JCS56" s="370"/>
      <c r="JCT56" s="370"/>
      <c r="JCU56" s="370"/>
      <c r="JCV56" s="370"/>
      <c r="JCW56" s="370"/>
      <c r="JCX56" s="370"/>
      <c r="JCY56" s="370"/>
      <c r="JCZ56" s="370"/>
      <c r="JDA56" s="370"/>
      <c r="JDB56" s="370"/>
      <c r="JDC56" s="370"/>
      <c r="JDD56" s="370"/>
      <c r="JDE56" s="370"/>
      <c r="JDF56" s="370"/>
      <c r="JDG56" s="370"/>
      <c r="JDH56" s="370"/>
      <c r="JDI56" s="370"/>
      <c r="JDJ56" s="370"/>
      <c r="JDK56" s="370"/>
      <c r="JDL56" s="370"/>
      <c r="JDM56" s="370"/>
      <c r="JDN56" s="370"/>
      <c r="JDO56" s="370"/>
      <c r="JDP56" s="370"/>
      <c r="JDQ56" s="370"/>
      <c r="JDR56" s="370"/>
      <c r="JDS56" s="370"/>
      <c r="JDT56" s="370"/>
      <c r="JDU56" s="370"/>
      <c r="JDV56" s="370"/>
      <c r="JDW56" s="370"/>
      <c r="JDX56" s="370"/>
      <c r="JDY56" s="370"/>
      <c r="JDZ56" s="370"/>
      <c r="JEA56" s="370"/>
      <c r="JEB56" s="370"/>
      <c r="JEC56" s="370"/>
      <c r="JED56" s="370"/>
      <c r="JEE56" s="370"/>
      <c r="JEF56" s="370"/>
      <c r="JEG56" s="370"/>
      <c r="JEH56" s="370"/>
      <c r="JEI56" s="370"/>
      <c r="JEJ56" s="370"/>
      <c r="JEK56" s="370"/>
      <c r="JEL56" s="370"/>
      <c r="JEM56" s="370"/>
      <c r="JEN56" s="370"/>
      <c r="JEO56" s="370"/>
      <c r="JEP56" s="370"/>
      <c r="JEQ56" s="370"/>
      <c r="JER56" s="370"/>
      <c r="JES56" s="370"/>
      <c r="JET56" s="370"/>
      <c r="JEU56" s="370"/>
      <c r="JEV56" s="370"/>
      <c r="JEW56" s="370"/>
      <c r="JEX56" s="370"/>
      <c r="JEY56" s="370"/>
      <c r="JEZ56" s="370"/>
      <c r="JFA56" s="370"/>
      <c r="JFB56" s="370"/>
      <c r="JFC56" s="370"/>
      <c r="JFD56" s="370"/>
      <c r="JFE56" s="370"/>
      <c r="JFF56" s="370"/>
      <c r="JFG56" s="370"/>
      <c r="JFH56" s="370"/>
      <c r="JFI56" s="370"/>
      <c r="JFJ56" s="370"/>
      <c r="JFK56" s="370"/>
      <c r="JFL56" s="370"/>
      <c r="JFM56" s="370"/>
      <c r="JFN56" s="370"/>
      <c r="JFO56" s="370"/>
      <c r="JFP56" s="370"/>
      <c r="JFQ56" s="370"/>
      <c r="JFR56" s="370"/>
      <c r="JFS56" s="370"/>
      <c r="JFT56" s="370"/>
      <c r="JFU56" s="370"/>
      <c r="JFV56" s="370"/>
      <c r="JFW56" s="370"/>
      <c r="JFX56" s="370"/>
      <c r="JFY56" s="370"/>
      <c r="JFZ56" s="370"/>
      <c r="JGA56" s="370"/>
      <c r="JGB56" s="370"/>
      <c r="JGC56" s="370"/>
      <c r="JGD56" s="370"/>
      <c r="JGE56" s="370"/>
      <c r="JGF56" s="370"/>
      <c r="JGG56" s="370"/>
      <c r="JGH56" s="370"/>
      <c r="JGI56" s="370"/>
      <c r="JGJ56" s="370"/>
      <c r="JGK56" s="370"/>
      <c r="JGL56" s="370"/>
      <c r="JGM56" s="370"/>
      <c r="JGN56" s="370"/>
      <c r="JGO56" s="370"/>
      <c r="JGP56" s="370"/>
      <c r="JGQ56" s="370"/>
      <c r="JGR56" s="370"/>
      <c r="JGS56" s="370"/>
      <c r="JGT56" s="370"/>
      <c r="JGU56" s="370"/>
      <c r="JGV56" s="370"/>
      <c r="JGW56" s="370"/>
      <c r="JGX56" s="370"/>
      <c r="JGY56" s="370"/>
      <c r="JGZ56" s="370"/>
      <c r="JHA56" s="370"/>
      <c r="JHB56" s="370"/>
      <c r="JHC56" s="370"/>
      <c r="JHD56" s="370"/>
      <c r="JHE56" s="370"/>
      <c r="JHF56" s="370"/>
      <c r="JHG56" s="370"/>
      <c r="JHH56" s="370"/>
      <c r="JHI56" s="370"/>
      <c r="JHJ56" s="370"/>
      <c r="JHK56" s="370"/>
      <c r="JHL56" s="370"/>
      <c r="JHM56" s="370"/>
      <c r="JHN56" s="370"/>
      <c r="JHO56" s="370"/>
      <c r="JHP56" s="370"/>
      <c r="JHQ56" s="370"/>
      <c r="JHR56" s="370"/>
      <c r="JHS56" s="370"/>
      <c r="JHT56" s="370"/>
      <c r="JHU56" s="370"/>
      <c r="JHV56" s="370"/>
      <c r="JHW56" s="370"/>
      <c r="JHX56" s="370"/>
      <c r="JHY56" s="370"/>
      <c r="JHZ56" s="370"/>
      <c r="JIA56" s="370"/>
      <c r="JIB56" s="370"/>
      <c r="JIC56" s="370"/>
      <c r="JID56" s="370"/>
      <c r="JIE56" s="370"/>
      <c r="JIF56" s="370"/>
      <c r="JIG56" s="370"/>
      <c r="JIH56" s="370"/>
      <c r="JII56" s="370"/>
      <c r="JIJ56" s="370"/>
      <c r="JIK56" s="370"/>
      <c r="JIL56" s="370"/>
      <c r="JIM56" s="370"/>
      <c r="JIN56" s="370"/>
      <c r="JIO56" s="370"/>
      <c r="JIP56" s="370"/>
      <c r="JIQ56" s="370"/>
      <c r="JIR56" s="370"/>
      <c r="JIS56" s="370"/>
      <c r="JIT56" s="370"/>
      <c r="JIU56" s="370"/>
      <c r="JIV56" s="370"/>
      <c r="JIW56" s="370"/>
      <c r="JIX56" s="370"/>
      <c r="JIY56" s="370"/>
      <c r="JIZ56" s="370"/>
      <c r="JJA56" s="370"/>
      <c r="JJB56" s="370"/>
      <c r="JJC56" s="370"/>
      <c r="JJD56" s="370"/>
      <c r="JJE56" s="370"/>
      <c r="JJF56" s="370"/>
      <c r="JJG56" s="370"/>
      <c r="JJH56" s="370"/>
      <c r="JJI56" s="370"/>
      <c r="JJJ56" s="370"/>
      <c r="JJK56" s="370"/>
      <c r="JJL56" s="370"/>
      <c r="JJM56" s="370"/>
      <c r="JJN56" s="370"/>
      <c r="JJO56" s="370"/>
      <c r="JJP56" s="370"/>
      <c r="JJQ56" s="370"/>
      <c r="JJR56" s="370"/>
      <c r="JJS56" s="370"/>
      <c r="JJT56" s="370"/>
      <c r="JJU56" s="370"/>
      <c r="JJV56" s="370"/>
      <c r="JJW56" s="370"/>
      <c r="JJX56" s="370"/>
      <c r="JJY56" s="370"/>
      <c r="JJZ56" s="370"/>
      <c r="JKA56" s="370"/>
      <c r="JKB56" s="370"/>
      <c r="JKC56" s="370"/>
      <c r="JKD56" s="370"/>
      <c r="JKE56" s="370"/>
      <c r="JKF56" s="370"/>
      <c r="JKG56" s="370"/>
      <c r="JKH56" s="370"/>
      <c r="JKI56" s="370"/>
      <c r="JKJ56" s="370"/>
      <c r="JKK56" s="370"/>
      <c r="JKL56" s="370"/>
      <c r="JKM56" s="370"/>
      <c r="JKN56" s="370"/>
      <c r="JKO56" s="370"/>
      <c r="JKP56" s="370"/>
      <c r="JKQ56" s="370"/>
      <c r="JKR56" s="370"/>
      <c r="JKS56" s="370"/>
      <c r="JKT56" s="370"/>
      <c r="JKU56" s="370"/>
      <c r="JKV56" s="370"/>
      <c r="JKW56" s="370"/>
      <c r="JKX56" s="370"/>
      <c r="JKY56" s="370"/>
      <c r="JKZ56" s="370"/>
      <c r="JLA56" s="370"/>
      <c r="JLB56" s="370"/>
      <c r="JLC56" s="370"/>
      <c r="JLD56" s="370"/>
      <c r="JLE56" s="370"/>
      <c r="JLF56" s="370"/>
      <c r="JLG56" s="370"/>
      <c r="JLH56" s="370"/>
      <c r="JLI56" s="370"/>
      <c r="JLJ56" s="370"/>
      <c r="JLK56" s="370"/>
      <c r="JLL56" s="370"/>
      <c r="JLM56" s="370"/>
      <c r="JLN56" s="370"/>
      <c r="JLO56" s="370"/>
      <c r="JLP56" s="370"/>
      <c r="JLQ56" s="370"/>
      <c r="JLR56" s="370"/>
      <c r="JLS56" s="370"/>
      <c r="JLT56" s="370"/>
      <c r="JLU56" s="370"/>
      <c r="JLV56" s="370"/>
      <c r="JLW56" s="370"/>
      <c r="JLX56" s="370"/>
      <c r="JLY56" s="370"/>
      <c r="JLZ56" s="370"/>
      <c r="JMA56" s="370"/>
      <c r="JMB56" s="370"/>
      <c r="JMC56" s="370"/>
      <c r="JMD56" s="370"/>
      <c r="JME56" s="370"/>
      <c r="JMF56" s="370"/>
      <c r="JMG56" s="370"/>
      <c r="JMH56" s="370"/>
      <c r="JMI56" s="370"/>
      <c r="JMJ56" s="370"/>
      <c r="JMK56" s="370"/>
      <c r="JML56" s="370"/>
      <c r="JMM56" s="370"/>
      <c r="JMN56" s="370"/>
      <c r="JMO56" s="370"/>
      <c r="JMP56" s="370"/>
      <c r="JMQ56" s="370"/>
      <c r="JMR56" s="370"/>
      <c r="JMS56" s="370"/>
      <c r="JMT56" s="370"/>
      <c r="JMU56" s="370"/>
      <c r="JMV56" s="370"/>
      <c r="JMW56" s="370"/>
      <c r="JMX56" s="370"/>
      <c r="JMY56" s="370"/>
      <c r="JMZ56" s="370"/>
      <c r="JNA56" s="370"/>
      <c r="JNB56" s="370"/>
      <c r="JNC56" s="370"/>
      <c r="JND56" s="370"/>
      <c r="JNE56" s="370"/>
      <c r="JNF56" s="370"/>
      <c r="JNG56" s="370"/>
      <c r="JNH56" s="370"/>
      <c r="JNI56" s="370"/>
      <c r="JNJ56" s="370"/>
      <c r="JNK56" s="370"/>
      <c r="JNL56" s="370"/>
      <c r="JNM56" s="370"/>
      <c r="JNN56" s="370"/>
      <c r="JNO56" s="370"/>
      <c r="JNP56" s="370"/>
      <c r="JNQ56" s="370"/>
      <c r="JNR56" s="370"/>
      <c r="JNS56" s="370"/>
      <c r="JNT56" s="370"/>
      <c r="JNU56" s="370"/>
      <c r="JNV56" s="370"/>
      <c r="JNW56" s="370"/>
      <c r="JNX56" s="370"/>
      <c r="JNY56" s="370"/>
      <c r="JNZ56" s="370"/>
      <c r="JOA56" s="370"/>
      <c r="JOB56" s="370"/>
      <c r="JOC56" s="370"/>
      <c r="JOD56" s="370"/>
      <c r="JOE56" s="370"/>
      <c r="JOF56" s="370"/>
      <c r="JOG56" s="370"/>
      <c r="JOH56" s="370"/>
      <c r="JOI56" s="370"/>
      <c r="JOJ56" s="370"/>
      <c r="JOK56" s="370"/>
      <c r="JOL56" s="370"/>
      <c r="JOM56" s="370"/>
      <c r="JON56" s="370"/>
      <c r="JOO56" s="370"/>
      <c r="JOP56" s="370"/>
      <c r="JOQ56" s="370"/>
      <c r="JOR56" s="370"/>
      <c r="JOS56" s="370"/>
      <c r="JOT56" s="370"/>
      <c r="JOU56" s="370"/>
      <c r="JOV56" s="370"/>
      <c r="JOW56" s="370"/>
      <c r="JOX56" s="370"/>
      <c r="JOY56" s="370"/>
      <c r="JOZ56" s="370"/>
      <c r="JPA56" s="370"/>
      <c r="JPB56" s="370"/>
      <c r="JPC56" s="370"/>
      <c r="JPD56" s="370"/>
      <c r="JPE56" s="370"/>
      <c r="JPF56" s="370"/>
      <c r="JPG56" s="370"/>
      <c r="JPH56" s="370"/>
      <c r="JPI56" s="370"/>
      <c r="JPJ56" s="370"/>
      <c r="JPK56" s="370"/>
      <c r="JPL56" s="370"/>
      <c r="JPM56" s="370"/>
      <c r="JPN56" s="370"/>
      <c r="JPO56" s="370"/>
      <c r="JPP56" s="370"/>
      <c r="JPQ56" s="370"/>
      <c r="JPR56" s="370"/>
      <c r="JPS56" s="370"/>
      <c r="JPT56" s="370"/>
      <c r="JPU56" s="370"/>
      <c r="JPV56" s="370"/>
      <c r="JPW56" s="370"/>
      <c r="JPX56" s="370"/>
      <c r="JPY56" s="370"/>
      <c r="JPZ56" s="370"/>
      <c r="JQA56" s="370"/>
      <c r="JQB56" s="370"/>
      <c r="JQC56" s="370"/>
      <c r="JQD56" s="370"/>
      <c r="JQE56" s="370"/>
      <c r="JQF56" s="370"/>
      <c r="JQG56" s="370"/>
      <c r="JQH56" s="370"/>
      <c r="JQI56" s="370"/>
      <c r="JQJ56" s="370"/>
      <c r="JQK56" s="370"/>
      <c r="JQL56" s="370"/>
      <c r="JQM56" s="370"/>
      <c r="JQN56" s="370"/>
      <c r="JQO56" s="370"/>
      <c r="JQP56" s="370"/>
      <c r="JQQ56" s="370"/>
      <c r="JQR56" s="370"/>
      <c r="JQS56" s="370"/>
      <c r="JQT56" s="370"/>
      <c r="JQU56" s="370"/>
      <c r="JQV56" s="370"/>
      <c r="JQW56" s="370"/>
      <c r="JQX56" s="370"/>
      <c r="JQY56" s="370"/>
      <c r="JQZ56" s="370"/>
      <c r="JRA56" s="370"/>
      <c r="JRB56" s="370"/>
      <c r="JRC56" s="370"/>
      <c r="JRD56" s="370"/>
      <c r="JRE56" s="370"/>
      <c r="JRF56" s="370"/>
      <c r="JRG56" s="370"/>
      <c r="JRH56" s="370"/>
      <c r="JRI56" s="370"/>
      <c r="JRJ56" s="370"/>
      <c r="JRK56" s="370"/>
      <c r="JRL56" s="370"/>
      <c r="JRM56" s="370"/>
      <c r="JRN56" s="370"/>
      <c r="JRO56" s="370"/>
      <c r="JRP56" s="370"/>
      <c r="JRQ56" s="370"/>
      <c r="JRR56" s="370"/>
      <c r="JRS56" s="370"/>
      <c r="JRT56" s="370"/>
      <c r="JRU56" s="370"/>
      <c r="JRV56" s="370"/>
      <c r="JRW56" s="370"/>
      <c r="JRX56" s="370"/>
      <c r="JRY56" s="370"/>
      <c r="JRZ56" s="370"/>
      <c r="JSA56" s="370"/>
      <c r="JSB56" s="370"/>
      <c r="JSC56" s="370"/>
      <c r="JSD56" s="370"/>
      <c r="JSE56" s="370"/>
      <c r="JSF56" s="370"/>
      <c r="JSG56" s="370"/>
      <c r="JSH56" s="370"/>
      <c r="JSI56" s="370"/>
      <c r="JSJ56" s="370"/>
      <c r="JSK56" s="370"/>
      <c r="JSL56" s="370"/>
      <c r="JSM56" s="370"/>
      <c r="JSN56" s="370"/>
      <c r="JSO56" s="370"/>
      <c r="JSP56" s="370"/>
      <c r="JSQ56" s="370"/>
      <c r="JSR56" s="370"/>
      <c r="JSS56" s="370"/>
      <c r="JST56" s="370"/>
      <c r="JSU56" s="370"/>
      <c r="JSV56" s="370"/>
      <c r="JSW56" s="370"/>
      <c r="JSX56" s="370"/>
      <c r="JSY56" s="370"/>
      <c r="JSZ56" s="370"/>
      <c r="JTA56" s="370"/>
      <c r="JTB56" s="370"/>
      <c r="JTC56" s="370"/>
      <c r="JTD56" s="370"/>
      <c r="JTE56" s="370"/>
      <c r="JTF56" s="370"/>
      <c r="JTG56" s="370"/>
      <c r="JTH56" s="370"/>
      <c r="JTI56" s="370"/>
      <c r="JTJ56" s="370"/>
      <c r="JTK56" s="370"/>
      <c r="JTL56" s="370"/>
      <c r="JTM56" s="370"/>
      <c r="JTN56" s="370"/>
      <c r="JTO56" s="370"/>
      <c r="JTP56" s="370"/>
      <c r="JTQ56" s="370"/>
      <c r="JTR56" s="370"/>
      <c r="JTS56" s="370"/>
      <c r="JTT56" s="370"/>
      <c r="JTU56" s="370"/>
      <c r="JTV56" s="370"/>
      <c r="JTW56" s="370"/>
      <c r="JTX56" s="370"/>
      <c r="JTY56" s="370"/>
      <c r="JTZ56" s="370"/>
      <c r="JUA56" s="370"/>
      <c r="JUB56" s="370"/>
      <c r="JUC56" s="370"/>
      <c r="JUD56" s="370"/>
      <c r="JUE56" s="370"/>
      <c r="JUF56" s="370"/>
      <c r="JUG56" s="370"/>
      <c r="JUH56" s="370"/>
      <c r="JUI56" s="370"/>
      <c r="JUJ56" s="370"/>
      <c r="JUK56" s="370"/>
      <c r="JUL56" s="370"/>
      <c r="JUM56" s="370"/>
      <c r="JUN56" s="370"/>
      <c r="JUO56" s="370"/>
      <c r="JUP56" s="370"/>
      <c r="JUQ56" s="370"/>
      <c r="JUR56" s="370"/>
      <c r="JUS56" s="370"/>
      <c r="JUT56" s="370"/>
      <c r="JUU56" s="370"/>
      <c r="JUV56" s="370"/>
      <c r="JUW56" s="370"/>
      <c r="JUX56" s="370"/>
      <c r="JUY56" s="370"/>
      <c r="JUZ56" s="370"/>
      <c r="JVA56" s="370"/>
      <c r="JVB56" s="370"/>
      <c r="JVC56" s="370"/>
      <c r="JVD56" s="370"/>
      <c r="JVE56" s="370"/>
      <c r="JVF56" s="370"/>
      <c r="JVG56" s="370"/>
      <c r="JVH56" s="370"/>
      <c r="JVI56" s="370"/>
      <c r="JVJ56" s="370"/>
      <c r="JVK56" s="370"/>
      <c r="JVL56" s="370"/>
      <c r="JVM56" s="370"/>
      <c r="JVN56" s="370"/>
      <c r="JVO56" s="370"/>
      <c r="JVP56" s="370"/>
      <c r="JVQ56" s="370"/>
      <c r="JVR56" s="370"/>
      <c r="JVS56" s="370"/>
      <c r="JVT56" s="370"/>
      <c r="JVU56" s="370"/>
      <c r="JVV56" s="370"/>
      <c r="JVW56" s="370"/>
      <c r="JVX56" s="370"/>
      <c r="JVY56" s="370"/>
      <c r="JVZ56" s="370"/>
      <c r="JWA56" s="370"/>
      <c r="JWB56" s="370"/>
      <c r="JWC56" s="370"/>
      <c r="JWD56" s="370"/>
      <c r="JWE56" s="370"/>
      <c r="JWF56" s="370"/>
      <c r="JWG56" s="370"/>
      <c r="JWH56" s="370"/>
      <c r="JWI56" s="370"/>
      <c r="JWJ56" s="370"/>
      <c r="JWK56" s="370"/>
      <c r="JWL56" s="370"/>
      <c r="JWM56" s="370"/>
      <c r="JWN56" s="370"/>
      <c r="JWO56" s="370"/>
      <c r="JWP56" s="370"/>
      <c r="JWQ56" s="370"/>
      <c r="JWR56" s="370"/>
      <c r="JWS56" s="370"/>
      <c r="JWT56" s="370"/>
      <c r="JWU56" s="370"/>
      <c r="JWV56" s="370"/>
      <c r="JWW56" s="370"/>
      <c r="JWX56" s="370"/>
      <c r="JWY56" s="370"/>
      <c r="JWZ56" s="370"/>
      <c r="JXA56" s="370"/>
      <c r="JXB56" s="370"/>
      <c r="JXC56" s="370"/>
      <c r="JXD56" s="370"/>
      <c r="JXE56" s="370"/>
      <c r="JXF56" s="370"/>
      <c r="JXG56" s="370"/>
      <c r="JXH56" s="370"/>
      <c r="JXI56" s="370"/>
      <c r="JXJ56" s="370"/>
      <c r="JXK56" s="370"/>
      <c r="JXL56" s="370"/>
      <c r="JXM56" s="370"/>
      <c r="JXN56" s="370"/>
      <c r="JXO56" s="370"/>
      <c r="JXP56" s="370"/>
      <c r="JXQ56" s="370"/>
      <c r="JXR56" s="370"/>
      <c r="JXS56" s="370"/>
      <c r="JXT56" s="370"/>
      <c r="JXU56" s="370"/>
      <c r="JXV56" s="370"/>
      <c r="JXW56" s="370"/>
      <c r="JXX56" s="370"/>
      <c r="JXY56" s="370"/>
      <c r="JXZ56" s="370"/>
      <c r="JYA56" s="370"/>
      <c r="JYB56" s="370"/>
      <c r="JYC56" s="370"/>
      <c r="JYD56" s="370"/>
      <c r="JYE56" s="370"/>
      <c r="JYF56" s="370"/>
      <c r="JYG56" s="370"/>
      <c r="JYH56" s="370"/>
      <c r="JYI56" s="370"/>
      <c r="JYJ56" s="370"/>
      <c r="JYK56" s="370"/>
      <c r="JYL56" s="370"/>
      <c r="JYM56" s="370"/>
      <c r="JYN56" s="370"/>
      <c r="JYO56" s="370"/>
      <c r="JYP56" s="370"/>
      <c r="JYQ56" s="370"/>
      <c r="JYR56" s="370"/>
      <c r="JYS56" s="370"/>
      <c r="JYT56" s="370"/>
      <c r="JYU56" s="370"/>
      <c r="JYV56" s="370"/>
      <c r="JYW56" s="370"/>
      <c r="JYX56" s="370"/>
      <c r="JYY56" s="370"/>
      <c r="JYZ56" s="370"/>
      <c r="JZA56" s="370"/>
      <c r="JZB56" s="370"/>
      <c r="JZC56" s="370"/>
      <c r="JZD56" s="370"/>
      <c r="JZE56" s="370"/>
      <c r="JZF56" s="370"/>
      <c r="JZG56" s="370"/>
      <c r="JZH56" s="370"/>
      <c r="JZI56" s="370"/>
      <c r="JZJ56" s="370"/>
      <c r="JZK56" s="370"/>
      <c r="JZL56" s="370"/>
      <c r="JZM56" s="370"/>
      <c r="JZN56" s="370"/>
      <c r="JZO56" s="370"/>
      <c r="JZP56" s="370"/>
      <c r="JZQ56" s="370"/>
      <c r="JZR56" s="370"/>
      <c r="JZS56" s="370"/>
      <c r="JZT56" s="370"/>
      <c r="JZU56" s="370"/>
      <c r="JZV56" s="370"/>
      <c r="JZW56" s="370"/>
      <c r="JZX56" s="370"/>
      <c r="JZY56" s="370"/>
      <c r="JZZ56" s="370"/>
      <c r="KAA56" s="370"/>
      <c r="KAB56" s="370"/>
      <c r="KAC56" s="370"/>
      <c r="KAD56" s="370"/>
      <c r="KAE56" s="370"/>
      <c r="KAF56" s="370"/>
      <c r="KAG56" s="370"/>
      <c r="KAH56" s="370"/>
      <c r="KAI56" s="370"/>
      <c r="KAJ56" s="370"/>
      <c r="KAK56" s="370"/>
      <c r="KAL56" s="370"/>
      <c r="KAM56" s="370"/>
      <c r="KAN56" s="370"/>
      <c r="KAO56" s="370"/>
      <c r="KAP56" s="370"/>
      <c r="KAQ56" s="370"/>
      <c r="KAR56" s="370"/>
      <c r="KAS56" s="370"/>
      <c r="KAT56" s="370"/>
      <c r="KAU56" s="370"/>
      <c r="KAV56" s="370"/>
      <c r="KAW56" s="370"/>
      <c r="KAX56" s="370"/>
      <c r="KAY56" s="370"/>
      <c r="KAZ56" s="370"/>
      <c r="KBA56" s="370"/>
      <c r="KBB56" s="370"/>
      <c r="KBC56" s="370"/>
      <c r="KBD56" s="370"/>
      <c r="KBE56" s="370"/>
      <c r="KBF56" s="370"/>
      <c r="KBG56" s="370"/>
      <c r="KBH56" s="370"/>
      <c r="KBI56" s="370"/>
      <c r="KBJ56" s="370"/>
      <c r="KBK56" s="370"/>
      <c r="KBL56" s="370"/>
      <c r="KBM56" s="370"/>
      <c r="KBN56" s="370"/>
      <c r="KBO56" s="370"/>
      <c r="KBP56" s="370"/>
      <c r="KBQ56" s="370"/>
      <c r="KBR56" s="370"/>
      <c r="KBS56" s="370"/>
      <c r="KBT56" s="370"/>
      <c r="KBU56" s="370"/>
      <c r="KBV56" s="370"/>
      <c r="KBW56" s="370"/>
      <c r="KBX56" s="370"/>
      <c r="KBY56" s="370"/>
      <c r="KBZ56" s="370"/>
      <c r="KCA56" s="370"/>
      <c r="KCB56" s="370"/>
      <c r="KCC56" s="370"/>
      <c r="KCD56" s="370"/>
      <c r="KCE56" s="370"/>
      <c r="KCF56" s="370"/>
      <c r="KCG56" s="370"/>
      <c r="KCH56" s="370"/>
      <c r="KCI56" s="370"/>
      <c r="KCJ56" s="370"/>
      <c r="KCK56" s="370"/>
      <c r="KCL56" s="370"/>
      <c r="KCM56" s="370"/>
      <c r="KCN56" s="370"/>
      <c r="KCO56" s="370"/>
      <c r="KCP56" s="370"/>
      <c r="KCQ56" s="370"/>
      <c r="KCR56" s="370"/>
      <c r="KCS56" s="370"/>
      <c r="KCT56" s="370"/>
      <c r="KCU56" s="370"/>
      <c r="KCV56" s="370"/>
      <c r="KCW56" s="370"/>
      <c r="KCX56" s="370"/>
      <c r="KCY56" s="370"/>
      <c r="KCZ56" s="370"/>
      <c r="KDA56" s="370"/>
      <c r="KDB56" s="370"/>
      <c r="KDC56" s="370"/>
      <c r="KDD56" s="370"/>
      <c r="KDE56" s="370"/>
      <c r="KDF56" s="370"/>
      <c r="KDG56" s="370"/>
      <c r="KDH56" s="370"/>
      <c r="KDI56" s="370"/>
      <c r="KDJ56" s="370"/>
      <c r="KDK56" s="370"/>
      <c r="KDL56" s="370"/>
      <c r="KDM56" s="370"/>
      <c r="KDN56" s="370"/>
      <c r="KDO56" s="370"/>
      <c r="KDP56" s="370"/>
      <c r="KDQ56" s="370"/>
      <c r="KDR56" s="370"/>
      <c r="KDS56" s="370"/>
      <c r="KDT56" s="370"/>
      <c r="KDU56" s="370"/>
      <c r="KDV56" s="370"/>
      <c r="KDW56" s="370"/>
      <c r="KDX56" s="370"/>
      <c r="KDY56" s="370"/>
      <c r="KDZ56" s="370"/>
      <c r="KEA56" s="370"/>
      <c r="KEB56" s="370"/>
      <c r="KEC56" s="370"/>
      <c r="KED56" s="370"/>
      <c r="KEE56" s="370"/>
      <c r="KEF56" s="370"/>
      <c r="KEG56" s="370"/>
      <c r="KEH56" s="370"/>
      <c r="KEI56" s="370"/>
      <c r="KEJ56" s="370"/>
      <c r="KEK56" s="370"/>
      <c r="KEL56" s="370"/>
      <c r="KEM56" s="370"/>
      <c r="KEN56" s="370"/>
      <c r="KEO56" s="370"/>
      <c r="KEP56" s="370"/>
      <c r="KEQ56" s="370"/>
      <c r="KER56" s="370"/>
      <c r="KES56" s="370"/>
      <c r="KET56" s="370"/>
      <c r="KEU56" s="370"/>
      <c r="KEV56" s="370"/>
      <c r="KEW56" s="370"/>
      <c r="KEX56" s="370"/>
      <c r="KEY56" s="370"/>
      <c r="KEZ56" s="370"/>
      <c r="KFA56" s="370"/>
      <c r="KFB56" s="370"/>
      <c r="KFC56" s="370"/>
      <c r="KFD56" s="370"/>
      <c r="KFE56" s="370"/>
      <c r="KFF56" s="370"/>
      <c r="KFG56" s="370"/>
      <c r="KFH56" s="370"/>
      <c r="KFI56" s="370"/>
      <c r="KFJ56" s="370"/>
      <c r="KFK56" s="370"/>
      <c r="KFL56" s="370"/>
      <c r="KFM56" s="370"/>
      <c r="KFN56" s="370"/>
      <c r="KFO56" s="370"/>
      <c r="KFP56" s="370"/>
      <c r="KFQ56" s="370"/>
      <c r="KFR56" s="370"/>
      <c r="KFS56" s="370"/>
      <c r="KFT56" s="370"/>
      <c r="KFU56" s="370"/>
      <c r="KFV56" s="370"/>
      <c r="KFW56" s="370"/>
      <c r="KFX56" s="370"/>
      <c r="KFY56" s="370"/>
      <c r="KFZ56" s="370"/>
      <c r="KGA56" s="370"/>
      <c r="KGB56" s="370"/>
      <c r="KGC56" s="370"/>
      <c r="KGD56" s="370"/>
      <c r="KGE56" s="370"/>
      <c r="KGF56" s="370"/>
      <c r="KGG56" s="370"/>
      <c r="KGH56" s="370"/>
      <c r="KGI56" s="370"/>
      <c r="KGJ56" s="370"/>
      <c r="KGK56" s="370"/>
      <c r="KGL56" s="370"/>
      <c r="KGM56" s="370"/>
      <c r="KGN56" s="370"/>
      <c r="KGO56" s="370"/>
      <c r="KGP56" s="370"/>
      <c r="KGQ56" s="370"/>
      <c r="KGR56" s="370"/>
      <c r="KGS56" s="370"/>
      <c r="KGT56" s="370"/>
      <c r="KGU56" s="370"/>
      <c r="KGV56" s="370"/>
      <c r="KGW56" s="370"/>
      <c r="KGX56" s="370"/>
      <c r="KGY56" s="370"/>
      <c r="KGZ56" s="370"/>
      <c r="KHA56" s="370"/>
      <c r="KHB56" s="370"/>
      <c r="KHC56" s="370"/>
      <c r="KHD56" s="370"/>
      <c r="KHE56" s="370"/>
      <c r="KHF56" s="370"/>
      <c r="KHG56" s="370"/>
      <c r="KHH56" s="370"/>
      <c r="KHI56" s="370"/>
      <c r="KHJ56" s="370"/>
      <c r="KHK56" s="370"/>
      <c r="KHL56" s="370"/>
      <c r="KHM56" s="370"/>
      <c r="KHN56" s="370"/>
      <c r="KHO56" s="370"/>
      <c r="KHP56" s="370"/>
      <c r="KHQ56" s="370"/>
      <c r="KHR56" s="370"/>
      <c r="KHS56" s="370"/>
      <c r="KHT56" s="370"/>
      <c r="KHU56" s="370"/>
      <c r="KHV56" s="370"/>
      <c r="KHW56" s="370"/>
      <c r="KHX56" s="370"/>
      <c r="KHY56" s="370"/>
      <c r="KHZ56" s="370"/>
      <c r="KIA56" s="370"/>
      <c r="KIB56" s="370"/>
      <c r="KIC56" s="370"/>
      <c r="KID56" s="370"/>
      <c r="KIE56" s="370"/>
      <c r="KIF56" s="370"/>
      <c r="KIG56" s="370"/>
      <c r="KIH56" s="370"/>
      <c r="KII56" s="370"/>
      <c r="KIJ56" s="370"/>
      <c r="KIK56" s="370"/>
      <c r="KIL56" s="370"/>
      <c r="KIM56" s="370"/>
      <c r="KIN56" s="370"/>
      <c r="KIO56" s="370"/>
      <c r="KIP56" s="370"/>
      <c r="KIQ56" s="370"/>
      <c r="KIR56" s="370"/>
      <c r="KIS56" s="370"/>
      <c r="KIT56" s="370"/>
      <c r="KIU56" s="370"/>
      <c r="KIV56" s="370"/>
      <c r="KIW56" s="370"/>
      <c r="KIX56" s="370"/>
      <c r="KIY56" s="370"/>
      <c r="KIZ56" s="370"/>
      <c r="KJA56" s="370"/>
      <c r="KJB56" s="370"/>
      <c r="KJC56" s="370"/>
      <c r="KJD56" s="370"/>
      <c r="KJE56" s="370"/>
      <c r="KJF56" s="370"/>
      <c r="KJG56" s="370"/>
      <c r="KJH56" s="370"/>
      <c r="KJI56" s="370"/>
      <c r="KJJ56" s="370"/>
      <c r="KJK56" s="370"/>
      <c r="KJL56" s="370"/>
      <c r="KJM56" s="370"/>
      <c r="KJN56" s="370"/>
      <c r="KJO56" s="370"/>
      <c r="KJP56" s="370"/>
      <c r="KJQ56" s="370"/>
      <c r="KJR56" s="370"/>
      <c r="KJS56" s="370"/>
      <c r="KJT56" s="370"/>
      <c r="KJU56" s="370"/>
      <c r="KJV56" s="370"/>
      <c r="KJW56" s="370"/>
      <c r="KJX56" s="370"/>
      <c r="KJY56" s="370"/>
      <c r="KJZ56" s="370"/>
      <c r="KKA56" s="370"/>
      <c r="KKB56" s="370"/>
      <c r="KKC56" s="370"/>
      <c r="KKD56" s="370"/>
      <c r="KKE56" s="370"/>
      <c r="KKF56" s="370"/>
      <c r="KKG56" s="370"/>
      <c r="KKH56" s="370"/>
      <c r="KKI56" s="370"/>
      <c r="KKJ56" s="370"/>
      <c r="KKK56" s="370"/>
      <c r="KKL56" s="370"/>
      <c r="KKM56" s="370"/>
      <c r="KKN56" s="370"/>
      <c r="KKO56" s="370"/>
      <c r="KKP56" s="370"/>
      <c r="KKQ56" s="370"/>
      <c r="KKR56" s="370"/>
      <c r="KKS56" s="370"/>
      <c r="KKT56" s="370"/>
      <c r="KKU56" s="370"/>
      <c r="KKV56" s="370"/>
      <c r="KKW56" s="370"/>
      <c r="KKX56" s="370"/>
      <c r="KKY56" s="370"/>
      <c r="KKZ56" s="370"/>
      <c r="KLA56" s="370"/>
      <c r="KLB56" s="370"/>
      <c r="KLC56" s="370"/>
      <c r="KLD56" s="370"/>
      <c r="KLE56" s="370"/>
      <c r="KLF56" s="370"/>
      <c r="KLG56" s="370"/>
      <c r="KLH56" s="370"/>
      <c r="KLI56" s="370"/>
      <c r="KLJ56" s="370"/>
      <c r="KLK56" s="370"/>
      <c r="KLL56" s="370"/>
      <c r="KLM56" s="370"/>
      <c r="KLN56" s="370"/>
      <c r="KLO56" s="370"/>
      <c r="KLP56" s="370"/>
      <c r="KLQ56" s="370"/>
      <c r="KLR56" s="370"/>
      <c r="KLS56" s="370"/>
      <c r="KLT56" s="370"/>
      <c r="KLU56" s="370"/>
      <c r="KLV56" s="370"/>
      <c r="KLW56" s="370"/>
      <c r="KLX56" s="370"/>
      <c r="KLY56" s="370"/>
      <c r="KLZ56" s="370"/>
      <c r="KMA56" s="370"/>
      <c r="KMB56" s="370"/>
      <c r="KMC56" s="370"/>
      <c r="KMD56" s="370"/>
      <c r="KME56" s="370"/>
      <c r="KMF56" s="370"/>
      <c r="KMG56" s="370"/>
      <c r="KMH56" s="370"/>
      <c r="KMI56" s="370"/>
      <c r="KMJ56" s="370"/>
      <c r="KMK56" s="370"/>
      <c r="KML56" s="370"/>
      <c r="KMM56" s="370"/>
      <c r="KMN56" s="370"/>
      <c r="KMO56" s="370"/>
      <c r="KMP56" s="370"/>
      <c r="KMQ56" s="370"/>
      <c r="KMR56" s="370"/>
      <c r="KMS56" s="370"/>
      <c r="KMT56" s="370"/>
      <c r="KMU56" s="370"/>
      <c r="KMV56" s="370"/>
      <c r="KMW56" s="370"/>
      <c r="KMX56" s="370"/>
      <c r="KMY56" s="370"/>
      <c r="KMZ56" s="370"/>
      <c r="KNA56" s="370"/>
      <c r="KNB56" s="370"/>
      <c r="KNC56" s="370"/>
      <c r="KND56" s="370"/>
      <c r="KNE56" s="370"/>
      <c r="KNF56" s="370"/>
      <c r="KNG56" s="370"/>
      <c r="KNH56" s="370"/>
      <c r="KNI56" s="370"/>
      <c r="KNJ56" s="370"/>
      <c r="KNK56" s="370"/>
      <c r="KNL56" s="370"/>
      <c r="KNM56" s="370"/>
      <c r="KNN56" s="370"/>
      <c r="KNO56" s="370"/>
      <c r="KNP56" s="370"/>
      <c r="KNQ56" s="370"/>
      <c r="KNR56" s="370"/>
      <c r="KNS56" s="370"/>
      <c r="KNT56" s="370"/>
      <c r="KNU56" s="370"/>
      <c r="KNV56" s="370"/>
      <c r="KNW56" s="370"/>
      <c r="KNX56" s="370"/>
      <c r="KNY56" s="370"/>
      <c r="KNZ56" s="370"/>
      <c r="KOA56" s="370"/>
      <c r="KOB56" s="370"/>
      <c r="KOC56" s="370"/>
      <c r="KOD56" s="370"/>
      <c r="KOE56" s="370"/>
      <c r="KOF56" s="370"/>
      <c r="KOG56" s="370"/>
      <c r="KOH56" s="370"/>
      <c r="KOI56" s="370"/>
      <c r="KOJ56" s="370"/>
      <c r="KOK56" s="370"/>
      <c r="KOL56" s="370"/>
      <c r="KOM56" s="370"/>
      <c r="KON56" s="370"/>
      <c r="KOO56" s="370"/>
      <c r="KOP56" s="370"/>
      <c r="KOQ56" s="370"/>
      <c r="KOR56" s="370"/>
      <c r="KOS56" s="370"/>
      <c r="KOT56" s="370"/>
      <c r="KOU56" s="370"/>
      <c r="KOV56" s="370"/>
      <c r="KOW56" s="370"/>
      <c r="KOX56" s="370"/>
      <c r="KOY56" s="370"/>
      <c r="KOZ56" s="370"/>
      <c r="KPA56" s="370"/>
      <c r="KPB56" s="370"/>
      <c r="KPC56" s="370"/>
      <c r="KPD56" s="370"/>
      <c r="KPE56" s="370"/>
      <c r="KPF56" s="370"/>
      <c r="KPG56" s="370"/>
      <c r="KPH56" s="370"/>
      <c r="KPI56" s="370"/>
      <c r="KPJ56" s="370"/>
      <c r="KPK56" s="370"/>
      <c r="KPL56" s="370"/>
      <c r="KPM56" s="370"/>
      <c r="KPN56" s="370"/>
      <c r="KPO56" s="370"/>
      <c r="KPP56" s="370"/>
      <c r="KPQ56" s="370"/>
      <c r="KPR56" s="370"/>
      <c r="KPS56" s="370"/>
      <c r="KPT56" s="370"/>
      <c r="KPU56" s="370"/>
      <c r="KPV56" s="370"/>
      <c r="KPW56" s="370"/>
      <c r="KPX56" s="370"/>
      <c r="KPY56" s="370"/>
      <c r="KPZ56" s="370"/>
      <c r="KQA56" s="370"/>
      <c r="KQB56" s="370"/>
      <c r="KQC56" s="370"/>
      <c r="KQD56" s="370"/>
      <c r="KQE56" s="370"/>
      <c r="KQF56" s="370"/>
      <c r="KQG56" s="370"/>
      <c r="KQH56" s="370"/>
      <c r="KQI56" s="370"/>
      <c r="KQJ56" s="370"/>
      <c r="KQK56" s="370"/>
      <c r="KQL56" s="370"/>
      <c r="KQM56" s="370"/>
      <c r="KQN56" s="370"/>
      <c r="KQO56" s="370"/>
      <c r="KQP56" s="370"/>
      <c r="KQQ56" s="370"/>
      <c r="KQR56" s="370"/>
      <c r="KQS56" s="370"/>
      <c r="KQT56" s="370"/>
      <c r="KQU56" s="370"/>
      <c r="KQV56" s="370"/>
      <c r="KQW56" s="370"/>
      <c r="KQX56" s="370"/>
      <c r="KQY56" s="370"/>
      <c r="KQZ56" s="370"/>
      <c r="KRA56" s="370"/>
      <c r="KRB56" s="370"/>
      <c r="KRC56" s="370"/>
      <c r="KRD56" s="370"/>
      <c r="KRE56" s="370"/>
      <c r="KRF56" s="370"/>
      <c r="KRG56" s="370"/>
      <c r="KRH56" s="370"/>
      <c r="KRI56" s="370"/>
      <c r="KRJ56" s="370"/>
      <c r="KRK56" s="370"/>
      <c r="KRL56" s="370"/>
      <c r="KRM56" s="370"/>
      <c r="KRN56" s="370"/>
      <c r="KRO56" s="370"/>
      <c r="KRP56" s="370"/>
      <c r="KRQ56" s="370"/>
      <c r="KRR56" s="370"/>
      <c r="KRS56" s="370"/>
      <c r="KRT56" s="370"/>
      <c r="KRU56" s="370"/>
      <c r="KRV56" s="370"/>
      <c r="KRW56" s="370"/>
      <c r="KRX56" s="370"/>
      <c r="KRY56" s="370"/>
      <c r="KRZ56" s="370"/>
      <c r="KSA56" s="370"/>
      <c r="KSB56" s="370"/>
      <c r="KSC56" s="370"/>
      <c r="KSD56" s="370"/>
      <c r="KSE56" s="370"/>
      <c r="KSF56" s="370"/>
      <c r="KSG56" s="370"/>
      <c r="KSH56" s="370"/>
      <c r="KSI56" s="370"/>
      <c r="KSJ56" s="370"/>
      <c r="KSK56" s="370"/>
      <c r="KSL56" s="370"/>
      <c r="KSM56" s="370"/>
      <c r="KSN56" s="370"/>
      <c r="KSO56" s="370"/>
      <c r="KSP56" s="370"/>
      <c r="KSQ56" s="370"/>
      <c r="KSR56" s="370"/>
      <c r="KSS56" s="370"/>
      <c r="KST56" s="370"/>
      <c r="KSU56" s="370"/>
      <c r="KSV56" s="370"/>
      <c r="KSW56" s="370"/>
      <c r="KSX56" s="370"/>
      <c r="KSY56" s="370"/>
      <c r="KSZ56" s="370"/>
      <c r="KTA56" s="370"/>
      <c r="KTB56" s="370"/>
      <c r="KTC56" s="370"/>
      <c r="KTD56" s="370"/>
      <c r="KTE56" s="370"/>
      <c r="KTF56" s="370"/>
      <c r="KTG56" s="370"/>
      <c r="KTH56" s="370"/>
      <c r="KTI56" s="370"/>
      <c r="KTJ56" s="370"/>
      <c r="KTK56" s="370"/>
      <c r="KTL56" s="370"/>
      <c r="KTM56" s="370"/>
      <c r="KTN56" s="370"/>
      <c r="KTO56" s="370"/>
      <c r="KTP56" s="370"/>
      <c r="KTQ56" s="370"/>
      <c r="KTR56" s="370"/>
      <c r="KTS56" s="370"/>
      <c r="KTT56" s="370"/>
      <c r="KTU56" s="370"/>
      <c r="KTV56" s="370"/>
      <c r="KTW56" s="370"/>
      <c r="KTX56" s="370"/>
      <c r="KTY56" s="370"/>
      <c r="KTZ56" s="370"/>
      <c r="KUA56" s="370"/>
      <c r="KUB56" s="370"/>
      <c r="KUC56" s="370"/>
      <c r="KUD56" s="370"/>
      <c r="KUE56" s="370"/>
      <c r="KUF56" s="370"/>
      <c r="KUG56" s="370"/>
      <c r="KUH56" s="370"/>
      <c r="KUI56" s="370"/>
      <c r="KUJ56" s="370"/>
      <c r="KUK56" s="370"/>
      <c r="KUL56" s="370"/>
      <c r="KUM56" s="370"/>
      <c r="KUN56" s="370"/>
      <c r="KUO56" s="370"/>
      <c r="KUP56" s="370"/>
      <c r="KUQ56" s="370"/>
      <c r="KUR56" s="370"/>
      <c r="KUS56" s="370"/>
      <c r="KUT56" s="370"/>
      <c r="KUU56" s="370"/>
      <c r="KUV56" s="370"/>
      <c r="KUW56" s="370"/>
      <c r="KUX56" s="370"/>
      <c r="KUY56" s="370"/>
      <c r="KUZ56" s="370"/>
      <c r="KVA56" s="370"/>
      <c r="KVB56" s="370"/>
      <c r="KVC56" s="370"/>
      <c r="KVD56" s="370"/>
      <c r="KVE56" s="370"/>
      <c r="KVF56" s="370"/>
      <c r="KVG56" s="370"/>
      <c r="KVH56" s="370"/>
      <c r="KVI56" s="370"/>
      <c r="KVJ56" s="370"/>
      <c r="KVK56" s="370"/>
      <c r="KVL56" s="370"/>
      <c r="KVM56" s="370"/>
      <c r="KVN56" s="370"/>
      <c r="KVO56" s="370"/>
      <c r="KVP56" s="370"/>
      <c r="KVQ56" s="370"/>
      <c r="KVR56" s="370"/>
      <c r="KVS56" s="370"/>
      <c r="KVT56" s="370"/>
      <c r="KVU56" s="370"/>
      <c r="KVV56" s="370"/>
      <c r="KVW56" s="370"/>
      <c r="KVX56" s="370"/>
      <c r="KVY56" s="370"/>
      <c r="KVZ56" s="370"/>
      <c r="KWA56" s="370"/>
      <c r="KWB56" s="370"/>
      <c r="KWC56" s="370"/>
      <c r="KWD56" s="370"/>
      <c r="KWE56" s="370"/>
      <c r="KWF56" s="370"/>
      <c r="KWG56" s="370"/>
      <c r="KWH56" s="370"/>
      <c r="KWI56" s="370"/>
      <c r="KWJ56" s="370"/>
      <c r="KWK56" s="370"/>
      <c r="KWL56" s="370"/>
      <c r="KWM56" s="370"/>
      <c r="KWN56" s="370"/>
      <c r="KWO56" s="370"/>
      <c r="KWP56" s="370"/>
      <c r="KWQ56" s="370"/>
      <c r="KWR56" s="370"/>
      <c r="KWS56" s="370"/>
      <c r="KWT56" s="370"/>
      <c r="KWU56" s="370"/>
      <c r="KWV56" s="370"/>
      <c r="KWW56" s="370"/>
      <c r="KWX56" s="370"/>
      <c r="KWY56" s="370"/>
      <c r="KWZ56" s="370"/>
      <c r="KXA56" s="370"/>
      <c r="KXB56" s="370"/>
      <c r="KXC56" s="370"/>
      <c r="KXD56" s="370"/>
      <c r="KXE56" s="370"/>
      <c r="KXF56" s="370"/>
      <c r="KXG56" s="370"/>
      <c r="KXH56" s="370"/>
      <c r="KXI56" s="370"/>
      <c r="KXJ56" s="370"/>
      <c r="KXK56" s="370"/>
      <c r="KXL56" s="370"/>
      <c r="KXM56" s="370"/>
      <c r="KXN56" s="370"/>
      <c r="KXO56" s="370"/>
      <c r="KXP56" s="370"/>
      <c r="KXQ56" s="370"/>
      <c r="KXR56" s="370"/>
      <c r="KXS56" s="370"/>
      <c r="KXT56" s="370"/>
      <c r="KXU56" s="370"/>
      <c r="KXV56" s="370"/>
      <c r="KXW56" s="370"/>
      <c r="KXX56" s="370"/>
      <c r="KXY56" s="370"/>
      <c r="KXZ56" s="370"/>
      <c r="KYA56" s="370"/>
      <c r="KYB56" s="370"/>
      <c r="KYC56" s="370"/>
      <c r="KYD56" s="370"/>
      <c r="KYE56" s="370"/>
      <c r="KYF56" s="370"/>
      <c r="KYG56" s="370"/>
      <c r="KYH56" s="370"/>
      <c r="KYI56" s="370"/>
      <c r="KYJ56" s="370"/>
      <c r="KYK56" s="370"/>
      <c r="KYL56" s="370"/>
      <c r="KYM56" s="370"/>
      <c r="KYN56" s="370"/>
      <c r="KYO56" s="370"/>
      <c r="KYP56" s="370"/>
      <c r="KYQ56" s="370"/>
      <c r="KYR56" s="370"/>
      <c r="KYS56" s="370"/>
      <c r="KYT56" s="370"/>
      <c r="KYU56" s="370"/>
      <c r="KYV56" s="370"/>
      <c r="KYW56" s="370"/>
      <c r="KYX56" s="370"/>
      <c r="KYY56" s="370"/>
      <c r="KYZ56" s="370"/>
      <c r="KZA56" s="370"/>
      <c r="KZB56" s="370"/>
      <c r="KZC56" s="370"/>
      <c r="KZD56" s="370"/>
      <c r="KZE56" s="370"/>
      <c r="KZF56" s="370"/>
      <c r="KZG56" s="370"/>
      <c r="KZH56" s="370"/>
      <c r="KZI56" s="370"/>
      <c r="KZJ56" s="370"/>
      <c r="KZK56" s="370"/>
      <c r="KZL56" s="370"/>
      <c r="KZM56" s="370"/>
      <c r="KZN56" s="370"/>
      <c r="KZO56" s="370"/>
      <c r="KZP56" s="370"/>
      <c r="KZQ56" s="370"/>
      <c r="KZR56" s="370"/>
      <c r="KZS56" s="370"/>
      <c r="KZT56" s="370"/>
      <c r="KZU56" s="370"/>
      <c r="KZV56" s="370"/>
      <c r="KZW56" s="370"/>
      <c r="KZX56" s="370"/>
      <c r="KZY56" s="370"/>
      <c r="KZZ56" s="370"/>
      <c r="LAA56" s="370"/>
      <c r="LAB56" s="370"/>
      <c r="LAC56" s="370"/>
      <c r="LAD56" s="370"/>
      <c r="LAE56" s="370"/>
      <c r="LAF56" s="370"/>
      <c r="LAG56" s="370"/>
      <c r="LAH56" s="370"/>
      <c r="LAI56" s="370"/>
      <c r="LAJ56" s="370"/>
      <c r="LAK56" s="370"/>
      <c r="LAL56" s="370"/>
      <c r="LAM56" s="370"/>
      <c r="LAN56" s="370"/>
      <c r="LAO56" s="370"/>
      <c r="LAP56" s="370"/>
      <c r="LAQ56" s="370"/>
      <c r="LAR56" s="370"/>
      <c r="LAS56" s="370"/>
      <c r="LAT56" s="370"/>
      <c r="LAU56" s="370"/>
      <c r="LAV56" s="370"/>
      <c r="LAW56" s="370"/>
      <c r="LAX56" s="370"/>
      <c r="LAY56" s="370"/>
      <c r="LAZ56" s="370"/>
      <c r="LBA56" s="370"/>
      <c r="LBB56" s="370"/>
      <c r="LBC56" s="370"/>
      <c r="LBD56" s="370"/>
      <c r="LBE56" s="370"/>
      <c r="LBF56" s="370"/>
      <c r="LBG56" s="370"/>
      <c r="LBH56" s="370"/>
      <c r="LBI56" s="370"/>
      <c r="LBJ56" s="370"/>
      <c r="LBK56" s="370"/>
      <c r="LBL56" s="370"/>
      <c r="LBM56" s="370"/>
      <c r="LBN56" s="370"/>
      <c r="LBO56" s="370"/>
      <c r="LBP56" s="370"/>
      <c r="LBQ56" s="370"/>
      <c r="LBR56" s="370"/>
      <c r="LBS56" s="370"/>
      <c r="LBT56" s="370"/>
      <c r="LBU56" s="370"/>
      <c r="LBV56" s="370"/>
      <c r="LBW56" s="370"/>
      <c r="LBX56" s="370"/>
      <c r="LBY56" s="370"/>
      <c r="LBZ56" s="370"/>
      <c r="LCA56" s="370"/>
      <c r="LCB56" s="370"/>
      <c r="LCC56" s="370"/>
      <c r="LCD56" s="370"/>
      <c r="LCE56" s="370"/>
      <c r="LCF56" s="370"/>
      <c r="LCG56" s="370"/>
      <c r="LCH56" s="370"/>
      <c r="LCI56" s="370"/>
      <c r="LCJ56" s="370"/>
      <c r="LCK56" s="370"/>
      <c r="LCL56" s="370"/>
      <c r="LCM56" s="370"/>
      <c r="LCN56" s="370"/>
      <c r="LCO56" s="370"/>
      <c r="LCP56" s="370"/>
      <c r="LCQ56" s="370"/>
      <c r="LCR56" s="370"/>
      <c r="LCS56" s="370"/>
      <c r="LCT56" s="370"/>
      <c r="LCU56" s="370"/>
      <c r="LCV56" s="370"/>
      <c r="LCW56" s="370"/>
      <c r="LCX56" s="370"/>
      <c r="LCY56" s="370"/>
      <c r="LCZ56" s="370"/>
      <c r="LDA56" s="370"/>
      <c r="LDB56" s="370"/>
      <c r="LDC56" s="370"/>
      <c r="LDD56" s="370"/>
      <c r="LDE56" s="370"/>
      <c r="LDF56" s="370"/>
      <c r="LDG56" s="370"/>
      <c r="LDH56" s="370"/>
      <c r="LDI56" s="370"/>
      <c r="LDJ56" s="370"/>
      <c r="LDK56" s="370"/>
      <c r="LDL56" s="370"/>
      <c r="LDM56" s="370"/>
      <c r="LDN56" s="370"/>
      <c r="LDO56" s="370"/>
      <c r="LDP56" s="370"/>
      <c r="LDQ56" s="370"/>
      <c r="LDR56" s="370"/>
      <c r="LDS56" s="370"/>
      <c r="LDT56" s="370"/>
      <c r="LDU56" s="370"/>
      <c r="LDV56" s="370"/>
      <c r="LDW56" s="370"/>
      <c r="LDX56" s="370"/>
      <c r="LDY56" s="370"/>
      <c r="LDZ56" s="370"/>
      <c r="LEA56" s="370"/>
      <c r="LEB56" s="370"/>
      <c r="LEC56" s="370"/>
      <c r="LED56" s="370"/>
      <c r="LEE56" s="370"/>
      <c r="LEF56" s="370"/>
      <c r="LEG56" s="370"/>
      <c r="LEH56" s="370"/>
      <c r="LEI56" s="370"/>
      <c r="LEJ56" s="370"/>
      <c r="LEK56" s="370"/>
      <c r="LEL56" s="370"/>
      <c r="LEM56" s="370"/>
      <c r="LEN56" s="370"/>
      <c r="LEO56" s="370"/>
      <c r="LEP56" s="370"/>
      <c r="LEQ56" s="370"/>
      <c r="LER56" s="370"/>
      <c r="LES56" s="370"/>
      <c r="LET56" s="370"/>
      <c r="LEU56" s="370"/>
      <c r="LEV56" s="370"/>
      <c r="LEW56" s="370"/>
      <c r="LEX56" s="370"/>
      <c r="LEY56" s="370"/>
      <c r="LEZ56" s="370"/>
      <c r="LFA56" s="370"/>
      <c r="LFB56" s="370"/>
      <c r="LFC56" s="370"/>
      <c r="LFD56" s="370"/>
      <c r="LFE56" s="370"/>
      <c r="LFF56" s="370"/>
      <c r="LFG56" s="370"/>
      <c r="LFH56" s="370"/>
      <c r="LFI56" s="370"/>
      <c r="LFJ56" s="370"/>
      <c r="LFK56" s="370"/>
      <c r="LFL56" s="370"/>
      <c r="LFM56" s="370"/>
      <c r="LFN56" s="370"/>
      <c r="LFO56" s="370"/>
      <c r="LFP56" s="370"/>
      <c r="LFQ56" s="370"/>
      <c r="LFR56" s="370"/>
      <c r="LFS56" s="370"/>
      <c r="LFT56" s="370"/>
      <c r="LFU56" s="370"/>
      <c r="LFV56" s="370"/>
      <c r="LFW56" s="370"/>
      <c r="LFX56" s="370"/>
      <c r="LFY56" s="370"/>
      <c r="LFZ56" s="370"/>
      <c r="LGA56" s="370"/>
      <c r="LGB56" s="370"/>
      <c r="LGC56" s="370"/>
      <c r="LGD56" s="370"/>
      <c r="LGE56" s="370"/>
      <c r="LGF56" s="370"/>
      <c r="LGG56" s="370"/>
      <c r="LGH56" s="370"/>
      <c r="LGI56" s="370"/>
      <c r="LGJ56" s="370"/>
      <c r="LGK56" s="370"/>
      <c r="LGL56" s="370"/>
      <c r="LGM56" s="370"/>
      <c r="LGN56" s="370"/>
      <c r="LGO56" s="370"/>
      <c r="LGP56" s="370"/>
      <c r="LGQ56" s="370"/>
      <c r="LGR56" s="370"/>
      <c r="LGS56" s="370"/>
      <c r="LGT56" s="370"/>
      <c r="LGU56" s="370"/>
      <c r="LGV56" s="370"/>
      <c r="LGW56" s="370"/>
      <c r="LGX56" s="370"/>
      <c r="LGY56" s="370"/>
      <c r="LGZ56" s="370"/>
      <c r="LHA56" s="370"/>
      <c r="LHB56" s="370"/>
      <c r="LHC56" s="370"/>
      <c r="LHD56" s="370"/>
      <c r="LHE56" s="370"/>
      <c r="LHF56" s="370"/>
      <c r="LHG56" s="370"/>
      <c r="LHH56" s="370"/>
      <c r="LHI56" s="370"/>
      <c r="LHJ56" s="370"/>
      <c r="LHK56" s="370"/>
      <c r="LHL56" s="370"/>
      <c r="LHM56" s="370"/>
      <c r="LHN56" s="370"/>
      <c r="LHO56" s="370"/>
      <c r="LHP56" s="370"/>
      <c r="LHQ56" s="370"/>
      <c r="LHR56" s="370"/>
      <c r="LHS56" s="370"/>
      <c r="LHT56" s="370"/>
      <c r="LHU56" s="370"/>
      <c r="LHV56" s="370"/>
      <c r="LHW56" s="370"/>
      <c r="LHX56" s="370"/>
      <c r="LHY56" s="370"/>
      <c r="LHZ56" s="370"/>
      <c r="LIA56" s="370"/>
      <c r="LIB56" s="370"/>
      <c r="LIC56" s="370"/>
      <c r="LID56" s="370"/>
      <c r="LIE56" s="370"/>
      <c r="LIF56" s="370"/>
      <c r="LIG56" s="370"/>
      <c r="LIH56" s="370"/>
      <c r="LII56" s="370"/>
      <c r="LIJ56" s="370"/>
      <c r="LIK56" s="370"/>
      <c r="LIL56" s="370"/>
      <c r="LIM56" s="370"/>
      <c r="LIN56" s="370"/>
      <c r="LIO56" s="370"/>
      <c r="LIP56" s="370"/>
      <c r="LIQ56" s="370"/>
      <c r="LIR56" s="370"/>
      <c r="LIS56" s="370"/>
      <c r="LIT56" s="370"/>
      <c r="LIU56" s="370"/>
      <c r="LIV56" s="370"/>
      <c r="LIW56" s="370"/>
      <c r="LIX56" s="370"/>
      <c r="LIY56" s="370"/>
      <c r="LIZ56" s="370"/>
      <c r="LJA56" s="370"/>
      <c r="LJB56" s="370"/>
      <c r="LJC56" s="370"/>
      <c r="LJD56" s="370"/>
      <c r="LJE56" s="370"/>
      <c r="LJF56" s="370"/>
      <c r="LJG56" s="370"/>
      <c r="LJH56" s="370"/>
      <c r="LJI56" s="370"/>
      <c r="LJJ56" s="370"/>
      <c r="LJK56" s="370"/>
      <c r="LJL56" s="370"/>
      <c r="LJM56" s="370"/>
      <c r="LJN56" s="370"/>
      <c r="LJO56" s="370"/>
      <c r="LJP56" s="370"/>
      <c r="LJQ56" s="370"/>
      <c r="LJR56" s="370"/>
      <c r="LJS56" s="370"/>
      <c r="LJT56" s="370"/>
      <c r="LJU56" s="370"/>
      <c r="LJV56" s="370"/>
      <c r="LJW56" s="370"/>
      <c r="LJX56" s="370"/>
      <c r="LJY56" s="370"/>
      <c r="LJZ56" s="370"/>
      <c r="LKA56" s="370"/>
      <c r="LKB56" s="370"/>
      <c r="LKC56" s="370"/>
      <c r="LKD56" s="370"/>
      <c r="LKE56" s="370"/>
      <c r="LKF56" s="370"/>
      <c r="LKG56" s="370"/>
      <c r="LKH56" s="370"/>
      <c r="LKI56" s="370"/>
      <c r="LKJ56" s="370"/>
      <c r="LKK56" s="370"/>
      <c r="LKL56" s="370"/>
      <c r="LKM56" s="370"/>
      <c r="LKN56" s="370"/>
      <c r="LKO56" s="370"/>
      <c r="LKP56" s="370"/>
      <c r="LKQ56" s="370"/>
      <c r="LKR56" s="370"/>
      <c r="LKS56" s="370"/>
      <c r="LKT56" s="370"/>
      <c r="LKU56" s="370"/>
      <c r="LKV56" s="370"/>
      <c r="LKW56" s="370"/>
      <c r="LKX56" s="370"/>
      <c r="LKY56" s="370"/>
      <c r="LKZ56" s="370"/>
      <c r="LLA56" s="370"/>
      <c r="LLB56" s="370"/>
      <c r="LLC56" s="370"/>
      <c r="LLD56" s="370"/>
      <c r="LLE56" s="370"/>
      <c r="LLF56" s="370"/>
      <c r="LLG56" s="370"/>
      <c r="LLH56" s="370"/>
      <c r="LLI56" s="370"/>
      <c r="LLJ56" s="370"/>
      <c r="LLK56" s="370"/>
      <c r="LLL56" s="370"/>
      <c r="LLM56" s="370"/>
      <c r="LLN56" s="370"/>
      <c r="LLO56" s="370"/>
      <c r="LLP56" s="370"/>
      <c r="LLQ56" s="370"/>
      <c r="LLR56" s="370"/>
      <c r="LLS56" s="370"/>
      <c r="LLT56" s="370"/>
      <c r="LLU56" s="370"/>
      <c r="LLV56" s="370"/>
      <c r="LLW56" s="370"/>
      <c r="LLX56" s="370"/>
      <c r="LLY56" s="370"/>
      <c r="LLZ56" s="370"/>
      <c r="LMA56" s="370"/>
      <c r="LMB56" s="370"/>
      <c r="LMC56" s="370"/>
      <c r="LMD56" s="370"/>
      <c r="LME56" s="370"/>
      <c r="LMF56" s="370"/>
      <c r="LMG56" s="370"/>
      <c r="LMH56" s="370"/>
      <c r="LMI56" s="370"/>
      <c r="LMJ56" s="370"/>
      <c r="LMK56" s="370"/>
      <c r="LML56" s="370"/>
      <c r="LMM56" s="370"/>
      <c r="LMN56" s="370"/>
      <c r="LMO56" s="370"/>
      <c r="LMP56" s="370"/>
      <c r="LMQ56" s="370"/>
      <c r="LMR56" s="370"/>
      <c r="LMS56" s="370"/>
      <c r="LMT56" s="370"/>
      <c r="LMU56" s="370"/>
      <c r="LMV56" s="370"/>
      <c r="LMW56" s="370"/>
      <c r="LMX56" s="370"/>
      <c r="LMY56" s="370"/>
      <c r="LMZ56" s="370"/>
      <c r="LNA56" s="370"/>
      <c r="LNB56" s="370"/>
      <c r="LNC56" s="370"/>
      <c r="LND56" s="370"/>
      <c r="LNE56" s="370"/>
      <c r="LNF56" s="370"/>
      <c r="LNG56" s="370"/>
      <c r="LNH56" s="370"/>
      <c r="LNI56" s="370"/>
      <c r="LNJ56" s="370"/>
      <c r="LNK56" s="370"/>
      <c r="LNL56" s="370"/>
      <c r="LNM56" s="370"/>
      <c r="LNN56" s="370"/>
      <c r="LNO56" s="370"/>
      <c r="LNP56" s="370"/>
      <c r="LNQ56" s="370"/>
      <c r="LNR56" s="370"/>
      <c r="LNS56" s="370"/>
      <c r="LNT56" s="370"/>
      <c r="LNU56" s="370"/>
      <c r="LNV56" s="370"/>
      <c r="LNW56" s="370"/>
      <c r="LNX56" s="370"/>
      <c r="LNY56" s="370"/>
      <c r="LNZ56" s="370"/>
      <c r="LOA56" s="370"/>
      <c r="LOB56" s="370"/>
      <c r="LOC56" s="370"/>
      <c r="LOD56" s="370"/>
      <c r="LOE56" s="370"/>
      <c r="LOF56" s="370"/>
      <c r="LOG56" s="370"/>
      <c r="LOH56" s="370"/>
      <c r="LOI56" s="370"/>
      <c r="LOJ56" s="370"/>
      <c r="LOK56" s="370"/>
      <c r="LOL56" s="370"/>
      <c r="LOM56" s="370"/>
      <c r="LON56" s="370"/>
      <c r="LOO56" s="370"/>
      <c r="LOP56" s="370"/>
      <c r="LOQ56" s="370"/>
      <c r="LOR56" s="370"/>
      <c r="LOS56" s="370"/>
      <c r="LOT56" s="370"/>
      <c r="LOU56" s="370"/>
      <c r="LOV56" s="370"/>
      <c r="LOW56" s="370"/>
      <c r="LOX56" s="370"/>
      <c r="LOY56" s="370"/>
      <c r="LOZ56" s="370"/>
      <c r="LPA56" s="370"/>
      <c r="LPB56" s="370"/>
      <c r="LPC56" s="370"/>
      <c r="LPD56" s="370"/>
      <c r="LPE56" s="370"/>
      <c r="LPF56" s="370"/>
      <c r="LPG56" s="370"/>
      <c r="LPH56" s="370"/>
      <c r="LPI56" s="370"/>
      <c r="LPJ56" s="370"/>
      <c r="LPK56" s="370"/>
      <c r="LPL56" s="370"/>
      <c r="LPM56" s="370"/>
      <c r="LPN56" s="370"/>
      <c r="LPO56" s="370"/>
      <c r="LPP56" s="370"/>
      <c r="LPQ56" s="370"/>
      <c r="LPR56" s="370"/>
      <c r="LPS56" s="370"/>
      <c r="LPT56" s="370"/>
      <c r="LPU56" s="370"/>
      <c r="LPV56" s="370"/>
      <c r="LPW56" s="370"/>
      <c r="LPX56" s="370"/>
      <c r="LPY56" s="370"/>
      <c r="LPZ56" s="370"/>
      <c r="LQA56" s="370"/>
      <c r="LQB56" s="370"/>
      <c r="LQC56" s="370"/>
      <c r="LQD56" s="370"/>
      <c r="LQE56" s="370"/>
      <c r="LQF56" s="370"/>
      <c r="LQG56" s="370"/>
      <c r="LQH56" s="370"/>
      <c r="LQI56" s="370"/>
      <c r="LQJ56" s="370"/>
      <c r="LQK56" s="370"/>
      <c r="LQL56" s="370"/>
      <c r="LQM56" s="370"/>
      <c r="LQN56" s="370"/>
      <c r="LQO56" s="370"/>
      <c r="LQP56" s="370"/>
      <c r="LQQ56" s="370"/>
      <c r="LQR56" s="370"/>
      <c r="LQS56" s="370"/>
      <c r="LQT56" s="370"/>
      <c r="LQU56" s="370"/>
      <c r="LQV56" s="370"/>
      <c r="LQW56" s="370"/>
      <c r="LQX56" s="370"/>
      <c r="LQY56" s="370"/>
      <c r="LQZ56" s="370"/>
      <c r="LRA56" s="370"/>
      <c r="LRB56" s="370"/>
      <c r="LRC56" s="370"/>
      <c r="LRD56" s="370"/>
      <c r="LRE56" s="370"/>
      <c r="LRF56" s="370"/>
      <c r="LRG56" s="370"/>
      <c r="LRH56" s="370"/>
      <c r="LRI56" s="370"/>
      <c r="LRJ56" s="370"/>
      <c r="LRK56" s="370"/>
      <c r="LRL56" s="370"/>
      <c r="LRM56" s="370"/>
      <c r="LRN56" s="370"/>
      <c r="LRO56" s="370"/>
      <c r="LRP56" s="370"/>
      <c r="LRQ56" s="370"/>
      <c r="LRR56" s="370"/>
      <c r="LRS56" s="370"/>
      <c r="LRT56" s="370"/>
      <c r="LRU56" s="370"/>
      <c r="LRV56" s="370"/>
      <c r="LRW56" s="370"/>
      <c r="LRX56" s="370"/>
      <c r="LRY56" s="370"/>
      <c r="LRZ56" s="370"/>
      <c r="LSA56" s="370"/>
      <c r="LSB56" s="370"/>
      <c r="LSC56" s="370"/>
      <c r="LSD56" s="370"/>
      <c r="LSE56" s="370"/>
      <c r="LSF56" s="370"/>
      <c r="LSG56" s="370"/>
      <c r="LSH56" s="370"/>
      <c r="LSI56" s="370"/>
      <c r="LSJ56" s="370"/>
      <c r="LSK56" s="370"/>
      <c r="LSL56" s="370"/>
      <c r="LSM56" s="370"/>
      <c r="LSN56" s="370"/>
      <c r="LSO56" s="370"/>
      <c r="LSP56" s="370"/>
      <c r="LSQ56" s="370"/>
      <c r="LSR56" s="370"/>
      <c r="LSS56" s="370"/>
      <c r="LST56" s="370"/>
      <c r="LSU56" s="370"/>
      <c r="LSV56" s="370"/>
      <c r="LSW56" s="370"/>
      <c r="LSX56" s="370"/>
      <c r="LSY56" s="370"/>
      <c r="LSZ56" s="370"/>
      <c r="LTA56" s="370"/>
      <c r="LTB56" s="370"/>
      <c r="LTC56" s="370"/>
      <c r="LTD56" s="370"/>
      <c r="LTE56" s="370"/>
      <c r="LTF56" s="370"/>
      <c r="LTG56" s="370"/>
      <c r="LTH56" s="370"/>
      <c r="LTI56" s="370"/>
      <c r="LTJ56" s="370"/>
      <c r="LTK56" s="370"/>
      <c r="LTL56" s="370"/>
      <c r="LTM56" s="370"/>
      <c r="LTN56" s="370"/>
      <c r="LTO56" s="370"/>
      <c r="LTP56" s="370"/>
      <c r="LTQ56" s="370"/>
      <c r="LTR56" s="370"/>
      <c r="LTS56" s="370"/>
      <c r="LTT56" s="370"/>
      <c r="LTU56" s="370"/>
      <c r="LTV56" s="370"/>
      <c r="LTW56" s="370"/>
      <c r="LTX56" s="370"/>
      <c r="LTY56" s="370"/>
      <c r="LTZ56" s="370"/>
      <c r="LUA56" s="370"/>
      <c r="LUB56" s="370"/>
      <c r="LUC56" s="370"/>
      <c r="LUD56" s="370"/>
      <c r="LUE56" s="370"/>
      <c r="LUF56" s="370"/>
      <c r="LUG56" s="370"/>
      <c r="LUH56" s="370"/>
      <c r="LUI56" s="370"/>
      <c r="LUJ56" s="370"/>
      <c r="LUK56" s="370"/>
      <c r="LUL56" s="370"/>
      <c r="LUM56" s="370"/>
      <c r="LUN56" s="370"/>
      <c r="LUO56" s="370"/>
      <c r="LUP56" s="370"/>
      <c r="LUQ56" s="370"/>
      <c r="LUR56" s="370"/>
      <c r="LUS56" s="370"/>
      <c r="LUT56" s="370"/>
      <c r="LUU56" s="370"/>
      <c r="LUV56" s="370"/>
      <c r="LUW56" s="370"/>
      <c r="LUX56" s="370"/>
      <c r="LUY56" s="370"/>
      <c r="LUZ56" s="370"/>
      <c r="LVA56" s="370"/>
      <c r="LVB56" s="370"/>
      <c r="LVC56" s="370"/>
      <c r="LVD56" s="370"/>
      <c r="LVE56" s="370"/>
      <c r="LVF56" s="370"/>
      <c r="LVG56" s="370"/>
      <c r="LVH56" s="370"/>
      <c r="LVI56" s="370"/>
      <c r="LVJ56" s="370"/>
      <c r="LVK56" s="370"/>
      <c r="LVL56" s="370"/>
      <c r="LVM56" s="370"/>
      <c r="LVN56" s="370"/>
      <c r="LVO56" s="370"/>
      <c r="LVP56" s="370"/>
      <c r="LVQ56" s="370"/>
      <c r="LVR56" s="370"/>
      <c r="LVS56" s="370"/>
      <c r="LVT56" s="370"/>
      <c r="LVU56" s="370"/>
      <c r="LVV56" s="370"/>
      <c r="LVW56" s="370"/>
      <c r="LVX56" s="370"/>
      <c r="LVY56" s="370"/>
      <c r="LVZ56" s="370"/>
      <c r="LWA56" s="370"/>
      <c r="LWB56" s="370"/>
      <c r="LWC56" s="370"/>
      <c r="LWD56" s="370"/>
      <c r="LWE56" s="370"/>
      <c r="LWF56" s="370"/>
      <c r="LWG56" s="370"/>
      <c r="LWH56" s="370"/>
      <c r="LWI56" s="370"/>
      <c r="LWJ56" s="370"/>
      <c r="LWK56" s="370"/>
      <c r="LWL56" s="370"/>
      <c r="LWM56" s="370"/>
      <c r="LWN56" s="370"/>
      <c r="LWO56" s="370"/>
      <c r="LWP56" s="370"/>
      <c r="LWQ56" s="370"/>
      <c r="LWR56" s="370"/>
      <c r="LWS56" s="370"/>
      <c r="LWT56" s="370"/>
      <c r="LWU56" s="370"/>
      <c r="LWV56" s="370"/>
      <c r="LWW56" s="370"/>
      <c r="LWX56" s="370"/>
      <c r="LWY56" s="370"/>
      <c r="LWZ56" s="370"/>
      <c r="LXA56" s="370"/>
      <c r="LXB56" s="370"/>
      <c r="LXC56" s="370"/>
      <c r="LXD56" s="370"/>
      <c r="LXE56" s="370"/>
      <c r="LXF56" s="370"/>
      <c r="LXG56" s="370"/>
      <c r="LXH56" s="370"/>
      <c r="LXI56" s="370"/>
      <c r="LXJ56" s="370"/>
      <c r="LXK56" s="370"/>
      <c r="LXL56" s="370"/>
      <c r="LXM56" s="370"/>
      <c r="LXN56" s="370"/>
      <c r="LXO56" s="370"/>
      <c r="LXP56" s="370"/>
      <c r="LXQ56" s="370"/>
      <c r="LXR56" s="370"/>
      <c r="LXS56" s="370"/>
      <c r="LXT56" s="370"/>
      <c r="LXU56" s="370"/>
      <c r="LXV56" s="370"/>
      <c r="LXW56" s="370"/>
      <c r="LXX56" s="370"/>
      <c r="LXY56" s="370"/>
      <c r="LXZ56" s="370"/>
      <c r="LYA56" s="370"/>
      <c r="LYB56" s="370"/>
      <c r="LYC56" s="370"/>
      <c r="LYD56" s="370"/>
      <c r="LYE56" s="370"/>
      <c r="LYF56" s="370"/>
      <c r="LYG56" s="370"/>
      <c r="LYH56" s="370"/>
      <c r="LYI56" s="370"/>
      <c r="LYJ56" s="370"/>
      <c r="LYK56" s="370"/>
      <c r="LYL56" s="370"/>
      <c r="LYM56" s="370"/>
      <c r="LYN56" s="370"/>
      <c r="LYO56" s="370"/>
      <c r="LYP56" s="370"/>
      <c r="LYQ56" s="370"/>
      <c r="LYR56" s="370"/>
      <c r="LYS56" s="370"/>
      <c r="LYT56" s="370"/>
      <c r="LYU56" s="370"/>
      <c r="LYV56" s="370"/>
      <c r="LYW56" s="370"/>
      <c r="LYX56" s="370"/>
      <c r="LYY56" s="370"/>
      <c r="LYZ56" s="370"/>
      <c r="LZA56" s="370"/>
      <c r="LZB56" s="370"/>
      <c r="LZC56" s="370"/>
      <c r="LZD56" s="370"/>
      <c r="LZE56" s="370"/>
      <c r="LZF56" s="370"/>
      <c r="LZG56" s="370"/>
      <c r="LZH56" s="370"/>
      <c r="LZI56" s="370"/>
      <c r="LZJ56" s="370"/>
      <c r="LZK56" s="370"/>
      <c r="LZL56" s="370"/>
      <c r="LZM56" s="370"/>
      <c r="LZN56" s="370"/>
      <c r="LZO56" s="370"/>
      <c r="LZP56" s="370"/>
      <c r="LZQ56" s="370"/>
      <c r="LZR56" s="370"/>
      <c r="LZS56" s="370"/>
      <c r="LZT56" s="370"/>
      <c r="LZU56" s="370"/>
      <c r="LZV56" s="370"/>
      <c r="LZW56" s="370"/>
      <c r="LZX56" s="370"/>
      <c r="LZY56" s="370"/>
      <c r="LZZ56" s="370"/>
      <c r="MAA56" s="370"/>
      <c r="MAB56" s="370"/>
      <c r="MAC56" s="370"/>
      <c r="MAD56" s="370"/>
      <c r="MAE56" s="370"/>
      <c r="MAF56" s="370"/>
      <c r="MAG56" s="370"/>
      <c r="MAH56" s="370"/>
      <c r="MAI56" s="370"/>
      <c r="MAJ56" s="370"/>
      <c r="MAK56" s="370"/>
      <c r="MAL56" s="370"/>
      <c r="MAM56" s="370"/>
      <c r="MAN56" s="370"/>
      <c r="MAO56" s="370"/>
      <c r="MAP56" s="370"/>
      <c r="MAQ56" s="370"/>
      <c r="MAR56" s="370"/>
      <c r="MAS56" s="370"/>
      <c r="MAT56" s="370"/>
      <c r="MAU56" s="370"/>
      <c r="MAV56" s="370"/>
      <c r="MAW56" s="370"/>
      <c r="MAX56" s="370"/>
      <c r="MAY56" s="370"/>
      <c r="MAZ56" s="370"/>
      <c r="MBA56" s="370"/>
      <c r="MBB56" s="370"/>
      <c r="MBC56" s="370"/>
      <c r="MBD56" s="370"/>
      <c r="MBE56" s="370"/>
      <c r="MBF56" s="370"/>
      <c r="MBG56" s="370"/>
      <c r="MBH56" s="370"/>
      <c r="MBI56" s="370"/>
      <c r="MBJ56" s="370"/>
      <c r="MBK56" s="370"/>
      <c r="MBL56" s="370"/>
      <c r="MBM56" s="370"/>
      <c r="MBN56" s="370"/>
      <c r="MBO56" s="370"/>
      <c r="MBP56" s="370"/>
      <c r="MBQ56" s="370"/>
      <c r="MBR56" s="370"/>
      <c r="MBS56" s="370"/>
      <c r="MBT56" s="370"/>
      <c r="MBU56" s="370"/>
      <c r="MBV56" s="370"/>
      <c r="MBW56" s="370"/>
      <c r="MBX56" s="370"/>
      <c r="MBY56" s="370"/>
      <c r="MBZ56" s="370"/>
      <c r="MCA56" s="370"/>
      <c r="MCB56" s="370"/>
      <c r="MCC56" s="370"/>
      <c r="MCD56" s="370"/>
      <c r="MCE56" s="370"/>
      <c r="MCF56" s="370"/>
      <c r="MCG56" s="370"/>
      <c r="MCH56" s="370"/>
      <c r="MCI56" s="370"/>
      <c r="MCJ56" s="370"/>
      <c r="MCK56" s="370"/>
      <c r="MCL56" s="370"/>
      <c r="MCM56" s="370"/>
      <c r="MCN56" s="370"/>
      <c r="MCO56" s="370"/>
      <c r="MCP56" s="370"/>
      <c r="MCQ56" s="370"/>
      <c r="MCR56" s="370"/>
      <c r="MCS56" s="370"/>
      <c r="MCT56" s="370"/>
      <c r="MCU56" s="370"/>
      <c r="MCV56" s="370"/>
      <c r="MCW56" s="370"/>
      <c r="MCX56" s="370"/>
      <c r="MCY56" s="370"/>
      <c r="MCZ56" s="370"/>
      <c r="MDA56" s="370"/>
      <c r="MDB56" s="370"/>
      <c r="MDC56" s="370"/>
      <c r="MDD56" s="370"/>
      <c r="MDE56" s="370"/>
      <c r="MDF56" s="370"/>
      <c r="MDG56" s="370"/>
      <c r="MDH56" s="370"/>
      <c r="MDI56" s="370"/>
      <c r="MDJ56" s="370"/>
      <c r="MDK56" s="370"/>
      <c r="MDL56" s="370"/>
      <c r="MDM56" s="370"/>
      <c r="MDN56" s="370"/>
      <c r="MDO56" s="370"/>
      <c r="MDP56" s="370"/>
      <c r="MDQ56" s="370"/>
      <c r="MDR56" s="370"/>
      <c r="MDS56" s="370"/>
      <c r="MDT56" s="370"/>
      <c r="MDU56" s="370"/>
      <c r="MDV56" s="370"/>
      <c r="MDW56" s="370"/>
      <c r="MDX56" s="370"/>
      <c r="MDY56" s="370"/>
      <c r="MDZ56" s="370"/>
      <c r="MEA56" s="370"/>
      <c r="MEB56" s="370"/>
      <c r="MEC56" s="370"/>
      <c r="MED56" s="370"/>
      <c r="MEE56" s="370"/>
      <c r="MEF56" s="370"/>
      <c r="MEG56" s="370"/>
      <c r="MEH56" s="370"/>
      <c r="MEI56" s="370"/>
      <c r="MEJ56" s="370"/>
      <c r="MEK56" s="370"/>
      <c r="MEL56" s="370"/>
      <c r="MEM56" s="370"/>
      <c r="MEN56" s="370"/>
      <c r="MEO56" s="370"/>
      <c r="MEP56" s="370"/>
      <c r="MEQ56" s="370"/>
      <c r="MER56" s="370"/>
      <c r="MES56" s="370"/>
      <c r="MET56" s="370"/>
      <c r="MEU56" s="370"/>
      <c r="MEV56" s="370"/>
      <c r="MEW56" s="370"/>
      <c r="MEX56" s="370"/>
      <c r="MEY56" s="370"/>
      <c r="MEZ56" s="370"/>
      <c r="MFA56" s="370"/>
      <c r="MFB56" s="370"/>
      <c r="MFC56" s="370"/>
      <c r="MFD56" s="370"/>
      <c r="MFE56" s="370"/>
      <c r="MFF56" s="370"/>
      <c r="MFG56" s="370"/>
      <c r="MFH56" s="370"/>
      <c r="MFI56" s="370"/>
      <c r="MFJ56" s="370"/>
      <c r="MFK56" s="370"/>
      <c r="MFL56" s="370"/>
      <c r="MFM56" s="370"/>
      <c r="MFN56" s="370"/>
      <c r="MFO56" s="370"/>
      <c r="MFP56" s="370"/>
      <c r="MFQ56" s="370"/>
      <c r="MFR56" s="370"/>
      <c r="MFS56" s="370"/>
      <c r="MFT56" s="370"/>
      <c r="MFU56" s="370"/>
      <c r="MFV56" s="370"/>
      <c r="MFW56" s="370"/>
      <c r="MFX56" s="370"/>
      <c r="MFY56" s="370"/>
      <c r="MFZ56" s="370"/>
      <c r="MGA56" s="370"/>
      <c r="MGB56" s="370"/>
      <c r="MGC56" s="370"/>
      <c r="MGD56" s="370"/>
      <c r="MGE56" s="370"/>
      <c r="MGF56" s="370"/>
      <c r="MGG56" s="370"/>
      <c r="MGH56" s="370"/>
      <c r="MGI56" s="370"/>
      <c r="MGJ56" s="370"/>
      <c r="MGK56" s="370"/>
      <c r="MGL56" s="370"/>
      <c r="MGM56" s="370"/>
      <c r="MGN56" s="370"/>
      <c r="MGO56" s="370"/>
      <c r="MGP56" s="370"/>
      <c r="MGQ56" s="370"/>
      <c r="MGR56" s="370"/>
      <c r="MGS56" s="370"/>
      <c r="MGT56" s="370"/>
      <c r="MGU56" s="370"/>
      <c r="MGV56" s="370"/>
      <c r="MGW56" s="370"/>
      <c r="MGX56" s="370"/>
      <c r="MGY56" s="370"/>
      <c r="MGZ56" s="370"/>
      <c r="MHA56" s="370"/>
      <c r="MHB56" s="370"/>
      <c r="MHC56" s="370"/>
      <c r="MHD56" s="370"/>
      <c r="MHE56" s="370"/>
      <c r="MHF56" s="370"/>
      <c r="MHG56" s="370"/>
      <c r="MHH56" s="370"/>
      <c r="MHI56" s="370"/>
      <c r="MHJ56" s="370"/>
      <c r="MHK56" s="370"/>
      <c r="MHL56" s="370"/>
      <c r="MHM56" s="370"/>
      <c r="MHN56" s="370"/>
      <c r="MHO56" s="370"/>
      <c r="MHP56" s="370"/>
      <c r="MHQ56" s="370"/>
      <c r="MHR56" s="370"/>
      <c r="MHS56" s="370"/>
      <c r="MHT56" s="370"/>
      <c r="MHU56" s="370"/>
      <c r="MHV56" s="370"/>
      <c r="MHW56" s="370"/>
      <c r="MHX56" s="370"/>
      <c r="MHY56" s="370"/>
      <c r="MHZ56" s="370"/>
      <c r="MIA56" s="370"/>
      <c r="MIB56" s="370"/>
      <c r="MIC56" s="370"/>
      <c r="MID56" s="370"/>
      <c r="MIE56" s="370"/>
      <c r="MIF56" s="370"/>
      <c r="MIG56" s="370"/>
      <c r="MIH56" s="370"/>
      <c r="MII56" s="370"/>
      <c r="MIJ56" s="370"/>
      <c r="MIK56" s="370"/>
      <c r="MIL56" s="370"/>
      <c r="MIM56" s="370"/>
      <c r="MIN56" s="370"/>
      <c r="MIO56" s="370"/>
      <c r="MIP56" s="370"/>
      <c r="MIQ56" s="370"/>
      <c r="MIR56" s="370"/>
      <c r="MIS56" s="370"/>
      <c r="MIT56" s="370"/>
      <c r="MIU56" s="370"/>
      <c r="MIV56" s="370"/>
      <c r="MIW56" s="370"/>
      <c r="MIX56" s="370"/>
      <c r="MIY56" s="370"/>
      <c r="MIZ56" s="370"/>
      <c r="MJA56" s="370"/>
      <c r="MJB56" s="370"/>
      <c r="MJC56" s="370"/>
      <c r="MJD56" s="370"/>
      <c r="MJE56" s="370"/>
      <c r="MJF56" s="370"/>
      <c r="MJG56" s="370"/>
      <c r="MJH56" s="370"/>
      <c r="MJI56" s="370"/>
      <c r="MJJ56" s="370"/>
      <c r="MJK56" s="370"/>
      <c r="MJL56" s="370"/>
      <c r="MJM56" s="370"/>
      <c r="MJN56" s="370"/>
      <c r="MJO56" s="370"/>
      <c r="MJP56" s="370"/>
      <c r="MJQ56" s="370"/>
      <c r="MJR56" s="370"/>
      <c r="MJS56" s="370"/>
      <c r="MJT56" s="370"/>
      <c r="MJU56" s="370"/>
      <c r="MJV56" s="370"/>
      <c r="MJW56" s="370"/>
      <c r="MJX56" s="370"/>
      <c r="MJY56" s="370"/>
      <c r="MJZ56" s="370"/>
      <c r="MKA56" s="370"/>
      <c r="MKB56" s="370"/>
      <c r="MKC56" s="370"/>
      <c r="MKD56" s="370"/>
      <c r="MKE56" s="370"/>
      <c r="MKF56" s="370"/>
      <c r="MKG56" s="370"/>
      <c r="MKH56" s="370"/>
      <c r="MKI56" s="370"/>
      <c r="MKJ56" s="370"/>
      <c r="MKK56" s="370"/>
      <c r="MKL56" s="370"/>
      <c r="MKM56" s="370"/>
      <c r="MKN56" s="370"/>
      <c r="MKO56" s="370"/>
      <c r="MKP56" s="370"/>
      <c r="MKQ56" s="370"/>
      <c r="MKR56" s="370"/>
      <c r="MKS56" s="370"/>
      <c r="MKT56" s="370"/>
      <c r="MKU56" s="370"/>
      <c r="MKV56" s="370"/>
      <c r="MKW56" s="370"/>
      <c r="MKX56" s="370"/>
      <c r="MKY56" s="370"/>
      <c r="MKZ56" s="370"/>
      <c r="MLA56" s="370"/>
      <c r="MLB56" s="370"/>
      <c r="MLC56" s="370"/>
      <c r="MLD56" s="370"/>
      <c r="MLE56" s="370"/>
      <c r="MLF56" s="370"/>
      <c r="MLG56" s="370"/>
      <c r="MLH56" s="370"/>
      <c r="MLI56" s="370"/>
      <c r="MLJ56" s="370"/>
      <c r="MLK56" s="370"/>
      <c r="MLL56" s="370"/>
      <c r="MLM56" s="370"/>
      <c r="MLN56" s="370"/>
      <c r="MLO56" s="370"/>
      <c r="MLP56" s="370"/>
      <c r="MLQ56" s="370"/>
      <c r="MLR56" s="370"/>
      <c r="MLS56" s="370"/>
      <c r="MLT56" s="370"/>
      <c r="MLU56" s="370"/>
      <c r="MLV56" s="370"/>
      <c r="MLW56" s="370"/>
      <c r="MLX56" s="370"/>
      <c r="MLY56" s="370"/>
      <c r="MLZ56" s="370"/>
      <c r="MMA56" s="370"/>
      <c r="MMB56" s="370"/>
      <c r="MMC56" s="370"/>
      <c r="MMD56" s="370"/>
      <c r="MME56" s="370"/>
      <c r="MMF56" s="370"/>
      <c r="MMG56" s="370"/>
      <c r="MMH56" s="370"/>
      <c r="MMI56" s="370"/>
      <c r="MMJ56" s="370"/>
      <c r="MMK56" s="370"/>
      <c r="MML56" s="370"/>
      <c r="MMM56" s="370"/>
      <c r="MMN56" s="370"/>
      <c r="MMO56" s="370"/>
      <c r="MMP56" s="370"/>
      <c r="MMQ56" s="370"/>
      <c r="MMR56" s="370"/>
      <c r="MMS56" s="370"/>
      <c r="MMT56" s="370"/>
      <c r="MMU56" s="370"/>
      <c r="MMV56" s="370"/>
      <c r="MMW56" s="370"/>
      <c r="MMX56" s="370"/>
      <c r="MMY56" s="370"/>
      <c r="MMZ56" s="370"/>
      <c r="MNA56" s="370"/>
      <c r="MNB56" s="370"/>
      <c r="MNC56" s="370"/>
      <c r="MND56" s="370"/>
      <c r="MNE56" s="370"/>
      <c r="MNF56" s="370"/>
      <c r="MNG56" s="370"/>
      <c r="MNH56" s="370"/>
      <c r="MNI56" s="370"/>
      <c r="MNJ56" s="370"/>
      <c r="MNK56" s="370"/>
      <c r="MNL56" s="370"/>
      <c r="MNM56" s="370"/>
      <c r="MNN56" s="370"/>
      <c r="MNO56" s="370"/>
      <c r="MNP56" s="370"/>
      <c r="MNQ56" s="370"/>
      <c r="MNR56" s="370"/>
      <c r="MNS56" s="370"/>
      <c r="MNT56" s="370"/>
      <c r="MNU56" s="370"/>
      <c r="MNV56" s="370"/>
      <c r="MNW56" s="370"/>
      <c r="MNX56" s="370"/>
      <c r="MNY56" s="370"/>
      <c r="MNZ56" s="370"/>
      <c r="MOA56" s="370"/>
      <c r="MOB56" s="370"/>
      <c r="MOC56" s="370"/>
      <c r="MOD56" s="370"/>
      <c r="MOE56" s="370"/>
      <c r="MOF56" s="370"/>
      <c r="MOG56" s="370"/>
      <c r="MOH56" s="370"/>
      <c r="MOI56" s="370"/>
      <c r="MOJ56" s="370"/>
      <c r="MOK56" s="370"/>
      <c r="MOL56" s="370"/>
      <c r="MOM56" s="370"/>
      <c r="MON56" s="370"/>
      <c r="MOO56" s="370"/>
      <c r="MOP56" s="370"/>
      <c r="MOQ56" s="370"/>
      <c r="MOR56" s="370"/>
      <c r="MOS56" s="370"/>
      <c r="MOT56" s="370"/>
      <c r="MOU56" s="370"/>
      <c r="MOV56" s="370"/>
      <c r="MOW56" s="370"/>
      <c r="MOX56" s="370"/>
      <c r="MOY56" s="370"/>
      <c r="MOZ56" s="370"/>
      <c r="MPA56" s="370"/>
      <c r="MPB56" s="370"/>
      <c r="MPC56" s="370"/>
      <c r="MPD56" s="370"/>
      <c r="MPE56" s="370"/>
      <c r="MPF56" s="370"/>
      <c r="MPG56" s="370"/>
      <c r="MPH56" s="370"/>
      <c r="MPI56" s="370"/>
      <c r="MPJ56" s="370"/>
      <c r="MPK56" s="370"/>
      <c r="MPL56" s="370"/>
      <c r="MPM56" s="370"/>
      <c r="MPN56" s="370"/>
      <c r="MPO56" s="370"/>
      <c r="MPP56" s="370"/>
      <c r="MPQ56" s="370"/>
      <c r="MPR56" s="370"/>
      <c r="MPS56" s="370"/>
      <c r="MPT56" s="370"/>
      <c r="MPU56" s="370"/>
      <c r="MPV56" s="370"/>
      <c r="MPW56" s="370"/>
      <c r="MPX56" s="370"/>
      <c r="MPY56" s="370"/>
      <c r="MPZ56" s="370"/>
      <c r="MQA56" s="370"/>
      <c r="MQB56" s="370"/>
      <c r="MQC56" s="370"/>
      <c r="MQD56" s="370"/>
      <c r="MQE56" s="370"/>
      <c r="MQF56" s="370"/>
      <c r="MQG56" s="370"/>
      <c r="MQH56" s="370"/>
      <c r="MQI56" s="370"/>
      <c r="MQJ56" s="370"/>
      <c r="MQK56" s="370"/>
      <c r="MQL56" s="370"/>
      <c r="MQM56" s="370"/>
      <c r="MQN56" s="370"/>
      <c r="MQO56" s="370"/>
      <c r="MQP56" s="370"/>
      <c r="MQQ56" s="370"/>
      <c r="MQR56" s="370"/>
      <c r="MQS56" s="370"/>
      <c r="MQT56" s="370"/>
      <c r="MQU56" s="370"/>
      <c r="MQV56" s="370"/>
      <c r="MQW56" s="370"/>
      <c r="MQX56" s="370"/>
      <c r="MQY56" s="370"/>
      <c r="MQZ56" s="370"/>
      <c r="MRA56" s="370"/>
      <c r="MRB56" s="370"/>
      <c r="MRC56" s="370"/>
      <c r="MRD56" s="370"/>
      <c r="MRE56" s="370"/>
      <c r="MRF56" s="370"/>
      <c r="MRG56" s="370"/>
      <c r="MRH56" s="370"/>
      <c r="MRI56" s="370"/>
      <c r="MRJ56" s="370"/>
      <c r="MRK56" s="370"/>
      <c r="MRL56" s="370"/>
      <c r="MRM56" s="370"/>
      <c r="MRN56" s="370"/>
      <c r="MRO56" s="370"/>
      <c r="MRP56" s="370"/>
      <c r="MRQ56" s="370"/>
      <c r="MRR56" s="370"/>
      <c r="MRS56" s="370"/>
      <c r="MRT56" s="370"/>
      <c r="MRU56" s="370"/>
      <c r="MRV56" s="370"/>
      <c r="MRW56" s="370"/>
      <c r="MRX56" s="370"/>
      <c r="MRY56" s="370"/>
      <c r="MRZ56" s="370"/>
      <c r="MSA56" s="370"/>
      <c r="MSB56" s="370"/>
      <c r="MSC56" s="370"/>
      <c r="MSD56" s="370"/>
      <c r="MSE56" s="370"/>
      <c r="MSF56" s="370"/>
      <c r="MSG56" s="370"/>
      <c r="MSH56" s="370"/>
      <c r="MSI56" s="370"/>
      <c r="MSJ56" s="370"/>
      <c r="MSK56" s="370"/>
      <c r="MSL56" s="370"/>
      <c r="MSM56" s="370"/>
      <c r="MSN56" s="370"/>
      <c r="MSO56" s="370"/>
      <c r="MSP56" s="370"/>
      <c r="MSQ56" s="370"/>
      <c r="MSR56" s="370"/>
      <c r="MSS56" s="370"/>
      <c r="MST56" s="370"/>
      <c r="MSU56" s="370"/>
      <c r="MSV56" s="370"/>
      <c r="MSW56" s="370"/>
      <c r="MSX56" s="370"/>
      <c r="MSY56" s="370"/>
      <c r="MSZ56" s="370"/>
      <c r="MTA56" s="370"/>
      <c r="MTB56" s="370"/>
      <c r="MTC56" s="370"/>
      <c r="MTD56" s="370"/>
      <c r="MTE56" s="370"/>
      <c r="MTF56" s="370"/>
      <c r="MTG56" s="370"/>
      <c r="MTH56" s="370"/>
      <c r="MTI56" s="370"/>
      <c r="MTJ56" s="370"/>
      <c r="MTK56" s="370"/>
      <c r="MTL56" s="370"/>
      <c r="MTM56" s="370"/>
      <c r="MTN56" s="370"/>
      <c r="MTO56" s="370"/>
      <c r="MTP56" s="370"/>
      <c r="MTQ56" s="370"/>
      <c r="MTR56" s="370"/>
      <c r="MTS56" s="370"/>
      <c r="MTT56" s="370"/>
      <c r="MTU56" s="370"/>
      <c r="MTV56" s="370"/>
      <c r="MTW56" s="370"/>
      <c r="MTX56" s="370"/>
      <c r="MTY56" s="370"/>
      <c r="MTZ56" s="370"/>
      <c r="MUA56" s="370"/>
      <c r="MUB56" s="370"/>
      <c r="MUC56" s="370"/>
      <c r="MUD56" s="370"/>
      <c r="MUE56" s="370"/>
      <c r="MUF56" s="370"/>
      <c r="MUG56" s="370"/>
      <c r="MUH56" s="370"/>
      <c r="MUI56" s="370"/>
      <c r="MUJ56" s="370"/>
      <c r="MUK56" s="370"/>
      <c r="MUL56" s="370"/>
      <c r="MUM56" s="370"/>
      <c r="MUN56" s="370"/>
      <c r="MUO56" s="370"/>
      <c r="MUP56" s="370"/>
      <c r="MUQ56" s="370"/>
      <c r="MUR56" s="370"/>
      <c r="MUS56" s="370"/>
      <c r="MUT56" s="370"/>
      <c r="MUU56" s="370"/>
      <c r="MUV56" s="370"/>
      <c r="MUW56" s="370"/>
      <c r="MUX56" s="370"/>
      <c r="MUY56" s="370"/>
      <c r="MUZ56" s="370"/>
      <c r="MVA56" s="370"/>
      <c r="MVB56" s="370"/>
      <c r="MVC56" s="370"/>
      <c r="MVD56" s="370"/>
      <c r="MVE56" s="370"/>
      <c r="MVF56" s="370"/>
      <c r="MVG56" s="370"/>
      <c r="MVH56" s="370"/>
      <c r="MVI56" s="370"/>
      <c r="MVJ56" s="370"/>
      <c r="MVK56" s="370"/>
      <c r="MVL56" s="370"/>
      <c r="MVM56" s="370"/>
      <c r="MVN56" s="370"/>
      <c r="MVO56" s="370"/>
      <c r="MVP56" s="370"/>
      <c r="MVQ56" s="370"/>
      <c r="MVR56" s="370"/>
      <c r="MVS56" s="370"/>
      <c r="MVT56" s="370"/>
      <c r="MVU56" s="370"/>
      <c r="MVV56" s="370"/>
      <c r="MVW56" s="370"/>
      <c r="MVX56" s="370"/>
      <c r="MVY56" s="370"/>
      <c r="MVZ56" s="370"/>
      <c r="MWA56" s="370"/>
      <c r="MWB56" s="370"/>
      <c r="MWC56" s="370"/>
      <c r="MWD56" s="370"/>
      <c r="MWE56" s="370"/>
      <c r="MWF56" s="370"/>
      <c r="MWG56" s="370"/>
      <c r="MWH56" s="370"/>
      <c r="MWI56" s="370"/>
      <c r="MWJ56" s="370"/>
      <c r="MWK56" s="370"/>
      <c r="MWL56" s="370"/>
      <c r="MWM56" s="370"/>
      <c r="MWN56" s="370"/>
      <c r="MWO56" s="370"/>
      <c r="MWP56" s="370"/>
      <c r="MWQ56" s="370"/>
      <c r="MWR56" s="370"/>
      <c r="MWS56" s="370"/>
      <c r="MWT56" s="370"/>
      <c r="MWU56" s="370"/>
      <c r="MWV56" s="370"/>
      <c r="MWW56" s="370"/>
      <c r="MWX56" s="370"/>
      <c r="MWY56" s="370"/>
      <c r="MWZ56" s="370"/>
      <c r="MXA56" s="370"/>
      <c r="MXB56" s="370"/>
      <c r="MXC56" s="370"/>
      <c r="MXD56" s="370"/>
      <c r="MXE56" s="370"/>
      <c r="MXF56" s="370"/>
      <c r="MXG56" s="370"/>
      <c r="MXH56" s="370"/>
      <c r="MXI56" s="370"/>
      <c r="MXJ56" s="370"/>
      <c r="MXK56" s="370"/>
      <c r="MXL56" s="370"/>
      <c r="MXM56" s="370"/>
      <c r="MXN56" s="370"/>
      <c r="MXO56" s="370"/>
      <c r="MXP56" s="370"/>
      <c r="MXQ56" s="370"/>
      <c r="MXR56" s="370"/>
      <c r="MXS56" s="370"/>
      <c r="MXT56" s="370"/>
      <c r="MXU56" s="370"/>
      <c r="MXV56" s="370"/>
      <c r="MXW56" s="370"/>
      <c r="MXX56" s="370"/>
      <c r="MXY56" s="370"/>
      <c r="MXZ56" s="370"/>
      <c r="MYA56" s="370"/>
      <c r="MYB56" s="370"/>
      <c r="MYC56" s="370"/>
      <c r="MYD56" s="370"/>
      <c r="MYE56" s="370"/>
      <c r="MYF56" s="370"/>
      <c r="MYG56" s="370"/>
      <c r="MYH56" s="370"/>
      <c r="MYI56" s="370"/>
      <c r="MYJ56" s="370"/>
      <c r="MYK56" s="370"/>
      <c r="MYL56" s="370"/>
      <c r="MYM56" s="370"/>
      <c r="MYN56" s="370"/>
      <c r="MYO56" s="370"/>
      <c r="MYP56" s="370"/>
      <c r="MYQ56" s="370"/>
      <c r="MYR56" s="370"/>
      <c r="MYS56" s="370"/>
      <c r="MYT56" s="370"/>
      <c r="MYU56" s="370"/>
      <c r="MYV56" s="370"/>
      <c r="MYW56" s="370"/>
      <c r="MYX56" s="370"/>
      <c r="MYY56" s="370"/>
      <c r="MYZ56" s="370"/>
      <c r="MZA56" s="370"/>
      <c r="MZB56" s="370"/>
      <c r="MZC56" s="370"/>
      <c r="MZD56" s="370"/>
      <c r="MZE56" s="370"/>
      <c r="MZF56" s="370"/>
      <c r="MZG56" s="370"/>
      <c r="MZH56" s="370"/>
      <c r="MZI56" s="370"/>
      <c r="MZJ56" s="370"/>
      <c r="MZK56" s="370"/>
      <c r="MZL56" s="370"/>
      <c r="MZM56" s="370"/>
      <c r="MZN56" s="370"/>
      <c r="MZO56" s="370"/>
      <c r="MZP56" s="370"/>
      <c r="MZQ56" s="370"/>
      <c r="MZR56" s="370"/>
      <c r="MZS56" s="370"/>
      <c r="MZT56" s="370"/>
      <c r="MZU56" s="370"/>
      <c r="MZV56" s="370"/>
      <c r="MZW56" s="370"/>
      <c r="MZX56" s="370"/>
      <c r="MZY56" s="370"/>
      <c r="MZZ56" s="370"/>
      <c r="NAA56" s="370"/>
      <c r="NAB56" s="370"/>
      <c r="NAC56" s="370"/>
      <c r="NAD56" s="370"/>
      <c r="NAE56" s="370"/>
      <c r="NAF56" s="370"/>
      <c r="NAG56" s="370"/>
      <c r="NAH56" s="370"/>
      <c r="NAI56" s="370"/>
      <c r="NAJ56" s="370"/>
      <c r="NAK56" s="370"/>
      <c r="NAL56" s="370"/>
      <c r="NAM56" s="370"/>
      <c r="NAN56" s="370"/>
      <c r="NAO56" s="370"/>
      <c r="NAP56" s="370"/>
      <c r="NAQ56" s="370"/>
      <c r="NAR56" s="370"/>
      <c r="NAS56" s="370"/>
      <c r="NAT56" s="370"/>
      <c r="NAU56" s="370"/>
      <c r="NAV56" s="370"/>
      <c r="NAW56" s="370"/>
      <c r="NAX56" s="370"/>
      <c r="NAY56" s="370"/>
      <c r="NAZ56" s="370"/>
      <c r="NBA56" s="370"/>
      <c r="NBB56" s="370"/>
      <c r="NBC56" s="370"/>
      <c r="NBD56" s="370"/>
      <c r="NBE56" s="370"/>
      <c r="NBF56" s="370"/>
      <c r="NBG56" s="370"/>
      <c r="NBH56" s="370"/>
      <c r="NBI56" s="370"/>
      <c r="NBJ56" s="370"/>
      <c r="NBK56" s="370"/>
      <c r="NBL56" s="370"/>
      <c r="NBM56" s="370"/>
      <c r="NBN56" s="370"/>
      <c r="NBO56" s="370"/>
      <c r="NBP56" s="370"/>
      <c r="NBQ56" s="370"/>
      <c r="NBR56" s="370"/>
      <c r="NBS56" s="370"/>
      <c r="NBT56" s="370"/>
      <c r="NBU56" s="370"/>
      <c r="NBV56" s="370"/>
      <c r="NBW56" s="370"/>
      <c r="NBX56" s="370"/>
      <c r="NBY56" s="370"/>
      <c r="NBZ56" s="370"/>
      <c r="NCA56" s="370"/>
      <c r="NCB56" s="370"/>
      <c r="NCC56" s="370"/>
      <c r="NCD56" s="370"/>
      <c r="NCE56" s="370"/>
      <c r="NCF56" s="370"/>
      <c r="NCG56" s="370"/>
      <c r="NCH56" s="370"/>
      <c r="NCI56" s="370"/>
      <c r="NCJ56" s="370"/>
      <c r="NCK56" s="370"/>
      <c r="NCL56" s="370"/>
      <c r="NCM56" s="370"/>
      <c r="NCN56" s="370"/>
      <c r="NCO56" s="370"/>
      <c r="NCP56" s="370"/>
      <c r="NCQ56" s="370"/>
      <c r="NCR56" s="370"/>
      <c r="NCS56" s="370"/>
      <c r="NCT56" s="370"/>
      <c r="NCU56" s="370"/>
      <c r="NCV56" s="370"/>
      <c r="NCW56" s="370"/>
      <c r="NCX56" s="370"/>
      <c r="NCY56" s="370"/>
      <c r="NCZ56" s="370"/>
      <c r="NDA56" s="370"/>
      <c r="NDB56" s="370"/>
      <c r="NDC56" s="370"/>
      <c r="NDD56" s="370"/>
      <c r="NDE56" s="370"/>
      <c r="NDF56" s="370"/>
      <c r="NDG56" s="370"/>
      <c r="NDH56" s="370"/>
      <c r="NDI56" s="370"/>
      <c r="NDJ56" s="370"/>
      <c r="NDK56" s="370"/>
      <c r="NDL56" s="370"/>
      <c r="NDM56" s="370"/>
      <c r="NDN56" s="370"/>
      <c r="NDO56" s="370"/>
      <c r="NDP56" s="370"/>
      <c r="NDQ56" s="370"/>
      <c r="NDR56" s="370"/>
      <c r="NDS56" s="370"/>
      <c r="NDT56" s="370"/>
      <c r="NDU56" s="370"/>
      <c r="NDV56" s="370"/>
      <c r="NDW56" s="370"/>
      <c r="NDX56" s="370"/>
      <c r="NDY56" s="370"/>
      <c r="NDZ56" s="370"/>
      <c r="NEA56" s="370"/>
      <c r="NEB56" s="370"/>
      <c r="NEC56" s="370"/>
      <c r="NED56" s="370"/>
      <c r="NEE56" s="370"/>
      <c r="NEF56" s="370"/>
      <c r="NEG56" s="370"/>
      <c r="NEH56" s="370"/>
      <c r="NEI56" s="370"/>
      <c r="NEJ56" s="370"/>
      <c r="NEK56" s="370"/>
      <c r="NEL56" s="370"/>
      <c r="NEM56" s="370"/>
      <c r="NEN56" s="370"/>
      <c r="NEO56" s="370"/>
      <c r="NEP56" s="370"/>
      <c r="NEQ56" s="370"/>
      <c r="NER56" s="370"/>
      <c r="NES56" s="370"/>
      <c r="NET56" s="370"/>
      <c r="NEU56" s="370"/>
      <c r="NEV56" s="370"/>
      <c r="NEW56" s="370"/>
      <c r="NEX56" s="370"/>
      <c r="NEY56" s="370"/>
      <c r="NEZ56" s="370"/>
      <c r="NFA56" s="370"/>
      <c r="NFB56" s="370"/>
      <c r="NFC56" s="370"/>
      <c r="NFD56" s="370"/>
      <c r="NFE56" s="370"/>
      <c r="NFF56" s="370"/>
      <c r="NFG56" s="370"/>
      <c r="NFH56" s="370"/>
      <c r="NFI56" s="370"/>
      <c r="NFJ56" s="370"/>
      <c r="NFK56" s="370"/>
      <c r="NFL56" s="370"/>
      <c r="NFM56" s="370"/>
      <c r="NFN56" s="370"/>
      <c r="NFO56" s="370"/>
      <c r="NFP56" s="370"/>
      <c r="NFQ56" s="370"/>
      <c r="NFR56" s="370"/>
      <c r="NFS56" s="370"/>
      <c r="NFT56" s="370"/>
      <c r="NFU56" s="370"/>
      <c r="NFV56" s="370"/>
      <c r="NFW56" s="370"/>
      <c r="NFX56" s="370"/>
      <c r="NFY56" s="370"/>
      <c r="NFZ56" s="370"/>
      <c r="NGA56" s="370"/>
      <c r="NGB56" s="370"/>
      <c r="NGC56" s="370"/>
      <c r="NGD56" s="370"/>
      <c r="NGE56" s="370"/>
      <c r="NGF56" s="370"/>
      <c r="NGG56" s="370"/>
      <c r="NGH56" s="370"/>
      <c r="NGI56" s="370"/>
      <c r="NGJ56" s="370"/>
      <c r="NGK56" s="370"/>
      <c r="NGL56" s="370"/>
      <c r="NGM56" s="370"/>
      <c r="NGN56" s="370"/>
      <c r="NGO56" s="370"/>
      <c r="NGP56" s="370"/>
      <c r="NGQ56" s="370"/>
      <c r="NGR56" s="370"/>
      <c r="NGS56" s="370"/>
      <c r="NGT56" s="370"/>
      <c r="NGU56" s="370"/>
      <c r="NGV56" s="370"/>
      <c r="NGW56" s="370"/>
      <c r="NGX56" s="370"/>
      <c r="NGY56" s="370"/>
      <c r="NGZ56" s="370"/>
      <c r="NHA56" s="370"/>
      <c r="NHB56" s="370"/>
      <c r="NHC56" s="370"/>
      <c r="NHD56" s="370"/>
      <c r="NHE56" s="370"/>
      <c r="NHF56" s="370"/>
      <c r="NHG56" s="370"/>
      <c r="NHH56" s="370"/>
      <c r="NHI56" s="370"/>
      <c r="NHJ56" s="370"/>
      <c r="NHK56" s="370"/>
      <c r="NHL56" s="370"/>
      <c r="NHM56" s="370"/>
      <c r="NHN56" s="370"/>
      <c r="NHO56" s="370"/>
      <c r="NHP56" s="370"/>
      <c r="NHQ56" s="370"/>
      <c r="NHR56" s="370"/>
      <c r="NHS56" s="370"/>
      <c r="NHT56" s="370"/>
      <c r="NHU56" s="370"/>
      <c r="NHV56" s="370"/>
      <c r="NHW56" s="370"/>
      <c r="NHX56" s="370"/>
      <c r="NHY56" s="370"/>
      <c r="NHZ56" s="370"/>
      <c r="NIA56" s="370"/>
      <c r="NIB56" s="370"/>
      <c r="NIC56" s="370"/>
      <c r="NID56" s="370"/>
      <c r="NIE56" s="370"/>
      <c r="NIF56" s="370"/>
      <c r="NIG56" s="370"/>
      <c r="NIH56" s="370"/>
      <c r="NII56" s="370"/>
      <c r="NIJ56" s="370"/>
      <c r="NIK56" s="370"/>
      <c r="NIL56" s="370"/>
      <c r="NIM56" s="370"/>
      <c r="NIN56" s="370"/>
      <c r="NIO56" s="370"/>
      <c r="NIP56" s="370"/>
      <c r="NIQ56" s="370"/>
      <c r="NIR56" s="370"/>
      <c r="NIS56" s="370"/>
      <c r="NIT56" s="370"/>
      <c r="NIU56" s="370"/>
      <c r="NIV56" s="370"/>
      <c r="NIW56" s="370"/>
      <c r="NIX56" s="370"/>
      <c r="NIY56" s="370"/>
      <c r="NIZ56" s="370"/>
      <c r="NJA56" s="370"/>
      <c r="NJB56" s="370"/>
      <c r="NJC56" s="370"/>
      <c r="NJD56" s="370"/>
      <c r="NJE56" s="370"/>
      <c r="NJF56" s="370"/>
      <c r="NJG56" s="370"/>
      <c r="NJH56" s="370"/>
      <c r="NJI56" s="370"/>
      <c r="NJJ56" s="370"/>
      <c r="NJK56" s="370"/>
      <c r="NJL56" s="370"/>
      <c r="NJM56" s="370"/>
      <c r="NJN56" s="370"/>
      <c r="NJO56" s="370"/>
      <c r="NJP56" s="370"/>
      <c r="NJQ56" s="370"/>
      <c r="NJR56" s="370"/>
      <c r="NJS56" s="370"/>
      <c r="NJT56" s="370"/>
      <c r="NJU56" s="370"/>
      <c r="NJV56" s="370"/>
      <c r="NJW56" s="370"/>
      <c r="NJX56" s="370"/>
      <c r="NJY56" s="370"/>
      <c r="NJZ56" s="370"/>
      <c r="NKA56" s="370"/>
      <c r="NKB56" s="370"/>
      <c r="NKC56" s="370"/>
      <c r="NKD56" s="370"/>
      <c r="NKE56" s="370"/>
      <c r="NKF56" s="370"/>
      <c r="NKG56" s="370"/>
      <c r="NKH56" s="370"/>
      <c r="NKI56" s="370"/>
      <c r="NKJ56" s="370"/>
      <c r="NKK56" s="370"/>
      <c r="NKL56" s="370"/>
      <c r="NKM56" s="370"/>
      <c r="NKN56" s="370"/>
      <c r="NKO56" s="370"/>
      <c r="NKP56" s="370"/>
      <c r="NKQ56" s="370"/>
      <c r="NKR56" s="370"/>
      <c r="NKS56" s="370"/>
      <c r="NKT56" s="370"/>
      <c r="NKU56" s="370"/>
      <c r="NKV56" s="370"/>
      <c r="NKW56" s="370"/>
      <c r="NKX56" s="370"/>
      <c r="NKY56" s="370"/>
      <c r="NKZ56" s="370"/>
      <c r="NLA56" s="370"/>
      <c r="NLB56" s="370"/>
      <c r="NLC56" s="370"/>
      <c r="NLD56" s="370"/>
      <c r="NLE56" s="370"/>
      <c r="NLF56" s="370"/>
      <c r="NLG56" s="370"/>
      <c r="NLH56" s="370"/>
      <c r="NLI56" s="370"/>
      <c r="NLJ56" s="370"/>
      <c r="NLK56" s="370"/>
      <c r="NLL56" s="370"/>
      <c r="NLM56" s="370"/>
      <c r="NLN56" s="370"/>
      <c r="NLO56" s="370"/>
      <c r="NLP56" s="370"/>
      <c r="NLQ56" s="370"/>
      <c r="NLR56" s="370"/>
      <c r="NLS56" s="370"/>
      <c r="NLT56" s="370"/>
      <c r="NLU56" s="370"/>
      <c r="NLV56" s="370"/>
      <c r="NLW56" s="370"/>
      <c r="NLX56" s="370"/>
      <c r="NLY56" s="370"/>
      <c r="NLZ56" s="370"/>
      <c r="NMA56" s="370"/>
      <c r="NMB56" s="370"/>
      <c r="NMC56" s="370"/>
      <c r="NMD56" s="370"/>
      <c r="NME56" s="370"/>
      <c r="NMF56" s="370"/>
      <c r="NMG56" s="370"/>
      <c r="NMH56" s="370"/>
      <c r="NMI56" s="370"/>
      <c r="NMJ56" s="370"/>
      <c r="NMK56" s="370"/>
      <c r="NML56" s="370"/>
      <c r="NMM56" s="370"/>
      <c r="NMN56" s="370"/>
      <c r="NMO56" s="370"/>
      <c r="NMP56" s="370"/>
      <c r="NMQ56" s="370"/>
      <c r="NMR56" s="370"/>
      <c r="NMS56" s="370"/>
      <c r="NMT56" s="370"/>
      <c r="NMU56" s="370"/>
      <c r="NMV56" s="370"/>
      <c r="NMW56" s="370"/>
      <c r="NMX56" s="370"/>
      <c r="NMY56" s="370"/>
      <c r="NMZ56" s="370"/>
      <c r="NNA56" s="370"/>
      <c r="NNB56" s="370"/>
      <c r="NNC56" s="370"/>
      <c r="NND56" s="370"/>
      <c r="NNE56" s="370"/>
      <c r="NNF56" s="370"/>
      <c r="NNG56" s="370"/>
      <c r="NNH56" s="370"/>
      <c r="NNI56" s="370"/>
      <c r="NNJ56" s="370"/>
      <c r="NNK56" s="370"/>
      <c r="NNL56" s="370"/>
      <c r="NNM56" s="370"/>
      <c r="NNN56" s="370"/>
      <c r="NNO56" s="370"/>
      <c r="NNP56" s="370"/>
      <c r="NNQ56" s="370"/>
      <c r="NNR56" s="370"/>
      <c r="NNS56" s="370"/>
      <c r="NNT56" s="370"/>
      <c r="NNU56" s="370"/>
      <c r="NNV56" s="370"/>
      <c r="NNW56" s="370"/>
      <c r="NNX56" s="370"/>
      <c r="NNY56" s="370"/>
      <c r="NNZ56" s="370"/>
      <c r="NOA56" s="370"/>
      <c r="NOB56" s="370"/>
      <c r="NOC56" s="370"/>
      <c r="NOD56" s="370"/>
      <c r="NOE56" s="370"/>
      <c r="NOF56" s="370"/>
      <c r="NOG56" s="370"/>
      <c r="NOH56" s="370"/>
      <c r="NOI56" s="370"/>
      <c r="NOJ56" s="370"/>
      <c r="NOK56" s="370"/>
      <c r="NOL56" s="370"/>
      <c r="NOM56" s="370"/>
      <c r="NON56" s="370"/>
      <c r="NOO56" s="370"/>
      <c r="NOP56" s="370"/>
      <c r="NOQ56" s="370"/>
      <c r="NOR56" s="370"/>
      <c r="NOS56" s="370"/>
      <c r="NOT56" s="370"/>
      <c r="NOU56" s="370"/>
      <c r="NOV56" s="370"/>
      <c r="NOW56" s="370"/>
      <c r="NOX56" s="370"/>
      <c r="NOY56" s="370"/>
      <c r="NOZ56" s="370"/>
      <c r="NPA56" s="370"/>
      <c r="NPB56" s="370"/>
      <c r="NPC56" s="370"/>
      <c r="NPD56" s="370"/>
      <c r="NPE56" s="370"/>
      <c r="NPF56" s="370"/>
      <c r="NPG56" s="370"/>
      <c r="NPH56" s="370"/>
      <c r="NPI56" s="370"/>
      <c r="NPJ56" s="370"/>
      <c r="NPK56" s="370"/>
      <c r="NPL56" s="370"/>
      <c r="NPM56" s="370"/>
      <c r="NPN56" s="370"/>
      <c r="NPO56" s="370"/>
      <c r="NPP56" s="370"/>
      <c r="NPQ56" s="370"/>
      <c r="NPR56" s="370"/>
      <c r="NPS56" s="370"/>
      <c r="NPT56" s="370"/>
      <c r="NPU56" s="370"/>
      <c r="NPV56" s="370"/>
      <c r="NPW56" s="370"/>
      <c r="NPX56" s="370"/>
      <c r="NPY56" s="370"/>
      <c r="NPZ56" s="370"/>
      <c r="NQA56" s="370"/>
      <c r="NQB56" s="370"/>
      <c r="NQC56" s="370"/>
      <c r="NQD56" s="370"/>
      <c r="NQE56" s="370"/>
      <c r="NQF56" s="370"/>
      <c r="NQG56" s="370"/>
      <c r="NQH56" s="370"/>
      <c r="NQI56" s="370"/>
      <c r="NQJ56" s="370"/>
      <c r="NQK56" s="370"/>
      <c r="NQL56" s="370"/>
      <c r="NQM56" s="370"/>
      <c r="NQN56" s="370"/>
      <c r="NQO56" s="370"/>
      <c r="NQP56" s="370"/>
      <c r="NQQ56" s="370"/>
      <c r="NQR56" s="370"/>
      <c r="NQS56" s="370"/>
      <c r="NQT56" s="370"/>
      <c r="NQU56" s="370"/>
      <c r="NQV56" s="370"/>
      <c r="NQW56" s="370"/>
      <c r="NQX56" s="370"/>
      <c r="NQY56" s="370"/>
      <c r="NQZ56" s="370"/>
      <c r="NRA56" s="370"/>
      <c r="NRB56" s="370"/>
      <c r="NRC56" s="370"/>
      <c r="NRD56" s="370"/>
      <c r="NRE56" s="370"/>
      <c r="NRF56" s="370"/>
      <c r="NRG56" s="370"/>
      <c r="NRH56" s="370"/>
      <c r="NRI56" s="370"/>
      <c r="NRJ56" s="370"/>
      <c r="NRK56" s="370"/>
      <c r="NRL56" s="370"/>
      <c r="NRM56" s="370"/>
      <c r="NRN56" s="370"/>
      <c r="NRO56" s="370"/>
      <c r="NRP56" s="370"/>
      <c r="NRQ56" s="370"/>
      <c r="NRR56" s="370"/>
      <c r="NRS56" s="370"/>
      <c r="NRT56" s="370"/>
      <c r="NRU56" s="370"/>
      <c r="NRV56" s="370"/>
      <c r="NRW56" s="370"/>
      <c r="NRX56" s="370"/>
      <c r="NRY56" s="370"/>
      <c r="NRZ56" s="370"/>
      <c r="NSA56" s="370"/>
      <c r="NSB56" s="370"/>
      <c r="NSC56" s="370"/>
      <c r="NSD56" s="370"/>
      <c r="NSE56" s="370"/>
      <c r="NSF56" s="370"/>
      <c r="NSG56" s="370"/>
      <c r="NSH56" s="370"/>
      <c r="NSI56" s="370"/>
      <c r="NSJ56" s="370"/>
      <c r="NSK56" s="370"/>
      <c r="NSL56" s="370"/>
      <c r="NSM56" s="370"/>
      <c r="NSN56" s="370"/>
      <c r="NSO56" s="370"/>
      <c r="NSP56" s="370"/>
      <c r="NSQ56" s="370"/>
      <c r="NSR56" s="370"/>
      <c r="NSS56" s="370"/>
      <c r="NST56" s="370"/>
      <c r="NSU56" s="370"/>
      <c r="NSV56" s="370"/>
      <c r="NSW56" s="370"/>
      <c r="NSX56" s="370"/>
      <c r="NSY56" s="370"/>
      <c r="NSZ56" s="370"/>
      <c r="NTA56" s="370"/>
      <c r="NTB56" s="370"/>
      <c r="NTC56" s="370"/>
      <c r="NTD56" s="370"/>
      <c r="NTE56" s="370"/>
      <c r="NTF56" s="370"/>
      <c r="NTG56" s="370"/>
      <c r="NTH56" s="370"/>
      <c r="NTI56" s="370"/>
      <c r="NTJ56" s="370"/>
      <c r="NTK56" s="370"/>
      <c r="NTL56" s="370"/>
      <c r="NTM56" s="370"/>
      <c r="NTN56" s="370"/>
      <c r="NTO56" s="370"/>
      <c r="NTP56" s="370"/>
      <c r="NTQ56" s="370"/>
      <c r="NTR56" s="370"/>
      <c r="NTS56" s="370"/>
      <c r="NTT56" s="370"/>
      <c r="NTU56" s="370"/>
      <c r="NTV56" s="370"/>
      <c r="NTW56" s="370"/>
      <c r="NTX56" s="370"/>
      <c r="NTY56" s="370"/>
      <c r="NTZ56" s="370"/>
      <c r="NUA56" s="370"/>
      <c r="NUB56" s="370"/>
      <c r="NUC56" s="370"/>
      <c r="NUD56" s="370"/>
      <c r="NUE56" s="370"/>
      <c r="NUF56" s="370"/>
      <c r="NUG56" s="370"/>
      <c r="NUH56" s="370"/>
      <c r="NUI56" s="370"/>
      <c r="NUJ56" s="370"/>
      <c r="NUK56" s="370"/>
      <c r="NUL56" s="370"/>
      <c r="NUM56" s="370"/>
      <c r="NUN56" s="370"/>
      <c r="NUO56" s="370"/>
      <c r="NUP56" s="370"/>
      <c r="NUQ56" s="370"/>
      <c r="NUR56" s="370"/>
      <c r="NUS56" s="370"/>
      <c r="NUT56" s="370"/>
      <c r="NUU56" s="370"/>
      <c r="NUV56" s="370"/>
      <c r="NUW56" s="370"/>
      <c r="NUX56" s="370"/>
      <c r="NUY56" s="370"/>
      <c r="NUZ56" s="370"/>
      <c r="NVA56" s="370"/>
      <c r="NVB56" s="370"/>
      <c r="NVC56" s="370"/>
      <c r="NVD56" s="370"/>
      <c r="NVE56" s="370"/>
      <c r="NVF56" s="370"/>
      <c r="NVG56" s="370"/>
      <c r="NVH56" s="370"/>
      <c r="NVI56" s="370"/>
      <c r="NVJ56" s="370"/>
      <c r="NVK56" s="370"/>
      <c r="NVL56" s="370"/>
      <c r="NVM56" s="370"/>
      <c r="NVN56" s="370"/>
      <c r="NVO56" s="370"/>
      <c r="NVP56" s="370"/>
      <c r="NVQ56" s="370"/>
      <c r="NVR56" s="370"/>
      <c r="NVS56" s="370"/>
      <c r="NVT56" s="370"/>
      <c r="NVU56" s="370"/>
      <c r="NVV56" s="370"/>
      <c r="NVW56" s="370"/>
      <c r="NVX56" s="370"/>
      <c r="NVY56" s="370"/>
      <c r="NVZ56" s="370"/>
      <c r="NWA56" s="370"/>
      <c r="NWB56" s="370"/>
      <c r="NWC56" s="370"/>
      <c r="NWD56" s="370"/>
      <c r="NWE56" s="370"/>
      <c r="NWF56" s="370"/>
      <c r="NWG56" s="370"/>
      <c r="NWH56" s="370"/>
      <c r="NWI56" s="370"/>
      <c r="NWJ56" s="370"/>
      <c r="NWK56" s="370"/>
      <c r="NWL56" s="370"/>
      <c r="NWM56" s="370"/>
      <c r="NWN56" s="370"/>
      <c r="NWO56" s="370"/>
      <c r="NWP56" s="370"/>
      <c r="NWQ56" s="370"/>
      <c r="NWR56" s="370"/>
      <c r="NWS56" s="370"/>
      <c r="NWT56" s="370"/>
      <c r="NWU56" s="370"/>
      <c r="NWV56" s="370"/>
      <c r="NWW56" s="370"/>
      <c r="NWX56" s="370"/>
      <c r="NWY56" s="370"/>
      <c r="NWZ56" s="370"/>
      <c r="NXA56" s="370"/>
      <c r="NXB56" s="370"/>
      <c r="NXC56" s="370"/>
      <c r="NXD56" s="370"/>
      <c r="NXE56" s="370"/>
      <c r="NXF56" s="370"/>
      <c r="NXG56" s="370"/>
      <c r="NXH56" s="370"/>
      <c r="NXI56" s="370"/>
      <c r="NXJ56" s="370"/>
      <c r="NXK56" s="370"/>
      <c r="NXL56" s="370"/>
      <c r="NXM56" s="370"/>
      <c r="NXN56" s="370"/>
      <c r="NXO56" s="370"/>
      <c r="NXP56" s="370"/>
      <c r="NXQ56" s="370"/>
      <c r="NXR56" s="370"/>
      <c r="NXS56" s="370"/>
      <c r="NXT56" s="370"/>
      <c r="NXU56" s="370"/>
      <c r="NXV56" s="370"/>
      <c r="NXW56" s="370"/>
      <c r="NXX56" s="370"/>
      <c r="NXY56" s="370"/>
      <c r="NXZ56" s="370"/>
      <c r="NYA56" s="370"/>
      <c r="NYB56" s="370"/>
      <c r="NYC56" s="370"/>
      <c r="NYD56" s="370"/>
      <c r="NYE56" s="370"/>
      <c r="NYF56" s="370"/>
      <c r="NYG56" s="370"/>
      <c r="NYH56" s="370"/>
      <c r="NYI56" s="370"/>
      <c r="NYJ56" s="370"/>
      <c r="NYK56" s="370"/>
      <c r="NYL56" s="370"/>
      <c r="NYM56" s="370"/>
      <c r="NYN56" s="370"/>
      <c r="NYO56" s="370"/>
      <c r="NYP56" s="370"/>
      <c r="NYQ56" s="370"/>
      <c r="NYR56" s="370"/>
      <c r="NYS56" s="370"/>
      <c r="NYT56" s="370"/>
      <c r="NYU56" s="370"/>
      <c r="NYV56" s="370"/>
      <c r="NYW56" s="370"/>
      <c r="NYX56" s="370"/>
      <c r="NYY56" s="370"/>
      <c r="NYZ56" s="370"/>
      <c r="NZA56" s="370"/>
      <c r="NZB56" s="370"/>
      <c r="NZC56" s="370"/>
      <c r="NZD56" s="370"/>
      <c r="NZE56" s="370"/>
      <c r="NZF56" s="370"/>
      <c r="NZG56" s="370"/>
      <c r="NZH56" s="370"/>
      <c r="NZI56" s="370"/>
      <c r="NZJ56" s="370"/>
      <c r="NZK56" s="370"/>
      <c r="NZL56" s="370"/>
      <c r="NZM56" s="370"/>
      <c r="NZN56" s="370"/>
      <c r="NZO56" s="370"/>
      <c r="NZP56" s="370"/>
      <c r="NZQ56" s="370"/>
      <c r="NZR56" s="370"/>
      <c r="NZS56" s="370"/>
      <c r="NZT56" s="370"/>
      <c r="NZU56" s="370"/>
      <c r="NZV56" s="370"/>
      <c r="NZW56" s="370"/>
      <c r="NZX56" s="370"/>
      <c r="NZY56" s="370"/>
      <c r="NZZ56" s="370"/>
      <c r="OAA56" s="370"/>
      <c r="OAB56" s="370"/>
      <c r="OAC56" s="370"/>
      <c r="OAD56" s="370"/>
      <c r="OAE56" s="370"/>
      <c r="OAF56" s="370"/>
      <c r="OAG56" s="370"/>
      <c r="OAH56" s="370"/>
      <c r="OAI56" s="370"/>
      <c r="OAJ56" s="370"/>
      <c r="OAK56" s="370"/>
      <c r="OAL56" s="370"/>
      <c r="OAM56" s="370"/>
      <c r="OAN56" s="370"/>
      <c r="OAO56" s="370"/>
      <c r="OAP56" s="370"/>
      <c r="OAQ56" s="370"/>
      <c r="OAR56" s="370"/>
      <c r="OAS56" s="370"/>
      <c r="OAT56" s="370"/>
      <c r="OAU56" s="370"/>
      <c r="OAV56" s="370"/>
      <c r="OAW56" s="370"/>
      <c r="OAX56" s="370"/>
      <c r="OAY56" s="370"/>
      <c r="OAZ56" s="370"/>
      <c r="OBA56" s="370"/>
      <c r="OBB56" s="370"/>
      <c r="OBC56" s="370"/>
      <c r="OBD56" s="370"/>
      <c r="OBE56" s="370"/>
      <c r="OBF56" s="370"/>
      <c r="OBG56" s="370"/>
      <c r="OBH56" s="370"/>
      <c r="OBI56" s="370"/>
      <c r="OBJ56" s="370"/>
      <c r="OBK56" s="370"/>
      <c r="OBL56" s="370"/>
      <c r="OBM56" s="370"/>
      <c r="OBN56" s="370"/>
      <c r="OBO56" s="370"/>
      <c r="OBP56" s="370"/>
      <c r="OBQ56" s="370"/>
      <c r="OBR56" s="370"/>
      <c r="OBS56" s="370"/>
      <c r="OBT56" s="370"/>
      <c r="OBU56" s="370"/>
      <c r="OBV56" s="370"/>
      <c r="OBW56" s="370"/>
      <c r="OBX56" s="370"/>
      <c r="OBY56" s="370"/>
      <c r="OBZ56" s="370"/>
      <c r="OCA56" s="370"/>
      <c r="OCB56" s="370"/>
      <c r="OCC56" s="370"/>
      <c r="OCD56" s="370"/>
      <c r="OCE56" s="370"/>
      <c r="OCF56" s="370"/>
      <c r="OCG56" s="370"/>
      <c r="OCH56" s="370"/>
      <c r="OCI56" s="370"/>
      <c r="OCJ56" s="370"/>
      <c r="OCK56" s="370"/>
      <c r="OCL56" s="370"/>
      <c r="OCM56" s="370"/>
      <c r="OCN56" s="370"/>
      <c r="OCO56" s="370"/>
      <c r="OCP56" s="370"/>
      <c r="OCQ56" s="370"/>
      <c r="OCR56" s="370"/>
      <c r="OCS56" s="370"/>
      <c r="OCT56" s="370"/>
      <c r="OCU56" s="370"/>
      <c r="OCV56" s="370"/>
      <c r="OCW56" s="370"/>
      <c r="OCX56" s="370"/>
      <c r="OCY56" s="370"/>
      <c r="OCZ56" s="370"/>
      <c r="ODA56" s="370"/>
      <c r="ODB56" s="370"/>
      <c r="ODC56" s="370"/>
      <c r="ODD56" s="370"/>
      <c r="ODE56" s="370"/>
      <c r="ODF56" s="370"/>
      <c r="ODG56" s="370"/>
      <c r="ODH56" s="370"/>
      <c r="ODI56" s="370"/>
      <c r="ODJ56" s="370"/>
      <c r="ODK56" s="370"/>
      <c r="ODL56" s="370"/>
      <c r="ODM56" s="370"/>
      <c r="ODN56" s="370"/>
      <c r="ODO56" s="370"/>
      <c r="ODP56" s="370"/>
      <c r="ODQ56" s="370"/>
      <c r="ODR56" s="370"/>
      <c r="ODS56" s="370"/>
      <c r="ODT56" s="370"/>
      <c r="ODU56" s="370"/>
      <c r="ODV56" s="370"/>
      <c r="ODW56" s="370"/>
      <c r="ODX56" s="370"/>
      <c r="ODY56" s="370"/>
      <c r="ODZ56" s="370"/>
      <c r="OEA56" s="370"/>
      <c r="OEB56" s="370"/>
      <c r="OEC56" s="370"/>
      <c r="OED56" s="370"/>
      <c r="OEE56" s="370"/>
      <c r="OEF56" s="370"/>
      <c r="OEG56" s="370"/>
      <c r="OEH56" s="370"/>
      <c r="OEI56" s="370"/>
      <c r="OEJ56" s="370"/>
      <c r="OEK56" s="370"/>
      <c r="OEL56" s="370"/>
      <c r="OEM56" s="370"/>
      <c r="OEN56" s="370"/>
      <c r="OEO56" s="370"/>
      <c r="OEP56" s="370"/>
      <c r="OEQ56" s="370"/>
      <c r="OER56" s="370"/>
      <c r="OES56" s="370"/>
      <c r="OET56" s="370"/>
      <c r="OEU56" s="370"/>
      <c r="OEV56" s="370"/>
      <c r="OEW56" s="370"/>
      <c r="OEX56" s="370"/>
      <c r="OEY56" s="370"/>
      <c r="OEZ56" s="370"/>
      <c r="OFA56" s="370"/>
      <c r="OFB56" s="370"/>
      <c r="OFC56" s="370"/>
      <c r="OFD56" s="370"/>
      <c r="OFE56" s="370"/>
      <c r="OFF56" s="370"/>
      <c r="OFG56" s="370"/>
      <c r="OFH56" s="370"/>
      <c r="OFI56" s="370"/>
      <c r="OFJ56" s="370"/>
      <c r="OFK56" s="370"/>
      <c r="OFL56" s="370"/>
      <c r="OFM56" s="370"/>
      <c r="OFN56" s="370"/>
      <c r="OFO56" s="370"/>
      <c r="OFP56" s="370"/>
      <c r="OFQ56" s="370"/>
      <c r="OFR56" s="370"/>
      <c r="OFS56" s="370"/>
      <c r="OFT56" s="370"/>
      <c r="OFU56" s="370"/>
      <c r="OFV56" s="370"/>
      <c r="OFW56" s="370"/>
      <c r="OFX56" s="370"/>
      <c r="OFY56" s="370"/>
      <c r="OFZ56" s="370"/>
      <c r="OGA56" s="370"/>
      <c r="OGB56" s="370"/>
      <c r="OGC56" s="370"/>
      <c r="OGD56" s="370"/>
      <c r="OGE56" s="370"/>
      <c r="OGF56" s="370"/>
      <c r="OGG56" s="370"/>
      <c r="OGH56" s="370"/>
      <c r="OGI56" s="370"/>
      <c r="OGJ56" s="370"/>
      <c r="OGK56" s="370"/>
      <c r="OGL56" s="370"/>
      <c r="OGM56" s="370"/>
      <c r="OGN56" s="370"/>
      <c r="OGO56" s="370"/>
      <c r="OGP56" s="370"/>
      <c r="OGQ56" s="370"/>
      <c r="OGR56" s="370"/>
      <c r="OGS56" s="370"/>
      <c r="OGT56" s="370"/>
      <c r="OGU56" s="370"/>
      <c r="OGV56" s="370"/>
      <c r="OGW56" s="370"/>
      <c r="OGX56" s="370"/>
      <c r="OGY56" s="370"/>
      <c r="OGZ56" s="370"/>
      <c r="OHA56" s="370"/>
      <c r="OHB56" s="370"/>
      <c r="OHC56" s="370"/>
      <c r="OHD56" s="370"/>
      <c r="OHE56" s="370"/>
      <c r="OHF56" s="370"/>
      <c r="OHG56" s="370"/>
      <c r="OHH56" s="370"/>
      <c r="OHI56" s="370"/>
      <c r="OHJ56" s="370"/>
      <c r="OHK56" s="370"/>
      <c r="OHL56" s="370"/>
      <c r="OHM56" s="370"/>
      <c r="OHN56" s="370"/>
      <c r="OHO56" s="370"/>
      <c r="OHP56" s="370"/>
      <c r="OHQ56" s="370"/>
      <c r="OHR56" s="370"/>
      <c r="OHS56" s="370"/>
      <c r="OHT56" s="370"/>
      <c r="OHU56" s="370"/>
      <c r="OHV56" s="370"/>
      <c r="OHW56" s="370"/>
      <c r="OHX56" s="370"/>
      <c r="OHY56" s="370"/>
      <c r="OHZ56" s="370"/>
      <c r="OIA56" s="370"/>
      <c r="OIB56" s="370"/>
      <c r="OIC56" s="370"/>
      <c r="OID56" s="370"/>
      <c r="OIE56" s="370"/>
      <c r="OIF56" s="370"/>
      <c r="OIG56" s="370"/>
      <c r="OIH56" s="370"/>
      <c r="OII56" s="370"/>
      <c r="OIJ56" s="370"/>
      <c r="OIK56" s="370"/>
      <c r="OIL56" s="370"/>
      <c r="OIM56" s="370"/>
      <c r="OIN56" s="370"/>
      <c r="OIO56" s="370"/>
      <c r="OIP56" s="370"/>
      <c r="OIQ56" s="370"/>
      <c r="OIR56" s="370"/>
      <c r="OIS56" s="370"/>
      <c r="OIT56" s="370"/>
      <c r="OIU56" s="370"/>
      <c r="OIV56" s="370"/>
      <c r="OIW56" s="370"/>
      <c r="OIX56" s="370"/>
      <c r="OIY56" s="370"/>
      <c r="OIZ56" s="370"/>
      <c r="OJA56" s="370"/>
      <c r="OJB56" s="370"/>
      <c r="OJC56" s="370"/>
      <c r="OJD56" s="370"/>
      <c r="OJE56" s="370"/>
      <c r="OJF56" s="370"/>
      <c r="OJG56" s="370"/>
      <c r="OJH56" s="370"/>
      <c r="OJI56" s="370"/>
      <c r="OJJ56" s="370"/>
      <c r="OJK56" s="370"/>
      <c r="OJL56" s="370"/>
      <c r="OJM56" s="370"/>
      <c r="OJN56" s="370"/>
      <c r="OJO56" s="370"/>
      <c r="OJP56" s="370"/>
      <c r="OJQ56" s="370"/>
      <c r="OJR56" s="370"/>
      <c r="OJS56" s="370"/>
      <c r="OJT56" s="370"/>
      <c r="OJU56" s="370"/>
      <c r="OJV56" s="370"/>
      <c r="OJW56" s="370"/>
      <c r="OJX56" s="370"/>
      <c r="OJY56" s="370"/>
      <c r="OJZ56" s="370"/>
      <c r="OKA56" s="370"/>
      <c r="OKB56" s="370"/>
      <c r="OKC56" s="370"/>
      <c r="OKD56" s="370"/>
      <c r="OKE56" s="370"/>
      <c r="OKF56" s="370"/>
      <c r="OKG56" s="370"/>
      <c r="OKH56" s="370"/>
      <c r="OKI56" s="370"/>
      <c r="OKJ56" s="370"/>
      <c r="OKK56" s="370"/>
      <c r="OKL56" s="370"/>
      <c r="OKM56" s="370"/>
      <c r="OKN56" s="370"/>
      <c r="OKO56" s="370"/>
      <c r="OKP56" s="370"/>
      <c r="OKQ56" s="370"/>
      <c r="OKR56" s="370"/>
      <c r="OKS56" s="370"/>
      <c r="OKT56" s="370"/>
      <c r="OKU56" s="370"/>
      <c r="OKV56" s="370"/>
      <c r="OKW56" s="370"/>
      <c r="OKX56" s="370"/>
      <c r="OKY56" s="370"/>
      <c r="OKZ56" s="370"/>
      <c r="OLA56" s="370"/>
      <c r="OLB56" s="370"/>
      <c r="OLC56" s="370"/>
      <c r="OLD56" s="370"/>
      <c r="OLE56" s="370"/>
      <c r="OLF56" s="370"/>
      <c r="OLG56" s="370"/>
      <c r="OLH56" s="370"/>
      <c r="OLI56" s="370"/>
      <c r="OLJ56" s="370"/>
      <c r="OLK56" s="370"/>
      <c r="OLL56" s="370"/>
      <c r="OLM56" s="370"/>
      <c r="OLN56" s="370"/>
      <c r="OLO56" s="370"/>
      <c r="OLP56" s="370"/>
      <c r="OLQ56" s="370"/>
      <c r="OLR56" s="370"/>
      <c r="OLS56" s="370"/>
      <c r="OLT56" s="370"/>
      <c r="OLU56" s="370"/>
      <c r="OLV56" s="370"/>
      <c r="OLW56" s="370"/>
      <c r="OLX56" s="370"/>
      <c r="OLY56" s="370"/>
      <c r="OLZ56" s="370"/>
      <c r="OMA56" s="370"/>
      <c r="OMB56" s="370"/>
      <c r="OMC56" s="370"/>
      <c r="OMD56" s="370"/>
      <c r="OME56" s="370"/>
      <c r="OMF56" s="370"/>
      <c r="OMG56" s="370"/>
      <c r="OMH56" s="370"/>
      <c r="OMI56" s="370"/>
      <c r="OMJ56" s="370"/>
      <c r="OMK56" s="370"/>
      <c r="OML56" s="370"/>
      <c r="OMM56" s="370"/>
      <c r="OMN56" s="370"/>
      <c r="OMO56" s="370"/>
      <c r="OMP56" s="370"/>
      <c r="OMQ56" s="370"/>
      <c r="OMR56" s="370"/>
      <c r="OMS56" s="370"/>
      <c r="OMT56" s="370"/>
      <c r="OMU56" s="370"/>
      <c r="OMV56" s="370"/>
      <c r="OMW56" s="370"/>
      <c r="OMX56" s="370"/>
      <c r="OMY56" s="370"/>
      <c r="OMZ56" s="370"/>
      <c r="ONA56" s="370"/>
      <c r="ONB56" s="370"/>
      <c r="ONC56" s="370"/>
      <c r="OND56" s="370"/>
      <c r="ONE56" s="370"/>
      <c r="ONF56" s="370"/>
      <c r="ONG56" s="370"/>
      <c r="ONH56" s="370"/>
      <c r="ONI56" s="370"/>
      <c r="ONJ56" s="370"/>
      <c r="ONK56" s="370"/>
      <c r="ONL56" s="370"/>
      <c r="ONM56" s="370"/>
      <c r="ONN56" s="370"/>
      <c r="ONO56" s="370"/>
      <c r="ONP56" s="370"/>
      <c r="ONQ56" s="370"/>
      <c r="ONR56" s="370"/>
      <c r="ONS56" s="370"/>
      <c r="ONT56" s="370"/>
      <c r="ONU56" s="370"/>
      <c r="ONV56" s="370"/>
      <c r="ONW56" s="370"/>
      <c r="ONX56" s="370"/>
      <c r="ONY56" s="370"/>
      <c r="ONZ56" s="370"/>
      <c r="OOA56" s="370"/>
      <c r="OOB56" s="370"/>
      <c r="OOC56" s="370"/>
      <c r="OOD56" s="370"/>
      <c r="OOE56" s="370"/>
      <c r="OOF56" s="370"/>
      <c r="OOG56" s="370"/>
      <c r="OOH56" s="370"/>
      <c r="OOI56" s="370"/>
      <c r="OOJ56" s="370"/>
      <c r="OOK56" s="370"/>
      <c r="OOL56" s="370"/>
      <c r="OOM56" s="370"/>
      <c r="OON56" s="370"/>
      <c r="OOO56" s="370"/>
      <c r="OOP56" s="370"/>
      <c r="OOQ56" s="370"/>
      <c r="OOR56" s="370"/>
      <c r="OOS56" s="370"/>
      <c r="OOT56" s="370"/>
      <c r="OOU56" s="370"/>
      <c r="OOV56" s="370"/>
      <c r="OOW56" s="370"/>
      <c r="OOX56" s="370"/>
      <c r="OOY56" s="370"/>
      <c r="OOZ56" s="370"/>
      <c r="OPA56" s="370"/>
      <c r="OPB56" s="370"/>
      <c r="OPC56" s="370"/>
      <c r="OPD56" s="370"/>
      <c r="OPE56" s="370"/>
      <c r="OPF56" s="370"/>
      <c r="OPG56" s="370"/>
      <c r="OPH56" s="370"/>
      <c r="OPI56" s="370"/>
      <c r="OPJ56" s="370"/>
      <c r="OPK56" s="370"/>
      <c r="OPL56" s="370"/>
      <c r="OPM56" s="370"/>
      <c r="OPN56" s="370"/>
      <c r="OPO56" s="370"/>
      <c r="OPP56" s="370"/>
      <c r="OPQ56" s="370"/>
      <c r="OPR56" s="370"/>
      <c r="OPS56" s="370"/>
      <c r="OPT56" s="370"/>
      <c r="OPU56" s="370"/>
      <c r="OPV56" s="370"/>
      <c r="OPW56" s="370"/>
      <c r="OPX56" s="370"/>
      <c r="OPY56" s="370"/>
      <c r="OPZ56" s="370"/>
      <c r="OQA56" s="370"/>
      <c r="OQB56" s="370"/>
      <c r="OQC56" s="370"/>
      <c r="OQD56" s="370"/>
      <c r="OQE56" s="370"/>
      <c r="OQF56" s="370"/>
      <c r="OQG56" s="370"/>
      <c r="OQH56" s="370"/>
      <c r="OQI56" s="370"/>
      <c r="OQJ56" s="370"/>
      <c r="OQK56" s="370"/>
      <c r="OQL56" s="370"/>
      <c r="OQM56" s="370"/>
      <c r="OQN56" s="370"/>
      <c r="OQO56" s="370"/>
      <c r="OQP56" s="370"/>
      <c r="OQQ56" s="370"/>
      <c r="OQR56" s="370"/>
      <c r="OQS56" s="370"/>
      <c r="OQT56" s="370"/>
      <c r="OQU56" s="370"/>
      <c r="OQV56" s="370"/>
      <c r="OQW56" s="370"/>
      <c r="OQX56" s="370"/>
      <c r="OQY56" s="370"/>
      <c r="OQZ56" s="370"/>
      <c r="ORA56" s="370"/>
      <c r="ORB56" s="370"/>
      <c r="ORC56" s="370"/>
      <c r="ORD56" s="370"/>
      <c r="ORE56" s="370"/>
      <c r="ORF56" s="370"/>
      <c r="ORG56" s="370"/>
      <c r="ORH56" s="370"/>
      <c r="ORI56" s="370"/>
      <c r="ORJ56" s="370"/>
      <c r="ORK56" s="370"/>
      <c r="ORL56" s="370"/>
      <c r="ORM56" s="370"/>
      <c r="ORN56" s="370"/>
      <c r="ORO56" s="370"/>
      <c r="ORP56" s="370"/>
      <c r="ORQ56" s="370"/>
      <c r="ORR56" s="370"/>
      <c r="ORS56" s="370"/>
      <c r="ORT56" s="370"/>
      <c r="ORU56" s="370"/>
      <c r="ORV56" s="370"/>
      <c r="ORW56" s="370"/>
      <c r="ORX56" s="370"/>
      <c r="ORY56" s="370"/>
      <c r="ORZ56" s="370"/>
      <c r="OSA56" s="370"/>
      <c r="OSB56" s="370"/>
      <c r="OSC56" s="370"/>
      <c r="OSD56" s="370"/>
      <c r="OSE56" s="370"/>
      <c r="OSF56" s="370"/>
      <c r="OSG56" s="370"/>
      <c r="OSH56" s="370"/>
      <c r="OSI56" s="370"/>
      <c r="OSJ56" s="370"/>
      <c r="OSK56" s="370"/>
      <c r="OSL56" s="370"/>
      <c r="OSM56" s="370"/>
      <c r="OSN56" s="370"/>
      <c r="OSO56" s="370"/>
      <c r="OSP56" s="370"/>
      <c r="OSQ56" s="370"/>
      <c r="OSR56" s="370"/>
      <c r="OSS56" s="370"/>
      <c r="OST56" s="370"/>
      <c r="OSU56" s="370"/>
      <c r="OSV56" s="370"/>
      <c r="OSW56" s="370"/>
      <c r="OSX56" s="370"/>
      <c r="OSY56" s="370"/>
      <c r="OSZ56" s="370"/>
      <c r="OTA56" s="370"/>
      <c r="OTB56" s="370"/>
      <c r="OTC56" s="370"/>
      <c r="OTD56" s="370"/>
      <c r="OTE56" s="370"/>
      <c r="OTF56" s="370"/>
      <c r="OTG56" s="370"/>
      <c r="OTH56" s="370"/>
      <c r="OTI56" s="370"/>
      <c r="OTJ56" s="370"/>
      <c r="OTK56" s="370"/>
      <c r="OTL56" s="370"/>
      <c r="OTM56" s="370"/>
      <c r="OTN56" s="370"/>
      <c r="OTO56" s="370"/>
      <c r="OTP56" s="370"/>
      <c r="OTQ56" s="370"/>
      <c r="OTR56" s="370"/>
      <c r="OTS56" s="370"/>
      <c r="OTT56" s="370"/>
      <c r="OTU56" s="370"/>
      <c r="OTV56" s="370"/>
      <c r="OTW56" s="370"/>
      <c r="OTX56" s="370"/>
      <c r="OTY56" s="370"/>
      <c r="OTZ56" s="370"/>
      <c r="OUA56" s="370"/>
      <c r="OUB56" s="370"/>
      <c r="OUC56" s="370"/>
      <c r="OUD56" s="370"/>
      <c r="OUE56" s="370"/>
      <c r="OUF56" s="370"/>
      <c r="OUG56" s="370"/>
      <c r="OUH56" s="370"/>
      <c r="OUI56" s="370"/>
      <c r="OUJ56" s="370"/>
      <c r="OUK56" s="370"/>
      <c r="OUL56" s="370"/>
      <c r="OUM56" s="370"/>
      <c r="OUN56" s="370"/>
      <c r="OUO56" s="370"/>
      <c r="OUP56" s="370"/>
      <c r="OUQ56" s="370"/>
      <c r="OUR56" s="370"/>
      <c r="OUS56" s="370"/>
      <c r="OUT56" s="370"/>
      <c r="OUU56" s="370"/>
      <c r="OUV56" s="370"/>
      <c r="OUW56" s="370"/>
      <c r="OUX56" s="370"/>
      <c r="OUY56" s="370"/>
      <c r="OUZ56" s="370"/>
      <c r="OVA56" s="370"/>
      <c r="OVB56" s="370"/>
      <c r="OVC56" s="370"/>
      <c r="OVD56" s="370"/>
      <c r="OVE56" s="370"/>
      <c r="OVF56" s="370"/>
      <c r="OVG56" s="370"/>
      <c r="OVH56" s="370"/>
      <c r="OVI56" s="370"/>
      <c r="OVJ56" s="370"/>
      <c r="OVK56" s="370"/>
      <c r="OVL56" s="370"/>
      <c r="OVM56" s="370"/>
      <c r="OVN56" s="370"/>
      <c r="OVO56" s="370"/>
      <c r="OVP56" s="370"/>
      <c r="OVQ56" s="370"/>
      <c r="OVR56" s="370"/>
      <c r="OVS56" s="370"/>
      <c r="OVT56" s="370"/>
      <c r="OVU56" s="370"/>
      <c r="OVV56" s="370"/>
      <c r="OVW56" s="370"/>
      <c r="OVX56" s="370"/>
      <c r="OVY56" s="370"/>
      <c r="OVZ56" s="370"/>
      <c r="OWA56" s="370"/>
      <c r="OWB56" s="370"/>
      <c r="OWC56" s="370"/>
      <c r="OWD56" s="370"/>
      <c r="OWE56" s="370"/>
      <c r="OWF56" s="370"/>
      <c r="OWG56" s="370"/>
      <c r="OWH56" s="370"/>
      <c r="OWI56" s="370"/>
      <c r="OWJ56" s="370"/>
      <c r="OWK56" s="370"/>
      <c r="OWL56" s="370"/>
      <c r="OWM56" s="370"/>
      <c r="OWN56" s="370"/>
      <c r="OWO56" s="370"/>
      <c r="OWP56" s="370"/>
      <c r="OWQ56" s="370"/>
      <c r="OWR56" s="370"/>
      <c r="OWS56" s="370"/>
      <c r="OWT56" s="370"/>
      <c r="OWU56" s="370"/>
      <c r="OWV56" s="370"/>
      <c r="OWW56" s="370"/>
      <c r="OWX56" s="370"/>
      <c r="OWY56" s="370"/>
      <c r="OWZ56" s="370"/>
      <c r="OXA56" s="370"/>
      <c r="OXB56" s="370"/>
      <c r="OXC56" s="370"/>
      <c r="OXD56" s="370"/>
      <c r="OXE56" s="370"/>
      <c r="OXF56" s="370"/>
      <c r="OXG56" s="370"/>
      <c r="OXH56" s="370"/>
      <c r="OXI56" s="370"/>
      <c r="OXJ56" s="370"/>
      <c r="OXK56" s="370"/>
      <c r="OXL56" s="370"/>
      <c r="OXM56" s="370"/>
      <c r="OXN56" s="370"/>
      <c r="OXO56" s="370"/>
      <c r="OXP56" s="370"/>
      <c r="OXQ56" s="370"/>
      <c r="OXR56" s="370"/>
      <c r="OXS56" s="370"/>
      <c r="OXT56" s="370"/>
      <c r="OXU56" s="370"/>
      <c r="OXV56" s="370"/>
      <c r="OXW56" s="370"/>
      <c r="OXX56" s="370"/>
      <c r="OXY56" s="370"/>
      <c r="OXZ56" s="370"/>
      <c r="OYA56" s="370"/>
      <c r="OYB56" s="370"/>
      <c r="OYC56" s="370"/>
      <c r="OYD56" s="370"/>
      <c r="OYE56" s="370"/>
      <c r="OYF56" s="370"/>
      <c r="OYG56" s="370"/>
      <c r="OYH56" s="370"/>
      <c r="OYI56" s="370"/>
      <c r="OYJ56" s="370"/>
      <c r="OYK56" s="370"/>
      <c r="OYL56" s="370"/>
      <c r="OYM56" s="370"/>
      <c r="OYN56" s="370"/>
      <c r="OYO56" s="370"/>
      <c r="OYP56" s="370"/>
      <c r="OYQ56" s="370"/>
      <c r="OYR56" s="370"/>
      <c r="OYS56" s="370"/>
      <c r="OYT56" s="370"/>
      <c r="OYU56" s="370"/>
      <c r="OYV56" s="370"/>
      <c r="OYW56" s="370"/>
      <c r="OYX56" s="370"/>
      <c r="OYY56" s="370"/>
      <c r="OYZ56" s="370"/>
      <c r="OZA56" s="370"/>
      <c r="OZB56" s="370"/>
      <c r="OZC56" s="370"/>
      <c r="OZD56" s="370"/>
      <c r="OZE56" s="370"/>
      <c r="OZF56" s="370"/>
      <c r="OZG56" s="370"/>
      <c r="OZH56" s="370"/>
      <c r="OZI56" s="370"/>
      <c r="OZJ56" s="370"/>
      <c r="OZK56" s="370"/>
      <c r="OZL56" s="370"/>
      <c r="OZM56" s="370"/>
      <c r="OZN56" s="370"/>
      <c r="OZO56" s="370"/>
      <c r="OZP56" s="370"/>
      <c r="OZQ56" s="370"/>
      <c r="OZR56" s="370"/>
      <c r="OZS56" s="370"/>
      <c r="OZT56" s="370"/>
      <c r="OZU56" s="370"/>
      <c r="OZV56" s="370"/>
      <c r="OZW56" s="370"/>
      <c r="OZX56" s="370"/>
      <c r="OZY56" s="370"/>
      <c r="OZZ56" s="370"/>
      <c r="PAA56" s="370"/>
      <c r="PAB56" s="370"/>
      <c r="PAC56" s="370"/>
      <c r="PAD56" s="370"/>
      <c r="PAE56" s="370"/>
      <c r="PAF56" s="370"/>
      <c r="PAG56" s="370"/>
      <c r="PAH56" s="370"/>
      <c r="PAI56" s="370"/>
      <c r="PAJ56" s="370"/>
      <c r="PAK56" s="370"/>
      <c r="PAL56" s="370"/>
      <c r="PAM56" s="370"/>
      <c r="PAN56" s="370"/>
      <c r="PAO56" s="370"/>
      <c r="PAP56" s="370"/>
      <c r="PAQ56" s="370"/>
      <c r="PAR56" s="370"/>
      <c r="PAS56" s="370"/>
      <c r="PAT56" s="370"/>
      <c r="PAU56" s="370"/>
      <c r="PAV56" s="370"/>
      <c r="PAW56" s="370"/>
      <c r="PAX56" s="370"/>
      <c r="PAY56" s="370"/>
      <c r="PAZ56" s="370"/>
      <c r="PBA56" s="370"/>
      <c r="PBB56" s="370"/>
      <c r="PBC56" s="370"/>
      <c r="PBD56" s="370"/>
      <c r="PBE56" s="370"/>
      <c r="PBF56" s="370"/>
      <c r="PBG56" s="370"/>
      <c r="PBH56" s="370"/>
      <c r="PBI56" s="370"/>
      <c r="PBJ56" s="370"/>
      <c r="PBK56" s="370"/>
      <c r="PBL56" s="370"/>
      <c r="PBM56" s="370"/>
      <c r="PBN56" s="370"/>
      <c r="PBO56" s="370"/>
      <c r="PBP56" s="370"/>
      <c r="PBQ56" s="370"/>
      <c r="PBR56" s="370"/>
      <c r="PBS56" s="370"/>
      <c r="PBT56" s="370"/>
      <c r="PBU56" s="370"/>
      <c r="PBV56" s="370"/>
      <c r="PBW56" s="370"/>
      <c r="PBX56" s="370"/>
      <c r="PBY56" s="370"/>
      <c r="PBZ56" s="370"/>
      <c r="PCA56" s="370"/>
      <c r="PCB56" s="370"/>
      <c r="PCC56" s="370"/>
      <c r="PCD56" s="370"/>
      <c r="PCE56" s="370"/>
      <c r="PCF56" s="370"/>
      <c r="PCG56" s="370"/>
      <c r="PCH56" s="370"/>
      <c r="PCI56" s="370"/>
      <c r="PCJ56" s="370"/>
      <c r="PCK56" s="370"/>
      <c r="PCL56" s="370"/>
      <c r="PCM56" s="370"/>
      <c r="PCN56" s="370"/>
      <c r="PCO56" s="370"/>
      <c r="PCP56" s="370"/>
      <c r="PCQ56" s="370"/>
      <c r="PCR56" s="370"/>
      <c r="PCS56" s="370"/>
      <c r="PCT56" s="370"/>
      <c r="PCU56" s="370"/>
      <c r="PCV56" s="370"/>
      <c r="PCW56" s="370"/>
      <c r="PCX56" s="370"/>
      <c r="PCY56" s="370"/>
      <c r="PCZ56" s="370"/>
      <c r="PDA56" s="370"/>
      <c r="PDB56" s="370"/>
      <c r="PDC56" s="370"/>
      <c r="PDD56" s="370"/>
      <c r="PDE56" s="370"/>
      <c r="PDF56" s="370"/>
      <c r="PDG56" s="370"/>
      <c r="PDH56" s="370"/>
      <c r="PDI56" s="370"/>
      <c r="PDJ56" s="370"/>
      <c r="PDK56" s="370"/>
      <c r="PDL56" s="370"/>
      <c r="PDM56" s="370"/>
      <c r="PDN56" s="370"/>
      <c r="PDO56" s="370"/>
      <c r="PDP56" s="370"/>
      <c r="PDQ56" s="370"/>
      <c r="PDR56" s="370"/>
      <c r="PDS56" s="370"/>
      <c r="PDT56" s="370"/>
      <c r="PDU56" s="370"/>
      <c r="PDV56" s="370"/>
      <c r="PDW56" s="370"/>
      <c r="PDX56" s="370"/>
      <c r="PDY56" s="370"/>
      <c r="PDZ56" s="370"/>
      <c r="PEA56" s="370"/>
      <c r="PEB56" s="370"/>
      <c r="PEC56" s="370"/>
      <c r="PED56" s="370"/>
      <c r="PEE56" s="370"/>
      <c r="PEF56" s="370"/>
      <c r="PEG56" s="370"/>
      <c r="PEH56" s="370"/>
      <c r="PEI56" s="370"/>
      <c r="PEJ56" s="370"/>
      <c r="PEK56" s="370"/>
      <c r="PEL56" s="370"/>
      <c r="PEM56" s="370"/>
      <c r="PEN56" s="370"/>
      <c r="PEO56" s="370"/>
      <c r="PEP56" s="370"/>
      <c r="PEQ56" s="370"/>
      <c r="PER56" s="370"/>
      <c r="PES56" s="370"/>
      <c r="PET56" s="370"/>
      <c r="PEU56" s="370"/>
      <c r="PEV56" s="370"/>
      <c r="PEW56" s="370"/>
      <c r="PEX56" s="370"/>
      <c r="PEY56" s="370"/>
      <c r="PEZ56" s="370"/>
      <c r="PFA56" s="370"/>
      <c r="PFB56" s="370"/>
      <c r="PFC56" s="370"/>
      <c r="PFD56" s="370"/>
      <c r="PFE56" s="370"/>
      <c r="PFF56" s="370"/>
      <c r="PFG56" s="370"/>
      <c r="PFH56" s="370"/>
      <c r="PFI56" s="370"/>
      <c r="PFJ56" s="370"/>
      <c r="PFK56" s="370"/>
      <c r="PFL56" s="370"/>
      <c r="PFM56" s="370"/>
      <c r="PFN56" s="370"/>
      <c r="PFO56" s="370"/>
      <c r="PFP56" s="370"/>
      <c r="PFQ56" s="370"/>
      <c r="PFR56" s="370"/>
      <c r="PFS56" s="370"/>
      <c r="PFT56" s="370"/>
      <c r="PFU56" s="370"/>
      <c r="PFV56" s="370"/>
      <c r="PFW56" s="370"/>
      <c r="PFX56" s="370"/>
      <c r="PFY56" s="370"/>
      <c r="PFZ56" s="370"/>
      <c r="PGA56" s="370"/>
      <c r="PGB56" s="370"/>
      <c r="PGC56" s="370"/>
      <c r="PGD56" s="370"/>
      <c r="PGE56" s="370"/>
      <c r="PGF56" s="370"/>
      <c r="PGG56" s="370"/>
      <c r="PGH56" s="370"/>
      <c r="PGI56" s="370"/>
      <c r="PGJ56" s="370"/>
      <c r="PGK56" s="370"/>
      <c r="PGL56" s="370"/>
      <c r="PGM56" s="370"/>
      <c r="PGN56" s="370"/>
      <c r="PGO56" s="370"/>
      <c r="PGP56" s="370"/>
      <c r="PGQ56" s="370"/>
      <c r="PGR56" s="370"/>
      <c r="PGS56" s="370"/>
      <c r="PGT56" s="370"/>
      <c r="PGU56" s="370"/>
      <c r="PGV56" s="370"/>
      <c r="PGW56" s="370"/>
      <c r="PGX56" s="370"/>
      <c r="PGY56" s="370"/>
      <c r="PGZ56" s="370"/>
      <c r="PHA56" s="370"/>
      <c r="PHB56" s="370"/>
      <c r="PHC56" s="370"/>
      <c r="PHD56" s="370"/>
      <c r="PHE56" s="370"/>
      <c r="PHF56" s="370"/>
      <c r="PHG56" s="370"/>
      <c r="PHH56" s="370"/>
      <c r="PHI56" s="370"/>
      <c r="PHJ56" s="370"/>
      <c r="PHK56" s="370"/>
      <c r="PHL56" s="370"/>
      <c r="PHM56" s="370"/>
      <c r="PHN56" s="370"/>
      <c r="PHO56" s="370"/>
      <c r="PHP56" s="370"/>
      <c r="PHQ56" s="370"/>
      <c r="PHR56" s="370"/>
      <c r="PHS56" s="370"/>
      <c r="PHT56" s="370"/>
      <c r="PHU56" s="370"/>
      <c r="PHV56" s="370"/>
      <c r="PHW56" s="370"/>
      <c r="PHX56" s="370"/>
      <c r="PHY56" s="370"/>
      <c r="PHZ56" s="370"/>
      <c r="PIA56" s="370"/>
      <c r="PIB56" s="370"/>
      <c r="PIC56" s="370"/>
      <c r="PID56" s="370"/>
      <c r="PIE56" s="370"/>
      <c r="PIF56" s="370"/>
      <c r="PIG56" s="370"/>
      <c r="PIH56" s="370"/>
      <c r="PII56" s="370"/>
      <c r="PIJ56" s="370"/>
      <c r="PIK56" s="370"/>
      <c r="PIL56" s="370"/>
      <c r="PIM56" s="370"/>
      <c r="PIN56" s="370"/>
      <c r="PIO56" s="370"/>
      <c r="PIP56" s="370"/>
      <c r="PIQ56" s="370"/>
      <c r="PIR56" s="370"/>
      <c r="PIS56" s="370"/>
      <c r="PIT56" s="370"/>
      <c r="PIU56" s="370"/>
      <c r="PIV56" s="370"/>
      <c r="PIW56" s="370"/>
      <c r="PIX56" s="370"/>
      <c r="PIY56" s="370"/>
      <c r="PIZ56" s="370"/>
      <c r="PJA56" s="370"/>
      <c r="PJB56" s="370"/>
      <c r="PJC56" s="370"/>
      <c r="PJD56" s="370"/>
      <c r="PJE56" s="370"/>
      <c r="PJF56" s="370"/>
      <c r="PJG56" s="370"/>
      <c r="PJH56" s="370"/>
      <c r="PJI56" s="370"/>
      <c r="PJJ56" s="370"/>
      <c r="PJK56" s="370"/>
      <c r="PJL56" s="370"/>
      <c r="PJM56" s="370"/>
      <c r="PJN56" s="370"/>
      <c r="PJO56" s="370"/>
      <c r="PJP56" s="370"/>
      <c r="PJQ56" s="370"/>
      <c r="PJR56" s="370"/>
      <c r="PJS56" s="370"/>
      <c r="PJT56" s="370"/>
      <c r="PJU56" s="370"/>
      <c r="PJV56" s="370"/>
      <c r="PJW56" s="370"/>
      <c r="PJX56" s="370"/>
      <c r="PJY56" s="370"/>
      <c r="PJZ56" s="370"/>
      <c r="PKA56" s="370"/>
      <c r="PKB56" s="370"/>
      <c r="PKC56" s="370"/>
      <c r="PKD56" s="370"/>
      <c r="PKE56" s="370"/>
      <c r="PKF56" s="370"/>
      <c r="PKG56" s="370"/>
      <c r="PKH56" s="370"/>
      <c r="PKI56" s="370"/>
      <c r="PKJ56" s="370"/>
      <c r="PKK56" s="370"/>
      <c r="PKL56" s="370"/>
      <c r="PKM56" s="370"/>
      <c r="PKN56" s="370"/>
      <c r="PKO56" s="370"/>
      <c r="PKP56" s="370"/>
      <c r="PKQ56" s="370"/>
      <c r="PKR56" s="370"/>
      <c r="PKS56" s="370"/>
      <c r="PKT56" s="370"/>
      <c r="PKU56" s="370"/>
      <c r="PKV56" s="370"/>
      <c r="PKW56" s="370"/>
      <c r="PKX56" s="370"/>
      <c r="PKY56" s="370"/>
      <c r="PKZ56" s="370"/>
      <c r="PLA56" s="370"/>
      <c r="PLB56" s="370"/>
      <c r="PLC56" s="370"/>
      <c r="PLD56" s="370"/>
      <c r="PLE56" s="370"/>
      <c r="PLF56" s="370"/>
      <c r="PLG56" s="370"/>
      <c r="PLH56" s="370"/>
      <c r="PLI56" s="370"/>
      <c r="PLJ56" s="370"/>
      <c r="PLK56" s="370"/>
      <c r="PLL56" s="370"/>
      <c r="PLM56" s="370"/>
      <c r="PLN56" s="370"/>
      <c r="PLO56" s="370"/>
      <c r="PLP56" s="370"/>
      <c r="PLQ56" s="370"/>
      <c r="PLR56" s="370"/>
      <c r="PLS56" s="370"/>
      <c r="PLT56" s="370"/>
      <c r="PLU56" s="370"/>
      <c r="PLV56" s="370"/>
      <c r="PLW56" s="370"/>
      <c r="PLX56" s="370"/>
      <c r="PLY56" s="370"/>
      <c r="PLZ56" s="370"/>
      <c r="PMA56" s="370"/>
      <c r="PMB56" s="370"/>
      <c r="PMC56" s="370"/>
      <c r="PMD56" s="370"/>
      <c r="PME56" s="370"/>
      <c r="PMF56" s="370"/>
      <c r="PMG56" s="370"/>
      <c r="PMH56" s="370"/>
      <c r="PMI56" s="370"/>
      <c r="PMJ56" s="370"/>
      <c r="PMK56" s="370"/>
      <c r="PML56" s="370"/>
      <c r="PMM56" s="370"/>
      <c r="PMN56" s="370"/>
      <c r="PMO56" s="370"/>
      <c r="PMP56" s="370"/>
      <c r="PMQ56" s="370"/>
      <c r="PMR56" s="370"/>
      <c r="PMS56" s="370"/>
      <c r="PMT56" s="370"/>
      <c r="PMU56" s="370"/>
      <c r="PMV56" s="370"/>
      <c r="PMW56" s="370"/>
      <c r="PMX56" s="370"/>
      <c r="PMY56" s="370"/>
      <c r="PMZ56" s="370"/>
      <c r="PNA56" s="370"/>
      <c r="PNB56" s="370"/>
      <c r="PNC56" s="370"/>
      <c r="PND56" s="370"/>
      <c r="PNE56" s="370"/>
      <c r="PNF56" s="370"/>
      <c r="PNG56" s="370"/>
      <c r="PNH56" s="370"/>
      <c r="PNI56" s="370"/>
      <c r="PNJ56" s="370"/>
      <c r="PNK56" s="370"/>
      <c r="PNL56" s="370"/>
      <c r="PNM56" s="370"/>
      <c r="PNN56" s="370"/>
      <c r="PNO56" s="370"/>
      <c r="PNP56" s="370"/>
      <c r="PNQ56" s="370"/>
      <c r="PNR56" s="370"/>
      <c r="PNS56" s="370"/>
      <c r="PNT56" s="370"/>
      <c r="PNU56" s="370"/>
      <c r="PNV56" s="370"/>
      <c r="PNW56" s="370"/>
      <c r="PNX56" s="370"/>
      <c r="PNY56" s="370"/>
      <c r="PNZ56" s="370"/>
      <c r="POA56" s="370"/>
      <c r="POB56" s="370"/>
      <c r="POC56" s="370"/>
      <c r="POD56" s="370"/>
      <c r="POE56" s="370"/>
      <c r="POF56" s="370"/>
      <c r="POG56" s="370"/>
      <c r="POH56" s="370"/>
      <c r="POI56" s="370"/>
      <c r="POJ56" s="370"/>
      <c r="POK56" s="370"/>
      <c r="POL56" s="370"/>
      <c r="POM56" s="370"/>
      <c r="PON56" s="370"/>
      <c r="POO56" s="370"/>
      <c r="POP56" s="370"/>
      <c r="POQ56" s="370"/>
      <c r="POR56" s="370"/>
      <c r="POS56" s="370"/>
      <c r="POT56" s="370"/>
      <c r="POU56" s="370"/>
      <c r="POV56" s="370"/>
      <c r="POW56" s="370"/>
      <c r="POX56" s="370"/>
      <c r="POY56" s="370"/>
      <c r="POZ56" s="370"/>
      <c r="PPA56" s="370"/>
      <c r="PPB56" s="370"/>
      <c r="PPC56" s="370"/>
      <c r="PPD56" s="370"/>
      <c r="PPE56" s="370"/>
      <c r="PPF56" s="370"/>
      <c r="PPG56" s="370"/>
      <c r="PPH56" s="370"/>
      <c r="PPI56" s="370"/>
      <c r="PPJ56" s="370"/>
      <c r="PPK56" s="370"/>
      <c r="PPL56" s="370"/>
      <c r="PPM56" s="370"/>
      <c r="PPN56" s="370"/>
      <c r="PPO56" s="370"/>
      <c r="PPP56" s="370"/>
      <c r="PPQ56" s="370"/>
      <c r="PPR56" s="370"/>
      <c r="PPS56" s="370"/>
      <c r="PPT56" s="370"/>
      <c r="PPU56" s="370"/>
      <c r="PPV56" s="370"/>
      <c r="PPW56" s="370"/>
      <c r="PPX56" s="370"/>
      <c r="PPY56" s="370"/>
      <c r="PPZ56" s="370"/>
      <c r="PQA56" s="370"/>
      <c r="PQB56" s="370"/>
      <c r="PQC56" s="370"/>
      <c r="PQD56" s="370"/>
      <c r="PQE56" s="370"/>
      <c r="PQF56" s="370"/>
      <c r="PQG56" s="370"/>
      <c r="PQH56" s="370"/>
      <c r="PQI56" s="370"/>
      <c r="PQJ56" s="370"/>
      <c r="PQK56" s="370"/>
      <c r="PQL56" s="370"/>
      <c r="PQM56" s="370"/>
      <c r="PQN56" s="370"/>
      <c r="PQO56" s="370"/>
      <c r="PQP56" s="370"/>
      <c r="PQQ56" s="370"/>
      <c r="PQR56" s="370"/>
      <c r="PQS56" s="370"/>
      <c r="PQT56" s="370"/>
      <c r="PQU56" s="370"/>
      <c r="PQV56" s="370"/>
      <c r="PQW56" s="370"/>
      <c r="PQX56" s="370"/>
      <c r="PQY56" s="370"/>
      <c r="PQZ56" s="370"/>
      <c r="PRA56" s="370"/>
      <c r="PRB56" s="370"/>
      <c r="PRC56" s="370"/>
      <c r="PRD56" s="370"/>
      <c r="PRE56" s="370"/>
      <c r="PRF56" s="370"/>
      <c r="PRG56" s="370"/>
      <c r="PRH56" s="370"/>
      <c r="PRI56" s="370"/>
      <c r="PRJ56" s="370"/>
      <c r="PRK56" s="370"/>
      <c r="PRL56" s="370"/>
      <c r="PRM56" s="370"/>
      <c r="PRN56" s="370"/>
      <c r="PRO56" s="370"/>
      <c r="PRP56" s="370"/>
      <c r="PRQ56" s="370"/>
      <c r="PRR56" s="370"/>
      <c r="PRS56" s="370"/>
      <c r="PRT56" s="370"/>
      <c r="PRU56" s="370"/>
      <c r="PRV56" s="370"/>
      <c r="PRW56" s="370"/>
      <c r="PRX56" s="370"/>
      <c r="PRY56" s="370"/>
      <c r="PRZ56" s="370"/>
      <c r="PSA56" s="370"/>
      <c r="PSB56" s="370"/>
      <c r="PSC56" s="370"/>
      <c r="PSD56" s="370"/>
      <c r="PSE56" s="370"/>
      <c r="PSF56" s="370"/>
      <c r="PSG56" s="370"/>
      <c r="PSH56" s="370"/>
      <c r="PSI56" s="370"/>
      <c r="PSJ56" s="370"/>
      <c r="PSK56" s="370"/>
      <c r="PSL56" s="370"/>
      <c r="PSM56" s="370"/>
      <c r="PSN56" s="370"/>
      <c r="PSO56" s="370"/>
      <c r="PSP56" s="370"/>
      <c r="PSQ56" s="370"/>
      <c r="PSR56" s="370"/>
      <c r="PSS56" s="370"/>
      <c r="PST56" s="370"/>
      <c r="PSU56" s="370"/>
      <c r="PSV56" s="370"/>
      <c r="PSW56" s="370"/>
      <c r="PSX56" s="370"/>
      <c r="PSY56" s="370"/>
      <c r="PSZ56" s="370"/>
      <c r="PTA56" s="370"/>
      <c r="PTB56" s="370"/>
      <c r="PTC56" s="370"/>
      <c r="PTD56" s="370"/>
      <c r="PTE56" s="370"/>
      <c r="PTF56" s="370"/>
      <c r="PTG56" s="370"/>
      <c r="PTH56" s="370"/>
      <c r="PTI56" s="370"/>
      <c r="PTJ56" s="370"/>
      <c r="PTK56" s="370"/>
      <c r="PTL56" s="370"/>
      <c r="PTM56" s="370"/>
      <c r="PTN56" s="370"/>
      <c r="PTO56" s="370"/>
      <c r="PTP56" s="370"/>
      <c r="PTQ56" s="370"/>
      <c r="PTR56" s="370"/>
      <c r="PTS56" s="370"/>
      <c r="PTT56" s="370"/>
      <c r="PTU56" s="370"/>
      <c r="PTV56" s="370"/>
      <c r="PTW56" s="370"/>
      <c r="PTX56" s="370"/>
      <c r="PTY56" s="370"/>
      <c r="PTZ56" s="370"/>
      <c r="PUA56" s="370"/>
      <c r="PUB56" s="370"/>
      <c r="PUC56" s="370"/>
      <c r="PUD56" s="370"/>
      <c r="PUE56" s="370"/>
      <c r="PUF56" s="370"/>
      <c r="PUG56" s="370"/>
      <c r="PUH56" s="370"/>
      <c r="PUI56" s="370"/>
      <c r="PUJ56" s="370"/>
      <c r="PUK56" s="370"/>
      <c r="PUL56" s="370"/>
      <c r="PUM56" s="370"/>
      <c r="PUN56" s="370"/>
      <c r="PUO56" s="370"/>
      <c r="PUP56" s="370"/>
      <c r="PUQ56" s="370"/>
      <c r="PUR56" s="370"/>
      <c r="PUS56" s="370"/>
      <c r="PUT56" s="370"/>
      <c r="PUU56" s="370"/>
      <c r="PUV56" s="370"/>
      <c r="PUW56" s="370"/>
      <c r="PUX56" s="370"/>
      <c r="PUY56" s="370"/>
      <c r="PUZ56" s="370"/>
      <c r="PVA56" s="370"/>
      <c r="PVB56" s="370"/>
      <c r="PVC56" s="370"/>
      <c r="PVD56" s="370"/>
      <c r="PVE56" s="370"/>
      <c r="PVF56" s="370"/>
      <c r="PVG56" s="370"/>
      <c r="PVH56" s="370"/>
      <c r="PVI56" s="370"/>
      <c r="PVJ56" s="370"/>
      <c r="PVK56" s="370"/>
      <c r="PVL56" s="370"/>
      <c r="PVM56" s="370"/>
      <c r="PVN56" s="370"/>
      <c r="PVO56" s="370"/>
      <c r="PVP56" s="370"/>
      <c r="PVQ56" s="370"/>
      <c r="PVR56" s="370"/>
      <c r="PVS56" s="370"/>
      <c r="PVT56" s="370"/>
      <c r="PVU56" s="370"/>
      <c r="PVV56" s="370"/>
      <c r="PVW56" s="370"/>
      <c r="PVX56" s="370"/>
      <c r="PVY56" s="370"/>
      <c r="PVZ56" s="370"/>
      <c r="PWA56" s="370"/>
      <c r="PWB56" s="370"/>
      <c r="PWC56" s="370"/>
      <c r="PWD56" s="370"/>
      <c r="PWE56" s="370"/>
      <c r="PWF56" s="370"/>
      <c r="PWG56" s="370"/>
      <c r="PWH56" s="370"/>
      <c r="PWI56" s="370"/>
      <c r="PWJ56" s="370"/>
      <c r="PWK56" s="370"/>
      <c r="PWL56" s="370"/>
      <c r="PWM56" s="370"/>
      <c r="PWN56" s="370"/>
      <c r="PWO56" s="370"/>
      <c r="PWP56" s="370"/>
      <c r="PWQ56" s="370"/>
      <c r="PWR56" s="370"/>
      <c r="PWS56" s="370"/>
      <c r="PWT56" s="370"/>
      <c r="PWU56" s="370"/>
      <c r="PWV56" s="370"/>
      <c r="PWW56" s="370"/>
      <c r="PWX56" s="370"/>
      <c r="PWY56" s="370"/>
      <c r="PWZ56" s="370"/>
      <c r="PXA56" s="370"/>
      <c r="PXB56" s="370"/>
      <c r="PXC56" s="370"/>
      <c r="PXD56" s="370"/>
      <c r="PXE56" s="370"/>
      <c r="PXF56" s="370"/>
      <c r="PXG56" s="370"/>
      <c r="PXH56" s="370"/>
      <c r="PXI56" s="370"/>
      <c r="PXJ56" s="370"/>
      <c r="PXK56" s="370"/>
      <c r="PXL56" s="370"/>
      <c r="PXM56" s="370"/>
      <c r="PXN56" s="370"/>
      <c r="PXO56" s="370"/>
      <c r="PXP56" s="370"/>
      <c r="PXQ56" s="370"/>
      <c r="PXR56" s="370"/>
      <c r="PXS56" s="370"/>
      <c r="PXT56" s="370"/>
      <c r="PXU56" s="370"/>
      <c r="PXV56" s="370"/>
      <c r="PXW56" s="370"/>
      <c r="PXX56" s="370"/>
      <c r="PXY56" s="370"/>
      <c r="PXZ56" s="370"/>
      <c r="PYA56" s="370"/>
      <c r="PYB56" s="370"/>
      <c r="PYC56" s="370"/>
      <c r="PYD56" s="370"/>
      <c r="PYE56" s="370"/>
      <c r="PYF56" s="370"/>
      <c r="PYG56" s="370"/>
      <c r="PYH56" s="370"/>
      <c r="PYI56" s="370"/>
      <c r="PYJ56" s="370"/>
      <c r="PYK56" s="370"/>
      <c r="PYL56" s="370"/>
      <c r="PYM56" s="370"/>
      <c r="PYN56" s="370"/>
      <c r="PYO56" s="370"/>
      <c r="PYP56" s="370"/>
      <c r="PYQ56" s="370"/>
      <c r="PYR56" s="370"/>
      <c r="PYS56" s="370"/>
      <c r="PYT56" s="370"/>
      <c r="PYU56" s="370"/>
      <c r="PYV56" s="370"/>
      <c r="PYW56" s="370"/>
      <c r="PYX56" s="370"/>
      <c r="PYY56" s="370"/>
      <c r="PYZ56" s="370"/>
      <c r="PZA56" s="370"/>
      <c r="PZB56" s="370"/>
      <c r="PZC56" s="370"/>
      <c r="PZD56" s="370"/>
      <c r="PZE56" s="370"/>
      <c r="PZF56" s="370"/>
      <c r="PZG56" s="370"/>
      <c r="PZH56" s="370"/>
      <c r="PZI56" s="370"/>
      <c r="PZJ56" s="370"/>
      <c r="PZK56" s="370"/>
      <c r="PZL56" s="370"/>
      <c r="PZM56" s="370"/>
      <c r="PZN56" s="370"/>
      <c r="PZO56" s="370"/>
      <c r="PZP56" s="370"/>
      <c r="PZQ56" s="370"/>
      <c r="PZR56" s="370"/>
      <c r="PZS56" s="370"/>
      <c r="PZT56" s="370"/>
      <c r="PZU56" s="370"/>
      <c r="PZV56" s="370"/>
      <c r="PZW56" s="370"/>
      <c r="PZX56" s="370"/>
      <c r="PZY56" s="370"/>
      <c r="PZZ56" s="370"/>
      <c r="QAA56" s="370"/>
      <c r="QAB56" s="370"/>
      <c r="QAC56" s="370"/>
      <c r="QAD56" s="370"/>
      <c r="QAE56" s="370"/>
      <c r="QAF56" s="370"/>
      <c r="QAG56" s="370"/>
      <c r="QAH56" s="370"/>
      <c r="QAI56" s="370"/>
      <c r="QAJ56" s="370"/>
      <c r="QAK56" s="370"/>
      <c r="QAL56" s="370"/>
      <c r="QAM56" s="370"/>
      <c r="QAN56" s="370"/>
      <c r="QAO56" s="370"/>
      <c r="QAP56" s="370"/>
      <c r="QAQ56" s="370"/>
      <c r="QAR56" s="370"/>
      <c r="QAS56" s="370"/>
      <c r="QAT56" s="370"/>
      <c r="QAU56" s="370"/>
      <c r="QAV56" s="370"/>
      <c r="QAW56" s="370"/>
      <c r="QAX56" s="370"/>
      <c r="QAY56" s="370"/>
      <c r="QAZ56" s="370"/>
      <c r="QBA56" s="370"/>
      <c r="QBB56" s="370"/>
      <c r="QBC56" s="370"/>
      <c r="QBD56" s="370"/>
      <c r="QBE56" s="370"/>
      <c r="QBF56" s="370"/>
      <c r="QBG56" s="370"/>
      <c r="QBH56" s="370"/>
      <c r="QBI56" s="370"/>
      <c r="QBJ56" s="370"/>
      <c r="QBK56" s="370"/>
      <c r="QBL56" s="370"/>
      <c r="QBM56" s="370"/>
      <c r="QBN56" s="370"/>
      <c r="QBO56" s="370"/>
      <c r="QBP56" s="370"/>
      <c r="QBQ56" s="370"/>
      <c r="QBR56" s="370"/>
      <c r="QBS56" s="370"/>
      <c r="QBT56" s="370"/>
      <c r="QBU56" s="370"/>
      <c r="QBV56" s="370"/>
      <c r="QBW56" s="370"/>
      <c r="QBX56" s="370"/>
      <c r="QBY56" s="370"/>
      <c r="QBZ56" s="370"/>
      <c r="QCA56" s="370"/>
      <c r="QCB56" s="370"/>
      <c r="QCC56" s="370"/>
      <c r="QCD56" s="370"/>
      <c r="QCE56" s="370"/>
      <c r="QCF56" s="370"/>
      <c r="QCG56" s="370"/>
      <c r="QCH56" s="370"/>
      <c r="QCI56" s="370"/>
      <c r="QCJ56" s="370"/>
      <c r="QCK56" s="370"/>
      <c r="QCL56" s="370"/>
      <c r="QCM56" s="370"/>
      <c r="QCN56" s="370"/>
      <c r="QCO56" s="370"/>
      <c r="QCP56" s="370"/>
      <c r="QCQ56" s="370"/>
      <c r="QCR56" s="370"/>
      <c r="QCS56" s="370"/>
      <c r="QCT56" s="370"/>
      <c r="QCU56" s="370"/>
      <c r="QCV56" s="370"/>
      <c r="QCW56" s="370"/>
      <c r="QCX56" s="370"/>
      <c r="QCY56" s="370"/>
      <c r="QCZ56" s="370"/>
      <c r="QDA56" s="370"/>
      <c r="QDB56" s="370"/>
      <c r="QDC56" s="370"/>
      <c r="QDD56" s="370"/>
      <c r="QDE56" s="370"/>
      <c r="QDF56" s="370"/>
      <c r="QDG56" s="370"/>
      <c r="QDH56" s="370"/>
      <c r="QDI56" s="370"/>
      <c r="QDJ56" s="370"/>
      <c r="QDK56" s="370"/>
      <c r="QDL56" s="370"/>
      <c r="QDM56" s="370"/>
      <c r="QDN56" s="370"/>
      <c r="QDO56" s="370"/>
      <c r="QDP56" s="370"/>
      <c r="QDQ56" s="370"/>
      <c r="QDR56" s="370"/>
      <c r="QDS56" s="370"/>
      <c r="QDT56" s="370"/>
      <c r="QDU56" s="370"/>
      <c r="QDV56" s="370"/>
      <c r="QDW56" s="370"/>
      <c r="QDX56" s="370"/>
      <c r="QDY56" s="370"/>
      <c r="QDZ56" s="370"/>
      <c r="QEA56" s="370"/>
      <c r="QEB56" s="370"/>
      <c r="QEC56" s="370"/>
      <c r="QED56" s="370"/>
      <c r="QEE56" s="370"/>
      <c r="QEF56" s="370"/>
      <c r="QEG56" s="370"/>
      <c r="QEH56" s="370"/>
      <c r="QEI56" s="370"/>
      <c r="QEJ56" s="370"/>
      <c r="QEK56" s="370"/>
      <c r="QEL56" s="370"/>
      <c r="QEM56" s="370"/>
      <c r="QEN56" s="370"/>
      <c r="QEO56" s="370"/>
      <c r="QEP56" s="370"/>
      <c r="QEQ56" s="370"/>
      <c r="QER56" s="370"/>
      <c r="QES56" s="370"/>
      <c r="QET56" s="370"/>
      <c r="QEU56" s="370"/>
      <c r="QEV56" s="370"/>
      <c r="QEW56" s="370"/>
      <c r="QEX56" s="370"/>
      <c r="QEY56" s="370"/>
      <c r="QEZ56" s="370"/>
      <c r="QFA56" s="370"/>
      <c r="QFB56" s="370"/>
      <c r="QFC56" s="370"/>
      <c r="QFD56" s="370"/>
      <c r="QFE56" s="370"/>
      <c r="QFF56" s="370"/>
      <c r="QFG56" s="370"/>
      <c r="QFH56" s="370"/>
      <c r="QFI56" s="370"/>
      <c r="QFJ56" s="370"/>
      <c r="QFK56" s="370"/>
      <c r="QFL56" s="370"/>
      <c r="QFM56" s="370"/>
      <c r="QFN56" s="370"/>
      <c r="QFO56" s="370"/>
      <c r="QFP56" s="370"/>
      <c r="QFQ56" s="370"/>
      <c r="QFR56" s="370"/>
      <c r="QFS56" s="370"/>
      <c r="QFT56" s="370"/>
      <c r="QFU56" s="370"/>
      <c r="QFV56" s="370"/>
      <c r="QFW56" s="370"/>
      <c r="QFX56" s="370"/>
      <c r="QFY56" s="370"/>
      <c r="QFZ56" s="370"/>
      <c r="QGA56" s="370"/>
      <c r="QGB56" s="370"/>
      <c r="QGC56" s="370"/>
      <c r="QGD56" s="370"/>
      <c r="QGE56" s="370"/>
      <c r="QGF56" s="370"/>
      <c r="QGG56" s="370"/>
      <c r="QGH56" s="370"/>
      <c r="QGI56" s="370"/>
      <c r="QGJ56" s="370"/>
      <c r="QGK56" s="370"/>
      <c r="QGL56" s="370"/>
      <c r="QGM56" s="370"/>
      <c r="QGN56" s="370"/>
      <c r="QGO56" s="370"/>
      <c r="QGP56" s="370"/>
      <c r="QGQ56" s="370"/>
      <c r="QGR56" s="370"/>
      <c r="QGS56" s="370"/>
      <c r="QGT56" s="370"/>
      <c r="QGU56" s="370"/>
      <c r="QGV56" s="370"/>
      <c r="QGW56" s="370"/>
      <c r="QGX56" s="370"/>
      <c r="QGY56" s="370"/>
      <c r="QGZ56" s="370"/>
      <c r="QHA56" s="370"/>
      <c r="QHB56" s="370"/>
      <c r="QHC56" s="370"/>
      <c r="QHD56" s="370"/>
      <c r="QHE56" s="370"/>
      <c r="QHF56" s="370"/>
      <c r="QHG56" s="370"/>
      <c r="QHH56" s="370"/>
      <c r="QHI56" s="370"/>
      <c r="QHJ56" s="370"/>
      <c r="QHK56" s="370"/>
      <c r="QHL56" s="370"/>
      <c r="QHM56" s="370"/>
      <c r="QHN56" s="370"/>
      <c r="QHO56" s="370"/>
      <c r="QHP56" s="370"/>
      <c r="QHQ56" s="370"/>
      <c r="QHR56" s="370"/>
      <c r="QHS56" s="370"/>
      <c r="QHT56" s="370"/>
      <c r="QHU56" s="370"/>
      <c r="QHV56" s="370"/>
      <c r="QHW56" s="370"/>
      <c r="QHX56" s="370"/>
      <c r="QHY56" s="370"/>
      <c r="QHZ56" s="370"/>
      <c r="QIA56" s="370"/>
      <c r="QIB56" s="370"/>
      <c r="QIC56" s="370"/>
      <c r="QID56" s="370"/>
      <c r="QIE56" s="370"/>
      <c r="QIF56" s="370"/>
      <c r="QIG56" s="370"/>
      <c r="QIH56" s="370"/>
      <c r="QII56" s="370"/>
      <c r="QIJ56" s="370"/>
      <c r="QIK56" s="370"/>
      <c r="QIL56" s="370"/>
      <c r="QIM56" s="370"/>
      <c r="QIN56" s="370"/>
      <c r="QIO56" s="370"/>
      <c r="QIP56" s="370"/>
      <c r="QIQ56" s="370"/>
      <c r="QIR56" s="370"/>
      <c r="QIS56" s="370"/>
      <c r="QIT56" s="370"/>
      <c r="QIU56" s="370"/>
      <c r="QIV56" s="370"/>
      <c r="QIW56" s="370"/>
      <c r="QIX56" s="370"/>
      <c r="QIY56" s="370"/>
      <c r="QIZ56" s="370"/>
      <c r="QJA56" s="370"/>
      <c r="QJB56" s="370"/>
      <c r="QJC56" s="370"/>
      <c r="QJD56" s="370"/>
      <c r="QJE56" s="370"/>
      <c r="QJF56" s="370"/>
      <c r="QJG56" s="370"/>
      <c r="QJH56" s="370"/>
      <c r="QJI56" s="370"/>
      <c r="QJJ56" s="370"/>
      <c r="QJK56" s="370"/>
      <c r="QJL56" s="370"/>
      <c r="QJM56" s="370"/>
      <c r="QJN56" s="370"/>
      <c r="QJO56" s="370"/>
      <c r="QJP56" s="370"/>
      <c r="QJQ56" s="370"/>
      <c r="QJR56" s="370"/>
      <c r="QJS56" s="370"/>
      <c r="QJT56" s="370"/>
      <c r="QJU56" s="370"/>
      <c r="QJV56" s="370"/>
      <c r="QJW56" s="370"/>
      <c r="QJX56" s="370"/>
      <c r="QJY56" s="370"/>
      <c r="QJZ56" s="370"/>
      <c r="QKA56" s="370"/>
      <c r="QKB56" s="370"/>
      <c r="QKC56" s="370"/>
      <c r="QKD56" s="370"/>
      <c r="QKE56" s="370"/>
      <c r="QKF56" s="370"/>
      <c r="QKG56" s="370"/>
      <c r="QKH56" s="370"/>
      <c r="QKI56" s="370"/>
      <c r="QKJ56" s="370"/>
      <c r="QKK56" s="370"/>
      <c r="QKL56" s="370"/>
      <c r="QKM56" s="370"/>
      <c r="QKN56" s="370"/>
      <c r="QKO56" s="370"/>
      <c r="QKP56" s="370"/>
      <c r="QKQ56" s="370"/>
      <c r="QKR56" s="370"/>
      <c r="QKS56" s="370"/>
      <c r="QKT56" s="370"/>
      <c r="QKU56" s="370"/>
      <c r="QKV56" s="370"/>
      <c r="QKW56" s="370"/>
      <c r="QKX56" s="370"/>
      <c r="QKY56" s="370"/>
      <c r="QKZ56" s="370"/>
      <c r="QLA56" s="370"/>
      <c r="QLB56" s="370"/>
      <c r="QLC56" s="370"/>
      <c r="QLD56" s="370"/>
      <c r="QLE56" s="370"/>
      <c r="QLF56" s="370"/>
      <c r="QLG56" s="370"/>
      <c r="QLH56" s="370"/>
      <c r="QLI56" s="370"/>
      <c r="QLJ56" s="370"/>
      <c r="QLK56" s="370"/>
      <c r="QLL56" s="370"/>
      <c r="QLM56" s="370"/>
      <c r="QLN56" s="370"/>
      <c r="QLO56" s="370"/>
      <c r="QLP56" s="370"/>
      <c r="QLQ56" s="370"/>
      <c r="QLR56" s="370"/>
      <c r="QLS56" s="370"/>
      <c r="QLT56" s="370"/>
      <c r="QLU56" s="370"/>
      <c r="QLV56" s="370"/>
      <c r="QLW56" s="370"/>
      <c r="QLX56" s="370"/>
      <c r="QLY56" s="370"/>
      <c r="QLZ56" s="370"/>
      <c r="QMA56" s="370"/>
      <c r="QMB56" s="370"/>
      <c r="QMC56" s="370"/>
      <c r="QMD56" s="370"/>
      <c r="QME56" s="370"/>
      <c r="QMF56" s="370"/>
      <c r="QMG56" s="370"/>
      <c r="QMH56" s="370"/>
      <c r="QMI56" s="370"/>
      <c r="QMJ56" s="370"/>
      <c r="QMK56" s="370"/>
      <c r="QML56" s="370"/>
      <c r="QMM56" s="370"/>
      <c r="QMN56" s="370"/>
      <c r="QMO56" s="370"/>
      <c r="QMP56" s="370"/>
      <c r="QMQ56" s="370"/>
      <c r="QMR56" s="370"/>
      <c r="QMS56" s="370"/>
      <c r="QMT56" s="370"/>
      <c r="QMU56" s="370"/>
      <c r="QMV56" s="370"/>
      <c r="QMW56" s="370"/>
      <c r="QMX56" s="370"/>
      <c r="QMY56" s="370"/>
      <c r="QMZ56" s="370"/>
      <c r="QNA56" s="370"/>
      <c r="QNB56" s="370"/>
      <c r="QNC56" s="370"/>
      <c r="QND56" s="370"/>
      <c r="QNE56" s="370"/>
      <c r="QNF56" s="370"/>
      <c r="QNG56" s="370"/>
      <c r="QNH56" s="370"/>
      <c r="QNI56" s="370"/>
      <c r="QNJ56" s="370"/>
      <c r="QNK56" s="370"/>
      <c r="QNL56" s="370"/>
      <c r="QNM56" s="370"/>
      <c r="QNN56" s="370"/>
      <c r="QNO56" s="370"/>
      <c r="QNP56" s="370"/>
      <c r="QNQ56" s="370"/>
      <c r="QNR56" s="370"/>
      <c r="QNS56" s="370"/>
      <c r="QNT56" s="370"/>
      <c r="QNU56" s="370"/>
      <c r="QNV56" s="370"/>
      <c r="QNW56" s="370"/>
      <c r="QNX56" s="370"/>
      <c r="QNY56" s="370"/>
      <c r="QNZ56" s="370"/>
      <c r="QOA56" s="370"/>
      <c r="QOB56" s="370"/>
      <c r="QOC56" s="370"/>
      <c r="QOD56" s="370"/>
      <c r="QOE56" s="370"/>
      <c r="QOF56" s="370"/>
      <c r="QOG56" s="370"/>
      <c r="QOH56" s="370"/>
      <c r="QOI56" s="370"/>
      <c r="QOJ56" s="370"/>
      <c r="QOK56" s="370"/>
      <c r="QOL56" s="370"/>
      <c r="QOM56" s="370"/>
      <c r="QON56" s="370"/>
      <c r="QOO56" s="370"/>
      <c r="QOP56" s="370"/>
      <c r="QOQ56" s="370"/>
      <c r="QOR56" s="370"/>
      <c r="QOS56" s="370"/>
      <c r="QOT56" s="370"/>
      <c r="QOU56" s="370"/>
      <c r="QOV56" s="370"/>
      <c r="QOW56" s="370"/>
      <c r="QOX56" s="370"/>
      <c r="QOY56" s="370"/>
      <c r="QOZ56" s="370"/>
      <c r="QPA56" s="370"/>
      <c r="QPB56" s="370"/>
      <c r="QPC56" s="370"/>
      <c r="QPD56" s="370"/>
      <c r="QPE56" s="370"/>
      <c r="QPF56" s="370"/>
      <c r="QPG56" s="370"/>
      <c r="QPH56" s="370"/>
      <c r="QPI56" s="370"/>
      <c r="QPJ56" s="370"/>
      <c r="QPK56" s="370"/>
      <c r="QPL56" s="370"/>
      <c r="QPM56" s="370"/>
      <c r="QPN56" s="370"/>
      <c r="QPO56" s="370"/>
      <c r="QPP56" s="370"/>
      <c r="QPQ56" s="370"/>
      <c r="QPR56" s="370"/>
      <c r="QPS56" s="370"/>
      <c r="QPT56" s="370"/>
      <c r="QPU56" s="370"/>
      <c r="QPV56" s="370"/>
      <c r="QPW56" s="370"/>
      <c r="QPX56" s="370"/>
      <c r="QPY56" s="370"/>
      <c r="QPZ56" s="370"/>
      <c r="QQA56" s="370"/>
      <c r="QQB56" s="370"/>
      <c r="QQC56" s="370"/>
      <c r="QQD56" s="370"/>
      <c r="QQE56" s="370"/>
      <c r="QQF56" s="370"/>
      <c r="QQG56" s="370"/>
      <c r="QQH56" s="370"/>
      <c r="QQI56" s="370"/>
      <c r="QQJ56" s="370"/>
      <c r="QQK56" s="370"/>
      <c r="QQL56" s="370"/>
      <c r="QQM56" s="370"/>
      <c r="QQN56" s="370"/>
      <c r="QQO56" s="370"/>
      <c r="QQP56" s="370"/>
      <c r="QQQ56" s="370"/>
      <c r="QQR56" s="370"/>
      <c r="QQS56" s="370"/>
      <c r="QQT56" s="370"/>
      <c r="QQU56" s="370"/>
      <c r="QQV56" s="370"/>
      <c r="QQW56" s="370"/>
      <c r="QQX56" s="370"/>
      <c r="QQY56" s="370"/>
      <c r="QQZ56" s="370"/>
      <c r="QRA56" s="370"/>
      <c r="QRB56" s="370"/>
      <c r="QRC56" s="370"/>
      <c r="QRD56" s="370"/>
      <c r="QRE56" s="370"/>
      <c r="QRF56" s="370"/>
      <c r="QRG56" s="370"/>
      <c r="QRH56" s="370"/>
      <c r="QRI56" s="370"/>
      <c r="QRJ56" s="370"/>
      <c r="QRK56" s="370"/>
      <c r="QRL56" s="370"/>
      <c r="QRM56" s="370"/>
      <c r="QRN56" s="370"/>
      <c r="QRO56" s="370"/>
      <c r="QRP56" s="370"/>
      <c r="QRQ56" s="370"/>
      <c r="QRR56" s="370"/>
      <c r="QRS56" s="370"/>
      <c r="QRT56" s="370"/>
      <c r="QRU56" s="370"/>
      <c r="QRV56" s="370"/>
      <c r="QRW56" s="370"/>
      <c r="QRX56" s="370"/>
      <c r="QRY56" s="370"/>
      <c r="QRZ56" s="370"/>
      <c r="QSA56" s="370"/>
      <c r="QSB56" s="370"/>
      <c r="QSC56" s="370"/>
      <c r="QSD56" s="370"/>
      <c r="QSE56" s="370"/>
      <c r="QSF56" s="370"/>
      <c r="QSG56" s="370"/>
      <c r="QSH56" s="370"/>
      <c r="QSI56" s="370"/>
      <c r="QSJ56" s="370"/>
      <c r="QSK56" s="370"/>
      <c r="QSL56" s="370"/>
      <c r="QSM56" s="370"/>
      <c r="QSN56" s="370"/>
      <c r="QSO56" s="370"/>
      <c r="QSP56" s="370"/>
      <c r="QSQ56" s="370"/>
      <c r="QSR56" s="370"/>
      <c r="QSS56" s="370"/>
      <c r="QST56" s="370"/>
      <c r="QSU56" s="370"/>
      <c r="QSV56" s="370"/>
      <c r="QSW56" s="370"/>
      <c r="QSX56" s="370"/>
      <c r="QSY56" s="370"/>
      <c r="QSZ56" s="370"/>
      <c r="QTA56" s="370"/>
      <c r="QTB56" s="370"/>
      <c r="QTC56" s="370"/>
      <c r="QTD56" s="370"/>
      <c r="QTE56" s="370"/>
      <c r="QTF56" s="370"/>
      <c r="QTG56" s="370"/>
      <c r="QTH56" s="370"/>
      <c r="QTI56" s="370"/>
      <c r="QTJ56" s="370"/>
      <c r="QTK56" s="370"/>
      <c r="QTL56" s="370"/>
      <c r="QTM56" s="370"/>
      <c r="QTN56" s="370"/>
      <c r="QTO56" s="370"/>
      <c r="QTP56" s="370"/>
      <c r="QTQ56" s="370"/>
      <c r="QTR56" s="370"/>
      <c r="QTS56" s="370"/>
      <c r="QTT56" s="370"/>
      <c r="QTU56" s="370"/>
      <c r="QTV56" s="370"/>
      <c r="QTW56" s="370"/>
      <c r="QTX56" s="370"/>
      <c r="QTY56" s="370"/>
      <c r="QTZ56" s="370"/>
      <c r="QUA56" s="370"/>
      <c r="QUB56" s="370"/>
      <c r="QUC56" s="370"/>
      <c r="QUD56" s="370"/>
      <c r="QUE56" s="370"/>
      <c r="QUF56" s="370"/>
      <c r="QUG56" s="370"/>
      <c r="QUH56" s="370"/>
      <c r="QUI56" s="370"/>
      <c r="QUJ56" s="370"/>
      <c r="QUK56" s="370"/>
      <c r="QUL56" s="370"/>
      <c r="QUM56" s="370"/>
      <c r="QUN56" s="370"/>
      <c r="QUO56" s="370"/>
      <c r="QUP56" s="370"/>
      <c r="QUQ56" s="370"/>
      <c r="QUR56" s="370"/>
      <c r="QUS56" s="370"/>
      <c r="QUT56" s="370"/>
      <c r="QUU56" s="370"/>
      <c r="QUV56" s="370"/>
      <c r="QUW56" s="370"/>
      <c r="QUX56" s="370"/>
      <c r="QUY56" s="370"/>
      <c r="QUZ56" s="370"/>
      <c r="QVA56" s="370"/>
      <c r="QVB56" s="370"/>
      <c r="QVC56" s="370"/>
      <c r="QVD56" s="370"/>
      <c r="QVE56" s="370"/>
      <c r="QVF56" s="370"/>
      <c r="QVG56" s="370"/>
      <c r="QVH56" s="370"/>
      <c r="QVI56" s="370"/>
      <c r="QVJ56" s="370"/>
      <c r="QVK56" s="370"/>
      <c r="QVL56" s="370"/>
      <c r="QVM56" s="370"/>
      <c r="QVN56" s="370"/>
      <c r="QVO56" s="370"/>
      <c r="QVP56" s="370"/>
      <c r="QVQ56" s="370"/>
      <c r="QVR56" s="370"/>
      <c r="QVS56" s="370"/>
      <c r="QVT56" s="370"/>
      <c r="QVU56" s="370"/>
      <c r="QVV56" s="370"/>
      <c r="QVW56" s="370"/>
      <c r="QVX56" s="370"/>
      <c r="QVY56" s="370"/>
      <c r="QVZ56" s="370"/>
      <c r="QWA56" s="370"/>
      <c r="QWB56" s="370"/>
      <c r="QWC56" s="370"/>
      <c r="QWD56" s="370"/>
      <c r="QWE56" s="370"/>
      <c r="QWF56" s="370"/>
      <c r="QWG56" s="370"/>
      <c r="QWH56" s="370"/>
      <c r="QWI56" s="370"/>
      <c r="QWJ56" s="370"/>
      <c r="QWK56" s="370"/>
      <c r="QWL56" s="370"/>
      <c r="QWM56" s="370"/>
      <c r="QWN56" s="370"/>
      <c r="QWO56" s="370"/>
      <c r="QWP56" s="370"/>
      <c r="QWQ56" s="370"/>
      <c r="QWR56" s="370"/>
      <c r="QWS56" s="370"/>
      <c r="QWT56" s="370"/>
      <c r="QWU56" s="370"/>
      <c r="QWV56" s="370"/>
      <c r="QWW56" s="370"/>
      <c r="QWX56" s="370"/>
      <c r="QWY56" s="370"/>
      <c r="QWZ56" s="370"/>
      <c r="QXA56" s="370"/>
      <c r="QXB56" s="370"/>
      <c r="QXC56" s="370"/>
      <c r="QXD56" s="370"/>
      <c r="QXE56" s="370"/>
      <c r="QXF56" s="370"/>
      <c r="QXG56" s="370"/>
      <c r="QXH56" s="370"/>
      <c r="QXI56" s="370"/>
      <c r="QXJ56" s="370"/>
      <c r="QXK56" s="370"/>
      <c r="QXL56" s="370"/>
      <c r="QXM56" s="370"/>
      <c r="QXN56" s="370"/>
      <c r="QXO56" s="370"/>
      <c r="QXP56" s="370"/>
      <c r="QXQ56" s="370"/>
      <c r="QXR56" s="370"/>
      <c r="QXS56" s="370"/>
      <c r="QXT56" s="370"/>
      <c r="QXU56" s="370"/>
      <c r="QXV56" s="370"/>
      <c r="QXW56" s="370"/>
      <c r="QXX56" s="370"/>
      <c r="QXY56" s="370"/>
      <c r="QXZ56" s="370"/>
      <c r="QYA56" s="370"/>
      <c r="QYB56" s="370"/>
      <c r="QYC56" s="370"/>
      <c r="QYD56" s="370"/>
      <c r="QYE56" s="370"/>
      <c r="QYF56" s="370"/>
      <c r="QYG56" s="370"/>
      <c r="QYH56" s="370"/>
      <c r="QYI56" s="370"/>
      <c r="QYJ56" s="370"/>
      <c r="QYK56" s="370"/>
      <c r="QYL56" s="370"/>
      <c r="QYM56" s="370"/>
      <c r="QYN56" s="370"/>
      <c r="QYO56" s="370"/>
      <c r="QYP56" s="370"/>
      <c r="QYQ56" s="370"/>
      <c r="QYR56" s="370"/>
      <c r="QYS56" s="370"/>
      <c r="QYT56" s="370"/>
      <c r="QYU56" s="370"/>
      <c r="QYV56" s="370"/>
      <c r="QYW56" s="370"/>
      <c r="QYX56" s="370"/>
      <c r="QYY56" s="370"/>
      <c r="QYZ56" s="370"/>
      <c r="QZA56" s="370"/>
      <c r="QZB56" s="370"/>
      <c r="QZC56" s="370"/>
      <c r="QZD56" s="370"/>
      <c r="QZE56" s="370"/>
      <c r="QZF56" s="370"/>
      <c r="QZG56" s="370"/>
      <c r="QZH56" s="370"/>
      <c r="QZI56" s="370"/>
      <c r="QZJ56" s="370"/>
      <c r="QZK56" s="370"/>
      <c r="QZL56" s="370"/>
      <c r="QZM56" s="370"/>
      <c r="QZN56" s="370"/>
      <c r="QZO56" s="370"/>
      <c r="QZP56" s="370"/>
      <c r="QZQ56" s="370"/>
      <c r="QZR56" s="370"/>
      <c r="QZS56" s="370"/>
      <c r="QZT56" s="370"/>
      <c r="QZU56" s="370"/>
      <c r="QZV56" s="370"/>
      <c r="QZW56" s="370"/>
      <c r="QZX56" s="370"/>
      <c r="QZY56" s="370"/>
      <c r="QZZ56" s="370"/>
      <c r="RAA56" s="370"/>
      <c r="RAB56" s="370"/>
      <c r="RAC56" s="370"/>
      <c r="RAD56" s="370"/>
      <c r="RAE56" s="370"/>
      <c r="RAF56" s="370"/>
      <c r="RAG56" s="370"/>
      <c r="RAH56" s="370"/>
      <c r="RAI56" s="370"/>
      <c r="RAJ56" s="370"/>
      <c r="RAK56" s="370"/>
      <c r="RAL56" s="370"/>
      <c r="RAM56" s="370"/>
      <c r="RAN56" s="370"/>
      <c r="RAO56" s="370"/>
      <c r="RAP56" s="370"/>
      <c r="RAQ56" s="370"/>
      <c r="RAR56" s="370"/>
      <c r="RAS56" s="370"/>
      <c r="RAT56" s="370"/>
      <c r="RAU56" s="370"/>
      <c r="RAV56" s="370"/>
      <c r="RAW56" s="370"/>
      <c r="RAX56" s="370"/>
      <c r="RAY56" s="370"/>
      <c r="RAZ56" s="370"/>
      <c r="RBA56" s="370"/>
      <c r="RBB56" s="370"/>
      <c r="RBC56" s="370"/>
      <c r="RBD56" s="370"/>
      <c r="RBE56" s="370"/>
      <c r="RBF56" s="370"/>
      <c r="RBG56" s="370"/>
      <c r="RBH56" s="370"/>
      <c r="RBI56" s="370"/>
      <c r="RBJ56" s="370"/>
      <c r="RBK56" s="370"/>
      <c r="RBL56" s="370"/>
      <c r="RBM56" s="370"/>
      <c r="RBN56" s="370"/>
      <c r="RBO56" s="370"/>
      <c r="RBP56" s="370"/>
      <c r="RBQ56" s="370"/>
      <c r="RBR56" s="370"/>
      <c r="RBS56" s="370"/>
      <c r="RBT56" s="370"/>
      <c r="RBU56" s="370"/>
      <c r="RBV56" s="370"/>
      <c r="RBW56" s="370"/>
      <c r="RBX56" s="370"/>
      <c r="RBY56" s="370"/>
      <c r="RBZ56" s="370"/>
      <c r="RCA56" s="370"/>
      <c r="RCB56" s="370"/>
      <c r="RCC56" s="370"/>
      <c r="RCD56" s="370"/>
      <c r="RCE56" s="370"/>
      <c r="RCF56" s="370"/>
      <c r="RCG56" s="370"/>
      <c r="RCH56" s="370"/>
      <c r="RCI56" s="370"/>
      <c r="RCJ56" s="370"/>
      <c r="RCK56" s="370"/>
      <c r="RCL56" s="370"/>
      <c r="RCM56" s="370"/>
      <c r="RCN56" s="370"/>
      <c r="RCO56" s="370"/>
      <c r="RCP56" s="370"/>
      <c r="RCQ56" s="370"/>
      <c r="RCR56" s="370"/>
      <c r="RCS56" s="370"/>
      <c r="RCT56" s="370"/>
      <c r="RCU56" s="370"/>
      <c r="RCV56" s="370"/>
      <c r="RCW56" s="370"/>
      <c r="RCX56" s="370"/>
      <c r="RCY56" s="370"/>
      <c r="RCZ56" s="370"/>
      <c r="RDA56" s="370"/>
      <c r="RDB56" s="370"/>
      <c r="RDC56" s="370"/>
      <c r="RDD56" s="370"/>
      <c r="RDE56" s="370"/>
      <c r="RDF56" s="370"/>
      <c r="RDG56" s="370"/>
      <c r="RDH56" s="370"/>
      <c r="RDI56" s="370"/>
      <c r="RDJ56" s="370"/>
      <c r="RDK56" s="370"/>
      <c r="RDL56" s="370"/>
      <c r="RDM56" s="370"/>
      <c r="RDN56" s="370"/>
      <c r="RDO56" s="370"/>
      <c r="RDP56" s="370"/>
      <c r="RDQ56" s="370"/>
      <c r="RDR56" s="370"/>
      <c r="RDS56" s="370"/>
      <c r="RDT56" s="370"/>
      <c r="RDU56" s="370"/>
      <c r="RDV56" s="370"/>
      <c r="RDW56" s="370"/>
      <c r="RDX56" s="370"/>
      <c r="RDY56" s="370"/>
      <c r="RDZ56" s="370"/>
      <c r="REA56" s="370"/>
      <c r="REB56" s="370"/>
      <c r="REC56" s="370"/>
      <c r="RED56" s="370"/>
      <c r="REE56" s="370"/>
      <c r="REF56" s="370"/>
      <c r="REG56" s="370"/>
      <c r="REH56" s="370"/>
      <c r="REI56" s="370"/>
      <c r="REJ56" s="370"/>
      <c r="REK56" s="370"/>
      <c r="REL56" s="370"/>
      <c r="REM56" s="370"/>
      <c r="REN56" s="370"/>
      <c r="REO56" s="370"/>
      <c r="REP56" s="370"/>
      <c r="REQ56" s="370"/>
      <c r="RER56" s="370"/>
      <c r="RES56" s="370"/>
      <c r="RET56" s="370"/>
      <c r="REU56" s="370"/>
      <c r="REV56" s="370"/>
      <c r="REW56" s="370"/>
      <c r="REX56" s="370"/>
      <c r="REY56" s="370"/>
      <c r="REZ56" s="370"/>
      <c r="RFA56" s="370"/>
      <c r="RFB56" s="370"/>
      <c r="RFC56" s="370"/>
      <c r="RFD56" s="370"/>
      <c r="RFE56" s="370"/>
      <c r="RFF56" s="370"/>
      <c r="RFG56" s="370"/>
      <c r="RFH56" s="370"/>
      <c r="RFI56" s="370"/>
      <c r="RFJ56" s="370"/>
      <c r="RFK56" s="370"/>
      <c r="RFL56" s="370"/>
      <c r="RFM56" s="370"/>
      <c r="RFN56" s="370"/>
      <c r="RFO56" s="370"/>
      <c r="RFP56" s="370"/>
      <c r="RFQ56" s="370"/>
      <c r="RFR56" s="370"/>
      <c r="RFS56" s="370"/>
      <c r="RFT56" s="370"/>
      <c r="RFU56" s="370"/>
      <c r="RFV56" s="370"/>
      <c r="RFW56" s="370"/>
      <c r="RFX56" s="370"/>
      <c r="RFY56" s="370"/>
      <c r="RFZ56" s="370"/>
      <c r="RGA56" s="370"/>
      <c r="RGB56" s="370"/>
      <c r="RGC56" s="370"/>
      <c r="RGD56" s="370"/>
      <c r="RGE56" s="370"/>
      <c r="RGF56" s="370"/>
      <c r="RGG56" s="370"/>
      <c r="RGH56" s="370"/>
      <c r="RGI56" s="370"/>
      <c r="RGJ56" s="370"/>
      <c r="RGK56" s="370"/>
      <c r="RGL56" s="370"/>
      <c r="RGM56" s="370"/>
      <c r="RGN56" s="370"/>
      <c r="RGO56" s="370"/>
      <c r="RGP56" s="370"/>
      <c r="RGQ56" s="370"/>
      <c r="RGR56" s="370"/>
      <c r="RGS56" s="370"/>
      <c r="RGT56" s="370"/>
      <c r="RGU56" s="370"/>
      <c r="RGV56" s="370"/>
      <c r="RGW56" s="370"/>
      <c r="RGX56" s="370"/>
      <c r="RGY56" s="370"/>
      <c r="RGZ56" s="370"/>
      <c r="RHA56" s="370"/>
      <c r="RHB56" s="370"/>
      <c r="RHC56" s="370"/>
      <c r="RHD56" s="370"/>
      <c r="RHE56" s="370"/>
      <c r="RHF56" s="370"/>
      <c r="RHG56" s="370"/>
      <c r="RHH56" s="370"/>
      <c r="RHI56" s="370"/>
      <c r="RHJ56" s="370"/>
      <c r="RHK56" s="370"/>
      <c r="RHL56" s="370"/>
      <c r="RHM56" s="370"/>
      <c r="RHN56" s="370"/>
      <c r="RHO56" s="370"/>
      <c r="RHP56" s="370"/>
      <c r="RHQ56" s="370"/>
      <c r="RHR56" s="370"/>
      <c r="RHS56" s="370"/>
      <c r="RHT56" s="370"/>
      <c r="RHU56" s="370"/>
      <c r="RHV56" s="370"/>
      <c r="RHW56" s="370"/>
      <c r="RHX56" s="370"/>
      <c r="RHY56" s="370"/>
      <c r="RHZ56" s="370"/>
      <c r="RIA56" s="370"/>
      <c r="RIB56" s="370"/>
      <c r="RIC56" s="370"/>
      <c r="RID56" s="370"/>
      <c r="RIE56" s="370"/>
      <c r="RIF56" s="370"/>
      <c r="RIG56" s="370"/>
      <c r="RIH56" s="370"/>
      <c r="RII56" s="370"/>
      <c r="RIJ56" s="370"/>
      <c r="RIK56" s="370"/>
      <c r="RIL56" s="370"/>
      <c r="RIM56" s="370"/>
      <c r="RIN56" s="370"/>
      <c r="RIO56" s="370"/>
      <c r="RIP56" s="370"/>
      <c r="RIQ56" s="370"/>
      <c r="RIR56" s="370"/>
      <c r="RIS56" s="370"/>
      <c r="RIT56" s="370"/>
      <c r="RIU56" s="370"/>
      <c r="RIV56" s="370"/>
      <c r="RIW56" s="370"/>
      <c r="RIX56" s="370"/>
      <c r="RIY56" s="370"/>
      <c r="RIZ56" s="370"/>
      <c r="RJA56" s="370"/>
      <c r="RJB56" s="370"/>
      <c r="RJC56" s="370"/>
      <c r="RJD56" s="370"/>
      <c r="RJE56" s="370"/>
      <c r="RJF56" s="370"/>
      <c r="RJG56" s="370"/>
      <c r="RJH56" s="370"/>
      <c r="RJI56" s="370"/>
      <c r="RJJ56" s="370"/>
      <c r="RJK56" s="370"/>
      <c r="RJL56" s="370"/>
      <c r="RJM56" s="370"/>
      <c r="RJN56" s="370"/>
      <c r="RJO56" s="370"/>
      <c r="RJP56" s="370"/>
      <c r="RJQ56" s="370"/>
      <c r="RJR56" s="370"/>
      <c r="RJS56" s="370"/>
      <c r="RJT56" s="370"/>
      <c r="RJU56" s="370"/>
      <c r="RJV56" s="370"/>
      <c r="RJW56" s="370"/>
      <c r="RJX56" s="370"/>
      <c r="RJY56" s="370"/>
      <c r="RJZ56" s="370"/>
      <c r="RKA56" s="370"/>
      <c r="RKB56" s="370"/>
      <c r="RKC56" s="370"/>
      <c r="RKD56" s="370"/>
      <c r="RKE56" s="370"/>
      <c r="RKF56" s="370"/>
      <c r="RKG56" s="370"/>
      <c r="RKH56" s="370"/>
      <c r="RKI56" s="370"/>
      <c r="RKJ56" s="370"/>
      <c r="RKK56" s="370"/>
      <c r="RKL56" s="370"/>
      <c r="RKM56" s="370"/>
      <c r="RKN56" s="370"/>
      <c r="RKO56" s="370"/>
      <c r="RKP56" s="370"/>
      <c r="RKQ56" s="370"/>
      <c r="RKR56" s="370"/>
      <c r="RKS56" s="370"/>
      <c r="RKT56" s="370"/>
      <c r="RKU56" s="370"/>
      <c r="RKV56" s="370"/>
      <c r="RKW56" s="370"/>
      <c r="RKX56" s="370"/>
      <c r="RKY56" s="370"/>
      <c r="RKZ56" s="370"/>
      <c r="RLA56" s="370"/>
      <c r="RLB56" s="370"/>
      <c r="RLC56" s="370"/>
      <c r="RLD56" s="370"/>
      <c r="RLE56" s="370"/>
      <c r="RLF56" s="370"/>
      <c r="RLG56" s="370"/>
      <c r="RLH56" s="370"/>
      <c r="RLI56" s="370"/>
      <c r="RLJ56" s="370"/>
      <c r="RLK56" s="370"/>
      <c r="RLL56" s="370"/>
      <c r="RLM56" s="370"/>
      <c r="RLN56" s="370"/>
      <c r="RLO56" s="370"/>
      <c r="RLP56" s="370"/>
      <c r="RLQ56" s="370"/>
      <c r="RLR56" s="370"/>
      <c r="RLS56" s="370"/>
      <c r="RLT56" s="370"/>
      <c r="RLU56" s="370"/>
      <c r="RLV56" s="370"/>
      <c r="RLW56" s="370"/>
      <c r="RLX56" s="370"/>
      <c r="RLY56" s="370"/>
      <c r="RLZ56" s="370"/>
      <c r="RMA56" s="370"/>
      <c r="RMB56" s="370"/>
      <c r="RMC56" s="370"/>
      <c r="RMD56" s="370"/>
      <c r="RME56" s="370"/>
      <c r="RMF56" s="370"/>
      <c r="RMG56" s="370"/>
      <c r="RMH56" s="370"/>
      <c r="RMI56" s="370"/>
      <c r="RMJ56" s="370"/>
      <c r="RMK56" s="370"/>
      <c r="RML56" s="370"/>
      <c r="RMM56" s="370"/>
      <c r="RMN56" s="370"/>
      <c r="RMO56" s="370"/>
      <c r="RMP56" s="370"/>
      <c r="RMQ56" s="370"/>
      <c r="RMR56" s="370"/>
      <c r="RMS56" s="370"/>
      <c r="RMT56" s="370"/>
      <c r="RMU56" s="370"/>
      <c r="RMV56" s="370"/>
      <c r="RMW56" s="370"/>
      <c r="RMX56" s="370"/>
      <c r="RMY56" s="370"/>
      <c r="RMZ56" s="370"/>
      <c r="RNA56" s="370"/>
      <c r="RNB56" s="370"/>
      <c r="RNC56" s="370"/>
      <c r="RND56" s="370"/>
      <c r="RNE56" s="370"/>
      <c r="RNF56" s="370"/>
      <c r="RNG56" s="370"/>
      <c r="RNH56" s="370"/>
      <c r="RNI56" s="370"/>
      <c r="RNJ56" s="370"/>
      <c r="RNK56" s="370"/>
      <c r="RNL56" s="370"/>
      <c r="RNM56" s="370"/>
      <c r="RNN56" s="370"/>
      <c r="RNO56" s="370"/>
      <c r="RNP56" s="370"/>
      <c r="RNQ56" s="370"/>
      <c r="RNR56" s="370"/>
      <c r="RNS56" s="370"/>
      <c r="RNT56" s="370"/>
      <c r="RNU56" s="370"/>
      <c r="RNV56" s="370"/>
      <c r="RNW56" s="370"/>
      <c r="RNX56" s="370"/>
      <c r="RNY56" s="370"/>
      <c r="RNZ56" s="370"/>
      <c r="ROA56" s="370"/>
      <c r="ROB56" s="370"/>
      <c r="ROC56" s="370"/>
      <c r="ROD56" s="370"/>
      <c r="ROE56" s="370"/>
      <c r="ROF56" s="370"/>
      <c r="ROG56" s="370"/>
      <c r="ROH56" s="370"/>
      <c r="ROI56" s="370"/>
      <c r="ROJ56" s="370"/>
      <c r="ROK56" s="370"/>
      <c r="ROL56" s="370"/>
      <c r="ROM56" s="370"/>
      <c r="RON56" s="370"/>
      <c r="ROO56" s="370"/>
      <c r="ROP56" s="370"/>
      <c r="ROQ56" s="370"/>
      <c r="ROR56" s="370"/>
      <c r="ROS56" s="370"/>
      <c r="ROT56" s="370"/>
      <c r="ROU56" s="370"/>
      <c r="ROV56" s="370"/>
      <c r="ROW56" s="370"/>
      <c r="ROX56" s="370"/>
      <c r="ROY56" s="370"/>
      <c r="ROZ56" s="370"/>
      <c r="RPA56" s="370"/>
      <c r="RPB56" s="370"/>
      <c r="RPC56" s="370"/>
      <c r="RPD56" s="370"/>
      <c r="RPE56" s="370"/>
      <c r="RPF56" s="370"/>
      <c r="RPG56" s="370"/>
      <c r="RPH56" s="370"/>
      <c r="RPI56" s="370"/>
      <c r="RPJ56" s="370"/>
      <c r="RPK56" s="370"/>
      <c r="RPL56" s="370"/>
      <c r="RPM56" s="370"/>
      <c r="RPN56" s="370"/>
      <c r="RPO56" s="370"/>
      <c r="RPP56" s="370"/>
      <c r="RPQ56" s="370"/>
      <c r="RPR56" s="370"/>
      <c r="RPS56" s="370"/>
      <c r="RPT56" s="370"/>
      <c r="RPU56" s="370"/>
      <c r="RPV56" s="370"/>
      <c r="RPW56" s="370"/>
      <c r="RPX56" s="370"/>
      <c r="RPY56" s="370"/>
      <c r="RPZ56" s="370"/>
      <c r="RQA56" s="370"/>
      <c r="RQB56" s="370"/>
      <c r="RQC56" s="370"/>
      <c r="RQD56" s="370"/>
      <c r="RQE56" s="370"/>
      <c r="RQF56" s="370"/>
      <c r="RQG56" s="370"/>
      <c r="RQH56" s="370"/>
      <c r="RQI56" s="370"/>
      <c r="RQJ56" s="370"/>
      <c r="RQK56" s="370"/>
      <c r="RQL56" s="370"/>
      <c r="RQM56" s="370"/>
      <c r="RQN56" s="370"/>
      <c r="RQO56" s="370"/>
      <c r="RQP56" s="370"/>
      <c r="RQQ56" s="370"/>
      <c r="RQR56" s="370"/>
      <c r="RQS56" s="370"/>
      <c r="RQT56" s="370"/>
      <c r="RQU56" s="370"/>
      <c r="RQV56" s="370"/>
      <c r="RQW56" s="370"/>
      <c r="RQX56" s="370"/>
      <c r="RQY56" s="370"/>
      <c r="RQZ56" s="370"/>
      <c r="RRA56" s="370"/>
      <c r="RRB56" s="370"/>
      <c r="RRC56" s="370"/>
      <c r="RRD56" s="370"/>
      <c r="RRE56" s="370"/>
      <c r="RRF56" s="370"/>
      <c r="RRG56" s="370"/>
      <c r="RRH56" s="370"/>
      <c r="RRI56" s="370"/>
      <c r="RRJ56" s="370"/>
      <c r="RRK56" s="370"/>
      <c r="RRL56" s="370"/>
      <c r="RRM56" s="370"/>
      <c r="RRN56" s="370"/>
      <c r="RRO56" s="370"/>
      <c r="RRP56" s="370"/>
      <c r="RRQ56" s="370"/>
      <c r="RRR56" s="370"/>
      <c r="RRS56" s="370"/>
      <c r="RRT56" s="370"/>
      <c r="RRU56" s="370"/>
      <c r="RRV56" s="370"/>
      <c r="RRW56" s="370"/>
      <c r="RRX56" s="370"/>
      <c r="RRY56" s="370"/>
      <c r="RRZ56" s="370"/>
      <c r="RSA56" s="370"/>
      <c r="RSB56" s="370"/>
      <c r="RSC56" s="370"/>
      <c r="RSD56" s="370"/>
      <c r="RSE56" s="370"/>
      <c r="RSF56" s="370"/>
      <c r="RSG56" s="370"/>
      <c r="RSH56" s="370"/>
      <c r="RSI56" s="370"/>
      <c r="RSJ56" s="370"/>
      <c r="RSK56" s="370"/>
      <c r="RSL56" s="370"/>
      <c r="RSM56" s="370"/>
      <c r="RSN56" s="370"/>
      <c r="RSO56" s="370"/>
      <c r="RSP56" s="370"/>
      <c r="RSQ56" s="370"/>
      <c r="RSR56" s="370"/>
      <c r="RSS56" s="370"/>
      <c r="RST56" s="370"/>
      <c r="RSU56" s="370"/>
      <c r="RSV56" s="370"/>
      <c r="RSW56" s="370"/>
      <c r="RSX56" s="370"/>
      <c r="RSY56" s="370"/>
      <c r="RSZ56" s="370"/>
      <c r="RTA56" s="370"/>
      <c r="RTB56" s="370"/>
      <c r="RTC56" s="370"/>
      <c r="RTD56" s="370"/>
      <c r="RTE56" s="370"/>
      <c r="RTF56" s="370"/>
      <c r="RTG56" s="370"/>
      <c r="RTH56" s="370"/>
      <c r="RTI56" s="370"/>
      <c r="RTJ56" s="370"/>
      <c r="RTK56" s="370"/>
      <c r="RTL56" s="370"/>
      <c r="RTM56" s="370"/>
      <c r="RTN56" s="370"/>
      <c r="RTO56" s="370"/>
      <c r="RTP56" s="370"/>
      <c r="RTQ56" s="370"/>
      <c r="RTR56" s="370"/>
      <c r="RTS56" s="370"/>
      <c r="RTT56" s="370"/>
      <c r="RTU56" s="370"/>
      <c r="RTV56" s="370"/>
      <c r="RTW56" s="370"/>
      <c r="RTX56" s="370"/>
      <c r="RTY56" s="370"/>
      <c r="RTZ56" s="370"/>
      <c r="RUA56" s="370"/>
      <c r="RUB56" s="370"/>
      <c r="RUC56" s="370"/>
      <c r="RUD56" s="370"/>
      <c r="RUE56" s="370"/>
      <c r="RUF56" s="370"/>
      <c r="RUG56" s="370"/>
      <c r="RUH56" s="370"/>
      <c r="RUI56" s="370"/>
      <c r="RUJ56" s="370"/>
      <c r="RUK56" s="370"/>
      <c r="RUL56" s="370"/>
      <c r="RUM56" s="370"/>
      <c r="RUN56" s="370"/>
      <c r="RUO56" s="370"/>
      <c r="RUP56" s="370"/>
      <c r="RUQ56" s="370"/>
      <c r="RUR56" s="370"/>
      <c r="RUS56" s="370"/>
      <c r="RUT56" s="370"/>
      <c r="RUU56" s="370"/>
      <c r="RUV56" s="370"/>
      <c r="RUW56" s="370"/>
      <c r="RUX56" s="370"/>
      <c r="RUY56" s="370"/>
      <c r="RUZ56" s="370"/>
      <c r="RVA56" s="370"/>
      <c r="RVB56" s="370"/>
      <c r="RVC56" s="370"/>
      <c r="RVD56" s="370"/>
      <c r="RVE56" s="370"/>
      <c r="RVF56" s="370"/>
      <c r="RVG56" s="370"/>
      <c r="RVH56" s="370"/>
      <c r="RVI56" s="370"/>
      <c r="RVJ56" s="370"/>
      <c r="RVK56" s="370"/>
      <c r="RVL56" s="370"/>
      <c r="RVM56" s="370"/>
      <c r="RVN56" s="370"/>
      <c r="RVO56" s="370"/>
      <c r="RVP56" s="370"/>
      <c r="RVQ56" s="370"/>
      <c r="RVR56" s="370"/>
      <c r="RVS56" s="370"/>
      <c r="RVT56" s="370"/>
      <c r="RVU56" s="370"/>
      <c r="RVV56" s="370"/>
      <c r="RVW56" s="370"/>
      <c r="RVX56" s="370"/>
      <c r="RVY56" s="370"/>
      <c r="RVZ56" s="370"/>
      <c r="RWA56" s="370"/>
      <c r="RWB56" s="370"/>
      <c r="RWC56" s="370"/>
      <c r="RWD56" s="370"/>
      <c r="RWE56" s="370"/>
      <c r="RWF56" s="370"/>
      <c r="RWG56" s="370"/>
      <c r="RWH56" s="370"/>
      <c r="RWI56" s="370"/>
      <c r="RWJ56" s="370"/>
      <c r="RWK56" s="370"/>
      <c r="RWL56" s="370"/>
      <c r="RWM56" s="370"/>
      <c r="RWN56" s="370"/>
      <c r="RWO56" s="370"/>
      <c r="RWP56" s="370"/>
      <c r="RWQ56" s="370"/>
      <c r="RWR56" s="370"/>
      <c r="RWS56" s="370"/>
      <c r="RWT56" s="370"/>
      <c r="RWU56" s="370"/>
      <c r="RWV56" s="370"/>
      <c r="RWW56" s="370"/>
      <c r="RWX56" s="370"/>
      <c r="RWY56" s="370"/>
      <c r="RWZ56" s="370"/>
      <c r="RXA56" s="370"/>
      <c r="RXB56" s="370"/>
      <c r="RXC56" s="370"/>
      <c r="RXD56" s="370"/>
      <c r="RXE56" s="370"/>
      <c r="RXF56" s="370"/>
      <c r="RXG56" s="370"/>
      <c r="RXH56" s="370"/>
      <c r="RXI56" s="370"/>
      <c r="RXJ56" s="370"/>
      <c r="RXK56" s="370"/>
      <c r="RXL56" s="370"/>
      <c r="RXM56" s="370"/>
      <c r="RXN56" s="370"/>
      <c r="RXO56" s="370"/>
      <c r="RXP56" s="370"/>
      <c r="RXQ56" s="370"/>
      <c r="RXR56" s="370"/>
      <c r="RXS56" s="370"/>
      <c r="RXT56" s="370"/>
      <c r="RXU56" s="370"/>
      <c r="RXV56" s="370"/>
      <c r="RXW56" s="370"/>
      <c r="RXX56" s="370"/>
      <c r="RXY56" s="370"/>
      <c r="RXZ56" s="370"/>
      <c r="RYA56" s="370"/>
      <c r="RYB56" s="370"/>
      <c r="RYC56" s="370"/>
      <c r="RYD56" s="370"/>
      <c r="RYE56" s="370"/>
      <c r="RYF56" s="370"/>
      <c r="RYG56" s="370"/>
      <c r="RYH56" s="370"/>
      <c r="RYI56" s="370"/>
      <c r="RYJ56" s="370"/>
      <c r="RYK56" s="370"/>
      <c r="RYL56" s="370"/>
      <c r="RYM56" s="370"/>
      <c r="RYN56" s="370"/>
      <c r="RYO56" s="370"/>
      <c r="RYP56" s="370"/>
      <c r="RYQ56" s="370"/>
      <c r="RYR56" s="370"/>
      <c r="RYS56" s="370"/>
      <c r="RYT56" s="370"/>
      <c r="RYU56" s="370"/>
      <c r="RYV56" s="370"/>
      <c r="RYW56" s="370"/>
      <c r="RYX56" s="370"/>
      <c r="RYY56" s="370"/>
      <c r="RYZ56" s="370"/>
      <c r="RZA56" s="370"/>
      <c r="RZB56" s="370"/>
      <c r="RZC56" s="370"/>
      <c r="RZD56" s="370"/>
      <c r="RZE56" s="370"/>
      <c r="RZF56" s="370"/>
      <c r="RZG56" s="370"/>
      <c r="RZH56" s="370"/>
      <c r="RZI56" s="370"/>
      <c r="RZJ56" s="370"/>
      <c r="RZK56" s="370"/>
      <c r="RZL56" s="370"/>
      <c r="RZM56" s="370"/>
      <c r="RZN56" s="370"/>
      <c r="RZO56" s="370"/>
      <c r="RZP56" s="370"/>
      <c r="RZQ56" s="370"/>
      <c r="RZR56" s="370"/>
      <c r="RZS56" s="370"/>
      <c r="RZT56" s="370"/>
      <c r="RZU56" s="370"/>
      <c r="RZV56" s="370"/>
      <c r="RZW56" s="370"/>
      <c r="RZX56" s="370"/>
      <c r="RZY56" s="370"/>
      <c r="RZZ56" s="370"/>
      <c r="SAA56" s="370"/>
      <c r="SAB56" s="370"/>
      <c r="SAC56" s="370"/>
      <c r="SAD56" s="370"/>
      <c r="SAE56" s="370"/>
      <c r="SAF56" s="370"/>
      <c r="SAG56" s="370"/>
      <c r="SAH56" s="370"/>
      <c r="SAI56" s="370"/>
      <c r="SAJ56" s="370"/>
      <c r="SAK56" s="370"/>
      <c r="SAL56" s="370"/>
      <c r="SAM56" s="370"/>
      <c r="SAN56" s="370"/>
      <c r="SAO56" s="370"/>
      <c r="SAP56" s="370"/>
      <c r="SAQ56" s="370"/>
      <c r="SAR56" s="370"/>
      <c r="SAS56" s="370"/>
      <c r="SAT56" s="370"/>
      <c r="SAU56" s="370"/>
      <c r="SAV56" s="370"/>
      <c r="SAW56" s="370"/>
      <c r="SAX56" s="370"/>
      <c r="SAY56" s="370"/>
      <c r="SAZ56" s="370"/>
      <c r="SBA56" s="370"/>
      <c r="SBB56" s="370"/>
      <c r="SBC56" s="370"/>
      <c r="SBD56" s="370"/>
      <c r="SBE56" s="370"/>
      <c r="SBF56" s="370"/>
      <c r="SBG56" s="370"/>
      <c r="SBH56" s="370"/>
      <c r="SBI56" s="370"/>
      <c r="SBJ56" s="370"/>
      <c r="SBK56" s="370"/>
      <c r="SBL56" s="370"/>
      <c r="SBM56" s="370"/>
      <c r="SBN56" s="370"/>
      <c r="SBO56" s="370"/>
      <c r="SBP56" s="370"/>
      <c r="SBQ56" s="370"/>
      <c r="SBR56" s="370"/>
      <c r="SBS56" s="370"/>
      <c r="SBT56" s="370"/>
      <c r="SBU56" s="370"/>
      <c r="SBV56" s="370"/>
      <c r="SBW56" s="370"/>
      <c r="SBX56" s="370"/>
      <c r="SBY56" s="370"/>
      <c r="SBZ56" s="370"/>
      <c r="SCA56" s="370"/>
      <c r="SCB56" s="370"/>
      <c r="SCC56" s="370"/>
      <c r="SCD56" s="370"/>
      <c r="SCE56" s="370"/>
      <c r="SCF56" s="370"/>
      <c r="SCG56" s="370"/>
      <c r="SCH56" s="370"/>
      <c r="SCI56" s="370"/>
      <c r="SCJ56" s="370"/>
      <c r="SCK56" s="370"/>
      <c r="SCL56" s="370"/>
      <c r="SCM56" s="370"/>
      <c r="SCN56" s="370"/>
      <c r="SCO56" s="370"/>
      <c r="SCP56" s="370"/>
      <c r="SCQ56" s="370"/>
      <c r="SCR56" s="370"/>
      <c r="SCS56" s="370"/>
      <c r="SCT56" s="370"/>
      <c r="SCU56" s="370"/>
      <c r="SCV56" s="370"/>
      <c r="SCW56" s="370"/>
      <c r="SCX56" s="370"/>
      <c r="SCY56" s="370"/>
      <c r="SCZ56" s="370"/>
      <c r="SDA56" s="370"/>
      <c r="SDB56" s="370"/>
      <c r="SDC56" s="370"/>
      <c r="SDD56" s="370"/>
      <c r="SDE56" s="370"/>
      <c r="SDF56" s="370"/>
      <c r="SDG56" s="370"/>
      <c r="SDH56" s="370"/>
      <c r="SDI56" s="370"/>
      <c r="SDJ56" s="370"/>
      <c r="SDK56" s="370"/>
      <c r="SDL56" s="370"/>
      <c r="SDM56" s="370"/>
      <c r="SDN56" s="370"/>
      <c r="SDO56" s="370"/>
      <c r="SDP56" s="370"/>
      <c r="SDQ56" s="370"/>
      <c r="SDR56" s="370"/>
      <c r="SDS56" s="370"/>
      <c r="SDT56" s="370"/>
      <c r="SDU56" s="370"/>
      <c r="SDV56" s="370"/>
      <c r="SDW56" s="370"/>
      <c r="SDX56" s="370"/>
      <c r="SDY56" s="370"/>
      <c r="SDZ56" s="370"/>
      <c r="SEA56" s="370"/>
      <c r="SEB56" s="370"/>
      <c r="SEC56" s="370"/>
      <c r="SED56" s="370"/>
      <c r="SEE56" s="370"/>
      <c r="SEF56" s="370"/>
      <c r="SEG56" s="370"/>
      <c r="SEH56" s="370"/>
      <c r="SEI56" s="370"/>
      <c r="SEJ56" s="370"/>
      <c r="SEK56" s="370"/>
      <c r="SEL56" s="370"/>
      <c r="SEM56" s="370"/>
      <c r="SEN56" s="370"/>
      <c r="SEO56" s="370"/>
      <c r="SEP56" s="370"/>
      <c r="SEQ56" s="370"/>
      <c r="SER56" s="370"/>
      <c r="SES56" s="370"/>
      <c r="SET56" s="370"/>
      <c r="SEU56" s="370"/>
      <c r="SEV56" s="370"/>
      <c r="SEW56" s="370"/>
      <c r="SEX56" s="370"/>
      <c r="SEY56" s="370"/>
      <c r="SEZ56" s="370"/>
      <c r="SFA56" s="370"/>
      <c r="SFB56" s="370"/>
      <c r="SFC56" s="370"/>
      <c r="SFD56" s="370"/>
      <c r="SFE56" s="370"/>
      <c r="SFF56" s="370"/>
      <c r="SFG56" s="370"/>
      <c r="SFH56" s="370"/>
      <c r="SFI56" s="370"/>
      <c r="SFJ56" s="370"/>
      <c r="SFK56" s="370"/>
      <c r="SFL56" s="370"/>
      <c r="SFM56" s="370"/>
      <c r="SFN56" s="370"/>
      <c r="SFO56" s="370"/>
      <c r="SFP56" s="370"/>
      <c r="SFQ56" s="370"/>
      <c r="SFR56" s="370"/>
      <c r="SFS56" s="370"/>
      <c r="SFT56" s="370"/>
      <c r="SFU56" s="370"/>
      <c r="SFV56" s="370"/>
      <c r="SFW56" s="370"/>
      <c r="SFX56" s="370"/>
      <c r="SFY56" s="370"/>
      <c r="SFZ56" s="370"/>
      <c r="SGA56" s="370"/>
      <c r="SGB56" s="370"/>
      <c r="SGC56" s="370"/>
      <c r="SGD56" s="370"/>
      <c r="SGE56" s="370"/>
      <c r="SGF56" s="370"/>
      <c r="SGG56" s="370"/>
      <c r="SGH56" s="370"/>
      <c r="SGI56" s="370"/>
      <c r="SGJ56" s="370"/>
      <c r="SGK56" s="370"/>
      <c r="SGL56" s="370"/>
      <c r="SGM56" s="370"/>
      <c r="SGN56" s="370"/>
      <c r="SGO56" s="370"/>
      <c r="SGP56" s="370"/>
      <c r="SGQ56" s="370"/>
      <c r="SGR56" s="370"/>
      <c r="SGS56" s="370"/>
      <c r="SGT56" s="370"/>
      <c r="SGU56" s="370"/>
      <c r="SGV56" s="370"/>
      <c r="SGW56" s="370"/>
      <c r="SGX56" s="370"/>
      <c r="SGY56" s="370"/>
      <c r="SGZ56" s="370"/>
      <c r="SHA56" s="370"/>
      <c r="SHB56" s="370"/>
      <c r="SHC56" s="370"/>
      <c r="SHD56" s="370"/>
      <c r="SHE56" s="370"/>
      <c r="SHF56" s="370"/>
      <c r="SHG56" s="370"/>
      <c r="SHH56" s="370"/>
      <c r="SHI56" s="370"/>
      <c r="SHJ56" s="370"/>
      <c r="SHK56" s="370"/>
      <c r="SHL56" s="370"/>
      <c r="SHM56" s="370"/>
      <c r="SHN56" s="370"/>
      <c r="SHO56" s="370"/>
      <c r="SHP56" s="370"/>
      <c r="SHQ56" s="370"/>
      <c r="SHR56" s="370"/>
      <c r="SHS56" s="370"/>
      <c r="SHT56" s="370"/>
      <c r="SHU56" s="370"/>
      <c r="SHV56" s="370"/>
      <c r="SHW56" s="370"/>
      <c r="SHX56" s="370"/>
      <c r="SHY56" s="370"/>
      <c r="SHZ56" s="370"/>
      <c r="SIA56" s="370"/>
      <c r="SIB56" s="370"/>
      <c r="SIC56" s="370"/>
      <c r="SID56" s="370"/>
      <c r="SIE56" s="370"/>
      <c r="SIF56" s="370"/>
      <c r="SIG56" s="370"/>
      <c r="SIH56" s="370"/>
      <c r="SII56" s="370"/>
      <c r="SIJ56" s="370"/>
      <c r="SIK56" s="370"/>
      <c r="SIL56" s="370"/>
      <c r="SIM56" s="370"/>
      <c r="SIN56" s="370"/>
      <c r="SIO56" s="370"/>
      <c r="SIP56" s="370"/>
      <c r="SIQ56" s="370"/>
      <c r="SIR56" s="370"/>
      <c r="SIS56" s="370"/>
      <c r="SIT56" s="370"/>
      <c r="SIU56" s="370"/>
      <c r="SIV56" s="370"/>
      <c r="SIW56" s="370"/>
      <c r="SIX56" s="370"/>
      <c r="SIY56" s="370"/>
      <c r="SIZ56" s="370"/>
      <c r="SJA56" s="370"/>
      <c r="SJB56" s="370"/>
      <c r="SJC56" s="370"/>
      <c r="SJD56" s="370"/>
      <c r="SJE56" s="370"/>
      <c r="SJF56" s="370"/>
      <c r="SJG56" s="370"/>
      <c r="SJH56" s="370"/>
      <c r="SJI56" s="370"/>
      <c r="SJJ56" s="370"/>
      <c r="SJK56" s="370"/>
      <c r="SJL56" s="370"/>
      <c r="SJM56" s="370"/>
      <c r="SJN56" s="370"/>
      <c r="SJO56" s="370"/>
      <c r="SJP56" s="370"/>
      <c r="SJQ56" s="370"/>
      <c r="SJR56" s="370"/>
      <c r="SJS56" s="370"/>
      <c r="SJT56" s="370"/>
      <c r="SJU56" s="370"/>
      <c r="SJV56" s="370"/>
      <c r="SJW56" s="370"/>
      <c r="SJX56" s="370"/>
      <c r="SJY56" s="370"/>
      <c r="SJZ56" s="370"/>
      <c r="SKA56" s="370"/>
      <c r="SKB56" s="370"/>
      <c r="SKC56" s="370"/>
      <c r="SKD56" s="370"/>
      <c r="SKE56" s="370"/>
      <c r="SKF56" s="370"/>
      <c r="SKG56" s="370"/>
      <c r="SKH56" s="370"/>
      <c r="SKI56" s="370"/>
      <c r="SKJ56" s="370"/>
      <c r="SKK56" s="370"/>
      <c r="SKL56" s="370"/>
      <c r="SKM56" s="370"/>
      <c r="SKN56" s="370"/>
      <c r="SKO56" s="370"/>
      <c r="SKP56" s="370"/>
      <c r="SKQ56" s="370"/>
      <c r="SKR56" s="370"/>
      <c r="SKS56" s="370"/>
      <c r="SKT56" s="370"/>
      <c r="SKU56" s="370"/>
      <c r="SKV56" s="370"/>
      <c r="SKW56" s="370"/>
      <c r="SKX56" s="370"/>
      <c r="SKY56" s="370"/>
      <c r="SKZ56" s="370"/>
      <c r="SLA56" s="370"/>
      <c r="SLB56" s="370"/>
      <c r="SLC56" s="370"/>
      <c r="SLD56" s="370"/>
      <c r="SLE56" s="370"/>
      <c r="SLF56" s="370"/>
      <c r="SLG56" s="370"/>
      <c r="SLH56" s="370"/>
      <c r="SLI56" s="370"/>
      <c r="SLJ56" s="370"/>
      <c r="SLK56" s="370"/>
      <c r="SLL56" s="370"/>
      <c r="SLM56" s="370"/>
      <c r="SLN56" s="370"/>
      <c r="SLO56" s="370"/>
      <c r="SLP56" s="370"/>
      <c r="SLQ56" s="370"/>
      <c r="SLR56" s="370"/>
      <c r="SLS56" s="370"/>
      <c r="SLT56" s="370"/>
      <c r="SLU56" s="370"/>
      <c r="SLV56" s="370"/>
      <c r="SLW56" s="370"/>
      <c r="SLX56" s="370"/>
      <c r="SLY56" s="370"/>
      <c r="SLZ56" s="370"/>
      <c r="SMA56" s="370"/>
      <c r="SMB56" s="370"/>
      <c r="SMC56" s="370"/>
      <c r="SMD56" s="370"/>
      <c r="SME56" s="370"/>
      <c r="SMF56" s="370"/>
      <c r="SMG56" s="370"/>
      <c r="SMH56" s="370"/>
      <c r="SMI56" s="370"/>
      <c r="SMJ56" s="370"/>
      <c r="SMK56" s="370"/>
      <c r="SML56" s="370"/>
      <c r="SMM56" s="370"/>
      <c r="SMN56" s="370"/>
      <c r="SMO56" s="370"/>
      <c r="SMP56" s="370"/>
      <c r="SMQ56" s="370"/>
      <c r="SMR56" s="370"/>
      <c r="SMS56" s="370"/>
      <c r="SMT56" s="370"/>
      <c r="SMU56" s="370"/>
      <c r="SMV56" s="370"/>
      <c r="SMW56" s="370"/>
      <c r="SMX56" s="370"/>
      <c r="SMY56" s="370"/>
      <c r="SMZ56" s="370"/>
      <c r="SNA56" s="370"/>
      <c r="SNB56" s="370"/>
      <c r="SNC56" s="370"/>
      <c r="SND56" s="370"/>
      <c r="SNE56" s="370"/>
      <c r="SNF56" s="370"/>
      <c r="SNG56" s="370"/>
      <c r="SNH56" s="370"/>
      <c r="SNI56" s="370"/>
      <c r="SNJ56" s="370"/>
      <c r="SNK56" s="370"/>
      <c r="SNL56" s="370"/>
      <c r="SNM56" s="370"/>
      <c r="SNN56" s="370"/>
      <c r="SNO56" s="370"/>
      <c r="SNP56" s="370"/>
      <c r="SNQ56" s="370"/>
      <c r="SNR56" s="370"/>
      <c r="SNS56" s="370"/>
      <c r="SNT56" s="370"/>
      <c r="SNU56" s="370"/>
      <c r="SNV56" s="370"/>
      <c r="SNW56" s="370"/>
      <c r="SNX56" s="370"/>
      <c r="SNY56" s="370"/>
      <c r="SNZ56" s="370"/>
      <c r="SOA56" s="370"/>
      <c r="SOB56" s="370"/>
      <c r="SOC56" s="370"/>
      <c r="SOD56" s="370"/>
      <c r="SOE56" s="370"/>
      <c r="SOF56" s="370"/>
      <c r="SOG56" s="370"/>
      <c r="SOH56" s="370"/>
      <c r="SOI56" s="370"/>
      <c r="SOJ56" s="370"/>
      <c r="SOK56" s="370"/>
      <c r="SOL56" s="370"/>
      <c r="SOM56" s="370"/>
      <c r="SON56" s="370"/>
      <c r="SOO56" s="370"/>
      <c r="SOP56" s="370"/>
      <c r="SOQ56" s="370"/>
      <c r="SOR56" s="370"/>
      <c r="SOS56" s="370"/>
      <c r="SOT56" s="370"/>
      <c r="SOU56" s="370"/>
      <c r="SOV56" s="370"/>
      <c r="SOW56" s="370"/>
      <c r="SOX56" s="370"/>
      <c r="SOY56" s="370"/>
      <c r="SOZ56" s="370"/>
      <c r="SPA56" s="370"/>
      <c r="SPB56" s="370"/>
      <c r="SPC56" s="370"/>
      <c r="SPD56" s="370"/>
      <c r="SPE56" s="370"/>
      <c r="SPF56" s="370"/>
      <c r="SPG56" s="370"/>
      <c r="SPH56" s="370"/>
      <c r="SPI56" s="370"/>
      <c r="SPJ56" s="370"/>
      <c r="SPK56" s="370"/>
      <c r="SPL56" s="370"/>
      <c r="SPM56" s="370"/>
      <c r="SPN56" s="370"/>
      <c r="SPO56" s="370"/>
      <c r="SPP56" s="370"/>
      <c r="SPQ56" s="370"/>
      <c r="SPR56" s="370"/>
      <c r="SPS56" s="370"/>
      <c r="SPT56" s="370"/>
      <c r="SPU56" s="370"/>
      <c r="SPV56" s="370"/>
      <c r="SPW56" s="370"/>
      <c r="SPX56" s="370"/>
      <c r="SPY56" s="370"/>
      <c r="SPZ56" s="370"/>
      <c r="SQA56" s="370"/>
      <c r="SQB56" s="370"/>
      <c r="SQC56" s="370"/>
      <c r="SQD56" s="370"/>
      <c r="SQE56" s="370"/>
      <c r="SQF56" s="370"/>
      <c r="SQG56" s="370"/>
      <c r="SQH56" s="370"/>
      <c r="SQI56" s="370"/>
      <c r="SQJ56" s="370"/>
      <c r="SQK56" s="370"/>
      <c r="SQL56" s="370"/>
      <c r="SQM56" s="370"/>
      <c r="SQN56" s="370"/>
      <c r="SQO56" s="370"/>
      <c r="SQP56" s="370"/>
      <c r="SQQ56" s="370"/>
      <c r="SQR56" s="370"/>
      <c r="SQS56" s="370"/>
      <c r="SQT56" s="370"/>
      <c r="SQU56" s="370"/>
      <c r="SQV56" s="370"/>
      <c r="SQW56" s="370"/>
      <c r="SQX56" s="370"/>
      <c r="SQY56" s="370"/>
      <c r="SQZ56" s="370"/>
      <c r="SRA56" s="370"/>
      <c r="SRB56" s="370"/>
      <c r="SRC56" s="370"/>
      <c r="SRD56" s="370"/>
      <c r="SRE56" s="370"/>
      <c r="SRF56" s="370"/>
      <c r="SRG56" s="370"/>
      <c r="SRH56" s="370"/>
      <c r="SRI56" s="370"/>
      <c r="SRJ56" s="370"/>
      <c r="SRK56" s="370"/>
      <c r="SRL56" s="370"/>
      <c r="SRM56" s="370"/>
      <c r="SRN56" s="370"/>
      <c r="SRO56" s="370"/>
      <c r="SRP56" s="370"/>
      <c r="SRQ56" s="370"/>
      <c r="SRR56" s="370"/>
      <c r="SRS56" s="370"/>
      <c r="SRT56" s="370"/>
      <c r="SRU56" s="370"/>
      <c r="SRV56" s="370"/>
      <c r="SRW56" s="370"/>
      <c r="SRX56" s="370"/>
      <c r="SRY56" s="370"/>
      <c r="SRZ56" s="370"/>
      <c r="SSA56" s="370"/>
      <c r="SSB56" s="370"/>
      <c r="SSC56" s="370"/>
      <c r="SSD56" s="370"/>
      <c r="SSE56" s="370"/>
      <c r="SSF56" s="370"/>
      <c r="SSG56" s="370"/>
      <c r="SSH56" s="370"/>
      <c r="SSI56" s="370"/>
      <c r="SSJ56" s="370"/>
      <c r="SSK56" s="370"/>
      <c r="SSL56" s="370"/>
      <c r="SSM56" s="370"/>
      <c r="SSN56" s="370"/>
      <c r="SSO56" s="370"/>
      <c r="SSP56" s="370"/>
      <c r="SSQ56" s="370"/>
      <c r="SSR56" s="370"/>
      <c r="SSS56" s="370"/>
      <c r="SST56" s="370"/>
      <c r="SSU56" s="370"/>
      <c r="SSV56" s="370"/>
      <c r="SSW56" s="370"/>
      <c r="SSX56" s="370"/>
      <c r="SSY56" s="370"/>
      <c r="SSZ56" s="370"/>
      <c r="STA56" s="370"/>
      <c r="STB56" s="370"/>
      <c r="STC56" s="370"/>
      <c r="STD56" s="370"/>
      <c r="STE56" s="370"/>
      <c r="STF56" s="370"/>
      <c r="STG56" s="370"/>
      <c r="STH56" s="370"/>
      <c r="STI56" s="370"/>
      <c r="STJ56" s="370"/>
      <c r="STK56" s="370"/>
      <c r="STL56" s="370"/>
      <c r="STM56" s="370"/>
      <c r="STN56" s="370"/>
      <c r="STO56" s="370"/>
      <c r="STP56" s="370"/>
      <c r="STQ56" s="370"/>
      <c r="STR56" s="370"/>
      <c r="STS56" s="370"/>
      <c r="STT56" s="370"/>
      <c r="STU56" s="370"/>
      <c r="STV56" s="370"/>
      <c r="STW56" s="370"/>
      <c r="STX56" s="370"/>
      <c r="STY56" s="370"/>
      <c r="STZ56" s="370"/>
      <c r="SUA56" s="370"/>
      <c r="SUB56" s="370"/>
      <c r="SUC56" s="370"/>
      <c r="SUD56" s="370"/>
      <c r="SUE56" s="370"/>
      <c r="SUF56" s="370"/>
      <c r="SUG56" s="370"/>
      <c r="SUH56" s="370"/>
      <c r="SUI56" s="370"/>
      <c r="SUJ56" s="370"/>
      <c r="SUK56" s="370"/>
      <c r="SUL56" s="370"/>
      <c r="SUM56" s="370"/>
      <c r="SUN56" s="370"/>
      <c r="SUO56" s="370"/>
      <c r="SUP56" s="370"/>
      <c r="SUQ56" s="370"/>
      <c r="SUR56" s="370"/>
      <c r="SUS56" s="370"/>
      <c r="SUT56" s="370"/>
      <c r="SUU56" s="370"/>
      <c r="SUV56" s="370"/>
      <c r="SUW56" s="370"/>
      <c r="SUX56" s="370"/>
      <c r="SUY56" s="370"/>
      <c r="SUZ56" s="370"/>
      <c r="SVA56" s="370"/>
      <c r="SVB56" s="370"/>
      <c r="SVC56" s="370"/>
      <c r="SVD56" s="370"/>
      <c r="SVE56" s="370"/>
      <c r="SVF56" s="370"/>
      <c r="SVG56" s="370"/>
      <c r="SVH56" s="370"/>
      <c r="SVI56" s="370"/>
      <c r="SVJ56" s="370"/>
      <c r="SVK56" s="370"/>
      <c r="SVL56" s="370"/>
      <c r="SVM56" s="370"/>
      <c r="SVN56" s="370"/>
      <c r="SVO56" s="370"/>
      <c r="SVP56" s="370"/>
      <c r="SVQ56" s="370"/>
      <c r="SVR56" s="370"/>
      <c r="SVS56" s="370"/>
      <c r="SVT56" s="370"/>
      <c r="SVU56" s="370"/>
      <c r="SVV56" s="370"/>
      <c r="SVW56" s="370"/>
      <c r="SVX56" s="370"/>
      <c r="SVY56" s="370"/>
      <c r="SVZ56" s="370"/>
      <c r="SWA56" s="370"/>
      <c r="SWB56" s="370"/>
      <c r="SWC56" s="370"/>
      <c r="SWD56" s="370"/>
      <c r="SWE56" s="370"/>
      <c r="SWF56" s="370"/>
      <c r="SWG56" s="370"/>
      <c r="SWH56" s="370"/>
      <c r="SWI56" s="370"/>
      <c r="SWJ56" s="370"/>
      <c r="SWK56" s="370"/>
      <c r="SWL56" s="370"/>
      <c r="SWM56" s="370"/>
      <c r="SWN56" s="370"/>
      <c r="SWO56" s="370"/>
      <c r="SWP56" s="370"/>
      <c r="SWQ56" s="370"/>
      <c r="SWR56" s="370"/>
      <c r="SWS56" s="370"/>
      <c r="SWT56" s="370"/>
      <c r="SWU56" s="370"/>
      <c r="SWV56" s="370"/>
      <c r="SWW56" s="370"/>
      <c r="SWX56" s="370"/>
      <c r="SWY56" s="370"/>
      <c r="SWZ56" s="370"/>
      <c r="SXA56" s="370"/>
      <c r="SXB56" s="370"/>
      <c r="SXC56" s="370"/>
      <c r="SXD56" s="370"/>
      <c r="SXE56" s="370"/>
      <c r="SXF56" s="370"/>
      <c r="SXG56" s="370"/>
      <c r="SXH56" s="370"/>
      <c r="SXI56" s="370"/>
      <c r="SXJ56" s="370"/>
      <c r="SXK56" s="370"/>
      <c r="SXL56" s="370"/>
      <c r="SXM56" s="370"/>
      <c r="SXN56" s="370"/>
      <c r="SXO56" s="370"/>
      <c r="SXP56" s="370"/>
      <c r="SXQ56" s="370"/>
      <c r="SXR56" s="370"/>
      <c r="SXS56" s="370"/>
      <c r="SXT56" s="370"/>
      <c r="SXU56" s="370"/>
      <c r="SXV56" s="370"/>
      <c r="SXW56" s="370"/>
      <c r="SXX56" s="370"/>
      <c r="SXY56" s="370"/>
      <c r="SXZ56" s="370"/>
      <c r="SYA56" s="370"/>
      <c r="SYB56" s="370"/>
      <c r="SYC56" s="370"/>
      <c r="SYD56" s="370"/>
      <c r="SYE56" s="370"/>
      <c r="SYF56" s="370"/>
      <c r="SYG56" s="370"/>
      <c r="SYH56" s="370"/>
      <c r="SYI56" s="370"/>
      <c r="SYJ56" s="370"/>
      <c r="SYK56" s="370"/>
      <c r="SYL56" s="370"/>
      <c r="SYM56" s="370"/>
      <c r="SYN56" s="370"/>
      <c r="SYO56" s="370"/>
      <c r="SYP56" s="370"/>
      <c r="SYQ56" s="370"/>
      <c r="SYR56" s="370"/>
      <c r="SYS56" s="370"/>
      <c r="SYT56" s="370"/>
      <c r="SYU56" s="370"/>
      <c r="SYV56" s="370"/>
      <c r="SYW56" s="370"/>
      <c r="SYX56" s="370"/>
      <c r="SYY56" s="370"/>
      <c r="SYZ56" s="370"/>
      <c r="SZA56" s="370"/>
      <c r="SZB56" s="370"/>
      <c r="SZC56" s="370"/>
      <c r="SZD56" s="370"/>
      <c r="SZE56" s="370"/>
      <c r="SZF56" s="370"/>
      <c r="SZG56" s="370"/>
      <c r="SZH56" s="370"/>
      <c r="SZI56" s="370"/>
      <c r="SZJ56" s="370"/>
      <c r="SZK56" s="370"/>
      <c r="SZL56" s="370"/>
      <c r="SZM56" s="370"/>
      <c r="SZN56" s="370"/>
      <c r="SZO56" s="370"/>
      <c r="SZP56" s="370"/>
      <c r="SZQ56" s="370"/>
      <c r="SZR56" s="370"/>
      <c r="SZS56" s="370"/>
      <c r="SZT56" s="370"/>
      <c r="SZU56" s="370"/>
      <c r="SZV56" s="370"/>
      <c r="SZW56" s="370"/>
      <c r="SZX56" s="370"/>
      <c r="SZY56" s="370"/>
      <c r="SZZ56" s="370"/>
      <c r="TAA56" s="370"/>
      <c r="TAB56" s="370"/>
      <c r="TAC56" s="370"/>
      <c r="TAD56" s="370"/>
      <c r="TAE56" s="370"/>
      <c r="TAF56" s="370"/>
      <c r="TAG56" s="370"/>
      <c r="TAH56" s="370"/>
      <c r="TAI56" s="370"/>
      <c r="TAJ56" s="370"/>
      <c r="TAK56" s="370"/>
      <c r="TAL56" s="370"/>
      <c r="TAM56" s="370"/>
      <c r="TAN56" s="370"/>
      <c r="TAO56" s="370"/>
      <c r="TAP56" s="370"/>
      <c r="TAQ56" s="370"/>
      <c r="TAR56" s="370"/>
      <c r="TAS56" s="370"/>
      <c r="TAT56" s="370"/>
      <c r="TAU56" s="370"/>
      <c r="TAV56" s="370"/>
      <c r="TAW56" s="370"/>
      <c r="TAX56" s="370"/>
      <c r="TAY56" s="370"/>
      <c r="TAZ56" s="370"/>
      <c r="TBA56" s="370"/>
      <c r="TBB56" s="370"/>
      <c r="TBC56" s="370"/>
      <c r="TBD56" s="370"/>
      <c r="TBE56" s="370"/>
      <c r="TBF56" s="370"/>
      <c r="TBG56" s="370"/>
      <c r="TBH56" s="370"/>
      <c r="TBI56" s="370"/>
      <c r="TBJ56" s="370"/>
      <c r="TBK56" s="370"/>
      <c r="TBL56" s="370"/>
      <c r="TBM56" s="370"/>
      <c r="TBN56" s="370"/>
      <c r="TBO56" s="370"/>
      <c r="TBP56" s="370"/>
      <c r="TBQ56" s="370"/>
      <c r="TBR56" s="370"/>
      <c r="TBS56" s="370"/>
      <c r="TBT56" s="370"/>
      <c r="TBU56" s="370"/>
      <c r="TBV56" s="370"/>
      <c r="TBW56" s="370"/>
      <c r="TBX56" s="370"/>
      <c r="TBY56" s="370"/>
      <c r="TBZ56" s="370"/>
      <c r="TCA56" s="370"/>
      <c r="TCB56" s="370"/>
      <c r="TCC56" s="370"/>
      <c r="TCD56" s="370"/>
      <c r="TCE56" s="370"/>
      <c r="TCF56" s="370"/>
      <c r="TCG56" s="370"/>
      <c r="TCH56" s="370"/>
      <c r="TCI56" s="370"/>
      <c r="TCJ56" s="370"/>
      <c r="TCK56" s="370"/>
      <c r="TCL56" s="370"/>
      <c r="TCM56" s="370"/>
      <c r="TCN56" s="370"/>
      <c r="TCO56" s="370"/>
      <c r="TCP56" s="370"/>
      <c r="TCQ56" s="370"/>
      <c r="TCR56" s="370"/>
      <c r="TCS56" s="370"/>
      <c r="TCT56" s="370"/>
      <c r="TCU56" s="370"/>
      <c r="TCV56" s="370"/>
      <c r="TCW56" s="370"/>
      <c r="TCX56" s="370"/>
      <c r="TCY56" s="370"/>
      <c r="TCZ56" s="370"/>
      <c r="TDA56" s="370"/>
      <c r="TDB56" s="370"/>
      <c r="TDC56" s="370"/>
      <c r="TDD56" s="370"/>
      <c r="TDE56" s="370"/>
      <c r="TDF56" s="370"/>
      <c r="TDG56" s="370"/>
      <c r="TDH56" s="370"/>
      <c r="TDI56" s="370"/>
      <c r="TDJ56" s="370"/>
      <c r="TDK56" s="370"/>
      <c r="TDL56" s="370"/>
      <c r="TDM56" s="370"/>
      <c r="TDN56" s="370"/>
      <c r="TDO56" s="370"/>
      <c r="TDP56" s="370"/>
      <c r="TDQ56" s="370"/>
      <c r="TDR56" s="370"/>
      <c r="TDS56" s="370"/>
      <c r="TDT56" s="370"/>
      <c r="TDU56" s="370"/>
      <c r="TDV56" s="370"/>
      <c r="TDW56" s="370"/>
      <c r="TDX56" s="370"/>
      <c r="TDY56" s="370"/>
      <c r="TDZ56" s="370"/>
      <c r="TEA56" s="370"/>
      <c r="TEB56" s="370"/>
      <c r="TEC56" s="370"/>
      <c r="TED56" s="370"/>
      <c r="TEE56" s="370"/>
      <c r="TEF56" s="370"/>
      <c r="TEG56" s="370"/>
      <c r="TEH56" s="370"/>
      <c r="TEI56" s="370"/>
      <c r="TEJ56" s="370"/>
      <c r="TEK56" s="370"/>
      <c r="TEL56" s="370"/>
      <c r="TEM56" s="370"/>
      <c r="TEN56" s="370"/>
      <c r="TEO56" s="370"/>
      <c r="TEP56" s="370"/>
      <c r="TEQ56" s="370"/>
      <c r="TER56" s="370"/>
      <c r="TES56" s="370"/>
      <c r="TET56" s="370"/>
      <c r="TEU56" s="370"/>
      <c r="TEV56" s="370"/>
      <c r="TEW56" s="370"/>
      <c r="TEX56" s="370"/>
      <c r="TEY56" s="370"/>
      <c r="TEZ56" s="370"/>
      <c r="TFA56" s="370"/>
      <c r="TFB56" s="370"/>
      <c r="TFC56" s="370"/>
      <c r="TFD56" s="370"/>
      <c r="TFE56" s="370"/>
      <c r="TFF56" s="370"/>
      <c r="TFG56" s="370"/>
      <c r="TFH56" s="370"/>
      <c r="TFI56" s="370"/>
      <c r="TFJ56" s="370"/>
      <c r="TFK56" s="370"/>
      <c r="TFL56" s="370"/>
      <c r="TFM56" s="370"/>
      <c r="TFN56" s="370"/>
      <c r="TFO56" s="370"/>
      <c r="TFP56" s="370"/>
      <c r="TFQ56" s="370"/>
      <c r="TFR56" s="370"/>
      <c r="TFS56" s="370"/>
      <c r="TFT56" s="370"/>
      <c r="TFU56" s="370"/>
      <c r="TFV56" s="370"/>
      <c r="TFW56" s="370"/>
      <c r="TFX56" s="370"/>
      <c r="TFY56" s="370"/>
      <c r="TFZ56" s="370"/>
      <c r="TGA56" s="370"/>
      <c r="TGB56" s="370"/>
      <c r="TGC56" s="370"/>
      <c r="TGD56" s="370"/>
      <c r="TGE56" s="370"/>
      <c r="TGF56" s="370"/>
      <c r="TGG56" s="370"/>
      <c r="TGH56" s="370"/>
      <c r="TGI56" s="370"/>
      <c r="TGJ56" s="370"/>
      <c r="TGK56" s="370"/>
      <c r="TGL56" s="370"/>
      <c r="TGM56" s="370"/>
      <c r="TGN56" s="370"/>
      <c r="TGO56" s="370"/>
      <c r="TGP56" s="370"/>
      <c r="TGQ56" s="370"/>
      <c r="TGR56" s="370"/>
      <c r="TGS56" s="370"/>
      <c r="TGT56" s="370"/>
      <c r="TGU56" s="370"/>
      <c r="TGV56" s="370"/>
      <c r="TGW56" s="370"/>
      <c r="TGX56" s="370"/>
      <c r="TGY56" s="370"/>
      <c r="TGZ56" s="370"/>
      <c r="THA56" s="370"/>
      <c r="THB56" s="370"/>
      <c r="THC56" s="370"/>
      <c r="THD56" s="370"/>
      <c r="THE56" s="370"/>
      <c r="THF56" s="370"/>
      <c r="THG56" s="370"/>
      <c r="THH56" s="370"/>
      <c r="THI56" s="370"/>
      <c r="THJ56" s="370"/>
      <c r="THK56" s="370"/>
      <c r="THL56" s="370"/>
      <c r="THM56" s="370"/>
      <c r="THN56" s="370"/>
      <c r="THO56" s="370"/>
      <c r="THP56" s="370"/>
      <c r="THQ56" s="370"/>
      <c r="THR56" s="370"/>
      <c r="THS56" s="370"/>
      <c r="THT56" s="370"/>
      <c r="THU56" s="370"/>
      <c r="THV56" s="370"/>
      <c r="THW56" s="370"/>
      <c r="THX56" s="370"/>
      <c r="THY56" s="370"/>
      <c r="THZ56" s="370"/>
      <c r="TIA56" s="370"/>
      <c r="TIB56" s="370"/>
      <c r="TIC56" s="370"/>
      <c r="TID56" s="370"/>
      <c r="TIE56" s="370"/>
      <c r="TIF56" s="370"/>
      <c r="TIG56" s="370"/>
      <c r="TIH56" s="370"/>
      <c r="TII56" s="370"/>
      <c r="TIJ56" s="370"/>
      <c r="TIK56" s="370"/>
      <c r="TIL56" s="370"/>
      <c r="TIM56" s="370"/>
      <c r="TIN56" s="370"/>
      <c r="TIO56" s="370"/>
      <c r="TIP56" s="370"/>
      <c r="TIQ56" s="370"/>
      <c r="TIR56" s="370"/>
      <c r="TIS56" s="370"/>
      <c r="TIT56" s="370"/>
      <c r="TIU56" s="370"/>
      <c r="TIV56" s="370"/>
      <c r="TIW56" s="370"/>
      <c r="TIX56" s="370"/>
      <c r="TIY56" s="370"/>
      <c r="TIZ56" s="370"/>
      <c r="TJA56" s="370"/>
      <c r="TJB56" s="370"/>
      <c r="TJC56" s="370"/>
      <c r="TJD56" s="370"/>
      <c r="TJE56" s="370"/>
      <c r="TJF56" s="370"/>
      <c r="TJG56" s="370"/>
      <c r="TJH56" s="370"/>
      <c r="TJI56" s="370"/>
      <c r="TJJ56" s="370"/>
      <c r="TJK56" s="370"/>
      <c r="TJL56" s="370"/>
      <c r="TJM56" s="370"/>
      <c r="TJN56" s="370"/>
      <c r="TJO56" s="370"/>
      <c r="TJP56" s="370"/>
      <c r="TJQ56" s="370"/>
      <c r="TJR56" s="370"/>
      <c r="TJS56" s="370"/>
      <c r="TJT56" s="370"/>
      <c r="TJU56" s="370"/>
      <c r="TJV56" s="370"/>
      <c r="TJW56" s="370"/>
      <c r="TJX56" s="370"/>
      <c r="TJY56" s="370"/>
      <c r="TJZ56" s="370"/>
      <c r="TKA56" s="370"/>
      <c r="TKB56" s="370"/>
      <c r="TKC56" s="370"/>
      <c r="TKD56" s="370"/>
      <c r="TKE56" s="370"/>
      <c r="TKF56" s="370"/>
      <c r="TKG56" s="370"/>
      <c r="TKH56" s="370"/>
      <c r="TKI56" s="370"/>
      <c r="TKJ56" s="370"/>
      <c r="TKK56" s="370"/>
      <c r="TKL56" s="370"/>
      <c r="TKM56" s="370"/>
      <c r="TKN56" s="370"/>
      <c r="TKO56" s="370"/>
      <c r="TKP56" s="370"/>
      <c r="TKQ56" s="370"/>
      <c r="TKR56" s="370"/>
      <c r="TKS56" s="370"/>
      <c r="TKT56" s="370"/>
      <c r="TKU56" s="370"/>
      <c r="TKV56" s="370"/>
      <c r="TKW56" s="370"/>
      <c r="TKX56" s="370"/>
      <c r="TKY56" s="370"/>
      <c r="TKZ56" s="370"/>
      <c r="TLA56" s="370"/>
      <c r="TLB56" s="370"/>
      <c r="TLC56" s="370"/>
      <c r="TLD56" s="370"/>
      <c r="TLE56" s="370"/>
      <c r="TLF56" s="370"/>
      <c r="TLG56" s="370"/>
      <c r="TLH56" s="370"/>
      <c r="TLI56" s="370"/>
      <c r="TLJ56" s="370"/>
      <c r="TLK56" s="370"/>
      <c r="TLL56" s="370"/>
      <c r="TLM56" s="370"/>
      <c r="TLN56" s="370"/>
      <c r="TLO56" s="370"/>
      <c r="TLP56" s="370"/>
      <c r="TLQ56" s="370"/>
      <c r="TLR56" s="370"/>
      <c r="TLS56" s="370"/>
      <c r="TLT56" s="370"/>
      <c r="TLU56" s="370"/>
      <c r="TLV56" s="370"/>
      <c r="TLW56" s="370"/>
      <c r="TLX56" s="370"/>
      <c r="TLY56" s="370"/>
      <c r="TLZ56" s="370"/>
      <c r="TMA56" s="370"/>
      <c r="TMB56" s="370"/>
      <c r="TMC56" s="370"/>
      <c r="TMD56" s="370"/>
      <c r="TME56" s="370"/>
      <c r="TMF56" s="370"/>
      <c r="TMG56" s="370"/>
      <c r="TMH56" s="370"/>
      <c r="TMI56" s="370"/>
      <c r="TMJ56" s="370"/>
      <c r="TMK56" s="370"/>
      <c r="TML56" s="370"/>
      <c r="TMM56" s="370"/>
      <c r="TMN56" s="370"/>
      <c r="TMO56" s="370"/>
      <c r="TMP56" s="370"/>
      <c r="TMQ56" s="370"/>
      <c r="TMR56" s="370"/>
      <c r="TMS56" s="370"/>
      <c r="TMT56" s="370"/>
      <c r="TMU56" s="370"/>
      <c r="TMV56" s="370"/>
      <c r="TMW56" s="370"/>
      <c r="TMX56" s="370"/>
      <c r="TMY56" s="370"/>
      <c r="TMZ56" s="370"/>
      <c r="TNA56" s="370"/>
      <c r="TNB56" s="370"/>
      <c r="TNC56" s="370"/>
      <c r="TND56" s="370"/>
      <c r="TNE56" s="370"/>
      <c r="TNF56" s="370"/>
      <c r="TNG56" s="370"/>
      <c r="TNH56" s="370"/>
      <c r="TNI56" s="370"/>
      <c r="TNJ56" s="370"/>
      <c r="TNK56" s="370"/>
      <c r="TNL56" s="370"/>
      <c r="TNM56" s="370"/>
      <c r="TNN56" s="370"/>
      <c r="TNO56" s="370"/>
      <c r="TNP56" s="370"/>
      <c r="TNQ56" s="370"/>
      <c r="TNR56" s="370"/>
      <c r="TNS56" s="370"/>
      <c r="TNT56" s="370"/>
      <c r="TNU56" s="370"/>
      <c r="TNV56" s="370"/>
      <c r="TNW56" s="370"/>
      <c r="TNX56" s="370"/>
      <c r="TNY56" s="370"/>
      <c r="TNZ56" s="370"/>
      <c r="TOA56" s="370"/>
      <c r="TOB56" s="370"/>
      <c r="TOC56" s="370"/>
      <c r="TOD56" s="370"/>
      <c r="TOE56" s="370"/>
      <c r="TOF56" s="370"/>
      <c r="TOG56" s="370"/>
      <c r="TOH56" s="370"/>
      <c r="TOI56" s="370"/>
      <c r="TOJ56" s="370"/>
      <c r="TOK56" s="370"/>
      <c r="TOL56" s="370"/>
      <c r="TOM56" s="370"/>
      <c r="TON56" s="370"/>
      <c r="TOO56" s="370"/>
      <c r="TOP56" s="370"/>
      <c r="TOQ56" s="370"/>
      <c r="TOR56" s="370"/>
      <c r="TOS56" s="370"/>
      <c r="TOT56" s="370"/>
      <c r="TOU56" s="370"/>
      <c r="TOV56" s="370"/>
      <c r="TOW56" s="370"/>
      <c r="TOX56" s="370"/>
      <c r="TOY56" s="370"/>
      <c r="TOZ56" s="370"/>
      <c r="TPA56" s="370"/>
      <c r="TPB56" s="370"/>
      <c r="TPC56" s="370"/>
      <c r="TPD56" s="370"/>
      <c r="TPE56" s="370"/>
      <c r="TPF56" s="370"/>
      <c r="TPG56" s="370"/>
      <c r="TPH56" s="370"/>
      <c r="TPI56" s="370"/>
      <c r="TPJ56" s="370"/>
      <c r="TPK56" s="370"/>
      <c r="TPL56" s="370"/>
      <c r="TPM56" s="370"/>
      <c r="TPN56" s="370"/>
      <c r="TPO56" s="370"/>
      <c r="TPP56" s="370"/>
      <c r="TPQ56" s="370"/>
      <c r="TPR56" s="370"/>
      <c r="TPS56" s="370"/>
      <c r="TPT56" s="370"/>
      <c r="TPU56" s="370"/>
      <c r="TPV56" s="370"/>
      <c r="TPW56" s="370"/>
      <c r="TPX56" s="370"/>
      <c r="TPY56" s="370"/>
      <c r="TPZ56" s="370"/>
      <c r="TQA56" s="370"/>
      <c r="TQB56" s="370"/>
      <c r="TQC56" s="370"/>
      <c r="TQD56" s="370"/>
      <c r="TQE56" s="370"/>
      <c r="TQF56" s="370"/>
      <c r="TQG56" s="370"/>
      <c r="TQH56" s="370"/>
      <c r="TQI56" s="370"/>
      <c r="TQJ56" s="370"/>
      <c r="TQK56" s="370"/>
      <c r="TQL56" s="370"/>
      <c r="TQM56" s="370"/>
      <c r="TQN56" s="370"/>
      <c r="TQO56" s="370"/>
      <c r="TQP56" s="370"/>
      <c r="TQQ56" s="370"/>
      <c r="TQR56" s="370"/>
      <c r="TQS56" s="370"/>
      <c r="TQT56" s="370"/>
      <c r="TQU56" s="370"/>
      <c r="TQV56" s="370"/>
      <c r="TQW56" s="370"/>
      <c r="TQX56" s="370"/>
      <c r="TQY56" s="370"/>
      <c r="TQZ56" s="370"/>
      <c r="TRA56" s="370"/>
      <c r="TRB56" s="370"/>
      <c r="TRC56" s="370"/>
      <c r="TRD56" s="370"/>
      <c r="TRE56" s="370"/>
      <c r="TRF56" s="370"/>
      <c r="TRG56" s="370"/>
      <c r="TRH56" s="370"/>
      <c r="TRI56" s="370"/>
      <c r="TRJ56" s="370"/>
      <c r="TRK56" s="370"/>
      <c r="TRL56" s="370"/>
      <c r="TRM56" s="370"/>
      <c r="TRN56" s="370"/>
      <c r="TRO56" s="370"/>
      <c r="TRP56" s="370"/>
      <c r="TRQ56" s="370"/>
      <c r="TRR56" s="370"/>
      <c r="TRS56" s="370"/>
      <c r="TRT56" s="370"/>
      <c r="TRU56" s="370"/>
      <c r="TRV56" s="370"/>
      <c r="TRW56" s="370"/>
      <c r="TRX56" s="370"/>
      <c r="TRY56" s="370"/>
      <c r="TRZ56" s="370"/>
      <c r="TSA56" s="370"/>
      <c r="TSB56" s="370"/>
      <c r="TSC56" s="370"/>
      <c r="TSD56" s="370"/>
      <c r="TSE56" s="370"/>
      <c r="TSF56" s="370"/>
      <c r="TSG56" s="370"/>
      <c r="TSH56" s="370"/>
      <c r="TSI56" s="370"/>
      <c r="TSJ56" s="370"/>
      <c r="TSK56" s="370"/>
      <c r="TSL56" s="370"/>
      <c r="TSM56" s="370"/>
      <c r="TSN56" s="370"/>
      <c r="TSO56" s="370"/>
      <c r="TSP56" s="370"/>
      <c r="TSQ56" s="370"/>
      <c r="TSR56" s="370"/>
      <c r="TSS56" s="370"/>
      <c r="TST56" s="370"/>
      <c r="TSU56" s="370"/>
      <c r="TSV56" s="370"/>
      <c r="TSW56" s="370"/>
      <c r="TSX56" s="370"/>
      <c r="TSY56" s="370"/>
      <c r="TSZ56" s="370"/>
      <c r="TTA56" s="370"/>
      <c r="TTB56" s="370"/>
      <c r="TTC56" s="370"/>
      <c r="TTD56" s="370"/>
      <c r="TTE56" s="370"/>
      <c r="TTF56" s="370"/>
      <c r="TTG56" s="370"/>
      <c r="TTH56" s="370"/>
      <c r="TTI56" s="370"/>
      <c r="TTJ56" s="370"/>
      <c r="TTK56" s="370"/>
      <c r="TTL56" s="370"/>
      <c r="TTM56" s="370"/>
      <c r="TTN56" s="370"/>
      <c r="TTO56" s="370"/>
      <c r="TTP56" s="370"/>
      <c r="TTQ56" s="370"/>
      <c r="TTR56" s="370"/>
      <c r="TTS56" s="370"/>
      <c r="TTT56" s="370"/>
      <c r="TTU56" s="370"/>
      <c r="TTV56" s="370"/>
      <c r="TTW56" s="370"/>
      <c r="TTX56" s="370"/>
      <c r="TTY56" s="370"/>
      <c r="TTZ56" s="370"/>
      <c r="TUA56" s="370"/>
      <c r="TUB56" s="370"/>
      <c r="TUC56" s="370"/>
      <c r="TUD56" s="370"/>
      <c r="TUE56" s="370"/>
      <c r="TUF56" s="370"/>
      <c r="TUG56" s="370"/>
      <c r="TUH56" s="370"/>
      <c r="TUI56" s="370"/>
      <c r="TUJ56" s="370"/>
      <c r="TUK56" s="370"/>
      <c r="TUL56" s="370"/>
      <c r="TUM56" s="370"/>
      <c r="TUN56" s="370"/>
      <c r="TUO56" s="370"/>
      <c r="TUP56" s="370"/>
      <c r="TUQ56" s="370"/>
      <c r="TUR56" s="370"/>
      <c r="TUS56" s="370"/>
      <c r="TUT56" s="370"/>
      <c r="TUU56" s="370"/>
      <c r="TUV56" s="370"/>
      <c r="TUW56" s="370"/>
      <c r="TUX56" s="370"/>
      <c r="TUY56" s="370"/>
      <c r="TUZ56" s="370"/>
      <c r="TVA56" s="370"/>
      <c r="TVB56" s="370"/>
      <c r="TVC56" s="370"/>
      <c r="TVD56" s="370"/>
      <c r="TVE56" s="370"/>
      <c r="TVF56" s="370"/>
      <c r="TVG56" s="370"/>
      <c r="TVH56" s="370"/>
      <c r="TVI56" s="370"/>
      <c r="TVJ56" s="370"/>
      <c r="TVK56" s="370"/>
      <c r="TVL56" s="370"/>
      <c r="TVM56" s="370"/>
      <c r="TVN56" s="370"/>
      <c r="TVO56" s="370"/>
      <c r="TVP56" s="370"/>
      <c r="TVQ56" s="370"/>
      <c r="TVR56" s="370"/>
      <c r="TVS56" s="370"/>
      <c r="TVT56" s="370"/>
      <c r="TVU56" s="370"/>
      <c r="TVV56" s="370"/>
      <c r="TVW56" s="370"/>
      <c r="TVX56" s="370"/>
      <c r="TVY56" s="370"/>
      <c r="TVZ56" s="370"/>
      <c r="TWA56" s="370"/>
      <c r="TWB56" s="370"/>
      <c r="TWC56" s="370"/>
      <c r="TWD56" s="370"/>
      <c r="TWE56" s="370"/>
      <c r="TWF56" s="370"/>
      <c r="TWG56" s="370"/>
      <c r="TWH56" s="370"/>
      <c r="TWI56" s="370"/>
      <c r="TWJ56" s="370"/>
      <c r="TWK56" s="370"/>
      <c r="TWL56" s="370"/>
      <c r="TWM56" s="370"/>
      <c r="TWN56" s="370"/>
      <c r="TWO56" s="370"/>
      <c r="TWP56" s="370"/>
      <c r="TWQ56" s="370"/>
      <c r="TWR56" s="370"/>
      <c r="TWS56" s="370"/>
      <c r="TWT56" s="370"/>
      <c r="TWU56" s="370"/>
      <c r="TWV56" s="370"/>
      <c r="TWW56" s="370"/>
      <c r="TWX56" s="370"/>
      <c r="TWY56" s="370"/>
      <c r="TWZ56" s="370"/>
      <c r="TXA56" s="370"/>
      <c r="TXB56" s="370"/>
      <c r="TXC56" s="370"/>
      <c r="TXD56" s="370"/>
      <c r="TXE56" s="370"/>
      <c r="TXF56" s="370"/>
      <c r="TXG56" s="370"/>
      <c r="TXH56" s="370"/>
      <c r="TXI56" s="370"/>
      <c r="TXJ56" s="370"/>
      <c r="TXK56" s="370"/>
      <c r="TXL56" s="370"/>
      <c r="TXM56" s="370"/>
      <c r="TXN56" s="370"/>
      <c r="TXO56" s="370"/>
      <c r="TXP56" s="370"/>
      <c r="TXQ56" s="370"/>
      <c r="TXR56" s="370"/>
      <c r="TXS56" s="370"/>
      <c r="TXT56" s="370"/>
      <c r="TXU56" s="370"/>
      <c r="TXV56" s="370"/>
      <c r="TXW56" s="370"/>
      <c r="TXX56" s="370"/>
      <c r="TXY56" s="370"/>
      <c r="TXZ56" s="370"/>
      <c r="TYA56" s="370"/>
      <c r="TYB56" s="370"/>
      <c r="TYC56" s="370"/>
      <c r="TYD56" s="370"/>
      <c r="TYE56" s="370"/>
      <c r="TYF56" s="370"/>
      <c r="TYG56" s="370"/>
      <c r="TYH56" s="370"/>
      <c r="TYI56" s="370"/>
      <c r="TYJ56" s="370"/>
      <c r="TYK56" s="370"/>
      <c r="TYL56" s="370"/>
      <c r="TYM56" s="370"/>
      <c r="TYN56" s="370"/>
      <c r="TYO56" s="370"/>
      <c r="TYP56" s="370"/>
      <c r="TYQ56" s="370"/>
      <c r="TYR56" s="370"/>
      <c r="TYS56" s="370"/>
      <c r="TYT56" s="370"/>
      <c r="TYU56" s="370"/>
      <c r="TYV56" s="370"/>
      <c r="TYW56" s="370"/>
      <c r="TYX56" s="370"/>
      <c r="TYY56" s="370"/>
      <c r="TYZ56" s="370"/>
      <c r="TZA56" s="370"/>
      <c r="TZB56" s="370"/>
      <c r="TZC56" s="370"/>
      <c r="TZD56" s="370"/>
      <c r="TZE56" s="370"/>
      <c r="TZF56" s="370"/>
      <c r="TZG56" s="370"/>
      <c r="TZH56" s="370"/>
      <c r="TZI56" s="370"/>
      <c r="TZJ56" s="370"/>
      <c r="TZK56" s="370"/>
      <c r="TZL56" s="370"/>
      <c r="TZM56" s="370"/>
      <c r="TZN56" s="370"/>
      <c r="TZO56" s="370"/>
      <c r="TZP56" s="370"/>
      <c r="TZQ56" s="370"/>
      <c r="TZR56" s="370"/>
      <c r="TZS56" s="370"/>
      <c r="TZT56" s="370"/>
      <c r="TZU56" s="370"/>
      <c r="TZV56" s="370"/>
      <c r="TZW56" s="370"/>
      <c r="TZX56" s="370"/>
      <c r="TZY56" s="370"/>
      <c r="TZZ56" s="370"/>
      <c r="UAA56" s="370"/>
      <c r="UAB56" s="370"/>
      <c r="UAC56" s="370"/>
      <c r="UAD56" s="370"/>
      <c r="UAE56" s="370"/>
      <c r="UAF56" s="370"/>
      <c r="UAG56" s="370"/>
      <c r="UAH56" s="370"/>
      <c r="UAI56" s="370"/>
      <c r="UAJ56" s="370"/>
      <c r="UAK56" s="370"/>
      <c r="UAL56" s="370"/>
      <c r="UAM56" s="370"/>
      <c r="UAN56" s="370"/>
      <c r="UAO56" s="370"/>
      <c r="UAP56" s="370"/>
      <c r="UAQ56" s="370"/>
      <c r="UAR56" s="370"/>
      <c r="UAS56" s="370"/>
      <c r="UAT56" s="370"/>
      <c r="UAU56" s="370"/>
      <c r="UAV56" s="370"/>
      <c r="UAW56" s="370"/>
      <c r="UAX56" s="370"/>
      <c r="UAY56" s="370"/>
      <c r="UAZ56" s="370"/>
      <c r="UBA56" s="370"/>
      <c r="UBB56" s="370"/>
      <c r="UBC56" s="370"/>
      <c r="UBD56" s="370"/>
      <c r="UBE56" s="370"/>
      <c r="UBF56" s="370"/>
      <c r="UBG56" s="370"/>
      <c r="UBH56" s="370"/>
      <c r="UBI56" s="370"/>
      <c r="UBJ56" s="370"/>
      <c r="UBK56" s="370"/>
      <c r="UBL56" s="370"/>
      <c r="UBM56" s="370"/>
      <c r="UBN56" s="370"/>
      <c r="UBO56" s="370"/>
      <c r="UBP56" s="370"/>
      <c r="UBQ56" s="370"/>
      <c r="UBR56" s="370"/>
      <c r="UBS56" s="370"/>
      <c r="UBT56" s="370"/>
      <c r="UBU56" s="370"/>
      <c r="UBV56" s="370"/>
      <c r="UBW56" s="370"/>
      <c r="UBX56" s="370"/>
      <c r="UBY56" s="370"/>
      <c r="UBZ56" s="370"/>
      <c r="UCA56" s="370"/>
      <c r="UCB56" s="370"/>
      <c r="UCC56" s="370"/>
      <c r="UCD56" s="370"/>
      <c r="UCE56" s="370"/>
      <c r="UCF56" s="370"/>
      <c r="UCG56" s="370"/>
      <c r="UCH56" s="370"/>
      <c r="UCI56" s="370"/>
      <c r="UCJ56" s="370"/>
      <c r="UCK56" s="370"/>
      <c r="UCL56" s="370"/>
      <c r="UCM56" s="370"/>
      <c r="UCN56" s="370"/>
      <c r="UCO56" s="370"/>
      <c r="UCP56" s="370"/>
      <c r="UCQ56" s="370"/>
      <c r="UCR56" s="370"/>
      <c r="UCS56" s="370"/>
      <c r="UCT56" s="370"/>
      <c r="UCU56" s="370"/>
      <c r="UCV56" s="370"/>
      <c r="UCW56" s="370"/>
      <c r="UCX56" s="370"/>
      <c r="UCY56" s="370"/>
      <c r="UCZ56" s="370"/>
      <c r="UDA56" s="370"/>
      <c r="UDB56" s="370"/>
      <c r="UDC56" s="370"/>
      <c r="UDD56" s="370"/>
      <c r="UDE56" s="370"/>
      <c r="UDF56" s="370"/>
      <c r="UDG56" s="370"/>
      <c r="UDH56" s="370"/>
      <c r="UDI56" s="370"/>
      <c r="UDJ56" s="370"/>
      <c r="UDK56" s="370"/>
      <c r="UDL56" s="370"/>
      <c r="UDM56" s="370"/>
      <c r="UDN56" s="370"/>
      <c r="UDO56" s="370"/>
      <c r="UDP56" s="370"/>
      <c r="UDQ56" s="370"/>
      <c r="UDR56" s="370"/>
      <c r="UDS56" s="370"/>
      <c r="UDT56" s="370"/>
      <c r="UDU56" s="370"/>
      <c r="UDV56" s="370"/>
      <c r="UDW56" s="370"/>
      <c r="UDX56" s="370"/>
      <c r="UDY56" s="370"/>
      <c r="UDZ56" s="370"/>
      <c r="UEA56" s="370"/>
      <c r="UEB56" s="370"/>
      <c r="UEC56" s="370"/>
      <c r="UED56" s="370"/>
      <c r="UEE56" s="370"/>
      <c r="UEF56" s="370"/>
      <c r="UEG56" s="370"/>
      <c r="UEH56" s="370"/>
      <c r="UEI56" s="370"/>
      <c r="UEJ56" s="370"/>
      <c r="UEK56" s="370"/>
      <c r="UEL56" s="370"/>
      <c r="UEM56" s="370"/>
      <c r="UEN56" s="370"/>
      <c r="UEO56" s="370"/>
      <c r="UEP56" s="370"/>
      <c r="UEQ56" s="370"/>
      <c r="UER56" s="370"/>
      <c r="UES56" s="370"/>
      <c r="UET56" s="370"/>
      <c r="UEU56" s="370"/>
      <c r="UEV56" s="370"/>
      <c r="UEW56" s="370"/>
      <c r="UEX56" s="370"/>
      <c r="UEY56" s="370"/>
      <c r="UEZ56" s="370"/>
      <c r="UFA56" s="370"/>
      <c r="UFB56" s="370"/>
      <c r="UFC56" s="370"/>
      <c r="UFD56" s="370"/>
      <c r="UFE56" s="370"/>
      <c r="UFF56" s="370"/>
      <c r="UFG56" s="370"/>
      <c r="UFH56" s="370"/>
      <c r="UFI56" s="370"/>
      <c r="UFJ56" s="370"/>
      <c r="UFK56" s="370"/>
      <c r="UFL56" s="370"/>
      <c r="UFM56" s="370"/>
      <c r="UFN56" s="370"/>
      <c r="UFO56" s="370"/>
      <c r="UFP56" s="370"/>
      <c r="UFQ56" s="370"/>
      <c r="UFR56" s="370"/>
      <c r="UFS56" s="370"/>
      <c r="UFT56" s="370"/>
      <c r="UFU56" s="370"/>
      <c r="UFV56" s="370"/>
      <c r="UFW56" s="370"/>
      <c r="UFX56" s="370"/>
      <c r="UFY56" s="370"/>
      <c r="UFZ56" s="370"/>
      <c r="UGA56" s="370"/>
      <c r="UGB56" s="370"/>
      <c r="UGC56" s="370"/>
      <c r="UGD56" s="370"/>
      <c r="UGE56" s="370"/>
      <c r="UGF56" s="370"/>
      <c r="UGG56" s="370"/>
      <c r="UGH56" s="370"/>
      <c r="UGI56" s="370"/>
      <c r="UGJ56" s="370"/>
      <c r="UGK56" s="370"/>
      <c r="UGL56" s="370"/>
      <c r="UGM56" s="370"/>
      <c r="UGN56" s="370"/>
      <c r="UGO56" s="370"/>
      <c r="UGP56" s="370"/>
      <c r="UGQ56" s="370"/>
      <c r="UGR56" s="370"/>
      <c r="UGS56" s="370"/>
      <c r="UGT56" s="370"/>
      <c r="UGU56" s="370"/>
      <c r="UGV56" s="370"/>
      <c r="UGW56" s="370"/>
      <c r="UGX56" s="370"/>
      <c r="UGY56" s="370"/>
      <c r="UGZ56" s="370"/>
      <c r="UHA56" s="370"/>
      <c r="UHB56" s="370"/>
      <c r="UHC56" s="370"/>
      <c r="UHD56" s="370"/>
      <c r="UHE56" s="370"/>
      <c r="UHF56" s="370"/>
      <c r="UHG56" s="370"/>
      <c r="UHH56" s="370"/>
      <c r="UHI56" s="370"/>
      <c r="UHJ56" s="370"/>
      <c r="UHK56" s="370"/>
      <c r="UHL56" s="370"/>
      <c r="UHM56" s="370"/>
      <c r="UHN56" s="370"/>
      <c r="UHO56" s="370"/>
      <c r="UHP56" s="370"/>
      <c r="UHQ56" s="370"/>
      <c r="UHR56" s="370"/>
      <c r="UHS56" s="370"/>
      <c r="UHT56" s="370"/>
      <c r="UHU56" s="370"/>
      <c r="UHV56" s="370"/>
      <c r="UHW56" s="370"/>
      <c r="UHX56" s="370"/>
      <c r="UHY56" s="370"/>
      <c r="UHZ56" s="370"/>
      <c r="UIA56" s="370"/>
      <c r="UIB56" s="370"/>
      <c r="UIC56" s="370"/>
      <c r="UID56" s="370"/>
      <c r="UIE56" s="370"/>
      <c r="UIF56" s="370"/>
      <c r="UIG56" s="370"/>
      <c r="UIH56" s="370"/>
      <c r="UII56" s="370"/>
      <c r="UIJ56" s="370"/>
      <c r="UIK56" s="370"/>
      <c r="UIL56" s="370"/>
      <c r="UIM56" s="370"/>
      <c r="UIN56" s="370"/>
      <c r="UIO56" s="370"/>
      <c r="UIP56" s="370"/>
      <c r="UIQ56" s="370"/>
      <c r="UIR56" s="370"/>
      <c r="UIS56" s="370"/>
      <c r="UIT56" s="370"/>
      <c r="UIU56" s="370"/>
      <c r="UIV56" s="370"/>
      <c r="UIW56" s="370"/>
      <c r="UIX56" s="370"/>
      <c r="UIY56" s="370"/>
      <c r="UIZ56" s="370"/>
      <c r="UJA56" s="370"/>
      <c r="UJB56" s="370"/>
      <c r="UJC56" s="370"/>
      <c r="UJD56" s="370"/>
      <c r="UJE56" s="370"/>
      <c r="UJF56" s="370"/>
      <c r="UJG56" s="370"/>
      <c r="UJH56" s="370"/>
      <c r="UJI56" s="370"/>
      <c r="UJJ56" s="370"/>
      <c r="UJK56" s="370"/>
      <c r="UJL56" s="370"/>
      <c r="UJM56" s="370"/>
      <c r="UJN56" s="370"/>
      <c r="UJO56" s="370"/>
      <c r="UJP56" s="370"/>
      <c r="UJQ56" s="370"/>
      <c r="UJR56" s="370"/>
      <c r="UJS56" s="370"/>
      <c r="UJT56" s="370"/>
      <c r="UJU56" s="370"/>
      <c r="UJV56" s="370"/>
      <c r="UJW56" s="370"/>
      <c r="UJX56" s="370"/>
      <c r="UJY56" s="370"/>
      <c r="UJZ56" s="370"/>
      <c r="UKA56" s="370"/>
      <c r="UKB56" s="370"/>
      <c r="UKC56" s="370"/>
      <c r="UKD56" s="370"/>
      <c r="UKE56" s="370"/>
      <c r="UKF56" s="370"/>
      <c r="UKG56" s="370"/>
      <c r="UKH56" s="370"/>
      <c r="UKI56" s="370"/>
      <c r="UKJ56" s="370"/>
      <c r="UKK56" s="370"/>
      <c r="UKL56" s="370"/>
      <c r="UKM56" s="370"/>
      <c r="UKN56" s="370"/>
      <c r="UKO56" s="370"/>
      <c r="UKP56" s="370"/>
      <c r="UKQ56" s="370"/>
      <c r="UKR56" s="370"/>
      <c r="UKS56" s="370"/>
      <c r="UKT56" s="370"/>
      <c r="UKU56" s="370"/>
      <c r="UKV56" s="370"/>
      <c r="UKW56" s="370"/>
      <c r="UKX56" s="370"/>
      <c r="UKY56" s="370"/>
      <c r="UKZ56" s="370"/>
      <c r="ULA56" s="370"/>
      <c r="ULB56" s="370"/>
      <c r="ULC56" s="370"/>
      <c r="ULD56" s="370"/>
      <c r="ULE56" s="370"/>
      <c r="ULF56" s="370"/>
      <c r="ULG56" s="370"/>
      <c r="ULH56" s="370"/>
      <c r="ULI56" s="370"/>
      <c r="ULJ56" s="370"/>
      <c r="ULK56" s="370"/>
      <c r="ULL56" s="370"/>
      <c r="ULM56" s="370"/>
      <c r="ULN56" s="370"/>
      <c r="ULO56" s="370"/>
      <c r="ULP56" s="370"/>
      <c r="ULQ56" s="370"/>
      <c r="ULR56" s="370"/>
      <c r="ULS56" s="370"/>
      <c r="ULT56" s="370"/>
      <c r="ULU56" s="370"/>
      <c r="ULV56" s="370"/>
      <c r="ULW56" s="370"/>
      <c r="ULX56" s="370"/>
      <c r="ULY56" s="370"/>
      <c r="ULZ56" s="370"/>
      <c r="UMA56" s="370"/>
      <c r="UMB56" s="370"/>
      <c r="UMC56" s="370"/>
      <c r="UMD56" s="370"/>
      <c r="UME56" s="370"/>
      <c r="UMF56" s="370"/>
      <c r="UMG56" s="370"/>
      <c r="UMH56" s="370"/>
      <c r="UMI56" s="370"/>
      <c r="UMJ56" s="370"/>
      <c r="UMK56" s="370"/>
      <c r="UML56" s="370"/>
      <c r="UMM56" s="370"/>
      <c r="UMN56" s="370"/>
      <c r="UMO56" s="370"/>
      <c r="UMP56" s="370"/>
      <c r="UMQ56" s="370"/>
      <c r="UMR56" s="370"/>
      <c r="UMS56" s="370"/>
      <c r="UMT56" s="370"/>
      <c r="UMU56" s="370"/>
      <c r="UMV56" s="370"/>
      <c r="UMW56" s="370"/>
      <c r="UMX56" s="370"/>
      <c r="UMY56" s="370"/>
      <c r="UMZ56" s="370"/>
      <c r="UNA56" s="370"/>
      <c r="UNB56" s="370"/>
      <c r="UNC56" s="370"/>
      <c r="UND56" s="370"/>
      <c r="UNE56" s="370"/>
      <c r="UNF56" s="370"/>
      <c r="UNG56" s="370"/>
      <c r="UNH56" s="370"/>
      <c r="UNI56" s="370"/>
      <c r="UNJ56" s="370"/>
      <c r="UNK56" s="370"/>
      <c r="UNL56" s="370"/>
      <c r="UNM56" s="370"/>
      <c r="UNN56" s="370"/>
      <c r="UNO56" s="370"/>
      <c r="UNP56" s="370"/>
      <c r="UNQ56" s="370"/>
      <c r="UNR56" s="370"/>
      <c r="UNS56" s="370"/>
      <c r="UNT56" s="370"/>
      <c r="UNU56" s="370"/>
      <c r="UNV56" s="370"/>
      <c r="UNW56" s="370"/>
      <c r="UNX56" s="370"/>
      <c r="UNY56" s="370"/>
      <c r="UNZ56" s="370"/>
      <c r="UOA56" s="370"/>
      <c r="UOB56" s="370"/>
      <c r="UOC56" s="370"/>
      <c r="UOD56" s="370"/>
      <c r="UOE56" s="370"/>
      <c r="UOF56" s="370"/>
      <c r="UOG56" s="370"/>
      <c r="UOH56" s="370"/>
      <c r="UOI56" s="370"/>
      <c r="UOJ56" s="370"/>
      <c r="UOK56" s="370"/>
      <c r="UOL56" s="370"/>
      <c r="UOM56" s="370"/>
      <c r="UON56" s="370"/>
      <c r="UOO56" s="370"/>
      <c r="UOP56" s="370"/>
      <c r="UOQ56" s="370"/>
      <c r="UOR56" s="370"/>
      <c r="UOS56" s="370"/>
      <c r="UOT56" s="370"/>
      <c r="UOU56" s="370"/>
      <c r="UOV56" s="370"/>
      <c r="UOW56" s="370"/>
      <c r="UOX56" s="370"/>
      <c r="UOY56" s="370"/>
      <c r="UOZ56" s="370"/>
      <c r="UPA56" s="370"/>
      <c r="UPB56" s="370"/>
      <c r="UPC56" s="370"/>
      <c r="UPD56" s="370"/>
      <c r="UPE56" s="370"/>
      <c r="UPF56" s="370"/>
      <c r="UPG56" s="370"/>
      <c r="UPH56" s="370"/>
      <c r="UPI56" s="370"/>
      <c r="UPJ56" s="370"/>
      <c r="UPK56" s="370"/>
      <c r="UPL56" s="370"/>
      <c r="UPM56" s="370"/>
      <c r="UPN56" s="370"/>
      <c r="UPO56" s="370"/>
      <c r="UPP56" s="370"/>
      <c r="UPQ56" s="370"/>
      <c r="UPR56" s="370"/>
      <c r="UPS56" s="370"/>
      <c r="UPT56" s="370"/>
      <c r="UPU56" s="370"/>
      <c r="UPV56" s="370"/>
      <c r="UPW56" s="370"/>
      <c r="UPX56" s="370"/>
      <c r="UPY56" s="370"/>
      <c r="UPZ56" s="370"/>
      <c r="UQA56" s="370"/>
      <c r="UQB56" s="370"/>
      <c r="UQC56" s="370"/>
      <c r="UQD56" s="370"/>
      <c r="UQE56" s="370"/>
      <c r="UQF56" s="370"/>
      <c r="UQG56" s="370"/>
      <c r="UQH56" s="370"/>
      <c r="UQI56" s="370"/>
      <c r="UQJ56" s="370"/>
      <c r="UQK56" s="370"/>
      <c r="UQL56" s="370"/>
      <c r="UQM56" s="370"/>
      <c r="UQN56" s="370"/>
      <c r="UQO56" s="370"/>
      <c r="UQP56" s="370"/>
      <c r="UQQ56" s="370"/>
      <c r="UQR56" s="370"/>
      <c r="UQS56" s="370"/>
      <c r="UQT56" s="370"/>
      <c r="UQU56" s="370"/>
      <c r="UQV56" s="370"/>
      <c r="UQW56" s="370"/>
      <c r="UQX56" s="370"/>
      <c r="UQY56" s="370"/>
      <c r="UQZ56" s="370"/>
      <c r="URA56" s="370"/>
      <c r="URB56" s="370"/>
      <c r="URC56" s="370"/>
      <c r="URD56" s="370"/>
      <c r="URE56" s="370"/>
      <c r="URF56" s="370"/>
      <c r="URG56" s="370"/>
      <c r="URH56" s="370"/>
      <c r="URI56" s="370"/>
      <c r="URJ56" s="370"/>
      <c r="URK56" s="370"/>
      <c r="URL56" s="370"/>
      <c r="URM56" s="370"/>
      <c r="URN56" s="370"/>
      <c r="URO56" s="370"/>
      <c r="URP56" s="370"/>
      <c r="URQ56" s="370"/>
      <c r="URR56" s="370"/>
      <c r="URS56" s="370"/>
      <c r="URT56" s="370"/>
      <c r="URU56" s="370"/>
      <c r="URV56" s="370"/>
      <c r="URW56" s="370"/>
      <c r="URX56" s="370"/>
      <c r="URY56" s="370"/>
      <c r="URZ56" s="370"/>
      <c r="USA56" s="370"/>
      <c r="USB56" s="370"/>
      <c r="USC56" s="370"/>
      <c r="USD56" s="370"/>
      <c r="USE56" s="370"/>
      <c r="USF56" s="370"/>
      <c r="USG56" s="370"/>
      <c r="USH56" s="370"/>
      <c r="USI56" s="370"/>
      <c r="USJ56" s="370"/>
      <c r="USK56" s="370"/>
      <c r="USL56" s="370"/>
      <c r="USM56" s="370"/>
      <c r="USN56" s="370"/>
      <c r="USO56" s="370"/>
      <c r="USP56" s="370"/>
      <c r="USQ56" s="370"/>
      <c r="USR56" s="370"/>
      <c r="USS56" s="370"/>
      <c r="UST56" s="370"/>
      <c r="USU56" s="370"/>
      <c r="USV56" s="370"/>
      <c r="USW56" s="370"/>
      <c r="USX56" s="370"/>
      <c r="USY56" s="370"/>
      <c r="USZ56" s="370"/>
      <c r="UTA56" s="370"/>
      <c r="UTB56" s="370"/>
      <c r="UTC56" s="370"/>
      <c r="UTD56" s="370"/>
      <c r="UTE56" s="370"/>
      <c r="UTF56" s="370"/>
      <c r="UTG56" s="370"/>
      <c r="UTH56" s="370"/>
      <c r="UTI56" s="370"/>
      <c r="UTJ56" s="370"/>
      <c r="UTK56" s="370"/>
      <c r="UTL56" s="370"/>
      <c r="UTM56" s="370"/>
      <c r="UTN56" s="370"/>
      <c r="UTO56" s="370"/>
      <c r="UTP56" s="370"/>
      <c r="UTQ56" s="370"/>
      <c r="UTR56" s="370"/>
      <c r="UTS56" s="370"/>
      <c r="UTT56" s="370"/>
      <c r="UTU56" s="370"/>
      <c r="UTV56" s="370"/>
      <c r="UTW56" s="370"/>
      <c r="UTX56" s="370"/>
      <c r="UTY56" s="370"/>
      <c r="UTZ56" s="370"/>
      <c r="UUA56" s="370"/>
      <c r="UUB56" s="370"/>
      <c r="UUC56" s="370"/>
      <c r="UUD56" s="370"/>
      <c r="UUE56" s="370"/>
      <c r="UUF56" s="370"/>
      <c r="UUG56" s="370"/>
      <c r="UUH56" s="370"/>
      <c r="UUI56" s="370"/>
      <c r="UUJ56" s="370"/>
      <c r="UUK56" s="370"/>
      <c r="UUL56" s="370"/>
      <c r="UUM56" s="370"/>
      <c r="UUN56" s="370"/>
      <c r="UUO56" s="370"/>
      <c r="UUP56" s="370"/>
      <c r="UUQ56" s="370"/>
      <c r="UUR56" s="370"/>
      <c r="UUS56" s="370"/>
      <c r="UUT56" s="370"/>
      <c r="UUU56" s="370"/>
      <c r="UUV56" s="370"/>
      <c r="UUW56" s="370"/>
      <c r="UUX56" s="370"/>
      <c r="UUY56" s="370"/>
      <c r="UUZ56" s="370"/>
      <c r="UVA56" s="370"/>
      <c r="UVB56" s="370"/>
      <c r="UVC56" s="370"/>
      <c r="UVD56" s="370"/>
      <c r="UVE56" s="370"/>
      <c r="UVF56" s="370"/>
      <c r="UVG56" s="370"/>
      <c r="UVH56" s="370"/>
      <c r="UVI56" s="370"/>
      <c r="UVJ56" s="370"/>
      <c r="UVK56" s="370"/>
      <c r="UVL56" s="370"/>
      <c r="UVM56" s="370"/>
      <c r="UVN56" s="370"/>
      <c r="UVO56" s="370"/>
      <c r="UVP56" s="370"/>
      <c r="UVQ56" s="370"/>
      <c r="UVR56" s="370"/>
      <c r="UVS56" s="370"/>
      <c r="UVT56" s="370"/>
      <c r="UVU56" s="370"/>
      <c r="UVV56" s="370"/>
      <c r="UVW56" s="370"/>
      <c r="UVX56" s="370"/>
      <c r="UVY56" s="370"/>
      <c r="UVZ56" s="370"/>
      <c r="UWA56" s="370"/>
      <c r="UWB56" s="370"/>
      <c r="UWC56" s="370"/>
      <c r="UWD56" s="370"/>
      <c r="UWE56" s="370"/>
      <c r="UWF56" s="370"/>
      <c r="UWG56" s="370"/>
      <c r="UWH56" s="370"/>
      <c r="UWI56" s="370"/>
      <c r="UWJ56" s="370"/>
      <c r="UWK56" s="370"/>
      <c r="UWL56" s="370"/>
      <c r="UWM56" s="370"/>
      <c r="UWN56" s="370"/>
      <c r="UWO56" s="370"/>
      <c r="UWP56" s="370"/>
      <c r="UWQ56" s="370"/>
      <c r="UWR56" s="370"/>
      <c r="UWS56" s="370"/>
      <c r="UWT56" s="370"/>
      <c r="UWU56" s="370"/>
      <c r="UWV56" s="370"/>
      <c r="UWW56" s="370"/>
      <c r="UWX56" s="370"/>
      <c r="UWY56" s="370"/>
      <c r="UWZ56" s="370"/>
      <c r="UXA56" s="370"/>
      <c r="UXB56" s="370"/>
      <c r="UXC56" s="370"/>
      <c r="UXD56" s="370"/>
      <c r="UXE56" s="370"/>
      <c r="UXF56" s="370"/>
      <c r="UXG56" s="370"/>
      <c r="UXH56" s="370"/>
      <c r="UXI56" s="370"/>
      <c r="UXJ56" s="370"/>
      <c r="UXK56" s="370"/>
      <c r="UXL56" s="370"/>
      <c r="UXM56" s="370"/>
      <c r="UXN56" s="370"/>
      <c r="UXO56" s="370"/>
      <c r="UXP56" s="370"/>
      <c r="UXQ56" s="370"/>
      <c r="UXR56" s="370"/>
      <c r="UXS56" s="370"/>
      <c r="UXT56" s="370"/>
      <c r="UXU56" s="370"/>
      <c r="UXV56" s="370"/>
      <c r="UXW56" s="370"/>
      <c r="UXX56" s="370"/>
      <c r="UXY56" s="370"/>
      <c r="UXZ56" s="370"/>
      <c r="UYA56" s="370"/>
      <c r="UYB56" s="370"/>
      <c r="UYC56" s="370"/>
      <c r="UYD56" s="370"/>
      <c r="UYE56" s="370"/>
      <c r="UYF56" s="370"/>
      <c r="UYG56" s="370"/>
      <c r="UYH56" s="370"/>
      <c r="UYI56" s="370"/>
      <c r="UYJ56" s="370"/>
      <c r="UYK56" s="370"/>
      <c r="UYL56" s="370"/>
      <c r="UYM56" s="370"/>
      <c r="UYN56" s="370"/>
      <c r="UYO56" s="370"/>
      <c r="UYP56" s="370"/>
      <c r="UYQ56" s="370"/>
      <c r="UYR56" s="370"/>
      <c r="UYS56" s="370"/>
      <c r="UYT56" s="370"/>
      <c r="UYU56" s="370"/>
      <c r="UYV56" s="370"/>
      <c r="UYW56" s="370"/>
      <c r="UYX56" s="370"/>
      <c r="UYY56" s="370"/>
      <c r="UYZ56" s="370"/>
      <c r="UZA56" s="370"/>
      <c r="UZB56" s="370"/>
      <c r="UZC56" s="370"/>
      <c r="UZD56" s="370"/>
      <c r="UZE56" s="370"/>
      <c r="UZF56" s="370"/>
      <c r="UZG56" s="370"/>
      <c r="UZH56" s="370"/>
      <c r="UZI56" s="370"/>
      <c r="UZJ56" s="370"/>
      <c r="UZK56" s="370"/>
      <c r="UZL56" s="370"/>
      <c r="UZM56" s="370"/>
      <c r="UZN56" s="370"/>
      <c r="UZO56" s="370"/>
      <c r="UZP56" s="370"/>
      <c r="UZQ56" s="370"/>
      <c r="UZR56" s="370"/>
      <c r="UZS56" s="370"/>
      <c r="UZT56" s="370"/>
      <c r="UZU56" s="370"/>
      <c r="UZV56" s="370"/>
      <c r="UZW56" s="370"/>
      <c r="UZX56" s="370"/>
      <c r="UZY56" s="370"/>
      <c r="UZZ56" s="370"/>
      <c r="VAA56" s="370"/>
      <c r="VAB56" s="370"/>
      <c r="VAC56" s="370"/>
      <c r="VAD56" s="370"/>
      <c r="VAE56" s="370"/>
      <c r="VAF56" s="370"/>
      <c r="VAG56" s="370"/>
      <c r="VAH56" s="370"/>
      <c r="VAI56" s="370"/>
      <c r="VAJ56" s="370"/>
      <c r="VAK56" s="370"/>
      <c r="VAL56" s="370"/>
      <c r="VAM56" s="370"/>
      <c r="VAN56" s="370"/>
      <c r="VAO56" s="370"/>
      <c r="VAP56" s="370"/>
      <c r="VAQ56" s="370"/>
      <c r="VAR56" s="370"/>
      <c r="VAS56" s="370"/>
      <c r="VAT56" s="370"/>
      <c r="VAU56" s="370"/>
      <c r="VAV56" s="370"/>
      <c r="VAW56" s="370"/>
      <c r="VAX56" s="370"/>
      <c r="VAY56" s="370"/>
      <c r="VAZ56" s="370"/>
      <c r="VBA56" s="370"/>
      <c r="VBB56" s="370"/>
      <c r="VBC56" s="370"/>
      <c r="VBD56" s="370"/>
      <c r="VBE56" s="370"/>
      <c r="VBF56" s="370"/>
      <c r="VBG56" s="370"/>
      <c r="VBH56" s="370"/>
      <c r="VBI56" s="370"/>
      <c r="VBJ56" s="370"/>
      <c r="VBK56" s="370"/>
      <c r="VBL56" s="370"/>
      <c r="VBM56" s="370"/>
      <c r="VBN56" s="370"/>
      <c r="VBO56" s="370"/>
      <c r="VBP56" s="370"/>
      <c r="VBQ56" s="370"/>
      <c r="VBR56" s="370"/>
      <c r="VBS56" s="370"/>
      <c r="VBT56" s="370"/>
      <c r="VBU56" s="370"/>
      <c r="VBV56" s="370"/>
      <c r="VBW56" s="370"/>
      <c r="VBX56" s="370"/>
      <c r="VBY56" s="370"/>
      <c r="VBZ56" s="370"/>
      <c r="VCA56" s="370"/>
      <c r="VCB56" s="370"/>
      <c r="VCC56" s="370"/>
      <c r="VCD56" s="370"/>
      <c r="VCE56" s="370"/>
      <c r="VCF56" s="370"/>
      <c r="VCG56" s="370"/>
      <c r="VCH56" s="370"/>
      <c r="VCI56" s="370"/>
      <c r="VCJ56" s="370"/>
      <c r="VCK56" s="370"/>
      <c r="VCL56" s="370"/>
      <c r="VCM56" s="370"/>
      <c r="VCN56" s="370"/>
      <c r="VCO56" s="370"/>
      <c r="VCP56" s="370"/>
      <c r="VCQ56" s="370"/>
      <c r="VCR56" s="370"/>
      <c r="VCS56" s="370"/>
      <c r="VCT56" s="370"/>
      <c r="VCU56" s="370"/>
      <c r="VCV56" s="370"/>
      <c r="VCW56" s="370"/>
      <c r="VCX56" s="370"/>
      <c r="VCY56" s="370"/>
      <c r="VCZ56" s="370"/>
      <c r="VDA56" s="370"/>
      <c r="VDB56" s="370"/>
      <c r="VDC56" s="370"/>
      <c r="VDD56" s="370"/>
      <c r="VDE56" s="370"/>
      <c r="VDF56" s="370"/>
      <c r="VDG56" s="370"/>
      <c r="VDH56" s="370"/>
      <c r="VDI56" s="370"/>
      <c r="VDJ56" s="370"/>
      <c r="VDK56" s="370"/>
      <c r="VDL56" s="370"/>
      <c r="VDM56" s="370"/>
      <c r="VDN56" s="370"/>
      <c r="VDO56" s="370"/>
      <c r="VDP56" s="370"/>
      <c r="VDQ56" s="370"/>
      <c r="VDR56" s="370"/>
      <c r="VDS56" s="370"/>
      <c r="VDT56" s="370"/>
      <c r="VDU56" s="370"/>
      <c r="VDV56" s="370"/>
      <c r="VDW56" s="370"/>
      <c r="VDX56" s="370"/>
      <c r="VDY56" s="370"/>
      <c r="VDZ56" s="370"/>
      <c r="VEA56" s="370"/>
      <c r="VEB56" s="370"/>
      <c r="VEC56" s="370"/>
      <c r="VED56" s="370"/>
      <c r="VEE56" s="370"/>
      <c r="VEF56" s="370"/>
      <c r="VEG56" s="370"/>
      <c r="VEH56" s="370"/>
      <c r="VEI56" s="370"/>
      <c r="VEJ56" s="370"/>
      <c r="VEK56" s="370"/>
      <c r="VEL56" s="370"/>
      <c r="VEM56" s="370"/>
      <c r="VEN56" s="370"/>
      <c r="VEO56" s="370"/>
      <c r="VEP56" s="370"/>
      <c r="VEQ56" s="370"/>
      <c r="VER56" s="370"/>
      <c r="VES56" s="370"/>
      <c r="VET56" s="370"/>
      <c r="VEU56" s="370"/>
      <c r="VEV56" s="370"/>
      <c r="VEW56" s="370"/>
      <c r="VEX56" s="370"/>
      <c r="VEY56" s="370"/>
      <c r="VEZ56" s="370"/>
      <c r="VFA56" s="370"/>
      <c r="VFB56" s="370"/>
      <c r="VFC56" s="370"/>
      <c r="VFD56" s="370"/>
      <c r="VFE56" s="370"/>
      <c r="VFF56" s="370"/>
      <c r="VFG56" s="370"/>
      <c r="VFH56" s="370"/>
      <c r="VFI56" s="370"/>
      <c r="VFJ56" s="370"/>
      <c r="VFK56" s="370"/>
      <c r="VFL56" s="370"/>
      <c r="VFM56" s="370"/>
      <c r="VFN56" s="370"/>
      <c r="VFO56" s="370"/>
      <c r="VFP56" s="370"/>
      <c r="VFQ56" s="370"/>
      <c r="VFR56" s="370"/>
      <c r="VFS56" s="370"/>
      <c r="VFT56" s="370"/>
      <c r="VFU56" s="370"/>
      <c r="VFV56" s="370"/>
      <c r="VFW56" s="370"/>
      <c r="VFX56" s="370"/>
      <c r="VFY56" s="370"/>
      <c r="VFZ56" s="370"/>
      <c r="VGA56" s="370"/>
      <c r="VGB56" s="370"/>
      <c r="VGC56" s="370"/>
      <c r="VGD56" s="370"/>
      <c r="VGE56" s="370"/>
      <c r="VGF56" s="370"/>
      <c r="VGG56" s="370"/>
      <c r="VGH56" s="370"/>
      <c r="VGI56" s="370"/>
      <c r="VGJ56" s="370"/>
      <c r="VGK56" s="370"/>
      <c r="VGL56" s="370"/>
      <c r="VGM56" s="370"/>
      <c r="VGN56" s="370"/>
      <c r="VGO56" s="370"/>
      <c r="VGP56" s="370"/>
      <c r="VGQ56" s="370"/>
      <c r="VGR56" s="370"/>
      <c r="VGS56" s="370"/>
      <c r="VGT56" s="370"/>
      <c r="VGU56" s="370"/>
      <c r="VGV56" s="370"/>
      <c r="VGW56" s="370"/>
      <c r="VGX56" s="370"/>
      <c r="VGY56" s="370"/>
      <c r="VGZ56" s="370"/>
      <c r="VHA56" s="370"/>
      <c r="VHB56" s="370"/>
      <c r="VHC56" s="370"/>
      <c r="VHD56" s="370"/>
      <c r="VHE56" s="370"/>
      <c r="VHF56" s="370"/>
      <c r="VHG56" s="370"/>
      <c r="VHH56" s="370"/>
      <c r="VHI56" s="370"/>
      <c r="VHJ56" s="370"/>
      <c r="VHK56" s="370"/>
      <c r="VHL56" s="370"/>
      <c r="VHM56" s="370"/>
      <c r="VHN56" s="370"/>
      <c r="VHO56" s="370"/>
      <c r="VHP56" s="370"/>
      <c r="VHQ56" s="370"/>
      <c r="VHR56" s="370"/>
      <c r="VHS56" s="370"/>
      <c r="VHT56" s="370"/>
      <c r="VHU56" s="370"/>
      <c r="VHV56" s="370"/>
      <c r="VHW56" s="370"/>
      <c r="VHX56" s="370"/>
      <c r="VHY56" s="370"/>
      <c r="VHZ56" s="370"/>
      <c r="VIA56" s="370"/>
      <c r="VIB56" s="370"/>
      <c r="VIC56" s="370"/>
      <c r="VID56" s="370"/>
      <c r="VIE56" s="370"/>
      <c r="VIF56" s="370"/>
      <c r="VIG56" s="370"/>
      <c r="VIH56" s="370"/>
      <c r="VII56" s="370"/>
      <c r="VIJ56" s="370"/>
      <c r="VIK56" s="370"/>
      <c r="VIL56" s="370"/>
      <c r="VIM56" s="370"/>
      <c r="VIN56" s="370"/>
      <c r="VIO56" s="370"/>
      <c r="VIP56" s="370"/>
      <c r="VIQ56" s="370"/>
      <c r="VIR56" s="370"/>
      <c r="VIS56" s="370"/>
      <c r="VIT56" s="370"/>
      <c r="VIU56" s="370"/>
      <c r="VIV56" s="370"/>
      <c r="VIW56" s="370"/>
      <c r="VIX56" s="370"/>
      <c r="VIY56" s="370"/>
      <c r="VIZ56" s="370"/>
      <c r="VJA56" s="370"/>
      <c r="VJB56" s="370"/>
      <c r="VJC56" s="370"/>
      <c r="VJD56" s="370"/>
      <c r="VJE56" s="370"/>
      <c r="VJF56" s="370"/>
      <c r="VJG56" s="370"/>
      <c r="VJH56" s="370"/>
      <c r="VJI56" s="370"/>
      <c r="VJJ56" s="370"/>
      <c r="VJK56" s="370"/>
      <c r="VJL56" s="370"/>
      <c r="VJM56" s="370"/>
      <c r="VJN56" s="370"/>
      <c r="VJO56" s="370"/>
      <c r="VJP56" s="370"/>
      <c r="VJQ56" s="370"/>
      <c r="VJR56" s="370"/>
      <c r="VJS56" s="370"/>
      <c r="VJT56" s="370"/>
      <c r="VJU56" s="370"/>
      <c r="VJV56" s="370"/>
      <c r="VJW56" s="370"/>
      <c r="VJX56" s="370"/>
      <c r="VJY56" s="370"/>
      <c r="VJZ56" s="370"/>
      <c r="VKA56" s="370"/>
      <c r="VKB56" s="370"/>
      <c r="VKC56" s="370"/>
      <c r="VKD56" s="370"/>
      <c r="VKE56" s="370"/>
      <c r="VKF56" s="370"/>
      <c r="VKG56" s="370"/>
      <c r="VKH56" s="370"/>
      <c r="VKI56" s="370"/>
      <c r="VKJ56" s="370"/>
      <c r="VKK56" s="370"/>
      <c r="VKL56" s="370"/>
      <c r="VKM56" s="370"/>
      <c r="VKN56" s="370"/>
      <c r="VKO56" s="370"/>
      <c r="VKP56" s="370"/>
      <c r="VKQ56" s="370"/>
      <c r="VKR56" s="370"/>
      <c r="VKS56" s="370"/>
      <c r="VKT56" s="370"/>
      <c r="VKU56" s="370"/>
      <c r="VKV56" s="370"/>
      <c r="VKW56" s="370"/>
      <c r="VKX56" s="370"/>
      <c r="VKY56" s="370"/>
      <c r="VKZ56" s="370"/>
      <c r="VLA56" s="370"/>
      <c r="VLB56" s="370"/>
      <c r="VLC56" s="370"/>
      <c r="VLD56" s="370"/>
      <c r="VLE56" s="370"/>
      <c r="VLF56" s="370"/>
      <c r="VLG56" s="370"/>
      <c r="VLH56" s="370"/>
      <c r="VLI56" s="370"/>
      <c r="VLJ56" s="370"/>
      <c r="VLK56" s="370"/>
      <c r="VLL56" s="370"/>
      <c r="VLM56" s="370"/>
      <c r="VLN56" s="370"/>
      <c r="VLO56" s="370"/>
      <c r="VLP56" s="370"/>
      <c r="VLQ56" s="370"/>
      <c r="VLR56" s="370"/>
      <c r="VLS56" s="370"/>
      <c r="VLT56" s="370"/>
      <c r="VLU56" s="370"/>
      <c r="VLV56" s="370"/>
      <c r="VLW56" s="370"/>
      <c r="VLX56" s="370"/>
      <c r="VLY56" s="370"/>
      <c r="VLZ56" s="370"/>
      <c r="VMA56" s="370"/>
      <c r="VMB56" s="370"/>
      <c r="VMC56" s="370"/>
      <c r="VMD56" s="370"/>
      <c r="VME56" s="370"/>
      <c r="VMF56" s="370"/>
      <c r="VMG56" s="370"/>
      <c r="VMH56" s="370"/>
      <c r="VMI56" s="370"/>
      <c r="VMJ56" s="370"/>
      <c r="VMK56" s="370"/>
      <c r="VML56" s="370"/>
      <c r="VMM56" s="370"/>
      <c r="VMN56" s="370"/>
      <c r="VMO56" s="370"/>
      <c r="VMP56" s="370"/>
      <c r="VMQ56" s="370"/>
      <c r="VMR56" s="370"/>
      <c r="VMS56" s="370"/>
      <c r="VMT56" s="370"/>
      <c r="VMU56" s="370"/>
      <c r="VMV56" s="370"/>
      <c r="VMW56" s="370"/>
      <c r="VMX56" s="370"/>
      <c r="VMY56" s="370"/>
      <c r="VMZ56" s="370"/>
      <c r="VNA56" s="370"/>
      <c r="VNB56" s="370"/>
      <c r="VNC56" s="370"/>
      <c r="VND56" s="370"/>
      <c r="VNE56" s="370"/>
      <c r="VNF56" s="370"/>
      <c r="VNG56" s="370"/>
      <c r="VNH56" s="370"/>
      <c r="VNI56" s="370"/>
      <c r="VNJ56" s="370"/>
      <c r="VNK56" s="370"/>
      <c r="VNL56" s="370"/>
      <c r="VNM56" s="370"/>
      <c r="VNN56" s="370"/>
      <c r="VNO56" s="370"/>
      <c r="VNP56" s="370"/>
      <c r="VNQ56" s="370"/>
      <c r="VNR56" s="370"/>
      <c r="VNS56" s="370"/>
      <c r="VNT56" s="370"/>
      <c r="VNU56" s="370"/>
      <c r="VNV56" s="370"/>
      <c r="VNW56" s="370"/>
      <c r="VNX56" s="370"/>
      <c r="VNY56" s="370"/>
      <c r="VNZ56" s="370"/>
      <c r="VOA56" s="370"/>
      <c r="VOB56" s="370"/>
      <c r="VOC56" s="370"/>
      <c r="VOD56" s="370"/>
      <c r="VOE56" s="370"/>
      <c r="VOF56" s="370"/>
      <c r="VOG56" s="370"/>
      <c r="VOH56" s="370"/>
      <c r="VOI56" s="370"/>
      <c r="VOJ56" s="370"/>
      <c r="VOK56" s="370"/>
      <c r="VOL56" s="370"/>
      <c r="VOM56" s="370"/>
      <c r="VON56" s="370"/>
      <c r="VOO56" s="370"/>
      <c r="VOP56" s="370"/>
      <c r="VOQ56" s="370"/>
      <c r="VOR56" s="370"/>
      <c r="VOS56" s="370"/>
      <c r="VOT56" s="370"/>
      <c r="VOU56" s="370"/>
      <c r="VOV56" s="370"/>
      <c r="VOW56" s="370"/>
      <c r="VOX56" s="370"/>
      <c r="VOY56" s="370"/>
      <c r="VOZ56" s="370"/>
      <c r="VPA56" s="370"/>
      <c r="VPB56" s="370"/>
      <c r="VPC56" s="370"/>
      <c r="VPD56" s="370"/>
      <c r="VPE56" s="370"/>
      <c r="VPF56" s="370"/>
      <c r="VPG56" s="370"/>
      <c r="VPH56" s="370"/>
      <c r="VPI56" s="370"/>
      <c r="VPJ56" s="370"/>
      <c r="VPK56" s="370"/>
      <c r="VPL56" s="370"/>
      <c r="VPM56" s="370"/>
      <c r="VPN56" s="370"/>
      <c r="VPO56" s="370"/>
      <c r="VPP56" s="370"/>
      <c r="VPQ56" s="370"/>
      <c r="VPR56" s="370"/>
      <c r="VPS56" s="370"/>
      <c r="VPT56" s="370"/>
      <c r="VPU56" s="370"/>
      <c r="VPV56" s="370"/>
      <c r="VPW56" s="370"/>
      <c r="VPX56" s="370"/>
      <c r="VPY56" s="370"/>
      <c r="VPZ56" s="370"/>
      <c r="VQA56" s="370"/>
      <c r="VQB56" s="370"/>
      <c r="VQC56" s="370"/>
      <c r="VQD56" s="370"/>
      <c r="VQE56" s="370"/>
      <c r="VQF56" s="370"/>
      <c r="VQG56" s="370"/>
      <c r="VQH56" s="370"/>
      <c r="VQI56" s="370"/>
      <c r="VQJ56" s="370"/>
      <c r="VQK56" s="370"/>
      <c r="VQL56" s="370"/>
      <c r="VQM56" s="370"/>
      <c r="VQN56" s="370"/>
      <c r="VQO56" s="370"/>
      <c r="VQP56" s="370"/>
      <c r="VQQ56" s="370"/>
      <c r="VQR56" s="370"/>
      <c r="VQS56" s="370"/>
      <c r="VQT56" s="370"/>
      <c r="VQU56" s="370"/>
      <c r="VQV56" s="370"/>
      <c r="VQW56" s="370"/>
      <c r="VQX56" s="370"/>
      <c r="VQY56" s="370"/>
      <c r="VQZ56" s="370"/>
      <c r="VRA56" s="370"/>
      <c r="VRB56" s="370"/>
      <c r="VRC56" s="370"/>
      <c r="VRD56" s="370"/>
      <c r="VRE56" s="370"/>
      <c r="VRF56" s="370"/>
      <c r="VRG56" s="370"/>
      <c r="VRH56" s="370"/>
      <c r="VRI56" s="370"/>
      <c r="VRJ56" s="370"/>
      <c r="VRK56" s="370"/>
      <c r="VRL56" s="370"/>
      <c r="VRM56" s="370"/>
      <c r="VRN56" s="370"/>
      <c r="VRO56" s="370"/>
      <c r="VRP56" s="370"/>
      <c r="VRQ56" s="370"/>
      <c r="VRR56" s="370"/>
      <c r="VRS56" s="370"/>
      <c r="VRT56" s="370"/>
      <c r="VRU56" s="370"/>
      <c r="VRV56" s="370"/>
      <c r="VRW56" s="370"/>
      <c r="VRX56" s="370"/>
      <c r="VRY56" s="370"/>
      <c r="VRZ56" s="370"/>
      <c r="VSA56" s="370"/>
      <c r="VSB56" s="370"/>
      <c r="VSC56" s="370"/>
      <c r="VSD56" s="370"/>
      <c r="VSE56" s="370"/>
      <c r="VSF56" s="370"/>
      <c r="VSG56" s="370"/>
      <c r="VSH56" s="370"/>
      <c r="VSI56" s="370"/>
      <c r="VSJ56" s="370"/>
      <c r="VSK56" s="370"/>
      <c r="VSL56" s="370"/>
      <c r="VSM56" s="370"/>
      <c r="VSN56" s="370"/>
      <c r="VSO56" s="370"/>
      <c r="VSP56" s="370"/>
      <c r="VSQ56" s="370"/>
      <c r="VSR56" s="370"/>
      <c r="VSS56" s="370"/>
      <c r="VST56" s="370"/>
      <c r="VSU56" s="370"/>
      <c r="VSV56" s="370"/>
      <c r="VSW56" s="370"/>
      <c r="VSX56" s="370"/>
      <c r="VSY56" s="370"/>
      <c r="VSZ56" s="370"/>
      <c r="VTA56" s="370"/>
      <c r="VTB56" s="370"/>
      <c r="VTC56" s="370"/>
      <c r="VTD56" s="370"/>
      <c r="VTE56" s="370"/>
      <c r="VTF56" s="370"/>
      <c r="VTG56" s="370"/>
      <c r="VTH56" s="370"/>
      <c r="VTI56" s="370"/>
      <c r="VTJ56" s="370"/>
      <c r="VTK56" s="370"/>
      <c r="VTL56" s="370"/>
      <c r="VTM56" s="370"/>
      <c r="VTN56" s="370"/>
      <c r="VTO56" s="370"/>
      <c r="VTP56" s="370"/>
      <c r="VTQ56" s="370"/>
      <c r="VTR56" s="370"/>
      <c r="VTS56" s="370"/>
      <c r="VTT56" s="370"/>
      <c r="VTU56" s="370"/>
      <c r="VTV56" s="370"/>
      <c r="VTW56" s="370"/>
      <c r="VTX56" s="370"/>
      <c r="VTY56" s="370"/>
      <c r="VTZ56" s="370"/>
      <c r="VUA56" s="370"/>
      <c r="VUB56" s="370"/>
      <c r="VUC56" s="370"/>
      <c r="VUD56" s="370"/>
      <c r="VUE56" s="370"/>
      <c r="VUF56" s="370"/>
      <c r="VUG56" s="370"/>
      <c r="VUH56" s="370"/>
      <c r="VUI56" s="370"/>
      <c r="VUJ56" s="370"/>
      <c r="VUK56" s="370"/>
      <c r="VUL56" s="370"/>
      <c r="VUM56" s="370"/>
      <c r="VUN56" s="370"/>
      <c r="VUO56" s="370"/>
      <c r="VUP56" s="370"/>
      <c r="VUQ56" s="370"/>
      <c r="VUR56" s="370"/>
      <c r="VUS56" s="370"/>
      <c r="VUT56" s="370"/>
      <c r="VUU56" s="370"/>
      <c r="VUV56" s="370"/>
      <c r="VUW56" s="370"/>
      <c r="VUX56" s="370"/>
      <c r="VUY56" s="370"/>
      <c r="VUZ56" s="370"/>
      <c r="VVA56" s="370"/>
      <c r="VVB56" s="370"/>
      <c r="VVC56" s="370"/>
      <c r="VVD56" s="370"/>
      <c r="VVE56" s="370"/>
      <c r="VVF56" s="370"/>
      <c r="VVG56" s="370"/>
      <c r="VVH56" s="370"/>
      <c r="VVI56" s="370"/>
      <c r="VVJ56" s="370"/>
      <c r="VVK56" s="370"/>
      <c r="VVL56" s="370"/>
      <c r="VVM56" s="370"/>
      <c r="VVN56" s="370"/>
      <c r="VVO56" s="370"/>
      <c r="VVP56" s="370"/>
      <c r="VVQ56" s="370"/>
      <c r="VVR56" s="370"/>
      <c r="VVS56" s="370"/>
      <c r="VVT56" s="370"/>
      <c r="VVU56" s="370"/>
      <c r="VVV56" s="370"/>
      <c r="VVW56" s="370"/>
      <c r="VVX56" s="370"/>
      <c r="VVY56" s="370"/>
      <c r="VVZ56" s="370"/>
      <c r="VWA56" s="370"/>
      <c r="VWB56" s="370"/>
      <c r="VWC56" s="370"/>
      <c r="VWD56" s="370"/>
      <c r="VWE56" s="370"/>
      <c r="VWF56" s="370"/>
      <c r="VWG56" s="370"/>
      <c r="VWH56" s="370"/>
      <c r="VWI56" s="370"/>
      <c r="VWJ56" s="370"/>
      <c r="VWK56" s="370"/>
      <c r="VWL56" s="370"/>
      <c r="VWM56" s="370"/>
      <c r="VWN56" s="370"/>
      <c r="VWO56" s="370"/>
      <c r="VWP56" s="370"/>
      <c r="VWQ56" s="370"/>
      <c r="VWR56" s="370"/>
      <c r="VWS56" s="370"/>
      <c r="VWT56" s="370"/>
      <c r="VWU56" s="370"/>
      <c r="VWV56" s="370"/>
      <c r="VWW56" s="370"/>
      <c r="VWX56" s="370"/>
      <c r="VWY56" s="370"/>
      <c r="VWZ56" s="370"/>
      <c r="VXA56" s="370"/>
      <c r="VXB56" s="370"/>
      <c r="VXC56" s="370"/>
      <c r="VXD56" s="370"/>
      <c r="VXE56" s="370"/>
      <c r="VXF56" s="370"/>
      <c r="VXG56" s="370"/>
      <c r="VXH56" s="370"/>
      <c r="VXI56" s="370"/>
      <c r="VXJ56" s="370"/>
      <c r="VXK56" s="370"/>
      <c r="VXL56" s="370"/>
      <c r="VXM56" s="370"/>
      <c r="VXN56" s="370"/>
      <c r="VXO56" s="370"/>
      <c r="VXP56" s="370"/>
      <c r="VXQ56" s="370"/>
      <c r="VXR56" s="370"/>
      <c r="VXS56" s="370"/>
      <c r="VXT56" s="370"/>
      <c r="VXU56" s="370"/>
      <c r="VXV56" s="370"/>
      <c r="VXW56" s="370"/>
      <c r="VXX56" s="370"/>
      <c r="VXY56" s="370"/>
      <c r="VXZ56" s="370"/>
      <c r="VYA56" s="370"/>
      <c r="VYB56" s="370"/>
      <c r="VYC56" s="370"/>
      <c r="VYD56" s="370"/>
      <c r="VYE56" s="370"/>
      <c r="VYF56" s="370"/>
      <c r="VYG56" s="370"/>
      <c r="VYH56" s="370"/>
      <c r="VYI56" s="370"/>
      <c r="VYJ56" s="370"/>
      <c r="VYK56" s="370"/>
      <c r="VYL56" s="370"/>
      <c r="VYM56" s="370"/>
      <c r="VYN56" s="370"/>
      <c r="VYO56" s="370"/>
      <c r="VYP56" s="370"/>
      <c r="VYQ56" s="370"/>
      <c r="VYR56" s="370"/>
      <c r="VYS56" s="370"/>
      <c r="VYT56" s="370"/>
      <c r="VYU56" s="370"/>
      <c r="VYV56" s="370"/>
      <c r="VYW56" s="370"/>
      <c r="VYX56" s="370"/>
      <c r="VYY56" s="370"/>
      <c r="VYZ56" s="370"/>
      <c r="VZA56" s="370"/>
      <c r="VZB56" s="370"/>
      <c r="VZC56" s="370"/>
      <c r="VZD56" s="370"/>
      <c r="VZE56" s="370"/>
      <c r="VZF56" s="370"/>
      <c r="VZG56" s="370"/>
      <c r="VZH56" s="370"/>
      <c r="VZI56" s="370"/>
      <c r="VZJ56" s="370"/>
      <c r="VZK56" s="370"/>
      <c r="VZL56" s="370"/>
      <c r="VZM56" s="370"/>
      <c r="VZN56" s="370"/>
      <c r="VZO56" s="370"/>
      <c r="VZP56" s="370"/>
      <c r="VZQ56" s="370"/>
      <c r="VZR56" s="370"/>
      <c r="VZS56" s="370"/>
      <c r="VZT56" s="370"/>
      <c r="VZU56" s="370"/>
      <c r="VZV56" s="370"/>
      <c r="VZW56" s="370"/>
      <c r="VZX56" s="370"/>
      <c r="VZY56" s="370"/>
      <c r="VZZ56" s="370"/>
      <c r="WAA56" s="370"/>
      <c r="WAB56" s="370"/>
      <c r="WAC56" s="370"/>
      <c r="WAD56" s="370"/>
      <c r="WAE56" s="370"/>
      <c r="WAF56" s="370"/>
      <c r="WAG56" s="370"/>
      <c r="WAH56" s="370"/>
      <c r="WAI56" s="370"/>
      <c r="WAJ56" s="370"/>
      <c r="WAK56" s="370"/>
      <c r="WAL56" s="370"/>
      <c r="WAM56" s="370"/>
      <c r="WAN56" s="370"/>
      <c r="WAO56" s="370"/>
      <c r="WAP56" s="370"/>
      <c r="WAQ56" s="370"/>
      <c r="WAR56" s="370"/>
      <c r="WAS56" s="370"/>
      <c r="WAT56" s="370"/>
      <c r="WAU56" s="370"/>
      <c r="WAV56" s="370"/>
      <c r="WAW56" s="370"/>
      <c r="WAX56" s="370"/>
      <c r="WAY56" s="370"/>
      <c r="WAZ56" s="370"/>
      <c r="WBA56" s="370"/>
      <c r="WBB56" s="370"/>
      <c r="WBC56" s="370"/>
      <c r="WBD56" s="370"/>
      <c r="WBE56" s="370"/>
      <c r="WBF56" s="370"/>
      <c r="WBG56" s="370"/>
      <c r="WBH56" s="370"/>
      <c r="WBI56" s="370"/>
      <c r="WBJ56" s="370"/>
      <c r="WBK56" s="370"/>
      <c r="WBL56" s="370"/>
      <c r="WBM56" s="370"/>
      <c r="WBN56" s="370"/>
      <c r="WBO56" s="370"/>
      <c r="WBP56" s="370"/>
      <c r="WBQ56" s="370"/>
      <c r="WBR56" s="370"/>
      <c r="WBS56" s="370"/>
      <c r="WBT56" s="370"/>
      <c r="WBU56" s="370"/>
      <c r="WBV56" s="370"/>
      <c r="WBW56" s="370"/>
      <c r="WBX56" s="370"/>
      <c r="WBY56" s="370"/>
      <c r="WBZ56" s="370"/>
      <c r="WCA56" s="370"/>
      <c r="WCB56" s="370"/>
      <c r="WCC56" s="370"/>
      <c r="WCD56" s="370"/>
      <c r="WCE56" s="370"/>
      <c r="WCF56" s="370"/>
      <c r="WCG56" s="370"/>
      <c r="WCH56" s="370"/>
      <c r="WCI56" s="370"/>
      <c r="WCJ56" s="370"/>
      <c r="WCK56" s="370"/>
      <c r="WCL56" s="370"/>
      <c r="WCM56" s="370"/>
      <c r="WCN56" s="370"/>
      <c r="WCO56" s="370"/>
      <c r="WCP56" s="370"/>
      <c r="WCQ56" s="370"/>
      <c r="WCR56" s="370"/>
      <c r="WCS56" s="370"/>
      <c r="WCT56" s="370"/>
      <c r="WCU56" s="370"/>
      <c r="WCV56" s="370"/>
      <c r="WCW56" s="370"/>
      <c r="WCX56" s="370"/>
      <c r="WCY56" s="370"/>
      <c r="WCZ56" s="370"/>
      <c r="WDA56" s="370"/>
      <c r="WDB56" s="370"/>
      <c r="WDC56" s="370"/>
      <c r="WDD56" s="370"/>
      <c r="WDE56" s="370"/>
      <c r="WDF56" s="370"/>
      <c r="WDG56" s="370"/>
      <c r="WDH56" s="370"/>
      <c r="WDI56" s="370"/>
      <c r="WDJ56" s="370"/>
      <c r="WDK56" s="370"/>
      <c r="WDL56" s="370"/>
      <c r="WDM56" s="370"/>
      <c r="WDN56" s="370"/>
      <c r="WDO56" s="370"/>
      <c r="WDP56" s="370"/>
      <c r="WDQ56" s="370"/>
      <c r="WDR56" s="370"/>
      <c r="WDS56" s="370"/>
      <c r="WDT56" s="370"/>
      <c r="WDU56" s="370"/>
      <c r="WDV56" s="370"/>
      <c r="WDW56" s="370"/>
      <c r="WDX56" s="370"/>
      <c r="WDY56" s="370"/>
      <c r="WDZ56" s="370"/>
      <c r="WEA56" s="370"/>
      <c r="WEB56" s="370"/>
      <c r="WEC56" s="370"/>
      <c r="WED56" s="370"/>
      <c r="WEE56" s="370"/>
      <c r="WEF56" s="370"/>
      <c r="WEG56" s="370"/>
      <c r="WEH56" s="370"/>
      <c r="WEI56" s="370"/>
      <c r="WEJ56" s="370"/>
      <c r="WEK56" s="370"/>
      <c r="WEL56" s="370"/>
      <c r="WEM56" s="370"/>
      <c r="WEN56" s="370"/>
      <c r="WEO56" s="370"/>
      <c r="WEP56" s="370"/>
      <c r="WEQ56" s="370"/>
      <c r="WER56" s="370"/>
      <c r="WES56" s="370"/>
      <c r="WET56" s="370"/>
      <c r="WEU56" s="370"/>
      <c r="WEV56" s="370"/>
      <c r="WEW56" s="370"/>
      <c r="WEX56" s="370"/>
      <c r="WEY56" s="370"/>
      <c r="WEZ56" s="370"/>
      <c r="WFA56" s="370"/>
      <c r="WFB56" s="370"/>
      <c r="WFC56" s="370"/>
      <c r="WFD56" s="370"/>
      <c r="WFE56" s="370"/>
      <c r="WFF56" s="370"/>
      <c r="WFG56" s="370"/>
      <c r="WFH56" s="370"/>
      <c r="WFI56" s="370"/>
      <c r="WFJ56" s="370"/>
      <c r="WFK56" s="370"/>
      <c r="WFL56" s="370"/>
      <c r="WFM56" s="370"/>
      <c r="WFN56" s="370"/>
      <c r="WFO56" s="370"/>
      <c r="WFP56" s="370"/>
      <c r="WFQ56" s="370"/>
      <c r="WFR56" s="370"/>
      <c r="WFS56" s="370"/>
      <c r="WFT56" s="370"/>
      <c r="WFU56" s="370"/>
      <c r="WFV56" s="370"/>
      <c r="WFW56" s="370"/>
      <c r="WFX56" s="370"/>
      <c r="WFY56" s="370"/>
      <c r="WFZ56" s="370"/>
      <c r="WGA56" s="370"/>
      <c r="WGB56" s="370"/>
      <c r="WGC56" s="370"/>
      <c r="WGD56" s="370"/>
      <c r="WGE56" s="370"/>
      <c r="WGF56" s="370"/>
      <c r="WGG56" s="370"/>
      <c r="WGH56" s="370"/>
      <c r="WGI56" s="370"/>
      <c r="WGJ56" s="370"/>
      <c r="WGK56" s="370"/>
      <c r="WGL56" s="370"/>
      <c r="WGM56" s="370"/>
      <c r="WGN56" s="370"/>
      <c r="WGO56" s="370"/>
      <c r="WGP56" s="370"/>
      <c r="WGQ56" s="370"/>
      <c r="WGR56" s="370"/>
      <c r="WGS56" s="370"/>
      <c r="WGT56" s="370"/>
      <c r="WGU56" s="370"/>
      <c r="WGV56" s="370"/>
      <c r="WGW56" s="370"/>
      <c r="WGX56" s="370"/>
      <c r="WGY56" s="370"/>
      <c r="WGZ56" s="370"/>
      <c r="WHA56" s="370"/>
      <c r="WHB56" s="370"/>
      <c r="WHC56" s="370"/>
      <c r="WHD56" s="370"/>
      <c r="WHE56" s="370"/>
      <c r="WHF56" s="370"/>
      <c r="WHG56" s="370"/>
      <c r="WHH56" s="370"/>
      <c r="WHI56" s="370"/>
      <c r="WHJ56" s="370"/>
      <c r="WHK56" s="370"/>
      <c r="WHL56" s="370"/>
      <c r="WHM56" s="370"/>
      <c r="WHN56" s="370"/>
      <c r="WHO56" s="370"/>
      <c r="WHP56" s="370"/>
      <c r="WHQ56" s="370"/>
      <c r="WHR56" s="370"/>
      <c r="WHS56" s="370"/>
      <c r="WHT56" s="370"/>
      <c r="WHU56" s="370"/>
      <c r="WHV56" s="370"/>
      <c r="WHW56" s="370"/>
      <c r="WHX56" s="370"/>
      <c r="WHY56" s="370"/>
      <c r="WHZ56" s="370"/>
      <c r="WIA56" s="370"/>
      <c r="WIB56" s="370"/>
      <c r="WIC56" s="370"/>
      <c r="WID56" s="370"/>
      <c r="WIE56" s="370"/>
      <c r="WIF56" s="370"/>
      <c r="WIG56" s="370"/>
      <c r="WIH56" s="370"/>
      <c r="WII56" s="370"/>
      <c r="WIJ56" s="370"/>
      <c r="WIK56" s="370"/>
      <c r="WIL56" s="370"/>
      <c r="WIM56" s="370"/>
      <c r="WIN56" s="370"/>
      <c r="WIO56" s="370"/>
      <c r="WIP56" s="370"/>
      <c r="WIQ56" s="370"/>
      <c r="WIR56" s="370"/>
      <c r="WIS56" s="370"/>
      <c r="WIT56" s="370"/>
      <c r="WIU56" s="370"/>
      <c r="WIV56" s="370"/>
      <c r="WIW56" s="370"/>
      <c r="WIX56" s="370"/>
      <c r="WIY56" s="370"/>
      <c r="WIZ56" s="370"/>
      <c r="WJA56" s="370"/>
      <c r="WJB56" s="370"/>
      <c r="WJC56" s="370"/>
      <c r="WJD56" s="370"/>
      <c r="WJE56" s="370"/>
      <c r="WJF56" s="370"/>
      <c r="WJG56" s="370"/>
      <c r="WJH56" s="370"/>
      <c r="WJI56" s="370"/>
      <c r="WJJ56" s="370"/>
      <c r="WJK56" s="370"/>
      <c r="WJL56" s="370"/>
      <c r="WJM56" s="370"/>
      <c r="WJN56" s="370"/>
      <c r="WJO56" s="370"/>
      <c r="WJP56" s="370"/>
      <c r="WJQ56" s="370"/>
      <c r="WJR56" s="370"/>
      <c r="WJS56" s="370"/>
      <c r="WJT56" s="370"/>
      <c r="WJU56" s="370"/>
      <c r="WJV56" s="370"/>
      <c r="WJW56" s="370"/>
      <c r="WJX56" s="370"/>
      <c r="WJY56" s="370"/>
      <c r="WJZ56" s="370"/>
      <c r="WKA56" s="370"/>
      <c r="WKB56" s="370"/>
      <c r="WKC56" s="370"/>
      <c r="WKD56" s="370"/>
      <c r="WKE56" s="370"/>
      <c r="WKF56" s="370"/>
      <c r="WKG56" s="370"/>
      <c r="WKH56" s="370"/>
      <c r="WKI56" s="370"/>
      <c r="WKJ56" s="370"/>
      <c r="WKK56" s="370"/>
      <c r="WKL56" s="370"/>
      <c r="WKM56" s="370"/>
      <c r="WKN56" s="370"/>
      <c r="WKO56" s="370"/>
      <c r="WKP56" s="370"/>
      <c r="WKQ56" s="370"/>
      <c r="WKR56" s="370"/>
      <c r="WKS56" s="370"/>
      <c r="WKT56" s="370"/>
      <c r="WKU56" s="370"/>
      <c r="WKV56" s="370"/>
      <c r="WKW56" s="370"/>
      <c r="WKX56" s="370"/>
      <c r="WKY56" s="370"/>
      <c r="WKZ56" s="370"/>
      <c r="WLA56" s="370"/>
      <c r="WLB56" s="370"/>
      <c r="WLC56" s="370"/>
      <c r="WLD56" s="370"/>
      <c r="WLE56" s="370"/>
      <c r="WLF56" s="370"/>
      <c r="WLG56" s="370"/>
      <c r="WLH56" s="370"/>
      <c r="WLI56" s="370"/>
      <c r="WLJ56" s="370"/>
      <c r="WLK56" s="370"/>
      <c r="WLL56" s="370"/>
      <c r="WLM56" s="370"/>
      <c r="WLN56" s="370"/>
      <c r="WLO56" s="370"/>
      <c r="WLP56" s="370"/>
      <c r="WLQ56" s="370"/>
      <c r="WLR56" s="370"/>
      <c r="WLS56" s="370"/>
      <c r="WLT56" s="370"/>
      <c r="WLU56" s="370"/>
      <c r="WLV56" s="370"/>
      <c r="WLW56" s="370"/>
      <c r="WLX56" s="370"/>
      <c r="WLY56" s="370"/>
      <c r="WLZ56" s="370"/>
      <c r="WMA56" s="370"/>
      <c r="WMB56" s="370"/>
      <c r="WMC56" s="370"/>
      <c r="WMD56" s="370"/>
      <c r="WME56" s="370"/>
      <c r="WMF56" s="370"/>
      <c r="WMG56" s="370"/>
      <c r="WMH56" s="370"/>
      <c r="WMI56" s="370"/>
      <c r="WMJ56" s="370"/>
      <c r="WMK56" s="370"/>
      <c r="WML56" s="370"/>
      <c r="WMM56" s="370"/>
      <c r="WMN56" s="370"/>
      <c r="WMO56" s="370"/>
      <c r="WMP56" s="370"/>
      <c r="WMQ56" s="370"/>
      <c r="WMR56" s="370"/>
      <c r="WMS56" s="370"/>
      <c r="WMT56" s="370"/>
      <c r="WMU56" s="370"/>
      <c r="WMV56" s="370"/>
      <c r="WMW56" s="370"/>
      <c r="WMX56" s="370"/>
      <c r="WMY56" s="370"/>
      <c r="WMZ56" s="370"/>
      <c r="WNA56" s="370"/>
      <c r="WNB56" s="370"/>
      <c r="WNC56" s="370"/>
      <c r="WND56" s="370"/>
      <c r="WNE56" s="370"/>
      <c r="WNF56" s="370"/>
      <c r="WNG56" s="370"/>
      <c r="WNH56" s="370"/>
      <c r="WNI56" s="370"/>
      <c r="WNJ56" s="370"/>
      <c r="WNK56" s="370"/>
      <c r="WNL56" s="370"/>
      <c r="WNM56" s="370"/>
      <c r="WNN56" s="370"/>
      <c r="WNO56" s="370"/>
      <c r="WNP56" s="370"/>
      <c r="WNQ56" s="370"/>
      <c r="WNR56" s="370"/>
      <c r="WNS56" s="370"/>
      <c r="WNT56" s="370"/>
      <c r="WNU56" s="370"/>
      <c r="WNV56" s="370"/>
      <c r="WNW56" s="370"/>
      <c r="WNX56" s="370"/>
      <c r="WNY56" s="370"/>
      <c r="WNZ56" s="370"/>
      <c r="WOA56" s="370"/>
      <c r="WOB56" s="370"/>
      <c r="WOC56" s="370"/>
      <c r="WOD56" s="370"/>
      <c r="WOE56" s="370"/>
      <c r="WOF56" s="370"/>
      <c r="WOG56" s="370"/>
      <c r="WOH56" s="370"/>
      <c r="WOI56" s="370"/>
      <c r="WOJ56" s="370"/>
      <c r="WOK56" s="370"/>
      <c r="WOL56" s="370"/>
      <c r="WOM56" s="370"/>
      <c r="WON56" s="370"/>
      <c r="WOO56" s="370"/>
      <c r="WOP56" s="370"/>
      <c r="WOQ56" s="370"/>
      <c r="WOR56" s="370"/>
      <c r="WOS56" s="370"/>
      <c r="WOT56" s="370"/>
      <c r="WOU56" s="370"/>
      <c r="WOV56" s="370"/>
      <c r="WOW56" s="370"/>
      <c r="WOX56" s="370"/>
      <c r="WOY56" s="370"/>
      <c r="WOZ56" s="370"/>
      <c r="WPA56" s="370"/>
      <c r="WPB56" s="370"/>
      <c r="WPC56" s="370"/>
      <c r="WPD56" s="370"/>
      <c r="WPE56" s="370"/>
      <c r="WPF56" s="370"/>
      <c r="WPG56" s="370"/>
      <c r="WPH56" s="370"/>
      <c r="WPI56" s="370"/>
      <c r="WPJ56" s="370"/>
      <c r="WPK56" s="370"/>
      <c r="WPL56" s="370"/>
      <c r="WPM56" s="370"/>
      <c r="WPN56" s="370"/>
      <c r="WPO56" s="370"/>
      <c r="WPP56" s="370"/>
      <c r="WPQ56" s="370"/>
      <c r="WPR56" s="370"/>
      <c r="WPS56" s="370"/>
      <c r="WPT56" s="370"/>
      <c r="WPU56" s="370"/>
      <c r="WPV56" s="370"/>
      <c r="WPW56" s="370"/>
      <c r="WPX56" s="370"/>
      <c r="WPY56" s="370"/>
      <c r="WPZ56" s="370"/>
      <c r="WQA56" s="370"/>
      <c r="WQB56" s="370"/>
      <c r="WQC56" s="370"/>
      <c r="WQD56" s="370"/>
      <c r="WQE56" s="370"/>
      <c r="WQF56" s="370"/>
      <c r="WQG56" s="370"/>
      <c r="WQH56" s="370"/>
      <c r="WQI56" s="370"/>
      <c r="WQJ56" s="370"/>
      <c r="WQK56" s="370"/>
      <c r="WQL56" s="370"/>
      <c r="WQM56" s="370"/>
      <c r="WQN56" s="370"/>
      <c r="WQO56" s="370"/>
      <c r="WQP56" s="370"/>
      <c r="WQQ56" s="370"/>
      <c r="WQR56" s="370"/>
      <c r="WQS56" s="370"/>
      <c r="WQT56" s="370"/>
      <c r="WQU56" s="370"/>
      <c r="WQV56" s="370"/>
      <c r="WQW56" s="370"/>
      <c r="WQX56" s="370"/>
      <c r="WQY56" s="370"/>
      <c r="WQZ56" s="370"/>
      <c r="WRA56" s="370"/>
      <c r="WRB56" s="370"/>
      <c r="WRC56" s="370"/>
      <c r="WRD56" s="370"/>
      <c r="WRE56" s="370"/>
      <c r="WRF56" s="370"/>
      <c r="WRG56" s="370"/>
      <c r="WRH56" s="370"/>
      <c r="WRI56" s="370"/>
      <c r="WRJ56" s="370"/>
      <c r="WRK56" s="370"/>
      <c r="WRL56" s="370"/>
      <c r="WRM56" s="370"/>
      <c r="WRN56" s="370"/>
      <c r="WRO56" s="370"/>
      <c r="WRP56" s="370"/>
      <c r="WRQ56" s="370"/>
      <c r="WRR56" s="370"/>
      <c r="WRS56" s="370"/>
      <c r="WRT56" s="370"/>
      <c r="WRU56" s="370"/>
      <c r="WRV56" s="370"/>
      <c r="WRW56" s="370"/>
      <c r="WRX56" s="370"/>
      <c r="WRY56" s="370"/>
      <c r="WRZ56" s="370"/>
      <c r="WSA56" s="370"/>
      <c r="WSB56" s="370"/>
      <c r="WSC56" s="370"/>
      <c r="WSD56" s="370"/>
      <c r="WSE56" s="370"/>
      <c r="WSF56" s="370"/>
      <c r="WSG56" s="370"/>
      <c r="WSH56" s="370"/>
      <c r="WSI56" s="370"/>
      <c r="WSJ56" s="370"/>
      <c r="WSK56" s="370"/>
      <c r="WSL56" s="370"/>
      <c r="WSM56" s="370"/>
      <c r="WSN56" s="370"/>
      <c r="WSO56" s="370"/>
      <c r="WSP56" s="370"/>
      <c r="WSQ56" s="370"/>
      <c r="WSR56" s="370"/>
      <c r="WSS56" s="370"/>
      <c r="WST56" s="370"/>
      <c r="WSU56" s="370"/>
      <c r="WSV56" s="370"/>
      <c r="WSW56" s="370"/>
      <c r="WSX56" s="370"/>
      <c r="WSY56" s="370"/>
      <c r="WSZ56" s="370"/>
      <c r="WTA56" s="370"/>
      <c r="WTB56" s="370"/>
      <c r="WTC56" s="370"/>
      <c r="WTD56" s="370"/>
      <c r="WTE56" s="370"/>
      <c r="WTF56" s="370"/>
      <c r="WTG56" s="370"/>
      <c r="WTH56" s="370"/>
      <c r="WTI56" s="370"/>
      <c r="WTJ56" s="370"/>
      <c r="WTK56" s="370"/>
      <c r="WTL56" s="370"/>
      <c r="WTM56" s="370"/>
      <c r="WTN56" s="370"/>
      <c r="WTO56" s="370"/>
      <c r="WTP56" s="370"/>
      <c r="WTQ56" s="370"/>
      <c r="WTR56" s="370"/>
      <c r="WTS56" s="370"/>
      <c r="WTT56" s="370"/>
      <c r="WTU56" s="370"/>
      <c r="WTV56" s="370"/>
      <c r="WTW56" s="370"/>
      <c r="WTX56" s="370"/>
      <c r="WTY56" s="370"/>
      <c r="WTZ56" s="370"/>
      <c r="WUA56" s="370"/>
      <c r="WUB56" s="370"/>
      <c r="WUC56" s="370"/>
      <c r="WUD56" s="370"/>
      <c r="WUE56" s="370"/>
      <c r="WUF56" s="370"/>
      <c r="WUG56" s="370"/>
      <c r="WUH56" s="370"/>
      <c r="WUI56" s="370"/>
      <c r="WUJ56" s="370"/>
      <c r="WUK56" s="370"/>
      <c r="WUL56" s="370"/>
      <c r="WUM56" s="370"/>
      <c r="WUN56" s="370"/>
      <c r="WUO56" s="370"/>
      <c r="WUP56" s="370"/>
      <c r="WUQ56" s="370"/>
      <c r="WUR56" s="370"/>
      <c r="WUS56" s="370"/>
      <c r="WUT56" s="370"/>
      <c r="WUU56" s="370"/>
      <c r="WUV56" s="370"/>
      <c r="WUW56" s="370"/>
      <c r="WUX56" s="370"/>
      <c r="WUY56" s="370"/>
      <c r="WUZ56" s="370"/>
      <c r="WVA56" s="370"/>
      <c r="WVB56" s="370"/>
      <c r="WVC56" s="370"/>
      <c r="WVD56" s="370"/>
      <c r="WVE56" s="370"/>
      <c r="WVF56" s="370"/>
      <c r="WVG56" s="370"/>
      <c r="WVH56" s="370"/>
      <c r="WVI56" s="370"/>
      <c r="WVJ56" s="370"/>
      <c r="WVK56" s="370"/>
      <c r="WVL56" s="370"/>
      <c r="WVM56" s="370"/>
      <c r="WVN56" s="370"/>
      <c r="WVO56" s="370"/>
      <c r="WVP56" s="370"/>
      <c r="WVQ56" s="370"/>
      <c r="WVR56" s="370"/>
      <c r="WVS56" s="370"/>
      <c r="WVT56" s="370"/>
      <c r="WVU56" s="370"/>
      <c r="WVV56" s="370"/>
      <c r="WVW56" s="370"/>
      <c r="WVX56" s="370"/>
      <c r="WVY56" s="370"/>
      <c r="WVZ56" s="370"/>
      <c r="WWA56" s="370"/>
      <c r="WWB56" s="370"/>
      <c r="WWC56" s="370"/>
      <c r="WWD56" s="370"/>
      <c r="WWE56" s="370"/>
      <c r="WWF56" s="370"/>
      <c r="WWG56" s="370"/>
      <c r="WWH56" s="370"/>
      <c r="WWI56" s="370"/>
      <c r="WWJ56" s="370"/>
      <c r="WWK56" s="370"/>
      <c r="WWL56" s="370"/>
      <c r="WWM56" s="370"/>
      <c r="WWN56" s="370"/>
      <c r="WWO56" s="370"/>
      <c r="WWP56" s="370"/>
      <c r="WWQ56" s="370"/>
      <c r="WWR56" s="370"/>
      <c r="WWS56" s="370"/>
      <c r="WWT56" s="370"/>
      <c r="WWU56" s="370"/>
      <c r="WWV56" s="370"/>
      <c r="WWW56" s="370"/>
      <c r="WWX56" s="370"/>
      <c r="WWY56" s="370"/>
      <c r="WWZ56" s="370"/>
      <c r="WXA56" s="370"/>
      <c r="WXB56" s="370"/>
      <c r="WXC56" s="370"/>
      <c r="WXD56" s="370"/>
      <c r="WXE56" s="370"/>
      <c r="WXF56" s="370"/>
      <c r="WXG56" s="370"/>
      <c r="WXH56" s="370"/>
      <c r="WXI56" s="370"/>
      <c r="WXJ56" s="370"/>
      <c r="WXK56" s="370"/>
      <c r="WXL56" s="370"/>
      <c r="WXM56" s="370"/>
      <c r="WXN56" s="370"/>
      <c r="WXO56" s="370"/>
      <c r="WXP56" s="370"/>
      <c r="WXQ56" s="370"/>
      <c r="WXR56" s="370"/>
      <c r="WXS56" s="370"/>
      <c r="WXT56" s="370"/>
      <c r="WXU56" s="370"/>
      <c r="WXV56" s="370"/>
      <c r="WXW56" s="370"/>
      <c r="WXX56" s="370"/>
      <c r="WXY56" s="370"/>
      <c r="WXZ56" s="370"/>
      <c r="WYA56" s="370"/>
      <c r="WYB56" s="370"/>
      <c r="WYC56" s="370"/>
      <c r="WYD56" s="370"/>
      <c r="WYE56" s="370"/>
      <c r="WYF56" s="370"/>
      <c r="WYG56" s="370"/>
      <c r="WYH56" s="370"/>
      <c r="WYI56" s="370"/>
      <c r="WYJ56" s="370"/>
      <c r="WYK56" s="370"/>
      <c r="WYL56" s="370"/>
      <c r="WYM56" s="370"/>
      <c r="WYN56" s="370"/>
      <c r="WYO56" s="370"/>
      <c r="WYP56" s="370"/>
      <c r="WYQ56" s="370"/>
      <c r="WYR56" s="370"/>
      <c r="WYS56" s="370"/>
      <c r="WYT56" s="370"/>
      <c r="WYU56" s="370"/>
      <c r="WYV56" s="370"/>
      <c r="WYW56" s="370"/>
      <c r="WYX56" s="370"/>
      <c r="WYY56" s="370"/>
      <c r="WYZ56" s="370"/>
      <c r="WZA56" s="370"/>
      <c r="WZB56" s="370"/>
      <c r="WZC56" s="370"/>
      <c r="WZD56" s="370"/>
      <c r="WZE56" s="370"/>
      <c r="WZF56" s="370"/>
      <c r="WZG56" s="370"/>
      <c r="WZH56" s="370"/>
      <c r="WZI56" s="370"/>
      <c r="WZJ56" s="370"/>
      <c r="WZK56" s="370"/>
      <c r="WZL56" s="370"/>
      <c r="WZM56" s="370"/>
      <c r="WZN56" s="370"/>
      <c r="WZO56" s="370"/>
      <c r="WZP56" s="370"/>
      <c r="WZQ56" s="370"/>
      <c r="WZR56" s="370"/>
      <c r="WZS56" s="370"/>
      <c r="WZT56" s="370"/>
      <c r="WZU56" s="370"/>
      <c r="WZV56" s="370"/>
      <c r="WZW56" s="370"/>
      <c r="WZX56" s="370"/>
      <c r="WZY56" s="370"/>
      <c r="WZZ56" s="370"/>
      <c r="XAA56" s="370"/>
      <c r="XAB56" s="370"/>
      <c r="XAC56" s="370"/>
      <c r="XAD56" s="370"/>
      <c r="XAE56" s="370"/>
      <c r="XAF56" s="370"/>
      <c r="XAG56" s="370"/>
      <c r="XAH56" s="370"/>
      <c r="XAI56" s="370"/>
      <c r="XAJ56" s="370"/>
      <c r="XAK56" s="370"/>
      <c r="XAL56" s="370"/>
      <c r="XAM56" s="370"/>
      <c r="XAN56" s="370"/>
      <c r="XAO56" s="370"/>
      <c r="XAP56" s="370"/>
      <c r="XAQ56" s="370"/>
      <c r="XAR56" s="370"/>
      <c r="XAS56" s="370"/>
      <c r="XAT56" s="370"/>
      <c r="XAU56" s="370"/>
      <c r="XAV56" s="370"/>
      <c r="XAW56" s="370"/>
      <c r="XAX56" s="370"/>
      <c r="XAY56" s="370"/>
      <c r="XAZ56" s="370"/>
      <c r="XBA56" s="370"/>
      <c r="XBB56" s="370"/>
      <c r="XBC56" s="370"/>
      <c r="XBD56" s="370"/>
      <c r="XBE56" s="370"/>
      <c r="XBF56" s="370"/>
      <c r="XBG56" s="370"/>
      <c r="XBH56" s="370"/>
      <c r="XBI56" s="370"/>
      <c r="XBJ56" s="370"/>
      <c r="XBK56" s="370"/>
      <c r="XBL56" s="370"/>
      <c r="XBM56" s="370"/>
      <c r="XBN56" s="370"/>
      <c r="XBO56" s="370"/>
      <c r="XBP56" s="370"/>
      <c r="XBQ56" s="370"/>
      <c r="XBR56" s="370"/>
      <c r="XBS56" s="370"/>
      <c r="XBT56" s="370"/>
      <c r="XBU56" s="370"/>
      <c r="XBV56" s="370"/>
      <c r="XBW56" s="370"/>
      <c r="XBX56" s="370"/>
      <c r="XBY56" s="370"/>
      <c r="XBZ56" s="370"/>
      <c r="XCA56" s="370"/>
      <c r="XCB56" s="370"/>
      <c r="XCC56" s="370"/>
      <c r="XCD56" s="370"/>
      <c r="XCE56" s="370"/>
      <c r="XCF56" s="370"/>
      <c r="XCG56" s="370"/>
      <c r="XCH56" s="370"/>
      <c r="XCI56" s="370"/>
      <c r="XCJ56" s="370"/>
      <c r="XCK56" s="370"/>
      <c r="XCL56" s="370"/>
      <c r="XCM56" s="370"/>
      <c r="XCN56" s="370"/>
      <c r="XCO56" s="370"/>
      <c r="XCP56" s="370"/>
      <c r="XCQ56" s="370"/>
      <c r="XCR56" s="370"/>
      <c r="XCS56" s="370"/>
      <c r="XCT56" s="370"/>
      <c r="XCU56" s="370"/>
      <c r="XCV56" s="370"/>
      <c r="XCW56" s="370"/>
      <c r="XCX56" s="370"/>
      <c r="XCY56" s="370"/>
      <c r="XCZ56" s="370"/>
      <c r="XDA56" s="370"/>
      <c r="XDB56" s="370"/>
      <c r="XDC56" s="370"/>
      <c r="XDD56" s="370"/>
      <c r="XDE56" s="370"/>
      <c r="XDF56" s="370"/>
      <c r="XDG56" s="370"/>
      <c r="XDH56" s="370"/>
      <c r="XDI56" s="370"/>
      <c r="XDJ56" s="370"/>
      <c r="XDK56" s="370"/>
      <c r="XDL56" s="370"/>
      <c r="XDM56" s="370"/>
      <c r="XDN56" s="370"/>
      <c r="XDO56" s="370"/>
      <c r="XDP56" s="370"/>
      <c r="XDQ56" s="370"/>
      <c r="XDR56" s="370"/>
      <c r="XDS56" s="370"/>
      <c r="XDT56" s="370"/>
      <c r="XDU56" s="370"/>
      <c r="XDV56" s="370"/>
      <c r="XDW56" s="370"/>
      <c r="XDX56" s="370"/>
      <c r="XDY56" s="370"/>
      <c r="XDZ56" s="370"/>
      <c r="XEA56" s="370"/>
      <c r="XEB56" s="370"/>
      <c r="XEC56" s="370"/>
      <c r="XED56" s="370"/>
      <c r="XEE56" s="370"/>
      <c r="XEF56" s="370"/>
      <c r="XEG56" s="370"/>
      <c r="XEH56" s="370"/>
      <c r="XEI56" s="370"/>
      <c r="XEJ56" s="370"/>
      <c r="XEK56" s="370"/>
      <c r="XEL56" s="370"/>
      <c r="XEM56" s="370"/>
      <c r="XEN56" s="370"/>
      <c r="XEO56" s="370"/>
      <c r="XEP56" s="370"/>
      <c r="XEQ56" s="370"/>
      <c r="XER56" s="370"/>
    </row>
    <row r="57" spans="1:16372" s="49" customFormat="1" ht="204" customHeight="1" x14ac:dyDescent="0.2">
      <c r="A57" s="32">
        <f t="shared" si="18"/>
        <v>36</v>
      </c>
      <c r="B57" s="68" t="s">
        <v>290</v>
      </c>
      <c r="C57" s="48" t="s">
        <v>290</v>
      </c>
      <c r="D57" s="62" t="s">
        <v>291</v>
      </c>
      <c r="E57" s="54">
        <f t="shared" si="16"/>
        <v>294</v>
      </c>
      <c r="F57" s="62" t="s">
        <v>292</v>
      </c>
      <c r="G57" s="54">
        <f t="shared" si="17"/>
        <v>254</v>
      </c>
      <c r="H57" s="60" t="s">
        <v>34</v>
      </c>
      <c r="I57" s="54" t="s">
        <v>26</v>
      </c>
      <c r="J57" s="54" t="s">
        <v>26</v>
      </c>
      <c r="K57" s="54" t="s">
        <v>35</v>
      </c>
      <c r="L57" s="66" t="s">
        <v>293</v>
      </c>
      <c r="M57" s="91" t="s">
        <v>26</v>
      </c>
      <c r="N57" s="45"/>
      <c r="O57" s="45"/>
      <c r="P57" s="66" t="s">
        <v>294</v>
      </c>
      <c r="Q57" s="235" t="s">
        <v>295</v>
      </c>
      <c r="R57" s="10"/>
      <c r="S57" s="287">
        <f>1</f>
        <v>1</v>
      </c>
      <c r="T57" s="43"/>
      <c r="V57" s="128" t="s">
        <v>127</v>
      </c>
      <c r="W57" s="50"/>
      <c r="Z57" s="285">
        <v>22.126214981079102</v>
      </c>
      <c r="AA57" s="285">
        <f t="shared" si="14"/>
        <v>22.126214981079102</v>
      </c>
      <c r="AB57" s="43">
        <f t="shared" si="15"/>
        <v>22.126214981079102</v>
      </c>
    </row>
    <row r="58" spans="1:16372" s="540" customFormat="1" ht="409.5" customHeight="1" x14ac:dyDescent="0.2">
      <c r="A58" s="534">
        <f t="shared" si="18"/>
        <v>37</v>
      </c>
      <c r="B58" s="497" t="s">
        <v>296</v>
      </c>
      <c r="C58" s="498" t="s">
        <v>297</v>
      </c>
      <c r="D58" s="546" t="s">
        <v>298</v>
      </c>
      <c r="E58" s="500">
        <f t="shared" si="16"/>
        <v>1247</v>
      </c>
      <c r="F58" s="546" t="s">
        <v>299</v>
      </c>
      <c r="G58" s="500">
        <f t="shared" si="17"/>
        <v>1131</v>
      </c>
      <c r="H58" s="501" t="s">
        <v>300</v>
      </c>
      <c r="I58" s="500" t="s">
        <v>26</v>
      </c>
      <c r="J58" s="500" t="s">
        <v>26</v>
      </c>
      <c r="K58" s="500" t="s">
        <v>301</v>
      </c>
      <c r="L58" s="541" t="s">
        <v>302</v>
      </c>
      <c r="M58" s="503" t="s">
        <v>303</v>
      </c>
      <c r="N58" s="541" t="s">
        <v>304</v>
      </c>
      <c r="O58" s="504" t="s">
        <v>305</v>
      </c>
      <c r="P58" s="547" t="s">
        <v>306</v>
      </c>
      <c r="Q58" s="547" t="s">
        <v>307</v>
      </c>
      <c r="R58" s="548"/>
      <c r="S58" s="526">
        <f>1</f>
        <v>1</v>
      </c>
      <c r="T58" s="509"/>
      <c r="V58" s="529" t="s">
        <v>127</v>
      </c>
      <c r="W58" s="281"/>
      <c r="Z58" s="512">
        <v>18.710653305053711</v>
      </c>
      <c r="AA58" s="512">
        <f t="shared" si="14"/>
        <v>18.710653305053711</v>
      </c>
      <c r="AB58" s="509">
        <f t="shared" si="15"/>
        <v>18.710653305053711</v>
      </c>
    </row>
    <row r="59" spans="1:16372" s="540" customFormat="1" ht="240" customHeight="1" x14ac:dyDescent="0.2">
      <c r="A59" s="534">
        <f t="shared" si="18"/>
        <v>38</v>
      </c>
      <c r="B59" s="549" t="s">
        <v>308</v>
      </c>
      <c r="C59" s="550" t="s">
        <v>308</v>
      </c>
      <c r="D59" s="551" t="s">
        <v>309</v>
      </c>
      <c r="E59" s="552">
        <f t="shared" si="16"/>
        <v>484</v>
      </c>
      <c r="F59" s="553" t="s">
        <v>310</v>
      </c>
      <c r="G59" s="552">
        <f t="shared" si="17"/>
        <v>399</v>
      </c>
      <c r="H59" s="552" t="s">
        <v>124</v>
      </c>
      <c r="I59" s="552" t="s">
        <v>26</v>
      </c>
      <c r="J59" s="554" t="s">
        <v>26</v>
      </c>
      <c r="K59" s="552" t="s">
        <v>311</v>
      </c>
      <c r="L59" s="555" t="s">
        <v>312</v>
      </c>
      <c r="M59" s="556" t="s">
        <v>26</v>
      </c>
      <c r="N59" s="557" t="s">
        <v>313</v>
      </c>
      <c r="O59" s="558" t="s">
        <v>314</v>
      </c>
      <c r="P59" s="559" t="s">
        <v>315</v>
      </c>
      <c r="Q59" s="559" t="s">
        <v>316</v>
      </c>
      <c r="R59" s="609"/>
      <c r="S59" s="508">
        <f>1</f>
        <v>1</v>
      </c>
      <c r="T59" s="509"/>
      <c r="V59" s="560" t="s">
        <v>25</v>
      </c>
      <c r="W59" s="281"/>
      <c r="Z59" s="511">
        <v>23.200380325317379</v>
      </c>
      <c r="AA59" s="511">
        <f t="shared" si="14"/>
        <v>23.200380325317379</v>
      </c>
      <c r="AB59" s="509" t="str">
        <f t="shared" si="15"/>
        <v/>
      </c>
    </row>
    <row r="60" spans="1:16372" s="49" customFormat="1" ht="153" customHeight="1" x14ac:dyDescent="0.2">
      <c r="A60" s="32">
        <f t="shared" si="18"/>
        <v>39</v>
      </c>
      <c r="B60" s="311" t="s">
        <v>317</v>
      </c>
      <c r="C60" s="362" t="s">
        <v>317</v>
      </c>
      <c r="D60" s="21" t="s">
        <v>318</v>
      </c>
      <c r="E60" s="318">
        <f t="shared" si="16"/>
        <v>279</v>
      </c>
      <c r="F60" s="360" t="s">
        <v>319</v>
      </c>
      <c r="G60" s="318">
        <f t="shared" si="17"/>
        <v>263</v>
      </c>
      <c r="H60" s="363" t="s">
        <v>34</v>
      </c>
      <c r="I60" s="314" t="s">
        <v>26</v>
      </c>
      <c r="J60" s="314" t="s">
        <v>26</v>
      </c>
      <c r="K60" s="314" t="s">
        <v>35</v>
      </c>
      <c r="L60" s="28" t="s">
        <v>320</v>
      </c>
      <c r="M60" s="22" t="s">
        <v>26</v>
      </c>
      <c r="N60" s="28" t="s">
        <v>321</v>
      </c>
      <c r="O60" s="357" t="s">
        <v>276</v>
      </c>
      <c r="P60" s="28" t="s">
        <v>322</v>
      </c>
      <c r="Q60" s="28" t="s">
        <v>323</v>
      </c>
      <c r="R60" s="610"/>
      <c r="S60" s="282">
        <f>1</f>
        <v>1</v>
      </c>
      <c r="T60" s="43"/>
      <c r="V60" s="51" t="s">
        <v>25</v>
      </c>
      <c r="W60" s="50"/>
      <c r="Z60" s="286">
        <v>1.9277389049530029</v>
      </c>
      <c r="AA60" s="286">
        <f t="shared" si="14"/>
        <v>1.9277389049530029</v>
      </c>
      <c r="AB60" s="43" t="str">
        <f t="shared" si="15"/>
        <v/>
      </c>
    </row>
    <row r="61" spans="1:16372" s="49" customFormat="1" ht="140.25" customHeight="1" x14ac:dyDescent="0.2">
      <c r="A61" s="32">
        <f t="shared" si="18"/>
        <v>40</v>
      </c>
      <c r="B61" s="311" t="s">
        <v>324</v>
      </c>
      <c r="C61" s="371" t="s">
        <v>324</v>
      </c>
      <c r="D61" s="372" t="s">
        <v>325</v>
      </c>
      <c r="E61" s="373">
        <f t="shared" si="16"/>
        <v>186</v>
      </c>
      <c r="F61" s="360" t="s">
        <v>326</v>
      </c>
      <c r="G61" s="318">
        <f t="shared" si="17"/>
        <v>176</v>
      </c>
      <c r="H61" s="363" t="s">
        <v>34</v>
      </c>
      <c r="I61" s="314" t="s">
        <v>26</v>
      </c>
      <c r="J61" s="314" t="s">
        <v>26</v>
      </c>
      <c r="K61" s="320" t="s">
        <v>35</v>
      </c>
      <c r="L61" s="28" t="s">
        <v>327</v>
      </c>
      <c r="M61" s="314" t="s">
        <v>26</v>
      </c>
      <c r="N61" s="374"/>
      <c r="O61" s="374"/>
      <c r="P61" s="28"/>
      <c r="Q61" s="28" t="s">
        <v>328</v>
      </c>
      <c r="R61" s="337"/>
      <c r="T61" s="51"/>
      <c r="U61" s="50"/>
      <c r="X61" s="375"/>
      <c r="Y61" s="375"/>
      <c r="Z61" s="43"/>
    </row>
    <row r="62" spans="1:16372" s="49" customFormat="1" ht="172.5" customHeight="1" x14ac:dyDescent="0.2">
      <c r="A62" s="32">
        <f t="shared" si="18"/>
        <v>41</v>
      </c>
      <c r="B62" s="311" t="s">
        <v>329</v>
      </c>
      <c r="C62" s="371" t="s">
        <v>329</v>
      </c>
      <c r="D62" s="372" t="s">
        <v>330</v>
      </c>
      <c r="E62" s="373">
        <f t="shared" si="16"/>
        <v>292</v>
      </c>
      <c r="F62" s="360" t="s">
        <v>331</v>
      </c>
      <c r="G62" s="318">
        <f t="shared" si="17"/>
        <v>265</v>
      </c>
      <c r="H62" s="363" t="s">
        <v>34</v>
      </c>
      <c r="I62" s="314" t="s">
        <v>26</v>
      </c>
      <c r="J62" s="314" t="s">
        <v>26</v>
      </c>
      <c r="K62" s="320" t="s">
        <v>35</v>
      </c>
      <c r="L62" s="28" t="s">
        <v>332</v>
      </c>
      <c r="M62" s="314" t="s">
        <v>26</v>
      </c>
      <c r="N62" s="374"/>
      <c r="O62" s="374"/>
      <c r="P62" s="28"/>
      <c r="Q62" s="357" t="s">
        <v>333</v>
      </c>
      <c r="R62" s="337"/>
      <c r="T62" s="51"/>
      <c r="U62" s="50"/>
      <c r="X62" s="375"/>
      <c r="Y62" s="375"/>
      <c r="Z62" s="43"/>
    </row>
    <row r="63" spans="1:16372" s="49" customFormat="1" ht="128.25" customHeight="1" x14ac:dyDescent="0.2">
      <c r="A63" s="32">
        <f t="shared" si="18"/>
        <v>42</v>
      </c>
      <c r="B63" s="311" t="s">
        <v>334</v>
      </c>
      <c r="C63" s="371" t="s">
        <v>334</v>
      </c>
      <c r="D63" s="372" t="s">
        <v>335</v>
      </c>
      <c r="E63" s="373">
        <f t="shared" si="16"/>
        <v>124</v>
      </c>
      <c r="F63" s="360" t="s">
        <v>336</v>
      </c>
      <c r="G63" s="318">
        <f t="shared" si="17"/>
        <v>111</v>
      </c>
      <c r="H63" s="363" t="s">
        <v>34</v>
      </c>
      <c r="I63" s="314" t="s">
        <v>26</v>
      </c>
      <c r="J63" s="314" t="s">
        <v>26</v>
      </c>
      <c r="K63" s="320" t="s">
        <v>35</v>
      </c>
      <c r="L63" s="28" t="s">
        <v>337</v>
      </c>
      <c r="M63" s="314" t="s">
        <v>26</v>
      </c>
      <c r="N63" s="374"/>
      <c r="O63" s="374"/>
      <c r="P63" s="28"/>
      <c r="Q63" s="28" t="s">
        <v>338</v>
      </c>
      <c r="R63" s="337"/>
      <c r="T63" s="51"/>
      <c r="U63" s="50"/>
      <c r="X63" s="375"/>
      <c r="Y63" s="375"/>
      <c r="Z63" s="43"/>
    </row>
    <row r="64" spans="1:16372" s="49" customFormat="1" ht="212.25" customHeight="1" x14ac:dyDescent="0.2">
      <c r="A64" s="32">
        <f t="shared" si="18"/>
        <v>43</v>
      </c>
      <c r="B64" s="311" t="s">
        <v>339</v>
      </c>
      <c r="C64" s="371" t="s">
        <v>339</v>
      </c>
      <c r="D64" s="372" t="s">
        <v>340</v>
      </c>
      <c r="E64" s="373">
        <f t="shared" si="16"/>
        <v>412</v>
      </c>
      <c r="F64" s="360" t="s">
        <v>341</v>
      </c>
      <c r="G64" s="318">
        <f t="shared" si="17"/>
        <v>363</v>
      </c>
      <c r="H64" s="363" t="s">
        <v>34</v>
      </c>
      <c r="I64" s="314" t="s">
        <v>26</v>
      </c>
      <c r="J64" s="314" t="s">
        <v>26</v>
      </c>
      <c r="K64" s="320" t="s">
        <v>35</v>
      </c>
      <c r="L64" s="28" t="s">
        <v>342</v>
      </c>
      <c r="M64" s="314" t="s">
        <v>26</v>
      </c>
      <c r="N64" s="374"/>
      <c r="O64" s="374"/>
      <c r="P64" s="28"/>
      <c r="Q64" s="28" t="s">
        <v>343</v>
      </c>
      <c r="R64" s="337"/>
      <c r="T64" s="51"/>
      <c r="U64" s="50"/>
      <c r="X64" s="375"/>
      <c r="Y64" s="375"/>
      <c r="Z64" s="43"/>
    </row>
    <row r="65" spans="1:28" s="49" customFormat="1" ht="213.75" customHeight="1" x14ac:dyDescent="0.2">
      <c r="A65" s="32">
        <f t="shared" si="18"/>
        <v>44</v>
      </c>
      <c r="B65" s="362" t="s">
        <v>344</v>
      </c>
      <c r="C65" s="371" t="s">
        <v>344</v>
      </c>
      <c r="D65" s="372" t="s">
        <v>345</v>
      </c>
      <c r="E65" s="373">
        <f t="shared" si="16"/>
        <v>307</v>
      </c>
      <c r="F65" s="360" t="s">
        <v>346</v>
      </c>
      <c r="G65" s="318">
        <f t="shared" si="17"/>
        <v>266</v>
      </c>
      <c r="H65" s="363" t="s">
        <v>34</v>
      </c>
      <c r="I65" s="314" t="s">
        <v>26</v>
      </c>
      <c r="J65" s="314" t="s">
        <v>26</v>
      </c>
      <c r="K65" s="320" t="s">
        <v>35</v>
      </c>
      <c r="L65" s="28" t="s">
        <v>347</v>
      </c>
      <c r="M65" s="314" t="s">
        <v>26</v>
      </c>
      <c r="N65" s="374"/>
      <c r="O65" s="374"/>
      <c r="P65" s="28"/>
      <c r="Q65" s="28" t="s">
        <v>348</v>
      </c>
      <c r="R65" s="337"/>
      <c r="T65" s="364"/>
      <c r="U65" s="50"/>
      <c r="X65" s="375"/>
      <c r="Y65" s="375"/>
      <c r="Z65" s="43"/>
    </row>
    <row r="66" spans="1:28" s="540" customFormat="1" ht="409.5" customHeight="1" thickBot="1" x14ac:dyDescent="0.25">
      <c r="A66" s="534">
        <f t="shared" si="18"/>
        <v>45</v>
      </c>
      <c r="B66" s="497" t="s">
        <v>349</v>
      </c>
      <c r="C66" s="498" t="s">
        <v>350</v>
      </c>
      <c r="D66" s="561" t="s">
        <v>351</v>
      </c>
      <c r="E66" s="500">
        <f t="shared" si="16"/>
        <v>1440</v>
      </c>
      <c r="F66" s="562" t="s">
        <v>352</v>
      </c>
      <c r="G66" s="500">
        <f t="shared" si="17"/>
        <v>1426</v>
      </c>
      <c r="H66" s="501" t="s">
        <v>300</v>
      </c>
      <c r="I66" s="500" t="s">
        <v>26</v>
      </c>
      <c r="J66" s="500" t="s">
        <v>26</v>
      </c>
      <c r="K66" s="500" t="s">
        <v>353</v>
      </c>
      <c r="L66" s="563" t="s">
        <v>354</v>
      </c>
      <c r="M66" s="503" t="s">
        <v>355</v>
      </c>
      <c r="N66" s="541"/>
      <c r="O66" s="541"/>
      <c r="P66" s="563" t="s">
        <v>356</v>
      </c>
      <c r="Q66" s="563" t="s">
        <v>357</v>
      </c>
      <c r="R66" s="548"/>
      <c r="S66" s="526">
        <f>1</f>
        <v>1</v>
      </c>
      <c r="T66" s="509"/>
      <c r="V66" s="529" t="s">
        <v>127</v>
      </c>
      <c r="W66" s="281"/>
      <c r="Z66" s="512">
        <v>37.853630065917969</v>
      </c>
      <c r="AA66" s="512">
        <f>IF(Z66="","",Z66*S66)</f>
        <v>37.853630065917969</v>
      </c>
      <c r="AB66" s="509">
        <f>IF(V66="yes",AA66,"")</f>
        <v>37.853630065917969</v>
      </c>
    </row>
    <row r="67" spans="1:28" s="127" customFormat="1" ht="17" customHeight="1" thickBot="1" x14ac:dyDescent="0.25">
      <c r="A67" s="611" t="s">
        <v>358</v>
      </c>
      <c r="B67" s="604"/>
      <c r="C67" s="604"/>
      <c r="D67" s="604"/>
      <c r="E67" s="604"/>
      <c r="F67" s="604"/>
      <c r="G67" s="604"/>
      <c r="H67" s="604"/>
      <c r="I67" s="604"/>
      <c r="J67" s="604"/>
      <c r="K67" s="604"/>
      <c r="L67" s="604"/>
      <c r="M67" s="604"/>
      <c r="N67" s="604"/>
      <c r="O67" s="604"/>
      <c r="P67" s="604"/>
      <c r="Q67" s="604"/>
      <c r="R67" s="605"/>
      <c r="S67" s="287"/>
      <c r="T67" s="129"/>
      <c r="V67" s="128"/>
      <c r="W67" s="130"/>
      <c r="Z67" s="285"/>
      <c r="AA67" s="285" t="str">
        <f>IF(Z67="","",Z67*S67)</f>
        <v/>
      </c>
      <c r="AB67" s="129" t="str">
        <f>IF(V67="yes",AA67,"")</f>
        <v/>
      </c>
    </row>
    <row r="68" spans="1:28" s="389" customFormat="1" ht="153" customHeight="1" x14ac:dyDescent="0.2">
      <c r="A68" s="376">
        <f>A66+1</f>
        <v>46</v>
      </c>
      <c r="B68" s="377" t="s">
        <v>359</v>
      </c>
      <c r="C68" s="378" t="s">
        <v>359</v>
      </c>
      <c r="D68" s="379" t="s">
        <v>360</v>
      </c>
      <c r="E68" s="380">
        <f t="shared" ref="E68:E75" si="19">LEN(D68)</f>
        <v>176</v>
      </c>
      <c r="F68" s="381" t="s">
        <v>361</v>
      </c>
      <c r="G68" s="380">
        <f t="shared" ref="G68:G75" si="20">LEN(F68)</f>
        <v>153</v>
      </c>
      <c r="H68" s="382" t="s">
        <v>34</v>
      </c>
      <c r="I68" s="380" t="s">
        <v>26</v>
      </c>
      <c r="J68" s="380" t="s">
        <v>26</v>
      </c>
      <c r="K68" s="380" t="s">
        <v>35</v>
      </c>
      <c r="L68" s="383" t="s">
        <v>362</v>
      </c>
      <c r="M68" s="380" t="s">
        <v>26</v>
      </c>
      <c r="N68" s="384"/>
      <c r="O68" s="385"/>
      <c r="P68" s="386" t="s">
        <v>363</v>
      </c>
      <c r="Q68" s="387"/>
      <c r="R68" s="388"/>
      <c r="T68" s="390"/>
      <c r="U68" s="391"/>
      <c r="X68" s="392"/>
      <c r="Y68" s="392"/>
      <c r="Z68" s="393"/>
    </row>
    <row r="69" spans="1:28" s="575" customFormat="1" ht="221" customHeight="1" x14ac:dyDescent="0.2">
      <c r="A69" s="564">
        <f t="shared" ref="A69:A75" si="21">A68+1</f>
        <v>47</v>
      </c>
      <c r="B69" s="565" t="s">
        <v>364</v>
      </c>
      <c r="C69" s="566" t="s">
        <v>365</v>
      </c>
      <c r="D69" s="567" t="s">
        <v>366</v>
      </c>
      <c r="E69" s="552">
        <f t="shared" si="19"/>
        <v>364</v>
      </c>
      <c r="F69" s="568" t="s">
        <v>367</v>
      </c>
      <c r="G69" s="552">
        <f t="shared" si="20"/>
        <v>553</v>
      </c>
      <c r="H69" s="569" t="s">
        <v>368</v>
      </c>
      <c r="I69" s="552" t="s">
        <v>26</v>
      </c>
      <c r="J69" s="552" t="s">
        <v>26</v>
      </c>
      <c r="K69" s="552" t="s">
        <v>369</v>
      </c>
      <c r="L69" s="570" t="s">
        <v>370</v>
      </c>
      <c r="M69" s="566" t="s">
        <v>371</v>
      </c>
      <c r="N69" s="571"/>
      <c r="O69" s="572"/>
      <c r="P69" s="571" t="s">
        <v>372</v>
      </c>
      <c r="Q69" s="573"/>
      <c r="R69" s="574"/>
      <c r="T69" s="576"/>
      <c r="U69" s="577"/>
      <c r="X69" s="578"/>
      <c r="Y69" s="578"/>
      <c r="Z69" s="579"/>
    </row>
    <row r="70" spans="1:28" s="389" customFormat="1" ht="272" customHeight="1" x14ac:dyDescent="0.2">
      <c r="A70" s="394">
        <f t="shared" si="21"/>
        <v>48</v>
      </c>
      <c r="B70" s="395" t="s">
        <v>373</v>
      </c>
      <c r="C70" s="396" t="s">
        <v>374</v>
      </c>
      <c r="D70" s="397" t="s">
        <v>375</v>
      </c>
      <c r="E70" s="318">
        <f t="shared" si="19"/>
        <v>526</v>
      </c>
      <c r="F70" s="398" t="s">
        <v>376</v>
      </c>
      <c r="G70" s="318">
        <f t="shared" si="20"/>
        <v>515</v>
      </c>
      <c r="H70" s="368" t="s">
        <v>368</v>
      </c>
      <c r="I70" s="318" t="s">
        <v>26</v>
      </c>
      <c r="J70" s="318" t="s">
        <v>377</v>
      </c>
      <c r="K70" s="318" t="s">
        <v>378</v>
      </c>
      <c r="L70" s="399" t="s">
        <v>379</v>
      </c>
      <c r="M70" s="396" t="s">
        <v>380</v>
      </c>
      <c r="N70" s="384"/>
      <c r="O70" s="385"/>
      <c r="P70" s="401" t="s">
        <v>381</v>
      </c>
      <c r="Q70" s="400"/>
      <c r="R70" s="388"/>
      <c r="T70" s="390"/>
      <c r="U70" s="391"/>
      <c r="X70" s="392"/>
      <c r="Y70" s="392"/>
      <c r="Z70" s="393"/>
    </row>
    <row r="71" spans="1:28" s="389" customFormat="1" ht="153" customHeight="1" x14ac:dyDescent="0.2">
      <c r="A71" s="394">
        <f t="shared" si="21"/>
        <v>49</v>
      </c>
      <c r="B71" s="395" t="s">
        <v>382</v>
      </c>
      <c r="C71" s="396" t="s">
        <v>382</v>
      </c>
      <c r="D71" s="397" t="s">
        <v>383</v>
      </c>
      <c r="E71" s="318">
        <f t="shared" si="19"/>
        <v>175</v>
      </c>
      <c r="F71" s="398" t="s">
        <v>384</v>
      </c>
      <c r="G71" s="318">
        <f t="shared" si="20"/>
        <v>144</v>
      </c>
      <c r="H71" s="368" t="s">
        <v>34</v>
      </c>
      <c r="I71" s="318" t="s">
        <v>26</v>
      </c>
      <c r="J71" s="318" t="s">
        <v>26</v>
      </c>
      <c r="K71" s="318" t="s">
        <v>35</v>
      </c>
      <c r="L71" s="399" t="s">
        <v>385</v>
      </c>
      <c r="M71" s="318" t="s">
        <v>26</v>
      </c>
      <c r="N71" s="384"/>
      <c r="O71" s="385"/>
      <c r="P71" s="384" t="s">
        <v>386</v>
      </c>
      <c r="Q71" s="400"/>
      <c r="R71" s="388"/>
      <c r="T71" s="390"/>
      <c r="U71" s="391"/>
      <c r="X71" s="392"/>
      <c r="Y71" s="392"/>
      <c r="Z71" s="393"/>
    </row>
    <row r="72" spans="1:28" s="389" customFormat="1" ht="204" customHeight="1" x14ac:dyDescent="0.2">
      <c r="A72" s="394">
        <f t="shared" si="21"/>
        <v>50</v>
      </c>
      <c r="B72" s="395" t="s">
        <v>387</v>
      </c>
      <c r="C72" s="396" t="s">
        <v>388</v>
      </c>
      <c r="D72" s="397" t="s">
        <v>389</v>
      </c>
      <c r="E72" s="318">
        <f t="shared" si="19"/>
        <v>238</v>
      </c>
      <c r="F72" s="398" t="s">
        <v>390</v>
      </c>
      <c r="G72" s="318">
        <f t="shared" si="20"/>
        <v>239</v>
      </c>
      <c r="H72" s="368" t="s">
        <v>368</v>
      </c>
      <c r="I72" s="318" t="s">
        <v>26</v>
      </c>
      <c r="J72" s="318" t="s">
        <v>26</v>
      </c>
      <c r="K72" s="318" t="s">
        <v>391</v>
      </c>
      <c r="L72" s="399" t="s">
        <v>392</v>
      </c>
      <c r="M72" s="396" t="s">
        <v>393</v>
      </c>
      <c r="N72" s="384"/>
      <c r="O72" s="385"/>
      <c r="P72" s="401" t="s">
        <v>394</v>
      </c>
      <c r="Q72" s="400"/>
      <c r="R72" s="388"/>
      <c r="T72" s="390"/>
      <c r="U72" s="391"/>
      <c r="X72" s="392"/>
      <c r="Y72" s="392"/>
      <c r="Z72" s="393"/>
    </row>
    <row r="73" spans="1:28" s="389" customFormat="1" ht="153" customHeight="1" x14ac:dyDescent="0.2">
      <c r="A73" s="394">
        <f t="shared" si="21"/>
        <v>51</v>
      </c>
      <c r="B73" s="395" t="s">
        <v>395</v>
      </c>
      <c r="C73" s="396" t="s">
        <v>395</v>
      </c>
      <c r="D73" s="397" t="s">
        <v>396</v>
      </c>
      <c r="E73" s="318">
        <f t="shared" si="19"/>
        <v>162</v>
      </c>
      <c r="F73" s="402" t="s">
        <v>397</v>
      </c>
      <c r="G73" s="318">
        <f t="shared" si="20"/>
        <v>119</v>
      </c>
      <c r="H73" s="368" t="s">
        <v>34</v>
      </c>
      <c r="I73" s="318" t="s">
        <v>26</v>
      </c>
      <c r="J73" s="318" t="s">
        <v>26</v>
      </c>
      <c r="K73" s="318" t="s">
        <v>35</v>
      </c>
      <c r="L73" s="399" t="s">
        <v>398</v>
      </c>
      <c r="M73" s="318" t="s">
        <v>26</v>
      </c>
      <c r="N73" s="384"/>
      <c r="O73" s="385"/>
      <c r="P73" s="384" t="s">
        <v>399</v>
      </c>
      <c r="Q73" s="400"/>
      <c r="R73" s="388"/>
      <c r="T73" s="390"/>
      <c r="U73" s="391"/>
      <c r="X73" s="392"/>
      <c r="Y73" s="392"/>
      <c r="Z73" s="393"/>
    </row>
    <row r="74" spans="1:28" s="575" customFormat="1" ht="246" customHeight="1" x14ac:dyDescent="0.2">
      <c r="A74" s="564">
        <f t="shared" si="21"/>
        <v>52</v>
      </c>
      <c r="B74" s="565" t="s">
        <v>400</v>
      </c>
      <c r="C74" s="566" t="s">
        <v>400</v>
      </c>
      <c r="D74" s="567" t="s">
        <v>401</v>
      </c>
      <c r="E74" s="552">
        <f t="shared" si="19"/>
        <v>473</v>
      </c>
      <c r="F74" s="580" t="s">
        <v>402</v>
      </c>
      <c r="G74" s="552">
        <f t="shared" si="20"/>
        <v>387</v>
      </c>
      <c r="H74" s="569" t="s">
        <v>34</v>
      </c>
      <c r="I74" s="552" t="s">
        <v>26</v>
      </c>
      <c r="J74" s="552" t="s">
        <v>26</v>
      </c>
      <c r="K74" s="552" t="s">
        <v>35</v>
      </c>
      <c r="L74" s="570" t="s">
        <v>403</v>
      </c>
      <c r="M74" s="552" t="s">
        <v>26</v>
      </c>
      <c r="N74" s="571"/>
      <c r="O74" s="572"/>
      <c r="P74" s="581" t="s">
        <v>404</v>
      </c>
      <c r="Q74" s="573"/>
      <c r="R74" s="574"/>
      <c r="T74" s="576"/>
      <c r="U74" s="577"/>
      <c r="X74" s="578"/>
      <c r="Y74" s="578"/>
      <c r="Z74" s="579"/>
    </row>
    <row r="75" spans="1:28" s="389" customFormat="1" ht="302.25" customHeight="1" thickBot="1" x14ac:dyDescent="0.25">
      <c r="A75" s="394">
        <f t="shared" si="21"/>
        <v>53</v>
      </c>
      <c r="B75" s="403" t="s">
        <v>405</v>
      </c>
      <c r="C75" s="404" t="s">
        <v>406</v>
      </c>
      <c r="D75" s="405" t="s">
        <v>407</v>
      </c>
      <c r="E75" s="406">
        <f t="shared" si="19"/>
        <v>570</v>
      </c>
      <c r="F75" s="407" t="s">
        <v>408</v>
      </c>
      <c r="G75" s="406">
        <f t="shared" si="20"/>
        <v>552</v>
      </c>
      <c r="H75" s="408" t="s">
        <v>368</v>
      </c>
      <c r="I75" s="406" t="s">
        <v>26</v>
      </c>
      <c r="J75" s="406" t="s">
        <v>26</v>
      </c>
      <c r="K75" s="406" t="s">
        <v>409</v>
      </c>
      <c r="L75" s="409" t="s">
        <v>410</v>
      </c>
      <c r="M75" s="404" t="s">
        <v>411</v>
      </c>
      <c r="N75" s="401" t="s">
        <v>412</v>
      </c>
      <c r="O75" s="385"/>
      <c r="P75" s="410" t="s">
        <v>413</v>
      </c>
      <c r="Q75" s="411"/>
      <c r="R75" s="388"/>
      <c r="T75" s="390"/>
      <c r="U75" s="391"/>
      <c r="X75" s="392"/>
      <c r="Y75" s="392"/>
      <c r="Z75" s="393"/>
    </row>
    <row r="76" spans="1:28" s="127" customFormat="1" ht="17" customHeight="1" thickBot="1" x14ac:dyDescent="0.25">
      <c r="A76" s="611" t="s">
        <v>414</v>
      </c>
      <c r="B76" s="604"/>
      <c r="C76" s="604"/>
      <c r="D76" s="604"/>
      <c r="E76" s="604"/>
      <c r="F76" s="604"/>
      <c r="G76" s="604"/>
      <c r="H76" s="604"/>
      <c r="I76" s="604"/>
      <c r="J76" s="604"/>
      <c r="K76" s="604"/>
      <c r="L76" s="604"/>
      <c r="M76" s="604"/>
      <c r="N76" s="604"/>
      <c r="O76" s="604"/>
      <c r="P76" s="604"/>
      <c r="Q76" s="604"/>
      <c r="R76" s="605"/>
      <c r="S76" s="287"/>
      <c r="T76" s="129"/>
      <c r="V76" s="128"/>
      <c r="W76" s="130"/>
      <c r="Z76" s="285"/>
      <c r="AA76" s="285" t="str">
        <f t="shared" ref="AA76:AA82" si="22">IF(Z76="","",Z76*S76)</f>
        <v/>
      </c>
      <c r="AB76" s="129" t="str">
        <f t="shared" ref="AB76:AB82" si="23">IF(V76="yes",AA76,"")</f>
        <v/>
      </c>
    </row>
    <row r="77" spans="1:28" s="49" customFormat="1" ht="306" customHeight="1" x14ac:dyDescent="0.2">
      <c r="A77" s="32">
        <f>A75+1</f>
        <v>54</v>
      </c>
      <c r="B77" s="445" t="s">
        <v>415</v>
      </c>
      <c r="C77" s="48" t="s">
        <v>415</v>
      </c>
      <c r="D77" s="446" t="s">
        <v>416</v>
      </c>
      <c r="E77" s="46">
        <f t="shared" ref="E77:E96" si="24">LEN(D77)</f>
        <v>223</v>
      </c>
      <c r="F77" s="446" t="s">
        <v>417</v>
      </c>
      <c r="G77" s="46">
        <f t="shared" ref="G77:G96" si="25">LEN(F77)</f>
        <v>187</v>
      </c>
      <c r="H77" s="56" t="s">
        <v>34</v>
      </c>
      <c r="I77" s="46" t="s">
        <v>26</v>
      </c>
      <c r="J77" s="46" t="s">
        <v>418</v>
      </c>
      <c r="K77" s="54" t="s">
        <v>35</v>
      </c>
      <c r="L77" s="64" t="s">
        <v>419</v>
      </c>
      <c r="M77" s="91" t="s">
        <v>26</v>
      </c>
      <c r="N77" s="45"/>
      <c r="O77" s="45"/>
      <c r="P77" s="52" t="s">
        <v>420</v>
      </c>
      <c r="Q77" s="232" t="s">
        <v>421</v>
      </c>
      <c r="R77" s="72"/>
      <c r="S77" s="282">
        <f>'Additional information'!$D$17</f>
        <v>0.91</v>
      </c>
      <c r="T77" s="43"/>
      <c r="V77" s="128" t="s">
        <v>127</v>
      </c>
      <c r="W77" s="50"/>
      <c r="Z77" s="285">
        <v>7.3040728569030762</v>
      </c>
      <c r="AA77" s="285">
        <f t="shared" si="22"/>
        <v>6.6467062997817994</v>
      </c>
      <c r="AB77" s="43">
        <f t="shared" si="23"/>
        <v>6.6467062997817994</v>
      </c>
    </row>
    <row r="78" spans="1:28" s="107" customFormat="1" ht="119" customHeight="1" x14ac:dyDescent="0.2">
      <c r="A78" s="118">
        <f t="shared" ref="A78:A96" si="26">A77+1</f>
        <v>55</v>
      </c>
      <c r="B78" s="447" t="s">
        <v>422</v>
      </c>
      <c r="C78" s="54" t="s">
        <v>422</v>
      </c>
      <c r="D78" s="62" t="s">
        <v>423</v>
      </c>
      <c r="E78" s="54">
        <f t="shared" si="24"/>
        <v>237</v>
      </c>
      <c r="F78" s="62" t="s">
        <v>424</v>
      </c>
      <c r="G78" s="54">
        <f t="shared" si="25"/>
        <v>185</v>
      </c>
      <c r="H78" s="55" t="s">
        <v>124</v>
      </c>
      <c r="I78" s="54" t="s">
        <v>26</v>
      </c>
      <c r="J78" s="54" t="s">
        <v>26</v>
      </c>
      <c r="K78" s="54" t="s">
        <v>29</v>
      </c>
      <c r="L78" s="66" t="s">
        <v>425</v>
      </c>
      <c r="M78" s="91" t="s">
        <v>26</v>
      </c>
      <c r="N78" s="45"/>
      <c r="O78" s="45"/>
      <c r="P78" s="52" t="s">
        <v>426</v>
      </c>
      <c r="Q78" s="71"/>
      <c r="R78" s="70"/>
      <c r="S78" s="282">
        <f>'Additional information'!$D$17</f>
        <v>0.91</v>
      </c>
      <c r="T78" s="43"/>
      <c r="V78" s="128" t="s">
        <v>127</v>
      </c>
      <c r="W78" s="50"/>
      <c r="Z78" s="285">
        <v>23.93990516662598</v>
      </c>
      <c r="AA78" s="285">
        <f t="shared" si="22"/>
        <v>21.785313701629644</v>
      </c>
      <c r="AB78" s="43">
        <f t="shared" si="23"/>
        <v>21.785313701629644</v>
      </c>
    </row>
    <row r="79" spans="1:28" s="107" customFormat="1" ht="168.75" customHeight="1" x14ac:dyDescent="0.2">
      <c r="A79" s="118">
        <f t="shared" si="26"/>
        <v>56</v>
      </c>
      <c r="B79" s="447" t="s">
        <v>427</v>
      </c>
      <c r="C79" s="54" t="s">
        <v>427</v>
      </c>
      <c r="D79" s="63" t="s">
        <v>428</v>
      </c>
      <c r="E79" s="54">
        <f t="shared" si="24"/>
        <v>136</v>
      </c>
      <c r="F79" s="62" t="s">
        <v>429</v>
      </c>
      <c r="G79" s="54">
        <f t="shared" si="25"/>
        <v>108</v>
      </c>
      <c r="H79" s="55" t="s">
        <v>34</v>
      </c>
      <c r="I79" s="54" t="s">
        <v>26</v>
      </c>
      <c r="J79" s="54" t="s">
        <v>26</v>
      </c>
      <c r="K79" s="54" t="s">
        <v>35</v>
      </c>
      <c r="L79" s="66" t="s">
        <v>430</v>
      </c>
      <c r="M79" s="91" t="s">
        <v>26</v>
      </c>
      <c r="N79" s="45"/>
      <c r="O79" s="45"/>
      <c r="P79" s="52" t="s">
        <v>431</v>
      </c>
      <c r="Q79" s="65"/>
      <c r="R79" s="69"/>
      <c r="S79" s="282">
        <f>'Additional information'!$D$17</f>
        <v>0.91</v>
      </c>
      <c r="T79" s="43"/>
      <c r="V79" s="128" t="s">
        <v>127</v>
      </c>
      <c r="W79" s="50"/>
      <c r="Z79" s="285">
        <v>2.2494626045227051</v>
      </c>
      <c r="AA79" s="285">
        <f t="shared" si="22"/>
        <v>2.0470109701156618</v>
      </c>
      <c r="AB79" s="43">
        <f t="shared" si="23"/>
        <v>2.0470109701156618</v>
      </c>
    </row>
    <row r="80" spans="1:28" s="540" customFormat="1" ht="409.5" customHeight="1" x14ac:dyDescent="0.2">
      <c r="A80" s="496">
        <f t="shared" si="26"/>
        <v>57</v>
      </c>
      <c r="B80" s="582" t="s">
        <v>432</v>
      </c>
      <c r="C80" s="498" t="s">
        <v>432</v>
      </c>
      <c r="D80" s="583" t="s">
        <v>433</v>
      </c>
      <c r="E80" s="584">
        <f t="shared" si="24"/>
        <v>1476</v>
      </c>
      <c r="F80" s="583" t="s">
        <v>434</v>
      </c>
      <c r="G80" s="584">
        <f t="shared" si="25"/>
        <v>1473</v>
      </c>
      <c r="H80" s="585" t="s">
        <v>34</v>
      </c>
      <c r="I80" s="584" t="s">
        <v>26</v>
      </c>
      <c r="J80" s="584" t="s">
        <v>26</v>
      </c>
      <c r="K80" s="498" t="s">
        <v>435</v>
      </c>
      <c r="L80" s="523" t="s">
        <v>436</v>
      </c>
      <c r="M80" s="503" t="s">
        <v>437</v>
      </c>
      <c r="N80" s="537"/>
      <c r="O80" s="586"/>
      <c r="P80" s="491" t="s">
        <v>438</v>
      </c>
      <c r="Q80" s="280"/>
      <c r="R80" s="587"/>
      <c r="S80" s="508">
        <f>'Additional information'!$D$17</f>
        <v>0.91</v>
      </c>
      <c r="T80" s="509"/>
      <c r="V80" s="529" t="s">
        <v>127</v>
      </c>
      <c r="W80" s="281"/>
      <c r="Z80" s="512">
        <v>23.440116882324219</v>
      </c>
      <c r="AA80" s="512">
        <f t="shared" si="22"/>
        <v>21.330506362915038</v>
      </c>
      <c r="AB80" s="509">
        <f t="shared" si="23"/>
        <v>21.330506362915038</v>
      </c>
    </row>
    <row r="81" spans="1:28" s="49" customFormat="1" ht="132" customHeight="1" x14ac:dyDescent="0.2">
      <c r="A81" s="118">
        <f t="shared" si="26"/>
        <v>58</v>
      </c>
      <c r="B81" s="105" t="s">
        <v>439</v>
      </c>
      <c r="C81" s="48" t="s">
        <v>439</v>
      </c>
      <c r="D81" s="446" t="s">
        <v>440</v>
      </c>
      <c r="E81" s="46">
        <f t="shared" si="24"/>
        <v>178</v>
      </c>
      <c r="F81" s="446" t="s">
        <v>441</v>
      </c>
      <c r="G81" s="46">
        <f t="shared" si="25"/>
        <v>169</v>
      </c>
      <c r="H81" s="56" t="s">
        <v>34</v>
      </c>
      <c r="I81" s="46" t="s">
        <v>26</v>
      </c>
      <c r="J81" s="46" t="s">
        <v>26</v>
      </c>
      <c r="K81" s="48" t="s">
        <v>35</v>
      </c>
      <c r="L81" s="64" t="s">
        <v>442</v>
      </c>
      <c r="M81" s="91" t="s">
        <v>26</v>
      </c>
      <c r="N81" s="63"/>
      <c r="O81" s="63"/>
      <c r="P81" s="412" t="s">
        <v>443</v>
      </c>
      <c r="Q81" s="280"/>
      <c r="R81" s="17"/>
      <c r="S81" s="282">
        <f>'Additional information'!$D$17</f>
        <v>0.91</v>
      </c>
      <c r="T81" s="43"/>
      <c r="V81" s="128" t="s">
        <v>127</v>
      </c>
      <c r="W81" s="50"/>
      <c r="Z81" s="285">
        <v>7.7659573554992676</v>
      </c>
      <c r="AA81" s="285">
        <f t="shared" si="22"/>
        <v>7.0670211935043339</v>
      </c>
      <c r="AB81" s="43">
        <f t="shared" si="23"/>
        <v>7.0670211935043339</v>
      </c>
    </row>
    <row r="82" spans="1:28" s="49" customFormat="1" ht="221" customHeight="1" x14ac:dyDescent="0.2">
      <c r="A82" s="14">
        <f t="shared" si="26"/>
        <v>59</v>
      </c>
      <c r="B82" s="447" t="s">
        <v>444</v>
      </c>
      <c r="C82" s="54" t="s">
        <v>444</v>
      </c>
      <c r="D82" s="62" t="s">
        <v>445</v>
      </c>
      <c r="E82" s="54">
        <f t="shared" si="24"/>
        <v>331</v>
      </c>
      <c r="F82" s="446" t="s">
        <v>446</v>
      </c>
      <c r="G82" s="54">
        <f t="shared" si="25"/>
        <v>306</v>
      </c>
      <c r="H82" s="55" t="s">
        <v>83</v>
      </c>
      <c r="I82" s="54" t="s">
        <v>26</v>
      </c>
      <c r="J82" s="54" t="s">
        <v>26</v>
      </c>
      <c r="K82" s="54" t="s">
        <v>84</v>
      </c>
      <c r="L82" s="66" t="s">
        <v>447</v>
      </c>
      <c r="M82" s="91" t="s">
        <v>26</v>
      </c>
      <c r="N82" s="63"/>
      <c r="O82" s="63"/>
      <c r="P82" s="412" t="s">
        <v>448</v>
      </c>
      <c r="Q82" s="491" t="s">
        <v>449</v>
      </c>
      <c r="R82" s="10"/>
      <c r="S82" s="282">
        <f>'Additional information'!$D$17</f>
        <v>0.91</v>
      </c>
      <c r="T82" s="43"/>
      <c r="V82" s="128" t="s">
        <v>127</v>
      </c>
      <c r="W82" s="50"/>
      <c r="Z82" s="285">
        <v>16.481756210327148</v>
      </c>
      <c r="AA82" s="285">
        <f t="shared" si="22"/>
        <v>14.998398151397705</v>
      </c>
      <c r="AB82" s="43">
        <f t="shared" si="23"/>
        <v>14.998398151397705</v>
      </c>
    </row>
    <row r="83" spans="1:28" s="540" customFormat="1" ht="204" customHeight="1" x14ac:dyDescent="0.2">
      <c r="A83" s="496">
        <f t="shared" si="26"/>
        <v>60</v>
      </c>
      <c r="B83" s="552" t="s">
        <v>450</v>
      </c>
      <c r="C83" s="552" t="s">
        <v>450</v>
      </c>
      <c r="D83" s="588" t="s">
        <v>451</v>
      </c>
      <c r="E83" s="552">
        <f t="shared" si="24"/>
        <v>362</v>
      </c>
      <c r="F83" s="588" t="s">
        <v>452</v>
      </c>
      <c r="G83" s="552">
        <f t="shared" si="25"/>
        <v>340</v>
      </c>
      <c r="H83" s="550" t="s">
        <v>34</v>
      </c>
      <c r="I83" s="554" t="s">
        <v>26</v>
      </c>
      <c r="J83" s="554" t="s">
        <v>26</v>
      </c>
      <c r="K83" s="554" t="s">
        <v>35</v>
      </c>
      <c r="L83" s="589" t="s">
        <v>453</v>
      </c>
      <c r="M83" s="556" t="s">
        <v>26</v>
      </c>
      <c r="N83" s="551"/>
      <c r="O83" s="551"/>
      <c r="P83" s="413" t="s">
        <v>454</v>
      </c>
      <c r="Q83" s="589" t="s">
        <v>453</v>
      </c>
      <c r="R83" s="548"/>
      <c r="S83" s="508"/>
      <c r="T83" s="509"/>
      <c r="V83" s="590" t="s">
        <v>25</v>
      </c>
      <c r="W83" s="281"/>
      <c r="Z83" s="511"/>
      <c r="AA83" s="511"/>
      <c r="AB83" s="509"/>
    </row>
    <row r="84" spans="1:28" s="49" customFormat="1" ht="153" customHeight="1" x14ac:dyDescent="0.2">
      <c r="A84" s="14">
        <f t="shared" si="26"/>
        <v>61</v>
      </c>
      <c r="B84" s="448" t="s">
        <v>455</v>
      </c>
      <c r="C84" s="318" t="s">
        <v>455</v>
      </c>
      <c r="D84" s="308" t="s">
        <v>456</v>
      </c>
      <c r="E84" s="318">
        <f t="shared" si="24"/>
        <v>188</v>
      </c>
      <c r="F84" s="308" t="s">
        <v>457</v>
      </c>
      <c r="G84" s="318">
        <f t="shared" si="25"/>
        <v>213</v>
      </c>
      <c r="H84" s="312" t="s">
        <v>34</v>
      </c>
      <c r="I84" s="314" t="s">
        <v>26</v>
      </c>
      <c r="J84" s="314" t="s">
        <v>26</v>
      </c>
      <c r="K84" s="314" t="s">
        <v>35</v>
      </c>
      <c r="L84" s="18" t="s">
        <v>458</v>
      </c>
      <c r="M84" s="22" t="s">
        <v>26</v>
      </c>
      <c r="N84" s="21"/>
      <c r="O84" s="21"/>
      <c r="P84" s="413" t="s">
        <v>459</v>
      </c>
      <c r="Q84" s="18" t="s">
        <v>458</v>
      </c>
      <c r="R84" s="10"/>
      <c r="S84" s="282"/>
      <c r="T84" s="43"/>
      <c r="V84" s="51" t="s">
        <v>25</v>
      </c>
      <c r="W84" s="50"/>
      <c r="Z84" s="286"/>
      <c r="AA84" s="286"/>
      <c r="AB84" s="43"/>
    </row>
    <row r="85" spans="1:28" s="49" customFormat="1" ht="272" customHeight="1" x14ac:dyDescent="0.2">
      <c r="A85" s="14">
        <f t="shared" si="26"/>
        <v>62</v>
      </c>
      <c r="B85" s="448" t="s">
        <v>460</v>
      </c>
      <c r="C85" s="318" t="s">
        <v>461</v>
      </c>
      <c r="D85" s="308" t="s">
        <v>462</v>
      </c>
      <c r="E85" s="318">
        <f t="shared" si="24"/>
        <v>326</v>
      </c>
      <c r="F85" s="308" t="s">
        <v>463</v>
      </c>
      <c r="G85" s="318">
        <f t="shared" si="25"/>
        <v>335</v>
      </c>
      <c r="H85" s="312" t="s">
        <v>300</v>
      </c>
      <c r="I85" s="314" t="s">
        <v>26</v>
      </c>
      <c r="J85" s="314" t="s">
        <v>26</v>
      </c>
      <c r="K85" s="314" t="s">
        <v>464</v>
      </c>
      <c r="L85" s="449" t="s">
        <v>465</v>
      </c>
      <c r="M85" s="22" t="s">
        <v>466</v>
      </c>
      <c r="N85" s="21"/>
      <c r="O85" s="21"/>
      <c r="P85" s="414" t="s">
        <v>467</v>
      </c>
      <c r="Q85" s="71"/>
      <c r="R85" s="10"/>
      <c r="S85" s="282">
        <f>'Additional information'!$D$17</f>
        <v>0.91</v>
      </c>
      <c r="T85" s="43"/>
      <c r="V85" s="51" t="s">
        <v>25</v>
      </c>
      <c r="W85" s="50"/>
      <c r="Z85" s="286">
        <v>18.511110305786129</v>
      </c>
      <c r="AA85" s="286">
        <f t="shared" ref="AA85:AA93" si="27">IF(Z85="","",Z85*S85)</f>
        <v>16.845110378265378</v>
      </c>
      <c r="AB85" s="43" t="str">
        <f t="shared" ref="AB85:AB93" si="28">IF(V85="yes",AA85,"")</f>
        <v/>
      </c>
    </row>
    <row r="86" spans="1:28" s="49" customFormat="1" ht="206.25" customHeight="1" x14ac:dyDescent="0.2">
      <c r="A86" s="118">
        <f t="shared" si="26"/>
        <v>63</v>
      </c>
      <c r="B86" s="67" t="s">
        <v>468</v>
      </c>
      <c r="C86" s="67" t="s">
        <v>468</v>
      </c>
      <c r="D86" s="62" t="s">
        <v>469</v>
      </c>
      <c r="E86" s="54">
        <f t="shared" si="24"/>
        <v>257</v>
      </c>
      <c r="F86" s="62" t="s">
        <v>470</v>
      </c>
      <c r="G86" s="54">
        <f t="shared" si="25"/>
        <v>250</v>
      </c>
      <c r="H86" s="60" t="s">
        <v>34</v>
      </c>
      <c r="I86" s="54" t="s">
        <v>26</v>
      </c>
      <c r="J86" s="54" t="s">
        <v>26</v>
      </c>
      <c r="K86" s="54" t="s">
        <v>35</v>
      </c>
      <c r="L86" s="66" t="s">
        <v>471</v>
      </c>
      <c r="M86" s="91" t="s">
        <v>26</v>
      </c>
      <c r="N86" s="45"/>
      <c r="O86" s="45"/>
      <c r="P86" s="66" t="s">
        <v>472</v>
      </c>
      <c r="Q86" s="18"/>
      <c r="R86" s="10"/>
      <c r="S86" s="282">
        <f>'Additional information'!$D$17</f>
        <v>0.91</v>
      </c>
      <c r="T86" s="43"/>
      <c r="V86" s="415" t="s">
        <v>127</v>
      </c>
      <c r="W86" s="50"/>
      <c r="Z86" s="285">
        <v>20.308681488037109</v>
      </c>
      <c r="AA86" s="285">
        <f t="shared" si="27"/>
        <v>18.480900154113769</v>
      </c>
      <c r="AB86" s="43">
        <f t="shared" si="28"/>
        <v>18.480900154113769</v>
      </c>
    </row>
    <row r="87" spans="1:28" s="49" customFormat="1" ht="216" customHeight="1" x14ac:dyDescent="0.2">
      <c r="A87" s="14">
        <f t="shared" si="26"/>
        <v>64</v>
      </c>
      <c r="B87" s="54" t="s">
        <v>473</v>
      </c>
      <c r="C87" s="54" t="s">
        <v>473</v>
      </c>
      <c r="D87" s="62" t="s">
        <v>474</v>
      </c>
      <c r="E87" s="54">
        <f t="shared" si="24"/>
        <v>254</v>
      </c>
      <c r="F87" s="62" t="s">
        <v>475</v>
      </c>
      <c r="G87" s="54">
        <f t="shared" si="25"/>
        <v>242</v>
      </c>
      <c r="H87" s="60" t="s">
        <v>34</v>
      </c>
      <c r="I87" s="54" t="s">
        <v>26</v>
      </c>
      <c r="J87" s="54" t="s">
        <v>26</v>
      </c>
      <c r="K87" s="54" t="s">
        <v>35</v>
      </c>
      <c r="L87" s="53" t="s">
        <v>476</v>
      </c>
      <c r="M87" s="60" t="s">
        <v>26</v>
      </c>
      <c r="N87" s="63"/>
      <c r="O87" s="420"/>
      <c r="P87" s="419" t="s">
        <v>477</v>
      </c>
      <c r="Q87" s="53" t="s">
        <v>476</v>
      </c>
      <c r="R87" s="35"/>
      <c r="S87" s="282">
        <f>'Additional information'!$D$17</f>
        <v>0.91</v>
      </c>
      <c r="T87" s="43"/>
      <c r="V87" s="415" t="s">
        <v>127</v>
      </c>
      <c r="W87" s="50"/>
      <c r="Z87" s="285">
        <v>15.448612213134769</v>
      </c>
      <c r="AA87" s="285">
        <f t="shared" si="27"/>
        <v>14.058237113952641</v>
      </c>
      <c r="AB87" s="43">
        <f t="shared" si="28"/>
        <v>14.058237113952641</v>
      </c>
    </row>
    <row r="88" spans="1:28" s="49" customFormat="1" ht="102" customHeight="1" x14ac:dyDescent="0.2">
      <c r="A88" s="14">
        <f t="shared" si="26"/>
        <v>65</v>
      </c>
      <c r="B88" s="450" t="s">
        <v>478</v>
      </c>
      <c r="C88" s="451" t="s">
        <v>478</v>
      </c>
      <c r="D88" s="15" t="s">
        <v>479</v>
      </c>
      <c r="E88" s="318">
        <f t="shared" si="24"/>
        <v>239</v>
      </c>
      <c r="F88" s="346" t="s">
        <v>480</v>
      </c>
      <c r="G88" s="318">
        <f t="shared" si="25"/>
        <v>240</v>
      </c>
      <c r="H88" s="452" t="s">
        <v>124</v>
      </c>
      <c r="I88" s="318" t="s">
        <v>26</v>
      </c>
      <c r="J88" s="318" t="s">
        <v>26</v>
      </c>
      <c r="K88" s="318" t="s">
        <v>29</v>
      </c>
      <c r="L88" s="21" t="s">
        <v>481</v>
      </c>
      <c r="M88" s="22" t="s">
        <v>26</v>
      </c>
      <c r="N88" s="28"/>
      <c r="O88" s="28"/>
      <c r="P88" s="15" t="s">
        <v>482</v>
      </c>
      <c r="Q88" s="29"/>
      <c r="R88" s="424"/>
      <c r="S88" s="282">
        <f>'Additional information'!$D$17</f>
        <v>0.91</v>
      </c>
      <c r="T88" s="43"/>
      <c r="V88" s="51" t="s">
        <v>25</v>
      </c>
      <c r="W88" s="50"/>
      <c r="Z88" s="286">
        <v>30.343915939331051</v>
      </c>
      <c r="AA88" s="286">
        <f t="shared" si="27"/>
        <v>27.612963504791256</v>
      </c>
      <c r="AB88" s="43" t="str">
        <f t="shared" si="28"/>
        <v/>
      </c>
    </row>
    <row r="89" spans="1:28" s="49" customFormat="1" ht="230" customHeight="1" x14ac:dyDescent="0.2">
      <c r="A89" s="14">
        <f t="shared" si="26"/>
        <v>66</v>
      </c>
      <c r="B89" s="450" t="s">
        <v>483</v>
      </c>
      <c r="C89" s="451" t="s">
        <v>483</v>
      </c>
      <c r="D89" s="453" t="s">
        <v>484</v>
      </c>
      <c r="E89" s="318">
        <f t="shared" si="24"/>
        <v>175</v>
      </c>
      <c r="F89" s="315" t="s">
        <v>485</v>
      </c>
      <c r="G89" s="318">
        <f t="shared" si="25"/>
        <v>145</v>
      </c>
      <c r="H89" s="452" t="s">
        <v>83</v>
      </c>
      <c r="I89" s="318" t="s">
        <v>26</v>
      </c>
      <c r="J89" s="318" t="s">
        <v>26</v>
      </c>
      <c r="K89" s="318" t="s">
        <v>486</v>
      </c>
      <c r="L89" s="21" t="s">
        <v>487</v>
      </c>
      <c r="M89" s="22" t="s">
        <v>26</v>
      </c>
      <c r="N89" s="28"/>
      <c r="O89" s="28"/>
      <c r="P89" s="15" t="s">
        <v>488</v>
      </c>
      <c r="Q89" s="29"/>
      <c r="R89" s="425"/>
      <c r="S89" s="282">
        <f>'Additional information'!$D$17</f>
        <v>0.91</v>
      </c>
      <c r="T89" s="43"/>
      <c r="V89" s="51" t="s">
        <v>25</v>
      </c>
      <c r="W89" s="50"/>
      <c r="Z89" s="286">
        <v>5.4708995819091797</v>
      </c>
      <c r="AA89" s="286">
        <f t="shared" si="27"/>
        <v>4.9785186195373541</v>
      </c>
      <c r="AB89" s="43" t="str">
        <f t="shared" si="28"/>
        <v/>
      </c>
    </row>
    <row r="90" spans="1:28" s="49" customFormat="1" ht="68" customHeight="1" x14ac:dyDescent="0.2">
      <c r="A90" s="14">
        <f t="shared" si="26"/>
        <v>67</v>
      </c>
      <c r="B90" s="450" t="s">
        <v>489</v>
      </c>
      <c r="C90" s="451" t="s">
        <v>489</v>
      </c>
      <c r="D90" s="453" t="s">
        <v>490</v>
      </c>
      <c r="E90" s="318">
        <f t="shared" si="24"/>
        <v>123</v>
      </c>
      <c r="F90" s="315" t="s">
        <v>491</v>
      </c>
      <c r="G90" s="318">
        <f t="shared" si="25"/>
        <v>103</v>
      </c>
      <c r="H90" s="452" t="s">
        <v>124</v>
      </c>
      <c r="I90" s="318" t="s">
        <v>26</v>
      </c>
      <c r="J90" s="318" t="s">
        <v>26</v>
      </c>
      <c r="K90" s="318" t="s">
        <v>29</v>
      </c>
      <c r="L90" s="21" t="s">
        <v>492</v>
      </c>
      <c r="M90" s="22" t="s">
        <v>26</v>
      </c>
      <c r="N90" s="28"/>
      <c r="O90" s="28"/>
      <c r="P90" s="421" t="s">
        <v>493</v>
      </c>
      <c r="Q90" s="422"/>
      <c r="R90" s="423"/>
      <c r="S90" s="282">
        <f>'Additional information'!$D$17</f>
        <v>0.91</v>
      </c>
      <c r="T90" s="43"/>
      <c r="V90" s="51" t="s">
        <v>25</v>
      </c>
      <c r="W90" s="50"/>
      <c r="Z90" s="286">
        <v>7.9054727554321289</v>
      </c>
      <c r="AA90" s="286">
        <f t="shared" si="27"/>
        <v>7.1939802074432375</v>
      </c>
      <c r="AB90" s="43" t="str">
        <f t="shared" si="28"/>
        <v/>
      </c>
    </row>
    <row r="91" spans="1:28" s="49" customFormat="1" ht="102" customHeight="1" x14ac:dyDescent="0.2">
      <c r="A91" s="14">
        <f t="shared" si="26"/>
        <v>68</v>
      </c>
      <c r="B91" s="450" t="s">
        <v>494</v>
      </c>
      <c r="C91" s="451" t="s">
        <v>494</v>
      </c>
      <c r="D91" s="366" t="s">
        <v>495</v>
      </c>
      <c r="E91" s="318">
        <f t="shared" si="24"/>
        <v>218</v>
      </c>
      <c r="F91" s="366" t="s">
        <v>496</v>
      </c>
      <c r="G91" s="318">
        <f t="shared" si="25"/>
        <v>208</v>
      </c>
      <c r="H91" s="452" t="s">
        <v>124</v>
      </c>
      <c r="I91" s="318" t="s">
        <v>26</v>
      </c>
      <c r="J91" s="318" t="s">
        <v>26</v>
      </c>
      <c r="K91" s="318" t="s">
        <v>29</v>
      </c>
      <c r="L91" s="21" t="s">
        <v>497</v>
      </c>
      <c r="M91" s="22" t="s">
        <v>26</v>
      </c>
      <c r="N91" s="28"/>
      <c r="O91" s="28"/>
      <c r="P91" s="421" t="s">
        <v>498</v>
      </c>
      <c r="Q91" s="422"/>
      <c r="R91" s="426"/>
      <c r="S91" s="282">
        <f>'Additional information'!$D$17</f>
        <v>0.91</v>
      </c>
      <c r="T91" s="43"/>
      <c r="V91" s="51" t="s">
        <v>25</v>
      </c>
      <c r="W91" s="50"/>
      <c r="Z91" s="286">
        <v>16.435977935791019</v>
      </c>
      <c r="AA91" s="286">
        <f t="shared" si="27"/>
        <v>14.956739921569827</v>
      </c>
      <c r="AB91" s="43" t="str">
        <f t="shared" si="28"/>
        <v/>
      </c>
    </row>
    <row r="92" spans="1:28" s="49" customFormat="1" ht="153" customHeight="1" x14ac:dyDescent="0.2">
      <c r="A92" s="118">
        <f t="shared" si="26"/>
        <v>69</v>
      </c>
      <c r="B92" s="447" t="s">
        <v>499</v>
      </c>
      <c r="C92" s="48" t="s">
        <v>499</v>
      </c>
      <c r="D92" s="63" t="s">
        <v>500</v>
      </c>
      <c r="E92" s="54">
        <f t="shared" si="24"/>
        <v>162</v>
      </c>
      <c r="F92" s="211" t="s">
        <v>501</v>
      </c>
      <c r="G92" s="54">
        <f t="shared" si="25"/>
        <v>125</v>
      </c>
      <c r="H92" s="60" t="s">
        <v>34</v>
      </c>
      <c r="I92" s="54" t="s">
        <v>26</v>
      </c>
      <c r="J92" s="54" t="s">
        <v>26</v>
      </c>
      <c r="K92" s="54" t="s">
        <v>35</v>
      </c>
      <c r="L92" s="53" t="s">
        <v>502</v>
      </c>
      <c r="M92" s="91" t="s">
        <v>26</v>
      </c>
      <c r="N92" s="45"/>
      <c r="O92" s="45"/>
      <c r="P92" s="53" t="s">
        <v>503</v>
      </c>
      <c r="Q92" s="236" t="s">
        <v>504</v>
      </c>
      <c r="R92" s="10"/>
      <c r="S92" s="282">
        <f>'Additional information'!$D$17</f>
        <v>0.91</v>
      </c>
      <c r="T92" s="43"/>
      <c r="V92" s="128" t="s">
        <v>127</v>
      </c>
      <c r="W92" s="50"/>
      <c r="Z92" s="285">
        <v>11.37532997131348</v>
      </c>
      <c r="AA92" s="285">
        <f t="shared" si="27"/>
        <v>10.351550273895267</v>
      </c>
      <c r="AB92" s="43">
        <f t="shared" si="28"/>
        <v>10.351550273895267</v>
      </c>
    </row>
    <row r="93" spans="1:28" s="49" customFormat="1" ht="409.5" customHeight="1" x14ac:dyDescent="0.2">
      <c r="A93" s="118">
        <f t="shared" si="26"/>
        <v>70</v>
      </c>
      <c r="B93" s="106" t="s">
        <v>505</v>
      </c>
      <c r="C93" s="55" t="s">
        <v>506</v>
      </c>
      <c r="D93" s="126" t="s">
        <v>507</v>
      </c>
      <c r="E93" s="41">
        <f t="shared" si="24"/>
        <v>778</v>
      </c>
      <c r="F93" s="211" t="s">
        <v>508</v>
      </c>
      <c r="G93" s="41">
        <f t="shared" si="25"/>
        <v>756</v>
      </c>
      <c r="H93" s="48" t="s">
        <v>300</v>
      </c>
      <c r="I93" s="41" t="s">
        <v>26</v>
      </c>
      <c r="J93" s="41" t="s">
        <v>26</v>
      </c>
      <c r="K93" s="41" t="s">
        <v>509</v>
      </c>
      <c r="L93" s="125" t="s">
        <v>510</v>
      </c>
      <c r="M93" s="91" t="s">
        <v>511</v>
      </c>
      <c r="N93" s="45"/>
      <c r="O93" s="45"/>
      <c r="P93" s="63" t="s">
        <v>512</v>
      </c>
      <c r="Q93" s="234" t="s">
        <v>513</v>
      </c>
      <c r="R93" s="10"/>
      <c r="S93" s="282">
        <f>'Additional information'!$D$17</f>
        <v>0.91</v>
      </c>
      <c r="T93" s="43"/>
      <c r="V93" s="128" t="s">
        <v>127</v>
      </c>
      <c r="W93" s="50"/>
      <c r="Z93" s="285">
        <v>25.844999313354489</v>
      </c>
      <c r="AA93" s="285">
        <f t="shared" si="27"/>
        <v>23.518949375152584</v>
      </c>
      <c r="AB93" s="43">
        <f t="shared" si="28"/>
        <v>23.518949375152584</v>
      </c>
    </row>
    <row r="94" spans="1:28" s="49" customFormat="1" ht="315" customHeight="1" x14ac:dyDescent="0.2">
      <c r="A94" s="14">
        <f t="shared" si="26"/>
        <v>71</v>
      </c>
      <c r="B94" s="353" t="s">
        <v>514</v>
      </c>
      <c r="C94" s="418" t="s">
        <v>515</v>
      </c>
      <c r="D94" s="454" t="s">
        <v>516</v>
      </c>
      <c r="E94" s="455">
        <f t="shared" si="24"/>
        <v>540</v>
      </c>
      <c r="F94" s="360" t="s">
        <v>517</v>
      </c>
      <c r="G94" s="349">
        <f t="shared" si="25"/>
        <v>548</v>
      </c>
      <c r="H94" s="312" t="s">
        <v>368</v>
      </c>
      <c r="I94" s="349" t="s">
        <v>26</v>
      </c>
      <c r="J94" s="349" t="s">
        <v>26</v>
      </c>
      <c r="K94" s="349" t="s">
        <v>518</v>
      </c>
      <c r="L94" s="417" t="s">
        <v>519</v>
      </c>
      <c r="M94" s="418" t="s">
        <v>520</v>
      </c>
      <c r="N94" s="21"/>
      <c r="O94" s="374"/>
      <c r="P94" s="374"/>
      <c r="Q94" s="21" t="s">
        <v>521</v>
      </c>
      <c r="R94" s="10"/>
      <c r="T94" s="51"/>
      <c r="U94" s="50"/>
      <c r="X94" s="375"/>
      <c r="Y94" s="375"/>
      <c r="Z94" s="43"/>
    </row>
    <row r="95" spans="1:28" s="49" customFormat="1" ht="356" customHeight="1" x14ac:dyDescent="0.2">
      <c r="A95" s="14">
        <f t="shared" si="26"/>
        <v>72</v>
      </c>
      <c r="B95" s="353" t="s">
        <v>522</v>
      </c>
      <c r="C95" s="354" t="s">
        <v>523</v>
      </c>
      <c r="D95" s="454" t="s">
        <v>524</v>
      </c>
      <c r="E95" s="455">
        <f t="shared" si="24"/>
        <v>412</v>
      </c>
      <c r="F95" s="360" t="s">
        <v>525</v>
      </c>
      <c r="G95" s="349">
        <f t="shared" si="25"/>
        <v>363</v>
      </c>
      <c r="H95" s="312" t="s">
        <v>300</v>
      </c>
      <c r="I95" s="349" t="s">
        <v>26</v>
      </c>
      <c r="J95" s="349" t="s">
        <v>526</v>
      </c>
      <c r="K95" s="349" t="s">
        <v>527</v>
      </c>
      <c r="L95" s="417" t="s">
        <v>528</v>
      </c>
      <c r="M95" s="362" t="s">
        <v>529</v>
      </c>
      <c r="N95" s="21"/>
      <c r="O95" s="374"/>
      <c r="P95" s="374"/>
      <c r="Q95" s="21" t="s">
        <v>530</v>
      </c>
      <c r="R95" s="10"/>
      <c r="T95" s="51"/>
      <c r="U95" s="50"/>
      <c r="X95" s="375"/>
      <c r="Y95" s="375"/>
      <c r="Z95" s="43"/>
    </row>
    <row r="96" spans="1:28" s="49" customFormat="1" ht="409.5" customHeight="1" thickBot="1" x14ac:dyDescent="0.25">
      <c r="A96" s="14">
        <f t="shared" si="26"/>
        <v>73</v>
      </c>
      <c r="B96" s="311" t="s">
        <v>531</v>
      </c>
      <c r="C96" s="362" t="s">
        <v>531</v>
      </c>
      <c r="D96" s="21" t="s">
        <v>532</v>
      </c>
      <c r="E96" s="318">
        <f t="shared" si="24"/>
        <v>315</v>
      </c>
      <c r="F96" s="360" t="s">
        <v>533</v>
      </c>
      <c r="G96" s="318">
        <f t="shared" si="25"/>
        <v>295</v>
      </c>
      <c r="H96" s="320" t="s">
        <v>34</v>
      </c>
      <c r="I96" s="318" t="s">
        <v>26</v>
      </c>
      <c r="J96" s="320" t="s">
        <v>534</v>
      </c>
      <c r="K96" s="318" t="s">
        <v>35</v>
      </c>
      <c r="L96" s="21" t="s">
        <v>535</v>
      </c>
      <c r="M96" s="22" t="s">
        <v>26</v>
      </c>
      <c r="N96" s="28"/>
      <c r="O96" s="28"/>
      <c r="P96" s="416" t="s">
        <v>536</v>
      </c>
      <c r="Q96" s="21" t="s">
        <v>537</v>
      </c>
      <c r="R96" s="10"/>
      <c r="S96" s="282">
        <f>'Additional information'!$D$17</f>
        <v>0.91</v>
      </c>
      <c r="T96" s="43"/>
      <c r="V96" s="51" t="s">
        <v>25</v>
      </c>
      <c r="W96" s="50"/>
      <c r="Z96" s="286">
        <v>12.186037063598629</v>
      </c>
      <c r="AA96" s="286">
        <f>IF(Z96="","",Z96*S96)</f>
        <v>11.089293727874754</v>
      </c>
      <c r="AB96" s="43" t="str">
        <f>IF(V96="yes",AA96,"")</f>
        <v/>
      </c>
    </row>
    <row r="97" spans="1:28" s="127" customFormat="1" ht="17" customHeight="1" thickBot="1" x14ac:dyDescent="0.25">
      <c r="A97" s="603" t="s">
        <v>538</v>
      </c>
      <c r="B97" s="604"/>
      <c r="C97" s="604"/>
      <c r="D97" s="604"/>
      <c r="E97" s="604"/>
      <c r="F97" s="604"/>
      <c r="G97" s="604"/>
      <c r="H97" s="604"/>
      <c r="I97" s="604"/>
      <c r="J97" s="604"/>
      <c r="K97" s="604"/>
      <c r="L97" s="604"/>
      <c r="M97" s="604"/>
      <c r="N97" s="604"/>
      <c r="O97" s="604"/>
      <c r="P97" s="604"/>
      <c r="Q97" s="604"/>
      <c r="R97" s="605"/>
      <c r="S97" s="287"/>
      <c r="T97" s="129"/>
      <c r="V97" s="128"/>
      <c r="W97" s="130"/>
      <c r="Z97" s="285"/>
      <c r="AA97" s="285" t="str">
        <f>IF(Z97="","",Z97*S97)</f>
        <v/>
      </c>
      <c r="AB97" s="129" t="str">
        <f>IF(V97="yes",AA97,"")</f>
        <v/>
      </c>
    </row>
    <row r="98" spans="1:28" s="49" customFormat="1" ht="409.5" customHeight="1" x14ac:dyDescent="0.2">
      <c r="A98" s="14">
        <f>A96+1</f>
        <v>74</v>
      </c>
      <c r="B98" s="68" t="s">
        <v>539</v>
      </c>
      <c r="C98" s="67" t="s">
        <v>539</v>
      </c>
      <c r="D98" s="456" t="s">
        <v>540</v>
      </c>
      <c r="E98" s="46">
        <f t="shared" ref="E98:E103" si="29">LEN(D98)</f>
        <v>1383</v>
      </c>
      <c r="F98" s="215" t="s">
        <v>541</v>
      </c>
      <c r="G98" s="46">
        <f t="shared" ref="G98:G103" si="30">LEN(F98)</f>
        <v>1383</v>
      </c>
      <c r="H98" s="56" t="s">
        <v>34</v>
      </c>
      <c r="I98" s="54" t="s">
        <v>26</v>
      </c>
      <c r="J98" s="48" t="s">
        <v>542</v>
      </c>
      <c r="K98" s="46" t="s">
        <v>543</v>
      </c>
      <c r="L98" s="53" t="s">
        <v>544</v>
      </c>
      <c r="M98" s="91" t="s">
        <v>545</v>
      </c>
      <c r="N98" s="45" t="s">
        <v>546</v>
      </c>
      <c r="O98" s="344" t="s">
        <v>547</v>
      </c>
      <c r="P98" s="53" t="s">
        <v>548</v>
      </c>
      <c r="Q98" s="26"/>
      <c r="R98" s="10"/>
      <c r="S98" s="282">
        <f>'Additional information'!$D$17</f>
        <v>0.91</v>
      </c>
      <c r="T98" s="43"/>
      <c r="V98" s="128" t="s">
        <v>127</v>
      </c>
      <c r="W98" s="50"/>
      <c r="Z98" s="285">
        <v>17.612014770507809</v>
      </c>
      <c r="AA98" s="285">
        <f>IF(Z98="","",Z98*S98)</f>
        <v>16.026933441162107</v>
      </c>
      <c r="AB98" s="43">
        <f>IF(V98="yes",AA98,"")</f>
        <v>16.026933441162107</v>
      </c>
    </row>
    <row r="99" spans="1:28" s="49" customFormat="1" ht="164.25" customHeight="1" x14ac:dyDescent="0.2">
      <c r="A99" s="32">
        <f>A98+1</f>
        <v>75</v>
      </c>
      <c r="B99" s="457" t="s">
        <v>549</v>
      </c>
      <c r="C99" s="48" t="s">
        <v>549</v>
      </c>
      <c r="D99" s="63" t="s">
        <v>550</v>
      </c>
      <c r="E99" s="46">
        <f t="shared" si="29"/>
        <v>167</v>
      </c>
      <c r="F99" s="215" t="s">
        <v>551</v>
      </c>
      <c r="G99" s="46">
        <f t="shared" si="30"/>
        <v>141</v>
      </c>
      <c r="H99" s="56" t="s">
        <v>34</v>
      </c>
      <c r="I99" s="46" t="s">
        <v>26</v>
      </c>
      <c r="J99" s="48" t="s">
        <v>26</v>
      </c>
      <c r="K99" s="46" t="s">
        <v>35</v>
      </c>
      <c r="L99" s="45" t="s">
        <v>552</v>
      </c>
      <c r="M99" s="91" t="s">
        <v>26</v>
      </c>
      <c r="N99" s="45"/>
      <c r="O99" s="45"/>
      <c r="P99" s="45" t="s">
        <v>553</v>
      </c>
      <c r="Q99" s="233" t="s">
        <v>554</v>
      </c>
      <c r="R99" s="17"/>
      <c r="S99" s="282">
        <f>'Additional information'!$D$17</f>
        <v>0.91</v>
      </c>
      <c r="T99" s="43"/>
      <c r="V99" s="128" t="s">
        <v>127</v>
      </c>
      <c r="W99" s="50"/>
      <c r="Z99" s="285">
        <v>10.457156181335449</v>
      </c>
      <c r="AA99" s="285">
        <f>IF(Z99="","",Z99*S99)</f>
        <v>9.5160121250152585</v>
      </c>
      <c r="AB99" s="43">
        <f>IF(V99="yes",AA99,"")</f>
        <v>9.5160121250152585</v>
      </c>
    </row>
    <row r="100" spans="1:28" s="49" customFormat="1" ht="350.25" customHeight="1" x14ac:dyDescent="0.2">
      <c r="A100" s="32">
        <f>A99+1</f>
        <v>76</v>
      </c>
      <c r="B100" s="68" t="s">
        <v>555</v>
      </c>
      <c r="C100" s="48" t="s">
        <v>556</v>
      </c>
      <c r="D100" s="458" t="s">
        <v>557</v>
      </c>
      <c r="E100" s="46">
        <f t="shared" si="29"/>
        <v>684</v>
      </c>
      <c r="F100" s="215" t="s">
        <v>558</v>
      </c>
      <c r="G100" s="46">
        <f t="shared" si="30"/>
        <v>621</v>
      </c>
      <c r="H100" s="48" t="s">
        <v>300</v>
      </c>
      <c r="I100" s="54" t="s">
        <v>26</v>
      </c>
      <c r="J100" s="459" t="s">
        <v>26</v>
      </c>
      <c r="K100" s="54" t="s">
        <v>464</v>
      </c>
      <c r="L100" s="53" t="s">
        <v>559</v>
      </c>
      <c r="M100" s="91" t="s">
        <v>560</v>
      </c>
      <c r="N100" s="45"/>
      <c r="O100" s="45"/>
      <c r="P100" s="53" t="s">
        <v>561</v>
      </c>
      <c r="Q100" s="236" t="s">
        <v>562</v>
      </c>
      <c r="R100" s="10"/>
      <c r="S100" s="282">
        <f>'Additional information'!$D$17</f>
        <v>0.91</v>
      </c>
      <c r="T100" s="43"/>
      <c r="V100" s="128" t="s">
        <v>127</v>
      </c>
      <c r="W100" s="50"/>
      <c r="Z100" s="285">
        <v>20.769962310791019</v>
      </c>
      <c r="AA100" s="285">
        <f>IF(Z100="","",Z100*S100)</f>
        <v>18.900665702819829</v>
      </c>
      <c r="AB100" s="43">
        <f>IF(V100="yes",AA100,"")</f>
        <v>18.900665702819829</v>
      </c>
    </row>
    <row r="101" spans="1:28" s="49" customFormat="1" ht="273.75" customHeight="1" x14ac:dyDescent="0.2">
      <c r="A101" s="32">
        <f>A100+1</f>
        <v>77</v>
      </c>
      <c r="B101" s="311" t="s">
        <v>563</v>
      </c>
      <c r="C101" s="312" t="s">
        <v>564</v>
      </c>
      <c r="D101" s="460" t="s">
        <v>565</v>
      </c>
      <c r="E101" s="314">
        <f t="shared" si="29"/>
        <v>533</v>
      </c>
      <c r="F101" s="461" t="s">
        <v>566</v>
      </c>
      <c r="G101" s="314">
        <f t="shared" si="30"/>
        <v>470</v>
      </c>
      <c r="H101" s="312" t="s">
        <v>368</v>
      </c>
      <c r="I101" s="318" t="s">
        <v>26</v>
      </c>
      <c r="J101" s="318" t="s">
        <v>26</v>
      </c>
      <c r="K101" s="318" t="s">
        <v>567</v>
      </c>
      <c r="L101" s="26" t="s">
        <v>568</v>
      </c>
      <c r="M101" s="312" t="s">
        <v>569</v>
      </c>
      <c r="N101" s="374"/>
      <c r="O101" s="374"/>
      <c r="P101" s="28"/>
      <c r="Q101" s="427" t="s">
        <v>570</v>
      </c>
      <c r="R101" s="10"/>
      <c r="T101" s="51"/>
      <c r="U101" s="50"/>
      <c r="X101" s="375"/>
      <c r="Y101" s="375"/>
      <c r="Z101" s="43"/>
    </row>
    <row r="102" spans="1:28" s="540" customFormat="1" ht="204" customHeight="1" x14ac:dyDescent="0.2">
      <c r="A102" s="534">
        <f>A101+1</f>
        <v>78</v>
      </c>
      <c r="B102" s="549" t="s">
        <v>571</v>
      </c>
      <c r="C102" s="550" t="s">
        <v>571</v>
      </c>
      <c r="D102" s="551" t="s">
        <v>572</v>
      </c>
      <c r="E102" s="584">
        <f t="shared" si="29"/>
        <v>390</v>
      </c>
      <c r="F102" s="591" t="s">
        <v>573</v>
      </c>
      <c r="G102" s="584">
        <f t="shared" si="30"/>
        <v>355</v>
      </c>
      <c r="H102" s="501" t="s">
        <v>34</v>
      </c>
      <c r="I102" s="500" t="s">
        <v>26</v>
      </c>
      <c r="J102" s="500" t="s">
        <v>26</v>
      </c>
      <c r="K102" s="500" t="s">
        <v>35</v>
      </c>
      <c r="L102" s="502" t="s">
        <v>574</v>
      </c>
      <c r="M102" s="503" t="s">
        <v>26</v>
      </c>
      <c r="N102" s="541"/>
      <c r="O102" s="541"/>
      <c r="P102" s="557"/>
      <c r="Q102" s="557"/>
      <c r="R102" s="548"/>
      <c r="S102" s="508">
        <f>'Additional information'!$D$17</f>
        <v>0.91</v>
      </c>
      <c r="T102" s="509"/>
      <c r="V102" s="560"/>
      <c r="W102" s="281"/>
      <c r="Z102" s="511"/>
      <c r="AA102" s="511" t="str">
        <f t="shared" ref="AA102:AA112" si="31">IF(Z102="","",Z102*S102)</f>
        <v/>
      </c>
      <c r="AB102" s="509" t="str">
        <f t="shared" ref="AB102:AB112" si="32">IF(V102="yes",AA102,"")</f>
        <v/>
      </c>
    </row>
    <row r="103" spans="1:28" s="49" customFormat="1" ht="251.25" customHeight="1" thickBot="1" x14ac:dyDescent="0.25">
      <c r="A103" s="32">
        <f>A102+1</f>
        <v>79</v>
      </c>
      <c r="B103" s="68" t="s">
        <v>575</v>
      </c>
      <c r="C103" s="48" t="s">
        <v>575</v>
      </c>
      <c r="D103" s="63" t="s">
        <v>576</v>
      </c>
      <c r="E103" s="54">
        <f t="shared" si="29"/>
        <v>340</v>
      </c>
      <c r="F103" s="211" t="s">
        <v>577</v>
      </c>
      <c r="G103" s="54">
        <f t="shared" si="30"/>
        <v>299</v>
      </c>
      <c r="H103" s="60" t="s">
        <v>34</v>
      </c>
      <c r="I103" s="54" t="s">
        <v>26</v>
      </c>
      <c r="J103" s="54" t="s">
        <v>26</v>
      </c>
      <c r="K103" s="54" t="s">
        <v>35</v>
      </c>
      <c r="L103" s="66" t="s">
        <v>578</v>
      </c>
      <c r="M103" s="91" t="s">
        <v>26</v>
      </c>
      <c r="N103" s="45"/>
      <c r="O103" s="45"/>
      <c r="P103" s="52" t="s">
        <v>579</v>
      </c>
      <c r="Q103" s="65"/>
      <c r="R103" s="10"/>
      <c r="S103" s="282">
        <f>'Additional information'!$D$17</f>
        <v>0.91</v>
      </c>
      <c r="T103" s="43"/>
      <c r="V103" s="128" t="s">
        <v>127</v>
      </c>
      <c r="W103" s="50"/>
      <c r="Z103" s="285">
        <v>23.569721221923832</v>
      </c>
      <c r="AA103" s="285">
        <f t="shared" si="31"/>
        <v>21.448446311950686</v>
      </c>
      <c r="AB103" s="43">
        <f t="shared" si="32"/>
        <v>21.448446311950686</v>
      </c>
    </row>
    <row r="104" spans="1:28" s="127" customFormat="1" ht="17" customHeight="1" thickBot="1" x14ac:dyDescent="0.25">
      <c r="A104" s="603" t="s">
        <v>580</v>
      </c>
      <c r="B104" s="604"/>
      <c r="C104" s="604"/>
      <c r="D104" s="604"/>
      <c r="E104" s="604"/>
      <c r="F104" s="604"/>
      <c r="G104" s="604"/>
      <c r="H104" s="604"/>
      <c r="I104" s="604"/>
      <c r="J104" s="604"/>
      <c r="K104" s="604"/>
      <c r="L104" s="604"/>
      <c r="M104" s="604"/>
      <c r="N104" s="604"/>
      <c r="O104" s="604"/>
      <c r="P104" s="604"/>
      <c r="Q104" s="604"/>
      <c r="R104" s="605"/>
      <c r="S104" s="287"/>
      <c r="T104" s="129"/>
      <c r="V104" s="128"/>
      <c r="W104" s="130"/>
      <c r="Z104" s="285"/>
      <c r="AA104" s="285" t="str">
        <f t="shared" si="31"/>
        <v/>
      </c>
      <c r="AB104" s="129" t="str">
        <f t="shared" si="32"/>
        <v/>
      </c>
    </row>
    <row r="105" spans="1:28" s="49" customFormat="1" ht="289" customHeight="1" x14ac:dyDescent="0.2">
      <c r="A105" s="32">
        <f>A103+1</f>
        <v>80</v>
      </c>
      <c r="B105" s="473" t="s">
        <v>581</v>
      </c>
      <c r="C105" s="474" t="s">
        <v>581</v>
      </c>
      <c r="D105" s="321" t="s">
        <v>582</v>
      </c>
      <c r="E105" s="46">
        <f t="shared" ref="E105:E116" si="33">LEN(D105)</f>
        <v>173</v>
      </c>
      <c r="F105" s="321" t="s">
        <v>583</v>
      </c>
      <c r="G105" s="46">
        <f t="shared" ref="G105:G116" si="34">LEN(F105)</f>
        <v>124</v>
      </c>
      <c r="H105" s="46" t="s">
        <v>34</v>
      </c>
      <c r="I105" s="46" t="s">
        <v>26</v>
      </c>
      <c r="J105" s="46" t="s">
        <v>584</v>
      </c>
      <c r="K105" s="46" t="s">
        <v>35</v>
      </c>
      <c r="L105" s="45" t="s">
        <v>585</v>
      </c>
      <c r="M105" s="91" t="s">
        <v>26</v>
      </c>
      <c r="N105" s="45"/>
      <c r="O105" s="45"/>
      <c r="P105" s="52" t="s">
        <v>586</v>
      </c>
      <c r="Q105" s="232" t="s">
        <v>587</v>
      </c>
      <c r="R105" s="9"/>
      <c r="S105" s="287">
        <f>'Additional information'!$D$18</f>
        <v>0.91</v>
      </c>
      <c r="T105" s="43"/>
      <c r="V105" s="128" t="s">
        <v>127</v>
      </c>
      <c r="W105" s="50"/>
      <c r="Z105" s="285">
        <v>4.5019583702087402</v>
      </c>
      <c r="AA105" s="285">
        <f t="shared" si="31"/>
        <v>4.0967821168899539</v>
      </c>
      <c r="AB105" s="43">
        <f t="shared" si="32"/>
        <v>4.0967821168899539</v>
      </c>
    </row>
    <row r="106" spans="1:28" s="49" customFormat="1" ht="334.5" customHeight="1" x14ac:dyDescent="0.2">
      <c r="A106" s="32">
        <f t="shared" ref="A106:A116" si="35">A105+1</f>
        <v>81</v>
      </c>
      <c r="B106" s="105" t="s">
        <v>588</v>
      </c>
      <c r="C106" s="48" t="s">
        <v>588</v>
      </c>
      <c r="D106" s="47" t="s">
        <v>589</v>
      </c>
      <c r="E106" s="46">
        <f t="shared" si="33"/>
        <v>544</v>
      </c>
      <c r="F106" s="215" t="s">
        <v>590</v>
      </c>
      <c r="G106" s="46">
        <f t="shared" si="34"/>
        <v>510</v>
      </c>
      <c r="H106" s="46" t="s">
        <v>34</v>
      </c>
      <c r="I106" s="46" t="s">
        <v>26</v>
      </c>
      <c r="J106" s="46" t="s">
        <v>26</v>
      </c>
      <c r="K106" s="48" t="s">
        <v>591</v>
      </c>
      <c r="L106" s="45" t="s">
        <v>592</v>
      </c>
      <c r="M106" s="91" t="s">
        <v>26</v>
      </c>
      <c r="N106" s="45"/>
      <c r="O106" s="45"/>
      <c r="P106" s="52" t="s">
        <v>593</v>
      </c>
      <c r="Q106" s="241" t="s">
        <v>592</v>
      </c>
      <c r="R106" s="17"/>
      <c r="S106" s="287">
        <f>'Additional information'!$D$18</f>
        <v>0.91</v>
      </c>
      <c r="T106" s="43"/>
      <c r="V106" s="128" t="s">
        <v>127</v>
      </c>
      <c r="W106" s="50"/>
      <c r="Z106" s="285">
        <v>17.402484893798832</v>
      </c>
      <c r="AA106" s="285">
        <f t="shared" si="31"/>
        <v>15.836261253356938</v>
      </c>
      <c r="AB106" s="43">
        <f t="shared" si="32"/>
        <v>15.836261253356938</v>
      </c>
    </row>
    <row r="107" spans="1:28" s="49" customFormat="1" ht="84.75" customHeight="1" x14ac:dyDescent="0.2">
      <c r="A107" s="32">
        <f t="shared" si="35"/>
        <v>82</v>
      </c>
      <c r="B107" s="68" t="s">
        <v>594</v>
      </c>
      <c r="C107" s="48" t="s">
        <v>594</v>
      </c>
      <c r="D107" s="63" t="s">
        <v>595</v>
      </c>
      <c r="E107" s="54">
        <f t="shared" si="33"/>
        <v>152</v>
      </c>
      <c r="F107" s="211" t="s">
        <v>596</v>
      </c>
      <c r="G107" s="54">
        <f t="shared" si="34"/>
        <v>125</v>
      </c>
      <c r="H107" s="60" t="s">
        <v>124</v>
      </c>
      <c r="I107" s="54" t="s">
        <v>26</v>
      </c>
      <c r="J107" s="54" t="s">
        <v>26</v>
      </c>
      <c r="K107" s="54" t="s">
        <v>29</v>
      </c>
      <c r="L107" s="53" t="s">
        <v>597</v>
      </c>
      <c r="M107" s="91" t="s">
        <v>26</v>
      </c>
      <c r="N107" s="45"/>
      <c r="O107" s="45"/>
      <c r="P107" s="53" t="s">
        <v>598</v>
      </c>
      <c r="Q107" s="28"/>
      <c r="R107" s="10"/>
      <c r="S107" s="287">
        <f>'Additional information'!$D$18</f>
        <v>0.91</v>
      </c>
      <c r="T107" s="43"/>
      <c r="V107" s="128" t="s">
        <v>127</v>
      </c>
      <c r="W107" s="50"/>
      <c r="Z107" s="285">
        <v>16.332881927490231</v>
      </c>
      <c r="AA107" s="285">
        <f t="shared" si="31"/>
        <v>14.862922554016111</v>
      </c>
      <c r="AB107" s="43">
        <f t="shared" si="32"/>
        <v>14.862922554016111</v>
      </c>
    </row>
    <row r="108" spans="1:28" s="49" customFormat="1" ht="84.75" customHeight="1" x14ac:dyDescent="0.2">
      <c r="A108" s="32">
        <f t="shared" si="35"/>
        <v>83</v>
      </c>
      <c r="B108" s="68" t="s">
        <v>599</v>
      </c>
      <c r="C108" s="48" t="s">
        <v>599</v>
      </c>
      <c r="D108" s="62" t="s">
        <v>600</v>
      </c>
      <c r="E108" s="54">
        <f t="shared" si="33"/>
        <v>128</v>
      </c>
      <c r="F108" s="62" t="s">
        <v>601</v>
      </c>
      <c r="G108" s="54">
        <f t="shared" si="34"/>
        <v>97</v>
      </c>
      <c r="H108" s="60" t="s">
        <v>124</v>
      </c>
      <c r="I108" s="54" t="s">
        <v>26</v>
      </c>
      <c r="J108" s="54" t="s">
        <v>26</v>
      </c>
      <c r="K108" s="54" t="s">
        <v>29</v>
      </c>
      <c r="L108" s="53" t="s">
        <v>602</v>
      </c>
      <c r="M108" s="91" t="s">
        <v>26</v>
      </c>
      <c r="N108" s="45"/>
      <c r="O108" s="45"/>
      <c r="P108" s="53" t="s">
        <v>603</v>
      </c>
      <c r="Q108" s="28"/>
      <c r="R108" s="10"/>
      <c r="S108" s="287">
        <f>'Additional information'!$D$18</f>
        <v>0.91</v>
      </c>
      <c r="T108" s="43"/>
      <c r="V108" s="128" t="s">
        <v>127</v>
      </c>
      <c r="W108" s="50"/>
      <c r="Z108" s="285">
        <v>7.4144525527954102</v>
      </c>
      <c r="AA108" s="285">
        <f t="shared" si="31"/>
        <v>6.7471518230438239</v>
      </c>
      <c r="AB108" s="43">
        <f t="shared" si="32"/>
        <v>6.7471518230438239</v>
      </c>
    </row>
    <row r="109" spans="1:28" s="49" customFormat="1" ht="409.5" customHeight="1" x14ac:dyDescent="0.2">
      <c r="A109" s="32">
        <f t="shared" si="35"/>
        <v>84</v>
      </c>
      <c r="B109" s="68" t="s">
        <v>604</v>
      </c>
      <c r="C109" s="48" t="s">
        <v>605</v>
      </c>
      <c r="D109" s="126" t="s">
        <v>606</v>
      </c>
      <c r="E109" s="54">
        <f t="shared" si="33"/>
        <v>787</v>
      </c>
      <c r="F109" s="62" t="s">
        <v>607</v>
      </c>
      <c r="G109" s="54">
        <f t="shared" si="34"/>
        <v>774</v>
      </c>
      <c r="H109" s="48" t="s">
        <v>300</v>
      </c>
      <c r="I109" s="54" t="s">
        <v>26</v>
      </c>
      <c r="J109" s="54" t="s">
        <v>26</v>
      </c>
      <c r="K109" s="54" t="s">
        <v>608</v>
      </c>
      <c r="L109" s="53" t="s">
        <v>609</v>
      </c>
      <c r="M109" s="91" t="s">
        <v>610</v>
      </c>
      <c r="N109" s="45"/>
      <c r="O109" s="45"/>
      <c r="P109" s="52" t="s">
        <v>611</v>
      </c>
      <c r="Q109" s="236" t="s">
        <v>612</v>
      </c>
      <c r="R109" s="10"/>
      <c r="S109" s="287">
        <f>'Additional information'!$D$18</f>
        <v>0.91</v>
      </c>
      <c r="T109" s="43"/>
      <c r="V109" s="128" t="s">
        <v>127</v>
      </c>
      <c r="W109" s="50"/>
      <c r="Z109" s="285">
        <v>17.791135787963871</v>
      </c>
      <c r="AA109" s="285">
        <f t="shared" si="31"/>
        <v>16.189933567047124</v>
      </c>
      <c r="AB109" s="43">
        <f t="shared" si="32"/>
        <v>16.189933567047124</v>
      </c>
    </row>
    <row r="110" spans="1:28" s="49" customFormat="1" ht="234.75" customHeight="1" x14ac:dyDescent="0.2">
      <c r="A110" s="32">
        <f t="shared" si="35"/>
        <v>85</v>
      </c>
      <c r="B110" s="311" t="s">
        <v>613</v>
      </c>
      <c r="C110" s="312" t="s">
        <v>614</v>
      </c>
      <c r="D110" s="21" t="s">
        <v>615</v>
      </c>
      <c r="E110" s="318">
        <f t="shared" si="33"/>
        <v>285</v>
      </c>
      <c r="F110" s="360" t="s">
        <v>616</v>
      </c>
      <c r="G110" s="318">
        <f t="shared" si="34"/>
        <v>262</v>
      </c>
      <c r="H110" s="312" t="s">
        <v>300</v>
      </c>
      <c r="I110" s="318" t="s">
        <v>26</v>
      </c>
      <c r="J110" s="318" t="s">
        <v>26</v>
      </c>
      <c r="K110" s="318" t="s">
        <v>617</v>
      </c>
      <c r="L110" s="26" t="s">
        <v>618</v>
      </c>
      <c r="M110" s="22" t="s">
        <v>619</v>
      </c>
      <c r="N110" s="28"/>
      <c r="O110" s="28"/>
      <c r="P110" s="435" t="s">
        <v>620</v>
      </c>
      <c r="Q110" s="71"/>
      <c r="R110" s="10"/>
      <c r="S110" s="282">
        <f>'Additional information'!$D$18</f>
        <v>0.91</v>
      </c>
      <c r="T110" s="43"/>
      <c r="V110" s="51" t="s">
        <v>25</v>
      </c>
      <c r="W110" s="50"/>
      <c r="Z110" s="286">
        <v>18.08681678771973</v>
      </c>
      <c r="AA110" s="286">
        <f t="shared" si="31"/>
        <v>16.459003276824955</v>
      </c>
      <c r="AB110" s="43" t="str">
        <f t="shared" si="32"/>
        <v/>
      </c>
    </row>
    <row r="111" spans="1:28" s="49" customFormat="1" ht="180" customHeight="1" x14ac:dyDescent="0.2">
      <c r="A111" s="32">
        <f t="shared" si="35"/>
        <v>86</v>
      </c>
      <c r="B111" s="68" t="s">
        <v>621</v>
      </c>
      <c r="C111" s="48" t="s">
        <v>621</v>
      </c>
      <c r="D111" s="63" t="s">
        <v>622</v>
      </c>
      <c r="E111" s="54">
        <f t="shared" si="33"/>
        <v>166</v>
      </c>
      <c r="F111" s="211" t="s">
        <v>623</v>
      </c>
      <c r="G111" s="54">
        <f t="shared" si="34"/>
        <v>135</v>
      </c>
      <c r="H111" s="60" t="s">
        <v>34</v>
      </c>
      <c r="I111" s="54" t="s">
        <v>26</v>
      </c>
      <c r="J111" s="54" t="s">
        <v>26</v>
      </c>
      <c r="K111" s="54" t="s">
        <v>35</v>
      </c>
      <c r="L111" s="53" t="s">
        <v>624</v>
      </c>
      <c r="M111" s="91" t="s">
        <v>26</v>
      </c>
      <c r="N111" s="492" t="s">
        <v>625</v>
      </c>
      <c r="O111" s="45"/>
      <c r="P111" s="53" t="s">
        <v>626</v>
      </c>
      <c r="Q111" s="53" t="s">
        <v>627</v>
      </c>
      <c r="R111" s="10"/>
      <c r="S111" s="287">
        <f>'Additional information'!$D$18</f>
        <v>0.91</v>
      </c>
      <c r="T111" s="43"/>
      <c r="V111" s="128" t="s">
        <v>127</v>
      </c>
      <c r="W111" s="50"/>
      <c r="Z111" s="285">
        <v>10.37455940246582</v>
      </c>
      <c r="AA111" s="285">
        <f t="shared" si="31"/>
        <v>9.4408490562438967</v>
      </c>
      <c r="AB111" s="43">
        <f t="shared" si="32"/>
        <v>9.4408490562438967</v>
      </c>
    </row>
    <row r="112" spans="1:28" s="49" customFormat="1" ht="409.5" customHeight="1" x14ac:dyDescent="0.2">
      <c r="A112" s="32">
        <f t="shared" si="35"/>
        <v>87</v>
      </c>
      <c r="B112" s="106" t="s">
        <v>628</v>
      </c>
      <c r="C112" s="55" t="s">
        <v>629</v>
      </c>
      <c r="D112" s="63" t="s">
        <v>630</v>
      </c>
      <c r="E112" s="54">
        <f t="shared" si="33"/>
        <v>662</v>
      </c>
      <c r="F112" s="211" t="s">
        <v>631</v>
      </c>
      <c r="G112" s="54">
        <f t="shared" si="34"/>
        <v>597</v>
      </c>
      <c r="H112" s="48" t="s">
        <v>300</v>
      </c>
      <c r="I112" s="54" t="s">
        <v>26</v>
      </c>
      <c r="J112" s="54" t="s">
        <v>26</v>
      </c>
      <c r="K112" s="54" t="s">
        <v>632</v>
      </c>
      <c r="L112" s="63" t="s">
        <v>633</v>
      </c>
      <c r="M112" s="55" t="s">
        <v>634</v>
      </c>
      <c r="N112" s="73"/>
      <c r="O112" s="73"/>
      <c r="P112" s="63" t="s">
        <v>635</v>
      </c>
      <c r="Q112" s="240" t="s">
        <v>636</v>
      </c>
      <c r="R112" s="10"/>
      <c r="S112" s="287">
        <f>'Additional information'!$D$18</f>
        <v>0.91</v>
      </c>
      <c r="T112" s="43"/>
      <c r="V112" s="128" t="s">
        <v>127</v>
      </c>
      <c r="W112" s="50"/>
      <c r="Z112" s="285">
        <v>19.616762161254879</v>
      </c>
      <c r="AA112" s="285">
        <f t="shared" si="31"/>
        <v>17.851253566741942</v>
      </c>
      <c r="AB112" s="43">
        <f t="shared" si="32"/>
        <v>17.851253566741942</v>
      </c>
    </row>
    <row r="113" spans="1:28" s="389" customFormat="1" ht="171.75" customHeight="1" x14ac:dyDescent="0.2">
      <c r="A113" s="32">
        <f t="shared" si="35"/>
        <v>88</v>
      </c>
      <c r="B113" s="462" t="s">
        <v>637</v>
      </c>
      <c r="C113" s="463" t="s">
        <v>638</v>
      </c>
      <c r="D113" s="464" t="s">
        <v>639</v>
      </c>
      <c r="E113" s="465">
        <f t="shared" si="33"/>
        <v>114</v>
      </c>
      <c r="F113" s="466" t="s">
        <v>640</v>
      </c>
      <c r="G113" s="465">
        <f t="shared" si="34"/>
        <v>103</v>
      </c>
      <c r="H113" s="467" t="s">
        <v>34</v>
      </c>
      <c r="I113" s="465" t="s">
        <v>26</v>
      </c>
      <c r="J113" s="465" t="s">
        <v>641</v>
      </c>
      <c r="K113" s="468" t="s">
        <v>35</v>
      </c>
      <c r="L113" s="469" t="s">
        <v>642</v>
      </c>
      <c r="M113" s="433" t="s">
        <v>26</v>
      </c>
      <c r="N113" s="385"/>
      <c r="O113" s="385"/>
      <c r="P113" s="431"/>
      <c r="Q113" s="434" t="s">
        <v>643</v>
      </c>
      <c r="R113" s="432"/>
      <c r="T113" s="390"/>
      <c r="U113" s="391"/>
      <c r="X113" s="392"/>
      <c r="Y113" s="392"/>
      <c r="Z113" s="393"/>
    </row>
    <row r="114" spans="1:28" s="389" customFormat="1" ht="261.75" customHeight="1" x14ac:dyDescent="0.2">
      <c r="A114" s="32">
        <f t="shared" si="35"/>
        <v>89</v>
      </c>
      <c r="B114" s="462" t="s">
        <v>644</v>
      </c>
      <c r="C114" s="463" t="s">
        <v>645</v>
      </c>
      <c r="D114" s="470" t="s">
        <v>646</v>
      </c>
      <c r="E114" s="465">
        <f t="shared" si="33"/>
        <v>523</v>
      </c>
      <c r="F114" s="398" t="s">
        <v>647</v>
      </c>
      <c r="G114" s="465">
        <f t="shared" si="34"/>
        <v>523</v>
      </c>
      <c r="H114" s="471" t="s">
        <v>368</v>
      </c>
      <c r="I114" s="465" t="s">
        <v>26</v>
      </c>
      <c r="J114" s="465" t="s">
        <v>648</v>
      </c>
      <c r="K114" s="465" t="s">
        <v>649</v>
      </c>
      <c r="L114" s="397" t="s">
        <v>650</v>
      </c>
      <c r="M114" s="430" t="s">
        <v>651</v>
      </c>
      <c r="N114" s="492" t="s">
        <v>652</v>
      </c>
      <c r="O114" s="385"/>
      <c r="P114" s="431"/>
      <c r="Q114" s="431" t="s">
        <v>653</v>
      </c>
      <c r="R114" s="432"/>
      <c r="T114" s="390"/>
      <c r="U114" s="391"/>
      <c r="X114" s="392"/>
      <c r="Y114" s="392"/>
      <c r="Z114" s="393"/>
    </row>
    <row r="115" spans="1:28" s="389" customFormat="1" ht="225" customHeight="1" x14ac:dyDescent="0.2">
      <c r="A115" s="32">
        <f t="shared" si="35"/>
        <v>90</v>
      </c>
      <c r="B115" s="462" t="s">
        <v>654</v>
      </c>
      <c r="C115" s="463" t="s">
        <v>655</v>
      </c>
      <c r="D115" s="470" t="s">
        <v>656</v>
      </c>
      <c r="E115" s="465">
        <f t="shared" si="33"/>
        <v>411</v>
      </c>
      <c r="F115" s="398" t="s">
        <v>657</v>
      </c>
      <c r="G115" s="465">
        <f t="shared" si="34"/>
        <v>367</v>
      </c>
      <c r="H115" s="471" t="s">
        <v>300</v>
      </c>
      <c r="I115" s="465" t="s">
        <v>26</v>
      </c>
      <c r="J115" s="465" t="s">
        <v>658</v>
      </c>
      <c r="K115" s="465" t="s">
        <v>527</v>
      </c>
      <c r="L115" s="397" t="s">
        <v>659</v>
      </c>
      <c r="M115" s="430" t="s">
        <v>660</v>
      </c>
      <c r="N115" s="385"/>
      <c r="O115" s="385"/>
      <c r="P115" s="431"/>
      <c r="Q115" s="431" t="s">
        <v>661</v>
      </c>
      <c r="R115" s="432"/>
      <c r="T115" s="390"/>
      <c r="U115" s="391"/>
      <c r="X115" s="392"/>
      <c r="Y115" s="392"/>
      <c r="Z115" s="393"/>
    </row>
    <row r="116" spans="1:28" s="49" customFormat="1" ht="222" customHeight="1" thickBot="1" x14ac:dyDescent="0.25">
      <c r="A116" s="32">
        <f t="shared" si="35"/>
        <v>91</v>
      </c>
      <c r="B116" s="353" t="s">
        <v>662</v>
      </c>
      <c r="C116" s="362" t="s">
        <v>663</v>
      </c>
      <c r="D116" s="313" t="s">
        <v>664</v>
      </c>
      <c r="E116" s="351">
        <f t="shared" si="33"/>
        <v>241</v>
      </c>
      <c r="F116" s="350" t="s">
        <v>665</v>
      </c>
      <c r="G116" s="351">
        <f t="shared" si="34"/>
        <v>197</v>
      </c>
      <c r="H116" s="472" t="s">
        <v>300</v>
      </c>
      <c r="I116" s="351" t="s">
        <v>26</v>
      </c>
      <c r="J116" s="351" t="s">
        <v>666</v>
      </c>
      <c r="K116" s="351" t="s">
        <v>667</v>
      </c>
      <c r="L116" s="428" t="s">
        <v>668</v>
      </c>
      <c r="M116" s="22" t="s">
        <v>669</v>
      </c>
      <c r="N116" s="28"/>
      <c r="O116" s="28"/>
      <c r="P116" s="429" t="s">
        <v>670</v>
      </c>
      <c r="Q116" s="429"/>
      <c r="R116" s="35"/>
      <c r="S116" s="282">
        <f>'Additional information'!$D$18</f>
        <v>0.91</v>
      </c>
      <c r="T116" s="43"/>
      <c r="V116" s="51" t="s">
        <v>25</v>
      </c>
      <c r="W116" s="50"/>
      <c r="Z116" s="286">
        <v>7.2497549057006836</v>
      </c>
      <c r="AA116" s="286">
        <f>IF(Z116="","",Z116*S116)</f>
        <v>6.5972769641876221</v>
      </c>
      <c r="AB116" s="43" t="str">
        <f>IF(V116="yes",AA116,"")</f>
        <v/>
      </c>
    </row>
    <row r="117" spans="1:28" s="127" customFormat="1" ht="17" customHeight="1" thickBot="1" x14ac:dyDescent="0.25">
      <c r="A117" s="603" t="s">
        <v>671</v>
      </c>
      <c r="B117" s="604"/>
      <c r="C117" s="604"/>
      <c r="D117" s="604"/>
      <c r="E117" s="604"/>
      <c r="F117" s="604"/>
      <c r="G117" s="604"/>
      <c r="H117" s="604"/>
      <c r="I117" s="604"/>
      <c r="J117" s="604"/>
      <c r="K117" s="604"/>
      <c r="L117" s="604"/>
      <c r="M117" s="604"/>
      <c r="N117" s="604"/>
      <c r="O117" s="604"/>
      <c r="P117" s="604"/>
      <c r="Q117" s="604"/>
      <c r="R117" s="605"/>
      <c r="S117" s="287"/>
      <c r="T117" s="129"/>
      <c r="V117" s="128"/>
      <c r="W117" s="130"/>
      <c r="Z117" s="285"/>
      <c r="AA117" s="285" t="str">
        <f>IF(Z117="","",Z117*S117)</f>
        <v/>
      </c>
      <c r="AB117" s="129" t="str">
        <f>IF(V117="yes",AA117,"")</f>
        <v/>
      </c>
    </row>
    <row r="118" spans="1:28" s="49" customFormat="1" ht="289" customHeight="1" x14ac:dyDescent="0.2">
      <c r="A118" s="32">
        <f>A116+1</f>
        <v>92</v>
      </c>
      <c r="B118" s="105" t="s">
        <v>672</v>
      </c>
      <c r="C118" s="48" t="s">
        <v>672</v>
      </c>
      <c r="D118" s="446" t="s">
        <v>673</v>
      </c>
      <c r="E118" s="46">
        <f>LEN(D118)</f>
        <v>469</v>
      </c>
      <c r="F118" s="446" t="s">
        <v>674</v>
      </c>
      <c r="G118" s="46">
        <f>LEN(F118)</f>
        <v>452</v>
      </c>
      <c r="H118" s="56" t="s">
        <v>34</v>
      </c>
      <c r="I118" s="46" t="s">
        <v>26</v>
      </c>
      <c r="J118" s="46" t="s">
        <v>675</v>
      </c>
      <c r="K118" s="48" t="s">
        <v>676</v>
      </c>
      <c r="L118" s="45" t="s">
        <v>677</v>
      </c>
      <c r="M118" s="91" t="s">
        <v>26</v>
      </c>
      <c r="N118" s="45" t="s">
        <v>546</v>
      </c>
      <c r="O118" s="335" t="s">
        <v>547</v>
      </c>
      <c r="P118" s="45" t="s">
        <v>678</v>
      </c>
      <c r="Q118" s="233" t="s">
        <v>679</v>
      </c>
      <c r="R118" s="9"/>
      <c r="S118" s="287">
        <f>'Additional information'!$D$18</f>
        <v>0.91</v>
      </c>
      <c r="T118" s="43"/>
      <c r="V118" s="128" t="s">
        <v>127</v>
      </c>
      <c r="W118" s="50"/>
      <c r="Z118" s="285">
        <v>12.992362976074221</v>
      </c>
      <c r="AA118" s="285">
        <f>IF(Z118="","",Z118*S118)</f>
        <v>11.823050308227542</v>
      </c>
      <c r="AB118" s="43">
        <f>IF(V118="yes",AA118,"")</f>
        <v>11.823050308227542</v>
      </c>
    </row>
    <row r="119" spans="1:28" s="49" customFormat="1" ht="153" customHeight="1" x14ac:dyDescent="0.2">
      <c r="A119" s="14">
        <f>A118+1</f>
        <v>93</v>
      </c>
      <c r="B119" s="447" t="s">
        <v>680</v>
      </c>
      <c r="C119" s="48" t="s">
        <v>680</v>
      </c>
      <c r="D119" s="63" t="s">
        <v>681</v>
      </c>
      <c r="E119" s="54">
        <f>LEN(D119)</f>
        <v>166</v>
      </c>
      <c r="F119" s="211" t="s">
        <v>682</v>
      </c>
      <c r="G119" s="54">
        <f>LEN(F119)</f>
        <v>140</v>
      </c>
      <c r="H119" s="60" t="s">
        <v>34</v>
      </c>
      <c r="I119" s="54" t="s">
        <v>26</v>
      </c>
      <c r="J119" s="54" t="s">
        <v>26</v>
      </c>
      <c r="K119" s="54" t="s">
        <v>35</v>
      </c>
      <c r="L119" s="53" t="s">
        <v>683</v>
      </c>
      <c r="M119" s="91" t="s">
        <v>26</v>
      </c>
      <c r="N119" s="45"/>
      <c r="O119" s="45"/>
      <c r="P119" s="53" t="s">
        <v>684</v>
      </c>
      <c r="Q119" s="26"/>
      <c r="R119" s="10"/>
      <c r="S119" s="287">
        <f>'Additional information'!$D$18</f>
        <v>0.91</v>
      </c>
      <c r="T119" s="43"/>
      <c r="V119" s="128" t="s">
        <v>127</v>
      </c>
      <c r="W119" s="50"/>
      <c r="Z119" s="285">
        <v>8.6295709609985352</v>
      </c>
      <c r="AA119" s="285">
        <f>IF(Z119="","",Z119*S119)</f>
        <v>7.8529095745086677</v>
      </c>
      <c r="AB119" s="43">
        <f>IF(V119="yes",AA119,"")</f>
        <v>7.8529095745086677</v>
      </c>
    </row>
    <row r="120" spans="1:28" s="49" customFormat="1" ht="384.75" customHeight="1" x14ac:dyDescent="0.2">
      <c r="A120" s="14">
        <f>A119+1</f>
        <v>94</v>
      </c>
      <c r="B120" s="68" t="s">
        <v>685</v>
      </c>
      <c r="C120" s="48" t="s">
        <v>686</v>
      </c>
      <c r="D120" s="126" t="s">
        <v>687</v>
      </c>
      <c r="E120" s="54">
        <f>LEN(D120)</f>
        <v>751</v>
      </c>
      <c r="F120" s="218" t="s">
        <v>688</v>
      </c>
      <c r="G120" s="54">
        <f>LEN(F120)</f>
        <v>636</v>
      </c>
      <c r="H120" s="48" t="s">
        <v>300</v>
      </c>
      <c r="I120" s="54" t="s">
        <v>26</v>
      </c>
      <c r="J120" s="54" t="s">
        <v>26</v>
      </c>
      <c r="K120" s="54" t="s">
        <v>689</v>
      </c>
      <c r="L120" s="53" t="s">
        <v>690</v>
      </c>
      <c r="M120" s="91" t="s">
        <v>691</v>
      </c>
      <c r="N120" s="45"/>
      <c r="O120" s="45"/>
      <c r="P120" s="53" t="s">
        <v>692</v>
      </c>
      <c r="Q120" s="26"/>
      <c r="R120" s="10"/>
      <c r="S120" s="287">
        <f>'Additional information'!$D$18</f>
        <v>0.91</v>
      </c>
      <c r="T120" s="43"/>
      <c r="V120" s="128" t="s">
        <v>127</v>
      </c>
      <c r="W120" s="50"/>
      <c r="Z120" s="285">
        <v>18.256172180175781</v>
      </c>
      <c r="AA120" s="285">
        <f>IF(Z120="","",Z120*S120)</f>
        <v>16.613116683959962</v>
      </c>
      <c r="AB120" s="43">
        <f>IF(V120="yes",AA120,"")</f>
        <v>16.613116683959962</v>
      </c>
    </row>
    <row r="121" spans="1:28" s="389" customFormat="1" ht="306" customHeight="1" x14ac:dyDescent="0.2">
      <c r="A121" s="14">
        <f>A120+1</f>
        <v>95</v>
      </c>
      <c r="B121" s="395" t="s">
        <v>693</v>
      </c>
      <c r="C121" s="436" t="s">
        <v>694</v>
      </c>
      <c r="D121" s="475" t="s">
        <v>695</v>
      </c>
      <c r="E121" s="465">
        <f>LEN(D121)</f>
        <v>535</v>
      </c>
      <c r="F121" s="476" t="s">
        <v>696</v>
      </c>
      <c r="G121" s="465">
        <f>LEN(F121)</f>
        <v>469</v>
      </c>
      <c r="H121" s="436" t="s">
        <v>368</v>
      </c>
      <c r="I121" s="465" t="s">
        <v>26</v>
      </c>
      <c r="J121" s="465" t="s">
        <v>26</v>
      </c>
      <c r="K121" s="465" t="s">
        <v>567</v>
      </c>
      <c r="L121" s="437" t="s">
        <v>697</v>
      </c>
      <c r="M121" s="436" t="s">
        <v>698</v>
      </c>
      <c r="N121" s="385"/>
      <c r="O121" s="385"/>
      <c r="P121" s="437"/>
      <c r="Q121" s="437" t="s">
        <v>699</v>
      </c>
      <c r="R121" s="432"/>
      <c r="T121" s="390"/>
      <c r="U121" s="391"/>
      <c r="X121" s="392"/>
      <c r="Y121" s="392"/>
      <c r="Z121" s="393"/>
    </row>
    <row r="122" spans="1:28" s="49" customFormat="1" ht="222" customHeight="1" thickBot="1" x14ac:dyDescent="0.25">
      <c r="A122" s="14">
        <f>A121+1</f>
        <v>96</v>
      </c>
      <c r="B122" s="68" t="s">
        <v>700</v>
      </c>
      <c r="C122" s="48" t="s">
        <v>700</v>
      </c>
      <c r="D122" s="63" t="s">
        <v>701</v>
      </c>
      <c r="E122" s="54">
        <f>LEN(D122)</f>
        <v>338</v>
      </c>
      <c r="F122" s="211" t="s">
        <v>702</v>
      </c>
      <c r="G122" s="54">
        <f>LEN(F122)</f>
        <v>299</v>
      </c>
      <c r="H122" s="60" t="s">
        <v>34</v>
      </c>
      <c r="I122" s="54" t="s">
        <v>26</v>
      </c>
      <c r="J122" s="54" t="s">
        <v>26</v>
      </c>
      <c r="K122" s="54" t="s">
        <v>35</v>
      </c>
      <c r="L122" s="66" t="s">
        <v>703</v>
      </c>
      <c r="M122" s="91" t="s">
        <v>26</v>
      </c>
      <c r="N122" s="45"/>
      <c r="O122" s="45"/>
      <c r="P122" s="66" t="s">
        <v>704</v>
      </c>
      <c r="Q122" s="235" t="s">
        <v>705</v>
      </c>
      <c r="R122" s="10"/>
      <c r="S122" s="287">
        <f>'Additional information'!$D$18</f>
        <v>0.91</v>
      </c>
      <c r="T122" s="43"/>
      <c r="V122" s="128" t="s">
        <v>127</v>
      </c>
      <c r="W122" s="50"/>
      <c r="Z122" s="285">
        <v>15.45627975463867</v>
      </c>
      <c r="AA122" s="285">
        <f t="shared" ref="AA122:AA138" si="36">IF(Z122="","",Z122*S122)</f>
        <v>14.065214576721191</v>
      </c>
      <c r="AB122" s="43">
        <f t="shared" ref="AB122:AB138" si="37">IF(V122="yes",AA122,"")</f>
        <v>14.065214576721191</v>
      </c>
    </row>
    <row r="123" spans="1:28" s="127" customFormat="1" ht="17" customHeight="1" thickBot="1" x14ac:dyDescent="0.25">
      <c r="A123" s="603" t="s">
        <v>706</v>
      </c>
      <c r="B123" s="604"/>
      <c r="C123" s="604"/>
      <c r="D123" s="604"/>
      <c r="E123" s="604"/>
      <c r="F123" s="604"/>
      <c r="G123" s="604"/>
      <c r="H123" s="604"/>
      <c r="I123" s="604"/>
      <c r="J123" s="604"/>
      <c r="K123" s="604"/>
      <c r="L123" s="604"/>
      <c r="M123" s="604"/>
      <c r="N123" s="604"/>
      <c r="O123" s="604"/>
      <c r="P123" s="604"/>
      <c r="Q123" s="604"/>
      <c r="R123" s="605"/>
      <c r="S123" s="287"/>
      <c r="T123" s="129"/>
      <c r="V123" s="128"/>
      <c r="W123" s="130"/>
      <c r="Z123" s="285"/>
      <c r="AA123" s="285" t="str">
        <f t="shared" si="36"/>
        <v/>
      </c>
      <c r="AB123" s="129" t="str">
        <f t="shared" si="37"/>
        <v/>
      </c>
    </row>
    <row r="124" spans="1:28" s="49" customFormat="1" ht="153" customHeight="1" x14ac:dyDescent="0.2">
      <c r="A124" s="32">
        <f>A122+1</f>
        <v>97</v>
      </c>
      <c r="B124" s="105" t="s">
        <v>707</v>
      </c>
      <c r="C124" s="108" t="s">
        <v>707</v>
      </c>
      <c r="D124" s="47" t="s">
        <v>708</v>
      </c>
      <c r="E124" s="46">
        <f t="shared" ref="E124:E149" si="38">LEN(D124)</f>
        <v>335</v>
      </c>
      <c r="F124" s="215" t="s">
        <v>709</v>
      </c>
      <c r="G124" s="46">
        <f t="shared" ref="G124:G149" si="39">LEN(F124)</f>
        <v>310</v>
      </c>
      <c r="H124" s="56" t="s">
        <v>34</v>
      </c>
      <c r="I124" s="46" t="s">
        <v>26</v>
      </c>
      <c r="J124" s="46" t="s">
        <v>26</v>
      </c>
      <c r="K124" s="46" t="s">
        <v>35</v>
      </c>
      <c r="L124" s="45" t="s">
        <v>710</v>
      </c>
      <c r="M124" s="91" t="s">
        <v>26</v>
      </c>
      <c r="N124" s="45"/>
      <c r="O124" s="45"/>
      <c r="P124" s="45" t="s">
        <v>711</v>
      </c>
      <c r="Q124" s="28"/>
      <c r="R124" s="10"/>
      <c r="S124" s="287">
        <v>1</v>
      </c>
      <c r="T124" s="43"/>
      <c r="V124" s="128" t="s">
        <v>127</v>
      </c>
      <c r="W124" s="50"/>
      <c r="Z124" s="285">
        <v>8.0881662368774414</v>
      </c>
      <c r="AA124" s="285">
        <f t="shared" si="36"/>
        <v>8.0881662368774414</v>
      </c>
      <c r="AB124" s="43">
        <f t="shared" si="37"/>
        <v>8.0881662368774414</v>
      </c>
    </row>
    <row r="125" spans="1:28" s="49" customFormat="1" ht="170" customHeight="1" x14ac:dyDescent="0.2">
      <c r="A125" s="14">
        <f t="shared" ref="A125:A149" si="40">A124+1</f>
        <v>98</v>
      </c>
      <c r="B125" s="68" t="s">
        <v>712</v>
      </c>
      <c r="C125" s="48" t="s">
        <v>712</v>
      </c>
      <c r="D125" s="62" t="s">
        <v>713</v>
      </c>
      <c r="E125" s="54">
        <f t="shared" si="38"/>
        <v>236</v>
      </c>
      <c r="F125" s="62" t="s">
        <v>714</v>
      </c>
      <c r="G125" s="54">
        <f t="shared" si="39"/>
        <v>213</v>
      </c>
      <c r="H125" s="60" t="s">
        <v>34</v>
      </c>
      <c r="I125" s="54" t="s">
        <v>26</v>
      </c>
      <c r="J125" s="54" t="s">
        <v>26</v>
      </c>
      <c r="K125" s="54" t="s">
        <v>35</v>
      </c>
      <c r="L125" s="53" t="s">
        <v>715</v>
      </c>
      <c r="M125" s="91" t="s">
        <v>26</v>
      </c>
      <c r="N125" s="45"/>
      <c r="O125" s="45"/>
      <c r="P125" s="61" t="s">
        <v>716</v>
      </c>
      <c r="Q125" s="29"/>
      <c r="R125" s="10"/>
      <c r="S125" s="287">
        <v>1</v>
      </c>
      <c r="T125" s="43"/>
      <c r="V125" s="128" t="s">
        <v>127</v>
      </c>
      <c r="W125" s="50"/>
      <c r="Z125" s="285">
        <v>20.224567413330082</v>
      </c>
      <c r="AA125" s="285">
        <f t="shared" si="36"/>
        <v>20.224567413330082</v>
      </c>
      <c r="AB125" s="43">
        <f t="shared" si="37"/>
        <v>20.224567413330082</v>
      </c>
    </row>
    <row r="126" spans="1:28" s="49" customFormat="1" ht="170" customHeight="1" x14ac:dyDescent="0.2">
      <c r="A126" s="14">
        <f t="shared" si="40"/>
        <v>99</v>
      </c>
      <c r="B126" s="68" t="s">
        <v>717</v>
      </c>
      <c r="C126" s="48" t="s">
        <v>717</v>
      </c>
      <c r="D126" s="62" t="s">
        <v>718</v>
      </c>
      <c r="E126" s="54">
        <f t="shared" si="38"/>
        <v>234</v>
      </c>
      <c r="F126" s="62" t="s">
        <v>719</v>
      </c>
      <c r="G126" s="54">
        <f t="shared" si="39"/>
        <v>199</v>
      </c>
      <c r="H126" s="60" t="s">
        <v>34</v>
      </c>
      <c r="I126" s="54" t="s">
        <v>26</v>
      </c>
      <c r="J126" s="54" t="s">
        <v>26</v>
      </c>
      <c r="K126" s="54" t="s">
        <v>35</v>
      </c>
      <c r="L126" s="53" t="s">
        <v>720</v>
      </c>
      <c r="M126" s="91" t="s">
        <v>26</v>
      </c>
      <c r="N126" s="45"/>
      <c r="O126" s="45"/>
      <c r="P126" s="61" t="s">
        <v>721</v>
      </c>
      <c r="Q126" s="29"/>
      <c r="R126" s="10"/>
      <c r="S126" s="287">
        <v>1</v>
      </c>
      <c r="T126" s="43"/>
      <c r="V126" s="128" t="s">
        <v>127</v>
      </c>
      <c r="W126" s="50"/>
      <c r="Z126" s="285">
        <v>14.02606105804443</v>
      </c>
      <c r="AA126" s="285">
        <f t="shared" si="36"/>
        <v>14.02606105804443</v>
      </c>
      <c r="AB126" s="43">
        <f t="shared" si="37"/>
        <v>14.02606105804443</v>
      </c>
    </row>
    <row r="127" spans="1:28" s="49" customFormat="1" ht="170" customHeight="1" x14ac:dyDescent="0.2">
      <c r="A127" s="14">
        <f t="shared" si="40"/>
        <v>100</v>
      </c>
      <c r="B127" s="68" t="s">
        <v>722</v>
      </c>
      <c r="C127" s="48" t="s">
        <v>722</v>
      </c>
      <c r="D127" s="62" t="s">
        <v>723</v>
      </c>
      <c r="E127" s="54">
        <f t="shared" si="38"/>
        <v>217</v>
      </c>
      <c r="F127" s="62" t="s">
        <v>724</v>
      </c>
      <c r="G127" s="54">
        <f t="shared" si="39"/>
        <v>197</v>
      </c>
      <c r="H127" s="60" t="s">
        <v>34</v>
      </c>
      <c r="I127" s="54" t="s">
        <v>26</v>
      </c>
      <c r="J127" s="54" t="s">
        <v>26</v>
      </c>
      <c r="K127" s="54" t="s">
        <v>35</v>
      </c>
      <c r="L127" s="53" t="s">
        <v>725</v>
      </c>
      <c r="M127" s="91" t="s">
        <v>26</v>
      </c>
      <c r="N127" s="45"/>
      <c r="O127" s="45"/>
      <c r="P127" s="61" t="s">
        <v>726</v>
      </c>
      <c r="Q127" s="29"/>
      <c r="R127" s="10"/>
      <c r="S127" s="287">
        <v>1</v>
      </c>
      <c r="T127" s="43"/>
      <c r="V127" s="128" t="s">
        <v>127</v>
      </c>
      <c r="W127" s="50"/>
      <c r="Z127" s="285">
        <v>11.558505058288571</v>
      </c>
      <c r="AA127" s="285">
        <f t="shared" si="36"/>
        <v>11.558505058288571</v>
      </c>
      <c r="AB127" s="43">
        <f t="shared" si="37"/>
        <v>11.558505058288571</v>
      </c>
    </row>
    <row r="128" spans="1:28" s="49" customFormat="1" ht="170" customHeight="1" x14ac:dyDescent="0.2">
      <c r="A128" s="14">
        <f t="shared" si="40"/>
        <v>101</v>
      </c>
      <c r="B128" s="68" t="s">
        <v>727</v>
      </c>
      <c r="C128" s="48" t="s">
        <v>727</v>
      </c>
      <c r="D128" s="62" t="s">
        <v>728</v>
      </c>
      <c r="E128" s="54">
        <f t="shared" si="38"/>
        <v>218</v>
      </c>
      <c r="F128" s="62" t="s">
        <v>729</v>
      </c>
      <c r="G128" s="54">
        <f t="shared" si="39"/>
        <v>207</v>
      </c>
      <c r="H128" s="60" t="s">
        <v>34</v>
      </c>
      <c r="I128" s="54" t="s">
        <v>26</v>
      </c>
      <c r="J128" s="54" t="s">
        <v>26</v>
      </c>
      <c r="K128" s="54" t="s">
        <v>35</v>
      </c>
      <c r="L128" s="53" t="s">
        <v>730</v>
      </c>
      <c r="M128" s="91" t="s">
        <v>26</v>
      </c>
      <c r="N128" s="45"/>
      <c r="O128" s="45"/>
      <c r="P128" s="53" t="s">
        <v>731</v>
      </c>
      <c r="Q128" s="26"/>
      <c r="R128" s="10"/>
      <c r="S128" s="287">
        <v>1</v>
      </c>
      <c r="T128" s="43"/>
      <c r="V128" s="128" t="s">
        <v>127</v>
      </c>
      <c r="W128" s="50"/>
      <c r="Z128" s="285">
        <v>11.379257202148439</v>
      </c>
      <c r="AA128" s="285">
        <f t="shared" si="36"/>
        <v>11.379257202148439</v>
      </c>
      <c r="AB128" s="43">
        <f t="shared" si="37"/>
        <v>11.379257202148439</v>
      </c>
    </row>
    <row r="129" spans="1:28" s="49" customFormat="1" ht="170" customHeight="1" x14ac:dyDescent="0.2">
      <c r="A129" s="14">
        <f t="shared" si="40"/>
        <v>102</v>
      </c>
      <c r="B129" s="68" t="s">
        <v>732</v>
      </c>
      <c r="C129" s="48" t="s">
        <v>732</v>
      </c>
      <c r="D129" s="62" t="s">
        <v>733</v>
      </c>
      <c r="E129" s="54">
        <f t="shared" si="38"/>
        <v>224</v>
      </c>
      <c r="F129" s="62" t="s">
        <v>734</v>
      </c>
      <c r="G129" s="54">
        <f t="shared" si="39"/>
        <v>203</v>
      </c>
      <c r="H129" s="60" t="s">
        <v>34</v>
      </c>
      <c r="I129" s="54" t="s">
        <v>26</v>
      </c>
      <c r="J129" s="54" t="s">
        <v>26</v>
      </c>
      <c r="K129" s="54" t="s">
        <v>35</v>
      </c>
      <c r="L129" s="53" t="s">
        <v>735</v>
      </c>
      <c r="M129" s="91" t="s">
        <v>26</v>
      </c>
      <c r="N129" s="45"/>
      <c r="O129" s="45"/>
      <c r="P129" s="53" t="s">
        <v>736</v>
      </c>
      <c r="Q129" s="26"/>
      <c r="R129" s="10"/>
      <c r="S129" s="287">
        <v>1</v>
      </c>
      <c r="T129" s="43"/>
      <c r="V129" s="128" t="s">
        <v>127</v>
      </c>
      <c r="W129" s="50"/>
      <c r="Z129" s="285">
        <v>10.443217277526861</v>
      </c>
      <c r="AA129" s="285">
        <f t="shared" si="36"/>
        <v>10.443217277526861</v>
      </c>
      <c r="AB129" s="43">
        <f t="shared" si="37"/>
        <v>10.443217277526861</v>
      </c>
    </row>
    <row r="130" spans="1:28" s="49" customFormat="1" ht="153" customHeight="1" x14ac:dyDescent="0.2">
      <c r="A130" s="14">
        <f t="shared" si="40"/>
        <v>103</v>
      </c>
      <c r="B130" s="68" t="s">
        <v>737</v>
      </c>
      <c r="C130" s="67" t="s">
        <v>737</v>
      </c>
      <c r="D130" s="477" t="s">
        <v>738</v>
      </c>
      <c r="E130" s="54">
        <f t="shared" si="38"/>
        <v>182</v>
      </c>
      <c r="F130" s="477" t="s">
        <v>739</v>
      </c>
      <c r="G130" s="54">
        <f t="shared" si="39"/>
        <v>211</v>
      </c>
      <c r="H130" s="60" t="s">
        <v>34</v>
      </c>
      <c r="I130" s="54" t="s">
        <v>26</v>
      </c>
      <c r="J130" s="54" t="s">
        <v>26</v>
      </c>
      <c r="K130" s="54" t="s">
        <v>35</v>
      </c>
      <c r="L130" s="53" t="s">
        <v>740</v>
      </c>
      <c r="M130" s="91" t="s">
        <v>26</v>
      </c>
      <c r="N130" s="45"/>
      <c r="O130" s="45"/>
      <c r="P130" s="61" t="s">
        <v>741</v>
      </c>
      <c r="Q130" s="29"/>
      <c r="R130" s="10"/>
      <c r="S130" s="287">
        <v>1</v>
      </c>
      <c r="T130" s="43"/>
      <c r="V130" s="128" t="s">
        <v>127</v>
      </c>
      <c r="W130" s="50"/>
      <c r="Z130" s="285">
        <v>10.732010841369631</v>
      </c>
      <c r="AA130" s="285">
        <f t="shared" si="36"/>
        <v>10.732010841369631</v>
      </c>
      <c r="AB130" s="43">
        <f t="shared" si="37"/>
        <v>10.732010841369631</v>
      </c>
    </row>
    <row r="131" spans="1:28" s="121" customFormat="1" ht="172.5" customHeight="1" x14ac:dyDescent="0.2">
      <c r="A131" s="14">
        <f t="shared" si="40"/>
        <v>104</v>
      </c>
      <c r="B131" s="68" t="s">
        <v>742</v>
      </c>
      <c r="C131" s="67" t="s">
        <v>742</v>
      </c>
      <c r="D131" s="478" t="s">
        <v>743</v>
      </c>
      <c r="E131" s="54">
        <f t="shared" si="38"/>
        <v>214</v>
      </c>
      <c r="F131" s="478" t="s">
        <v>744</v>
      </c>
      <c r="G131" s="54">
        <f t="shared" si="39"/>
        <v>231</v>
      </c>
      <c r="H131" s="60" t="s">
        <v>34</v>
      </c>
      <c r="I131" s="54" t="s">
        <v>26</v>
      </c>
      <c r="J131" s="54" t="s">
        <v>26</v>
      </c>
      <c r="K131" s="54" t="s">
        <v>35</v>
      </c>
      <c r="L131" s="53" t="s">
        <v>745</v>
      </c>
      <c r="M131" s="91" t="s">
        <v>26</v>
      </c>
      <c r="N131" s="45"/>
      <c r="O131" s="45"/>
      <c r="P131" s="53" t="s">
        <v>746</v>
      </c>
      <c r="Q131" s="26"/>
      <c r="R131" s="10"/>
      <c r="S131" s="287">
        <v>1</v>
      </c>
      <c r="T131" s="43"/>
      <c r="V131" s="128" t="s">
        <v>127</v>
      </c>
      <c r="W131" s="50"/>
      <c r="Z131" s="285">
        <v>11.58613967895508</v>
      </c>
      <c r="AA131" s="285">
        <f t="shared" si="36"/>
        <v>11.58613967895508</v>
      </c>
      <c r="AB131" s="43">
        <f t="shared" si="37"/>
        <v>11.58613967895508</v>
      </c>
    </row>
    <row r="132" spans="1:28" s="49" customFormat="1" ht="153" customHeight="1" x14ac:dyDescent="0.2">
      <c r="A132" s="14">
        <f t="shared" si="40"/>
        <v>105</v>
      </c>
      <c r="B132" s="68" t="s">
        <v>747</v>
      </c>
      <c r="C132" s="48" t="s">
        <v>747</v>
      </c>
      <c r="D132" s="477" t="s">
        <v>748</v>
      </c>
      <c r="E132" s="54">
        <f t="shared" si="38"/>
        <v>184</v>
      </c>
      <c r="F132" s="477" t="s">
        <v>749</v>
      </c>
      <c r="G132" s="54">
        <f t="shared" si="39"/>
        <v>190</v>
      </c>
      <c r="H132" s="60" t="s">
        <v>34</v>
      </c>
      <c r="I132" s="54" t="s">
        <v>26</v>
      </c>
      <c r="J132" s="54" t="s">
        <v>26</v>
      </c>
      <c r="K132" s="54" t="s">
        <v>35</v>
      </c>
      <c r="L132" s="53" t="s">
        <v>750</v>
      </c>
      <c r="M132" s="91" t="s">
        <v>26</v>
      </c>
      <c r="N132" s="45"/>
      <c r="O132" s="45"/>
      <c r="P132" s="61" t="s">
        <v>751</v>
      </c>
      <c r="Q132" s="29"/>
      <c r="R132" s="10"/>
      <c r="S132" s="287">
        <v>1</v>
      </c>
      <c r="T132" s="43"/>
      <c r="V132" s="128" t="s">
        <v>127</v>
      </c>
      <c r="W132" s="50"/>
      <c r="Z132" s="285">
        <v>9.7552013397216797</v>
      </c>
      <c r="AA132" s="285">
        <f t="shared" si="36"/>
        <v>9.7552013397216797</v>
      </c>
      <c r="AB132" s="43">
        <f t="shared" si="37"/>
        <v>9.7552013397216797</v>
      </c>
    </row>
    <row r="133" spans="1:28" s="49" customFormat="1" ht="169.5" customHeight="1" x14ac:dyDescent="0.2">
      <c r="A133" s="14">
        <f t="shared" si="40"/>
        <v>106</v>
      </c>
      <c r="B133" s="68" t="s">
        <v>752</v>
      </c>
      <c r="C133" s="67" t="s">
        <v>752</v>
      </c>
      <c r="D133" s="478" t="s">
        <v>743</v>
      </c>
      <c r="E133" s="54">
        <f t="shared" si="38"/>
        <v>214</v>
      </c>
      <c r="F133" s="478" t="s">
        <v>744</v>
      </c>
      <c r="G133" s="54">
        <f t="shared" si="39"/>
        <v>231</v>
      </c>
      <c r="H133" s="60" t="s">
        <v>34</v>
      </c>
      <c r="I133" s="54" t="s">
        <v>26</v>
      </c>
      <c r="J133" s="54" t="s">
        <v>26</v>
      </c>
      <c r="K133" s="54" t="s">
        <v>35</v>
      </c>
      <c r="L133" s="53" t="s">
        <v>753</v>
      </c>
      <c r="M133" s="91" t="s">
        <v>26</v>
      </c>
      <c r="N133" s="45"/>
      <c r="O133" s="45"/>
      <c r="P133" s="53" t="s">
        <v>754</v>
      </c>
      <c r="Q133" s="26"/>
      <c r="R133" s="10"/>
      <c r="S133" s="287">
        <v>1</v>
      </c>
      <c r="T133" s="43"/>
      <c r="V133" s="128" t="s">
        <v>127</v>
      </c>
      <c r="W133" s="50"/>
      <c r="Z133" s="285">
        <v>7.9447951316833496</v>
      </c>
      <c r="AA133" s="285">
        <f t="shared" si="36"/>
        <v>7.9447951316833496</v>
      </c>
      <c r="AB133" s="43">
        <f t="shared" si="37"/>
        <v>7.9447951316833496</v>
      </c>
    </row>
    <row r="134" spans="1:28" s="49" customFormat="1" ht="170" customHeight="1" x14ac:dyDescent="0.2">
      <c r="A134" s="14">
        <f t="shared" si="40"/>
        <v>107</v>
      </c>
      <c r="B134" s="68" t="s">
        <v>755</v>
      </c>
      <c r="C134" s="48" t="s">
        <v>755</v>
      </c>
      <c r="D134" s="477" t="s">
        <v>756</v>
      </c>
      <c r="E134" s="54">
        <f t="shared" si="38"/>
        <v>212</v>
      </c>
      <c r="F134" s="477" t="s">
        <v>757</v>
      </c>
      <c r="G134" s="54">
        <f t="shared" si="39"/>
        <v>221</v>
      </c>
      <c r="H134" s="60" t="s">
        <v>34</v>
      </c>
      <c r="I134" s="54" t="s">
        <v>26</v>
      </c>
      <c r="J134" s="54" t="s">
        <v>26</v>
      </c>
      <c r="K134" s="54" t="s">
        <v>35</v>
      </c>
      <c r="L134" s="53" t="s">
        <v>758</v>
      </c>
      <c r="M134" s="91" t="s">
        <v>26</v>
      </c>
      <c r="N134" s="45"/>
      <c r="O134" s="45"/>
      <c r="P134" s="61" t="s">
        <v>759</v>
      </c>
      <c r="Q134" s="236" t="s">
        <v>758</v>
      </c>
      <c r="R134" s="10"/>
      <c r="S134" s="287">
        <v>1</v>
      </c>
      <c r="T134" s="43"/>
      <c r="V134" s="128" t="s">
        <v>127</v>
      </c>
      <c r="W134" s="50"/>
      <c r="Z134" s="285">
        <v>7.9312248229980469</v>
      </c>
      <c r="AA134" s="285">
        <f t="shared" si="36"/>
        <v>7.9312248229980469</v>
      </c>
      <c r="AB134" s="43">
        <f t="shared" si="37"/>
        <v>7.9312248229980469</v>
      </c>
    </row>
    <row r="135" spans="1:28" s="49" customFormat="1" ht="159.75" customHeight="1" x14ac:dyDescent="0.2">
      <c r="A135" s="14">
        <f t="shared" si="40"/>
        <v>108</v>
      </c>
      <c r="B135" s="68" t="s">
        <v>760</v>
      </c>
      <c r="C135" s="67" t="s">
        <v>760</v>
      </c>
      <c r="D135" s="478" t="s">
        <v>743</v>
      </c>
      <c r="E135" s="54">
        <f t="shared" si="38"/>
        <v>214</v>
      </c>
      <c r="F135" s="478" t="s">
        <v>744</v>
      </c>
      <c r="G135" s="54">
        <f t="shared" si="39"/>
        <v>231</v>
      </c>
      <c r="H135" s="60" t="s">
        <v>34</v>
      </c>
      <c r="I135" s="54" t="s">
        <v>26</v>
      </c>
      <c r="J135" s="54" t="s">
        <v>26</v>
      </c>
      <c r="K135" s="54" t="s">
        <v>35</v>
      </c>
      <c r="L135" s="53" t="s">
        <v>761</v>
      </c>
      <c r="M135" s="91" t="s">
        <v>26</v>
      </c>
      <c r="N135" s="45"/>
      <c r="O135" s="45"/>
      <c r="P135" s="61" t="s">
        <v>762</v>
      </c>
      <c r="Q135" s="236" t="s">
        <v>761</v>
      </c>
      <c r="R135" s="10"/>
      <c r="S135" s="287">
        <v>1</v>
      </c>
      <c r="T135" s="43"/>
      <c r="V135" s="128" t="s">
        <v>127</v>
      </c>
      <c r="W135" s="50"/>
      <c r="Z135" s="285">
        <v>5.3390059471130371</v>
      </c>
      <c r="AA135" s="285">
        <f t="shared" si="36"/>
        <v>5.3390059471130371</v>
      </c>
      <c r="AB135" s="43">
        <f t="shared" si="37"/>
        <v>5.3390059471130371</v>
      </c>
    </row>
    <row r="136" spans="1:28" s="49" customFormat="1" ht="102" customHeight="1" x14ac:dyDescent="0.2">
      <c r="A136" s="14">
        <f t="shared" si="40"/>
        <v>109</v>
      </c>
      <c r="B136" s="311" t="s">
        <v>763</v>
      </c>
      <c r="C136" s="312" t="s">
        <v>763</v>
      </c>
      <c r="D136" s="308" t="s">
        <v>764</v>
      </c>
      <c r="E136" s="318">
        <f t="shared" si="38"/>
        <v>142</v>
      </c>
      <c r="F136" s="308" t="s">
        <v>765</v>
      </c>
      <c r="G136" s="318">
        <f t="shared" si="39"/>
        <v>148</v>
      </c>
      <c r="H136" s="368" t="s">
        <v>34</v>
      </c>
      <c r="I136" s="318" t="s">
        <v>26</v>
      </c>
      <c r="J136" s="318" t="s">
        <v>26</v>
      </c>
      <c r="K136" s="318" t="s">
        <v>35</v>
      </c>
      <c r="L136" s="26" t="s">
        <v>766</v>
      </c>
      <c r="M136" s="22" t="s">
        <v>26</v>
      </c>
      <c r="N136" s="428"/>
      <c r="O136" s="428"/>
      <c r="P136" s="438"/>
      <c r="Q136" s="439"/>
      <c r="R136" s="10"/>
      <c r="S136" s="282">
        <v>1</v>
      </c>
      <c r="T136" s="43"/>
      <c r="V136" s="51" t="s">
        <v>25</v>
      </c>
      <c r="W136" s="50"/>
      <c r="Z136" s="286">
        <v>3.816555500030518</v>
      </c>
      <c r="AA136" s="286">
        <f t="shared" si="36"/>
        <v>3.816555500030518</v>
      </c>
      <c r="AB136" s="43" t="str">
        <f t="shared" si="37"/>
        <v/>
      </c>
    </row>
    <row r="137" spans="1:28" s="49" customFormat="1" ht="238.5" customHeight="1" x14ac:dyDescent="0.2">
      <c r="A137" s="14">
        <f t="shared" si="40"/>
        <v>110</v>
      </c>
      <c r="B137" s="479" t="s">
        <v>767</v>
      </c>
      <c r="C137" s="312" t="s">
        <v>768</v>
      </c>
      <c r="D137" s="21" t="s">
        <v>769</v>
      </c>
      <c r="E137" s="318">
        <f t="shared" si="38"/>
        <v>406</v>
      </c>
      <c r="F137" s="360" t="s">
        <v>770</v>
      </c>
      <c r="G137" s="318">
        <f t="shared" si="39"/>
        <v>375</v>
      </c>
      <c r="H137" s="368" t="s">
        <v>34</v>
      </c>
      <c r="I137" s="318" t="s">
        <v>26</v>
      </c>
      <c r="J137" s="318" t="s">
        <v>26</v>
      </c>
      <c r="K137" s="318" t="s">
        <v>35</v>
      </c>
      <c r="L137" s="26" t="s">
        <v>771</v>
      </c>
      <c r="M137" s="22" t="s">
        <v>26</v>
      </c>
      <c r="N137" s="21"/>
      <c r="O137" s="417"/>
      <c r="P137" s="417"/>
      <c r="Q137" s="417"/>
      <c r="R137" s="10"/>
      <c r="S137" s="282">
        <v>1</v>
      </c>
      <c r="T137" s="43"/>
      <c r="V137" s="51" t="s">
        <v>25</v>
      </c>
      <c r="W137" s="50"/>
      <c r="Z137" s="286">
        <v>16.827030181884769</v>
      </c>
      <c r="AA137" s="286">
        <f t="shared" si="36"/>
        <v>16.827030181884769</v>
      </c>
      <c r="AB137" s="43" t="str">
        <f t="shared" si="37"/>
        <v/>
      </c>
    </row>
    <row r="138" spans="1:28" s="49" customFormat="1" ht="204" customHeight="1" x14ac:dyDescent="0.2">
      <c r="A138" s="14">
        <f t="shared" si="40"/>
        <v>111</v>
      </c>
      <c r="B138" s="479" t="s">
        <v>772</v>
      </c>
      <c r="C138" s="312" t="s">
        <v>773</v>
      </c>
      <c r="D138" s="21" t="s">
        <v>774</v>
      </c>
      <c r="E138" s="318">
        <f t="shared" si="38"/>
        <v>344</v>
      </c>
      <c r="F138" s="360" t="s">
        <v>775</v>
      </c>
      <c r="G138" s="318">
        <f t="shared" si="39"/>
        <v>328</v>
      </c>
      <c r="H138" s="368" t="s">
        <v>34</v>
      </c>
      <c r="I138" s="318" t="s">
        <v>26</v>
      </c>
      <c r="J138" s="318" t="s">
        <v>26</v>
      </c>
      <c r="K138" s="318" t="s">
        <v>35</v>
      </c>
      <c r="L138" s="26" t="s">
        <v>776</v>
      </c>
      <c r="M138" s="22" t="s">
        <v>26</v>
      </c>
      <c r="N138" s="440"/>
      <c r="O138" s="417"/>
      <c r="P138" s="417"/>
      <c r="Q138" s="417"/>
      <c r="R138" s="10"/>
      <c r="S138" s="282">
        <v>1</v>
      </c>
      <c r="T138" s="43"/>
      <c r="V138" s="51" t="s">
        <v>25</v>
      </c>
      <c r="W138" s="50"/>
      <c r="Z138" s="286">
        <v>12.211404800415041</v>
      </c>
      <c r="AA138" s="286">
        <f t="shared" si="36"/>
        <v>12.211404800415041</v>
      </c>
      <c r="AB138" s="43" t="str">
        <f t="shared" si="37"/>
        <v/>
      </c>
    </row>
    <row r="139" spans="1:28" s="49" customFormat="1" ht="243" customHeight="1" x14ac:dyDescent="0.2">
      <c r="A139" s="14">
        <f t="shared" si="40"/>
        <v>112</v>
      </c>
      <c r="B139" s="479" t="s">
        <v>777</v>
      </c>
      <c r="C139" s="312" t="s">
        <v>777</v>
      </c>
      <c r="D139" s="21" t="s">
        <v>778</v>
      </c>
      <c r="E139" s="318">
        <f t="shared" si="38"/>
        <v>371</v>
      </c>
      <c r="F139" s="360" t="s">
        <v>779</v>
      </c>
      <c r="G139" s="318">
        <f t="shared" si="39"/>
        <v>361</v>
      </c>
      <c r="H139" s="368" t="s">
        <v>34</v>
      </c>
      <c r="I139" s="318" t="s">
        <v>26</v>
      </c>
      <c r="J139" s="318" t="s">
        <v>26</v>
      </c>
      <c r="K139" s="318" t="s">
        <v>35</v>
      </c>
      <c r="L139" s="26" t="s">
        <v>780</v>
      </c>
      <c r="M139" s="22"/>
      <c r="N139" s="21"/>
      <c r="O139" s="374"/>
      <c r="P139" s="374"/>
      <c r="Q139" s="417"/>
      <c r="R139" s="10"/>
      <c r="S139" s="441"/>
      <c r="T139" s="51"/>
      <c r="U139" s="50"/>
      <c r="X139" s="375"/>
      <c r="Y139" s="375"/>
      <c r="Z139" s="43"/>
    </row>
    <row r="140" spans="1:28" s="49" customFormat="1" ht="204" customHeight="1" x14ac:dyDescent="0.2">
      <c r="A140" s="14">
        <f t="shared" si="40"/>
        <v>113</v>
      </c>
      <c r="B140" s="479" t="s">
        <v>781</v>
      </c>
      <c r="C140" s="312" t="s">
        <v>781</v>
      </c>
      <c r="D140" s="21" t="s">
        <v>782</v>
      </c>
      <c r="E140" s="318">
        <f t="shared" si="38"/>
        <v>343</v>
      </c>
      <c r="F140" s="360" t="s">
        <v>783</v>
      </c>
      <c r="G140" s="318">
        <f t="shared" si="39"/>
        <v>328</v>
      </c>
      <c r="H140" s="368" t="s">
        <v>34</v>
      </c>
      <c r="I140" s="318" t="s">
        <v>26</v>
      </c>
      <c r="J140" s="318" t="s">
        <v>26</v>
      </c>
      <c r="K140" s="318" t="s">
        <v>35</v>
      </c>
      <c r="L140" s="26" t="s">
        <v>784</v>
      </c>
      <c r="M140" s="22" t="s">
        <v>26</v>
      </c>
      <c r="N140" s="428"/>
      <c r="O140" s="428"/>
      <c r="P140" s="428"/>
      <c r="Q140" s="417"/>
      <c r="R140" s="10"/>
      <c r="S140" s="282">
        <v>1</v>
      </c>
      <c r="T140" s="43"/>
      <c r="V140" s="51" t="s">
        <v>25</v>
      </c>
      <c r="W140" s="50"/>
      <c r="Z140" s="286">
        <v>8.2318143844604492</v>
      </c>
      <c r="AA140" s="286">
        <f t="shared" ref="AA140:AA160" si="41">IF(Z140="","",Z140*S140)</f>
        <v>8.2318143844604492</v>
      </c>
      <c r="AB140" s="43" t="str">
        <f t="shared" ref="AB140:AB160" si="42">IF(V140="yes",AA140,"")</f>
        <v/>
      </c>
    </row>
    <row r="141" spans="1:28" s="49" customFormat="1" ht="221" customHeight="1" x14ac:dyDescent="0.2">
      <c r="A141" s="14">
        <f t="shared" si="40"/>
        <v>114</v>
      </c>
      <c r="B141" s="479" t="s">
        <v>785</v>
      </c>
      <c r="C141" s="312" t="s">
        <v>785</v>
      </c>
      <c r="D141" s="21" t="s">
        <v>786</v>
      </c>
      <c r="E141" s="318">
        <f t="shared" si="38"/>
        <v>425</v>
      </c>
      <c r="F141" s="360" t="s">
        <v>787</v>
      </c>
      <c r="G141" s="318">
        <f t="shared" si="39"/>
        <v>390</v>
      </c>
      <c r="H141" s="368" t="s">
        <v>34</v>
      </c>
      <c r="I141" s="318" t="s">
        <v>26</v>
      </c>
      <c r="J141" s="318" t="s">
        <v>26</v>
      </c>
      <c r="K141" s="318" t="s">
        <v>35</v>
      </c>
      <c r="L141" s="26" t="s">
        <v>788</v>
      </c>
      <c r="M141" s="22" t="s">
        <v>26</v>
      </c>
      <c r="N141" s="21"/>
      <c r="O141" s="417"/>
      <c r="P141" s="417"/>
      <c r="Q141" s="417"/>
      <c r="R141" s="10"/>
      <c r="S141" s="282">
        <v>1</v>
      </c>
      <c r="T141" s="43"/>
      <c r="V141" s="51" t="s">
        <v>25</v>
      </c>
      <c r="W141" s="50"/>
      <c r="Z141" s="286">
        <v>11.934056282043461</v>
      </c>
      <c r="AA141" s="286">
        <f t="shared" si="41"/>
        <v>11.934056282043461</v>
      </c>
      <c r="AB141" s="43" t="str">
        <f t="shared" si="42"/>
        <v/>
      </c>
    </row>
    <row r="142" spans="1:28" s="49" customFormat="1" ht="204" customHeight="1" x14ac:dyDescent="0.2">
      <c r="A142" s="14">
        <f t="shared" si="40"/>
        <v>115</v>
      </c>
      <c r="B142" s="479" t="s">
        <v>789</v>
      </c>
      <c r="C142" s="312" t="s">
        <v>789</v>
      </c>
      <c r="D142" s="21" t="s">
        <v>790</v>
      </c>
      <c r="E142" s="318">
        <f t="shared" si="38"/>
        <v>360</v>
      </c>
      <c r="F142" s="360" t="s">
        <v>791</v>
      </c>
      <c r="G142" s="318">
        <f t="shared" si="39"/>
        <v>337</v>
      </c>
      <c r="H142" s="368" t="s">
        <v>34</v>
      </c>
      <c r="I142" s="318" t="s">
        <v>26</v>
      </c>
      <c r="J142" s="318" t="s">
        <v>26</v>
      </c>
      <c r="K142" s="318" t="s">
        <v>35</v>
      </c>
      <c r="L142" s="26" t="s">
        <v>792</v>
      </c>
      <c r="M142" s="22" t="s">
        <v>26</v>
      </c>
      <c r="N142" s="21"/>
      <c r="O142" s="21"/>
      <c r="P142" s="21"/>
      <c r="Q142" s="26"/>
      <c r="R142" s="10"/>
      <c r="S142" s="282">
        <v>1</v>
      </c>
      <c r="T142" s="43"/>
      <c r="V142" s="51" t="s">
        <v>25</v>
      </c>
      <c r="W142" s="50"/>
      <c r="Z142" s="286">
        <v>11.36098480224609</v>
      </c>
      <c r="AA142" s="286">
        <f t="shared" si="41"/>
        <v>11.36098480224609</v>
      </c>
      <c r="AB142" s="43" t="str">
        <f t="shared" si="42"/>
        <v/>
      </c>
    </row>
    <row r="143" spans="1:28" s="49" customFormat="1" ht="221" customHeight="1" x14ac:dyDescent="0.2">
      <c r="A143" s="14">
        <f t="shared" si="40"/>
        <v>116</v>
      </c>
      <c r="B143" s="479" t="s">
        <v>793</v>
      </c>
      <c r="C143" s="312" t="s">
        <v>793</v>
      </c>
      <c r="D143" s="21" t="s">
        <v>794</v>
      </c>
      <c r="E143" s="318">
        <f t="shared" si="38"/>
        <v>374</v>
      </c>
      <c r="F143" s="360" t="s">
        <v>795</v>
      </c>
      <c r="G143" s="318">
        <f t="shared" si="39"/>
        <v>360</v>
      </c>
      <c r="H143" s="368" t="s">
        <v>34</v>
      </c>
      <c r="I143" s="318" t="s">
        <v>26</v>
      </c>
      <c r="J143" s="318" t="s">
        <v>26</v>
      </c>
      <c r="K143" s="318" t="s">
        <v>35</v>
      </c>
      <c r="L143" s="26" t="s">
        <v>796</v>
      </c>
      <c r="M143" s="22" t="s">
        <v>26</v>
      </c>
      <c r="N143" s="28"/>
      <c r="O143" s="28"/>
      <c r="P143" s="374"/>
      <c r="Q143" s="442"/>
      <c r="R143" s="10"/>
      <c r="S143" s="282">
        <v>1</v>
      </c>
      <c r="T143" s="43"/>
      <c r="V143" s="51" t="s">
        <v>25</v>
      </c>
      <c r="W143" s="50"/>
      <c r="Z143" s="286">
        <v>12.7567195892334</v>
      </c>
      <c r="AA143" s="286">
        <f t="shared" si="41"/>
        <v>12.7567195892334</v>
      </c>
      <c r="AB143" s="43" t="str">
        <f t="shared" si="42"/>
        <v/>
      </c>
    </row>
    <row r="144" spans="1:28" s="49" customFormat="1" ht="221" customHeight="1" x14ac:dyDescent="0.2">
      <c r="A144" s="14">
        <f t="shared" si="40"/>
        <v>117</v>
      </c>
      <c r="B144" s="479" t="s">
        <v>797</v>
      </c>
      <c r="C144" s="312" t="s">
        <v>797</v>
      </c>
      <c r="D144" s="21" t="s">
        <v>798</v>
      </c>
      <c r="E144" s="318">
        <f t="shared" si="38"/>
        <v>421</v>
      </c>
      <c r="F144" s="360" t="s">
        <v>799</v>
      </c>
      <c r="G144" s="318">
        <f t="shared" si="39"/>
        <v>414</v>
      </c>
      <c r="H144" s="368" t="s">
        <v>34</v>
      </c>
      <c r="I144" s="318" t="s">
        <v>26</v>
      </c>
      <c r="J144" s="318" t="s">
        <v>26</v>
      </c>
      <c r="K144" s="318" t="s">
        <v>35</v>
      </c>
      <c r="L144" s="26" t="s">
        <v>800</v>
      </c>
      <c r="M144" s="22" t="s">
        <v>26</v>
      </c>
      <c r="N144" s="28"/>
      <c r="O144" s="28"/>
      <c r="P144" s="443"/>
      <c r="Q144" s="444"/>
      <c r="R144" s="10"/>
      <c r="S144" s="282">
        <v>1</v>
      </c>
      <c r="T144" s="43"/>
      <c r="V144" s="51" t="s">
        <v>25</v>
      </c>
      <c r="W144" s="50"/>
      <c r="Z144" s="286">
        <v>9.0232686996459961</v>
      </c>
      <c r="AA144" s="286">
        <f t="shared" si="41"/>
        <v>9.0232686996459961</v>
      </c>
      <c r="AB144" s="43" t="str">
        <f t="shared" si="42"/>
        <v/>
      </c>
    </row>
    <row r="145" spans="1:28" s="49" customFormat="1" ht="204" customHeight="1" x14ac:dyDescent="0.2">
      <c r="A145" s="14">
        <f t="shared" si="40"/>
        <v>118</v>
      </c>
      <c r="B145" s="479" t="s">
        <v>801</v>
      </c>
      <c r="C145" s="312" t="s">
        <v>801</v>
      </c>
      <c r="D145" s="21" t="s">
        <v>802</v>
      </c>
      <c r="E145" s="318">
        <f t="shared" si="38"/>
        <v>351</v>
      </c>
      <c r="F145" s="360" t="s">
        <v>803</v>
      </c>
      <c r="G145" s="318">
        <f t="shared" si="39"/>
        <v>331</v>
      </c>
      <c r="H145" s="368" t="s">
        <v>34</v>
      </c>
      <c r="I145" s="318" t="s">
        <v>26</v>
      </c>
      <c r="J145" s="318" t="s">
        <v>26</v>
      </c>
      <c r="K145" s="318" t="s">
        <v>35</v>
      </c>
      <c r="L145" s="26" t="s">
        <v>804</v>
      </c>
      <c r="M145" s="22" t="s">
        <v>26</v>
      </c>
      <c r="N145" s="28"/>
      <c r="O145" s="28"/>
      <c r="P145" s="443"/>
      <c r="Q145" s="444"/>
      <c r="R145" s="10"/>
      <c r="S145" s="282">
        <v>1</v>
      </c>
      <c r="T145" s="43"/>
      <c r="V145" s="51" t="s">
        <v>25</v>
      </c>
      <c r="W145" s="50"/>
      <c r="Z145" s="286">
        <v>9.0632390975952148</v>
      </c>
      <c r="AA145" s="286">
        <f t="shared" si="41"/>
        <v>9.0632390975952148</v>
      </c>
      <c r="AB145" s="43" t="str">
        <f t="shared" si="42"/>
        <v/>
      </c>
    </row>
    <row r="146" spans="1:28" s="49" customFormat="1" ht="204" customHeight="1" x14ac:dyDescent="0.2">
      <c r="A146" s="14">
        <f t="shared" si="40"/>
        <v>119</v>
      </c>
      <c r="B146" s="479" t="s">
        <v>805</v>
      </c>
      <c r="C146" s="312" t="s">
        <v>805</v>
      </c>
      <c r="D146" s="21" t="s">
        <v>806</v>
      </c>
      <c r="E146" s="318">
        <f t="shared" si="38"/>
        <v>334</v>
      </c>
      <c r="F146" s="360" t="s">
        <v>807</v>
      </c>
      <c r="G146" s="318">
        <f t="shared" si="39"/>
        <v>322</v>
      </c>
      <c r="H146" s="368" t="s">
        <v>34</v>
      </c>
      <c r="I146" s="318" t="s">
        <v>26</v>
      </c>
      <c r="J146" s="318" t="s">
        <v>26</v>
      </c>
      <c r="K146" s="318" t="s">
        <v>35</v>
      </c>
      <c r="L146" s="26" t="s">
        <v>808</v>
      </c>
      <c r="M146" s="22" t="s">
        <v>26</v>
      </c>
      <c r="N146" s="28"/>
      <c r="O146" s="28"/>
      <c r="P146" s="443"/>
      <c r="Q146" s="444"/>
      <c r="R146" s="10"/>
      <c r="S146" s="282">
        <v>1</v>
      </c>
      <c r="T146" s="43"/>
      <c r="V146" s="51" t="s">
        <v>25</v>
      </c>
      <c r="W146" s="50"/>
      <c r="Z146" s="286">
        <v>9.1058073043823242</v>
      </c>
      <c r="AA146" s="286">
        <f t="shared" si="41"/>
        <v>9.1058073043823242</v>
      </c>
      <c r="AB146" s="43" t="str">
        <f t="shared" si="42"/>
        <v/>
      </c>
    </row>
    <row r="147" spans="1:28" s="49" customFormat="1" ht="204" customHeight="1" x14ac:dyDescent="0.2">
      <c r="A147" s="14">
        <f t="shared" si="40"/>
        <v>120</v>
      </c>
      <c r="B147" s="479" t="s">
        <v>809</v>
      </c>
      <c r="C147" s="312" t="s">
        <v>809</v>
      </c>
      <c r="D147" s="21" t="s">
        <v>810</v>
      </c>
      <c r="E147" s="318">
        <f t="shared" si="38"/>
        <v>360</v>
      </c>
      <c r="F147" s="360" t="s">
        <v>811</v>
      </c>
      <c r="G147" s="318">
        <f t="shared" si="39"/>
        <v>335</v>
      </c>
      <c r="H147" s="368" t="s">
        <v>34</v>
      </c>
      <c r="I147" s="318" t="s">
        <v>26</v>
      </c>
      <c r="J147" s="318" t="s">
        <v>26</v>
      </c>
      <c r="K147" s="318" t="s">
        <v>35</v>
      </c>
      <c r="L147" s="26" t="s">
        <v>812</v>
      </c>
      <c r="M147" s="22" t="s">
        <v>26</v>
      </c>
      <c r="N147" s="28"/>
      <c r="O147" s="28"/>
      <c r="P147" s="443"/>
      <c r="Q147" s="444"/>
      <c r="R147" s="10"/>
      <c r="S147" s="282">
        <v>1</v>
      </c>
      <c r="T147" s="43"/>
      <c r="V147" s="51" t="s">
        <v>25</v>
      </c>
      <c r="W147" s="50"/>
      <c r="Y147" s="281"/>
      <c r="Z147" s="286">
        <v>6.2936897277832031</v>
      </c>
      <c r="AA147" s="286">
        <f t="shared" si="41"/>
        <v>6.2936897277832031</v>
      </c>
      <c r="AB147" s="43" t="str">
        <f t="shared" si="42"/>
        <v/>
      </c>
    </row>
    <row r="148" spans="1:28" s="49" customFormat="1" ht="409.5" customHeight="1" x14ac:dyDescent="0.2">
      <c r="A148" s="14">
        <f t="shared" si="40"/>
        <v>121</v>
      </c>
      <c r="B148" s="68" t="s">
        <v>813</v>
      </c>
      <c r="C148" s="48" t="s">
        <v>814</v>
      </c>
      <c r="D148" s="62" t="s">
        <v>815</v>
      </c>
      <c r="E148" s="54">
        <f t="shared" si="38"/>
        <v>1354</v>
      </c>
      <c r="F148" s="62" t="s">
        <v>816</v>
      </c>
      <c r="G148" s="54">
        <f t="shared" si="39"/>
        <v>1371</v>
      </c>
      <c r="H148" s="60" t="s">
        <v>300</v>
      </c>
      <c r="I148" s="54" t="s">
        <v>26</v>
      </c>
      <c r="J148" s="54" t="s">
        <v>26</v>
      </c>
      <c r="K148" s="54" t="s">
        <v>817</v>
      </c>
      <c r="L148" s="53" t="s">
        <v>818</v>
      </c>
      <c r="M148" s="91" t="s">
        <v>819</v>
      </c>
      <c r="N148" s="45"/>
      <c r="O148" s="45"/>
      <c r="P148" s="53" t="s">
        <v>820</v>
      </c>
      <c r="Q148" s="26"/>
      <c r="R148" s="59"/>
      <c r="S148" s="287">
        <v>1</v>
      </c>
      <c r="T148" s="43"/>
      <c r="V148" s="128" t="s">
        <v>127</v>
      </c>
      <c r="W148" s="50"/>
      <c r="Z148" s="285">
        <v>52.174358367919922</v>
      </c>
      <c r="AA148" s="285">
        <f t="shared" si="41"/>
        <v>52.174358367919922</v>
      </c>
      <c r="AB148" s="43">
        <f t="shared" si="42"/>
        <v>52.174358367919922</v>
      </c>
    </row>
    <row r="149" spans="1:28" s="49" customFormat="1" ht="182.25" customHeight="1" thickBot="1" x14ac:dyDescent="0.25">
      <c r="A149" s="14">
        <f t="shared" si="40"/>
        <v>122</v>
      </c>
      <c r="B149" s="106" t="s">
        <v>821</v>
      </c>
      <c r="C149" s="67" t="s">
        <v>821</v>
      </c>
      <c r="D149" s="480" t="s">
        <v>822</v>
      </c>
      <c r="E149" s="41">
        <f t="shared" si="38"/>
        <v>327</v>
      </c>
      <c r="F149" s="481" t="s">
        <v>823</v>
      </c>
      <c r="G149" s="41">
        <f t="shared" si="39"/>
        <v>326</v>
      </c>
      <c r="H149" s="482" t="s">
        <v>34</v>
      </c>
      <c r="I149" s="42" t="s">
        <v>26</v>
      </c>
      <c r="J149" s="42" t="s">
        <v>26</v>
      </c>
      <c r="K149" s="42" t="s">
        <v>35</v>
      </c>
      <c r="L149" s="58" t="s">
        <v>824</v>
      </c>
      <c r="M149" s="91" t="s">
        <v>26</v>
      </c>
      <c r="N149" s="58"/>
      <c r="O149" s="58"/>
      <c r="P149" s="58" t="s">
        <v>825</v>
      </c>
      <c r="Q149" s="243" t="s">
        <v>826</v>
      </c>
      <c r="R149" s="57"/>
      <c r="S149" s="287">
        <v>1</v>
      </c>
      <c r="T149" s="43"/>
      <c r="V149" s="128" t="s">
        <v>127</v>
      </c>
      <c r="W149" s="50"/>
      <c r="Z149" s="285">
        <v>1.2871023416519169</v>
      </c>
      <c r="AA149" s="285">
        <f t="shared" si="41"/>
        <v>1.2871023416519169</v>
      </c>
      <c r="AB149" s="43">
        <f t="shared" si="42"/>
        <v>1.2871023416519169</v>
      </c>
    </row>
    <row r="150" spans="1:28" s="127" customFormat="1" ht="17" customHeight="1" thickBot="1" x14ac:dyDescent="0.25">
      <c r="A150" s="603" t="s">
        <v>827</v>
      </c>
      <c r="B150" s="604"/>
      <c r="C150" s="604"/>
      <c r="D150" s="604"/>
      <c r="E150" s="604"/>
      <c r="F150" s="604"/>
      <c r="G150" s="604"/>
      <c r="H150" s="604"/>
      <c r="I150" s="604"/>
      <c r="J150" s="604"/>
      <c r="K150" s="604"/>
      <c r="L150" s="604"/>
      <c r="M150" s="604"/>
      <c r="N150" s="604"/>
      <c r="O150" s="604"/>
      <c r="P150" s="604"/>
      <c r="Q150" s="604"/>
      <c r="R150" s="605"/>
      <c r="S150" s="287"/>
      <c r="T150" s="129"/>
      <c r="V150" s="128"/>
      <c r="W150" s="130"/>
      <c r="Z150" s="285"/>
      <c r="AA150" s="285" t="str">
        <f t="shared" si="41"/>
        <v/>
      </c>
      <c r="AB150" s="129" t="str">
        <f t="shared" si="42"/>
        <v/>
      </c>
    </row>
    <row r="151" spans="1:28" s="104" customFormat="1" ht="187" customHeight="1" x14ac:dyDescent="0.2">
      <c r="A151" s="120">
        <f>A149+1</f>
        <v>123</v>
      </c>
      <c r="B151" s="105" t="s">
        <v>828</v>
      </c>
      <c r="C151" s="48" t="s">
        <v>828</v>
      </c>
      <c r="D151" s="47" t="s">
        <v>829</v>
      </c>
      <c r="E151" s="46">
        <f>LEN(D151)</f>
        <v>222</v>
      </c>
      <c r="F151" s="215" t="s">
        <v>830</v>
      </c>
      <c r="G151" s="46">
        <f>LEN(F151)</f>
        <v>241</v>
      </c>
      <c r="H151" s="56" t="s">
        <v>34</v>
      </c>
      <c r="I151" s="46" t="s">
        <v>26</v>
      </c>
      <c r="J151" s="54" t="s">
        <v>26</v>
      </c>
      <c r="K151" s="54" t="s">
        <v>35</v>
      </c>
      <c r="L151" s="45" t="s">
        <v>831</v>
      </c>
      <c r="M151" s="91" t="s">
        <v>26</v>
      </c>
      <c r="N151" s="45"/>
      <c r="O151" s="45"/>
      <c r="P151" s="45" t="s">
        <v>832</v>
      </c>
      <c r="Q151" s="233" t="s">
        <v>833</v>
      </c>
      <c r="R151" s="9"/>
      <c r="S151" s="287">
        <v>1</v>
      </c>
      <c r="T151" s="44"/>
      <c r="V151" s="131" t="s">
        <v>127</v>
      </c>
      <c r="W151" s="98"/>
      <c r="Z151" s="291">
        <v>14.47277355194092</v>
      </c>
      <c r="AA151" s="285">
        <f t="shared" si="41"/>
        <v>14.47277355194092</v>
      </c>
      <c r="AB151" s="43">
        <f t="shared" si="42"/>
        <v>14.47277355194092</v>
      </c>
    </row>
    <row r="152" spans="1:28" s="49" customFormat="1" ht="409.5" customHeight="1" x14ac:dyDescent="0.2">
      <c r="A152" s="14">
        <f>A151+1</f>
        <v>124</v>
      </c>
      <c r="B152" s="105" t="s">
        <v>834</v>
      </c>
      <c r="C152" s="48" t="s">
        <v>835</v>
      </c>
      <c r="D152" s="126" t="s">
        <v>836</v>
      </c>
      <c r="E152" s="54">
        <f>LEN(D152)</f>
        <v>866</v>
      </c>
      <c r="F152" s="215" t="s">
        <v>837</v>
      </c>
      <c r="G152" s="54">
        <f>LEN(F152)</f>
        <v>979</v>
      </c>
      <c r="H152" s="55" t="s">
        <v>368</v>
      </c>
      <c r="I152" s="54" t="s">
        <v>26</v>
      </c>
      <c r="J152" s="54" t="s">
        <v>26</v>
      </c>
      <c r="K152" s="54" t="s">
        <v>838</v>
      </c>
      <c r="L152" s="53" t="s">
        <v>839</v>
      </c>
      <c r="M152" s="91" t="s">
        <v>840</v>
      </c>
      <c r="N152" s="45"/>
      <c r="O152" s="45"/>
      <c r="P152" s="236" t="s">
        <v>841</v>
      </c>
      <c r="Q152" s="65"/>
      <c r="R152" s="10"/>
      <c r="S152" s="287">
        <v>1</v>
      </c>
      <c r="T152" s="43"/>
      <c r="V152" s="128" t="s">
        <v>127</v>
      </c>
      <c r="W152" s="50"/>
      <c r="Z152" s="285">
        <v>33.740764617919922</v>
      </c>
      <c r="AA152" s="285">
        <f t="shared" si="41"/>
        <v>33.740764617919922</v>
      </c>
      <c r="AB152" s="43">
        <f t="shared" si="42"/>
        <v>33.740764617919922</v>
      </c>
    </row>
    <row r="153" spans="1:28" s="49" customFormat="1" ht="409.5" customHeight="1" x14ac:dyDescent="0.2">
      <c r="A153" s="14">
        <f>A152+1</f>
        <v>125</v>
      </c>
      <c r="B153" s="68" t="s">
        <v>842</v>
      </c>
      <c r="C153" s="55" t="s">
        <v>843</v>
      </c>
      <c r="D153" s="126" t="s">
        <v>844</v>
      </c>
      <c r="E153" s="41">
        <f>LEN(D153)</f>
        <v>580</v>
      </c>
      <c r="F153" s="215" t="s">
        <v>845</v>
      </c>
      <c r="G153" s="41">
        <f>LEN(F153)</f>
        <v>530</v>
      </c>
      <c r="H153" s="483" t="s">
        <v>368</v>
      </c>
      <c r="I153" s="41" t="s">
        <v>26</v>
      </c>
      <c r="J153" s="41" t="s">
        <v>26</v>
      </c>
      <c r="K153" s="41" t="s">
        <v>846</v>
      </c>
      <c r="L153" s="125" t="s">
        <v>847</v>
      </c>
      <c r="M153" s="91" t="s">
        <v>848</v>
      </c>
      <c r="N153" s="63"/>
      <c r="O153" s="63"/>
      <c r="P153" s="125" t="s">
        <v>849</v>
      </c>
      <c r="Q153" s="417"/>
      <c r="R153" s="10"/>
      <c r="S153" s="282">
        <v>1</v>
      </c>
      <c r="T153" s="43"/>
      <c r="V153" s="128" t="s">
        <v>127</v>
      </c>
      <c r="W153" s="50"/>
      <c r="Z153" s="285">
        <v>14.55059909820557</v>
      </c>
      <c r="AA153" s="285">
        <f t="shared" si="41"/>
        <v>14.55059909820557</v>
      </c>
      <c r="AB153" s="43">
        <f t="shared" si="42"/>
        <v>14.55059909820557</v>
      </c>
    </row>
    <row r="154" spans="1:28" s="49" customFormat="1" ht="255" customHeight="1" x14ac:dyDescent="0.2">
      <c r="A154" s="14">
        <f>A153+1</f>
        <v>126</v>
      </c>
      <c r="B154" s="473" t="s">
        <v>850</v>
      </c>
      <c r="C154" s="474" t="s">
        <v>850</v>
      </c>
      <c r="D154" s="126" t="s">
        <v>851</v>
      </c>
      <c r="E154" s="41">
        <f>LEN(D154)</f>
        <v>460</v>
      </c>
      <c r="F154" s="242" t="s">
        <v>852</v>
      </c>
      <c r="G154" s="41">
        <f>LEN(F154)</f>
        <v>384</v>
      </c>
      <c r="H154" s="483" t="s">
        <v>34</v>
      </c>
      <c r="I154" s="41" t="s">
        <v>26</v>
      </c>
      <c r="J154" s="41" t="s">
        <v>26</v>
      </c>
      <c r="K154" s="41" t="s">
        <v>35</v>
      </c>
      <c r="L154" s="125" t="s">
        <v>853</v>
      </c>
      <c r="M154" s="91" t="s">
        <v>26</v>
      </c>
      <c r="N154" s="63"/>
      <c r="O154" s="63"/>
      <c r="P154" s="53" t="s">
        <v>854</v>
      </c>
      <c r="Q154" s="237" t="s">
        <v>855</v>
      </c>
      <c r="R154" s="10"/>
      <c r="S154" s="282">
        <v>1</v>
      </c>
      <c r="T154" s="43"/>
      <c r="V154" s="128" t="s">
        <v>127</v>
      </c>
      <c r="W154" s="50"/>
      <c r="Z154" s="285">
        <v>10.812456130981451</v>
      </c>
      <c r="AA154" s="285">
        <f t="shared" si="41"/>
        <v>10.812456130981451</v>
      </c>
      <c r="AB154" s="43">
        <f t="shared" si="42"/>
        <v>10.812456130981451</v>
      </c>
    </row>
    <row r="155" spans="1:28" s="49" customFormat="1" ht="205" customHeight="1" thickBot="1" x14ac:dyDescent="0.25">
      <c r="A155" s="14">
        <f>A154+1</f>
        <v>127</v>
      </c>
      <c r="B155" s="450" t="s">
        <v>856</v>
      </c>
      <c r="C155" s="484" t="s">
        <v>857</v>
      </c>
      <c r="D155" s="485" t="s">
        <v>858</v>
      </c>
      <c r="E155" s="349">
        <f>LEN(D155)</f>
        <v>217</v>
      </c>
      <c r="F155" s="360" t="s">
        <v>859</v>
      </c>
      <c r="G155" s="349">
        <f>LEN(F155)</f>
        <v>293</v>
      </c>
      <c r="H155" s="320" t="s">
        <v>300</v>
      </c>
      <c r="I155" s="318" t="s">
        <v>26</v>
      </c>
      <c r="J155" s="318" t="s">
        <v>26</v>
      </c>
      <c r="K155" s="318" t="s">
        <v>617</v>
      </c>
      <c r="L155" s="21" t="s">
        <v>860</v>
      </c>
      <c r="M155" s="22" t="s">
        <v>861</v>
      </c>
      <c r="N155" s="28"/>
      <c r="O155" s="28"/>
      <c r="P155" s="26" t="s">
        <v>862</v>
      </c>
      <c r="Q155" s="417" t="s">
        <v>860</v>
      </c>
      <c r="R155" s="20"/>
      <c r="S155" s="282">
        <v>1</v>
      </c>
      <c r="T155" s="43"/>
      <c r="V155" s="51" t="s">
        <v>25</v>
      </c>
      <c r="W155" s="50"/>
      <c r="Z155" s="286">
        <v>10.812456130981451</v>
      </c>
      <c r="AA155" s="286">
        <f t="shared" si="41"/>
        <v>10.812456130981451</v>
      </c>
      <c r="AB155" s="43" t="str">
        <f t="shared" si="42"/>
        <v/>
      </c>
    </row>
    <row r="156" spans="1:28" s="127" customFormat="1" ht="17" customHeight="1" thickBot="1" x14ac:dyDescent="0.25">
      <c r="A156" s="603" t="s">
        <v>863</v>
      </c>
      <c r="B156" s="604"/>
      <c r="C156" s="604"/>
      <c r="D156" s="604"/>
      <c r="E156" s="604"/>
      <c r="F156" s="604"/>
      <c r="G156" s="604"/>
      <c r="H156" s="604"/>
      <c r="I156" s="604"/>
      <c r="J156" s="604"/>
      <c r="K156" s="604"/>
      <c r="L156" s="604"/>
      <c r="M156" s="604"/>
      <c r="N156" s="604"/>
      <c r="O156" s="604"/>
      <c r="P156" s="604"/>
      <c r="Q156" s="604"/>
      <c r="R156" s="605"/>
      <c r="S156" s="287"/>
      <c r="T156" s="129"/>
      <c r="V156" s="128"/>
      <c r="W156" s="130"/>
      <c r="Z156" s="285"/>
      <c r="AA156" s="285" t="str">
        <f t="shared" si="41"/>
        <v/>
      </c>
      <c r="AB156" s="129" t="str">
        <f t="shared" si="42"/>
        <v/>
      </c>
    </row>
    <row r="157" spans="1:28" s="49" customFormat="1" ht="153.75" customHeight="1" x14ac:dyDescent="0.2">
      <c r="A157" s="32">
        <f>A155+1</f>
        <v>128</v>
      </c>
      <c r="B157" s="105" t="s">
        <v>864</v>
      </c>
      <c r="C157" s="48" t="s">
        <v>864</v>
      </c>
      <c r="D157" s="47" t="s">
        <v>865</v>
      </c>
      <c r="E157" s="46">
        <f>LEN(D157)</f>
        <v>162</v>
      </c>
      <c r="F157" s="461" t="s">
        <v>866</v>
      </c>
      <c r="G157" s="46">
        <f>LEN(F157)</f>
        <v>145</v>
      </c>
      <c r="H157" s="46" t="s">
        <v>34</v>
      </c>
      <c r="I157" s="46" t="s">
        <v>26</v>
      </c>
      <c r="J157" s="46" t="s">
        <v>26</v>
      </c>
      <c r="K157" s="46" t="s">
        <v>35</v>
      </c>
      <c r="L157" s="45" t="s">
        <v>867</v>
      </c>
      <c r="M157" s="91" t="s">
        <v>26</v>
      </c>
      <c r="N157" s="45"/>
      <c r="O157" s="45"/>
      <c r="P157" s="45" t="s">
        <v>868</v>
      </c>
      <c r="Q157" s="28"/>
      <c r="R157" s="9"/>
      <c r="S157" s="287">
        <v>1</v>
      </c>
      <c r="T157" s="43"/>
      <c r="V157" s="128" t="s">
        <v>127</v>
      </c>
      <c r="W157" s="50"/>
      <c r="Z157" s="285">
        <v>14.946464538574221</v>
      </c>
      <c r="AA157" s="285">
        <f t="shared" si="41"/>
        <v>14.946464538574221</v>
      </c>
      <c r="AB157" s="43">
        <f t="shared" si="42"/>
        <v>14.946464538574221</v>
      </c>
    </row>
    <row r="158" spans="1:28" s="296" customFormat="1" ht="187" customHeight="1" x14ac:dyDescent="0.2">
      <c r="A158" s="118">
        <f>A157+1</f>
        <v>129</v>
      </c>
      <c r="B158" s="486" t="s">
        <v>869</v>
      </c>
      <c r="C158" s="55" t="s">
        <v>870</v>
      </c>
      <c r="D158" s="487" t="s">
        <v>871</v>
      </c>
      <c r="E158" s="46">
        <f>LEN(D158)</f>
        <v>166</v>
      </c>
      <c r="F158" s="488" t="s">
        <v>872</v>
      </c>
      <c r="G158" s="46">
        <f>LEN(F158)</f>
        <v>178</v>
      </c>
      <c r="H158" s="46" t="s">
        <v>300</v>
      </c>
      <c r="I158" s="46" t="s">
        <v>26</v>
      </c>
      <c r="J158" s="46" t="s">
        <v>26</v>
      </c>
      <c r="K158" s="46" t="s">
        <v>817</v>
      </c>
      <c r="L158" s="53" t="s">
        <v>873</v>
      </c>
      <c r="M158" s="324" t="s">
        <v>874</v>
      </c>
      <c r="N158" s="325"/>
      <c r="O158" s="325"/>
      <c r="P158" s="326" t="s">
        <v>875</v>
      </c>
      <c r="Q158" s="292"/>
      <c r="R158" s="293"/>
      <c r="S158" s="294">
        <v>1</v>
      </c>
      <c r="T158" s="295"/>
      <c r="V158" s="297" t="s">
        <v>876</v>
      </c>
      <c r="Z158" s="298">
        <v>19.354913711547852</v>
      </c>
      <c r="AA158" s="285">
        <f t="shared" si="41"/>
        <v>19.354913711547852</v>
      </c>
      <c r="AB158" s="43" t="str">
        <f t="shared" si="42"/>
        <v/>
      </c>
    </row>
    <row r="159" spans="1:28" s="296" customFormat="1" ht="120" customHeight="1" thickBot="1" x14ac:dyDescent="0.25">
      <c r="A159" s="118">
        <f>A158+1</f>
        <v>130</v>
      </c>
      <c r="B159" s="486" t="s">
        <v>877</v>
      </c>
      <c r="C159" s="55" t="s">
        <v>878</v>
      </c>
      <c r="D159" s="487" t="s">
        <v>879</v>
      </c>
      <c r="E159" s="46">
        <f>LEN(D159)</f>
        <v>130</v>
      </c>
      <c r="F159" s="488" t="s">
        <v>880</v>
      </c>
      <c r="G159" s="46">
        <f>LEN(F159)</f>
        <v>139</v>
      </c>
      <c r="H159" s="46" t="s">
        <v>300</v>
      </c>
      <c r="I159" s="46" t="s">
        <v>26</v>
      </c>
      <c r="J159" s="46" t="s">
        <v>26</v>
      </c>
      <c r="K159" s="46" t="s">
        <v>817</v>
      </c>
      <c r="L159" s="53" t="s">
        <v>881</v>
      </c>
      <c r="M159" s="324" t="s">
        <v>882</v>
      </c>
      <c r="N159" s="325"/>
      <c r="O159" s="325"/>
      <c r="P159" s="326" t="s">
        <v>883</v>
      </c>
      <c r="Q159" s="292"/>
      <c r="R159" s="293"/>
      <c r="S159" s="294">
        <v>1</v>
      </c>
      <c r="T159" s="295"/>
      <c r="V159" s="297" t="s">
        <v>876</v>
      </c>
      <c r="Z159" s="298">
        <v>15.88939952850342</v>
      </c>
      <c r="AA159" s="285">
        <f t="shared" si="41"/>
        <v>15.88939952850342</v>
      </c>
      <c r="AB159" s="43" t="str">
        <f t="shared" si="42"/>
        <v/>
      </c>
    </row>
    <row r="160" spans="1:28" s="49" customFormat="1" ht="18" customHeight="1" thickBot="1" x14ac:dyDescent="0.25">
      <c r="A160" s="119" t="s">
        <v>26</v>
      </c>
      <c r="B160" s="103" t="s">
        <v>884</v>
      </c>
      <c r="C160" s="40" t="s">
        <v>884</v>
      </c>
      <c r="D160" s="39" t="s">
        <v>885</v>
      </c>
      <c r="E160" s="38">
        <f>LEN(D160)</f>
        <v>58</v>
      </c>
      <c r="F160" s="217" t="s">
        <v>886</v>
      </c>
      <c r="G160" s="38">
        <f>LEN(F160)</f>
        <v>34</v>
      </c>
      <c r="H160" s="38" t="s">
        <v>26</v>
      </c>
      <c r="I160" s="38" t="s">
        <v>26</v>
      </c>
      <c r="J160" s="38" t="s">
        <v>26</v>
      </c>
      <c r="K160" s="38" t="s">
        <v>26</v>
      </c>
      <c r="L160" s="37" t="s">
        <v>26</v>
      </c>
      <c r="M160" s="37"/>
      <c r="N160" s="37"/>
      <c r="O160" s="37"/>
      <c r="P160" s="36" t="s">
        <v>26</v>
      </c>
      <c r="Q160" s="30"/>
      <c r="R160" s="31"/>
      <c r="S160" s="287">
        <v>1</v>
      </c>
      <c r="T160" s="50"/>
      <c r="V160" s="51" t="s">
        <v>25</v>
      </c>
      <c r="W160" s="50"/>
      <c r="Z160" s="299"/>
      <c r="AA160" s="285" t="str">
        <f t="shared" si="41"/>
        <v/>
      </c>
      <c r="AB160" s="43" t="str">
        <f t="shared" si="42"/>
        <v/>
      </c>
    </row>
    <row r="161" spans="4:28" x14ac:dyDescent="0.2">
      <c r="Z161" s="301"/>
    </row>
    <row r="162" spans="4:28" ht="17" customHeight="1" thickBot="1" x14ac:dyDescent="0.25"/>
    <row r="163" spans="4:28" ht="18" customHeight="1" thickBot="1" x14ac:dyDescent="0.25">
      <c r="D163" s="102" t="s">
        <v>887</v>
      </c>
      <c r="E163" s="101"/>
      <c r="F163" s="102"/>
      <c r="G163" s="101"/>
      <c r="H163" s="101"/>
      <c r="I163" s="101"/>
      <c r="J163" s="101"/>
      <c r="K163" s="101"/>
      <c r="L163" s="101"/>
      <c r="M163" s="101"/>
      <c r="N163" s="278"/>
      <c r="O163" s="278"/>
      <c r="P163" s="101"/>
      <c r="Q163" s="101"/>
      <c r="R163" s="101"/>
      <c r="S163" s="303"/>
      <c r="Z163" s="304"/>
      <c r="AA163" s="305">
        <f>(SUM(AA5:AA161))/60</f>
        <v>21.539805866771768</v>
      </c>
      <c r="AB163" s="133">
        <f>SUM(AB2:AB160)/60</f>
        <v>14.900558090899223</v>
      </c>
    </row>
  </sheetData>
  <mergeCells count="18">
    <mergeCell ref="A150:R150"/>
    <mergeCell ref="A156:R156"/>
    <mergeCell ref="A76:R76"/>
    <mergeCell ref="A97:R97"/>
    <mergeCell ref="A104:R104"/>
    <mergeCell ref="A117:R117"/>
    <mergeCell ref="A123:R123"/>
    <mergeCell ref="A51:R51"/>
    <mergeCell ref="R53:R54"/>
    <mergeCell ref="R59:R60"/>
    <mergeCell ref="A67:R67"/>
    <mergeCell ref="P25:P31"/>
    <mergeCell ref="A40:R40"/>
    <mergeCell ref="A1:R1"/>
    <mergeCell ref="A2:Q2"/>
    <mergeCell ref="R2:R3"/>
    <mergeCell ref="A4:R4"/>
    <mergeCell ref="A19:R19"/>
  </mergeCells>
  <conditionalFormatting sqref="B13:B17">
    <cfRule type="duplicateValues" dxfId="107" priority="844"/>
  </conditionalFormatting>
  <conditionalFormatting sqref="B18">
    <cfRule type="duplicateValues" dxfId="106" priority="843"/>
  </conditionalFormatting>
  <conditionalFormatting sqref="B25:B36">
    <cfRule type="duplicateValues" dxfId="105" priority="1397"/>
  </conditionalFormatting>
  <conditionalFormatting sqref="B37">
    <cfRule type="duplicateValues" dxfId="104" priority="453"/>
  </conditionalFormatting>
  <conditionalFormatting sqref="B54">
    <cfRule type="duplicateValues" dxfId="103" priority="1291"/>
  </conditionalFormatting>
  <conditionalFormatting sqref="B55">
    <cfRule type="duplicateValues" dxfId="102" priority="479"/>
  </conditionalFormatting>
  <conditionalFormatting sqref="B56">
    <cfRule type="duplicateValues" dxfId="101" priority="481"/>
  </conditionalFormatting>
  <conditionalFormatting sqref="B59">
    <cfRule type="duplicateValues" dxfId="100" priority="808"/>
  </conditionalFormatting>
  <conditionalFormatting sqref="B60">
    <cfRule type="duplicateValues" dxfId="99" priority="1255"/>
  </conditionalFormatting>
  <conditionalFormatting sqref="B61:B65">
    <cfRule type="duplicateValues" dxfId="98" priority="1"/>
  </conditionalFormatting>
  <conditionalFormatting sqref="B68:B75">
    <cfRule type="duplicateValues" dxfId="97" priority="34"/>
  </conditionalFormatting>
  <conditionalFormatting sqref="B86:B87">
    <cfRule type="duplicateValues" dxfId="96" priority="1343"/>
  </conditionalFormatting>
  <conditionalFormatting sqref="B93">
    <cfRule type="duplicateValues" dxfId="95" priority="847"/>
  </conditionalFormatting>
  <conditionalFormatting sqref="B94:B95">
    <cfRule type="duplicateValues" dxfId="94" priority="29"/>
  </conditionalFormatting>
  <conditionalFormatting sqref="B96">
    <cfRule type="duplicateValues" dxfId="93" priority="805"/>
  </conditionalFormatting>
  <conditionalFormatting sqref="B98">
    <cfRule type="duplicateValues" dxfId="92" priority="1370"/>
  </conditionalFormatting>
  <conditionalFormatting sqref="B101">
    <cfRule type="duplicateValues" dxfId="91" priority="22"/>
  </conditionalFormatting>
  <conditionalFormatting sqref="B102">
    <cfRule type="duplicateValues" dxfId="90" priority="698"/>
  </conditionalFormatting>
  <conditionalFormatting sqref="B110">
    <cfRule type="duplicateValues" dxfId="89" priority="848"/>
  </conditionalFormatting>
  <conditionalFormatting sqref="B112">
    <cfRule type="duplicateValues" dxfId="88" priority="845"/>
    <cfRule type="duplicateValues" dxfId="87" priority="846"/>
  </conditionalFormatting>
  <conditionalFormatting sqref="B113:B115">
    <cfRule type="duplicateValues" dxfId="86" priority="21"/>
    <cfRule type="duplicateValues" dxfId="85" priority="19"/>
    <cfRule type="duplicateValues" dxfId="84" priority="20"/>
  </conditionalFormatting>
  <conditionalFormatting sqref="B116">
    <cfRule type="duplicateValues" dxfId="83" priority="851"/>
  </conditionalFormatting>
  <conditionalFormatting sqref="B120">
    <cfRule type="duplicateValues" dxfId="82" priority="1371"/>
  </conditionalFormatting>
  <conditionalFormatting sqref="B121">
    <cfRule type="duplicateValues" dxfId="81" priority="3"/>
  </conditionalFormatting>
  <conditionalFormatting sqref="B130">
    <cfRule type="duplicateValues" dxfId="80" priority="828"/>
  </conditionalFormatting>
  <conditionalFormatting sqref="B131">
    <cfRule type="duplicateValues" dxfId="79" priority="826"/>
  </conditionalFormatting>
  <conditionalFormatting sqref="B133">
    <cfRule type="duplicateValues" dxfId="78" priority="824"/>
  </conditionalFormatting>
  <conditionalFormatting sqref="B135">
    <cfRule type="duplicateValues" dxfId="77" priority="822"/>
  </conditionalFormatting>
  <conditionalFormatting sqref="B149">
    <cfRule type="duplicateValues" dxfId="76" priority="820"/>
  </conditionalFormatting>
  <conditionalFormatting sqref="B160:B1048576 B157 B151:B153 B132 B99:B100 B103 B2:B3 B118:B119 B92 B106:B109 B111:B112 B122 B124:B129 B134 B136 B23:B24 B148 B66 B80:B81 B42:B50 B52:B53 B38:B39 B57:B58 B5:B18">
    <cfRule type="duplicateValues" dxfId="75" priority="1254"/>
  </conditionalFormatting>
  <conditionalFormatting sqref="C39">
    <cfRule type="duplicateValues" dxfId="74" priority="1341"/>
  </conditionalFormatting>
  <conditionalFormatting sqref="C49">
    <cfRule type="duplicateValues" dxfId="73" priority="1134"/>
  </conditionalFormatting>
  <conditionalFormatting sqref="C50">
    <cfRule type="duplicateValues" dxfId="72" priority="1135"/>
  </conditionalFormatting>
  <conditionalFormatting sqref="C54">
    <cfRule type="duplicateValues" dxfId="71" priority="1316"/>
  </conditionalFormatting>
  <conditionalFormatting sqref="C55">
    <cfRule type="duplicateValues" dxfId="70" priority="1168"/>
  </conditionalFormatting>
  <conditionalFormatting sqref="C56">
    <cfRule type="duplicateValues" dxfId="69" priority="1167"/>
  </conditionalFormatting>
  <conditionalFormatting sqref="C60">
    <cfRule type="duplicateValues" dxfId="68" priority="1288"/>
  </conditionalFormatting>
  <conditionalFormatting sqref="C61:C65">
    <cfRule type="duplicateValues" dxfId="67" priority="2"/>
  </conditionalFormatting>
  <conditionalFormatting sqref="C68:C75">
    <cfRule type="duplicateValues" dxfId="66" priority="33"/>
  </conditionalFormatting>
  <conditionalFormatting sqref="C86:C87">
    <cfRule type="duplicateValues" dxfId="65" priority="1369"/>
  </conditionalFormatting>
  <conditionalFormatting sqref="C95">
    <cfRule type="duplicateValues" dxfId="64" priority="28"/>
    <cfRule type="duplicateValues" dxfId="63" priority="26"/>
    <cfRule type="duplicateValues" dxfId="62" priority="27"/>
  </conditionalFormatting>
  <conditionalFormatting sqref="C96">
    <cfRule type="duplicateValues" dxfId="61" priority="1138"/>
  </conditionalFormatting>
  <conditionalFormatting sqref="C98">
    <cfRule type="duplicateValues" dxfId="60" priority="1158"/>
  </conditionalFormatting>
  <conditionalFormatting sqref="C113">
    <cfRule type="duplicateValues" dxfId="59" priority="17"/>
    <cfRule type="duplicateValues" dxfId="58" priority="18"/>
    <cfRule type="duplicateValues" dxfId="57" priority="16"/>
  </conditionalFormatting>
  <conditionalFormatting sqref="C114">
    <cfRule type="duplicateValues" dxfId="56" priority="13"/>
    <cfRule type="duplicateValues" dxfId="55" priority="15"/>
    <cfRule type="duplicateValues" dxfId="54" priority="14"/>
  </conditionalFormatting>
  <conditionalFormatting sqref="C115">
    <cfRule type="duplicateValues" dxfId="53" priority="10"/>
    <cfRule type="duplicateValues" dxfId="52" priority="11"/>
    <cfRule type="duplicateValues" dxfId="51" priority="12"/>
  </conditionalFormatting>
  <conditionalFormatting sqref="C116">
    <cfRule type="duplicateValues" dxfId="50" priority="1142"/>
  </conditionalFormatting>
  <conditionalFormatting sqref="C124">
    <cfRule type="duplicateValues" dxfId="49" priority="246"/>
  </conditionalFormatting>
  <conditionalFormatting sqref="C130">
    <cfRule type="duplicateValues" dxfId="48" priority="1129"/>
  </conditionalFormatting>
  <conditionalFormatting sqref="C131">
    <cfRule type="duplicateValues" dxfId="47" priority="1130"/>
  </conditionalFormatting>
  <conditionalFormatting sqref="C133">
    <cfRule type="duplicateValues" dxfId="46" priority="1131"/>
  </conditionalFormatting>
  <conditionalFormatting sqref="C135">
    <cfRule type="duplicateValues" dxfId="45" priority="1132"/>
  </conditionalFormatting>
  <conditionalFormatting sqref="C149">
    <cfRule type="duplicateValues" dxfId="44" priority="1133"/>
  </conditionalFormatting>
  <conditionalFormatting sqref="D42">
    <cfRule type="cellIs" dxfId="43" priority="814" operator="notEqual">
      <formula>$D$42</formula>
    </cfRule>
  </conditionalFormatting>
  <conditionalFormatting sqref="D158:D159">
    <cfRule type="expression" dxfId="42" priority="181" stopIfTrue="1">
      <formula>$A158="begin repeat"</formula>
    </cfRule>
    <cfRule type="expression" dxfId="41" priority="169" stopIfTrue="1">
      <formula>$A158="geopoint"</formula>
    </cfRule>
    <cfRule type="expression" dxfId="40" priority="157" stopIfTrue="1">
      <formula>OR($A158="audio", $A158="video")</formula>
    </cfRule>
    <cfRule type="expression" dxfId="39" priority="185" stopIfTrue="1">
      <formula>$A158="begin group"</formula>
    </cfRule>
    <cfRule type="expression" dxfId="38" priority="158" stopIfTrue="1">
      <formula>OR($A158="audio", $A158="video")</formula>
    </cfRule>
    <cfRule type="expression" dxfId="37" priority="184" stopIfTrue="1">
      <formula>$A158="begin group"</formula>
    </cfRule>
    <cfRule type="expression" dxfId="36" priority="183" stopIfTrue="1">
      <formula>$A158="end group"</formula>
    </cfRule>
    <cfRule type="expression" dxfId="35" priority="182" stopIfTrue="1">
      <formula>$A158="begin repeat"</formula>
    </cfRule>
    <cfRule type="expression" dxfId="34" priority="159" stopIfTrue="1">
      <formula>$A158="image"</formula>
    </cfRule>
    <cfRule type="expression" dxfId="33" priority="180" stopIfTrue="1">
      <formula>$A158="end repeat"</formula>
    </cfRule>
    <cfRule type="expression" dxfId="32" priority="179" stopIfTrue="1">
      <formula>$A158="text"</formula>
    </cfRule>
    <cfRule type="expression" dxfId="31" priority="160" stopIfTrue="1">
      <formula>$A158="image"</formula>
    </cfRule>
    <cfRule type="expression" dxfId="30" priority="161" stopIfTrue="1">
      <formula>OR($A158="date", $A158="datetime")</formula>
    </cfRule>
    <cfRule type="expression" dxfId="29" priority="178" stopIfTrue="1">
      <formula>$A158="text"</formula>
    </cfRule>
    <cfRule type="expression" dxfId="28" priority="177" stopIfTrue="1">
      <formula>$A158="integer"</formula>
    </cfRule>
    <cfRule type="expression" dxfId="27" priority="175" stopIfTrue="1">
      <formula>$A158="decimal"</formula>
    </cfRule>
    <cfRule type="expression" dxfId="26" priority="174" stopIfTrue="1">
      <formula>$A158="decimal"</formula>
    </cfRule>
    <cfRule type="expression" dxfId="25" priority="173" stopIfTrue="1">
      <formula>OR(AND(LEFT($A158, 16)="select_multiple ", LEN($A158)&gt;16, NOT(ISNUMBER(SEARCH(" ", $A158, 17)))), AND(LEFT($A158, 11)="select_one ", LEN($A158)&gt;11, NOT(ISNUMBER(SEARCH(" ", $A158, 12)))))</formula>
    </cfRule>
    <cfRule type="expression" dxfId="24" priority="172" stopIfTrue="1">
      <formula>OR(AND(LEFT($A158, 16)="select_multiple ", LEN($A158)&gt;16, NOT(ISNUMBER(SEARCH(" ", $A158, 17)))), AND(LEFT($A158, 11)="select_one ", LEN($A158)&gt;11, NOT(ISNUMBER(SEARCH(" ", $A158, 12)))))</formula>
    </cfRule>
    <cfRule type="expression" dxfId="23" priority="171" stopIfTrue="1">
      <formula>OR($A158="username", $A158="phonenumber", $A158="start", $A158="end", $A158="deviceid", $A158="subscriberid", $A158="simserial")</formula>
    </cfRule>
    <cfRule type="expression" dxfId="22" priority="170" stopIfTrue="1">
      <formula>OR($A158="audio audit", $A158="text audit")</formula>
    </cfRule>
    <cfRule type="expression" dxfId="21" priority="176" stopIfTrue="1">
      <formula>$A158="integer"</formula>
    </cfRule>
    <cfRule type="expression" dxfId="20" priority="168" stopIfTrue="1">
      <formula>$A158="geopoint"</formula>
    </cfRule>
    <cfRule type="expression" dxfId="19" priority="167" stopIfTrue="1">
      <formula>$A158="barcode"</formula>
    </cfRule>
    <cfRule type="expression" dxfId="18" priority="166" stopIfTrue="1">
      <formula>$A158="barcode"</formula>
    </cfRule>
    <cfRule type="expression" dxfId="17" priority="165" stopIfTrue="1">
      <formula>$A158="note"</formula>
    </cfRule>
    <cfRule type="expression" dxfId="16" priority="164" stopIfTrue="1">
      <formula>$A158="note"</formula>
    </cfRule>
    <cfRule type="expression" dxfId="15" priority="163" stopIfTrue="1">
      <formula>OR($A158="calculate", $A158="calculate_here")</formula>
    </cfRule>
    <cfRule type="expression" dxfId="14" priority="162" stopIfTrue="1">
      <formula>OR($A158="date", $A158="datetime")</formula>
    </cfRule>
  </conditionalFormatting>
  <conditionalFormatting sqref="M69:M70">
    <cfRule type="duplicateValues" dxfId="13" priority="32"/>
  </conditionalFormatting>
  <conditionalFormatting sqref="M72">
    <cfRule type="duplicateValues" dxfId="12" priority="30"/>
  </conditionalFormatting>
  <conditionalFormatting sqref="M75">
    <cfRule type="duplicateValues" dxfId="11" priority="31"/>
  </conditionalFormatting>
  <conditionalFormatting sqref="M95">
    <cfRule type="duplicateValues" dxfId="10" priority="23"/>
    <cfRule type="duplicateValues" dxfId="9" priority="24"/>
    <cfRule type="duplicateValues" dxfId="8" priority="25"/>
  </conditionalFormatting>
  <conditionalFormatting sqref="M114">
    <cfRule type="duplicateValues" dxfId="7" priority="7"/>
    <cfRule type="duplicateValues" dxfId="6" priority="9"/>
    <cfRule type="duplicateValues" dxfId="5" priority="8"/>
  </conditionalFormatting>
  <conditionalFormatting sqref="M115">
    <cfRule type="duplicateValues" dxfId="4" priority="6"/>
    <cfRule type="duplicateValues" dxfId="3" priority="5"/>
    <cfRule type="duplicateValues" dxfId="2" priority="4"/>
  </conditionalFormatting>
  <pageMargins left="0.7" right="0.7" top="0.75" bottom="0.75" header="0.3" footer="0.3"/>
  <pageSetup paperSize="9" orientation="portrait"/>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2:G94"/>
  <sheetViews>
    <sheetView tabSelected="1" workbookViewId="0">
      <pane ySplit="3" topLeftCell="A4" activePane="bottomLeft" state="frozen"/>
      <selection activeCell="B3" sqref="B3"/>
      <selection pane="bottomLeft" activeCell="F27" sqref="F27"/>
    </sheetView>
  </sheetViews>
  <sheetFormatPr baseColWidth="10" defaultColWidth="10.6640625" defaultRowHeight="15" x14ac:dyDescent="0.2"/>
  <cols>
    <col min="1" max="2" width="10.6640625" style="1" customWidth="1"/>
    <col min="3" max="3" width="15.1640625" style="2" customWidth="1"/>
    <col min="4" max="4" width="10.6640625" style="117" hidden="1" customWidth="1"/>
    <col min="5" max="5" width="10.6640625" style="117" customWidth="1"/>
    <col min="6" max="6" width="41.6640625" style="1" customWidth="1"/>
    <col min="7" max="7" width="46.6640625" style="190" customWidth="1"/>
    <col min="8" max="8" width="10.6640625" style="1" customWidth="1"/>
    <col min="9" max="16384" width="10.6640625" style="1"/>
  </cols>
  <sheetData>
    <row r="2" spans="2:7" x14ac:dyDescent="0.2">
      <c r="C2" s="4"/>
      <c r="D2" s="114"/>
      <c r="E2" s="114"/>
      <c r="F2" s="5"/>
      <c r="G2" s="188"/>
    </row>
    <row r="3" spans="2:7" ht="32" customHeight="1" x14ac:dyDescent="0.2">
      <c r="B3" s="3"/>
      <c r="C3" s="115" t="s">
        <v>888</v>
      </c>
      <c r="D3" s="112" t="s">
        <v>889</v>
      </c>
      <c r="E3" s="112" t="s">
        <v>890</v>
      </c>
      <c r="F3" s="112" t="s">
        <v>891</v>
      </c>
      <c r="G3" s="115" t="s">
        <v>892</v>
      </c>
    </row>
    <row r="4" spans="2:7" ht="16" customHeight="1" x14ac:dyDescent="0.2">
      <c r="B4" s="3"/>
      <c r="C4" s="210"/>
      <c r="D4" s="8">
        <f t="array" ref="D4:D93">_xlfn.SEQUENCE(90,1,1,1)</f>
        <v>1</v>
      </c>
      <c r="E4" s="113" t="s">
        <v>893</v>
      </c>
      <c r="F4" s="8" t="s">
        <v>894</v>
      </c>
      <c r="G4" s="191" t="s">
        <v>895</v>
      </c>
    </row>
    <row r="5" spans="2:7" ht="16" customHeight="1" x14ac:dyDescent="0.2">
      <c r="B5" s="3"/>
      <c r="C5" s="210" t="s">
        <v>896</v>
      </c>
      <c r="D5" s="8">
        <v>2</v>
      </c>
      <c r="E5" s="113" t="s">
        <v>897</v>
      </c>
      <c r="F5" s="8" t="s">
        <v>898</v>
      </c>
      <c r="G5" s="192" t="s">
        <v>899</v>
      </c>
    </row>
    <row r="6" spans="2:7" ht="16" customHeight="1" x14ac:dyDescent="0.2">
      <c r="B6" s="3"/>
      <c r="C6" s="210"/>
      <c r="D6" s="8">
        <v>3</v>
      </c>
      <c r="E6" s="113" t="s">
        <v>900</v>
      </c>
      <c r="F6" s="8" t="s">
        <v>901</v>
      </c>
      <c r="G6" s="192" t="s">
        <v>902</v>
      </c>
    </row>
    <row r="7" spans="2:7" ht="16" customHeight="1" x14ac:dyDescent="0.2">
      <c r="B7" s="3"/>
      <c r="C7" s="210"/>
      <c r="D7" s="8">
        <v>4</v>
      </c>
      <c r="E7" s="113" t="s">
        <v>903</v>
      </c>
      <c r="F7" s="8" t="s">
        <v>904</v>
      </c>
      <c r="G7" s="192" t="s">
        <v>905</v>
      </c>
    </row>
    <row r="8" spans="2:7" ht="16" customHeight="1" x14ac:dyDescent="0.2">
      <c r="B8" s="3"/>
      <c r="C8" s="210"/>
      <c r="D8" s="8">
        <v>5</v>
      </c>
      <c r="E8" s="113" t="s">
        <v>906</v>
      </c>
      <c r="F8" s="8" t="s">
        <v>907</v>
      </c>
      <c r="G8" s="192" t="s">
        <v>908</v>
      </c>
    </row>
    <row r="9" spans="2:7" ht="16" customHeight="1" x14ac:dyDescent="0.2">
      <c r="B9" s="3"/>
      <c r="C9" s="210" t="s">
        <v>896</v>
      </c>
      <c r="D9" s="8">
        <v>6</v>
      </c>
      <c r="E9" s="113" t="s">
        <v>909</v>
      </c>
      <c r="F9" s="8" t="s">
        <v>910</v>
      </c>
      <c r="G9" s="192" t="s">
        <v>911</v>
      </c>
    </row>
    <row r="10" spans="2:7" ht="16" customHeight="1" x14ac:dyDescent="0.2">
      <c r="B10" s="3"/>
      <c r="C10" s="124"/>
      <c r="D10" s="8">
        <v>7</v>
      </c>
      <c r="E10" s="113" t="s">
        <v>912</v>
      </c>
      <c r="F10" s="16" t="s">
        <v>913</v>
      </c>
      <c r="G10" s="193" t="s">
        <v>914</v>
      </c>
    </row>
    <row r="11" spans="2:7" ht="16" customHeight="1" x14ac:dyDescent="0.2">
      <c r="B11" s="3"/>
      <c r="C11" s="210"/>
      <c r="D11" s="8">
        <v>8</v>
      </c>
      <c r="E11" s="113" t="s">
        <v>915</v>
      </c>
      <c r="F11" s="8" t="s">
        <v>916</v>
      </c>
      <c r="G11" s="192" t="s">
        <v>917</v>
      </c>
    </row>
    <row r="12" spans="2:7" ht="16" customHeight="1" x14ac:dyDescent="0.2">
      <c r="B12" s="3"/>
      <c r="C12" s="210" t="s">
        <v>896</v>
      </c>
      <c r="D12" s="8">
        <v>9</v>
      </c>
      <c r="E12" s="113" t="s">
        <v>918</v>
      </c>
      <c r="F12" s="8" t="s">
        <v>919</v>
      </c>
      <c r="G12" s="192" t="s">
        <v>920</v>
      </c>
    </row>
    <row r="13" spans="2:7" ht="16" customHeight="1" x14ac:dyDescent="0.2">
      <c r="B13" s="3"/>
      <c r="C13" s="210"/>
      <c r="D13" s="8">
        <v>10</v>
      </c>
      <c r="E13" s="113" t="s">
        <v>921</v>
      </c>
      <c r="F13" s="8" t="s">
        <v>922</v>
      </c>
      <c r="G13" s="192" t="s">
        <v>923</v>
      </c>
    </row>
    <row r="14" spans="2:7" ht="16" customHeight="1" x14ac:dyDescent="0.2">
      <c r="B14" s="3"/>
      <c r="C14" s="210"/>
      <c r="D14" s="8">
        <v>11</v>
      </c>
      <c r="E14" s="113" t="s">
        <v>924</v>
      </c>
      <c r="F14" s="8" t="s">
        <v>925</v>
      </c>
      <c r="G14" s="192" t="s">
        <v>926</v>
      </c>
    </row>
    <row r="15" spans="2:7" ht="16" customHeight="1" x14ac:dyDescent="0.2">
      <c r="B15" s="3"/>
      <c r="C15" s="210"/>
      <c r="D15" s="8">
        <v>12</v>
      </c>
      <c r="E15" s="113" t="s">
        <v>927</v>
      </c>
      <c r="F15" s="8" t="s">
        <v>928</v>
      </c>
      <c r="G15" s="192" t="s">
        <v>929</v>
      </c>
    </row>
    <row r="16" spans="2:7" ht="16" customHeight="1" x14ac:dyDescent="0.2">
      <c r="B16" s="3"/>
      <c r="C16" s="210"/>
      <c r="D16" s="8">
        <v>13</v>
      </c>
      <c r="E16" s="113" t="s">
        <v>930</v>
      </c>
      <c r="F16" s="8" t="s">
        <v>931</v>
      </c>
      <c r="G16" s="192" t="s">
        <v>932</v>
      </c>
    </row>
    <row r="17" spans="2:7" ht="16" customHeight="1" x14ac:dyDescent="0.2">
      <c r="B17" s="3"/>
      <c r="C17" s="124"/>
      <c r="D17" s="8">
        <v>14</v>
      </c>
      <c r="E17" s="113" t="s">
        <v>933</v>
      </c>
      <c r="F17" s="16" t="s">
        <v>934</v>
      </c>
      <c r="G17" s="193" t="s">
        <v>935</v>
      </c>
    </row>
    <row r="18" spans="2:7" ht="16" customHeight="1" x14ac:dyDescent="0.2">
      <c r="B18" s="3"/>
      <c r="C18" s="210"/>
      <c r="D18" s="8">
        <v>15</v>
      </c>
      <c r="E18" s="113" t="s">
        <v>936</v>
      </c>
      <c r="F18" s="8" t="s">
        <v>937</v>
      </c>
      <c r="G18" s="192" t="s">
        <v>938</v>
      </c>
    </row>
    <row r="19" spans="2:7" ht="16" customHeight="1" x14ac:dyDescent="0.2">
      <c r="B19" s="3"/>
      <c r="C19" s="210"/>
      <c r="D19" s="8">
        <v>16</v>
      </c>
      <c r="E19" s="113" t="s">
        <v>939</v>
      </c>
      <c r="F19" s="8" t="s">
        <v>940</v>
      </c>
      <c r="G19" s="192" t="s">
        <v>941</v>
      </c>
    </row>
    <row r="20" spans="2:7" ht="16" customHeight="1" x14ac:dyDescent="0.2">
      <c r="B20" s="3"/>
      <c r="C20" s="210" t="s">
        <v>896</v>
      </c>
      <c r="D20" s="8">
        <v>17</v>
      </c>
      <c r="E20" s="113" t="s">
        <v>942</v>
      </c>
      <c r="F20" s="8" t="s">
        <v>943</v>
      </c>
      <c r="G20" s="192" t="s">
        <v>944</v>
      </c>
    </row>
    <row r="21" spans="2:7" ht="16" customHeight="1" x14ac:dyDescent="0.2">
      <c r="B21" s="3"/>
      <c r="C21" s="210"/>
      <c r="D21" s="8">
        <v>18</v>
      </c>
      <c r="E21" s="113" t="s">
        <v>945</v>
      </c>
      <c r="F21" s="8" t="s">
        <v>946</v>
      </c>
      <c r="G21" s="192" t="s">
        <v>947</v>
      </c>
    </row>
    <row r="22" spans="2:7" ht="16" customHeight="1" x14ac:dyDescent="0.2">
      <c r="B22" s="3"/>
      <c r="C22" s="210" t="s">
        <v>896</v>
      </c>
      <c r="D22" s="8">
        <v>19</v>
      </c>
      <c r="E22" s="113" t="s">
        <v>948</v>
      </c>
      <c r="F22" s="8" t="s">
        <v>949</v>
      </c>
      <c r="G22" s="192" t="s">
        <v>950</v>
      </c>
    </row>
    <row r="23" spans="2:7" ht="16" customHeight="1" x14ac:dyDescent="0.2">
      <c r="B23" s="3"/>
      <c r="C23" s="210" t="s">
        <v>896</v>
      </c>
      <c r="D23" s="8">
        <v>20</v>
      </c>
      <c r="E23" s="113" t="s">
        <v>951</v>
      </c>
      <c r="F23" s="8" t="s">
        <v>952</v>
      </c>
      <c r="G23" s="192" t="s">
        <v>953</v>
      </c>
    </row>
    <row r="24" spans="2:7" ht="16" customHeight="1" x14ac:dyDescent="0.2">
      <c r="B24" s="3"/>
      <c r="C24" s="210"/>
      <c r="D24" s="8">
        <v>21</v>
      </c>
      <c r="E24" s="113" t="s">
        <v>954</v>
      </c>
      <c r="F24" s="8" t="s">
        <v>955</v>
      </c>
      <c r="G24" s="192" t="s">
        <v>956</v>
      </c>
    </row>
    <row r="25" spans="2:7" ht="16" customHeight="1" x14ac:dyDescent="0.2">
      <c r="B25" s="3"/>
      <c r="C25" s="124"/>
      <c r="D25" s="8">
        <v>22</v>
      </c>
      <c r="E25" s="113" t="s">
        <v>957</v>
      </c>
      <c r="F25" s="16" t="s">
        <v>958</v>
      </c>
      <c r="G25" s="193" t="s">
        <v>959</v>
      </c>
    </row>
    <row r="26" spans="2:7" ht="16" customHeight="1" x14ac:dyDescent="0.2">
      <c r="B26" s="3"/>
      <c r="C26" s="210" t="s">
        <v>896</v>
      </c>
      <c r="D26" s="8">
        <v>23</v>
      </c>
      <c r="E26" s="113" t="s">
        <v>960</v>
      </c>
      <c r="F26" s="8" t="s">
        <v>961</v>
      </c>
      <c r="G26" s="192" t="s">
        <v>962</v>
      </c>
    </row>
    <row r="27" spans="2:7" ht="16" customHeight="1" x14ac:dyDescent="0.2">
      <c r="B27" s="3"/>
      <c r="C27" s="210" t="s">
        <v>896</v>
      </c>
      <c r="D27" s="8">
        <v>24</v>
      </c>
      <c r="E27" s="113" t="s">
        <v>963</v>
      </c>
      <c r="F27" s="8" t="s">
        <v>964</v>
      </c>
      <c r="G27" s="192" t="s">
        <v>965</v>
      </c>
    </row>
    <row r="28" spans="2:7" ht="16" customHeight="1" x14ac:dyDescent="0.2">
      <c r="B28" s="3"/>
      <c r="C28" s="210"/>
      <c r="D28" s="8">
        <v>25</v>
      </c>
      <c r="E28" s="113" t="s">
        <v>966</v>
      </c>
      <c r="F28" s="8" t="s">
        <v>967</v>
      </c>
      <c r="G28" s="192" t="s">
        <v>968</v>
      </c>
    </row>
    <row r="29" spans="2:7" ht="16" customHeight="1" x14ac:dyDescent="0.2">
      <c r="B29" s="3"/>
      <c r="C29" s="210"/>
      <c r="D29" s="8">
        <v>26</v>
      </c>
      <c r="E29" s="113" t="s">
        <v>969</v>
      </c>
      <c r="F29" s="8" t="s">
        <v>970</v>
      </c>
      <c r="G29" s="192" t="s">
        <v>971</v>
      </c>
    </row>
    <row r="30" spans="2:7" ht="16" customHeight="1" x14ac:dyDescent="0.2">
      <c r="B30" s="3"/>
      <c r="C30" s="210"/>
      <c r="D30" s="8">
        <v>27</v>
      </c>
      <c r="E30" s="113" t="s">
        <v>972</v>
      </c>
      <c r="F30" s="8" t="s">
        <v>973</v>
      </c>
      <c r="G30" s="192" t="s">
        <v>974</v>
      </c>
    </row>
    <row r="31" spans="2:7" ht="16" customHeight="1" x14ac:dyDescent="0.2">
      <c r="B31" s="3"/>
      <c r="C31" s="210"/>
      <c r="D31" s="8">
        <v>28</v>
      </c>
      <c r="E31" s="113" t="s">
        <v>975</v>
      </c>
      <c r="F31" s="8" t="s">
        <v>976</v>
      </c>
      <c r="G31" s="192" t="s">
        <v>977</v>
      </c>
    </row>
    <row r="32" spans="2:7" ht="16" customHeight="1" x14ac:dyDescent="0.2">
      <c r="B32" s="3"/>
      <c r="C32" s="210"/>
      <c r="D32" s="8">
        <v>29</v>
      </c>
      <c r="E32" s="113" t="s">
        <v>978</v>
      </c>
      <c r="F32" s="8" t="s">
        <v>979</v>
      </c>
      <c r="G32" s="192" t="s">
        <v>980</v>
      </c>
    </row>
    <row r="33" spans="2:7" ht="16" customHeight="1" x14ac:dyDescent="0.2">
      <c r="B33" s="3"/>
      <c r="C33" s="210"/>
      <c r="D33" s="8">
        <v>30</v>
      </c>
      <c r="E33" s="113" t="s">
        <v>981</v>
      </c>
      <c r="F33" s="8" t="s">
        <v>982</v>
      </c>
      <c r="G33" s="192" t="s">
        <v>983</v>
      </c>
    </row>
    <row r="34" spans="2:7" ht="16" customHeight="1" x14ac:dyDescent="0.2">
      <c r="B34" s="3"/>
      <c r="C34" s="210" t="s">
        <v>896</v>
      </c>
      <c r="D34" s="8">
        <v>31</v>
      </c>
      <c r="E34" s="113" t="s">
        <v>984</v>
      </c>
      <c r="F34" s="8" t="s">
        <v>985</v>
      </c>
      <c r="G34" s="192" t="s">
        <v>986</v>
      </c>
    </row>
    <row r="35" spans="2:7" ht="16" customHeight="1" x14ac:dyDescent="0.2">
      <c r="B35" s="3"/>
      <c r="C35" s="124"/>
      <c r="D35" s="8">
        <v>32</v>
      </c>
      <c r="E35" s="113" t="s">
        <v>987</v>
      </c>
      <c r="F35" s="16" t="s">
        <v>988</v>
      </c>
      <c r="G35" s="193" t="s">
        <v>989</v>
      </c>
    </row>
    <row r="36" spans="2:7" ht="16" customHeight="1" x14ac:dyDescent="0.2">
      <c r="B36" s="3"/>
      <c r="C36" s="210" t="s">
        <v>896</v>
      </c>
      <c r="D36" s="8">
        <v>33</v>
      </c>
      <c r="E36" s="113" t="s">
        <v>990</v>
      </c>
      <c r="F36" s="8" t="s">
        <v>991</v>
      </c>
      <c r="G36" s="192" t="s">
        <v>992</v>
      </c>
    </row>
    <row r="37" spans="2:7" ht="16" customHeight="1" x14ac:dyDescent="0.2">
      <c r="B37" s="3"/>
      <c r="C37" s="210" t="s">
        <v>896</v>
      </c>
      <c r="D37" s="8">
        <v>34</v>
      </c>
      <c r="E37" s="113" t="s">
        <v>993</v>
      </c>
      <c r="F37" s="8" t="s">
        <v>994</v>
      </c>
      <c r="G37" s="192" t="s">
        <v>995</v>
      </c>
    </row>
    <row r="38" spans="2:7" ht="16" customHeight="1" x14ac:dyDescent="0.2">
      <c r="B38" s="3"/>
      <c r="C38" s="210"/>
      <c r="D38" s="8">
        <v>35</v>
      </c>
      <c r="E38" s="113" t="s">
        <v>996</v>
      </c>
      <c r="F38" s="8" t="s">
        <v>997</v>
      </c>
      <c r="G38" s="192" t="s">
        <v>998</v>
      </c>
    </row>
    <row r="39" spans="2:7" ht="16" customHeight="1" x14ac:dyDescent="0.2">
      <c r="B39" s="3"/>
      <c r="C39" s="210" t="s">
        <v>896</v>
      </c>
      <c r="D39" s="8">
        <v>36</v>
      </c>
      <c r="E39" s="113" t="s">
        <v>999</v>
      </c>
      <c r="F39" s="8" t="s">
        <v>1000</v>
      </c>
      <c r="G39" s="192" t="s">
        <v>1001</v>
      </c>
    </row>
    <row r="40" spans="2:7" ht="16" customHeight="1" x14ac:dyDescent="0.2">
      <c r="B40" s="3"/>
      <c r="C40" s="210"/>
      <c r="D40" s="8">
        <v>37</v>
      </c>
      <c r="E40" s="113" t="s">
        <v>1002</v>
      </c>
      <c r="F40" s="8" t="s">
        <v>1003</v>
      </c>
      <c r="G40" s="192" t="s">
        <v>1004</v>
      </c>
    </row>
    <row r="41" spans="2:7" ht="16" customHeight="1" x14ac:dyDescent="0.2">
      <c r="B41" s="3"/>
      <c r="C41" s="210"/>
      <c r="D41" s="8">
        <v>38</v>
      </c>
      <c r="E41" s="113" t="s">
        <v>1005</v>
      </c>
      <c r="F41" s="8" t="s">
        <v>1006</v>
      </c>
      <c r="G41" s="192" t="s">
        <v>1007</v>
      </c>
    </row>
    <row r="42" spans="2:7" ht="16" customHeight="1" x14ac:dyDescent="0.2">
      <c r="B42" s="3"/>
      <c r="C42" s="210"/>
      <c r="D42" s="8">
        <v>39</v>
      </c>
      <c r="E42" s="113" t="s">
        <v>1008</v>
      </c>
      <c r="F42" s="8" t="s">
        <v>1009</v>
      </c>
      <c r="G42" s="192" t="s">
        <v>1010</v>
      </c>
    </row>
    <row r="43" spans="2:7" ht="16" customHeight="1" x14ac:dyDescent="0.2">
      <c r="B43" s="3"/>
      <c r="C43" s="210" t="s">
        <v>896</v>
      </c>
      <c r="D43" s="8">
        <v>40</v>
      </c>
      <c r="E43" s="113" t="s">
        <v>1011</v>
      </c>
      <c r="F43" s="8" t="s">
        <v>1012</v>
      </c>
      <c r="G43" s="192" t="s">
        <v>1013</v>
      </c>
    </row>
    <row r="44" spans="2:7" ht="16" customHeight="1" x14ac:dyDescent="0.2">
      <c r="B44" s="3"/>
      <c r="C44" s="210"/>
      <c r="D44" s="8">
        <v>41</v>
      </c>
      <c r="E44" s="113" t="s">
        <v>1014</v>
      </c>
      <c r="F44" s="8" t="s">
        <v>1015</v>
      </c>
      <c r="G44" s="192" t="s">
        <v>1016</v>
      </c>
    </row>
    <row r="45" spans="2:7" ht="16" customHeight="1" x14ac:dyDescent="0.2">
      <c r="B45" s="3"/>
      <c r="C45" s="210"/>
      <c r="D45" s="8">
        <v>42</v>
      </c>
      <c r="E45" s="113" t="s">
        <v>1017</v>
      </c>
      <c r="F45" s="8" t="s">
        <v>1018</v>
      </c>
      <c r="G45" s="192" t="s">
        <v>1019</v>
      </c>
    </row>
    <row r="46" spans="2:7" ht="16" customHeight="1" x14ac:dyDescent="0.2">
      <c r="B46" s="3"/>
      <c r="C46" s="210"/>
      <c r="D46" s="8">
        <v>43</v>
      </c>
      <c r="E46" s="113" t="s">
        <v>1020</v>
      </c>
      <c r="F46" s="8" t="s">
        <v>1021</v>
      </c>
      <c r="G46" s="192" t="s">
        <v>1022</v>
      </c>
    </row>
    <row r="47" spans="2:7" ht="16" customHeight="1" x14ac:dyDescent="0.2">
      <c r="B47" s="3"/>
      <c r="C47" s="124"/>
      <c r="D47" s="8">
        <v>44</v>
      </c>
      <c r="E47" s="113" t="s">
        <v>1023</v>
      </c>
      <c r="F47" s="16" t="s">
        <v>1024</v>
      </c>
      <c r="G47" s="193" t="s">
        <v>1025</v>
      </c>
    </row>
    <row r="48" spans="2:7" ht="16" customHeight="1" x14ac:dyDescent="0.2">
      <c r="B48" s="3"/>
      <c r="C48" s="210"/>
      <c r="D48" s="8">
        <v>45</v>
      </c>
      <c r="E48" s="113" t="s">
        <v>1026</v>
      </c>
      <c r="F48" s="8" t="s">
        <v>1027</v>
      </c>
      <c r="G48" s="192" t="s">
        <v>1028</v>
      </c>
    </row>
    <row r="49" spans="2:7" ht="16" customHeight="1" x14ac:dyDescent="0.2">
      <c r="B49" s="3"/>
      <c r="C49" s="210" t="s">
        <v>896</v>
      </c>
      <c r="D49" s="8">
        <v>46</v>
      </c>
      <c r="E49" s="113" t="s">
        <v>1029</v>
      </c>
      <c r="F49" s="8" t="s">
        <v>1030</v>
      </c>
      <c r="G49" s="192" t="s">
        <v>1031</v>
      </c>
    </row>
    <row r="50" spans="2:7" ht="16" customHeight="1" x14ac:dyDescent="0.2">
      <c r="B50" s="3"/>
      <c r="C50" s="210"/>
      <c r="D50" s="8">
        <v>47</v>
      </c>
      <c r="E50" s="113" t="s">
        <v>1032</v>
      </c>
      <c r="F50" s="8" t="s">
        <v>1033</v>
      </c>
      <c r="G50" s="192" t="s">
        <v>1034</v>
      </c>
    </row>
    <row r="51" spans="2:7" ht="16" customHeight="1" x14ac:dyDescent="0.2">
      <c r="B51" s="3"/>
      <c r="C51" s="210"/>
      <c r="D51" s="8">
        <v>48</v>
      </c>
      <c r="E51" s="113" t="s">
        <v>1035</v>
      </c>
      <c r="F51" s="8" t="s">
        <v>1036</v>
      </c>
      <c r="G51" s="192" t="s">
        <v>1037</v>
      </c>
    </row>
    <row r="52" spans="2:7" ht="16" customHeight="1" x14ac:dyDescent="0.2">
      <c r="B52" s="3"/>
      <c r="C52" s="124"/>
      <c r="D52" s="8">
        <v>49</v>
      </c>
      <c r="E52" s="113" t="s">
        <v>1038</v>
      </c>
      <c r="F52" s="16" t="s">
        <v>1039</v>
      </c>
      <c r="G52" s="193" t="s">
        <v>1040</v>
      </c>
    </row>
    <row r="53" spans="2:7" ht="16" customHeight="1" x14ac:dyDescent="0.2">
      <c r="B53" s="3"/>
      <c r="C53" s="210"/>
      <c r="D53" s="8">
        <v>50</v>
      </c>
      <c r="E53" s="113" t="s">
        <v>1041</v>
      </c>
      <c r="F53" s="8" t="s">
        <v>1042</v>
      </c>
      <c r="G53" s="192" t="s">
        <v>1043</v>
      </c>
    </row>
    <row r="54" spans="2:7" ht="16" customHeight="1" x14ac:dyDescent="0.2">
      <c r="B54" s="3"/>
      <c r="C54" s="210"/>
      <c r="D54" s="8">
        <v>51</v>
      </c>
      <c r="E54" s="113" t="s">
        <v>1044</v>
      </c>
      <c r="F54" s="8" t="s">
        <v>1045</v>
      </c>
      <c r="G54" s="192" t="s">
        <v>1046</v>
      </c>
    </row>
    <row r="55" spans="2:7" ht="16" customHeight="1" x14ac:dyDescent="0.2">
      <c r="B55" s="3"/>
      <c r="C55" s="210"/>
      <c r="D55" s="8">
        <v>52</v>
      </c>
      <c r="E55" s="113" t="s">
        <v>1047</v>
      </c>
      <c r="F55" s="8" t="s">
        <v>1048</v>
      </c>
      <c r="G55" s="192" t="s">
        <v>1049</v>
      </c>
    </row>
    <row r="56" spans="2:7" ht="16" customHeight="1" x14ac:dyDescent="0.2">
      <c r="B56" s="3"/>
      <c r="C56" s="210" t="s">
        <v>896</v>
      </c>
      <c r="D56" s="8">
        <v>53</v>
      </c>
      <c r="E56" s="113" t="s">
        <v>1050</v>
      </c>
      <c r="F56" s="8" t="s">
        <v>1051</v>
      </c>
      <c r="G56" s="192" t="s">
        <v>1052</v>
      </c>
    </row>
    <row r="57" spans="2:7" ht="16" customHeight="1" x14ac:dyDescent="0.2">
      <c r="B57" s="3"/>
      <c r="C57" s="210" t="s">
        <v>896</v>
      </c>
      <c r="D57" s="8">
        <v>54</v>
      </c>
      <c r="E57" s="113" t="s">
        <v>1053</v>
      </c>
      <c r="F57" s="8" t="s">
        <v>1054</v>
      </c>
      <c r="G57" s="192" t="s">
        <v>1055</v>
      </c>
    </row>
    <row r="58" spans="2:7" ht="16" customHeight="1" x14ac:dyDescent="0.2">
      <c r="B58" s="3"/>
      <c r="C58" s="210"/>
      <c r="D58" s="8">
        <v>55</v>
      </c>
      <c r="E58" s="113" t="s">
        <v>1056</v>
      </c>
      <c r="F58" s="8" t="s">
        <v>1057</v>
      </c>
      <c r="G58" s="192" t="s">
        <v>1058</v>
      </c>
    </row>
    <row r="59" spans="2:7" ht="16" customHeight="1" x14ac:dyDescent="0.2">
      <c r="B59" s="3"/>
      <c r="C59" s="210" t="s">
        <v>896</v>
      </c>
      <c r="D59" s="8">
        <v>56</v>
      </c>
      <c r="E59" s="113" t="s">
        <v>1059</v>
      </c>
      <c r="F59" s="8" t="s">
        <v>1060</v>
      </c>
      <c r="G59" s="192" t="s">
        <v>1061</v>
      </c>
    </row>
    <row r="60" spans="2:7" ht="16" customHeight="1" x14ac:dyDescent="0.2">
      <c r="B60" s="3"/>
      <c r="C60" s="210"/>
      <c r="D60" s="8">
        <v>57</v>
      </c>
      <c r="E60" s="113" t="s">
        <v>1062</v>
      </c>
      <c r="F60" s="8" t="s">
        <v>1063</v>
      </c>
      <c r="G60" s="192" t="s">
        <v>1064</v>
      </c>
    </row>
    <row r="61" spans="2:7" ht="16" customHeight="1" x14ac:dyDescent="0.2">
      <c r="B61" s="3"/>
      <c r="C61" s="210"/>
      <c r="D61" s="8">
        <v>58</v>
      </c>
      <c r="E61" s="113" t="s">
        <v>1065</v>
      </c>
      <c r="F61" s="8" t="s">
        <v>1066</v>
      </c>
      <c r="G61" s="192" t="s">
        <v>1067</v>
      </c>
    </row>
    <row r="62" spans="2:7" ht="16" customHeight="1" x14ac:dyDescent="0.2">
      <c r="B62" s="3"/>
      <c r="C62" s="210"/>
      <c r="D62" s="8">
        <v>59</v>
      </c>
      <c r="E62" s="113" t="s">
        <v>1068</v>
      </c>
      <c r="F62" s="8" t="s">
        <v>1069</v>
      </c>
      <c r="G62" s="192" t="s">
        <v>1070</v>
      </c>
    </row>
    <row r="63" spans="2:7" ht="16" customHeight="1" x14ac:dyDescent="0.2">
      <c r="B63" s="3"/>
      <c r="C63" s="210" t="s">
        <v>896</v>
      </c>
      <c r="D63" s="8">
        <v>60</v>
      </c>
      <c r="E63" s="113" t="s">
        <v>1071</v>
      </c>
      <c r="F63" s="8" t="s">
        <v>1072</v>
      </c>
      <c r="G63" s="192" t="s">
        <v>1073</v>
      </c>
    </row>
    <row r="64" spans="2:7" ht="16" customHeight="1" x14ac:dyDescent="0.2">
      <c r="B64" s="3"/>
      <c r="C64" s="210" t="s">
        <v>896</v>
      </c>
      <c r="D64" s="8">
        <v>61</v>
      </c>
      <c r="E64" s="113" t="s">
        <v>1074</v>
      </c>
      <c r="F64" s="8" t="s">
        <v>1075</v>
      </c>
      <c r="G64" s="192" t="s">
        <v>1076</v>
      </c>
    </row>
    <row r="65" spans="2:7" ht="16" customHeight="1" x14ac:dyDescent="0.2">
      <c r="B65" s="3"/>
      <c r="C65" s="210"/>
      <c r="D65" s="8">
        <v>62</v>
      </c>
      <c r="E65" s="113" t="s">
        <v>1077</v>
      </c>
      <c r="F65" s="8" t="s">
        <v>1078</v>
      </c>
      <c r="G65" s="192" t="s">
        <v>1079</v>
      </c>
    </row>
    <row r="66" spans="2:7" ht="16" customHeight="1" x14ac:dyDescent="0.2">
      <c r="B66" s="3"/>
      <c r="C66" s="210"/>
      <c r="D66" s="8">
        <v>63</v>
      </c>
      <c r="E66" s="113" t="s">
        <v>1080</v>
      </c>
      <c r="F66" s="8" t="s">
        <v>1081</v>
      </c>
      <c r="G66" s="192" t="s">
        <v>1082</v>
      </c>
    </row>
    <row r="67" spans="2:7" ht="16" customHeight="1" x14ac:dyDescent="0.2">
      <c r="B67" s="3"/>
      <c r="C67" s="210"/>
      <c r="D67" s="8">
        <v>64</v>
      </c>
      <c r="E67" s="113" t="s">
        <v>1083</v>
      </c>
      <c r="F67" s="8" t="s">
        <v>1084</v>
      </c>
      <c r="G67" s="192" t="s">
        <v>1085</v>
      </c>
    </row>
    <row r="68" spans="2:7" ht="16" customHeight="1" x14ac:dyDescent="0.2">
      <c r="B68" s="3"/>
      <c r="C68" s="210"/>
      <c r="D68" s="8">
        <v>65</v>
      </c>
      <c r="E68" s="113" t="s">
        <v>1086</v>
      </c>
      <c r="F68" s="8" t="s">
        <v>1087</v>
      </c>
      <c r="G68" s="192" t="s">
        <v>1088</v>
      </c>
    </row>
    <row r="69" spans="2:7" ht="16" customHeight="1" x14ac:dyDescent="0.2">
      <c r="B69" s="3"/>
      <c r="C69" s="210"/>
      <c r="D69" s="8">
        <v>66</v>
      </c>
      <c r="E69" s="113" t="s">
        <v>1089</v>
      </c>
      <c r="F69" s="8" t="s">
        <v>1090</v>
      </c>
      <c r="G69" s="192" t="s">
        <v>1091</v>
      </c>
    </row>
    <row r="70" spans="2:7" ht="16" customHeight="1" x14ac:dyDescent="0.2">
      <c r="B70" s="3"/>
      <c r="C70" s="210"/>
      <c r="D70" s="8">
        <v>67</v>
      </c>
      <c r="E70" s="113" t="s">
        <v>1092</v>
      </c>
      <c r="F70" s="8" t="s">
        <v>1093</v>
      </c>
      <c r="G70" s="192" t="s">
        <v>1094</v>
      </c>
    </row>
    <row r="71" spans="2:7" ht="16" customHeight="1" x14ac:dyDescent="0.2">
      <c r="B71" s="3"/>
      <c r="C71" s="124"/>
      <c r="D71" s="8">
        <v>68</v>
      </c>
      <c r="E71" s="113" t="s">
        <v>1095</v>
      </c>
      <c r="F71" s="16" t="s">
        <v>1096</v>
      </c>
      <c r="G71" s="193" t="s">
        <v>1097</v>
      </c>
    </row>
    <row r="72" spans="2:7" ht="16" customHeight="1" x14ac:dyDescent="0.2">
      <c r="B72" s="3"/>
      <c r="C72" s="210"/>
      <c r="D72" s="8">
        <v>69</v>
      </c>
      <c r="E72" s="113" t="s">
        <v>1098</v>
      </c>
      <c r="F72" s="8" t="s">
        <v>1099</v>
      </c>
      <c r="G72" s="192" t="s">
        <v>1100</v>
      </c>
    </row>
    <row r="73" spans="2:7" ht="16" customHeight="1" x14ac:dyDescent="0.2">
      <c r="B73" s="3"/>
      <c r="C73" s="210"/>
      <c r="D73" s="8">
        <v>70</v>
      </c>
      <c r="E73" s="113" t="s">
        <v>1101</v>
      </c>
      <c r="F73" s="8" t="s">
        <v>1102</v>
      </c>
      <c r="G73" s="192" t="s">
        <v>1103</v>
      </c>
    </row>
    <row r="74" spans="2:7" ht="16" customHeight="1" x14ac:dyDescent="0.2">
      <c r="B74" s="3"/>
      <c r="C74" s="210"/>
      <c r="D74" s="8">
        <v>71</v>
      </c>
      <c r="E74" s="113" t="s">
        <v>1104</v>
      </c>
      <c r="F74" s="8" t="s">
        <v>1105</v>
      </c>
      <c r="G74" s="192" t="s">
        <v>1106</v>
      </c>
    </row>
    <row r="75" spans="2:7" ht="16" customHeight="1" x14ac:dyDescent="0.2">
      <c r="B75" s="3"/>
      <c r="C75" s="210"/>
      <c r="D75" s="8">
        <v>72</v>
      </c>
      <c r="E75" s="113" t="s">
        <v>1107</v>
      </c>
      <c r="F75" s="8" t="s">
        <v>1108</v>
      </c>
      <c r="G75" s="192" t="s">
        <v>1109</v>
      </c>
    </row>
    <row r="76" spans="2:7" ht="16" customHeight="1" x14ac:dyDescent="0.2">
      <c r="B76" s="3"/>
      <c r="C76" s="210"/>
      <c r="D76" s="8">
        <v>73</v>
      </c>
      <c r="E76" s="113" t="s">
        <v>1110</v>
      </c>
      <c r="F76" s="8" t="s">
        <v>1111</v>
      </c>
      <c r="G76" s="192" t="s">
        <v>1112</v>
      </c>
    </row>
    <row r="77" spans="2:7" ht="16" customHeight="1" x14ac:dyDescent="0.2">
      <c r="B77" s="3"/>
      <c r="C77" s="210"/>
      <c r="D77" s="8">
        <v>74</v>
      </c>
      <c r="E77" s="113" t="s">
        <v>1113</v>
      </c>
      <c r="F77" s="8" t="s">
        <v>1114</v>
      </c>
      <c r="G77" s="192" t="s">
        <v>1115</v>
      </c>
    </row>
    <row r="78" spans="2:7" ht="16" customHeight="1" x14ac:dyDescent="0.2">
      <c r="B78" s="3"/>
      <c r="C78" s="210" t="s">
        <v>896</v>
      </c>
      <c r="D78" s="8">
        <v>75</v>
      </c>
      <c r="E78" s="113" t="s">
        <v>1116</v>
      </c>
      <c r="F78" s="8" t="s">
        <v>1117</v>
      </c>
      <c r="G78" s="192" t="s">
        <v>1118</v>
      </c>
    </row>
    <row r="79" spans="2:7" ht="16" customHeight="1" x14ac:dyDescent="0.2">
      <c r="B79" s="3"/>
      <c r="C79" s="210"/>
      <c r="D79" s="8">
        <v>76</v>
      </c>
      <c r="E79" s="113" t="s">
        <v>1119</v>
      </c>
      <c r="F79" s="8" t="s">
        <v>1120</v>
      </c>
      <c r="G79" s="192" t="s">
        <v>1121</v>
      </c>
    </row>
    <row r="80" spans="2:7" ht="16" customHeight="1" x14ac:dyDescent="0.2">
      <c r="B80" s="3"/>
      <c r="C80" s="124"/>
      <c r="D80" s="8">
        <v>77</v>
      </c>
      <c r="E80" s="113" t="s">
        <v>1122</v>
      </c>
      <c r="F80" s="16" t="s">
        <v>1123</v>
      </c>
      <c r="G80" s="193" t="s">
        <v>1124</v>
      </c>
    </row>
    <row r="81" spans="2:7" ht="16" customHeight="1" x14ac:dyDescent="0.2">
      <c r="B81" s="3"/>
      <c r="C81" s="210"/>
      <c r="D81" s="8">
        <v>78</v>
      </c>
      <c r="E81" s="113" t="s">
        <v>1125</v>
      </c>
      <c r="F81" s="8" t="s">
        <v>1126</v>
      </c>
      <c r="G81" s="192" t="s">
        <v>1127</v>
      </c>
    </row>
    <row r="82" spans="2:7" ht="16" customHeight="1" x14ac:dyDescent="0.2">
      <c r="B82" s="3"/>
      <c r="C82" s="210"/>
      <c r="D82" s="8">
        <v>79</v>
      </c>
      <c r="E82" s="113" t="s">
        <v>1128</v>
      </c>
      <c r="F82" s="8" t="s">
        <v>1129</v>
      </c>
      <c r="G82" s="192" t="s">
        <v>1130</v>
      </c>
    </row>
    <row r="83" spans="2:7" ht="16" customHeight="1" x14ac:dyDescent="0.2">
      <c r="B83" s="3"/>
      <c r="C83" s="210"/>
      <c r="D83" s="8">
        <v>80</v>
      </c>
      <c r="E83" s="113" t="s">
        <v>1131</v>
      </c>
      <c r="F83" s="8" t="s">
        <v>1132</v>
      </c>
      <c r="G83" s="192" t="s">
        <v>1133</v>
      </c>
    </row>
    <row r="84" spans="2:7" ht="16" customHeight="1" x14ac:dyDescent="0.2">
      <c r="B84" s="3"/>
      <c r="C84" s="210"/>
      <c r="D84" s="8">
        <v>81</v>
      </c>
      <c r="E84" s="113" t="s">
        <v>1134</v>
      </c>
      <c r="F84" s="8" t="s">
        <v>1135</v>
      </c>
      <c r="G84" s="192" t="s">
        <v>1136</v>
      </c>
    </row>
    <row r="85" spans="2:7" ht="16" customHeight="1" x14ac:dyDescent="0.2">
      <c r="B85" s="3"/>
      <c r="C85" s="210"/>
      <c r="D85" s="8">
        <v>82</v>
      </c>
      <c r="E85" s="113" t="s">
        <v>1137</v>
      </c>
      <c r="F85" s="8" t="s">
        <v>1138</v>
      </c>
      <c r="G85" s="192" t="s">
        <v>1139</v>
      </c>
    </row>
    <row r="86" spans="2:7" ht="16" customHeight="1" x14ac:dyDescent="0.2">
      <c r="B86" s="3"/>
      <c r="C86" s="124"/>
      <c r="D86" s="8">
        <v>83</v>
      </c>
      <c r="E86" s="113" t="s">
        <v>1140</v>
      </c>
      <c r="F86" s="16" t="s">
        <v>1141</v>
      </c>
      <c r="G86" s="193" t="s">
        <v>1142</v>
      </c>
    </row>
    <row r="87" spans="2:7" ht="16" customHeight="1" x14ac:dyDescent="0.2">
      <c r="B87" s="3"/>
      <c r="C87" s="210"/>
      <c r="D87" s="8">
        <v>84</v>
      </c>
      <c r="E87" s="113" t="s">
        <v>1143</v>
      </c>
      <c r="F87" s="8" t="s">
        <v>1144</v>
      </c>
      <c r="G87" s="192" t="s">
        <v>1145</v>
      </c>
    </row>
    <row r="88" spans="2:7" ht="16" customHeight="1" x14ac:dyDescent="0.2">
      <c r="B88" s="3"/>
      <c r="C88" s="210"/>
      <c r="D88" s="8">
        <v>85</v>
      </c>
      <c r="E88" s="113" t="s">
        <v>1146</v>
      </c>
      <c r="F88" s="8" t="s">
        <v>1147</v>
      </c>
      <c r="G88" s="192" t="s">
        <v>1148</v>
      </c>
    </row>
    <row r="89" spans="2:7" ht="16" customHeight="1" x14ac:dyDescent="0.2">
      <c r="B89" s="3"/>
      <c r="C89" s="210"/>
      <c r="D89" s="8">
        <v>86</v>
      </c>
      <c r="E89" s="113" t="s">
        <v>1149</v>
      </c>
      <c r="F89" s="8" t="s">
        <v>1150</v>
      </c>
      <c r="G89" s="192" t="s">
        <v>1151</v>
      </c>
    </row>
    <row r="90" spans="2:7" ht="16" customHeight="1" x14ac:dyDescent="0.2">
      <c r="B90" s="3"/>
      <c r="C90" s="210" t="s">
        <v>896</v>
      </c>
      <c r="D90" s="8">
        <v>87</v>
      </c>
      <c r="E90" s="113" t="s">
        <v>1152</v>
      </c>
      <c r="F90" s="8" t="s">
        <v>1153</v>
      </c>
      <c r="G90" s="192" t="s">
        <v>1154</v>
      </c>
    </row>
    <row r="91" spans="2:7" ht="16" customHeight="1" x14ac:dyDescent="0.2">
      <c r="B91" s="3"/>
      <c r="C91" s="210"/>
      <c r="D91" s="8">
        <v>88</v>
      </c>
      <c r="E91" s="113" t="s">
        <v>1155</v>
      </c>
      <c r="F91" s="8" t="s">
        <v>1156</v>
      </c>
      <c r="G91" s="192" t="s">
        <v>1157</v>
      </c>
    </row>
    <row r="92" spans="2:7" ht="16" customHeight="1" x14ac:dyDescent="0.2">
      <c r="B92" s="3"/>
      <c r="C92" s="210"/>
      <c r="D92" s="8">
        <v>89</v>
      </c>
      <c r="E92" s="113" t="s">
        <v>1158</v>
      </c>
      <c r="F92" s="8" t="s">
        <v>1159</v>
      </c>
      <c r="G92" s="192" t="s">
        <v>1160</v>
      </c>
    </row>
    <row r="93" spans="2:7" ht="16" customHeight="1" x14ac:dyDescent="0.2">
      <c r="B93" s="3"/>
      <c r="C93" s="124"/>
      <c r="D93" s="8">
        <v>90</v>
      </c>
      <c r="E93" s="113" t="s">
        <v>1161</v>
      </c>
      <c r="F93" s="16" t="s">
        <v>1162</v>
      </c>
      <c r="G93" s="193" t="s">
        <v>1163</v>
      </c>
    </row>
    <row r="94" spans="2:7" x14ac:dyDescent="0.2">
      <c r="C94" s="6"/>
      <c r="D94" s="116"/>
      <c r="E94" s="116"/>
      <c r="F94" s="7"/>
      <c r="G94" s="189"/>
    </row>
  </sheetData>
  <autoFilter ref="C3:F93" xr:uid="{00000000-0009-0000-0000-000001000000}"/>
  <conditionalFormatting sqref="D85">
    <cfRule type="duplicateValues" dxfId="1" priority="1"/>
  </conditionalFormatting>
  <conditionalFormatting sqref="D86:D1048576 D1:D84">
    <cfRule type="duplicateValues" dxfId="0" priority="2"/>
  </conditionalFormatting>
  <dataValidations count="1">
    <dataValidation type="list" allowBlank="1" showInputMessage="1" showErrorMessage="1" sqref="C87:C92 C81:C85 C72:C79 C53:C70 C48:C51 C36:C46 C26:C34 C18:C24 C4:C9 C11:C16" xr:uid="{00000000-0002-0000-0100-000000000000}">
      <formula1>"x"</formula1>
    </dataValidation>
  </dataValidation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G17"/>
  <sheetViews>
    <sheetView workbookViewId="0">
      <selection activeCell="J27" sqref="J27"/>
    </sheetView>
  </sheetViews>
  <sheetFormatPr baseColWidth="10" defaultColWidth="8.83203125" defaultRowHeight="15" x14ac:dyDescent="0.2"/>
  <cols>
    <col min="1" max="1" width="10.83203125" bestFit="1" customWidth="1"/>
    <col min="2" max="2" width="15.1640625" bestFit="1" customWidth="1"/>
    <col min="3" max="3" width="11.1640625" bestFit="1" customWidth="1"/>
    <col min="4" max="4" width="10.6640625" bestFit="1" customWidth="1"/>
    <col min="5" max="5" width="11.1640625" bestFit="1" customWidth="1"/>
    <col min="6" max="6" width="18" bestFit="1" customWidth="1"/>
    <col min="7" max="7" width="9.83203125" bestFit="1" customWidth="1"/>
  </cols>
  <sheetData>
    <row r="1" spans="1:7" x14ac:dyDescent="0.2">
      <c r="A1" s="592" t="s">
        <v>1775</v>
      </c>
      <c r="B1" s="592" t="s">
        <v>1776</v>
      </c>
      <c r="C1" s="592" t="s">
        <v>1777</v>
      </c>
      <c r="D1" s="592" t="s">
        <v>1778</v>
      </c>
      <c r="E1" s="592" t="s">
        <v>1779</v>
      </c>
      <c r="F1" s="592" t="s">
        <v>1780</v>
      </c>
      <c r="G1" s="592" t="s">
        <v>1781</v>
      </c>
    </row>
    <row r="2" spans="1:7" x14ac:dyDescent="0.2">
      <c r="A2" t="s">
        <v>1782</v>
      </c>
      <c r="C2" t="s">
        <v>1783</v>
      </c>
      <c r="D2" t="s">
        <v>1784</v>
      </c>
      <c r="E2" t="s">
        <v>1785</v>
      </c>
      <c r="F2" t="s">
        <v>1786</v>
      </c>
      <c r="G2" t="s">
        <v>1787</v>
      </c>
    </row>
    <row r="3" spans="1:7" x14ac:dyDescent="0.2">
      <c r="A3" t="s">
        <v>1788</v>
      </c>
      <c r="C3" t="s">
        <v>1789</v>
      </c>
      <c r="D3" t="s">
        <v>1784</v>
      </c>
      <c r="E3" t="s">
        <v>1785</v>
      </c>
      <c r="F3" t="s">
        <v>1786</v>
      </c>
      <c r="G3" t="s">
        <v>1787</v>
      </c>
    </row>
    <row r="4" spans="1:7" x14ac:dyDescent="0.2">
      <c r="A4" t="s">
        <v>1790</v>
      </c>
      <c r="C4" t="s">
        <v>1791</v>
      </c>
      <c r="D4" t="s">
        <v>1784</v>
      </c>
      <c r="E4" t="s">
        <v>1785</v>
      </c>
      <c r="F4" t="s">
        <v>1786</v>
      </c>
      <c r="G4" t="s">
        <v>1787</v>
      </c>
    </row>
    <row r="5" spans="1:7" x14ac:dyDescent="0.2">
      <c r="A5" t="s">
        <v>1792</v>
      </c>
      <c r="C5" t="s">
        <v>1793</v>
      </c>
      <c r="D5" t="s">
        <v>1784</v>
      </c>
      <c r="E5" t="s">
        <v>1785</v>
      </c>
      <c r="F5" t="s">
        <v>1786</v>
      </c>
      <c r="G5" t="s">
        <v>1787</v>
      </c>
    </row>
    <row r="6" spans="1:7" x14ac:dyDescent="0.2">
      <c r="A6" t="s">
        <v>1794</v>
      </c>
      <c r="C6" t="s">
        <v>1795</v>
      </c>
      <c r="D6" t="s">
        <v>1784</v>
      </c>
      <c r="E6" t="s">
        <v>1785</v>
      </c>
      <c r="F6" t="s">
        <v>1786</v>
      </c>
      <c r="G6" t="s">
        <v>1787</v>
      </c>
    </row>
    <row r="7" spans="1:7" x14ac:dyDescent="0.2">
      <c r="A7" t="s">
        <v>1164</v>
      </c>
      <c r="C7" t="s">
        <v>1796</v>
      </c>
      <c r="D7" t="s">
        <v>1797</v>
      </c>
      <c r="E7" t="s">
        <v>1798</v>
      </c>
      <c r="F7" t="s">
        <v>1786</v>
      </c>
      <c r="G7" t="s">
        <v>1787</v>
      </c>
    </row>
    <row r="8" spans="1:7" x14ac:dyDescent="0.2">
      <c r="A8" t="s">
        <v>1165</v>
      </c>
      <c r="C8" t="s">
        <v>1799</v>
      </c>
      <c r="D8" t="s">
        <v>1797</v>
      </c>
      <c r="E8" t="s">
        <v>1798</v>
      </c>
      <c r="F8" t="s">
        <v>1786</v>
      </c>
      <c r="G8" t="s">
        <v>1787</v>
      </c>
    </row>
    <row r="9" spans="1:7" x14ac:dyDescent="0.2">
      <c r="A9" t="s">
        <v>1166</v>
      </c>
      <c r="C9" t="s">
        <v>1800</v>
      </c>
      <c r="D9" t="s">
        <v>1797</v>
      </c>
      <c r="E9" t="s">
        <v>1798</v>
      </c>
      <c r="F9" t="s">
        <v>1786</v>
      </c>
      <c r="G9" t="s">
        <v>1787</v>
      </c>
    </row>
    <row r="10" spans="1:7" x14ac:dyDescent="0.2">
      <c r="A10" t="s">
        <v>1314</v>
      </c>
      <c r="C10" t="s">
        <v>1801</v>
      </c>
      <c r="D10" t="s">
        <v>1797</v>
      </c>
      <c r="E10" t="s">
        <v>1798</v>
      </c>
      <c r="F10" t="s">
        <v>1786</v>
      </c>
      <c r="G10" t="s">
        <v>1787</v>
      </c>
    </row>
    <row r="11" spans="1:7" x14ac:dyDescent="0.2">
      <c r="A11" t="s">
        <v>1802</v>
      </c>
      <c r="C11" t="s">
        <v>1803</v>
      </c>
      <c r="D11" t="s">
        <v>1797</v>
      </c>
      <c r="E11" t="s">
        <v>1798</v>
      </c>
      <c r="F11" t="s">
        <v>1786</v>
      </c>
      <c r="G11" t="s">
        <v>1787</v>
      </c>
    </row>
    <row r="12" spans="1:7" x14ac:dyDescent="0.2">
      <c r="A12" t="s">
        <v>1402</v>
      </c>
      <c r="C12" t="s">
        <v>1804</v>
      </c>
      <c r="D12" t="s">
        <v>1797</v>
      </c>
      <c r="E12" t="s">
        <v>1798</v>
      </c>
      <c r="F12" t="s">
        <v>1786</v>
      </c>
      <c r="G12" t="s">
        <v>1787</v>
      </c>
    </row>
    <row r="13" spans="1:7" x14ac:dyDescent="0.2">
      <c r="A13" t="s">
        <v>1470</v>
      </c>
      <c r="C13" t="s">
        <v>1805</v>
      </c>
      <c r="D13" t="s">
        <v>1797</v>
      </c>
      <c r="E13" t="s">
        <v>1798</v>
      </c>
      <c r="F13" t="s">
        <v>1786</v>
      </c>
      <c r="G13" t="s">
        <v>1787</v>
      </c>
    </row>
    <row r="14" spans="1:7" x14ac:dyDescent="0.2">
      <c r="A14" t="s">
        <v>1171</v>
      </c>
      <c r="C14" t="s">
        <v>1806</v>
      </c>
      <c r="D14" t="s">
        <v>1797</v>
      </c>
      <c r="E14" t="s">
        <v>1798</v>
      </c>
      <c r="F14" t="s">
        <v>1786</v>
      </c>
      <c r="G14" t="s">
        <v>1787</v>
      </c>
    </row>
    <row r="15" spans="1:7" x14ac:dyDescent="0.2">
      <c r="A15" t="s">
        <v>1772</v>
      </c>
      <c r="C15" t="s">
        <v>1807</v>
      </c>
      <c r="D15" t="s">
        <v>1797</v>
      </c>
      <c r="E15" t="s">
        <v>1798</v>
      </c>
      <c r="F15" t="s">
        <v>1786</v>
      </c>
      <c r="G15" t="s">
        <v>1787</v>
      </c>
    </row>
    <row r="16" spans="1:7" x14ac:dyDescent="0.2">
      <c r="A16" t="s">
        <v>1173</v>
      </c>
      <c r="C16" t="s">
        <v>1808</v>
      </c>
      <c r="D16" t="s">
        <v>1797</v>
      </c>
      <c r="E16" t="s">
        <v>1798</v>
      </c>
      <c r="F16" t="s">
        <v>1786</v>
      </c>
      <c r="G16" t="s">
        <v>1787</v>
      </c>
    </row>
    <row r="17" spans="1:7" x14ac:dyDescent="0.2">
      <c r="A17" t="s">
        <v>1773</v>
      </c>
      <c r="C17" t="s">
        <v>1809</v>
      </c>
      <c r="D17" t="s">
        <v>1797</v>
      </c>
      <c r="E17" t="s">
        <v>1798</v>
      </c>
      <c r="F17" t="s">
        <v>1786</v>
      </c>
      <c r="G17" t="s">
        <v>1787</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11"/>
  <sheetViews>
    <sheetView workbookViewId="0">
      <selection activeCell="D11" sqref="D11"/>
    </sheetView>
  </sheetViews>
  <sheetFormatPr baseColWidth="10" defaultColWidth="8.83203125" defaultRowHeight="15" x14ac:dyDescent="0.2"/>
  <cols>
    <col min="2" max="2" width="13.83203125" bestFit="1" customWidth="1"/>
  </cols>
  <sheetData>
    <row r="1" spans="1:2" x14ac:dyDescent="0.2">
      <c r="A1" s="327">
        <v>1</v>
      </c>
      <c r="B1" s="328" t="s">
        <v>1164</v>
      </c>
    </row>
    <row r="2" spans="1:2" x14ac:dyDescent="0.2">
      <c r="A2" s="327">
        <v>5</v>
      </c>
      <c r="B2" s="328" t="s">
        <v>1165</v>
      </c>
    </row>
    <row r="3" spans="1:2" x14ac:dyDescent="0.2">
      <c r="A3" s="327">
        <v>10</v>
      </c>
      <c r="B3" s="328" t="s">
        <v>1166</v>
      </c>
    </row>
    <row r="4" spans="1:2" x14ac:dyDescent="0.2">
      <c r="A4" s="327">
        <v>20</v>
      </c>
      <c r="B4" s="328" t="s">
        <v>1167</v>
      </c>
    </row>
    <row r="5" spans="1:2" x14ac:dyDescent="0.2">
      <c r="A5" s="327">
        <v>25</v>
      </c>
      <c r="B5" s="328" t="s">
        <v>1168</v>
      </c>
    </row>
    <row r="6" spans="1:2" x14ac:dyDescent="0.2">
      <c r="A6" s="327">
        <v>15</v>
      </c>
      <c r="B6" s="328" t="s">
        <v>1169</v>
      </c>
    </row>
    <row r="7" spans="1:2" x14ac:dyDescent="0.2">
      <c r="A7" s="327">
        <v>30</v>
      </c>
      <c r="B7" s="328" t="s">
        <v>1170</v>
      </c>
    </row>
    <row r="8" spans="1:2" x14ac:dyDescent="0.2">
      <c r="A8" s="327">
        <v>35</v>
      </c>
      <c r="B8" s="328" t="s">
        <v>1171</v>
      </c>
    </row>
    <row r="9" spans="1:2" x14ac:dyDescent="0.2">
      <c r="A9" s="327">
        <v>40</v>
      </c>
      <c r="B9" s="328" t="s">
        <v>1172</v>
      </c>
    </row>
    <row r="10" spans="1:2" x14ac:dyDescent="0.2">
      <c r="A10" s="327">
        <v>45</v>
      </c>
      <c r="B10" s="328" t="s">
        <v>1173</v>
      </c>
    </row>
    <row r="11" spans="1:2" x14ac:dyDescent="0.2">
      <c r="A11" s="327">
        <v>50</v>
      </c>
      <c r="B11" s="328" t="s">
        <v>1174</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C504"/>
  <sheetViews>
    <sheetView workbookViewId="0">
      <selection activeCell="D37" sqref="D37"/>
    </sheetView>
  </sheetViews>
  <sheetFormatPr baseColWidth="10" defaultColWidth="8.83203125" defaultRowHeight="15" x14ac:dyDescent="0.2"/>
  <cols>
    <col min="1" max="1" width="10.33203125" style="331" customWidth="1"/>
    <col min="2" max="2" width="8" bestFit="1" customWidth="1"/>
    <col min="3" max="3" width="23.5" bestFit="1" customWidth="1"/>
  </cols>
  <sheetData>
    <row r="1" spans="1:3" s="276" customFormat="1" ht="32" customHeight="1" x14ac:dyDescent="0.2">
      <c r="A1" s="329" t="s">
        <v>1175</v>
      </c>
      <c r="B1" s="330" t="s">
        <v>1176</v>
      </c>
      <c r="C1" s="276" t="s">
        <v>1177</v>
      </c>
    </row>
    <row r="2" spans="1:3" s="276" customFormat="1" x14ac:dyDescent="0.2">
      <c r="A2" s="331">
        <v>1</v>
      </c>
      <c r="B2" s="332">
        <v>10005</v>
      </c>
      <c r="C2" s="333" t="s">
        <v>1178</v>
      </c>
    </row>
    <row r="3" spans="1:3" s="276" customFormat="1" x14ac:dyDescent="0.2">
      <c r="A3" s="331">
        <v>1</v>
      </c>
      <c r="B3" s="332">
        <v>10010</v>
      </c>
      <c r="C3" s="333" t="s">
        <v>1179</v>
      </c>
    </row>
    <row r="4" spans="1:3" s="276" customFormat="1" x14ac:dyDescent="0.2">
      <c r="A4" s="331">
        <v>1</v>
      </c>
      <c r="B4" s="332">
        <v>10015</v>
      </c>
      <c r="C4" s="333" t="s">
        <v>1180</v>
      </c>
    </row>
    <row r="5" spans="1:3" s="276" customFormat="1" x14ac:dyDescent="0.2">
      <c r="A5" s="331">
        <v>1</v>
      </c>
      <c r="B5" s="332">
        <v>10020</v>
      </c>
      <c r="C5" s="333" t="s">
        <v>1181</v>
      </c>
    </row>
    <row r="6" spans="1:3" s="276" customFormat="1" x14ac:dyDescent="0.2">
      <c r="A6" s="331">
        <v>1</v>
      </c>
      <c r="B6" s="332">
        <v>10025</v>
      </c>
      <c r="C6" s="333" t="s">
        <v>1182</v>
      </c>
    </row>
    <row r="7" spans="1:3" s="276" customFormat="1" x14ac:dyDescent="0.2">
      <c r="A7" s="331">
        <v>1</v>
      </c>
      <c r="B7" s="332">
        <v>10030</v>
      </c>
      <c r="C7" s="333" t="s">
        <v>1183</v>
      </c>
    </row>
    <row r="8" spans="1:3" s="276" customFormat="1" x14ac:dyDescent="0.2">
      <c r="A8" s="331">
        <v>1</v>
      </c>
      <c r="B8" s="332">
        <v>10035</v>
      </c>
      <c r="C8" s="333" t="s">
        <v>1184</v>
      </c>
    </row>
    <row r="9" spans="1:3" s="276" customFormat="1" x14ac:dyDescent="0.2">
      <c r="A9" s="331">
        <v>1</v>
      </c>
      <c r="B9" s="332">
        <v>10040</v>
      </c>
      <c r="C9" s="333" t="s">
        <v>1185</v>
      </c>
    </row>
    <row r="10" spans="1:3" s="276" customFormat="1" x14ac:dyDescent="0.2">
      <c r="A10" s="331">
        <v>1</v>
      </c>
      <c r="B10" s="332">
        <v>10045</v>
      </c>
      <c r="C10" s="333" t="s">
        <v>1186</v>
      </c>
    </row>
    <row r="11" spans="1:3" s="276" customFormat="1" x14ac:dyDescent="0.2">
      <c r="A11" s="331">
        <v>1</v>
      </c>
      <c r="B11" s="332">
        <v>10050</v>
      </c>
      <c r="C11" s="333" t="s">
        <v>1187</v>
      </c>
    </row>
    <row r="12" spans="1:3" s="276" customFormat="1" x14ac:dyDescent="0.2">
      <c r="A12" s="331">
        <v>1</v>
      </c>
      <c r="B12" s="332">
        <v>10055</v>
      </c>
      <c r="C12" s="333" t="s">
        <v>1188</v>
      </c>
    </row>
    <row r="13" spans="1:3" s="276" customFormat="1" x14ac:dyDescent="0.2">
      <c r="A13" s="331">
        <v>1</v>
      </c>
      <c r="B13" s="332">
        <v>10060</v>
      </c>
      <c r="C13" s="333" t="s">
        <v>1189</v>
      </c>
    </row>
    <row r="14" spans="1:3" s="276" customFormat="1" x14ac:dyDescent="0.2">
      <c r="A14" s="331">
        <v>1</v>
      </c>
      <c r="B14" s="332">
        <v>10070</v>
      </c>
      <c r="C14" s="333" t="s">
        <v>1190</v>
      </c>
    </row>
    <row r="15" spans="1:3" s="276" customFormat="1" x14ac:dyDescent="0.2">
      <c r="A15" s="331">
        <v>1</v>
      </c>
      <c r="B15" s="332">
        <v>10080</v>
      </c>
      <c r="C15" s="333" t="s">
        <v>1191</v>
      </c>
    </row>
    <row r="16" spans="1:3" s="276" customFormat="1" x14ac:dyDescent="0.2">
      <c r="A16" s="331">
        <v>1</v>
      </c>
      <c r="B16" s="332">
        <v>10085</v>
      </c>
      <c r="C16" s="333" t="s">
        <v>1192</v>
      </c>
    </row>
    <row r="17" spans="1:3" s="276" customFormat="1" x14ac:dyDescent="0.2">
      <c r="A17" s="331">
        <v>1</v>
      </c>
      <c r="B17" s="332">
        <v>10095</v>
      </c>
      <c r="C17" s="333" t="s">
        <v>1193</v>
      </c>
    </row>
    <row r="18" spans="1:3" s="276" customFormat="1" x14ac:dyDescent="0.2">
      <c r="A18" s="331">
        <v>1</v>
      </c>
      <c r="B18" s="332">
        <v>10105</v>
      </c>
      <c r="C18" s="333" t="s">
        <v>1194</v>
      </c>
    </row>
    <row r="19" spans="1:3" s="276" customFormat="1" x14ac:dyDescent="0.2">
      <c r="A19" s="331">
        <v>1</v>
      </c>
      <c r="B19" s="332">
        <v>10115</v>
      </c>
      <c r="C19" s="333" t="s">
        <v>1195</v>
      </c>
    </row>
    <row r="20" spans="1:3" s="276" customFormat="1" x14ac:dyDescent="0.2">
      <c r="A20" s="331">
        <v>1</v>
      </c>
      <c r="B20" s="332">
        <v>10120</v>
      </c>
      <c r="C20" s="333" t="s">
        <v>1196</v>
      </c>
    </row>
    <row r="21" spans="1:3" s="276" customFormat="1" x14ac:dyDescent="0.2">
      <c r="A21" s="331">
        <v>1</v>
      </c>
      <c r="B21" s="332">
        <v>10125</v>
      </c>
      <c r="C21" s="333" t="s">
        <v>1197</v>
      </c>
    </row>
    <row r="22" spans="1:3" s="276" customFormat="1" x14ac:dyDescent="0.2">
      <c r="A22" s="331">
        <v>1</v>
      </c>
      <c r="B22" s="332">
        <v>10135</v>
      </c>
      <c r="C22" s="333" t="s">
        <v>1198</v>
      </c>
    </row>
    <row r="23" spans="1:3" s="276" customFormat="1" x14ac:dyDescent="0.2">
      <c r="A23" s="331">
        <v>1</v>
      </c>
      <c r="B23" s="332">
        <v>10140</v>
      </c>
      <c r="C23" s="333" t="s">
        <v>1199</v>
      </c>
    </row>
    <row r="24" spans="1:3" s="276" customFormat="1" x14ac:dyDescent="0.2">
      <c r="A24" s="331">
        <v>1</v>
      </c>
      <c r="B24" s="332">
        <v>10145</v>
      </c>
      <c r="C24" s="333" t="s">
        <v>1200</v>
      </c>
    </row>
    <row r="25" spans="1:3" s="276" customFormat="1" x14ac:dyDescent="0.2">
      <c r="A25" s="331">
        <v>1</v>
      </c>
      <c r="B25" s="332">
        <v>10150</v>
      </c>
      <c r="C25" s="333" t="s">
        <v>1201</v>
      </c>
    </row>
    <row r="26" spans="1:3" s="276" customFormat="1" x14ac:dyDescent="0.2">
      <c r="A26" s="331">
        <v>1</v>
      </c>
      <c r="B26" s="332">
        <v>10155</v>
      </c>
      <c r="C26" s="333" t="s">
        <v>1202</v>
      </c>
    </row>
    <row r="27" spans="1:3" s="276" customFormat="1" x14ac:dyDescent="0.2">
      <c r="A27" s="331">
        <v>1</v>
      </c>
      <c r="B27" s="332">
        <v>10165</v>
      </c>
      <c r="C27" s="333" t="s">
        <v>1203</v>
      </c>
    </row>
    <row r="28" spans="1:3" s="276" customFormat="1" x14ac:dyDescent="0.2">
      <c r="A28" s="331">
        <v>1</v>
      </c>
      <c r="B28" s="332">
        <v>10170</v>
      </c>
      <c r="C28" s="333" t="s">
        <v>1204</v>
      </c>
    </row>
    <row r="29" spans="1:3" s="276" customFormat="1" x14ac:dyDescent="0.2">
      <c r="A29" s="331">
        <v>1</v>
      </c>
      <c r="B29" s="332">
        <v>10175</v>
      </c>
      <c r="C29" s="333" t="s">
        <v>1205</v>
      </c>
    </row>
    <row r="30" spans="1:3" s="276" customFormat="1" x14ac:dyDescent="0.2">
      <c r="A30" s="331">
        <v>1</v>
      </c>
      <c r="B30" s="332">
        <v>10180</v>
      </c>
      <c r="C30" s="333" t="s">
        <v>1164</v>
      </c>
    </row>
    <row r="31" spans="1:3" s="276" customFormat="1" x14ac:dyDescent="0.2">
      <c r="A31" s="331">
        <v>1</v>
      </c>
      <c r="B31" s="332">
        <v>10185</v>
      </c>
      <c r="C31" s="333" t="s">
        <v>1206</v>
      </c>
    </row>
    <row r="32" spans="1:3" s="276" customFormat="1" x14ac:dyDescent="0.2">
      <c r="A32" s="331">
        <v>1</v>
      </c>
      <c r="B32" s="332">
        <v>10190</v>
      </c>
      <c r="C32" s="333" t="s">
        <v>1207</v>
      </c>
    </row>
    <row r="33" spans="1:3" s="276" customFormat="1" x14ac:dyDescent="0.2">
      <c r="A33" s="331">
        <v>1</v>
      </c>
      <c r="B33" s="332">
        <v>10195</v>
      </c>
      <c r="C33" s="333" t="s">
        <v>1208</v>
      </c>
    </row>
    <row r="34" spans="1:3" s="276" customFormat="1" x14ac:dyDescent="0.2">
      <c r="A34" s="331">
        <v>1</v>
      </c>
      <c r="B34" s="332">
        <v>10200</v>
      </c>
      <c r="C34" s="333" t="s">
        <v>1209</v>
      </c>
    </row>
    <row r="35" spans="1:3" s="276" customFormat="1" x14ac:dyDescent="0.2">
      <c r="A35" s="331">
        <v>1</v>
      </c>
      <c r="B35" s="332">
        <v>10205</v>
      </c>
      <c r="C35" s="333" t="s">
        <v>1210</v>
      </c>
    </row>
    <row r="36" spans="1:3" s="276" customFormat="1" x14ac:dyDescent="0.2">
      <c r="A36" s="331">
        <v>1</v>
      </c>
      <c r="B36" s="332">
        <v>10210</v>
      </c>
      <c r="C36" s="333" t="s">
        <v>1211</v>
      </c>
    </row>
    <row r="37" spans="1:3" s="276" customFormat="1" x14ac:dyDescent="0.2">
      <c r="A37" s="331">
        <v>1</v>
      </c>
      <c r="B37" s="332">
        <v>10215</v>
      </c>
      <c r="C37" s="333" t="s">
        <v>1212</v>
      </c>
    </row>
    <row r="38" spans="1:3" s="276" customFormat="1" x14ac:dyDescent="0.2">
      <c r="A38" s="331">
        <v>1</v>
      </c>
      <c r="B38" s="332">
        <v>10220</v>
      </c>
      <c r="C38" s="333" t="s">
        <v>1213</v>
      </c>
    </row>
    <row r="39" spans="1:3" s="276" customFormat="1" x14ac:dyDescent="0.2">
      <c r="A39" s="331">
        <v>1</v>
      </c>
      <c r="B39" s="332">
        <v>10225</v>
      </c>
      <c r="C39" s="333" t="s">
        <v>1214</v>
      </c>
    </row>
    <row r="40" spans="1:3" s="276" customFormat="1" x14ac:dyDescent="0.2">
      <c r="A40" s="331">
        <v>1</v>
      </c>
      <c r="B40" s="332">
        <v>10230</v>
      </c>
      <c r="C40" s="333" t="s">
        <v>1215</v>
      </c>
    </row>
    <row r="41" spans="1:3" s="276" customFormat="1" x14ac:dyDescent="0.2">
      <c r="A41" s="331">
        <v>1</v>
      </c>
      <c r="B41" s="332">
        <v>10235</v>
      </c>
      <c r="C41" s="333" t="s">
        <v>1216</v>
      </c>
    </row>
    <row r="42" spans="1:3" s="276" customFormat="1" x14ac:dyDescent="0.2">
      <c r="A42" s="331">
        <v>1</v>
      </c>
      <c r="B42" s="332">
        <v>10240</v>
      </c>
      <c r="C42" s="333" t="s">
        <v>1217</v>
      </c>
    </row>
    <row r="43" spans="1:3" s="276" customFormat="1" x14ac:dyDescent="0.2">
      <c r="A43" s="331">
        <v>1</v>
      </c>
      <c r="B43" s="332">
        <v>10245</v>
      </c>
      <c r="C43" s="333" t="s">
        <v>1218</v>
      </c>
    </row>
    <row r="44" spans="1:3" s="276" customFormat="1" x14ac:dyDescent="0.2">
      <c r="A44" s="331">
        <v>1</v>
      </c>
      <c r="B44" s="332">
        <v>10265</v>
      </c>
      <c r="C44" s="333" t="s">
        <v>1219</v>
      </c>
    </row>
    <row r="45" spans="1:3" s="276" customFormat="1" x14ac:dyDescent="0.2">
      <c r="A45" s="331">
        <v>1</v>
      </c>
      <c r="B45" s="332">
        <v>10275</v>
      </c>
      <c r="C45" s="333" t="s">
        <v>1220</v>
      </c>
    </row>
    <row r="46" spans="1:3" s="276" customFormat="1" x14ac:dyDescent="0.2">
      <c r="A46" s="331">
        <v>1</v>
      </c>
      <c r="B46" s="332">
        <v>10285</v>
      </c>
      <c r="C46" s="333" t="s">
        <v>1221</v>
      </c>
    </row>
    <row r="47" spans="1:3" s="276" customFormat="1" x14ac:dyDescent="0.2">
      <c r="A47" s="331">
        <v>1</v>
      </c>
      <c r="B47" s="332">
        <v>10295</v>
      </c>
      <c r="C47" s="333" t="s">
        <v>1222</v>
      </c>
    </row>
    <row r="48" spans="1:3" s="276" customFormat="1" x14ac:dyDescent="0.2">
      <c r="A48" s="331">
        <v>1</v>
      </c>
      <c r="B48" s="332">
        <v>10300</v>
      </c>
      <c r="C48" s="333" t="s">
        <v>1223</v>
      </c>
    </row>
    <row r="49" spans="1:3" s="276" customFormat="1" x14ac:dyDescent="0.2">
      <c r="A49" s="331">
        <v>1</v>
      </c>
      <c r="B49" s="332">
        <v>10305</v>
      </c>
      <c r="C49" s="333" t="s">
        <v>1224</v>
      </c>
    </row>
    <row r="50" spans="1:3" s="276" customFormat="1" x14ac:dyDescent="0.2">
      <c r="A50" s="331">
        <v>1</v>
      </c>
      <c r="B50" s="332">
        <v>10310</v>
      </c>
      <c r="C50" s="333" t="s">
        <v>1225</v>
      </c>
    </row>
    <row r="51" spans="1:3" s="276" customFormat="1" x14ac:dyDescent="0.2">
      <c r="A51" s="331">
        <v>1</v>
      </c>
      <c r="B51" s="332">
        <v>10315</v>
      </c>
      <c r="C51" s="333" t="s">
        <v>1226</v>
      </c>
    </row>
    <row r="52" spans="1:3" s="276" customFormat="1" x14ac:dyDescent="0.2">
      <c r="A52" s="331">
        <v>1</v>
      </c>
      <c r="B52" s="332">
        <v>10320</v>
      </c>
      <c r="C52" s="333" t="s">
        <v>1227</v>
      </c>
    </row>
    <row r="53" spans="1:3" s="276" customFormat="1" x14ac:dyDescent="0.2">
      <c r="A53" s="331">
        <v>1</v>
      </c>
      <c r="B53" s="332">
        <v>10335</v>
      </c>
      <c r="C53" s="333" t="s">
        <v>1228</v>
      </c>
    </row>
    <row r="54" spans="1:3" s="276" customFormat="1" x14ac:dyDescent="0.2">
      <c r="A54" s="331">
        <v>1</v>
      </c>
      <c r="B54" s="332">
        <v>10340</v>
      </c>
      <c r="C54" s="333" t="s">
        <v>1229</v>
      </c>
    </row>
    <row r="55" spans="1:3" s="276" customFormat="1" x14ac:dyDescent="0.2">
      <c r="A55" s="331">
        <v>1</v>
      </c>
      <c r="B55" s="332">
        <v>10370</v>
      </c>
      <c r="C55" s="333" t="s">
        <v>1230</v>
      </c>
    </row>
    <row r="56" spans="1:3" s="276" customFormat="1" x14ac:dyDescent="0.2">
      <c r="A56" s="331">
        <v>1</v>
      </c>
      <c r="B56" s="332">
        <v>10385</v>
      </c>
      <c r="C56" s="333" t="s">
        <v>1231</v>
      </c>
    </row>
    <row r="57" spans="1:3" s="276" customFormat="1" x14ac:dyDescent="0.2">
      <c r="A57" s="331">
        <v>1</v>
      </c>
      <c r="B57" s="332">
        <v>10395</v>
      </c>
      <c r="C57" s="333" t="s">
        <v>1232</v>
      </c>
    </row>
    <row r="58" spans="1:3" s="276" customFormat="1" x14ac:dyDescent="0.2">
      <c r="A58" s="331">
        <v>1</v>
      </c>
      <c r="B58" s="332">
        <v>10400</v>
      </c>
      <c r="C58" s="333" t="s">
        <v>1233</v>
      </c>
    </row>
    <row r="59" spans="1:3" s="276" customFormat="1" x14ac:dyDescent="0.2">
      <c r="A59" s="331">
        <v>1</v>
      </c>
      <c r="B59" s="332">
        <v>10401</v>
      </c>
      <c r="C59" s="333" t="s">
        <v>1234</v>
      </c>
    </row>
    <row r="60" spans="1:3" s="276" customFormat="1" x14ac:dyDescent="0.2">
      <c r="A60" s="331">
        <v>1</v>
      </c>
      <c r="B60" s="332">
        <v>10405</v>
      </c>
      <c r="C60" s="333" t="s">
        <v>1235</v>
      </c>
    </row>
    <row r="61" spans="1:3" s="276" customFormat="1" x14ac:dyDescent="0.2">
      <c r="A61" s="331">
        <v>1</v>
      </c>
      <c r="B61" s="332">
        <v>10410</v>
      </c>
      <c r="C61" s="333" t="s">
        <v>1236</v>
      </c>
    </row>
    <row r="62" spans="1:3" s="276" customFormat="1" x14ac:dyDescent="0.2">
      <c r="A62" s="331">
        <v>1</v>
      </c>
      <c r="B62" s="332">
        <v>10415</v>
      </c>
      <c r="C62" s="333" t="s">
        <v>1237</v>
      </c>
    </row>
    <row r="63" spans="1:3" s="276" customFormat="1" x14ac:dyDescent="0.2">
      <c r="A63" s="331">
        <v>1</v>
      </c>
      <c r="B63" s="332">
        <v>10430</v>
      </c>
      <c r="C63" s="333" t="s">
        <v>1238</v>
      </c>
    </row>
    <row r="64" spans="1:3" s="276" customFormat="1" x14ac:dyDescent="0.2">
      <c r="A64" s="331">
        <v>1</v>
      </c>
      <c r="B64" s="332">
        <v>10435</v>
      </c>
      <c r="C64" s="333" t="s">
        <v>1239</v>
      </c>
    </row>
    <row r="65" spans="1:3" s="276" customFormat="1" x14ac:dyDescent="0.2">
      <c r="A65" s="331">
        <v>1</v>
      </c>
      <c r="B65" s="332">
        <v>10445</v>
      </c>
      <c r="C65" s="333" t="s">
        <v>1240</v>
      </c>
    </row>
    <row r="66" spans="1:3" s="276" customFormat="1" x14ac:dyDescent="0.2">
      <c r="A66" s="331">
        <v>1</v>
      </c>
      <c r="B66" s="332">
        <v>10460</v>
      </c>
      <c r="C66" s="333" t="s">
        <v>1241</v>
      </c>
    </row>
    <row r="67" spans="1:3" s="276" customFormat="1" x14ac:dyDescent="0.2">
      <c r="A67" s="331">
        <v>1</v>
      </c>
      <c r="B67" s="332">
        <v>10465</v>
      </c>
      <c r="C67" s="333" t="s">
        <v>1242</v>
      </c>
    </row>
    <row r="68" spans="1:3" s="276" customFormat="1" x14ac:dyDescent="0.2">
      <c r="A68" s="331">
        <v>1</v>
      </c>
      <c r="B68" s="332">
        <v>10485</v>
      </c>
      <c r="C68" s="333" t="s">
        <v>1243</v>
      </c>
    </row>
    <row r="69" spans="1:3" s="276" customFormat="1" x14ac:dyDescent="0.2">
      <c r="A69" s="331">
        <v>1</v>
      </c>
      <c r="B69" s="332">
        <v>10495</v>
      </c>
      <c r="C69" s="333" t="s">
        <v>1244</v>
      </c>
    </row>
    <row r="70" spans="1:3" s="276" customFormat="1" x14ac:dyDescent="0.2">
      <c r="A70" s="331">
        <v>1</v>
      </c>
      <c r="B70" s="332">
        <v>10500</v>
      </c>
      <c r="C70" s="333" t="s">
        <v>1245</v>
      </c>
    </row>
    <row r="71" spans="1:3" s="276" customFormat="1" x14ac:dyDescent="0.2">
      <c r="A71" s="331">
        <v>1</v>
      </c>
      <c r="B71" s="332">
        <v>10505</v>
      </c>
      <c r="C71" s="333" t="s">
        <v>1246</v>
      </c>
    </row>
    <row r="72" spans="1:3" s="276" customFormat="1" x14ac:dyDescent="0.2">
      <c r="A72" s="331">
        <v>1</v>
      </c>
      <c r="B72" s="332">
        <v>10510</v>
      </c>
      <c r="C72" s="333" t="s">
        <v>1247</v>
      </c>
    </row>
    <row r="73" spans="1:3" s="276" customFormat="1" x14ac:dyDescent="0.2">
      <c r="A73" s="331">
        <v>1</v>
      </c>
      <c r="B73" s="332">
        <v>10515</v>
      </c>
      <c r="C73" s="333" t="s">
        <v>1248</v>
      </c>
    </row>
    <row r="74" spans="1:3" s="276" customFormat="1" x14ac:dyDescent="0.2">
      <c r="A74" s="331">
        <v>1</v>
      </c>
      <c r="B74" s="332">
        <v>10520</v>
      </c>
      <c r="C74" s="333" t="s">
        <v>1249</v>
      </c>
    </row>
    <row r="75" spans="1:3" s="276" customFormat="1" x14ac:dyDescent="0.2">
      <c r="A75" s="331">
        <v>1</v>
      </c>
      <c r="B75" s="332">
        <v>10565</v>
      </c>
      <c r="C75" s="333" t="s">
        <v>1250</v>
      </c>
    </row>
    <row r="76" spans="1:3" s="276" customFormat="1" x14ac:dyDescent="0.2">
      <c r="A76" s="331">
        <v>1</v>
      </c>
      <c r="B76" s="332">
        <v>10585</v>
      </c>
      <c r="C76" s="333" t="s">
        <v>1251</v>
      </c>
    </row>
    <row r="77" spans="1:3" s="276" customFormat="1" x14ac:dyDescent="0.2">
      <c r="A77" s="331">
        <v>1</v>
      </c>
      <c r="B77" s="332">
        <v>10590</v>
      </c>
      <c r="C77" s="333" t="s">
        <v>1252</v>
      </c>
    </row>
    <row r="78" spans="1:3" s="276" customFormat="1" x14ac:dyDescent="0.2">
      <c r="A78" s="331">
        <v>1</v>
      </c>
      <c r="B78" s="332">
        <v>10600</v>
      </c>
      <c r="C78" s="333" t="s">
        <v>1253</v>
      </c>
    </row>
    <row r="79" spans="1:3" s="276" customFormat="1" x14ac:dyDescent="0.2">
      <c r="A79" s="331">
        <v>1</v>
      </c>
      <c r="B79" s="332">
        <v>10605</v>
      </c>
      <c r="C79" s="333" t="s">
        <v>1254</v>
      </c>
    </row>
    <row r="80" spans="1:3" s="276" customFormat="1" x14ac:dyDescent="0.2">
      <c r="A80" s="331">
        <v>1</v>
      </c>
      <c r="B80" s="332">
        <v>10615</v>
      </c>
      <c r="C80" s="333" t="s">
        <v>1255</v>
      </c>
    </row>
    <row r="81" spans="1:3" s="276" customFormat="1" x14ac:dyDescent="0.2">
      <c r="A81" s="331">
        <v>1</v>
      </c>
      <c r="B81" s="332">
        <v>10625</v>
      </c>
      <c r="C81" s="333" t="s">
        <v>1256</v>
      </c>
    </row>
    <row r="82" spans="1:3" s="276" customFormat="1" x14ac:dyDescent="0.2">
      <c r="A82" s="331">
        <v>10</v>
      </c>
      <c r="B82" s="332">
        <v>100250</v>
      </c>
      <c r="C82" s="333" t="s">
        <v>1257</v>
      </c>
    </row>
    <row r="83" spans="1:3" s="276" customFormat="1" x14ac:dyDescent="0.2">
      <c r="A83" s="331">
        <v>10</v>
      </c>
      <c r="B83" s="332">
        <v>100290</v>
      </c>
      <c r="C83" s="333" t="s">
        <v>1258</v>
      </c>
    </row>
    <row r="84" spans="1:3" s="276" customFormat="1" x14ac:dyDescent="0.2">
      <c r="A84" s="331">
        <v>10</v>
      </c>
      <c r="B84" s="332">
        <v>100330</v>
      </c>
      <c r="C84" s="333" t="s">
        <v>1259</v>
      </c>
    </row>
    <row r="85" spans="1:3" s="276" customFormat="1" x14ac:dyDescent="0.2">
      <c r="A85" s="331">
        <v>10</v>
      </c>
      <c r="B85" s="332">
        <v>100345</v>
      </c>
      <c r="C85" s="333" t="s">
        <v>1260</v>
      </c>
    </row>
    <row r="86" spans="1:3" s="276" customFormat="1" x14ac:dyDescent="0.2">
      <c r="A86" s="331">
        <v>10</v>
      </c>
      <c r="B86" s="332">
        <v>100350</v>
      </c>
      <c r="C86" s="333" t="s">
        <v>1261</v>
      </c>
    </row>
    <row r="87" spans="1:3" s="276" customFormat="1" x14ac:dyDescent="0.2">
      <c r="A87" s="331">
        <v>10</v>
      </c>
      <c r="B87" s="332">
        <v>100355</v>
      </c>
      <c r="C87" s="333" t="s">
        <v>1262</v>
      </c>
    </row>
    <row r="88" spans="1:3" s="276" customFormat="1" x14ac:dyDescent="0.2">
      <c r="A88" s="331">
        <v>10</v>
      </c>
      <c r="B88" s="332">
        <v>100380</v>
      </c>
      <c r="C88" s="333" t="s">
        <v>1263</v>
      </c>
    </row>
    <row r="89" spans="1:3" s="276" customFormat="1" x14ac:dyDescent="0.2">
      <c r="A89" s="331">
        <v>10</v>
      </c>
      <c r="B89" s="332">
        <v>100425</v>
      </c>
      <c r="C89" s="333" t="s">
        <v>1264</v>
      </c>
    </row>
    <row r="90" spans="1:3" s="276" customFormat="1" x14ac:dyDescent="0.2">
      <c r="A90" s="331">
        <v>10</v>
      </c>
      <c r="B90" s="332">
        <v>100440</v>
      </c>
      <c r="C90" s="333" t="s">
        <v>1265</v>
      </c>
    </row>
    <row r="91" spans="1:3" s="276" customFormat="1" x14ac:dyDescent="0.2">
      <c r="A91" s="331">
        <v>10</v>
      </c>
      <c r="B91" s="332">
        <v>100475</v>
      </c>
      <c r="C91" s="333" t="s">
        <v>1266</v>
      </c>
    </row>
    <row r="92" spans="1:3" s="276" customFormat="1" x14ac:dyDescent="0.2">
      <c r="A92" s="331">
        <v>10</v>
      </c>
      <c r="B92" s="332">
        <v>100480</v>
      </c>
      <c r="C92" s="333" t="s">
        <v>1267</v>
      </c>
    </row>
    <row r="93" spans="1:3" s="276" customFormat="1" x14ac:dyDescent="0.2">
      <c r="A93" s="331">
        <v>10</v>
      </c>
      <c r="B93" s="332">
        <v>100530</v>
      </c>
      <c r="C93" s="333" t="s">
        <v>1268</v>
      </c>
    </row>
    <row r="94" spans="1:3" s="276" customFormat="1" x14ac:dyDescent="0.2">
      <c r="A94" s="331">
        <v>10</v>
      </c>
      <c r="B94" s="332">
        <v>100545</v>
      </c>
      <c r="C94" s="333" t="s">
        <v>1269</v>
      </c>
    </row>
    <row r="95" spans="1:3" s="276" customFormat="1" x14ac:dyDescent="0.2">
      <c r="A95" s="331">
        <v>10</v>
      </c>
      <c r="B95" s="332">
        <v>100555</v>
      </c>
      <c r="C95" s="333" t="s">
        <v>1270</v>
      </c>
    </row>
    <row r="96" spans="1:3" s="276" customFormat="1" x14ac:dyDescent="0.2">
      <c r="A96" s="331">
        <v>10</v>
      </c>
      <c r="B96" s="332">
        <v>100570</v>
      </c>
      <c r="C96" s="333" t="s">
        <v>1271</v>
      </c>
    </row>
    <row r="97" spans="1:3" s="276" customFormat="1" x14ac:dyDescent="0.2">
      <c r="A97" s="331">
        <v>10</v>
      </c>
      <c r="B97" s="332">
        <v>100595</v>
      </c>
      <c r="C97" s="333" t="s">
        <v>1272</v>
      </c>
    </row>
    <row r="98" spans="1:3" s="276" customFormat="1" x14ac:dyDescent="0.2">
      <c r="A98" s="331">
        <v>10</v>
      </c>
      <c r="B98" s="332">
        <v>100620</v>
      </c>
      <c r="C98" s="333" t="s">
        <v>1273</v>
      </c>
    </row>
    <row r="99" spans="1:3" s="276" customFormat="1" x14ac:dyDescent="0.2">
      <c r="A99" s="331">
        <v>10</v>
      </c>
      <c r="B99" s="332">
        <v>100635</v>
      </c>
      <c r="C99" s="333" t="s">
        <v>1274</v>
      </c>
    </row>
    <row r="100" spans="1:3" s="276" customFormat="1" x14ac:dyDescent="0.2">
      <c r="A100" s="331">
        <v>10</v>
      </c>
      <c r="B100" s="332">
        <v>100645</v>
      </c>
      <c r="C100" s="333" t="s">
        <v>1275</v>
      </c>
    </row>
    <row r="101" spans="1:3" s="276" customFormat="1" x14ac:dyDescent="0.2">
      <c r="A101" s="331">
        <v>10</v>
      </c>
      <c r="B101" s="332">
        <v>100665</v>
      </c>
      <c r="C101" s="333" t="s">
        <v>1276</v>
      </c>
    </row>
    <row r="102" spans="1:3" s="276" customFormat="1" x14ac:dyDescent="0.2">
      <c r="A102" s="331">
        <v>10</v>
      </c>
      <c r="B102" s="332">
        <v>100690</v>
      </c>
      <c r="C102" s="333" t="s">
        <v>1277</v>
      </c>
    </row>
    <row r="103" spans="1:3" s="276" customFormat="1" x14ac:dyDescent="0.2">
      <c r="A103" s="331">
        <v>10</v>
      </c>
      <c r="B103" s="332">
        <v>100710</v>
      </c>
      <c r="C103" s="333" t="s">
        <v>1278</v>
      </c>
    </row>
    <row r="104" spans="1:3" s="276" customFormat="1" x14ac:dyDescent="0.2">
      <c r="A104" s="331">
        <v>10</v>
      </c>
      <c r="B104" s="332">
        <v>100715</v>
      </c>
      <c r="C104" s="333" t="s">
        <v>1279</v>
      </c>
    </row>
    <row r="105" spans="1:3" s="276" customFormat="1" x14ac:dyDescent="0.2">
      <c r="A105" s="331">
        <v>10</v>
      </c>
      <c r="B105" s="332">
        <v>100730</v>
      </c>
      <c r="C105" s="333" t="s">
        <v>1280</v>
      </c>
    </row>
    <row r="106" spans="1:3" s="276" customFormat="1" x14ac:dyDescent="0.2">
      <c r="A106" s="331">
        <v>10</v>
      </c>
      <c r="B106" s="332">
        <v>100735</v>
      </c>
      <c r="C106" s="333" t="s">
        <v>1281</v>
      </c>
    </row>
    <row r="107" spans="1:3" s="276" customFormat="1" x14ac:dyDescent="0.2">
      <c r="A107" s="331">
        <v>10</v>
      </c>
      <c r="B107" s="332">
        <v>100760</v>
      </c>
      <c r="C107" s="333" t="s">
        <v>1282</v>
      </c>
    </row>
    <row r="108" spans="1:3" s="276" customFormat="1" x14ac:dyDescent="0.2">
      <c r="A108" s="331">
        <v>10</v>
      </c>
      <c r="B108" s="332">
        <v>100780</v>
      </c>
      <c r="C108" s="333" t="s">
        <v>1283</v>
      </c>
    </row>
    <row r="109" spans="1:3" s="276" customFormat="1" x14ac:dyDescent="0.2">
      <c r="A109" s="331">
        <v>10</v>
      </c>
      <c r="B109" s="332">
        <v>100795</v>
      </c>
      <c r="C109" s="333" t="s">
        <v>1284</v>
      </c>
    </row>
    <row r="110" spans="1:3" s="276" customFormat="1" x14ac:dyDescent="0.2">
      <c r="A110" s="331">
        <v>10</v>
      </c>
      <c r="B110" s="332">
        <v>100800</v>
      </c>
      <c r="C110" s="333" t="s">
        <v>1285</v>
      </c>
    </row>
    <row r="111" spans="1:3" s="276" customFormat="1" x14ac:dyDescent="0.2">
      <c r="A111" s="331">
        <v>10</v>
      </c>
      <c r="B111" s="332">
        <v>100815</v>
      </c>
      <c r="C111" s="333" t="s">
        <v>1286</v>
      </c>
    </row>
    <row r="112" spans="1:3" s="276" customFormat="1" x14ac:dyDescent="0.2">
      <c r="A112" s="331">
        <v>10</v>
      </c>
      <c r="B112" s="332">
        <v>100845</v>
      </c>
      <c r="C112" s="333" t="s">
        <v>1287</v>
      </c>
    </row>
    <row r="113" spans="1:3" s="276" customFormat="1" x14ac:dyDescent="0.2">
      <c r="A113" s="331">
        <v>10</v>
      </c>
      <c r="B113" s="332">
        <v>100870</v>
      </c>
      <c r="C113" s="333" t="s">
        <v>1288</v>
      </c>
    </row>
    <row r="114" spans="1:3" s="276" customFormat="1" x14ac:dyDescent="0.2">
      <c r="A114" s="331">
        <v>10</v>
      </c>
      <c r="B114" s="332">
        <v>100895</v>
      </c>
      <c r="C114" s="333" t="s">
        <v>1289</v>
      </c>
    </row>
    <row r="115" spans="1:3" s="276" customFormat="1" x14ac:dyDescent="0.2">
      <c r="A115" s="331">
        <v>10</v>
      </c>
      <c r="B115" s="332">
        <v>100900</v>
      </c>
      <c r="C115" s="333" t="s">
        <v>1290</v>
      </c>
    </row>
    <row r="116" spans="1:3" s="276" customFormat="1" x14ac:dyDescent="0.2">
      <c r="A116" s="331">
        <v>10</v>
      </c>
      <c r="B116" s="332">
        <v>100915</v>
      </c>
      <c r="C116" s="333" t="s">
        <v>1291</v>
      </c>
    </row>
    <row r="117" spans="1:3" x14ac:dyDescent="0.2">
      <c r="A117" s="334">
        <v>15</v>
      </c>
      <c r="B117" s="332">
        <v>150660</v>
      </c>
      <c r="C117" s="333" t="s">
        <v>1292</v>
      </c>
    </row>
    <row r="118" spans="1:3" x14ac:dyDescent="0.2">
      <c r="A118" s="334">
        <v>15</v>
      </c>
      <c r="B118" s="332">
        <v>150680</v>
      </c>
      <c r="C118" s="333" t="s">
        <v>1293</v>
      </c>
    </row>
    <row r="119" spans="1:3" x14ac:dyDescent="0.2">
      <c r="A119" s="334">
        <v>15</v>
      </c>
      <c r="B119" s="332">
        <v>150695</v>
      </c>
      <c r="C119" s="333" t="s">
        <v>1294</v>
      </c>
    </row>
    <row r="120" spans="1:3" x14ac:dyDescent="0.2">
      <c r="A120" s="334">
        <v>15</v>
      </c>
      <c r="B120" s="332">
        <v>150705</v>
      </c>
      <c r="C120" s="333" t="s">
        <v>1295</v>
      </c>
    </row>
    <row r="121" spans="1:3" x14ac:dyDescent="0.2">
      <c r="A121" s="334">
        <v>15</v>
      </c>
      <c r="B121" s="332">
        <v>150745</v>
      </c>
      <c r="C121" s="333" t="s">
        <v>1296</v>
      </c>
    </row>
    <row r="122" spans="1:3" x14ac:dyDescent="0.2">
      <c r="A122" s="334">
        <v>15</v>
      </c>
      <c r="B122" s="332">
        <v>150765</v>
      </c>
      <c r="C122" s="333" t="s">
        <v>1297</v>
      </c>
    </row>
    <row r="123" spans="1:3" x14ac:dyDescent="0.2">
      <c r="A123" s="334">
        <v>15</v>
      </c>
      <c r="B123" s="332">
        <v>150770</v>
      </c>
      <c r="C123" s="333" t="s">
        <v>1298</v>
      </c>
    </row>
    <row r="124" spans="1:3" x14ac:dyDescent="0.2">
      <c r="A124" s="334">
        <v>15</v>
      </c>
      <c r="B124" s="332">
        <v>150775</v>
      </c>
      <c r="C124" s="333" t="s">
        <v>1299</v>
      </c>
    </row>
    <row r="125" spans="1:3" x14ac:dyDescent="0.2">
      <c r="A125" s="334">
        <v>15</v>
      </c>
      <c r="B125" s="332">
        <v>150785</v>
      </c>
      <c r="C125" s="333" t="s">
        <v>1300</v>
      </c>
    </row>
    <row r="126" spans="1:3" x14ac:dyDescent="0.2">
      <c r="A126" s="334">
        <v>15</v>
      </c>
      <c r="B126" s="332">
        <v>150805</v>
      </c>
      <c r="C126" s="333" t="s">
        <v>1301</v>
      </c>
    </row>
    <row r="127" spans="1:3" x14ac:dyDescent="0.2">
      <c r="A127" s="334">
        <v>15</v>
      </c>
      <c r="B127" s="332">
        <v>150810</v>
      </c>
      <c r="C127" s="333" t="s">
        <v>1302</v>
      </c>
    </row>
    <row r="128" spans="1:3" x14ac:dyDescent="0.2">
      <c r="A128" s="334">
        <v>15</v>
      </c>
      <c r="B128" s="332">
        <v>150820</v>
      </c>
      <c r="C128" s="333" t="s">
        <v>1303</v>
      </c>
    </row>
    <row r="129" spans="1:3" x14ac:dyDescent="0.2">
      <c r="A129" s="334">
        <v>15</v>
      </c>
      <c r="B129" s="332">
        <v>150825</v>
      </c>
      <c r="C129" s="333" t="s">
        <v>1304</v>
      </c>
    </row>
    <row r="130" spans="1:3" x14ac:dyDescent="0.2">
      <c r="A130" s="334">
        <v>15</v>
      </c>
      <c r="B130" s="332">
        <v>150835</v>
      </c>
      <c r="C130" s="333" t="s">
        <v>1305</v>
      </c>
    </row>
    <row r="131" spans="1:3" x14ac:dyDescent="0.2">
      <c r="A131" s="334">
        <v>15</v>
      </c>
      <c r="B131" s="332">
        <v>150840</v>
      </c>
      <c r="C131" s="333" t="s">
        <v>1306</v>
      </c>
    </row>
    <row r="132" spans="1:3" x14ac:dyDescent="0.2">
      <c r="A132" s="334">
        <v>15</v>
      </c>
      <c r="B132" s="332">
        <v>150855</v>
      </c>
      <c r="C132" s="333" t="s">
        <v>1307</v>
      </c>
    </row>
    <row r="133" spans="1:3" x14ac:dyDescent="0.2">
      <c r="A133" s="334">
        <v>15</v>
      </c>
      <c r="B133" s="332">
        <v>150860</v>
      </c>
      <c r="C133" s="333" t="s">
        <v>1308</v>
      </c>
    </row>
    <row r="134" spans="1:3" x14ac:dyDescent="0.2">
      <c r="A134" s="334">
        <v>15</v>
      </c>
      <c r="B134" s="332">
        <v>150865</v>
      </c>
      <c r="C134" s="333" t="s">
        <v>1309</v>
      </c>
    </row>
    <row r="135" spans="1:3" x14ac:dyDescent="0.2">
      <c r="A135" s="334">
        <v>15</v>
      </c>
      <c r="B135" s="332">
        <v>150875</v>
      </c>
      <c r="C135" s="333" t="s">
        <v>1310</v>
      </c>
    </row>
    <row r="136" spans="1:3" x14ac:dyDescent="0.2">
      <c r="A136" s="334">
        <v>15</v>
      </c>
      <c r="B136" s="332">
        <v>150880</v>
      </c>
      <c r="C136" s="333" t="s">
        <v>1311</v>
      </c>
    </row>
    <row r="137" spans="1:3" x14ac:dyDescent="0.2">
      <c r="A137" s="334">
        <v>15</v>
      </c>
      <c r="B137" s="332">
        <v>150885</v>
      </c>
      <c r="C137" s="333" t="s">
        <v>1312</v>
      </c>
    </row>
    <row r="138" spans="1:3" x14ac:dyDescent="0.2">
      <c r="A138" s="334">
        <v>15</v>
      </c>
      <c r="B138" s="332">
        <v>150910</v>
      </c>
      <c r="C138" s="333" t="s">
        <v>1313</v>
      </c>
    </row>
    <row r="139" spans="1:3" x14ac:dyDescent="0.2">
      <c r="A139" s="334">
        <v>15</v>
      </c>
      <c r="B139" s="332">
        <v>150920</v>
      </c>
      <c r="C139" s="333" t="s">
        <v>1314</v>
      </c>
    </row>
    <row r="140" spans="1:3" x14ac:dyDescent="0.2">
      <c r="A140" s="334">
        <v>15</v>
      </c>
      <c r="B140" s="332">
        <v>150930</v>
      </c>
      <c r="C140" s="333" t="s">
        <v>1315</v>
      </c>
    </row>
    <row r="141" spans="1:3" x14ac:dyDescent="0.2">
      <c r="A141" s="334">
        <v>15</v>
      </c>
      <c r="B141" s="332">
        <v>150935</v>
      </c>
      <c r="C141" s="333" t="s">
        <v>1316</v>
      </c>
    </row>
    <row r="142" spans="1:3" x14ac:dyDescent="0.2">
      <c r="A142" s="334">
        <v>15</v>
      </c>
      <c r="B142" s="332">
        <v>150950</v>
      </c>
      <c r="C142" s="333" t="s">
        <v>1317</v>
      </c>
    </row>
    <row r="143" spans="1:3" x14ac:dyDescent="0.2">
      <c r="A143" s="334">
        <v>15</v>
      </c>
      <c r="B143" s="332">
        <v>150955</v>
      </c>
      <c r="C143" s="333" t="s">
        <v>1318</v>
      </c>
    </row>
    <row r="144" spans="1:3" x14ac:dyDescent="0.2">
      <c r="A144" s="334">
        <v>15</v>
      </c>
      <c r="B144" s="332">
        <v>150960</v>
      </c>
      <c r="C144" s="333" t="s">
        <v>1319</v>
      </c>
    </row>
    <row r="145" spans="1:3" x14ac:dyDescent="0.2">
      <c r="A145" s="334">
        <v>15</v>
      </c>
      <c r="B145" s="332">
        <v>150975</v>
      </c>
      <c r="C145" s="333" t="s">
        <v>1320</v>
      </c>
    </row>
    <row r="146" spans="1:3" x14ac:dyDescent="0.2">
      <c r="A146" s="334">
        <v>15</v>
      </c>
      <c r="B146" s="332">
        <v>150990</v>
      </c>
      <c r="C146" s="333" t="s">
        <v>1321</v>
      </c>
    </row>
    <row r="147" spans="1:3" x14ac:dyDescent="0.2">
      <c r="A147" s="334">
        <v>15</v>
      </c>
      <c r="B147" s="332">
        <v>151000</v>
      </c>
      <c r="C147" s="333" t="s">
        <v>1322</v>
      </c>
    </row>
    <row r="148" spans="1:3" x14ac:dyDescent="0.2">
      <c r="A148" s="334">
        <v>15</v>
      </c>
      <c r="B148" s="332">
        <v>151010</v>
      </c>
      <c r="C148" s="333" t="s">
        <v>1323</v>
      </c>
    </row>
    <row r="149" spans="1:3" x14ac:dyDescent="0.2">
      <c r="A149" s="334">
        <v>15</v>
      </c>
      <c r="B149" s="332">
        <v>151025</v>
      </c>
      <c r="C149" s="333" t="s">
        <v>1324</v>
      </c>
    </row>
    <row r="150" spans="1:3" x14ac:dyDescent="0.2">
      <c r="A150" s="334">
        <v>15</v>
      </c>
      <c r="B150" s="332">
        <v>151030</v>
      </c>
      <c r="C150" s="333" t="s">
        <v>1325</v>
      </c>
    </row>
    <row r="151" spans="1:3" x14ac:dyDescent="0.2">
      <c r="A151" s="334">
        <v>15</v>
      </c>
      <c r="B151" s="332">
        <v>151050</v>
      </c>
      <c r="C151" s="333" t="s">
        <v>1326</v>
      </c>
    </row>
    <row r="152" spans="1:3" x14ac:dyDescent="0.2">
      <c r="A152" s="334">
        <v>15</v>
      </c>
      <c r="B152" s="332">
        <v>151080</v>
      </c>
      <c r="C152" s="333" t="s">
        <v>1327</v>
      </c>
    </row>
    <row r="153" spans="1:3" x14ac:dyDescent="0.2">
      <c r="A153" s="334">
        <v>15</v>
      </c>
      <c r="B153" s="332">
        <v>151090</v>
      </c>
      <c r="C153" s="333" t="s">
        <v>1328</v>
      </c>
    </row>
    <row r="154" spans="1:3" x14ac:dyDescent="0.2">
      <c r="A154" s="334">
        <v>15</v>
      </c>
      <c r="B154" s="332">
        <v>151095</v>
      </c>
      <c r="C154" s="333" t="s">
        <v>1329</v>
      </c>
    </row>
    <row r="155" spans="1:3" x14ac:dyDescent="0.2">
      <c r="A155" s="334">
        <v>15</v>
      </c>
      <c r="B155" s="332">
        <v>151135</v>
      </c>
      <c r="C155" s="333" t="s">
        <v>1330</v>
      </c>
    </row>
    <row r="156" spans="1:3" x14ac:dyDescent="0.2">
      <c r="A156" s="334">
        <v>15</v>
      </c>
      <c r="B156" s="332">
        <v>151160</v>
      </c>
      <c r="C156" s="333" t="s">
        <v>1331</v>
      </c>
    </row>
    <row r="157" spans="1:3" x14ac:dyDescent="0.2">
      <c r="A157" s="334">
        <v>15</v>
      </c>
      <c r="B157" s="332">
        <v>151180</v>
      </c>
      <c r="C157" s="333" t="s">
        <v>1332</v>
      </c>
    </row>
    <row r="158" spans="1:3" x14ac:dyDescent="0.2">
      <c r="A158" s="334">
        <v>15</v>
      </c>
      <c r="B158" s="332">
        <v>151185</v>
      </c>
      <c r="C158" s="333" t="s">
        <v>1333</v>
      </c>
    </row>
    <row r="159" spans="1:3" x14ac:dyDescent="0.2">
      <c r="A159" s="334">
        <v>15</v>
      </c>
      <c r="B159" s="332">
        <v>151195</v>
      </c>
      <c r="C159" s="333" t="s">
        <v>1334</v>
      </c>
    </row>
    <row r="160" spans="1:3" x14ac:dyDescent="0.2">
      <c r="A160" s="334">
        <v>15</v>
      </c>
      <c r="B160" s="332">
        <v>151200</v>
      </c>
      <c r="C160" s="333" t="s">
        <v>1335</v>
      </c>
    </row>
    <row r="161" spans="1:3" x14ac:dyDescent="0.2">
      <c r="A161" s="334">
        <v>15</v>
      </c>
      <c r="B161" s="332">
        <v>151215</v>
      </c>
      <c r="C161" s="333" t="s">
        <v>1336</v>
      </c>
    </row>
    <row r="162" spans="1:3" x14ac:dyDescent="0.2">
      <c r="A162" s="334">
        <v>15</v>
      </c>
      <c r="B162" s="332">
        <v>151220</v>
      </c>
      <c r="C162" s="333" t="s">
        <v>1337</v>
      </c>
    </row>
    <row r="163" spans="1:3" x14ac:dyDescent="0.2">
      <c r="A163" s="334">
        <v>15</v>
      </c>
      <c r="B163" s="332">
        <v>151230</v>
      </c>
      <c r="C163" s="333" t="s">
        <v>1338</v>
      </c>
    </row>
    <row r="164" spans="1:3" x14ac:dyDescent="0.2">
      <c r="A164" s="334">
        <v>15</v>
      </c>
      <c r="B164" s="332">
        <v>151245</v>
      </c>
      <c r="C164" s="333" t="s">
        <v>1339</v>
      </c>
    </row>
    <row r="165" spans="1:3" x14ac:dyDescent="0.2">
      <c r="A165" s="334">
        <v>15</v>
      </c>
      <c r="B165" s="332">
        <v>151265</v>
      </c>
      <c r="C165" s="333" t="s">
        <v>1340</v>
      </c>
    </row>
    <row r="166" spans="1:3" x14ac:dyDescent="0.2">
      <c r="A166" s="334">
        <v>15</v>
      </c>
      <c r="B166" s="332">
        <v>151270</v>
      </c>
      <c r="C166" s="333" t="s">
        <v>1341</v>
      </c>
    </row>
    <row r="167" spans="1:3" x14ac:dyDescent="0.2">
      <c r="A167" s="334">
        <v>15</v>
      </c>
      <c r="B167" s="332">
        <v>151285</v>
      </c>
      <c r="C167" s="333" t="s">
        <v>1342</v>
      </c>
    </row>
    <row r="168" spans="1:3" x14ac:dyDescent="0.2">
      <c r="A168" s="334">
        <v>15</v>
      </c>
      <c r="B168" s="332">
        <v>151311</v>
      </c>
      <c r="C168" s="333" t="s">
        <v>1343</v>
      </c>
    </row>
    <row r="169" spans="1:3" x14ac:dyDescent="0.2">
      <c r="A169" s="334">
        <v>15</v>
      </c>
      <c r="B169" s="332">
        <v>151325</v>
      </c>
      <c r="C169" s="333" t="s">
        <v>1344</v>
      </c>
    </row>
    <row r="170" spans="1:3" x14ac:dyDescent="0.2">
      <c r="A170" s="334">
        <v>15</v>
      </c>
      <c r="B170" s="332">
        <v>151335</v>
      </c>
      <c r="C170" s="333" t="s">
        <v>1345</v>
      </c>
    </row>
    <row r="171" spans="1:3" x14ac:dyDescent="0.2">
      <c r="A171" s="334">
        <v>15</v>
      </c>
      <c r="B171" s="332">
        <v>151345</v>
      </c>
      <c r="C171" s="333" t="s">
        <v>1346</v>
      </c>
    </row>
    <row r="172" spans="1:3" x14ac:dyDescent="0.2">
      <c r="A172" s="334">
        <v>15</v>
      </c>
      <c r="B172" s="332">
        <v>151365</v>
      </c>
      <c r="C172" s="333" t="s">
        <v>1347</v>
      </c>
    </row>
    <row r="173" spans="1:3" x14ac:dyDescent="0.2">
      <c r="A173" s="334">
        <v>15</v>
      </c>
      <c r="B173" s="332">
        <v>151375</v>
      </c>
      <c r="C173" s="333" t="s">
        <v>1348</v>
      </c>
    </row>
    <row r="174" spans="1:3" x14ac:dyDescent="0.2">
      <c r="A174" s="334">
        <v>15</v>
      </c>
      <c r="B174" s="332">
        <v>151380</v>
      </c>
      <c r="C174" s="333" t="s">
        <v>1349</v>
      </c>
    </row>
    <row r="175" spans="1:3" x14ac:dyDescent="0.2">
      <c r="A175" s="334">
        <v>15</v>
      </c>
      <c r="B175" s="332">
        <v>151385</v>
      </c>
      <c r="C175" s="333" t="s">
        <v>1350</v>
      </c>
    </row>
    <row r="176" spans="1:3" x14ac:dyDescent="0.2">
      <c r="A176" s="334">
        <v>15</v>
      </c>
      <c r="B176" s="332">
        <v>151405</v>
      </c>
      <c r="C176" s="333" t="s">
        <v>1351</v>
      </c>
    </row>
    <row r="177" spans="1:3" x14ac:dyDescent="0.2">
      <c r="A177" s="334">
        <v>15</v>
      </c>
      <c r="B177" s="332">
        <v>151410</v>
      </c>
      <c r="C177" s="333" t="s">
        <v>1352</v>
      </c>
    </row>
    <row r="178" spans="1:3" x14ac:dyDescent="0.2">
      <c r="A178" s="334">
        <v>15</v>
      </c>
      <c r="B178" s="332">
        <v>151420</v>
      </c>
      <c r="C178" s="333" t="s">
        <v>1353</v>
      </c>
    </row>
    <row r="179" spans="1:3" x14ac:dyDescent="0.2">
      <c r="A179" s="334">
        <v>15</v>
      </c>
      <c r="B179" s="332">
        <v>151435</v>
      </c>
      <c r="C179" s="333" t="s">
        <v>1354</v>
      </c>
    </row>
    <row r="180" spans="1:3" x14ac:dyDescent="0.2">
      <c r="A180" s="334">
        <v>15</v>
      </c>
      <c r="B180" s="332">
        <v>151445</v>
      </c>
      <c r="C180" s="333" t="s">
        <v>1355</v>
      </c>
    </row>
    <row r="181" spans="1:3" x14ac:dyDescent="0.2">
      <c r="A181" s="331">
        <v>20</v>
      </c>
      <c r="B181" s="332">
        <v>200905</v>
      </c>
      <c r="C181" s="333" t="s">
        <v>1356</v>
      </c>
    </row>
    <row r="182" spans="1:3" x14ac:dyDescent="0.2">
      <c r="A182" s="331">
        <v>20</v>
      </c>
      <c r="B182" s="332">
        <v>200925</v>
      </c>
      <c r="C182" s="333" t="s">
        <v>1357</v>
      </c>
    </row>
    <row r="183" spans="1:3" x14ac:dyDescent="0.2">
      <c r="A183" s="331">
        <v>20</v>
      </c>
      <c r="B183" s="332">
        <v>200945</v>
      </c>
      <c r="C183" s="333" t="s">
        <v>1358</v>
      </c>
    </row>
    <row r="184" spans="1:3" x14ac:dyDescent="0.2">
      <c r="A184" s="331">
        <v>20</v>
      </c>
      <c r="B184" s="332">
        <v>200965</v>
      </c>
      <c r="C184" s="333" t="s">
        <v>1359</v>
      </c>
    </row>
    <row r="185" spans="1:3" x14ac:dyDescent="0.2">
      <c r="A185" s="331">
        <v>20</v>
      </c>
      <c r="B185" s="332">
        <v>200970</v>
      </c>
      <c r="C185" s="333" t="s">
        <v>1360</v>
      </c>
    </row>
    <row r="186" spans="1:3" x14ac:dyDescent="0.2">
      <c r="A186" s="331">
        <v>20</v>
      </c>
      <c r="B186" s="332">
        <v>200985</v>
      </c>
      <c r="C186" s="333" t="s">
        <v>1361</v>
      </c>
    </row>
    <row r="187" spans="1:3" x14ac:dyDescent="0.2">
      <c r="A187" s="331">
        <v>20</v>
      </c>
      <c r="B187" s="332">
        <v>200995</v>
      </c>
      <c r="C187" s="333" t="s">
        <v>1362</v>
      </c>
    </row>
    <row r="188" spans="1:3" x14ac:dyDescent="0.2">
      <c r="A188" s="331">
        <v>20</v>
      </c>
      <c r="B188" s="332">
        <v>201005</v>
      </c>
      <c r="C188" s="333" t="s">
        <v>1363</v>
      </c>
    </row>
    <row r="189" spans="1:3" x14ac:dyDescent="0.2">
      <c r="A189" s="331">
        <v>20</v>
      </c>
      <c r="B189" s="332">
        <v>201015</v>
      </c>
      <c r="C189" s="333" t="s">
        <v>1364</v>
      </c>
    </row>
    <row r="190" spans="1:3" x14ac:dyDescent="0.2">
      <c r="A190" s="331">
        <v>20</v>
      </c>
      <c r="B190" s="332">
        <v>201020</v>
      </c>
      <c r="C190" s="333" t="s">
        <v>1365</v>
      </c>
    </row>
    <row r="191" spans="1:3" x14ac:dyDescent="0.2">
      <c r="A191" s="331">
        <v>20</v>
      </c>
      <c r="B191" s="332">
        <v>201035</v>
      </c>
      <c r="C191" s="333" t="s">
        <v>1366</v>
      </c>
    </row>
    <row r="192" spans="1:3" x14ac:dyDescent="0.2">
      <c r="A192" s="331">
        <v>20</v>
      </c>
      <c r="B192" s="332">
        <v>201040</v>
      </c>
      <c r="C192" s="333" t="s">
        <v>1367</v>
      </c>
    </row>
    <row r="193" spans="1:3" x14ac:dyDescent="0.2">
      <c r="A193" s="331">
        <v>20</v>
      </c>
      <c r="B193" s="332">
        <v>201055</v>
      </c>
      <c r="C193" s="333" t="s">
        <v>1368</v>
      </c>
    </row>
    <row r="194" spans="1:3" x14ac:dyDescent="0.2">
      <c r="A194" s="331">
        <v>20</v>
      </c>
      <c r="B194" s="332">
        <v>201065</v>
      </c>
      <c r="C194" s="333" t="s">
        <v>1369</v>
      </c>
    </row>
    <row r="195" spans="1:3" x14ac:dyDescent="0.2">
      <c r="A195" s="331">
        <v>20</v>
      </c>
      <c r="B195" s="332">
        <v>201070</v>
      </c>
      <c r="C195" s="333" t="s">
        <v>1370</v>
      </c>
    </row>
    <row r="196" spans="1:3" x14ac:dyDescent="0.2">
      <c r="A196" s="331">
        <v>20</v>
      </c>
      <c r="B196" s="332">
        <v>201075</v>
      </c>
      <c r="C196" s="333" t="s">
        <v>1371</v>
      </c>
    </row>
    <row r="197" spans="1:3" x14ac:dyDescent="0.2">
      <c r="A197" s="331">
        <v>20</v>
      </c>
      <c r="B197" s="332">
        <v>201085</v>
      </c>
      <c r="C197" s="333" t="s">
        <v>1372</v>
      </c>
    </row>
    <row r="198" spans="1:3" x14ac:dyDescent="0.2">
      <c r="A198" s="331">
        <v>20</v>
      </c>
      <c r="B198" s="332">
        <v>201100</v>
      </c>
      <c r="C198" s="333" t="s">
        <v>1373</v>
      </c>
    </row>
    <row r="199" spans="1:3" x14ac:dyDescent="0.2">
      <c r="A199" s="331">
        <v>20</v>
      </c>
      <c r="B199" s="332">
        <v>201105</v>
      </c>
      <c r="C199" s="333" t="s">
        <v>1374</v>
      </c>
    </row>
    <row r="200" spans="1:3" x14ac:dyDescent="0.2">
      <c r="A200" s="331">
        <v>20</v>
      </c>
      <c r="B200" s="332">
        <v>201115</v>
      </c>
      <c r="C200" s="333" t="s">
        <v>1375</v>
      </c>
    </row>
    <row r="201" spans="1:3" x14ac:dyDescent="0.2">
      <c r="A201" s="331">
        <v>20</v>
      </c>
      <c r="B201" s="332">
        <v>201116</v>
      </c>
      <c r="C201" s="333" t="s">
        <v>1376</v>
      </c>
    </row>
    <row r="202" spans="1:3" x14ac:dyDescent="0.2">
      <c r="A202" s="331">
        <v>20</v>
      </c>
      <c r="B202" s="332">
        <v>201120</v>
      </c>
      <c r="C202" s="333" t="s">
        <v>1377</v>
      </c>
    </row>
    <row r="203" spans="1:3" x14ac:dyDescent="0.2">
      <c r="A203" s="331">
        <v>20</v>
      </c>
      <c r="B203" s="332">
        <v>201125</v>
      </c>
      <c r="C203" s="333" t="s">
        <v>1378</v>
      </c>
    </row>
    <row r="204" spans="1:3" x14ac:dyDescent="0.2">
      <c r="A204" s="331">
        <v>20</v>
      </c>
      <c r="B204" s="332">
        <v>201130</v>
      </c>
      <c r="C204" s="333" t="s">
        <v>1379</v>
      </c>
    </row>
    <row r="205" spans="1:3" x14ac:dyDescent="0.2">
      <c r="A205" s="331">
        <v>20</v>
      </c>
      <c r="B205" s="332">
        <v>201155</v>
      </c>
      <c r="C205" s="333" t="s">
        <v>1380</v>
      </c>
    </row>
    <row r="206" spans="1:3" x14ac:dyDescent="0.2">
      <c r="A206" s="331">
        <v>20</v>
      </c>
      <c r="B206" s="332">
        <v>201170</v>
      </c>
      <c r="C206" s="333" t="s">
        <v>1381</v>
      </c>
    </row>
    <row r="207" spans="1:3" x14ac:dyDescent="0.2">
      <c r="A207" s="331">
        <v>20</v>
      </c>
      <c r="B207" s="332">
        <v>201175</v>
      </c>
      <c r="C207" s="333" t="s">
        <v>1382</v>
      </c>
    </row>
    <row r="208" spans="1:3" x14ac:dyDescent="0.2">
      <c r="A208" s="331">
        <v>20</v>
      </c>
      <c r="B208" s="332">
        <v>201190</v>
      </c>
      <c r="C208" s="333" t="s">
        <v>1383</v>
      </c>
    </row>
    <row r="209" spans="1:3" x14ac:dyDescent="0.2">
      <c r="A209" s="331">
        <v>20</v>
      </c>
      <c r="B209" s="332">
        <v>201205</v>
      </c>
      <c r="C209" s="333" t="s">
        <v>1384</v>
      </c>
    </row>
    <row r="210" spans="1:3" x14ac:dyDescent="0.2">
      <c r="A210" s="331">
        <v>20</v>
      </c>
      <c r="B210" s="332">
        <v>201210</v>
      </c>
      <c r="C210" s="333" t="s">
        <v>1385</v>
      </c>
    </row>
    <row r="211" spans="1:3" x14ac:dyDescent="0.2">
      <c r="A211" s="331">
        <v>20</v>
      </c>
      <c r="B211" s="332">
        <v>201225</v>
      </c>
      <c r="C211" s="333" t="s">
        <v>1386</v>
      </c>
    </row>
    <row r="212" spans="1:3" x14ac:dyDescent="0.2">
      <c r="A212" s="331">
        <v>20</v>
      </c>
      <c r="B212" s="332">
        <v>201255</v>
      </c>
      <c r="C212" s="333" t="s">
        <v>1387</v>
      </c>
    </row>
    <row r="213" spans="1:3" x14ac:dyDescent="0.2">
      <c r="A213" s="331">
        <v>20</v>
      </c>
      <c r="B213" s="332">
        <v>201260</v>
      </c>
      <c r="C213" s="333" t="s">
        <v>1388</v>
      </c>
    </row>
    <row r="214" spans="1:3" x14ac:dyDescent="0.2">
      <c r="A214" s="331">
        <v>20</v>
      </c>
      <c r="B214" s="332">
        <v>201280</v>
      </c>
      <c r="C214" s="333" t="s">
        <v>1389</v>
      </c>
    </row>
    <row r="215" spans="1:3" x14ac:dyDescent="0.2">
      <c r="A215" s="331">
        <v>25</v>
      </c>
      <c r="B215" s="332">
        <v>251250</v>
      </c>
      <c r="C215" s="333" t="s">
        <v>1390</v>
      </c>
    </row>
    <row r="216" spans="1:3" x14ac:dyDescent="0.2">
      <c r="A216" s="331">
        <v>25</v>
      </c>
      <c r="B216" s="332">
        <v>251275</v>
      </c>
      <c r="C216" s="333" t="s">
        <v>1391</v>
      </c>
    </row>
    <row r="217" spans="1:3" x14ac:dyDescent="0.2">
      <c r="A217" s="331">
        <v>25</v>
      </c>
      <c r="B217" s="332">
        <v>251290</v>
      </c>
      <c r="C217" s="333" t="s">
        <v>1392</v>
      </c>
    </row>
    <row r="218" spans="1:3" x14ac:dyDescent="0.2">
      <c r="A218" s="331">
        <v>25</v>
      </c>
      <c r="B218" s="332">
        <v>251295</v>
      </c>
      <c r="C218" s="333" t="s">
        <v>1393</v>
      </c>
    </row>
    <row r="219" spans="1:3" x14ac:dyDescent="0.2">
      <c r="A219" s="331">
        <v>25</v>
      </c>
      <c r="B219" s="332">
        <v>251300</v>
      </c>
      <c r="C219" s="333" t="s">
        <v>1394</v>
      </c>
    </row>
    <row r="220" spans="1:3" x14ac:dyDescent="0.2">
      <c r="A220" s="331">
        <v>25</v>
      </c>
      <c r="B220" s="332">
        <v>251305</v>
      </c>
      <c r="C220" s="333" t="s">
        <v>1395</v>
      </c>
    </row>
    <row r="221" spans="1:3" x14ac:dyDescent="0.2">
      <c r="A221" s="331">
        <v>25</v>
      </c>
      <c r="B221" s="332">
        <v>251310</v>
      </c>
      <c r="C221" s="333" t="s">
        <v>1396</v>
      </c>
    </row>
    <row r="222" spans="1:3" x14ac:dyDescent="0.2">
      <c r="A222" s="331">
        <v>25</v>
      </c>
      <c r="B222" s="332">
        <v>251315</v>
      </c>
      <c r="C222" s="333" t="s">
        <v>1397</v>
      </c>
    </row>
    <row r="223" spans="1:3" x14ac:dyDescent="0.2">
      <c r="A223" s="331">
        <v>25</v>
      </c>
      <c r="B223" s="332">
        <v>251320</v>
      </c>
      <c r="C223" s="333" t="s">
        <v>1398</v>
      </c>
    </row>
    <row r="224" spans="1:3" x14ac:dyDescent="0.2">
      <c r="A224" s="331">
        <v>25</v>
      </c>
      <c r="B224" s="332">
        <v>251330</v>
      </c>
      <c r="C224" s="333" t="s">
        <v>1399</v>
      </c>
    </row>
    <row r="225" spans="1:3" x14ac:dyDescent="0.2">
      <c r="A225" s="331">
        <v>25</v>
      </c>
      <c r="B225" s="332">
        <v>251340</v>
      </c>
      <c r="C225" s="333" t="s">
        <v>1400</v>
      </c>
    </row>
    <row r="226" spans="1:3" x14ac:dyDescent="0.2">
      <c r="A226" s="331">
        <v>25</v>
      </c>
      <c r="B226" s="332">
        <v>251355</v>
      </c>
      <c r="C226" s="333" t="s">
        <v>1401</v>
      </c>
    </row>
    <row r="227" spans="1:3" x14ac:dyDescent="0.2">
      <c r="A227" s="331">
        <v>25</v>
      </c>
      <c r="B227" s="332">
        <v>251360</v>
      </c>
      <c r="C227" s="333" t="s">
        <v>1241</v>
      </c>
    </row>
    <row r="228" spans="1:3" x14ac:dyDescent="0.2">
      <c r="A228" s="331">
        <v>25</v>
      </c>
      <c r="B228" s="332">
        <v>251370</v>
      </c>
      <c r="C228" s="333" t="s">
        <v>1402</v>
      </c>
    </row>
    <row r="229" spans="1:3" x14ac:dyDescent="0.2">
      <c r="A229" s="331">
        <v>25</v>
      </c>
      <c r="B229" s="332">
        <v>251395</v>
      </c>
      <c r="C229" s="333" t="s">
        <v>1403</v>
      </c>
    </row>
    <row r="230" spans="1:3" x14ac:dyDescent="0.2">
      <c r="A230" s="331">
        <v>25</v>
      </c>
      <c r="B230" s="332">
        <v>251400</v>
      </c>
      <c r="C230" s="333" t="s">
        <v>1404</v>
      </c>
    </row>
    <row r="231" spans="1:3" x14ac:dyDescent="0.2">
      <c r="A231" s="331">
        <v>25</v>
      </c>
      <c r="B231" s="332">
        <v>251415</v>
      </c>
      <c r="C231" s="333" t="s">
        <v>1405</v>
      </c>
    </row>
    <row r="232" spans="1:3" x14ac:dyDescent="0.2">
      <c r="A232" s="331">
        <v>25</v>
      </c>
      <c r="B232" s="332">
        <v>251425</v>
      </c>
      <c r="C232" s="333" t="s">
        <v>1406</v>
      </c>
    </row>
    <row r="233" spans="1:3" x14ac:dyDescent="0.2">
      <c r="A233" s="331">
        <v>25</v>
      </c>
      <c r="B233" s="332">
        <v>251430</v>
      </c>
      <c r="C233" s="333" t="s">
        <v>1407</v>
      </c>
    </row>
    <row r="234" spans="1:3" x14ac:dyDescent="0.2">
      <c r="A234" s="331">
        <v>25</v>
      </c>
      <c r="B234" s="332">
        <v>251440</v>
      </c>
      <c r="C234" s="333" t="s">
        <v>1408</v>
      </c>
    </row>
    <row r="235" spans="1:3" x14ac:dyDescent="0.2">
      <c r="A235" s="331">
        <v>30</v>
      </c>
      <c r="B235" s="332">
        <v>301455</v>
      </c>
      <c r="C235" s="333" t="s">
        <v>1409</v>
      </c>
    </row>
    <row r="236" spans="1:3" x14ac:dyDescent="0.2">
      <c r="A236" s="331">
        <v>30</v>
      </c>
      <c r="B236" s="332">
        <v>301460</v>
      </c>
      <c r="C236" s="333" t="s">
        <v>1410</v>
      </c>
    </row>
    <row r="237" spans="1:3" x14ac:dyDescent="0.2">
      <c r="A237" s="331">
        <v>30</v>
      </c>
      <c r="B237" s="332">
        <v>301470</v>
      </c>
      <c r="C237" s="333" t="s">
        <v>1411</v>
      </c>
    </row>
    <row r="238" spans="1:3" x14ac:dyDescent="0.2">
      <c r="A238" s="331">
        <v>30</v>
      </c>
      <c r="B238" s="332">
        <v>301480</v>
      </c>
      <c r="C238" s="333" t="s">
        <v>1412</v>
      </c>
    </row>
    <row r="239" spans="1:3" x14ac:dyDescent="0.2">
      <c r="A239" s="331">
        <v>30</v>
      </c>
      <c r="B239" s="332">
        <v>301485</v>
      </c>
      <c r="C239" s="333" t="s">
        <v>1413</v>
      </c>
    </row>
    <row r="240" spans="1:3" x14ac:dyDescent="0.2">
      <c r="A240" s="331">
        <v>30</v>
      </c>
      <c r="B240" s="332">
        <v>301490</v>
      </c>
      <c r="C240" s="333" t="s">
        <v>1414</v>
      </c>
    </row>
    <row r="241" spans="1:3" x14ac:dyDescent="0.2">
      <c r="A241" s="331">
        <v>30</v>
      </c>
      <c r="B241" s="332">
        <v>301495</v>
      </c>
      <c r="C241" s="333" t="s">
        <v>1415</v>
      </c>
    </row>
    <row r="242" spans="1:3" x14ac:dyDescent="0.2">
      <c r="A242" s="331">
        <v>30</v>
      </c>
      <c r="B242" s="332">
        <v>301500</v>
      </c>
      <c r="C242" s="333" t="s">
        <v>1416</v>
      </c>
    </row>
    <row r="243" spans="1:3" x14ac:dyDescent="0.2">
      <c r="A243" s="331">
        <v>30</v>
      </c>
      <c r="B243" s="332">
        <v>301505</v>
      </c>
      <c r="C243" s="333" t="s">
        <v>1417</v>
      </c>
    </row>
    <row r="244" spans="1:3" x14ac:dyDescent="0.2">
      <c r="A244" s="331">
        <v>30</v>
      </c>
      <c r="B244" s="332">
        <v>301515</v>
      </c>
      <c r="C244" s="333" t="s">
        <v>1418</v>
      </c>
    </row>
    <row r="245" spans="1:3" x14ac:dyDescent="0.2">
      <c r="A245" s="331">
        <v>30</v>
      </c>
      <c r="B245" s="332">
        <v>301520</v>
      </c>
      <c r="C245" s="333" t="s">
        <v>1419</v>
      </c>
    </row>
    <row r="246" spans="1:3" x14ac:dyDescent="0.2">
      <c r="A246" s="331">
        <v>30</v>
      </c>
      <c r="B246" s="332">
        <v>301525</v>
      </c>
      <c r="C246" s="333" t="s">
        <v>1420</v>
      </c>
    </row>
    <row r="247" spans="1:3" x14ac:dyDescent="0.2">
      <c r="A247" s="331">
        <v>30</v>
      </c>
      <c r="B247" s="332">
        <v>301530</v>
      </c>
      <c r="C247" s="333" t="s">
        <v>1225</v>
      </c>
    </row>
    <row r="248" spans="1:3" x14ac:dyDescent="0.2">
      <c r="A248" s="331">
        <v>30</v>
      </c>
      <c r="B248" s="332">
        <v>301535</v>
      </c>
      <c r="C248" s="333" t="s">
        <v>1421</v>
      </c>
    </row>
    <row r="249" spans="1:3" x14ac:dyDescent="0.2">
      <c r="A249" s="331">
        <v>30</v>
      </c>
      <c r="B249" s="332">
        <v>301540</v>
      </c>
      <c r="C249" s="333" t="s">
        <v>1422</v>
      </c>
    </row>
    <row r="250" spans="1:3" x14ac:dyDescent="0.2">
      <c r="A250" s="331">
        <v>30</v>
      </c>
      <c r="B250" s="332">
        <v>301545</v>
      </c>
      <c r="C250" s="333" t="s">
        <v>1423</v>
      </c>
    </row>
    <row r="251" spans="1:3" x14ac:dyDescent="0.2">
      <c r="A251" s="331">
        <v>30</v>
      </c>
      <c r="B251" s="332">
        <v>301550</v>
      </c>
      <c r="C251" s="333" t="s">
        <v>1424</v>
      </c>
    </row>
    <row r="252" spans="1:3" x14ac:dyDescent="0.2">
      <c r="A252" s="331">
        <v>30</v>
      </c>
      <c r="B252" s="332">
        <v>301555</v>
      </c>
      <c r="C252" s="333" t="s">
        <v>1425</v>
      </c>
    </row>
    <row r="253" spans="1:3" x14ac:dyDescent="0.2">
      <c r="A253" s="331">
        <v>30</v>
      </c>
      <c r="B253" s="332">
        <v>301560</v>
      </c>
      <c r="C253" s="333" t="s">
        <v>1426</v>
      </c>
    </row>
    <row r="254" spans="1:3" x14ac:dyDescent="0.2">
      <c r="A254" s="331">
        <v>30</v>
      </c>
      <c r="B254" s="332">
        <v>301565</v>
      </c>
      <c r="C254" s="333" t="s">
        <v>1427</v>
      </c>
    </row>
    <row r="255" spans="1:3" x14ac:dyDescent="0.2">
      <c r="A255" s="331">
        <v>30</v>
      </c>
      <c r="B255" s="332">
        <v>301570</v>
      </c>
      <c r="C255" s="333" t="s">
        <v>1428</v>
      </c>
    </row>
    <row r="256" spans="1:3" x14ac:dyDescent="0.2">
      <c r="A256" s="331">
        <v>30</v>
      </c>
      <c r="B256" s="332">
        <v>301575</v>
      </c>
      <c r="C256" s="333" t="s">
        <v>1429</v>
      </c>
    </row>
    <row r="257" spans="1:3" x14ac:dyDescent="0.2">
      <c r="A257" s="331">
        <v>30</v>
      </c>
      <c r="B257" s="332">
        <v>301585</v>
      </c>
      <c r="C257" s="333" t="s">
        <v>1430</v>
      </c>
    </row>
    <row r="258" spans="1:3" x14ac:dyDescent="0.2">
      <c r="A258" s="331">
        <v>30</v>
      </c>
      <c r="B258" s="332">
        <v>301590</v>
      </c>
      <c r="C258" s="333" t="s">
        <v>1431</v>
      </c>
    </row>
    <row r="259" spans="1:3" x14ac:dyDescent="0.2">
      <c r="A259" s="331">
        <v>30</v>
      </c>
      <c r="B259" s="332">
        <v>301595</v>
      </c>
      <c r="C259" s="333" t="s">
        <v>1432</v>
      </c>
    </row>
    <row r="260" spans="1:3" x14ac:dyDescent="0.2">
      <c r="A260" s="331">
        <v>30</v>
      </c>
      <c r="B260" s="332">
        <v>301600</v>
      </c>
      <c r="C260" s="333" t="s">
        <v>1433</v>
      </c>
    </row>
    <row r="261" spans="1:3" x14ac:dyDescent="0.2">
      <c r="A261" s="331">
        <v>30</v>
      </c>
      <c r="B261" s="332">
        <v>301605</v>
      </c>
      <c r="C261" s="333" t="s">
        <v>1434</v>
      </c>
    </row>
    <row r="262" spans="1:3" x14ac:dyDescent="0.2">
      <c r="A262" s="331">
        <v>30</v>
      </c>
      <c r="B262" s="332">
        <v>301610</v>
      </c>
      <c r="C262" s="333" t="s">
        <v>1435</v>
      </c>
    </row>
    <row r="263" spans="1:3" x14ac:dyDescent="0.2">
      <c r="A263" s="331">
        <v>30</v>
      </c>
      <c r="B263" s="332">
        <v>301615</v>
      </c>
      <c r="C263" s="333" t="s">
        <v>1436</v>
      </c>
    </row>
    <row r="264" spans="1:3" x14ac:dyDescent="0.2">
      <c r="A264" s="331">
        <v>30</v>
      </c>
      <c r="B264" s="332">
        <v>301620</v>
      </c>
      <c r="C264" s="333" t="s">
        <v>1437</v>
      </c>
    </row>
    <row r="265" spans="1:3" x14ac:dyDescent="0.2">
      <c r="A265" s="331">
        <v>30</v>
      </c>
      <c r="B265" s="332">
        <v>301625</v>
      </c>
      <c r="C265" s="333" t="s">
        <v>1438</v>
      </c>
    </row>
    <row r="266" spans="1:3" x14ac:dyDescent="0.2">
      <c r="A266" s="331">
        <v>30</v>
      </c>
      <c r="B266" s="332">
        <v>301635</v>
      </c>
      <c r="C266" s="333" t="s">
        <v>1439</v>
      </c>
    </row>
    <row r="267" spans="1:3" x14ac:dyDescent="0.2">
      <c r="A267" s="331">
        <v>30</v>
      </c>
      <c r="B267" s="332">
        <v>301636</v>
      </c>
      <c r="C267" s="333" t="s">
        <v>1440</v>
      </c>
    </row>
    <row r="268" spans="1:3" x14ac:dyDescent="0.2">
      <c r="A268" s="331">
        <v>30</v>
      </c>
      <c r="B268" s="332">
        <v>301640</v>
      </c>
      <c r="C268" s="333" t="s">
        <v>1441</v>
      </c>
    </row>
    <row r="269" spans="1:3" x14ac:dyDescent="0.2">
      <c r="A269" s="331">
        <v>30</v>
      </c>
      <c r="B269" s="332">
        <v>301645</v>
      </c>
      <c r="C269" s="333" t="s">
        <v>1442</v>
      </c>
    </row>
    <row r="270" spans="1:3" x14ac:dyDescent="0.2">
      <c r="A270" s="331">
        <v>30</v>
      </c>
      <c r="B270" s="332">
        <v>301650</v>
      </c>
      <c r="C270" s="333" t="s">
        <v>1443</v>
      </c>
    </row>
    <row r="271" spans="1:3" x14ac:dyDescent="0.2">
      <c r="A271" s="331">
        <v>30</v>
      </c>
      <c r="B271" s="332">
        <v>301660</v>
      </c>
      <c r="C271" s="333" t="s">
        <v>1444</v>
      </c>
    </row>
    <row r="272" spans="1:3" x14ac:dyDescent="0.2">
      <c r="A272" s="331">
        <v>30</v>
      </c>
      <c r="B272" s="332">
        <v>301665</v>
      </c>
      <c r="C272" s="333" t="s">
        <v>1445</v>
      </c>
    </row>
    <row r="273" spans="1:3" x14ac:dyDescent="0.2">
      <c r="A273" s="331">
        <v>30</v>
      </c>
      <c r="B273" s="332">
        <v>301670</v>
      </c>
      <c r="C273" s="333" t="s">
        <v>1446</v>
      </c>
    </row>
    <row r="274" spans="1:3" x14ac:dyDescent="0.2">
      <c r="A274" s="331">
        <v>30</v>
      </c>
      <c r="B274" s="332">
        <v>301675</v>
      </c>
      <c r="C274" s="333" t="s">
        <v>1447</v>
      </c>
    </row>
    <row r="275" spans="1:3" x14ac:dyDescent="0.2">
      <c r="A275" s="331">
        <v>30</v>
      </c>
      <c r="B275" s="332">
        <v>301680</v>
      </c>
      <c r="C275" s="333" t="s">
        <v>1448</v>
      </c>
    </row>
    <row r="276" spans="1:3" x14ac:dyDescent="0.2">
      <c r="A276" s="331">
        <v>30</v>
      </c>
      <c r="B276" s="332">
        <v>301685</v>
      </c>
      <c r="C276" s="333" t="s">
        <v>1181</v>
      </c>
    </row>
    <row r="277" spans="1:3" x14ac:dyDescent="0.2">
      <c r="A277" s="331">
        <v>30</v>
      </c>
      <c r="B277" s="332">
        <v>301700</v>
      </c>
      <c r="C277" s="333" t="s">
        <v>1449</v>
      </c>
    </row>
    <row r="278" spans="1:3" x14ac:dyDescent="0.2">
      <c r="A278" s="331">
        <v>30</v>
      </c>
      <c r="B278" s="332">
        <v>301705</v>
      </c>
      <c r="C278" s="333" t="s">
        <v>1450</v>
      </c>
    </row>
    <row r="279" spans="1:3" x14ac:dyDescent="0.2">
      <c r="A279" s="331">
        <v>30</v>
      </c>
      <c r="B279" s="332">
        <v>301710</v>
      </c>
      <c r="C279" s="333" t="s">
        <v>1451</v>
      </c>
    </row>
    <row r="280" spans="1:3" x14ac:dyDescent="0.2">
      <c r="A280" s="331">
        <v>30</v>
      </c>
      <c r="B280" s="332">
        <v>301715</v>
      </c>
      <c r="C280" s="333" t="s">
        <v>1452</v>
      </c>
    </row>
    <row r="281" spans="1:3" x14ac:dyDescent="0.2">
      <c r="A281" s="331">
        <v>30</v>
      </c>
      <c r="B281" s="332">
        <v>301720</v>
      </c>
      <c r="C281" s="333" t="s">
        <v>1453</v>
      </c>
    </row>
    <row r="282" spans="1:3" x14ac:dyDescent="0.2">
      <c r="A282" s="331">
        <v>30</v>
      </c>
      <c r="B282" s="332">
        <v>301725</v>
      </c>
      <c r="C282" s="333" t="s">
        <v>1454</v>
      </c>
    </row>
    <row r="283" spans="1:3" x14ac:dyDescent="0.2">
      <c r="A283" s="331">
        <v>30</v>
      </c>
      <c r="B283" s="332">
        <v>301730</v>
      </c>
      <c r="C283" s="333" t="s">
        <v>1455</v>
      </c>
    </row>
    <row r="284" spans="1:3" x14ac:dyDescent="0.2">
      <c r="A284" s="331">
        <v>30</v>
      </c>
      <c r="B284" s="332">
        <v>301735</v>
      </c>
      <c r="C284" s="333" t="s">
        <v>1456</v>
      </c>
    </row>
    <row r="285" spans="1:3" x14ac:dyDescent="0.2">
      <c r="A285" s="331">
        <v>30</v>
      </c>
      <c r="B285" s="332">
        <v>301740</v>
      </c>
      <c r="C285" s="333" t="s">
        <v>1457</v>
      </c>
    </row>
    <row r="286" spans="1:3" x14ac:dyDescent="0.2">
      <c r="A286" s="331">
        <v>30</v>
      </c>
      <c r="B286" s="332">
        <v>301745</v>
      </c>
      <c r="C286" s="333" t="s">
        <v>1458</v>
      </c>
    </row>
    <row r="287" spans="1:3" x14ac:dyDescent="0.2">
      <c r="A287" s="331">
        <v>30</v>
      </c>
      <c r="B287" s="332">
        <v>301750</v>
      </c>
      <c r="C287" s="333" t="s">
        <v>1459</v>
      </c>
    </row>
    <row r="288" spans="1:3" x14ac:dyDescent="0.2">
      <c r="A288" s="331">
        <v>30</v>
      </c>
      <c r="B288" s="332">
        <v>301755</v>
      </c>
      <c r="C288" s="333" t="s">
        <v>1460</v>
      </c>
    </row>
    <row r="289" spans="1:3" x14ac:dyDescent="0.2">
      <c r="A289" s="331">
        <v>30</v>
      </c>
      <c r="B289" s="332">
        <v>301760</v>
      </c>
      <c r="C289" s="333" t="s">
        <v>1461</v>
      </c>
    </row>
    <row r="290" spans="1:3" x14ac:dyDescent="0.2">
      <c r="A290" s="331">
        <v>30</v>
      </c>
      <c r="B290" s="332">
        <v>301765</v>
      </c>
      <c r="C290" s="333" t="s">
        <v>1462</v>
      </c>
    </row>
    <row r="291" spans="1:3" x14ac:dyDescent="0.2">
      <c r="A291" s="331">
        <v>30</v>
      </c>
      <c r="B291" s="332">
        <v>301770</v>
      </c>
      <c r="C291" s="333" t="s">
        <v>1463</v>
      </c>
    </row>
    <row r="292" spans="1:3" x14ac:dyDescent="0.2">
      <c r="A292" s="331">
        <v>30</v>
      </c>
      <c r="B292" s="332">
        <v>301775</v>
      </c>
      <c r="C292" s="333" t="s">
        <v>1464</v>
      </c>
    </row>
    <row r="293" spans="1:3" x14ac:dyDescent="0.2">
      <c r="A293" s="331">
        <v>30</v>
      </c>
      <c r="B293" s="332">
        <v>301780</v>
      </c>
      <c r="C293" s="333" t="s">
        <v>1465</v>
      </c>
    </row>
    <row r="294" spans="1:3" x14ac:dyDescent="0.2">
      <c r="A294" s="331">
        <v>30</v>
      </c>
      <c r="B294" s="332">
        <v>301785</v>
      </c>
      <c r="C294" s="333" t="s">
        <v>1466</v>
      </c>
    </row>
    <row r="295" spans="1:3" x14ac:dyDescent="0.2">
      <c r="A295" s="331">
        <v>30</v>
      </c>
      <c r="B295" s="332">
        <v>301790</v>
      </c>
      <c r="C295" s="333" t="s">
        <v>1467</v>
      </c>
    </row>
    <row r="296" spans="1:3" x14ac:dyDescent="0.2">
      <c r="A296" s="331">
        <v>30</v>
      </c>
      <c r="B296" s="332">
        <v>301800</v>
      </c>
      <c r="C296" s="333" t="s">
        <v>1468</v>
      </c>
    </row>
    <row r="297" spans="1:3" x14ac:dyDescent="0.2">
      <c r="A297" s="331">
        <v>30</v>
      </c>
      <c r="B297" s="332">
        <v>301805</v>
      </c>
      <c r="C297" s="333" t="s">
        <v>1469</v>
      </c>
    </row>
    <row r="298" spans="1:3" x14ac:dyDescent="0.2">
      <c r="A298" s="331">
        <v>30</v>
      </c>
      <c r="B298" s="332">
        <v>301810</v>
      </c>
      <c r="C298" s="333" t="s">
        <v>1470</v>
      </c>
    </row>
    <row r="299" spans="1:3" x14ac:dyDescent="0.2">
      <c r="A299" s="331">
        <v>30</v>
      </c>
      <c r="B299" s="332">
        <v>301815</v>
      </c>
      <c r="C299" s="333" t="s">
        <v>1293</v>
      </c>
    </row>
    <row r="300" spans="1:3" x14ac:dyDescent="0.2">
      <c r="A300" s="331">
        <v>30</v>
      </c>
      <c r="B300" s="332">
        <v>301820</v>
      </c>
      <c r="C300" s="333" t="s">
        <v>1471</v>
      </c>
    </row>
    <row r="301" spans="1:3" x14ac:dyDescent="0.2">
      <c r="A301" s="331">
        <v>30</v>
      </c>
      <c r="B301" s="332">
        <v>301825</v>
      </c>
      <c r="C301" s="333" t="s">
        <v>1472</v>
      </c>
    </row>
    <row r="302" spans="1:3" x14ac:dyDescent="0.2">
      <c r="A302" s="331">
        <v>30</v>
      </c>
      <c r="B302" s="332">
        <v>301830</v>
      </c>
      <c r="C302" s="333" t="s">
        <v>1473</v>
      </c>
    </row>
    <row r="303" spans="1:3" x14ac:dyDescent="0.2">
      <c r="A303" s="331">
        <v>30</v>
      </c>
      <c r="B303" s="332">
        <v>301835</v>
      </c>
      <c r="C303" s="333" t="s">
        <v>1474</v>
      </c>
    </row>
    <row r="304" spans="1:3" x14ac:dyDescent="0.2">
      <c r="A304" s="331">
        <v>30</v>
      </c>
      <c r="B304" s="332">
        <v>301850</v>
      </c>
      <c r="C304" s="333" t="s">
        <v>1475</v>
      </c>
    </row>
    <row r="305" spans="1:3" x14ac:dyDescent="0.2">
      <c r="A305" s="331">
        <v>30</v>
      </c>
      <c r="B305" s="332">
        <v>301855</v>
      </c>
      <c r="C305" s="333" t="s">
        <v>1476</v>
      </c>
    </row>
    <row r="306" spans="1:3" x14ac:dyDescent="0.2">
      <c r="A306" s="331">
        <v>30</v>
      </c>
      <c r="B306" s="332">
        <v>301860</v>
      </c>
      <c r="C306" s="333" t="s">
        <v>1477</v>
      </c>
    </row>
    <row r="307" spans="1:3" x14ac:dyDescent="0.2">
      <c r="A307" s="331">
        <v>30</v>
      </c>
      <c r="B307" s="332">
        <v>301890</v>
      </c>
      <c r="C307" s="333" t="s">
        <v>1478</v>
      </c>
    </row>
    <row r="308" spans="1:3" x14ac:dyDescent="0.2">
      <c r="A308" s="331">
        <v>30</v>
      </c>
      <c r="B308" s="332">
        <v>301895</v>
      </c>
      <c r="C308" s="333" t="s">
        <v>1479</v>
      </c>
    </row>
    <row r="309" spans="1:3" x14ac:dyDescent="0.2">
      <c r="A309" s="331">
        <v>30</v>
      </c>
      <c r="B309" s="332">
        <v>301925</v>
      </c>
      <c r="C309" s="333" t="s">
        <v>1480</v>
      </c>
    </row>
    <row r="310" spans="1:3" x14ac:dyDescent="0.2">
      <c r="A310" s="331">
        <v>35</v>
      </c>
      <c r="B310" s="332">
        <v>351045</v>
      </c>
      <c r="C310" s="332" t="s">
        <v>1481</v>
      </c>
    </row>
    <row r="311" spans="1:3" x14ac:dyDescent="0.2">
      <c r="A311" s="331">
        <v>35</v>
      </c>
      <c r="B311" s="332">
        <v>351110</v>
      </c>
      <c r="C311" s="332" t="s">
        <v>1482</v>
      </c>
    </row>
    <row r="312" spans="1:3" x14ac:dyDescent="0.2">
      <c r="A312" s="331">
        <v>35</v>
      </c>
      <c r="B312" s="332">
        <v>351116</v>
      </c>
      <c r="C312" s="332" t="s">
        <v>1483</v>
      </c>
    </row>
    <row r="313" spans="1:3" x14ac:dyDescent="0.2">
      <c r="A313" s="331">
        <v>35</v>
      </c>
      <c r="B313" s="332">
        <v>351140</v>
      </c>
      <c r="C313" s="332" t="s">
        <v>1484</v>
      </c>
    </row>
    <row r="314" spans="1:3" x14ac:dyDescent="0.2">
      <c r="A314" s="331">
        <v>35</v>
      </c>
      <c r="B314" s="332">
        <v>351510</v>
      </c>
      <c r="C314" s="332" t="s">
        <v>1485</v>
      </c>
    </row>
    <row r="315" spans="1:3" x14ac:dyDescent="0.2">
      <c r="A315" s="331">
        <v>35</v>
      </c>
      <c r="B315" s="332">
        <v>351690</v>
      </c>
      <c r="C315" s="332" t="s">
        <v>1486</v>
      </c>
    </row>
    <row r="316" spans="1:3" x14ac:dyDescent="0.2">
      <c r="A316" s="331">
        <v>35</v>
      </c>
      <c r="B316" s="332">
        <v>351840</v>
      </c>
      <c r="C316" s="332" t="s">
        <v>1487</v>
      </c>
    </row>
    <row r="317" spans="1:3" x14ac:dyDescent="0.2">
      <c r="A317" s="331">
        <v>35</v>
      </c>
      <c r="B317" s="332">
        <v>351845</v>
      </c>
      <c r="C317" s="332" t="s">
        <v>1488</v>
      </c>
    </row>
    <row r="318" spans="1:3" x14ac:dyDescent="0.2">
      <c r="A318" s="331">
        <v>35</v>
      </c>
      <c r="B318" s="332">
        <v>351865</v>
      </c>
      <c r="C318" s="332" t="s">
        <v>1489</v>
      </c>
    </row>
    <row r="319" spans="1:3" x14ac:dyDescent="0.2">
      <c r="A319" s="331">
        <v>35</v>
      </c>
      <c r="B319" s="332">
        <v>351920</v>
      </c>
      <c r="C319" s="332" t="s">
        <v>1490</v>
      </c>
    </row>
    <row r="320" spans="1:3" x14ac:dyDescent="0.2">
      <c r="A320" s="331">
        <v>35</v>
      </c>
      <c r="B320" s="332">
        <v>351970</v>
      </c>
      <c r="C320" s="332" t="s">
        <v>1491</v>
      </c>
    </row>
    <row r="321" spans="1:3" x14ac:dyDescent="0.2">
      <c r="A321" s="331">
        <v>35</v>
      </c>
      <c r="B321" s="332">
        <v>351975</v>
      </c>
      <c r="C321" s="332" t="s">
        <v>1492</v>
      </c>
    </row>
    <row r="322" spans="1:3" x14ac:dyDescent="0.2">
      <c r="A322" s="331">
        <v>35</v>
      </c>
      <c r="B322" s="332">
        <v>352021</v>
      </c>
      <c r="C322" s="332" t="s">
        <v>1493</v>
      </c>
    </row>
    <row r="323" spans="1:3" x14ac:dyDescent="0.2">
      <c r="A323" s="331">
        <v>35</v>
      </c>
      <c r="B323" s="332">
        <v>352075</v>
      </c>
      <c r="C323" s="332" t="s">
        <v>1494</v>
      </c>
    </row>
    <row r="324" spans="1:3" x14ac:dyDescent="0.2">
      <c r="A324" s="331">
        <v>40</v>
      </c>
      <c r="B324" s="332">
        <v>401870</v>
      </c>
      <c r="C324" s="333" t="s">
        <v>1403</v>
      </c>
    </row>
    <row r="325" spans="1:3" x14ac:dyDescent="0.2">
      <c r="A325" s="331">
        <v>40</v>
      </c>
      <c r="B325" s="332">
        <v>401875</v>
      </c>
      <c r="C325" s="333" t="s">
        <v>1495</v>
      </c>
    </row>
    <row r="326" spans="1:3" x14ac:dyDescent="0.2">
      <c r="A326" s="331">
        <v>40</v>
      </c>
      <c r="B326" s="332">
        <v>401885</v>
      </c>
      <c r="C326" s="333" t="s">
        <v>1496</v>
      </c>
    </row>
    <row r="327" spans="1:3" x14ac:dyDescent="0.2">
      <c r="A327" s="331">
        <v>40</v>
      </c>
      <c r="B327" s="332">
        <v>401900</v>
      </c>
      <c r="C327" s="333" t="s">
        <v>1497</v>
      </c>
    </row>
    <row r="328" spans="1:3" x14ac:dyDescent="0.2">
      <c r="A328" s="331">
        <v>40</v>
      </c>
      <c r="B328" s="332">
        <v>401910</v>
      </c>
      <c r="C328" s="333" t="s">
        <v>1498</v>
      </c>
    </row>
    <row r="329" spans="1:3" x14ac:dyDescent="0.2">
      <c r="A329" s="331">
        <v>40</v>
      </c>
      <c r="B329" s="332">
        <v>401915</v>
      </c>
      <c r="C329" s="333" t="s">
        <v>1499</v>
      </c>
    </row>
    <row r="330" spans="1:3" x14ac:dyDescent="0.2">
      <c r="A330" s="331">
        <v>40</v>
      </c>
      <c r="B330" s="332">
        <v>401930</v>
      </c>
      <c r="C330" s="333" t="s">
        <v>1500</v>
      </c>
    </row>
    <row r="331" spans="1:3" x14ac:dyDescent="0.2">
      <c r="A331" s="331">
        <v>40</v>
      </c>
      <c r="B331" s="332">
        <v>401935</v>
      </c>
      <c r="C331" s="333" t="s">
        <v>1254</v>
      </c>
    </row>
    <row r="332" spans="1:3" x14ac:dyDescent="0.2">
      <c r="A332" s="331">
        <v>40</v>
      </c>
      <c r="B332" s="332">
        <v>401940</v>
      </c>
      <c r="C332" s="333" t="s">
        <v>1501</v>
      </c>
    </row>
    <row r="333" spans="1:3" x14ac:dyDescent="0.2">
      <c r="A333" s="331">
        <v>40</v>
      </c>
      <c r="B333" s="332">
        <v>401945</v>
      </c>
      <c r="C333" s="333" t="s">
        <v>1502</v>
      </c>
    </row>
    <row r="334" spans="1:3" x14ac:dyDescent="0.2">
      <c r="A334" s="331">
        <v>40</v>
      </c>
      <c r="B334" s="332">
        <v>401950</v>
      </c>
      <c r="C334" s="333" t="s">
        <v>1503</v>
      </c>
    </row>
    <row r="335" spans="1:3" x14ac:dyDescent="0.2">
      <c r="A335" s="331">
        <v>40</v>
      </c>
      <c r="B335" s="332">
        <v>401955</v>
      </c>
      <c r="C335" s="333" t="s">
        <v>1504</v>
      </c>
    </row>
    <row r="336" spans="1:3" x14ac:dyDescent="0.2">
      <c r="A336" s="331">
        <v>40</v>
      </c>
      <c r="B336" s="332">
        <v>401960</v>
      </c>
      <c r="C336" s="333" t="s">
        <v>1505</v>
      </c>
    </row>
    <row r="337" spans="1:3" x14ac:dyDescent="0.2">
      <c r="A337" s="331">
        <v>40</v>
      </c>
      <c r="B337" s="332">
        <v>401965</v>
      </c>
      <c r="C337" s="333" t="s">
        <v>1506</v>
      </c>
    </row>
    <row r="338" spans="1:3" x14ac:dyDescent="0.2">
      <c r="A338" s="331">
        <v>40</v>
      </c>
      <c r="B338" s="332">
        <v>401980</v>
      </c>
      <c r="C338" s="333" t="s">
        <v>1507</v>
      </c>
    </row>
    <row r="339" spans="1:3" x14ac:dyDescent="0.2">
      <c r="A339" s="331">
        <v>40</v>
      </c>
      <c r="B339" s="332">
        <v>401985</v>
      </c>
      <c r="C339" s="333" t="s">
        <v>1508</v>
      </c>
    </row>
    <row r="340" spans="1:3" x14ac:dyDescent="0.2">
      <c r="A340" s="331">
        <v>40</v>
      </c>
      <c r="B340" s="332">
        <v>401990</v>
      </c>
      <c r="C340" s="333" t="s">
        <v>1509</v>
      </c>
    </row>
    <row r="341" spans="1:3" x14ac:dyDescent="0.2">
      <c r="A341" s="331">
        <v>40</v>
      </c>
      <c r="B341" s="332">
        <v>401995</v>
      </c>
      <c r="C341" s="333" t="s">
        <v>1510</v>
      </c>
    </row>
    <row r="342" spans="1:3" x14ac:dyDescent="0.2">
      <c r="A342" s="331">
        <v>40</v>
      </c>
      <c r="B342" s="332">
        <v>402000</v>
      </c>
      <c r="C342" s="333" t="s">
        <v>1511</v>
      </c>
    </row>
    <row r="343" spans="1:3" x14ac:dyDescent="0.2">
      <c r="A343" s="331">
        <v>40</v>
      </c>
      <c r="B343" s="332">
        <v>402005</v>
      </c>
      <c r="C343" s="333" t="s">
        <v>1512</v>
      </c>
    </row>
    <row r="344" spans="1:3" x14ac:dyDescent="0.2">
      <c r="A344" s="331">
        <v>40</v>
      </c>
      <c r="B344" s="332">
        <v>402010</v>
      </c>
      <c r="C344" s="333" t="s">
        <v>1513</v>
      </c>
    </row>
    <row r="345" spans="1:3" x14ac:dyDescent="0.2">
      <c r="A345" s="331">
        <v>40</v>
      </c>
      <c r="B345" s="332">
        <v>402015</v>
      </c>
      <c r="C345" s="333" t="s">
        <v>1514</v>
      </c>
    </row>
    <row r="346" spans="1:3" x14ac:dyDescent="0.2">
      <c r="A346" s="331">
        <v>40</v>
      </c>
      <c r="B346" s="332">
        <v>402020</v>
      </c>
      <c r="C346" s="333" t="s">
        <v>1515</v>
      </c>
    </row>
    <row r="347" spans="1:3" x14ac:dyDescent="0.2">
      <c r="A347" s="331">
        <v>40</v>
      </c>
      <c r="B347" s="332">
        <v>402025</v>
      </c>
      <c r="C347" s="333" t="s">
        <v>1516</v>
      </c>
    </row>
    <row r="348" spans="1:3" x14ac:dyDescent="0.2">
      <c r="A348" s="331">
        <v>40</v>
      </c>
      <c r="B348" s="332">
        <v>402030</v>
      </c>
      <c r="C348" s="333" t="s">
        <v>1517</v>
      </c>
    </row>
    <row r="349" spans="1:3" x14ac:dyDescent="0.2">
      <c r="A349" s="331">
        <v>40</v>
      </c>
      <c r="B349" s="332">
        <v>402035</v>
      </c>
      <c r="C349" s="333" t="s">
        <v>1518</v>
      </c>
    </row>
    <row r="350" spans="1:3" x14ac:dyDescent="0.2">
      <c r="A350" s="331">
        <v>40</v>
      </c>
      <c r="B350" s="332">
        <v>402040</v>
      </c>
      <c r="C350" s="333" t="s">
        <v>1519</v>
      </c>
    </row>
    <row r="351" spans="1:3" x14ac:dyDescent="0.2">
      <c r="A351" s="331">
        <v>40</v>
      </c>
      <c r="B351" s="332">
        <v>402045</v>
      </c>
      <c r="C351" s="333" t="s">
        <v>1520</v>
      </c>
    </row>
    <row r="352" spans="1:3" x14ac:dyDescent="0.2">
      <c r="A352" s="331">
        <v>40</v>
      </c>
      <c r="B352" s="332">
        <v>402050</v>
      </c>
      <c r="C352" s="333" t="s">
        <v>1521</v>
      </c>
    </row>
    <row r="353" spans="1:3" x14ac:dyDescent="0.2">
      <c r="A353" s="331">
        <v>40</v>
      </c>
      <c r="B353" s="332">
        <v>402065</v>
      </c>
      <c r="C353" s="333" t="s">
        <v>1522</v>
      </c>
    </row>
    <row r="354" spans="1:3" x14ac:dyDescent="0.2">
      <c r="A354" s="331">
        <v>40</v>
      </c>
      <c r="B354" s="332">
        <v>402090</v>
      </c>
      <c r="C354" s="333" t="s">
        <v>1523</v>
      </c>
    </row>
    <row r="355" spans="1:3" x14ac:dyDescent="0.2">
      <c r="A355" s="331">
        <v>40</v>
      </c>
      <c r="B355" s="332">
        <v>402100</v>
      </c>
      <c r="C355" s="333" t="s">
        <v>1524</v>
      </c>
    </row>
    <row r="356" spans="1:3" x14ac:dyDescent="0.2">
      <c r="A356" s="331">
        <v>40</v>
      </c>
      <c r="B356" s="332">
        <v>402110</v>
      </c>
      <c r="C356" s="333" t="s">
        <v>1525</v>
      </c>
    </row>
    <row r="357" spans="1:3" x14ac:dyDescent="0.2">
      <c r="A357" s="331">
        <v>40</v>
      </c>
      <c r="B357" s="332">
        <v>402115</v>
      </c>
      <c r="C357" s="333" t="s">
        <v>1526</v>
      </c>
    </row>
    <row r="358" spans="1:3" x14ac:dyDescent="0.2">
      <c r="A358" s="331">
        <v>40</v>
      </c>
      <c r="B358" s="332">
        <v>402120</v>
      </c>
      <c r="C358" s="333" t="s">
        <v>1527</v>
      </c>
    </row>
    <row r="359" spans="1:3" x14ac:dyDescent="0.2">
      <c r="A359" s="331">
        <v>40</v>
      </c>
      <c r="B359" s="332">
        <v>402125</v>
      </c>
      <c r="C359" s="333" t="s">
        <v>1528</v>
      </c>
    </row>
    <row r="360" spans="1:3" x14ac:dyDescent="0.2">
      <c r="A360" s="331">
        <v>40</v>
      </c>
      <c r="B360" s="332">
        <v>402130</v>
      </c>
      <c r="C360" s="333" t="s">
        <v>1529</v>
      </c>
    </row>
    <row r="361" spans="1:3" x14ac:dyDescent="0.2">
      <c r="A361" s="331">
        <v>40</v>
      </c>
      <c r="B361" s="332">
        <v>402135</v>
      </c>
      <c r="C361" s="333" t="s">
        <v>1530</v>
      </c>
    </row>
    <row r="362" spans="1:3" x14ac:dyDescent="0.2">
      <c r="A362" s="331">
        <v>40</v>
      </c>
      <c r="B362" s="332">
        <v>402140</v>
      </c>
      <c r="C362" s="333" t="s">
        <v>1531</v>
      </c>
    </row>
    <row r="363" spans="1:3" x14ac:dyDescent="0.2">
      <c r="A363" s="331">
        <v>40</v>
      </c>
      <c r="B363" s="332">
        <v>402145</v>
      </c>
      <c r="C363" s="333" t="s">
        <v>1532</v>
      </c>
    </row>
    <row r="364" spans="1:3" x14ac:dyDescent="0.2">
      <c r="A364" s="331">
        <v>40</v>
      </c>
      <c r="B364" s="332">
        <v>402150</v>
      </c>
      <c r="C364" s="333" t="s">
        <v>1533</v>
      </c>
    </row>
    <row r="365" spans="1:3" x14ac:dyDescent="0.2">
      <c r="A365" s="331">
        <v>40</v>
      </c>
      <c r="B365" s="332">
        <v>402155</v>
      </c>
      <c r="C365" s="333" t="s">
        <v>1534</v>
      </c>
    </row>
    <row r="366" spans="1:3" x14ac:dyDescent="0.2">
      <c r="A366" s="331">
        <v>40</v>
      </c>
      <c r="B366" s="332">
        <v>402160</v>
      </c>
      <c r="C366" s="333" t="s">
        <v>1535</v>
      </c>
    </row>
    <row r="367" spans="1:3" x14ac:dyDescent="0.2">
      <c r="A367" s="331">
        <v>40</v>
      </c>
      <c r="B367" s="332">
        <v>402165</v>
      </c>
      <c r="C367" s="333" t="s">
        <v>1536</v>
      </c>
    </row>
    <row r="368" spans="1:3" x14ac:dyDescent="0.2">
      <c r="A368" s="331">
        <v>45</v>
      </c>
      <c r="B368" s="332">
        <v>452170</v>
      </c>
      <c r="C368" s="333" t="s">
        <v>1537</v>
      </c>
    </row>
    <row r="369" spans="1:3" x14ac:dyDescent="0.2">
      <c r="A369" s="331">
        <v>45</v>
      </c>
      <c r="B369" s="332">
        <v>452175</v>
      </c>
      <c r="C369" s="333" t="s">
        <v>1538</v>
      </c>
    </row>
    <row r="370" spans="1:3" x14ac:dyDescent="0.2">
      <c r="A370" s="331">
        <v>45</v>
      </c>
      <c r="B370" s="332">
        <v>452180</v>
      </c>
      <c r="C370" s="333" t="s">
        <v>1539</v>
      </c>
    </row>
    <row r="371" spans="1:3" x14ac:dyDescent="0.2">
      <c r="A371" s="331">
        <v>45</v>
      </c>
      <c r="B371" s="332">
        <v>452185</v>
      </c>
      <c r="C371" s="333" t="s">
        <v>1540</v>
      </c>
    </row>
    <row r="372" spans="1:3" x14ac:dyDescent="0.2">
      <c r="A372" s="331">
        <v>45</v>
      </c>
      <c r="B372" s="332">
        <v>452190</v>
      </c>
      <c r="C372" s="333" t="s">
        <v>1541</v>
      </c>
    </row>
    <row r="373" spans="1:3" x14ac:dyDescent="0.2">
      <c r="A373" s="331">
        <v>45</v>
      </c>
      <c r="B373" s="332">
        <v>452195</v>
      </c>
      <c r="C373" s="333" t="s">
        <v>1542</v>
      </c>
    </row>
    <row r="374" spans="1:3" x14ac:dyDescent="0.2">
      <c r="A374" s="331">
        <v>45</v>
      </c>
      <c r="B374" s="332">
        <v>452200</v>
      </c>
      <c r="C374" s="333" t="s">
        <v>1543</v>
      </c>
    </row>
    <row r="375" spans="1:3" x14ac:dyDescent="0.2">
      <c r="A375" s="331">
        <v>45</v>
      </c>
      <c r="B375" s="332">
        <v>452205</v>
      </c>
      <c r="C375" s="333" t="s">
        <v>1544</v>
      </c>
    </row>
    <row r="376" spans="1:3" x14ac:dyDescent="0.2">
      <c r="A376" s="331">
        <v>45</v>
      </c>
      <c r="B376" s="332">
        <v>452208</v>
      </c>
      <c r="C376" s="333" t="s">
        <v>1545</v>
      </c>
    </row>
    <row r="377" spans="1:3" x14ac:dyDescent="0.2">
      <c r="A377" s="331">
        <v>45</v>
      </c>
      <c r="B377" s="332">
        <v>452209</v>
      </c>
      <c r="C377" s="333" t="s">
        <v>1546</v>
      </c>
    </row>
    <row r="378" spans="1:3" x14ac:dyDescent="0.2">
      <c r="A378" s="331">
        <v>45</v>
      </c>
      <c r="B378" s="332">
        <v>452210</v>
      </c>
      <c r="C378" s="333" t="s">
        <v>1547</v>
      </c>
    </row>
    <row r="379" spans="1:3" x14ac:dyDescent="0.2">
      <c r="A379" s="331">
        <v>45</v>
      </c>
      <c r="B379" s="332">
        <v>452225</v>
      </c>
      <c r="C379" s="333" t="s">
        <v>1548</v>
      </c>
    </row>
    <row r="380" spans="1:3" x14ac:dyDescent="0.2">
      <c r="A380" s="331">
        <v>45</v>
      </c>
      <c r="B380" s="332">
        <v>452230</v>
      </c>
      <c r="C380" s="333" t="s">
        <v>1549</v>
      </c>
    </row>
    <row r="381" spans="1:3" x14ac:dyDescent="0.2">
      <c r="A381" s="331">
        <v>45</v>
      </c>
      <c r="B381" s="332">
        <v>452235</v>
      </c>
      <c r="C381" s="333" t="s">
        <v>1550</v>
      </c>
    </row>
    <row r="382" spans="1:3" x14ac:dyDescent="0.2">
      <c r="A382" s="331">
        <v>45</v>
      </c>
      <c r="B382" s="332">
        <v>452240</v>
      </c>
      <c r="C382" s="333" t="s">
        <v>1551</v>
      </c>
    </row>
    <row r="383" spans="1:3" x14ac:dyDescent="0.2">
      <c r="A383" s="331">
        <v>45</v>
      </c>
      <c r="B383" s="332">
        <v>452255</v>
      </c>
      <c r="C383" s="333" t="s">
        <v>1552</v>
      </c>
    </row>
    <row r="384" spans="1:3" x14ac:dyDescent="0.2">
      <c r="A384" s="331">
        <v>45</v>
      </c>
      <c r="B384" s="332">
        <v>452265</v>
      </c>
      <c r="C384" s="333" t="s">
        <v>1553</v>
      </c>
    </row>
    <row r="385" spans="1:3" x14ac:dyDescent="0.2">
      <c r="A385" s="331">
        <v>45</v>
      </c>
      <c r="B385" s="332">
        <v>452270</v>
      </c>
      <c r="C385" s="333" t="s">
        <v>1554</v>
      </c>
    </row>
    <row r="386" spans="1:3" x14ac:dyDescent="0.2">
      <c r="A386" s="331">
        <v>45</v>
      </c>
      <c r="B386" s="332">
        <v>452275</v>
      </c>
      <c r="C386" s="333" t="s">
        <v>1555</v>
      </c>
    </row>
    <row r="387" spans="1:3" x14ac:dyDescent="0.2">
      <c r="A387" s="331">
        <v>45</v>
      </c>
      <c r="B387" s="332">
        <v>452280</v>
      </c>
      <c r="C387" s="333" t="s">
        <v>1556</v>
      </c>
    </row>
    <row r="388" spans="1:3" x14ac:dyDescent="0.2">
      <c r="A388" s="331">
        <v>45</v>
      </c>
      <c r="B388" s="332">
        <v>452285</v>
      </c>
      <c r="C388" s="333" t="s">
        <v>1557</v>
      </c>
    </row>
    <row r="389" spans="1:3" x14ac:dyDescent="0.2">
      <c r="A389" s="331">
        <v>45</v>
      </c>
      <c r="B389" s="332">
        <v>452300</v>
      </c>
      <c r="C389" s="333" t="s">
        <v>1558</v>
      </c>
    </row>
    <row r="390" spans="1:3" x14ac:dyDescent="0.2">
      <c r="A390" s="331">
        <v>45</v>
      </c>
      <c r="B390" s="332">
        <v>452325</v>
      </c>
      <c r="C390" s="333" t="s">
        <v>1559</v>
      </c>
    </row>
    <row r="391" spans="1:3" x14ac:dyDescent="0.2">
      <c r="A391" s="331">
        <v>45</v>
      </c>
      <c r="B391" s="332">
        <v>452335</v>
      </c>
      <c r="C391" s="333" t="s">
        <v>1560</v>
      </c>
    </row>
    <row r="392" spans="1:3" x14ac:dyDescent="0.2">
      <c r="A392" s="331">
        <v>45</v>
      </c>
      <c r="B392" s="332">
        <v>452345</v>
      </c>
      <c r="C392" s="333" t="s">
        <v>1561</v>
      </c>
    </row>
    <row r="393" spans="1:3" x14ac:dyDescent="0.2">
      <c r="A393" s="331">
        <v>45</v>
      </c>
      <c r="B393" s="332">
        <v>452355</v>
      </c>
      <c r="C393" s="333" t="s">
        <v>1562</v>
      </c>
    </row>
    <row r="394" spans="1:3" x14ac:dyDescent="0.2">
      <c r="A394" s="331">
        <v>45</v>
      </c>
      <c r="B394" s="332">
        <v>452360</v>
      </c>
      <c r="C394" s="333" t="s">
        <v>1342</v>
      </c>
    </row>
    <row r="395" spans="1:3" x14ac:dyDescent="0.2">
      <c r="A395" s="331">
        <v>45</v>
      </c>
      <c r="B395" s="332">
        <v>452385</v>
      </c>
      <c r="C395" s="333" t="s">
        <v>1563</v>
      </c>
    </row>
    <row r="396" spans="1:3" x14ac:dyDescent="0.2">
      <c r="A396" s="331">
        <v>45</v>
      </c>
      <c r="B396" s="332">
        <v>452400</v>
      </c>
      <c r="C396" s="333" t="s">
        <v>1564</v>
      </c>
    </row>
    <row r="397" spans="1:3" x14ac:dyDescent="0.2">
      <c r="A397" s="331">
        <v>45</v>
      </c>
      <c r="B397" s="332">
        <v>452405</v>
      </c>
      <c r="C397" s="333" t="s">
        <v>1565</v>
      </c>
    </row>
    <row r="398" spans="1:3" x14ac:dyDescent="0.2">
      <c r="A398" s="331">
        <v>45</v>
      </c>
      <c r="B398" s="332">
        <v>452415</v>
      </c>
      <c r="C398" s="333" t="s">
        <v>1566</v>
      </c>
    </row>
    <row r="399" spans="1:3" x14ac:dyDescent="0.2">
      <c r="A399" s="331">
        <v>45</v>
      </c>
      <c r="B399" s="332">
        <v>452430</v>
      </c>
      <c r="C399" s="333" t="s">
        <v>1567</v>
      </c>
    </row>
    <row r="400" spans="1:3" x14ac:dyDescent="0.2">
      <c r="A400" s="331">
        <v>45</v>
      </c>
      <c r="B400" s="332">
        <v>452440</v>
      </c>
      <c r="C400" s="333" t="s">
        <v>1568</v>
      </c>
    </row>
    <row r="401" spans="1:3" x14ac:dyDescent="0.2">
      <c r="A401" s="331">
        <v>45</v>
      </c>
      <c r="B401" s="332">
        <v>452445</v>
      </c>
      <c r="C401" s="333" t="s">
        <v>1569</v>
      </c>
    </row>
    <row r="402" spans="1:3" x14ac:dyDescent="0.2">
      <c r="A402" s="331">
        <v>45</v>
      </c>
      <c r="B402" s="332">
        <v>452460</v>
      </c>
      <c r="C402" s="333" t="s">
        <v>1570</v>
      </c>
    </row>
    <row r="403" spans="1:3" x14ac:dyDescent="0.2">
      <c r="A403" s="331">
        <v>45</v>
      </c>
      <c r="B403" s="332">
        <v>452465</v>
      </c>
      <c r="C403" s="333" t="s">
        <v>1571</v>
      </c>
    </row>
    <row r="404" spans="1:3" x14ac:dyDescent="0.2">
      <c r="A404" s="331">
        <v>45</v>
      </c>
      <c r="B404" s="332">
        <v>452470</v>
      </c>
      <c r="C404" s="333" t="s">
        <v>1572</v>
      </c>
    </row>
    <row r="405" spans="1:3" x14ac:dyDescent="0.2">
      <c r="A405" s="331">
        <v>45</v>
      </c>
      <c r="B405" s="332">
        <v>452480</v>
      </c>
      <c r="C405" s="333" t="s">
        <v>1573</v>
      </c>
    </row>
    <row r="406" spans="1:3" x14ac:dyDescent="0.2">
      <c r="A406" s="331">
        <v>45</v>
      </c>
      <c r="B406" s="332">
        <v>452490</v>
      </c>
      <c r="C406" s="333" t="s">
        <v>1574</v>
      </c>
    </row>
    <row r="407" spans="1:3" x14ac:dyDescent="0.2">
      <c r="A407" s="331">
        <v>45</v>
      </c>
      <c r="B407" s="332">
        <v>452495</v>
      </c>
      <c r="C407" s="333" t="s">
        <v>1575</v>
      </c>
    </row>
    <row r="408" spans="1:3" x14ac:dyDescent="0.2">
      <c r="A408" s="331">
        <v>45</v>
      </c>
      <c r="B408" s="332">
        <v>452500</v>
      </c>
      <c r="C408" s="333" t="s">
        <v>1576</v>
      </c>
    </row>
    <row r="409" spans="1:3" x14ac:dyDescent="0.2">
      <c r="A409" s="331">
        <v>45</v>
      </c>
      <c r="B409" s="332">
        <v>452525</v>
      </c>
      <c r="C409" s="333" t="s">
        <v>1577</v>
      </c>
    </row>
    <row r="410" spans="1:3" x14ac:dyDescent="0.2">
      <c r="A410" s="331">
        <v>45</v>
      </c>
      <c r="B410" s="332">
        <v>452535</v>
      </c>
      <c r="C410" s="333" t="s">
        <v>1578</v>
      </c>
    </row>
    <row r="411" spans="1:3" x14ac:dyDescent="0.2">
      <c r="A411" s="331">
        <v>45</v>
      </c>
      <c r="B411" s="332">
        <v>452565</v>
      </c>
      <c r="C411" s="333" t="s">
        <v>1579</v>
      </c>
    </row>
    <row r="412" spans="1:3" x14ac:dyDescent="0.2">
      <c r="A412" s="331">
        <v>45</v>
      </c>
      <c r="B412" s="332">
        <v>452660</v>
      </c>
      <c r="C412" s="333" t="s">
        <v>1580</v>
      </c>
    </row>
    <row r="413" spans="1:3" x14ac:dyDescent="0.2">
      <c r="A413" s="331">
        <v>50</v>
      </c>
      <c r="B413" s="332">
        <v>502435</v>
      </c>
      <c r="C413" s="333" t="s">
        <v>1581</v>
      </c>
    </row>
    <row r="414" spans="1:3" x14ac:dyDescent="0.2">
      <c r="A414" s="331">
        <v>50</v>
      </c>
      <c r="B414" s="332">
        <v>502450</v>
      </c>
      <c r="C414" s="333" t="s">
        <v>1582</v>
      </c>
    </row>
    <row r="415" spans="1:3" x14ac:dyDescent="0.2">
      <c r="A415" s="331">
        <v>50</v>
      </c>
      <c r="B415" s="332">
        <v>502530</v>
      </c>
      <c r="C415" s="333" t="s">
        <v>1583</v>
      </c>
    </row>
    <row r="416" spans="1:3" x14ac:dyDescent="0.2">
      <c r="A416" s="331">
        <v>50</v>
      </c>
      <c r="B416" s="332">
        <v>502540</v>
      </c>
      <c r="C416" s="333" t="s">
        <v>1584</v>
      </c>
    </row>
    <row r="417" spans="1:3" x14ac:dyDescent="0.2">
      <c r="A417" s="331">
        <v>50</v>
      </c>
      <c r="B417" s="332">
        <v>502545</v>
      </c>
      <c r="C417" s="333" t="s">
        <v>1585</v>
      </c>
    </row>
    <row r="418" spans="1:3" x14ac:dyDescent="0.2">
      <c r="A418" s="331">
        <v>50</v>
      </c>
      <c r="B418" s="332">
        <v>502550</v>
      </c>
      <c r="C418" s="333" t="s">
        <v>1586</v>
      </c>
    </row>
    <row r="419" spans="1:3" x14ac:dyDescent="0.2">
      <c r="A419" s="331">
        <v>50</v>
      </c>
      <c r="B419" s="332">
        <v>502555</v>
      </c>
      <c r="C419" s="333" t="s">
        <v>1587</v>
      </c>
    </row>
    <row r="420" spans="1:3" x14ac:dyDescent="0.2">
      <c r="A420" s="331">
        <v>50</v>
      </c>
      <c r="B420" s="332">
        <v>502560</v>
      </c>
      <c r="C420" s="333" t="s">
        <v>1588</v>
      </c>
    </row>
    <row r="421" spans="1:3" x14ac:dyDescent="0.2">
      <c r="A421" s="331">
        <v>50</v>
      </c>
      <c r="B421" s="332">
        <v>502575</v>
      </c>
      <c r="C421" s="333" t="s">
        <v>1589</v>
      </c>
    </row>
    <row r="422" spans="1:3" x14ac:dyDescent="0.2">
      <c r="A422" s="331">
        <v>50</v>
      </c>
      <c r="B422" s="332">
        <v>502580</v>
      </c>
      <c r="C422" s="333" t="s">
        <v>1590</v>
      </c>
    </row>
    <row r="423" spans="1:3" x14ac:dyDescent="0.2">
      <c r="A423" s="331">
        <v>50</v>
      </c>
      <c r="B423" s="332">
        <v>502585</v>
      </c>
      <c r="C423" s="333" t="s">
        <v>1591</v>
      </c>
    </row>
    <row r="424" spans="1:3" x14ac:dyDescent="0.2">
      <c r="A424" s="331">
        <v>50</v>
      </c>
      <c r="B424" s="332">
        <v>502615</v>
      </c>
      <c r="C424" s="333" t="s">
        <v>1592</v>
      </c>
    </row>
    <row r="425" spans="1:3" x14ac:dyDescent="0.2">
      <c r="A425" s="331">
        <v>50</v>
      </c>
      <c r="B425" s="332">
        <v>502620</v>
      </c>
      <c r="C425" s="333" t="s">
        <v>1593</v>
      </c>
    </row>
    <row r="426" spans="1:3" x14ac:dyDescent="0.2">
      <c r="A426" s="331">
        <v>50</v>
      </c>
      <c r="B426" s="332">
        <v>502630</v>
      </c>
      <c r="C426" s="333" t="s">
        <v>1594</v>
      </c>
    </row>
    <row r="427" spans="1:3" x14ac:dyDescent="0.2">
      <c r="A427" s="331">
        <v>50</v>
      </c>
      <c r="B427" s="332">
        <v>502635</v>
      </c>
      <c r="C427" s="333" t="s">
        <v>1595</v>
      </c>
    </row>
    <row r="428" spans="1:3" x14ac:dyDescent="0.2">
      <c r="A428" s="331">
        <v>50</v>
      </c>
      <c r="B428" s="332">
        <v>502640</v>
      </c>
      <c r="C428" s="333" t="s">
        <v>1596</v>
      </c>
    </row>
    <row r="429" spans="1:3" x14ac:dyDescent="0.2">
      <c r="A429" s="331">
        <v>50</v>
      </c>
      <c r="B429" s="332">
        <v>502655</v>
      </c>
      <c r="C429" s="333" t="s">
        <v>1597</v>
      </c>
    </row>
    <row r="430" spans="1:3" x14ac:dyDescent="0.2">
      <c r="A430" s="331">
        <v>50</v>
      </c>
      <c r="B430" s="332">
        <v>502680</v>
      </c>
      <c r="C430" s="333" t="s">
        <v>1598</v>
      </c>
    </row>
    <row r="431" spans="1:3" x14ac:dyDescent="0.2">
      <c r="A431" s="331">
        <v>50</v>
      </c>
      <c r="B431" s="332">
        <v>502681</v>
      </c>
      <c r="C431" s="333" t="s">
        <v>1599</v>
      </c>
    </row>
    <row r="432" spans="1:3" x14ac:dyDescent="0.2">
      <c r="A432" s="331">
        <v>50</v>
      </c>
      <c r="B432" s="332">
        <v>502685</v>
      </c>
      <c r="C432" s="333" t="s">
        <v>1600</v>
      </c>
    </row>
    <row r="433" spans="1:3" x14ac:dyDescent="0.2">
      <c r="A433" s="331">
        <v>50</v>
      </c>
      <c r="B433" s="332">
        <v>502750</v>
      </c>
      <c r="C433" s="333" t="s">
        <v>1601</v>
      </c>
    </row>
    <row r="434" spans="1:3" x14ac:dyDescent="0.2">
      <c r="A434" s="331">
        <v>50</v>
      </c>
      <c r="B434" s="332">
        <v>502765</v>
      </c>
      <c r="C434" s="333" t="s">
        <v>1602</v>
      </c>
    </row>
    <row r="435" spans="1:3" x14ac:dyDescent="0.2">
      <c r="A435" s="331">
        <v>50</v>
      </c>
      <c r="B435" s="332">
        <v>502778</v>
      </c>
      <c r="C435" s="333" t="s">
        <v>1603</v>
      </c>
    </row>
    <row r="436" spans="1:3" x14ac:dyDescent="0.2">
      <c r="A436" s="331">
        <v>50</v>
      </c>
      <c r="B436" s="332">
        <v>502780</v>
      </c>
      <c r="C436" s="333" t="s">
        <v>1604</v>
      </c>
    </row>
    <row r="437" spans="1:3" x14ac:dyDescent="0.2">
      <c r="A437" s="331">
        <v>50</v>
      </c>
      <c r="B437" s="332">
        <v>502781</v>
      </c>
      <c r="C437" s="333" t="s">
        <v>1605</v>
      </c>
    </row>
    <row r="438" spans="1:3" x14ac:dyDescent="0.2">
      <c r="A438" s="331">
        <v>50</v>
      </c>
      <c r="B438" s="332">
        <v>502782</v>
      </c>
      <c r="C438" s="333" t="s">
        <v>1606</v>
      </c>
    </row>
    <row r="439" spans="1:3" x14ac:dyDescent="0.2">
      <c r="A439" s="331">
        <v>50</v>
      </c>
      <c r="B439" s="332">
        <v>502810</v>
      </c>
      <c r="C439" s="333" t="s">
        <v>1607</v>
      </c>
    </row>
    <row r="440" spans="1:3" x14ac:dyDescent="0.2">
      <c r="A440" s="331">
        <v>50</v>
      </c>
      <c r="B440" s="332">
        <v>502815</v>
      </c>
      <c r="C440" s="333" t="s">
        <v>1608</v>
      </c>
    </row>
    <row r="441" spans="1:3" x14ac:dyDescent="0.2">
      <c r="A441" s="331">
        <v>50</v>
      </c>
      <c r="B441" s="332">
        <v>502830</v>
      </c>
      <c r="C441" s="333" t="s">
        <v>1609</v>
      </c>
    </row>
    <row r="442" spans="1:3" x14ac:dyDescent="0.2">
      <c r="A442" s="331">
        <v>50</v>
      </c>
      <c r="B442" s="332">
        <v>502835</v>
      </c>
      <c r="C442" s="333" t="s">
        <v>1610</v>
      </c>
    </row>
    <row r="443" spans="1:3" x14ac:dyDescent="0.2">
      <c r="A443" s="331">
        <v>50</v>
      </c>
      <c r="B443" s="332">
        <v>502840</v>
      </c>
      <c r="C443" s="333" t="s">
        <v>1611</v>
      </c>
    </row>
    <row r="444" spans="1:3" x14ac:dyDescent="0.2">
      <c r="A444" s="331">
        <v>50</v>
      </c>
      <c r="B444" s="332">
        <v>502855</v>
      </c>
      <c r="C444" s="333" t="s">
        <v>1612</v>
      </c>
    </row>
    <row r="445" spans="1:3" x14ac:dyDescent="0.2">
      <c r="A445" s="331">
        <v>50</v>
      </c>
      <c r="B445" s="332">
        <v>502860</v>
      </c>
      <c r="C445" s="333" t="s">
        <v>1613</v>
      </c>
    </row>
    <row r="446" spans="1:3" x14ac:dyDescent="0.2">
      <c r="A446" s="331">
        <v>50</v>
      </c>
      <c r="B446" s="332">
        <v>502865</v>
      </c>
      <c r="C446" s="333" t="s">
        <v>1614</v>
      </c>
    </row>
    <row r="447" spans="1:3" x14ac:dyDescent="0.2">
      <c r="A447" s="331">
        <v>50</v>
      </c>
      <c r="B447" s="332">
        <v>502870</v>
      </c>
      <c r="C447" s="333" t="s">
        <v>1615</v>
      </c>
    </row>
    <row r="448" spans="1:3" x14ac:dyDescent="0.2">
      <c r="A448" s="331">
        <v>50</v>
      </c>
      <c r="B448" s="332">
        <v>502875</v>
      </c>
      <c r="C448" s="333" t="s">
        <v>1616</v>
      </c>
    </row>
    <row r="449" spans="1:3" x14ac:dyDescent="0.2">
      <c r="A449" s="331">
        <v>50</v>
      </c>
      <c r="B449" s="332">
        <v>502895</v>
      </c>
      <c r="C449" s="333" t="s">
        <v>1617</v>
      </c>
    </row>
    <row r="450" spans="1:3" x14ac:dyDescent="0.2">
      <c r="A450" s="331">
        <v>50</v>
      </c>
      <c r="B450" s="332">
        <v>502900</v>
      </c>
      <c r="C450" s="333" t="s">
        <v>1618</v>
      </c>
    </row>
    <row r="451" spans="1:3" x14ac:dyDescent="0.2">
      <c r="A451" s="331">
        <v>50</v>
      </c>
      <c r="B451" s="332">
        <v>502905</v>
      </c>
      <c r="C451" s="333" t="s">
        <v>1619</v>
      </c>
    </row>
    <row r="452" spans="1:3" x14ac:dyDescent="0.2">
      <c r="A452" s="331">
        <v>50</v>
      </c>
      <c r="B452" s="332">
        <v>502910</v>
      </c>
      <c r="C452" s="333" t="s">
        <v>1620</v>
      </c>
    </row>
    <row r="453" spans="1:3" x14ac:dyDescent="0.2">
      <c r="A453" s="331">
        <v>50</v>
      </c>
      <c r="B453" s="332">
        <v>502915</v>
      </c>
      <c r="C453" s="333" t="s">
        <v>1621</v>
      </c>
    </row>
    <row r="454" spans="1:3" x14ac:dyDescent="0.2">
      <c r="A454" s="331">
        <v>50</v>
      </c>
      <c r="B454" s="332">
        <v>502920</v>
      </c>
      <c r="C454" s="333" t="s">
        <v>1622</v>
      </c>
    </row>
    <row r="455" spans="1:3" x14ac:dyDescent="0.2">
      <c r="A455" s="331">
        <v>50</v>
      </c>
      <c r="B455" s="332">
        <v>502925</v>
      </c>
      <c r="C455" s="333" t="s">
        <v>1623</v>
      </c>
    </row>
    <row r="456" spans="1:3" x14ac:dyDescent="0.2">
      <c r="A456" s="331">
        <v>50</v>
      </c>
      <c r="B456" s="332">
        <v>502935</v>
      </c>
      <c r="C456" s="333" t="s">
        <v>1624</v>
      </c>
    </row>
    <row r="457" spans="1:3" x14ac:dyDescent="0.2">
      <c r="A457" s="331">
        <v>50</v>
      </c>
      <c r="B457" s="332">
        <v>502940</v>
      </c>
      <c r="C457" s="333" t="s">
        <v>1625</v>
      </c>
    </row>
    <row r="458" spans="1:3" x14ac:dyDescent="0.2">
      <c r="A458" s="331">
        <v>50</v>
      </c>
      <c r="B458" s="332">
        <v>502950</v>
      </c>
      <c r="C458" s="333" t="s">
        <v>1626</v>
      </c>
    </row>
    <row r="459" spans="1:3" x14ac:dyDescent="0.2">
      <c r="A459" s="331">
        <v>50</v>
      </c>
      <c r="B459" s="332">
        <v>502955</v>
      </c>
      <c r="C459" s="333" t="s">
        <v>1627</v>
      </c>
    </row>
    <row r="460" spans="1:3" x14ac:dyDescent="0.2">
      <c r="A460" s="331">
        <v>50</v>
      </c>
      <c r="B460" s="332">
        <v>502960</v>
      </c>
      <c r="C460" s="333" t="s">
        <v>1628</v>
      </c>
    </row>
    <row r="461" spans="1:3" x14ac:dyDescent="0.2">
      <c r="A461" s="331">
        <v>50</v>
      </c>
      <c r="B461" s="332">
        <v>502965</v>
      </c>
      <c r="C461" s="333" t="s">
        <v>1629</v>
      </c>
    </row>
    <row r="462" spans="1:3" x14ac:dyDescent="0.2">
      <c r="A462" s="331">
        <v>50</v>
      </c>
      <c r="B462" s="332">
        <v>502970</v>
      </c>
      <c r="C462" s="333" t="s">
        <v>1630</v>
      </c>
    </row>
    <row r="463" spans="1:3" x14ac:dyDescent="0.2">
      <c r="A463" s="331">
        <v>50</v>
      </c>
      <c r="B463" s="332">
        <v>502975</v>
      </c>
      <c r="C463" s="333" t="s">
        <v>1631</v>
      </c>
    </row>
    <row r="464" spans="1:3" x14ac:dyDescent="0.2">
      <c r="A464" s="331">
        <v>50</v>
      </c>
      <c r="B464" s="332">
        <v>502980</v>
      </c>
      <c r="C464" s="333" t="s">
        <v>1632</v>
      </c>
    </row>
    <row r="465" spans="1:3" x14ac:dyDescent="0.2">
      <c r="A465" s="331">
        <v>50</v>
      </c>
      <c r="B465" s="332">
        <v>503005</v>
      </c>
      <c r="C465" s="333" t="s">
        <v>1633</v>
      </c>
    </row>
    <row r="466" spans="1:3" x14ac:dyDescent="0.2">
      <c r="A466" s="331">
        <v>50</v>
      </c>
      <c r="B466" s="332">
        <v>503010</v>
      </c>
      <c r="C466" s="333" t="s">
        <v>1634</v>
      </c>
    </row>
    <row r="467" spans="1:3" x14ac:dyDescent="0.2">
      <c r="A467" s="331">
        <v>50</v>
      </c>
      <c r="B467" s="332">
        <v>503040</v>
      </c>
      <c r="C467" s="333" t="s">
        <v>1635</v>
      </c>
    </row>
    <row r="468" spans="1:3" x14ac:dyDescent="0.2">
      <c r="A468" s="331">
        <v>50</v>
      </c>
      <c r="B468" s="332">
        <v>503075</v>
      </c>
      <c r="C468" s="333" t="s">
        <v>1636</v>
      </c>
    </row>
    <row r="469" spans="1:3" x14ac:dyDescent="0.2">
      <c r="A469" s="331">
        <v>50</v>
      </c>
      <c r="B469" s="332">
        <v>503090</v>
      </c>
      <c r="C469" s="333" t="s">
        <v>1637</v>
      </c>
    </row>
    <row r="470" spans="1:3" x14ac:dyDescent="0.2">
      <c r="A470" s="331">
        <v>50</v>
      </c>
      <c r="B470" s="332">
        <v>503095</v>
      </c>
      <c r="C470" s="333" t="s">
        <v>1638</v>
      </c>
    </row>
    <row r="471" spans="1:3" x14ac:dyDescent="0.2">
      <c r="A471" s="331">
        <v>50</v>
      </c>
      <c r="B471" s="332">
        <v>503100</v>
      </c>
      <c r="C471" s="333" t="s">
        <v>1639</v>
      </c>
    </row>
    <row r="472" spans="1:3" x14ac:dyDescent="0.2">
      <c r="A472" s="331">
        <v>50</v>
      </c>
      <c r="B472" s="332">
        <v>503105</v>
      </c>
      <c r="C472" s="333" t="s">
        <v>1640</v>
      </c>
    </row>
    <row r="473" spans="1:3" x14ac:dyDescent="0.2">
      <c r="A473" s="331">
        <v>50</v>
      </c>
      <c r="B473" s="332">
        <v>503110</v>
      </c>
      <c r="C473" s="333" t="s">
        <v>1641</v>
      </c>
    </row>
    <row r="474" spans="1:3" x14ac:dyDescent="0.2">
      <c r="A474" s="331">
        <v>50</v>
      </c>
      <c r="B474" s="332">
        <v>503111</v>
      </c>
      <c r="C474" s="333" t="s">
        <v>1642</v>
      </c>
    </row>
    <row r="475" spans="1:3" x14ac:dyDescent="0.2">
      <c r="A475" s="331">
        <v>50</v>
      </c>
      <c r="B475" s="332">
        <v>503115</v>
      </c>
      <c r="C475" s="333" t="s">
        <v>1643</v>
      </c>
    </row>
    <row r="476" spans="1:3" x14ac:dyDescent="0.2">
      <c r="A476" s="331">
        <v>50</v>
      </c>
      <c r="B476" s="332">
        <v>503116</v>
      </c>
      <c r="C476" s="333" t="s">
        <v>1644</v>
      </c>
    </row>
    <row r="477" spans="1:3" x14ac:dyDescent="0.2">
      <c r="A477" s="331">
        <v>50</v>
      </c>
      <c r="B477" s="332">
        <v>503117</v>
      </c>
      <c r="C477" s="333" t="s">
        <v>1645</v>
      </c>
    </row>
    <row r="478" spans="1:3" x14ac:dyDescent="0.2">
      <c r="A478" s="331">
        <v>50</v>
      </c>
      <c r="B478" s="332">
        <v>503120</v>
      </c>
      <c r="C478" s="333" t="s">
        <v>1646</v>
      </c>
    </row>
    <row r="479" spans="1:3" x14ac:dyDescent="0.2">
      <c r="A479" s="331">
        <v>50</v>
      </c>
      <c r="B479" s="332">
        <v>503125</v>
      </c>
      <c r="C479" s="333" t="s">
        <v>1647</v>
      </c>
    </row>
    <row r="480" spans="1:3" x14ac:dyDescent="0.2">
      <c r="A480" s="331">
        <v>50</v>
      </c>
      <c r="B480" s="332">
        <v>503126</v>
      </c>
      <c r="C480" s="333" t="s">
        <v>1648</v>
      </c>
    </row>
    <row r="481" spans="1:3" x14ac:dyDescent="0.2">
      <c r="A481" s="331">
        <v>50</v>
      </c>
      <c r="B481" s="332">
        <v>503135</v>
      </c>
      <c r="C481" s="333" t="s">
        <v>1649</v>
      </c>
    </row>
    <row r="482" spans="1:3" x14ac:dyDescent="0.2">
      <c r="A482" s="331">
        <v>50</v>
      </c>
      <c r="B482" s="332">
        <v>503145</v>
      </c>
      <c r="C482" s="333" t="s">
        <v>1650</v>
      </c>
    </row>
    <row r="483" spans="1:3" x14ac:dyDescent="0.2">
      <c r="A483" s="331">
        <v>50</v>
      </c>
      <c r="B483" s="332">
        <v>503150</v>
      </c>
      <c r="C483" s="333" t="s">
        <v>1651</v>
      </c>
    </row>
    <row r="484" spans="1:3" x14ac:dyDescent="0.2">
      <c r="A484" s="331">
        <v>50</v>
      </c>
      <c r="B484" s="332">
        <v>503170</v>
      </c>
      <c r="C484" s="333" t="s">
        <v>1652</v>
      </c>
    </row>
    <row r="485" spans="1:3" x14ac:dyDescent="0.2">
      <c r="A485" s="331">
        <v>50</v>
      </c>
      <c r="B485" s="332">
        <v>503210</v>
      </c>
      <c r="C485" s="333" t="s">
        <v>1653</v>
      </c>
    </row>
    <row r="486" spans="1:3" x14ac:dyDescent="0.2">
      <c r="A486" s="331">
        <v>50</v>
      </c>
      <c r="B486" s="332">
        <v>503215</v>
      </c>
      <c r="C486" s="333" t="s">
        <v>1654</v>
      </c>
    </row>
    <row r="487" spans="1:3" x14ac:dyDescent="0.2">
      <c r="A487" s="331">
        <v>50</v>
      </c>
      <c r="B487" s="332">
        <v>503225</v>
      </c>
      <c r="C487" s="333" t="s">
        <v>1655</v>
      </c>
    </row>
    <row r="488" spans="1:3" x14ac:dyDescent="0.2">
      <c r="A488" s="331">
        <v>50</v>
      </c>
      <c r="B488" s="332">
        <v>503245</v>
      </c>
      <c r="C488" s="333" t="s">
        <v>1656</v>
      </c>
    </row>
    <row r="489" spans="1:3" x14ac:dyDescent="0.2">
      <c r="A489" s="331">
        <v>50</v>
      </c>
      <c r="B489" s="332">
        <v>503255</v>
      </c>
      <c r="C489" s="333" t="s">
        <v>1657</v>
      </c>
    </row>
    <row r="490" spans="1:3" x14ac:dyDescent="0.2">
      <c r="A490" s="331">
        <v>50</v>
      </c>
      <c r="B490" s="332">
        <v>503260</v>
      </c>
      <c r="C490" s="333" t="s">
        <v>1658</v>
      </c>
    </row>
    <row r="491" spans="1:3" x14ac:dyDescent="0.2">
      <c r="A491" s="331">
        <v>50</v>
      </c>
      <c r="B491" s="332">
        <v>503265</v>
      </c>
      <c r="C491" s="333" t="s">
        <v>1659</v>
      </c>
    </row>
    <row r="492" spans="1:3" x14ac:dyDescent="0.2">
      <c r="A492" s="331">
        <v>50</v>
      </c>
      <c r="B492" s="332">
        <v>503295</v>
      </c>
      <c r="C492" s="333" t="s">
        <v>1660</v>
      </c>
    </row>
    <row r="493" spans="1:3" x14ac:dyDescent="0.2">
      <c r="A493" s="331">
        <v>50</v>
      </c>
      <c r="B493" s="332">
        <v>503305</v>
      </c>
      <c r="C493" s="333" t="s">
        <v>1661</v>
      </c>
    </row>
    <row r="494" spans="1:3" x14ac:dyDescent="0.2">
      <c r="A494" s="331">
        <v>50</v>
      </c>
      <c r="B494" s="332">
        <v>503310</v>
      </c>
      <c r="C494" s="333" t="s">
        <v>1662</v>
      </c>
    </row>
    <row r="495" spans="1:3" x14ac:dyDescent="0.2">
      <c r="A495" s="331">
        <v>50</v>
      </c>
      <c r="B495" s="332">
        <v>503320</v>
      </c>
      <c r="C495" s="333" t="s">
        <v>1663</v>
      </c>
    </row>
    <row r="496" spans="1:3" x14ac:dyDescent="0.2">
      <c r="A496" s="331">
        <v>50</v>
      </c>
      <c r="B496" s="332">
        <v>503321</v>
      </c>
      <c r="C496" s="333" t="s">
        <v>1664</v>
      </c>
    </row>
    <row r="497" spans="1:3" x14ac:dyDescent="0.2">
      <c r="A497" s="331">
        <v>50</v>
      </c>
      <c r="B497" s="332">
        <v>503325</v>
      </c>
      <c r="C497" s="333" t="s">
        <v>1665</v>
      </c>
    </row>
    <row r="498" spans="1:3" x14ac:dyDescent="0.2">
      <c r="A498" s="331">
        <v>50</v>
      </c>
      <c r="B498" s="332">
        <v>503335</v>
      </c>
      <c r="C498" s="333" t="s">
        <v>1666</v>
      </c>
    </row>
    <row r="499" spans="1:3" x14ac:dyDescent="0.2">
      <c r="A499" s="331">
        <v>50</v>
      </c>
      <c r="B499" s="332">
        <v>503345</v>
      </c>
      <c r="C499" s="333" t="s">
        <v>1667</v>
      </c>
    </row>
    <row r="500" spans="1:3" x14ac:dyDescent="0.2">
      <c r="A500" s="331">
        <v>50</v>
      </c>
      <c r="B500" s="332">
        <v>503350</v>
      </c>
      <c r="C500" s="333" t="s">
        <v>1668</v>
      </c>
    </row>
    <row r="501" spans="1:3" x14ac:dyDescent="0.2">
      <c r="A501" s="331">
        <v>50</v>
      </c>
      <c r="B501" s="332">
        <v>503360</v>
      </c>
      <c r="C501" s="333" t="s">
        <v>1669</v>
      </c>
    </row>
    <row r="502" spans="1:3" x14ac:dyDescent="0.2">
      <c r="A502" s="331">
        <v>50</v>
      </c>
      <c r="B502" s="332">
        <v>503375</v>
      </c>
      <c r="C502" s="333" t="s">
        <v>1670</v>
      </c>
    </row>
    <row r="503" spans="1:3" x14ac:dyDescent="0.2">
      <c r="A503" s="331">
        <v>50</v>
      </c>
      <c r="B503" s="332">
        <v>503380</v>
      </c>
      <c r="C503" s="333" t="s">
        <v>1671</v>
      </c>
    </row>
    <row r="504" spans="1:3" x14ac:dyDescent="0.2">
      <c r="A504" s="331">
        <v>50</v>
      </c>
      <c r="B504" s="332">
        <v>503405</v>
      </c>
      <c r="C504" s="333" t="s">
        <v>1672</v>
      </c>
    </row>
  </sheetData>
  <autoFilter ref="A1:C504" xr:uid="{00000000-0009-0000-0000-000003000000}"/>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M20"/>
  <sheetViews>
    <sheetView zoomScale="64" zoomScaleNormal="70" workbookViewId="0">
      <selection activeCell="F12" sqref="F12"/>
    </sheetView>
  </sheetViews>
  <sheetFormatPr baseColWidth="10" defaultColWidth="10.6640625" defaultRowHeight="16" x14ac:dyDescent="0.2"/>
  <cols>
    <col min="1" max="1" width="10.6640625" style="137" customWidth="1"/>
    <col min="2" max="2" width="8.6640625" style="137" customWidth="1"/>
    <col min="3" max="3" width="27.6640625" style="137" customWidth="1"/>
    <col min="4" max="5" width="28" style="137" customWidth="1"/>
    <col min="6" max="7" width="51.1640625" style="187" customWidth="1"/>
    <col min="8" max="9" width="22.6640625" style="137" customWidth="1"/>
    <col min="10" max="11" width="10.6640625" style="137" customWidth="1"/>
    <col min="12" max="12" width="44" style="137" customWidth="1"/>
    <col min="13" max="13" width="10.6640625" style="137" customWidth="1"/>
    <col min="14" max="16384" width="10.6640625" style="137"/>
  </cols>
  <sheetData>
    <row r="1" spans="1:13" ht="40.25" customHeight="1" thickBot="1" x14ac:dyDescent="0.25">
      <c r="C1" s="138"/>
      <c r="D1" s="138"/>
      <c r="E1" s="138"/>
      <c r="F1" s="139"/>
      <c r="G1" s="139"/>
      <c r="H1" s="138"/>
      <c r="I1" s="138"/>
    </row>
    <row r="2" spans="1:13" x14ac:dyDescent="0.2">
      <c r="A2" s="140"/>
      <c r="B2" s="141"/>
      <c r="C2" s="142" t="s">
        <v>1673</v>
      </c>
      <c r="D2" s="143" t="s">
        <v>1674</v>
      </c>
      <c r="E2" s="144" t="s">
        <v>1675</v>
      </c>
      <c r="F2" s="145" t="s">
        <v>1676</v>
      </c>
      <c r="G2" s="146" t="s">
        <v>1677</v>
      </c>
      <c r="H2" s="143" t="s">
        <v>1678</v>
      </c>
      <c r="I2" s="147" t="s">
        <v>1679</v>
      </c>
      <c r="J2" s="148"/>
    </row>
    <row r="3" spans="1:13" ht="32" customHeight="1" x14ac:dyDescent="0.2">
      <c r="A3" s="140"/>
      <c r="B3" s="617" t="s">
        <v>1680</v>
      </c>
      <c r="C3" s="149" t="s">
        <v>1681</v>
      </c>
      <c r="D3" s="209" t="s">
        <v>1682</v>
      </c>
      <c r="E3" s="244" t="s">
        <v>1683</v>
      </c>
      <c r="F3" s="150" t="s">
        <v>1684</v>
      </c>
      <c r="G3" s="151" t="s">
        <v>1685</v>
      </c>
      <c r="H3" s="152" t="s">
        <v>1686</v>
      </c>
      <c r="I3" s="198" t="s">
        <v>1687</v>
      </c>
      <c r="J3" s="148"/>
    </row>
    <row r="4" spans="1:13" ht="32" customHeight="1" x14ac:dyDescent="0.2">
      <c r="A4" s="140"/>
      <c r="B4" s="616"/>
      <c r="C4" s="153" t="s">
        <v>1688</v>
      </c>
      <c r="D4" s="209" t="s">
        <v>1689</v>
      </c>
      <c r="E4" s="245" t="s">
        <v>1690</v>
      </c>
      <c r="F4" s="154" t="s">
        <v>1691</v>
      </c>
      <c r="G4" s="151" t="s">
        <v>1692</v>
      </c>
      <c r="H4" s="155" t="s">
        <v>1693</v>
      </c>
      <c r="I4" s="199" t="s">
        <v>1694</v>
      </c>
      <c r="J4" s="148"/>
    </row>
    <row r="5" spans="1:13" ht="80" customHeight="1" x14ac:dyDescent="0.2">
      <c r="A5" s="140"/>
      <c r="B5" s="616"/>
      <c r="C5" s="153" t="s">
        <v>1695</v>
      </c>
      <c r="D5" s="255" t="s">
        <v>1696</v>
      </c>
      <c r="E5" s="246" t="s">
        <v>1697</v>
      </c>
      <c r="F5" s="154" t="s">
        <v>1698</v>
      </c>
      <c r="G5" s="151" t="s">
        <v>1699</v>
      </c>
      <c r="H5" s="155" t="s">
        <v>1696</v>
      </c>
      <c r="I5" s="199" t="s">
        <v>1697</v>
      </c>
      <c r="J5" s="148"/>
    </row>
    <row r="6" spans="1:13" ht="76.25" customHeight="1" x14ac:dyDescent="0.2">
      <c r="A6" s="140"/>
      <c r="B6" s="616"/>
      <c r="C6" s="153" t="s">
        <v>1700</v>
      </c>
      <c r="D6" s="256" t="s">
        <v>1701</v>
      </c>
      <c r="E6" s="247" t="s">
        <v>1702</v>
      </c>
      <c r="F6" s="156" t="s">
        <v>1703</v>
      </c>
      <c r="G6" s="223" t="s">
        <v>1704</v>
      </c>
      <c r="H6" s="157" t="s">
        <v>1705</v>
      </c>
      <c r="I6" s="200" t="s">
        <v>1706</v>
      </c>
      <c r="J6" s="148"/>
      <c r="K6" s="257"/>
    </row>
    <row r="7" spans="1:13" ht="105.5" customHeight="1" x14ac:dyDescent="0.2">
      <c r="A7" s="140"/>
      <c r="B7" s="616"/>
      <c r="C7" s="153" t="s">
        <v>1707</v>
      </c>
      <c r="D7" s="255" t="s">
        <v>1708</v>
      </c>
      <c r="E7" s="248" t="s">
        <v>1709</v>
      </c>
      <c r="F7" s="156" t="s">
        <v>1710</v>
      </c>
      <c r="G7" s="224" t="s">
        <v>1711</v>
      </c>
      <c r="H7" s="157" t="s">
        <v>1708</v>
      </c>
      <c r="I7" s="201" t="s">
        <v>1709</v>
      </c>
      <c r="J7" s="148"/>
    </row>
    <row r="8" spans="1:13" ht="76.25" customHeight="1" x14ac:dyDescent="0.2">
      <c r="A8" s="140"/>
      <c r="B8" s="616"/>
      <c r="C8" s="158" t="s">
        <v>1712</v>
      </c>
      <c r="D8" s="258" t="s">
        <v>1713</v>
      </c>
      <c r="E8" s="249" t="s">
        <v>1714</v>
      </c>
      <c r="F8" s="159" t="s">
        <v>1715</v>
      </c>
      <c r="G8" s="224" t="s">
        <v>1716</v>
      </c>
      <c r="H8" s="157" t="s">
        <v>1717</v>
      </c>
      <c r="I8" s="202" t="s">
        <v>1718</v>
      </c>
      <c r="J8" s="148"/>
    </row>
    <row r="9" spans="1:13" ht="50.25" customHeight="1" x14ac:dyDescent="0.2">
      <c r="A9" s="140"/>
      <c r="B9" s="602"/>
      <c r="C9" s="160" t="s">
        <v>1719</v>
      </c>
      <c r="D9" s="161">
        <v>0.1</v>
      </c>
      <c r="E9" s="250">
        <v>0.1</v>
      </c>
      <c r="F9" s="162" t="s">
        <v>1720</v>
      </c>
      <c r="G9" s="225" t="s">
        <v>1721</v>
      </c>
      <c r="H9" s="163">
        <v>0.2</v>
      </c>
      <c r="I9" s="164">
        <v>0.2</v>
      </c>
      <c r="J9" s="148"/>
    </row>
    <row r="10" spans="1:13" ht="32" customHeight="1" x14ac:dyDescent="0.2">
      <c r="A10" s="140"/>
      <c r="B10" s="617" t="s">
        <v>1722</v>
      </c>
      <c r="C10" s="165" t="s">
        <v>1723</v>
      </c>
      <c r="D10" s="323" t="s">
        <v>1724</v>
      </c>
      <c r="E10" s="259" t="s">
        <v>1725</v>
      </c>
      <c r="F10" s="166" t="s">
        <v>1726</v>
      </c>
      <c r="G10" s="226" t="s">
        <v>1727</v>
      </c>
      <c r="H10" s="167" t="s">
        <v>1728</v>
      </c>
      <c r="I10" s="204" t="s">
        <v>1729</v>
      </c>
      <c r="J10" s="148"/>
    </row>
    <row r="11" spans="1:13" ht="94.25" customHeight="1" x14ac:dyDescent="0.2">
      <c r="A11" s="140"/>
      <c r="B11" s="616"/>
      <c r="C11" s="168" t="s">
        <v>1730</v>
      </c>
      <c r="D11" s="208">
        <v>300</v>
      </c>
      <c r="E11" s="251">
        <v>300</v>
      </c>
      <c r="F11" s="169" t="s">
        <v>1731</v>
      </c>
      <c r="G11" s="194" t="s">
        <v>1732</v>
      </c>
      <c r="H11" s="205">
        <v>5</v>
      </c>
      <c r="I11" s="206">
        <v>5</v>
      </c>
      <c r="J11" s="148"/>
      <c r="L11" s="138"/>
    </row>
    <row r="12" spans="1:13" ht="158" customHeight="1" x14ac:dyDescent="0.2">
      <c r="A12" s="140"/>
      <c r="B12" s="616"/>
      <c r="C12" s="153" t="s">
        <v>1733</v>
      </c>
      <c r="D12" s="208">
        <v>1500000</v>
      </c>
      <c r="E12" s="252">
        <v>1500000</v>
      </c>
      <c r="F12" s="156" t="s">
        <v>1734</v>
      </c>
      <c r="G12" s="194" t="s">
        <v>1735</v>
      </c>
      <c r="H12" s="207">
        <v>5000000</v>
      </c>
      <c r="I12" s="206">
        <v>5000000</v>
      </c>
      <c r="J12" s="148"/>
      <c r="K12" s="140"/>
      <c r="L12" s="170"/>
      <c r="M12" s="148"/>
    </row>
    <row r="13" spans="1:13" ht="116.25" customHeight="1" x14ac:dyDescent="0.2">
      <c r="A13" s="140"/>
      <c r="B13" s="616"/>
      <c r="C13" s="168" t="s">
        <v>1736</v>
      </c>
      <c r="D13" s="208">
        <v>4000</v>
      </c>
      <c r="E13" s="251">
        <v>4000</v>
      </c>
      <c r="F13" s="159" t="s">
        <v>1737</v>
      </c>
      <c r="G13" s="195" t="s">
        <v>1738</v>
      </c>
      <c r="H13" s="207">
        <v>1200000</v>
      </c>
      <c r="I13" s="206">
        <v>1200000</v>
      </c>
      <c r="J13" s="148"/>
      <c r="L13" s="171"/>
    </row>
    <row r="14" spans="1:13" ht="50.25" customHeight="1" x14ac:dyDescent="0.2">
      <c r="A14" s="140"/>
      <c r="B14" s="616"/>
      <c r="C14" s="158" t="s">
        <v>1739</v>
      </c>
      <c r="D14" s="256" t="s">
        <v>1740</v>
      </c>
      <c r="E14" s="247" t="s">
        <v>1741</v>
      </c>
      <c r="F14" s="156" t="s">
        <v>1742</v>
      </c>
      <c r="G14" s="194" t="s">
        <v>1743</v>
      </c>
      <c r="H14" s="157" t="s">
        <v>1744</v>
      </c>
      <c r="I14" s="200" t="s">
        <v>1745</v>
      </c>
      <c r="J14" s="148"/>
    </row>
    <row r="15" spans="1:13" ht="50.25" customHeight="1" x14ac:dyDescent="0.2">
      <c r="A15" s="140"/>
      <c r="B15" s="602"/>
      <c r="C15" s="172" t="s">
        <v>1746</v>
      </c>
      <c r="D15" s="260" t="s">
        <v>1747</v>
      </c>
      <c r="E15" s="253" t="s">
        <v>1748</v>
      </c>
      <c r="F15" s="173" t="s">
        <v>1749</v>
      </c>
      <c r="G15" s="196" t="s">
        <v>1750</v>
      </c>
      <c r="H15" s="174" t="s">
        <v>1751</v>
      </c>
      <c r="I15" s="203" t="s">
        <v>1752</v>
      </c>
      <c r="J15" s="148"/>
    </row>
    <row r="16" spans="1:13" ht="5.75" customHeight="1" x14ac:dyDescent="0.2">
      <c r="A16" s="140"/>
      <c r="B16" s="175"/>
      <c r="C16" s="176"/>
      <c r="D16" s="261"/>
      <c r="E16" s="262"/>
      <c r="F16" s="177"/>
      <c r="G16" s="178"/>
      <c r="H16" s="179"/>
      <c r="I16" s="180"/>
      <c r="J16" s="148"/>
    </row>
    <row r="17" spans="1:10" ht="133.25" customHeight="1" x14ac:dyDescent="0.2">
      <c r="A17" s="140"/>
      <c r="B17" s="615" t="s">
        <v>1753</v>
      </c>
      <c r="C17" s="220" t="s">
        <v>1754</v>
      </c>
      <c r="D17" s="181">
        <v>0.91</v>
      </c>
      <c r="E17" s="263">
        <v>0.91</v>
      </c>
      <c r="F17" s="227" t="s">
        <v>1755</v>
      </c>
      <c r="G17" s="221" t="s">
        <v>1756</v>
      </c>
      <c r="H17" s="222">
        <v>0.91</v>
      </c>
      <c r="I17" s="136">
        <v>0.91</v>
      </c>
      <c r="J17" s="148"/>
    </row>
    <row r="18" spans="1:10" ht="144" customHeight="1" x14ac:dyDescent="0.2">
      <c r="A18" s="140"/>
      <c r="B18" s="616"/>
      <c r="C18" s="182" t="s">
        <v>1757</v>
      </c>
      <c r="D18" s="183">
        <v>0.91</v>
      </c>
      <c r="E18" s="264">
        <v>0.91</v>
      </c>
      <c r="F18" s="228" t="s">
        <v>1758</v>
      </c>
      <c r="G18" s="197" t="s">
        <v>1759</v>
      </c>
      <c r="H18" s="134">
        <v>0.91</v>
      </c>
      <c r="I18" s="33">
        <v>0.91</v>
      </c>
      <c r="J18" s="148"/>
    </row>
    <row r="19" spans="1:10" ht="107.75" customHeight="1" thickBot="1" x14ac:dyDescent="0.25">
      <c r="A19" s="140"/>
      <c r="B19" s="602"/>
      <c r="C19" s="184" t="s">
        <v>1760</v>
      </c>
      <c r="D19" s="185">
        <v>0.05</v>
      </c>
      <c r="E19" s="265">
        <v>0.05</v>
      </c>
      <c r="F19" s="229" t="s">
        <v>1761</v>
      </c>
      <c r="G19" s="196" t="s">
        <v>1762</v>
      </c>
      <c r="H19" s="135">
        <v>0.05</v>
      </c>
      <c r="I19" s="34">
        <v>0.05</v>
      </c>
      <c r="J19" s="148"/>
    </row>
    <row r="20" spans="1:10" x14ac:dyDescent="0.2">
      <c r="B20" s="171"/>
      <c r="C20" s="171"/>
      <c r="D20" s="171"/>
      <c r="E20" s="171"/>
      <c r="F20" s="186"/>
      <c r="G20" s="186"/>
      <c r="H20" s="171"/>
      <c r="I20" s="171"/>
    </row>
  </sheetData>
  <mergeCells count="3">
    <mergeCell ref="B17:B19"/>
    <mergeCell ref="B3:B9"/>
    <mergeCell ref="B10:B15"/>
  </mergeCells>
  <pageMargins left="0.7" right="0.7" top="0.75" bottom="0.75" header="0.3" footer="0.3"/>
  <pageSetup paperSize="9" orientation="portrai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C29"/>
  <sheetViews>
    <sheetView workbookViewId="0">
      <selection activeCell="B4" sqref="B4"/>
    </sheetView>
  </sheetViews>
  <sheetFormatPr baseColWidth="10" defaultColWidth="8.83203125" defaultRowHeight="15" x14ac:dyDescent="0.2"/>
  <cols>
    <col min="1" max="1" width="24.5" customWidth="1"/>
    <col min="2" max="2" width="18.1640625" customWidth="1"/>
  </cols>
  <sheetData>
    <row r="1" spans="1:3" ht="33" customHeight="1" thickBot="1" x14ac:dyDescent="0.25">
      <c r="A1" s="266" t="s">
        <v>1689</v>
      </c>
      <c r="B1" s="267" t="s">
        <v>1763</v>
      </c>
      <c r="C1" s="268" t="s">
        <v>1764</v>
      </c>
    </row>
    <row r="2" spans="1:3" x14ac:dyDescent="0.2">
      <c r="A2" s="618" t="s">
        <v>1164</v>
      </c>
      <c r="B2" s="269" t="s">
        <v>1765</v>
      </c>
      <c r="C2" s="270">
        <v>140</v>
      </c>
    </row>
    <row r="3" spans="1:3" x14ac:dyDescent="0.2">
      <c r="A3" s="619"/>
      <c r="B3" s="271" t="s">
        <v>1766</v>
      </c>
      <c r="C3" s="272">
        <v>30</v>
      </c>
    </row>
    <row r="4" spans="1:3" ht="16" customHeight="1" thickBot="1" x14ac:dyDescent="0.25">
      <c r="A4" s="620"/>
      <c r="B4" s="273" t="s">
        <v>1767</v>
      </c>
      <c r="C4" s="274">
        <v>35</v>
      </c>
    </row>
    <row r="5" spans="1:3" x14ac:dyDescent="0.2">
      <c r="A5" s="618" t="s">
        <v>1768</v>
      </c>
      <c r="B5" s="269" t="s">
        <v>1765</v>
      </c>
      <c r="C5" s="270">
        <v>35</v>
      </c>
    </row>
    <row r="6" spans="1:3" x14ac:dyDescent="0.2">
      <c r="A6" s="619"/>
      <c r="B6" s="271" t="s">
        <v>1766</v>
      </c>
      <c r="C6" s="272">
        <v>30</v>
      </c>
    </row>
    <row r="7" spans="1:3" ht="16" customHeight="1" thickBot="1" x14ac:dyDescent="0.25">
      <c r="A7" s="620"/>
      <c r="B7" s="273" t="s">
        <v>1767</v>
      </c>
      <c r="C7" s="274">
        <v>30</v>
      </c>
    </row>
    <row r="8" spans="1:3" x14ac:dyDescent="0.2">
      <c r="A8" s="618" t="s">
        <v>1769</v>
      </c>
      <c r="B8" s="269" t="s">
        <v>1765</v>
      </c>
      <c r="C8" s="270">
        <v>201</v>
      </c>
    </row>
    <row r="9" spans="1:3" x14ac:dyDescent="0.2">
      <c r="A9" s="619"/>
      <c r="B9" s="271" t="s">
        <v>1766</v>
      </c>
      <c r="C9" s="272"/>
    </row>
    <row r="10" spans="1:3" ht="16" customHeight="1" thickBot="1" x14ac:dyDescent="0.25">
      <c r="A10" s="620"/>
      <c r="B10" s="273" t="s">
        <v>1767</v>
      </c>
      <c r="C10" s="274">
        <v>33</v>
      </c>
    </row>
    <row r="11" spans="1:3" x14ac:dyDescent="0.2">
      <c r="A11" s="618" t="s">
        <v>1314</v>
      </c>
      <c r="B11" s="269" t="s">
        <v>1765</v>
      </c>
      <c r="C11" s="270">
        <v>110</v>
      </c>
    </row>
    <row r="12" spans="1:3" x14ac:dyDescent="0.2">
      <c r="A12" s="619"/>
      <c r="B12" s="271" t="s">
        <v>1766</v>
      </c>
      <c r="C12" s="272">
        <v>30</v>
      </c>
    </row>
    <row r="13" spans="1:3" ht="16" customHeight="1" thickBot="1" x14ac:dyDescent="0.25">
      <c r="A13" s="620"/>
      <c r="B13" s="273" t="s">
        <v>1767</v>
      </c>
      <c r="C13" s="274">
        <v>30</v>
      </c>
    </row>
    <row r="14" spans="1:3" x14ac:dyDescent="0.2">
      <c r="A14" s="618" t="s">
        <v>1770</v>
      </c>
      <c r="B14" s="269" t="s">
        <v>1765</v>
      </c>
      <c r="C14" s="270">
        <v>115</v>
      </c>
    </row>
    <row r="15" spans="1:3" x14ac:dyDescent="0.2">
      <c r="A15" s="619"/>
      <c r="B15" s="271" t="s">
        <v>1766</v>
      </c>
      <c r="C15" s="272">
        <v>45</v>
      </c>
    </row>
    <row r="16" spans="1:3" ht="16" customHeight="1" thickBot="1" x14ac:dyDescent="0.25">
      <c r="A16" s="620"/>
      <c r="B16" s="273" t="s">
        <v>1767</v>
      </c>
      <c r="C16" s="274">
        <v>38</v>
      </c>
    </row>
    <row r="17" spans="1:3" x14ac:dyDescent="0.2">
      <c r="A17" s="618" t="s">
        <v>1771</v>
      </c>
      <c r="B17" s="269" t="s">
        <v>1765</v>
      </c>
      <c r="C17" s="270">
        <v>30</v>
      </c>
    </row>
    <row r="18" spans="1:3" x14ac:dyDescent="0.2">
      <c r="A18" s="619"/>
      <c r="B18" s="271" t="s">
        <v>1766</v>
      </c>
      <c r="C18" s="272">
        <v>30</v>
      </c>
    </row>
    <row r="19" spans="1:3" ht="16" customHeight="1" thickBot="1" x14ac:dyDescent="0.25">
      <c r="A19" s="620"/>
      <c r="B19" s="273" t="s">
        <v>1767</v>
      </c>
      <c r="C19" s="274">
        <v>30</v>
      </c>
    </row>
    <row r="20" spans="1:3" x14ac:dyDescent="0.2">
      <c r="A20" s="618" t="s">
        <v>1772</v>
      </c>
      <c r="B20" s="269" t="s">
        <v>1765</v>
      </c>
      <c r="C20" s="270">
        <v>30</v>
      </c>
    </row>
    <row r="21" spans="1:3" x14ac:dyDescent="0.2">
      <c r="A21" s="619"/>
      <c r="B21" s="271" t="s">
        <v>1766</v>
      </c>
      <c r="C21" s="272">
        <v>30</v>
      </c>
    </row>
    <row r="22" spans="1:3" ht="16" customHeight="1" thickBot="1" x14ac:dyDescent="0.25">
      <c r="A22" s="620"/>
      <c r="B22" s="273" t="s">
        <v>1767</v>
      </c>
      <c r="C22" s="274">
        <v>30</v>
      </c>
    </row>
    <row r="23" spans="1:3" x14ac:dyDescent="0.2">
      <c r="A23" s="618" t="s">
        <v>1173</v>
      </c>
      <c r="B23" s="269" t="s">
        <v>1765</v>
      </c>
      <c r="C23" s="270">
        <v>61</v>
      </c>
    </row>
    <row r="24" spans="1:3" x14ac:dyDescent="0.2">
      <c r="A24" s="619"/>
      <c r="B24" s="271" t="s">
        <v>1766</v>
      </c>
      <c r="C24" s="272">
        <v>30</v>
      </c>
    </row>
    <row r="25" spans="1:3" ht="16" customHeight="1" thickBot="1" x14ac:dyDescent="0.25">
      <c r="A25" s="620"/>
      <c r="B25" s="273" t="s">
        <v>1767</v>
      </c>
      <c r="C25" s="274">
        <v>30</v>
      </c>
    </row>
    <row r="26" spans="1:3" x14ac:dyDescent="0.2">
      <c r="A26" s="618" t="s">
        <v>1773</v>
      </c>
      <c r="B26" s="269" t="s">
        <v>1765</v>
      </c>
      <c r="C26" s="270">
        <v>145</v>
      </c>
    </row>
    <row r="27" spans="1:3" x14ac:dyDescent="0.2">
      <c r="A27" s="619"/>
      <c r="B27" s="271" t="s">
        <v>1766</v>
      </c>
      <c r="C27" s="272">
        <v>40</v>
      </c>
    </row>
    <row r="28" spans="1:3" ht="16" customHeight="1" thickBot="1" x14ac:dyDescent="0.25">
      <c r="A28" s="620"/>
      <c r="B28" s="273" t="s">
        <v>1767</v>
      </c>
      <c r="C28" s="274">
        <v>45</v>
      </c>
    </row>
    <row r="29" spans="1:3" ht="16" customHeight="1" thickBot="1" x14ac:dyDescent="0.25">
      <c r="A29" s="621" t="s">
        <v>1774</v>
      </c>
      <c r="B29" s="622"/>
      <c r="C29" s="275">
        <f>SUM(C2:C28)</f>
        <v>1433</v>
      </c>
    </row>
  </sheetData>
  <mergeCells count="10">
    <mergeCell ref="A20:A22"/>
    <mergeCell ref="A23:A25"/>
    <mergeCell ref="A26:A28"/>
    <mergeCell ref="A29:B29"/>
    <mergeCell ref="A2:A4"/>
    <mergeCell ref="A5:A7"/>
    <mergeCell ref="A8:A10"/>
    <mergeCell ref="A11:A13"/>
    <mergeCell ref="A14:A16"/>
    <mergeCell ref="A17:A19"/>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7</vt:i4>
      </vt:variant>
    </vt:vector>
  </HeadingPairs>
  <TitlesOfParts>
    <vt:vector size="7" baseType="lpstr">
      <vt:lpstr>survey</vt:lpstr>
      <vt:lpstr>Crop list</vt:lpstr>
      <vt:lpstr>Admin 2 info</vt:lpstr>
      <vt:lpstr>Admin 1</vt:lpstr>
      <vt:lpstr>Admin 2</vt:lpstr>
      <vt:lpstr>Additional information</vt:lpstr>
      <vt:lpstr>Quotas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Lawi Analo</dc:creator>
  <cp:lastModifiedBy>Ibrahim Ali Ahmad</cp:lastModifiedBy>
  <dcterms:created xsi:type="dcterms:W3CDTF">2020-12-10T15:46:11Z</dcterms:created>
  <dcterms:modified xsi:type="dcterms:W3CDTF">2024-05-02T11:43:18Z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46ec50b2-b191-4ad7-ba82-7deb0436e358_Enabled">
    <vt:lpwstr>true</vt:lpwstr>
  </property>
  <property fmtid="{D5CDD505-2E9C-101B-9397-08002B2CF9AE}" pid="3" name="MSIP_Label_46ec50b2-b191-4ad7-ba82-7deb0436e358_SetDate">
    <vt:lpwstr>2024-05-02T11:34:29Z</vt:lpwstr>
  </property>
  <property fmtid="{D5CDD505-2E9C-101B-9397-08002B2CF9AE}" pid="4" name="MSIP_Label_46ec50b2-b191-4ad7-ba82-7deb0436e358_Method">
    <vt:lpwstr>Privileged</vt:lpwstr>
  </property>
  <property fmtid="{D5CDD505-2E9C-101B-9397-08002B2CF9AE}" pid="5" name="MSIP_Label_46ec50b2-b191-4ad7-ba82-7deb0436e358_Name">
    <vt:lpwstr>Public - 1</vt:lpwstr>
  </property>
  <property fmtid="{D5CDD505-2E9C-101B-9397-08002B2CF9AE}" pid="6" name="MSIP_Label_46ec50b2-b191-4ad7-ba82-7deb0436e358_SiteId">
    <vt:lpwstr>de3cd3a3-3b37-48aa-974f-a35e5efb5851</vt:lpwstr>
  </property>
  <property fmtid="{D5CDD505-2E9C-101B-9397-08002B2CF9AE}" pid="7" name="MSIP_Label_46ec50b2-b191-4ad7-ba82-7deb0436e358_ActionId">
    <vt:lpwstr>9251db1e-e8ea-4dff-877d-5ad1d4a1a663</vt:lpwstr>
  </property>
  <property fmtid="{D5CDD505-2E9C-101B-9397-08002B2CF9AE}" pid="8" name="MSIP_Label_46ec50b2-b191-4ad7-ba82-7deb0436e358_ContentBits">
    <vt:lpwstr>0</vt:lpwstr>
  </property>
</Properties>
</file>