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3600" windowHeight="21000" tabRatio="600" firstSheet="0" activeTab="0" autoFilterDateGrouping="1"/>
  </bookViews>
  <sheets>
    <sheet xmlns:r="http://schemas.openxmlformats.org/officeDocument/2006/relationships" name="survey" sheetId="1" state="visible" r:id="rId1"/>
    <sheet xmlns:r="http://schemas.openxmlformats.org/officeDocument/2006/relationships" name="Crop list" sheetId="2" state="visible" r:id="rId2"/>
    <sheet xmlns:r="http://schemas.openxmlformats.org/officeDocument/2006/relationships" name="Admin 1 info" sheetId="3" state="visible" r:id="rId3"/>
    <sheet xmlns:r="http://schemas.openxmlformats.org/officeDocument/2006/relationships" name="Admin 2 info"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41">
    <font>
      <name val="Calibri"/>
      <family val="2"/>
      <color theme="1"/>
      <sz val="11"/>
      <scheme val="minor"/>
    </font>
    <font>
      <name val="Calibri"/>
      <family val="2"/>
      <color theme="1"/>
      <sz val="11"/>
      <scheme val="minor"/>
    </font>
    <font>
      <name val="Arial"/>
      <family val="2"/>
      <color rgb="FF000000"/>
      <sz val="10"/>
    </font>
    <font>
      <name val="Calibri"/>
      <family val="2"/>
      <color theme="1"/>
      <sz val="14"/>
      <scheme val="minor"/>
    </font>
    <font>
      <name val="Calibri"/>
      <family val="2"/>
      <color theme="1"/>
      <sz val="12"/>
      <scheme val="minor"/>
    </font>
    <font>
      <name val="Calibri"/>
      <family val="2"/>
      <sz val="14"/>
      <scheme val="minor"/>
    </font>
    <font>
      <name val="Calibri"/>
      <family val="2"/>
      <sz val="11"/>
      <scheme val="minor"/>
    </font>
    <font>
      <name val="Calibri"/>
      <family val="2"/>
      <b val="1"/>
      <sz val="11"/>
      <scheme val="minor"/>
    </font>
    <font>
      <name val="Calibri"/>
      <family val="2"/>
      <b val="1"/>
      <color theme="0"/>
      <sz val="12"/>
      <scheme val="minor"/>
    </font>
    <font>
      <name val="Calibri"/>
      <family val="2"/>
      <b val="1"/>
      <sz val="12"/>
      <scheme val="minor"/>
    </font>
    <font>
      <name val="Calibri"/>
      <family val="2"/>
      <b val="1"/>
      <sz val="11"/>
    </font>
    <font>
      <name val="Calibri"/>
      <family val="2"/>
      <b val="1"/>
      <color theme="0"/>
      <sz val="14"/>
      <scheme val="minor"/>
    </font>
    <font>
      <name val="Calibri"/>
      <family val="2"/>
      <b val="1"/>
      <color theme="1"/>
      <sz val="14"/>
      <scheme val="minor"/>
    </font>
    <font>
      <name val="Calibri"/>
      <family val="2"/>
      <b val="1"/>
      <sz val="14"/>
      <scheme val="minor"/>
    </font>
    <font>
      <name val="Calibri"/>
      <family val="2"/>
      <sz val="14"/>
    </font>
    <font>
      <name val="Calibri"/>
      <family val="2"/>
      <color rgb="FFFF0000"/>
      <sz val="14"/>
      <scheme val="minor"/>
    </font>
    <font>
      <name val="Calibri"/>
      <family val="2"/>
      <b val="1"/>
      <color rgb="FF0070C0"/>
      <sz val="14"/>
      <scheme val="minor"/>
    </font>
    <font>
      <name val="Calibri"/>
      <family val="2"/>
      <i val="1"/>
      <sz val="14"/>
      <scheme val="minor"/>
    </font>
    <font>
      <name val="Calibri"/>
      <family val="2"/>
      <color theme="1"/>
      <sz val="14"/>
    </font>
    <font>
      <name val="Calibri"/>
      <family val="2"/>
      <b val="1"/>
      <sz val="14"/>
    </font>
    <font>
      <name val="Calibri"/>
      <family val="2"/>
      <color theme="9" tint="-0.499984740745262"/>
      <sz val="14"/>
      <scheme val="minor"/>
    </font>
    <font>
      <name val="Calibri"/>
      <family val="2"/>
      <color rgb="FF0070C0"/>
      <sz val="14"/>
      <scheme val="minor"/>
    </font>
    <font>
      <name val="Calibri"/>
      <family val="2"/>
      <b val="1"/>
      <color theme="4"/>
      <sz val="14"/>
      <scheme val="minor"/>
    </font>
    <font>
      <name val="Calibri"/>
      <family val="2"/>
      <color rgb="FF00B050"/>
      <sz val="14"/>
      <scheme val="minor"/>
    </font>
    <font>
      <name val="Calibri"/>
      <family val="2"/>
      <b val="1"/>
      <i val="1"/>
      <sz val="14"/>
      <scheme val="minor"/>
    </font>
    <font>
      <name val="Calibri"/>
      <family val="2"/>
      <color rgb="FF000000"/>
      <sz val="14"/>
      <scheme val="minor"/>
    </font>
    <font>
      <name val="Calibri (Body)"/>
      <sz val="14"/>
    </font>
    <font>
      <name val="Calibri"/>
      <family val="2"/>
      <color rgb="FFFF0000"/>
      <sz val="14"/>
    </font>
    <font>
      <name val="Calibri"/>
      <family val="2"/>
      <b val="1"/>
      <color rgb="FFFF0000"/>
      <sz val="14"/>
      <scheme val="minor"/>
    </font>
    <font>
      <name val="Calibri"/>
      <family val="2"/>
      <strike val="1"/>
      <color rgb="FFFF0000"/>
      <sz val="14"/>
      <scheme val="minor"/>
    </font>
    <font>
      <name val="Calibri"/>
      <family val="2"/>
      <strike val="1"/>
      <color rgb="FFFF0000"/>
      <sz val="14"/>
    </font>
    <font>
      <name val="Calibri"/>
      <family val="2"/>
      <i val="1"/>
      <strike val="1"/>
      <color rgb="FFFF0000"/>
      <sz val="14"/>
      <scheme val="minor"/>
    </font>
    <font>
      <name val="Calibri"/>
      <family val="2"/>
      <strike val="1"/>
      <sz val="14"/>
      <scheme val="minor"/>
    </font>
    <font>
      <name val="Calibri"/>
      <family val="2"/>
      <b val="1"/>
      <strike val="1"/>
      <sz val="14"/>
      <scheme val="minor"/>
    </font>
    <font>
      <name val="Calibri"/>
      <family val="2"/>
      <strike val="1"/>
      <sz val="14"/>
    </font>
    <font>
      <name val="Calibri"/>
      <family val="2"/>
      <b val="1"/>
      <i val="1"/>
      <strike val="1"/>
      <sz val="14"/>
      <scheme val="minor"/>
    </font>
    <font>
      <name val="Calibri"/>
      <family val="2"/>
      <i val="1"/>
      <strike val="1"/>
      <sz val="14"/>
      <scheme val="minor"/>
    </font>
    <font>
      <name val="Calibri"/>
      <family val="2"/>
      <strike val="1"/>
      <color theme="1"/>
      <sz val="14"/>
      <scheme val="minor"/>
    </font>
    <font>
      <name val="Calibri (Body)"/>
      <strike val="1"/>
      <sz val="14"/>
    </font>
    <font>
      <name val="Calibri"/>
      <family val="2"/>
      <color rgb="FFFF0000"/>
      <sz val="16"/>
      <scheme val="minor"/>
    </font>
    <font>
      <b val="1"/>
    </font>
  </fonts>
  <fills count="18">
    <fill>
      <patternFill/>
    </fill>
    <fill>
      <patternFill patternType="gray125"/>
    </fill>
    <fill>
      <patternFill patternType="solid">
        <fgColor rgb="FF4398B6"/>
        <bgColor indexed="64"/>
      </patternFill>
    </fill>
    <fill>
      <patternFill patternType="solid">
        <fgColor theme="0"/>
        <bgColor indexed="64"/>
      </patternFill>
    </fill>
    <fill>
      <patternFill patternType="solid">
        <fgColor rgb="FFF6DFDC"/>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F6DFDC"/>
        <bgColor rgb="FF000000"/>
      </patternFill>
    </fill>
    <fill>
      <patternFill patternType="solid">
        <fgColor theme="4" tint="0.7999816888943144"/>
        <bgColor indexed="64"/>
      </patternFill>
    </fill>
    <fill>
      <patternFill patternType="solid">
        <fgColor theme="1"/>
        <bgColor indexed="64"/>
      </patternFill>
    </fill>
    <fill>
      <patternFill patternType="solid">
        <fgColor theme="3" tint="0.7999816888943144"/>
        <bgColor indexed="64"/>
      </patternFill>
    </fill>
    <fill>
      <patternFill patternType="solid">
        <fgColor rgb="FFA5A5A5"/>
      </patternFill>
    </fill>
    <fill>
      <patternFill patternType="solid">
        <fgColor theme="5" tint="0.7999816888943144"/>
        <bgColor indexed="64"/>
      </patternFill>
    </fill>
    <fill>
      <patternFill patternType="solid">
        <fgColor rgb="FFFFFF00"/>
        <bgColor indexed="64"/>
      </patternFill>
    </fill>
    <fill>
      <patternFill patternType="solid">
        <fgColor theme="0"/>
        <bgColor rgb="FF000000"/>
      </patternFill>
    </fill>
    <fill>
      <patternFill patternType="solid">
        <fgColor rgb="FFFF0000"/>
        <bgColor indexed="64"/>
      </patternFill>
    </fill>
    <fill>
      <patternFill patternType="solid">
        <fgColor rgb="FFFF0000"/>
        <bgColor rgb="FF000000"/>
      </patternFill>
    </fill>
    <fill>
      <patternFill patternType="solid">
        <fgColor rgb="FF92D050"/>
        <bgColor indexed="64"/>
      </patternFill>
    </fill>
  </fills>
  <borders count="76">
    <border>
      <left/>
      <right/>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indexed="64"/>
      </right>
      <top style="thin">
        <color auto="1"/>
      </top>
      <bottom style="thin">
        <color auto="1"/>
      </bottom>
      <diagonal/>
    </border>
    <border>
      <left style="thin">
        <color auto="1"/>
      </left>
      <right style="thin">
        <color auto="1"/>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indexed="64"/>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indexed="64"/>
      </bottom>
      <diagonal/>
    </border>
    <border>
      <left/>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style="medium">
        <color indexed="64"/>
      </right>
      <top style="thin">
        <color auto="1"/>
      </top>
      <bottom/>
      <diagonal/>
    </border>
    <border>
      <left style="thin">
        <color theme="1"/>
      </left>
      <right style="thin">
        <color auto="1"/>
      </right>
      <top style="thin">
        <color auto="1"/>
      </top>
      <bottom style="thin">
        <color indexed="64"/>
      </bottom>
      <diagonal/>
    </border>
    <border>
      <left/>
      <right/>
      <top style="medium">
        <color indexed="64"/>
      </top>
      <bottom style="medium">
        <color indexed="64"/>
      </bottom>
      <diagonal/>
    </border>
    <border>
      <left style="thin">
        <color auto="1"/>
      </left>
      <right style="medium">
        <color indexed="64"/>
      </right>
      <top/>
      <bottom/>
      <diagonal/>
    </border>
    <border>
      <left style="thin">
        <color theme="1"/>
      </left>
      <right style="thin">
        <color theme="1"/>
      </right>
      <top/>
      <bottom style="thin">
        <color theme="1"/>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auto="1"/>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bottom/>
      <diagonal/>
    </border>
    <border>
      <left style="medium">
        <color indexed="64"/>
      </left>
      <right style="thin">
        <color auto="1"/>
      </right>
      <top style="thin">
        <color auto="1"/>
      </top>
      <bottom/>
      <diagonal/>
    </border>
    <border>
      <left style="medium">
        <color indexed="64"/>
      </left>
      <right style="thin">
        <color auto="1"/>
      </right>
      <top style="medium">
        <color indexed="64"/>
      </top>
      <bottom style="medium">
        <color indexed="64"/>
      </bottom>
      <diagonal/>
    </border>
    <border>
      <left/>
      <right style="thin">
        <color auto="1"/>
      </right>
      <top/>
      <bottom style="medium">
        <color indexed="64"/>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right style="thin">
        <color auto="1"/>
      </right>
      <top style="thin">
        <color auto="1"/>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thin">
        <color auto="1"/>
      </top>
      <bottom/>
      <diagonal/>
    </border>
    <border>
      <left style="medium">
        <color indexed="64"/>
      </left>
      <right style="medium">
        <color indexed="64"/>
      </right>
      <top/>
      <bottom style="thin">
        <color auto="1"/>
      </bottom>
      <diagonal/>
    </border>
    <border>
      <left style="thin">
        <color auto="1"/>
      </left>
      <right style="thin">
        <color auto="1"/>
      </right>
      <top style="thin">
        <color theme="1"/>
      </top>
      <bottom style="thin">
        <color auto="1"/>
      </bottom>
      <diagonal/>
    </border>
    <border>
      <left/>
      <right/>
      <top style="thin">
        <color auto="1"/>
      </top>
      <bottom/>
      <diagonal/>
    </border>
    <border>
      <left/>
      <right style="thin">
        <color auto="1"/>
      </right>
      <top/>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thin">
        <color auto="1"/>
      </left>
      <right style="thin">
        <color auto="1"/>
      </right>
      <top style="thin">
        <color theme="1"/>
      </top>
      <bottom/>
      <diagonal/>
    </border>
    <border>
      <left style="medium">
        <color indexed="64"/>
      </left>
      <right style="thin">
        <color auto="1"/>
      </right>
      <top/>
      <bottom/>
      <diagonal/>
    </border>
    <border>
      <left style="medium">
        <color indexed="64"/>
      </left>
      <right style="thin">
        <color auto="1"/>
      </right>
      <top/>
      <bottom style="thin">
        <color auto="1"/>
      </bottom>
      <diagonal/>
    </border>
    <border>
      <left style="thin">
        <color theme="0" tint="-0.499984740745262"/>
      </left>
      <right style="thin">
        <color theme="0" tint="-0.499984740745262"/>
      </right>
      <top/>
      <bottom style="thin">
        <color theme="0" tint="-0.499984740745262"/>
      </bottom>
      <diagonal/>
    </border>
    <border>
      <left/>
      <right/>
      <top style="medium">
        <color indexed="64"/>
      </top>
      <bottom/>
      <diagonal/>
    </border>
    <border>
      <left/>
      <right style="medium">
        <color indexed="64"/>
      </right>
      <top style="medium">
        <color indexed="64"/>
      </top>
      <bottom/>
      <diagonal/>
    </border>
    <border>
      <left/>
      <right style="thin">
        <color auto="1"/>
      </right>
      <top style="medium">
        <color indexed="64"/>
      </top>
      <bottom/>
      <diagonal/>
    </border>
    <border>
      <left/>
      <right style="thin">
        <color auto="1"/>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style="thin">
        <color indexed="64"/>
      </right>
      <top/>
      <bottom/>
      <diagonal/>
    </border>
    <border>
      <left/>
      <right/>
      <top/>
      <bottom style="thin">
        <color auto="1"/>
      </bottom>
      <diagonal/>
    </border>
    <border>
      <left style="thin"/>
      <right style="thin"/>
      <top style="thin"/>
      <bottom style="thin"/>
    </border>
  </borders>
  <cellStyleXfs count="11">
    <xf numFmtId="0" fontId="1" fillId="0" borderId="0"/>
    <xf numFmtId="9" fontId="1" fillId="0" borderId="0"/>
    <xf numFmtId="0" fontId="2" fillId="0" borderId="0"/>
    <xf numFmtId="0" fontId="4" fillId="0" borderId="0"/>
    <xf numFmtId="0" fontId="1" fillId="0" borderId="0"/>
    <xf numFmtId="0" fontId="1" fillId="0" borderId="0"/>
    <xf numFmtId="0" fontId="1" fillId="0" borderId="0"/>
    <xf numFmtId="0" fontId="1" fillId="0" borderId="0"/>
    <xf numFmtId="0" fontId="8" fillId="11" borderId="47"/>
    <xf numFmtId="0" fontId="4" fillId="0" borderId="0"/>
    <xf numFmtId="9" fontId="1" fillId="0" borderId="0"/>
  </cellStyleXfs>
  <cellXfs count="750">
    <xf numFmtId="0" fontId="0" fillId="0" borderId="0" pivotButton="0" quotePrefix="0" xfId="0"/>
    <xf numFmtId="0" fontId="0" fillId="0" borderId="48" pivotButton="0" quotePrefix="0" xfId="0"/>
    <xf numFmtId="0" fontId="0" fillId="0" borderId="48" applyAlignment="1" pivotButton="0" quotePrefix="0" xfId="0">
      <alignment wrapText="1"/>
    </xf>
    <xf numFmtId="0" fontId="6" fillId="0" borderId="48" pivotButton="0" quotePrefix="0" xfId="0"/>
    <xf numFmtId="0" fontId="6" fillId="0" borderId="48" applyAlignment="1" pivotButton="0" quotePrefix="0" xfId="0">
      <alignment horizontal="center" vertical="center"/>
    </xf>
    <xf numFmtId="0" fontId="0" fillId="0" borderId="49" applyAlignment="1" pivotButton="0" quotePrefix="0" xfId="0">
      <alignment wrapText="1"/>
    </xf>
    <xf numFmtId="0" fontId="0" fillId="0" borderId="49" pivotButton="0" quotePrefix="0" xfId="0"/>
    <xf numFmtId="0" fontId="6" fillId="0" borderId="49" pivotButton="0" quotePrefix="0" xfId="0"/>
    <xf numFmtId="0" fontId="6" fillId="0" borderId="49" applyAlignment="1" pivotButton="0" quotePrefix="0" xfId="0">
      <alignment horizontal="center" vertical="center"/>
    </xf>
    <xf numFmtId="0" fontId="7" fillId="0" borderId="10" applyAlignment="1" pivotButton="0" quotePrefix="0" xfId="0">
      <alignment wrapText="1"/>
    </xf>
    <xf numFmtId="0" fontId="7" fillId="0" borderId="10" pivotButton="0" quotePrefix="0" xfId="0"/>
    <xf numFmtId="0" fontId="6" fillId="0" borderId="10" applyAlignment="1" pivotButton="0" quotePrefix="0" xfId="0">
      <alignment horizontal="center"/>
    </xf>
    <xf numFmtId="0" fontId="6" fillId="0" borderId="10" pivotButton="0" quotePrefix="0" xfId="0"/>
    <xf numFmtId="0" fontId="9" fillId="0" borderId="10" applyAlignment="1" pivotButton="0" quotePrefix="0" xfId="8">
      <alignment horizontal="center" vertical="center"/>
    </xf>
    <xf numFmtId="0" fontId="0" fillId="0" borderId="50" pivotButton="0" quotePrefix="0" xfId="0"/>
    <xf numFmtId="0" fontId="6" fillId="0" borderId="10" applyAlignment="1" pivotButton="0" quotePrefix="0" xfId="0">
      <alignment wrapText="1"/>
    </xf>
    <xf numFmtId="0" fontId="9" fillId="12" borderId="10" applyAlignment="1" applyProtection="1" pivotButton="0" quotePrefix="0" xfId="8">
      <alignment horizontal="center" vertical="center"/>
      <protection locked="0" hidden="0"/>
    </xf>
    <xf numFmtId="0" fontId="0" fillId="0" borderId="51" pivotButton="0" quotePrefix="0" xfId="0"/>
    <xf numFmtId="0" fontId="7" fillId="0" borderId="10" applyAlignment="1" pivotButton="0" quotePrefix="0" xfId="0">
      <alignment horizontal="center" vertical="center" wrapText="1"/>
    </xf>
    <xf numFmtId="0" fontId="7" fillId="0" borderId="10" applyAlignment="1" pivotButton="0" quotePrefix="0" xfId="0">
      <alignment horizontal="center" vertical="center"/>
    </xf>
    <xf numFmtId="0" fontId="0" fillId="0" borderId="51" applyAlignment="1" pivotButton="0" quotePrefix="0" xfId="0">
      <alignment wrapText="1"/>
    </xf>
    <xf numFmtId="0" fontId="6" fillId="0" borderId="51" pivotButton="0" quotePrefix="0" xfId="0"/>
    <xf numFmtId="0" fontId="6" fillId="0" borderId="51" applyAlignment="1" pivotButton="0" quotePrefix="0" xfId="0">
      <alignment horizontal="center" vertical="center"/>
    </xf>
    <xf numFmtId="0" fontId="10" fillId="0" borderId="10" applyAlignment="1" pivotButton="0" quotePrefix="0" xfId="0">
      <alignment horizontal="center" vertical="top"/>
    </xf>
    <xf numFmtId="0" fontId="3" fillId="0" borderId="26" pivotButton="0" quotePrefix="0" xfId="0"/>
    <xf numFmtId="0" fontId="3" fillId="0" borderId="6" pivotButton="0" quotePrefix="0" xfId="0"/>
    <xf numFmtId="0" fontId="5" fillId="0" borderId="10" applyAlignment="1" applyProtection="1" pivotButton="0" quotePrefix="0" xfId="0">
      <alignment horizontal="left" vertical="center" wrapText="1"/>
      <protection locked="0" hidden="0"/>
    </xf>
    <xf numFmtId="0" fontId="5" fillId="0" borderId="10" applyAlignment="1" pivotButton="0" quotePrefix="0" xfId="2">
      <alignment horizontal="center" vertical="center" wrapText="1"/>
    </xf>
    <xf numFmtId="0" fontId="5" fillId="0" borderId="10" applyAlignment="1" applyProtection="1" pivotButton="0" quotePrefix="0" xfId="2">
      <alignment horizontal="left" vertical="center" wrapText="1"/>
      <protection locked="0" hidden="0"/>
    </xf>
    <xf numFmtId="0" fontId="3" fillId="0" borderId="0" pivotButton="0" quotePrefix="0" xfId="7"/>
    <xf numFmtId="0" fontId="13" fillId="0" borderId="46" applyAlignment="1" pivotButton="0" quotePrefix="0" xfId="2">
      <alignment horizontal="center" vertical="center" wrapText="1"/>
    </xf>
    <xf numFmtId="0" fontId="13" fillId="0" borderId="15" applyAlignment="1" pivotButton="0" quotePrefix="0" xfId="2">
      <alignment horizontal="center" vertical="center" wrapText="1"/>
    </xf>
    <xf numFmtId="0" fontId="13" fillId="3" borderId="15" applyAlignment="1" pivotButton="0" quotePrefix="0" xfId="2">
      <alignment horizontal="center" vertical="center" wrapText="1"/>
    </xf>
    <xf numFmtId="0" fontId="12" fillId="3" borderId="14" applyAlignment="1" pivotButton="0" quotePrefix="0" xfId="2">
      <alignment horizontal="center" vertical="center" wrapText="1"/>
    </xf>
    <xf numFmtId="0" fontId="13" fillId="0" borderId="34" applyAlignment="1" pivotButton="0" quotePrefix="0" xfId="2">
      <alignment horizontal="center" vertical="center"/>
    </xf>
    <xf numFmtId="0" fontId="12" fillId="0" borderId="0" pivotButton="0" quotePrefix="0" xfId="7"/>
    <xf numFmtId="0" fontId="13" fillId="0" borderId="7" applyAlignment="1" pivotButton="0" quotePrefix="0" xfId="3">
      <alignment horizontal="center" vertical="center" wrapText="1"/>
    </xf>
    <xf numFmtId="0" fontId="5" fillId="0" borderId="7" applyAlignment="1" pivotButton="0" quotePrefix="0" xfId="3">
      <alignment horizontal="center" vertical="center" wrapText="1"/>
    </xf>
    <xf numFmtId="0" fontId="5" fillId="0" borderId="7" applyAlignment="1" pivotButton="0" quotePrefix="0" xfId="4">
      <alignment horizontal="left" vertical="center" wrapText="1"/>
    </xf>
    <xf numFmtId="0" fontId="5" fillId="0" borderId="7" applyAlignment="1" pivotButton="0" quotePrefix="0" xfId="2">
      <alignment horizontal="center" vertical="center" wrapText="1"/>
    </xf>
    <xf numFmtId="0" fontId="5" fillId="0" borderId="8" applyAlignment="1" pivotButton="0" quotePrefix="0" xfId="2">
      <alignment horizontal="center" vertical="center" wrapText="1"/>
    </xf>
    <xf numFmtId="0" fontId="5" fillId="0" borderId="8" applyAlignment="1" pivotButton="0" quotePrefix="0" xfId="4">
      <alignment horizontal="left" vertical="center" wrapText="1"/>
    </xf>
    <xf numFmtId="0" fontId="5" fillId="0" borderId="8" applyAlignment="1" pivotButton="0" quotePrefix="0" xfId="4">
      <alignment horizontal="center" vertical="center" wrapText="1"/>
    </xf>
    <xf numFmtId="0" fontId="5" fillId="0" borderId="9" applyAlignment="1" applyProtection="1" pivotButton="0" quotePrefix="0" xfId="4">
      <alignment horizontal="left" vertical="center" wrapText="1"/>
      <protection locked="0" hidden="0"/>
    </xf>
    <xf numFmtId="0" fontId="5" fillId="0" borderId="38" applyAlignment="1" applyProtection="1" pivotButton="0" quotePrefix="0" xfId="4">
      <alignment horizontal="left" vertical="center" wrapText="1"/>
      <protection locked="0" hidden="0"/>
    </xf>
    <xf numFmtId="164" fontId="14" fillId="0" borderId="0" applyAlignment="1" applyProtection="1" pivotButton="0" quotePrefix="0" xfId="0">
      <alignment horizontal="center" vertical="center"/>
      <protection locked="0" hidden="0"/>
    </xf>
    <xf numFmtId="9" fontId="14" fillId="0" borderId="0" applyAlignment="1" applyProtection="1" pivotButton="0" quotePrefix="0" xfId="1">
      <alignment horizontal="center" vertical="center"/>
      <protection locked="0" hidden="0"/>
    </xf>
    <xf numFmtId="0" fontId="3" fillId="0" borderId="0" pivotButton="0" quotePrefix="0" xfId="0"/>
    <xf numFmtId="0" fontId="5" fillId="0" borderId="7" applyAlignment="1" pivotButton="0" quotePrefix="0" xfId="0">
      <alignment horizontal="center" vertical="center" wrapText="1"/>
    </xf>
    <xf numFmtId="0" fontId="5" fillId="0" borderId="10" applyAlignment="1" pivotButton="0" quotePrefix="0" xfId="4">
      <alignment horizontal="left" vertical="center" wrapText="1"/>
    </xf>
    <xf numFmtId="0" fontId="5" fillId="3" borderId="10" applyAlignment="1" pivotButton="0" quotePrefix="0" xfId="4">
      <alignment horizontal="left" vertical="center" wrapText="1"/>
    </xf>
    <xf numFmtId="0" fontId="5" fillId="0" borderId="7" applyAlignment="1" pivotButton="0" quotePrefix="0" xfId="2">
      <alignment horizontal="left" vertical="center" wrapText="1"/>
    </xf>
    <xf numFmtId="0" fontId="3" fillId="3" borderId="7" applyAlignment="1" pivotButton="0" quotePrefix="0" xfId="2">
      <alignment horizontal="left" vertical="center" wrapText="1"/>
    </xf>
    <xf numFmtId="0" fontId="5" fillId="3" borderId="7" applyAlignment="1" pivotButton="0" quotePrefix="0" xfId="2">
      <alignment horizontal="left" vertical="center" wrapText="1"/>
    </xf>
    <xf numFmtId="0" fontId="3" fillId="3" borderId="10" applyAlignment="1" pivotButton="0" quotePrefix="0" xfId="2">
      <alignment horizontal="left" vertical="center" wrapText="1"/>
    </xf>
    <xf numFmtId="0" fontId="5" fillId="0" borderId="39" applyAlignment="1" applyProtection="1" pivotButton="0" quotePrefix="0" xfId="4">
      <alignment horizontal="left" vertical="center" wrapText="1"/>
      <protection locked="0" hidden="0"/>
    </xf>
    <xf numFmtId="0" fontId="13" fillId="0" borderId="10" applyAlignment="1" pivotButton="0" quotePrefix="0" xfId="3">
      <alignment horizontal="center" vertical="center" wrapText="1"/>
    </xf>
    <xf numFmtId="0" fontId="5" fillId="3" borderId="10" applyAlignment="1" pivotButton="0" quotePrefix="0" xfId="2">
      <alignment horizontal="left" vertical="center" wrapText="1"/>
    </xf>
    <xf numFmtId="0" fontId="3" fillId="3" borderId="7" applyAlignment="1" pivotButton="0" quotePrefix="0" xfId="6">
      <alignment vertical="center" wrapText="1"/>
    </xf>
    <xf numFmtId="0" fontId="3" fillId="3" borderId="7" applyAlignment="1" pivotButton="0" quotePrefix="0" xfId="6">
      <alignment horizontal="left" vertical="center" wrapText="1"/>
    </xf>
    <xf numFmtId="0" fontId="3" fillId="3" borderId="7" applyAlignment="1" pivotButton="0" quotePrefix="0" xfId="6">
      <alignment horizontal="center" vertical="center" wrapText="1"/>
    </xf>
    <xf numFmtId="0" fontId="5" fillId="3" borderId="7" applyAlignment="1" pivotButton="0" quotePrefix="0" xfId="6">
      <alignment horizontal="left" vertical="center" wrapText="1"/>
    </xf>
    <xf numFmtId="0" fontId="3" fillId="3" borderId="22" applyAlignment="1" pivotButton="0" quotePrefix="0" xfId="6">
      <alignment horizontal="center" vertical="center" wrapText="1"/>
    </xf>
    <xf numFmtId="0" fontId="5" fillId="0" borderId="10" applyAlignment="1" pivotButton="0" quotePrefix="0" xfId="4">
      <alignment horizontal="center" vertical="center" wrapText="1"/>
    </xf>
    <xf numFmtId="0" fontId="5" fillId="0" borderId="11" applyAlignment="1" pivotButton="0" quotePrefix="0" xfId="4">
      <alignment horizontal="left" vertical="center" wrapText="1"/>
    </xf>
    <xf numFmtId="0" fontId="5" fillId="0" borderId="11" applyAlignment="1" applyProtection="1" pivotButton="0" quotePrefix="0" xfId="4">
      <alignment horizontal="center" vertical="center" wrapText="1"/>
      <protection locked="0" hidden="0"/>
    </xf>
    <xf numFmtId="0" fontId="5" fillId="0" borderId="4" applyAlignment="1" applyProtection="1" pivotButton="0" quotePrefix="0" xfId="4">
      <alignment horizontal="left" vertical="center" wrapText="1"/>
      <protection locked="0" hidden="0"/>
    </xf>
    <xf numFmtId="0" fontId="5" fillId="0" borderId="40" applyAlignment="1" applyProtection="1" pivotButton="0" quotePrefix="0" xfId="4">
      <alignment horizontal="left" vertical="center" wrapText="1"/>
      <protection locked="0" hidden="0"/>
    </xf>
    <xf numFmtId="0" fontId="5" fillId="0" borderId="10" applyAlignment="1" pivotButton="0" quotePrefix="0" xfId="5">
      <alignment horizontal="left" vertical="center" wrapText="1"/>
    </xf>
    <xf numFmtId="0" fontId="5" fillId="3" borderId="10" applyAlignment="1" pivotButton="0" quotePrefix="0" xfId="5">
      <alignment horizontal="left" vertical="center" wrapText="1"/>
    </xf>
    <xf numFmtId="0" fontId="3" fillId="3" borderId="10" applyAlignment="1" pivotButton="0" quotePrefix="0" xfId="6">
      <alignment vertical="center" wrapText="1"/>
    </xf>
    <xf numFmtId="0" fontId="5" fillId="3" borderId="10" applyAlignment="1" pivotButton="0" quotePrefix="0" xfId="6">
      <alignment horizontal="left" vertical="center" wrapText="1"/>
    </xf>
    <xf numFmtId="0" fontId="3" fillId="3" borderId="10" applyAlignment="1" pivotButton="0" quotePrefix="0" xfId="6">
      <alignment horizontal="center" vertical="center" wrapText="1"/>
    </xf>
    <xf numFmtId="0" fontId="5" fillId="0" borderId="11" applyAlignment="1" pivotButton="0" quotePrefix="0" xfId="5">
      <alignment horizontal="left" vertical="center" wrapText="1"/>
    </xf>
    <xf numFmtId="0" fontId="5" fillId="0" borderId="11" applyAlignment="1" applyProtection="1" pivotButton="0" quotePrefix="0" xfId="5">
      <alignment horizontal="center" vertical="center" wrapText="1"/>
      <protection locked="0" hidden="0"/>
    </xf>
    <xf numFmtId="0" fontId="5" fillId="0" borderId="4" applyAlignment="1" applyProtection="1" pivotButton="0" quotePrefix="0" xfId="5">
      <alignment horizontal="left" vertical="center" wrapText="1"/>
      <protection locked="0" hidden="0"/>
    </xf>
    <xf numFmtId="0" fontId="5" fillId="0" borderId="40" applyAlignment="1" applyProtection="1" pivotButton="0" quotePrefix="0" xfId="5">
      <alignment horizontal="left" vertical="center" wrapText="1"/>
      <protection locked="0" hidden="0"/>
    </xf>
    <xf numFmtId="0" fontId="5" fillId="0" borderId="10" applyAlignment="1" pivotButton="0" quotePrefix="0" xfId="6">
      <alignment horizontal="left" vertical="center" wrapText="1"/>
    </xf>
    <xf numFmtId="0" fontId="3" fillId="3" borderId="10" applyAlignment="1" pivotButton="0" quotePrefix="0" xfId="6">
      <alignment horizontal="left" vertical="center" wrapText="1"/>
    </xf>
    <xf numFmtId="0" fontId="3" fillId="3" borderId="21" applyAlignment="1" pivotButton="0" quotePrefix="0" xfId="6">
      <alignment horizontal="left" vertical="center" wrapText="1"/>
    </xf>
    <xf numFmtId="0" fontId="17" fillId="0" borderId="11" applyAlignment="1" applyProtection="1" pivotButton="0" quotePrefix="0" xfId="4">
      <alignment horizontal="left" vertical="center" wrapText="1"/>
      <protection locked="0" hidden="0"/>
    </xf>
    <xf numFmtId="0" fontId="17" fillId="4" borderId="40" applyAlignment="1" applyProtection="1" pivotButton="0" quotePrefix="0" xfId="4">
      <alignment horizontal="left" vertical="center" wrapText="1"/>
      <protection locked="0" hidden="0"/>
    </xf>
    <xf numFmtId="0" fontId="5" fillId="0" borderId="10" applyAlignment="1" pivotButton="0" quotePrefix="0" xfId="2">
      <alignment horizontal="left" vertical="center" wrapText="1"/>
    </xf>
    <xf numFmtId="0" fontId="3" fillId="3" borderId="10" applyAlignment="1" pivotButton="0" quotePrefix="0" xfId="0">
      <alignment horizontal="left" vertical="center" wrapText="1"/>
    </xf>
    <xf numFmtId="0" fontId="14" fillId="3" borderId="10" applyAlignment="1" pivotButton="0" quotePrefix="0" xfId="6">
      <alignment horizontal="left" vertical="center" wrapText="1"/>
    </xf>
    <xf numFmtId="0" fontId="5" fillId="0" borderId="10" applyAlignment="1" pivotButton="0" quotePrefix="0" xfId="6">
      <alignment horizontal="center" vertical="center" wrapText="1"/>
    </xf>
    <xf numFmtId="0" fontId="5" fillId="3" borderId="10" applyAlignment="1" pivotButton="0" quotePrefix="0" xfId="6">
      <alignment vertical="center" wrapText="1"/>
    </xf>
    <xf numFmtId="0" fontId="5" fillId="0" borderId="11" applyAlignment="1" applyProtection="1" pivotButton="0" quotePrefix="0" xfId="4">
      <alignment horizontal="left" vertical="center" wrapText="1"/>
      <protection locked="0" hidden="0"/>
    </xf>
    <xf numFmtId="0" fontId="3" fillId="0" borderId="35" applyAlignment="1" pivotButton="0" quotePrefix="0" xfId="0">
      <alignment horizontal="center" vertical="center"/>
    </xf>
    <xf numFmtId="0" fontId="5" fillId="0" borderId="10" applyAlignment="1" pivotButton="0" quotePrefix="0" xfId="0">
      <alignment horizontal="left" vertical="center" wrapText="1"/>
    </xf>
    <xf numFmtId="0" fontId="18" fillId="3" borderId="10" applyAlignment="1" pivotButton="0" quotePrefix="0" xfId="6">
      <alignment horizontal="left" vertical="center" wrapText="1"/>
    </xf>
    <xf numFmtId="0" fontId="14" fillId="0" borderId="10" applyAlignment="1" pivotButton="0" quotePrefix="0" xfId="6">
      <alignment vertical="center" wrapText="1"/>
    </xf>
    <xf numFmtId="0" fontId="3" fillId="0" borderId="44" applyAlignment="1" pivotButton="0" quotePrefix="0" xfId="0">
      <alignment horizontal="center" vertical="center"/>
    </xf>
    <xf numFmtId="0" fontId="13" fillId="0" borderId="2" applyAlignment="1" pivotButton="0" quotePrefix="0" xfId="3">
      <alignment horizontal="center" vertical="center" wrapText="1"/>
    </xf>
    <xf numFmtId="0" fontId="5" fillId="0" borderId="22" applyAlignment="1" pivotButton="0" quotePrefix="0" xfId="0">
      <alignment horizontal="center" vertical="center" wrapText="1"/>
    </xf>
    <xf numFmtId="0" fontId="5" fillId="0" borderId="2" applyAlignment="1" pivotButton="0" quotePrefix="0" xfId="4">
      <alignment horizontal="left" vertical="center" wrapText="1"/>
    </xf>
    <xf numFmtId="0" fontId="5" fillId="0" borderId="2" applyAlignment="1" pivotButton="0" quotePrefix="0" xfId="2">
      <alignment horizontal="center" vertical="center" wrapText="1"/>
    </xf>
    <xf numFmtId="0" fontId="3" fillId="3" borderId="2" applyAlignment="1" pivotButton="0" quotePrefix="0" xfId="2">
      <alignment horizontal="left" vertical="center" wrapText="1"/>
    </xf>
    <xf numFmtId="0" fontId="5" fillId="0" borderId="2" applyAlignment="1" pivotButton="0" quotePrefix="0" xfId="4">
      <alignment horizontal="center" vertical="center" wrapText="1"/>
    </xf>
    <xf numFmtId="0" fontId="5" fillId="0" borderId="3" applyAlignment="1" pivotButton="0" quotePrefix="0" xfId="4">
      <alignment horizontal="left" vertical="center" wrapText="1"/>
    </xf>
    <xf numFmtId="0" fontId="5" fillId="0" borderId="3" applyAlignment="1" applyProtection="1" pivotButton="0" quotePrefix="0" xfId="4">
      <alignment horizontal="center" vertical="center" wrapText="1"/>
      <protection locked="0" hidden="0"/>
    </xf>
    <xf numFmtId="0" fontId="5" fillId="0" borderId="17" applyAlignment="1" applyProtection="1" pivotButton="0" quotePrefix="0" xfId="4">
      <alignment horizontal="left" vertical="center" wrapText="1"/>
      <protection locked="0" hidden="0"/>
    </xf>
    <xf numFmtId="0" fontId="5" fillId="0" borderId="41" applyAlignment="1" applyProtection="1" pivotButton="0" quotePrefix="0" xfId="4">
      <alignment horizontal="left" vertical="center" wrapText="1"/>
      <protection locked="0" hidden="0"/>
    </xf>
    <xf numFmtId="0" fontId="3" fillId="0" borderId="43" pivotButton="0" quotePrefix="0" xfId="0"/>
    <xf numFmtId="0" fontId="13" fillId="0" borderId="7" applyAlignment="1" pivotButton="0" quotePrefix="0" xfId="2">
      <alignment horizontal="center" vertical="center"/>
    </xf>
    <xf numFmtId="0" fontId="5" fillId="0" borderId="7" applyAlignment="1" pivotButton="0" quotePrefix="0" xfId="2">
      <alignment horizontal="center" vertical="center"/>
    </xf>
    <xf numFmtId="0" fontId="5" fillId="0" borderId="7" applyAlignment="1" pivotButton="0" quotePrefix="0" xfId="4">
      <alignment horizontal="center" vertical="center"/>
    </xf>
    <xf numFmtId="0" fontId="5" fillId="0" borderId="8" applyAlignment="1" pivotButton="0" quotePrefix="0" xfId="2">
      <alignment horizontal="left" vertical="center"/>
    </xf>
    <xf numFmtId="0" fontId="5" fillId="0" borderId="8" applyAlignment="1" applyProtection="1" pivotButton="0" quotePrefix="0" xfId="2">
      <alignment horizontal="left" vertical="center"/>
      <protection locked="0" hidden="0"/>
    </xf>
    <xf numFmtId="0" fontId="5" fillId="0" borderId="9" applyAlignment="1" applyProtection="1" pivotButton="0" quotePrefix="0" xfId="4">
      <alignment horizontal="left" vertical="center"/>
      <protection locked="0" hidden="0"/>
    </xf>
    <xf numFmtId="0" fontId="5" fillId="0" borderId="39" applyAlignment="1" applyProtection="1" pivotButton="0" quotePrefix="0" xfId="4">
      <alignment horizontal="left" vertical="center"/>
      <protection locked="0" hidden="0"/>
    </xf>
    <xf numFmtId="164" fontId="14" fillId="0" borderId="0" applyAlignment="1" pivotButton="0" quotePrefix="0" xfId="0">
      <alignment horizontal="center" vertical="center"/>
    </xf>
    <xf numFmtId="9" fontId="14" fillId="0" borderId="0" applyAlignment="1" pivotButton="0" quotePrefix="0" xfId="1">
      <alignment horizontal="center" vertical="center"/>
    </xf>
    <xf numFmtId="0" fontId="5" fillId="0" borderId="10" applyAlignment="1" pivotButton="0" quotePrefix="0" xfId="2">
      <alignment horizontal="center" vertical="center"/>
    </xf>
    <xf numFmtId="0" fontId="5" fillId="0" borderId="10" applyAlignment="1" pivotButton="0" quotePrefix="0" xfId="4">
      <alignment horizontal="center" vertical="center"/>
    </xf>
    <xf numFmtId="0" fontId="13" fillId="0" borderId="7" applyAlignment="1" pivotButton="0" quotePrefix="0" xfId="3">
      <alignment horizontal="center" vertical="center"/>
    </xf>
    <xf numFmtId="0" fontId="5" fillId="0" borderId="7" applyAlignment="1" pivotButton="0" quotePrefix="0" xfId="0">
      <alignment horizontal="center" vertical="center"/>
    </xf>
    <xf numFmtId="0" fontId="14" fillId="3" borderId="7" applyAlignment="1" pivotButton="0" quotePrefix="0" xfId="6">
      <alignment horizontal="left" vertical="center" wrapText="1"/>
    </xf>
    <xf numFmtId="0" fontId="5" fillId="0" borderId="7" applyAlignment="1" pivotButton="0" quotePrefix="0" xfId="6">
      <alignment horizontal="center" vertical="center" wrapText="1"/>
    </xf>
    <xf numFmtId="0" fontId="18" fillId="3" borderId="7" applyAlignment="1" pivotButton="0" quotePrefix="0" xfId="6">
      <alignment horizontal="left" vertical="center" wrapText="1"/>
    </xf>
    <xf numFmtId="0" fontId="5" fillId="3" borderId="7" applyAlignment="1" pivotButton="0" quotePrefix="0" xfId="6">
      <alignment vertical="center" wrapText="1"/>
    </xf>
    <xf numFmtId="0" fontId="17" fillId="0" borderId="8" applyAlignment="1" applyProtection="1" pivotButton="0" quotePrefix="0" xfId="4">
      <alignment horizontal="left" vertical="center"/>
      <protection locked="0" hidden="0"/>
    </xf>
    <xf numFmtId="0" fontId="5" fillId="0" borderId="8" applyAlignment="1" applyProtection="1" pivotButton="0" quotePrefix="0" xfId="4">
      <alignment horizontal="left" vertical="center" wrapText="1"/>
      <protection locked="0" hidden="0"/>
    </xf>
    <xf numFmtId="49" fontId="5" fillId="0" borderId="19" applyAlignment="1" pivotButton="0" quotePrefix="0" xfId="0">
      <alignment vertical="center" wrapText="1"/>
    </xf>
    <xf numFmtId="0" fontId="20" fillId="0" borderId="10" applyAlignment="1" pivotButton="0" quotePrefix="0" xfId="2">
      <alignment horizontal="center" vertical="center" wrapText="1"/>
    </xf>
    <xf numFmtId="0" fontId="20" fillId="0" borderId="8" applyAlignment="1" applyProtection="1" pivotButton="0" quotePrefix="0" xfId="4">
      <alignment horizontal="left" vertical="center" wrapText="1"/>
      <protection locked="0" hidden="0"/>
    </xf>
    <xf numFmtId="0" fontId="20" fillId="0" borderId="4" applyAlignment="1" applyProtection="1" pivotButton="0" quotePrefix="0" xfId="4">
      <alignment horizontal="left" vertical="center" wrapText="1"/>
      <protection locked="0" hidden="0"/>
    </xf>
    <xf numFmtId="0" fontId="20" fillId="0" borderId="40" applyAlignment="1" applyProtection="1" pivotButton="0" quotePrefix="0" xfId="4">
      <alignment horizontal="left" vertical="center" wrapText="1"/>
      <protection locked="0" hidden="0"/>
    </xf>
    <xf numFmtId="164" fontId="20" fillId="0" borderId="0" applyAlignment="1" pivotButton="0" quotePrefix="0" xfId="0">
      <alignment horizontal="center" vertical="center"/>
    </xf>
    <xf numFmtId="9" fontId="20" fillId="0" borderId="0" applyAlignment="1" pivotButton="0" quotePrefix="0" xfId="1">
      <alignment horizontal="center" vertical="center"/>
    </xf>
    <xf numFmtId="0" fontId="20" fillId="0" borderId="11" applyAlignment="1" applyProtection="1" pivotButton="0" quotePrefix="0" xfId="4">
      <alignment horizontal="left" vertical="center" wrapText="1"/>
      <protection locked="0" hidden="0"/>
    </xf>
    <xf numFmtId="0" fontId="20" fillId="3" borderId="4" applyAlignment="1" applyProtection="1" pivotButton="0" quotePrefix="0" xfId="4">
      <alignment horizontal="left" vertical="center" wrapText="1"/>
      <protection locked="0" hidden="0"/>
    </xf>
    <xf numFmtId="0" fontId="20" fillId="3" borderId="40" applyAlignment="1" applyProtection="1" pivotButton="0" quotePrefix="0" xfId="4">
      <alignment horizontal="left" vertical="center" wrapText="1"/>
      <protection locked="0" hidden="0"/>
    </xf>
    <xf numFmtId="0" fontId="20" fillId="3" borderId="11" applyAlignment="1" applyProtection="1" pivotButton="0" quotePrefix="0" xfId="4">
      <alignment horizontal="left" vertical="center" wrapText="1"/>
      <protection locked="0" hidden="0"/>
    </xf>
    <xf numFmtId="0" fontId="20" fillId="3" borderId="8" applyAlignment="1" applyProtection="1" pivotButton="0" quotePrefix="0" xfId="4">
      <alignment horizontal="left" vertical="center" wrapText="1"/>
      <protection locked="0" hidden="0"/>
    </xf>
    <xf numFmtId="0" fontId="14" fillId="3" borderId="10" applyAlignment="1" pivotButton="0" quotePrefix="0" xfId="4">
      <alignment horizontal="left" vertical="center" wrapText="1"/>
    </xf>
    <xf numFmtId="0" fontId="5" fillId="3" borderId="10" applyAlignment="1" pivotButton="0" quotePrefix="0" xfId="4">
      <alignment vertical="center" wrapText="1"/>
    </xf>
    <xf numFmtId="0" fontId="5" fillId="0" borderId="7" applyAlignment="1" pivotButton="0" quotePrefix="0" xfId="4">
      <alignment horizontal="center" vertical="center" wrapText="1"/>
    </xf>
    <xf numFmtId="0" fontId="5" fillId="0" borderId="21" applyAlignment="1" applyProtection="1" pivotButton="0" quotePrefix="0" xfId="4">
      <alignment horizontal="left" vertical="center" wrapText="1"/>
      <protection locked="0" hidden="0"/>
    </xf>
    <xf numFmtId="0" fontId="5" fillId="0" borderId="2" applyAlignment="1" pivotButton="0" quotePrefix="0" xfId="0">
      <alignment horizontal="left" vertical="center" wrapText="1"/>
    </xf>
    <xf numFmtId="0" fontId="5" fillId="3" borderId="2" applyAlignment="1" pivotButton="0" quotePrefix="0" xfId="0">
      <alignment horizontal="left" vertical="center" wrapText="1"/>
    </xf>
    <xf numFmtId="0" fontId="5" fillId="0" borderId="11" applyAlignment="1" pivotButton="0" quotePrefix="0" xfId="2">
      <alignment horizontal="center" vertical="center" wrapText="1"/>
    </xf>
    <xf numFmtId="0" fontId="5" fillId="0" borderId="40" applyAlignment="1" applyProtection="1" pivotButton="0" quotePrefix="0" xfId="4">
      <alignment horizontal="center" vertical="center" wrapText="1"/>
      <protection locked="0" hidden="0"/>
    </xf>
    <xf numFmtId="0" fontId="3" fillId="0" borderId="20" pivotButton="0" quotePrefix="0" xfId="0"/>
    <xf numFmtId="0" fontId="3" fillId="0" borderId="39" pivotButton="0" quotePrefix="0" xfId="0"/>
    <xf numFmtId="0" fontId="5" fillId="0" borderId="2" applyAlignment="1" pivotButton="0" quotePrefix="0" xfId="2">
      <alignment horizontal="left" vertical="center" wrapText="1"/>
    </xf>
    <xf numFmtId="0" fontId="5" fillId="0" borderId="23" applyAlignment="1" pivotButton="0" quotePrefix="0" xfId="4">
      <alignment horizontal="left" vertical="center" wrapText="1"/>
    </xf>
    <xf numFmtId="0" fontId="5" fillId="0" borderId="23" applyAlignment="1" applyProtection="1" pivotButton="0" quotePrefix="0" xfId="4">
      <alignment horizontal="left" vertical="center" wrapText="1"/>
      <protection locked="0" hidden="0"/>
    </xf>
    <xf numFmtId="0" fontId="5" fillId="0" borderId="24" applyAlignment="1" applyProtection="1" pivotButton="0" quotePrefix="0" xfId="4">
      <alignment horizontal="left" vertical="center" wrapText="1"/>
      <protection locked="0" hidden="0"/>
    </xf>
    <xf numFmtId="0" fontId="5" fillId="0" borderId="42" applyAlignment="1" applyProtection="1" pivotButton="0" quotePrefix="0" xfId="4">
      <alignment horizontal="left" vertical="center" wrapText="1"/>
      <protection locked="0" hidden="0"/>
    </xf>
    <xf numFmtId="0" fontId="5" fillId="0" borderId="43" applyAlignment="1" applyProtection="1" pivotButton="0" quotePrefix="0" xfId="4">
      <alignment horizontal="left" vertical="center" wrapText="1"/>
      <protection locked="0" hidden="0"/>
    </xf>
    <xf numFmtId="0" fontId="23" fillId="3" borderId="40" applyAlignment="1" applyProtection="1" pivotButton="0" quotePrefix="0" xfId="4">
      <alignment horizontal="left" vertical="center" wrapText="1"/>
      <protection locked="0" hidden="0"/>
    </xf>
    <xf numFmtId="0" fontId="5" fillId="0" borderId="7" applyAlignment="1" pivotButton="0" quotePrefix="0" xfId="0">
      <alignment horizontal="left" vertical="center" wrapText="1"/>
    </xf>
    <xf numFmtId="0" fontId="5" fillId="0" borderId="10" applyAlignment="1" pivotButton="0" quotePrefix="0" xfId="0">
      <alignment horizontal="center" vertical="center" wrapText="1"/>
    </xf>
    <xf numFmtId="0" fontId="13" fillId="0" borderId="10" applyAlignment="1" applyProtection="1" pivotButton="0" quotePrefix="0" xfId="3">
      <alignment horizontal="center" vertical="center" wrapText="1"/>
      <protection locked="0" hidden="0"/>
    </xf>
    <xf numFmtId="0" fontId="5" fillId="0" borderId="10" applyAlignment="1" applyProtection="1" pivotButton="0" quotePrefix="0" xfId="3">
      <alignment horizontal="center" vertical="center" wrapText="1"/>
      <protection locked="0" hidden="0"/>
    </xf>
    <xf numFmtId="0" fontId="5" fillId="0" borderId="10" applyAlignment="1" applyProtection="1" pivotButton="0" quotePrefix="0" xfId="2">
      <alignment horizontal="center" vertical="center" wrapText="1"/>
      <protection locked="0" hidden="0"/>
    </xf>
    <xf numFmtId="0" fontId="5" fillId="3" borderId="10" applyAlignment="1" applyProtection="1" pivotButton="0" quotePrefix="0" xfId="2">
      <alignment horizontal="left" vertical="center" wrapText="1"/>
      <protection locked="0" hidden="0"/>
    </xf>
    <xf numFmtId="0" fontId="5" fillId="0" borderId="10" applyAlignment="1" applyProtection="1" pivotButton="0" quotePrefix="0" xfId="0">
      <alignment horizontal="center" vertical="center" wrapText="1"/>
      <protection locked="0" hidden="0"/>
    </xf>
    <xf numFmtId="0" fontId="5" fillId="0" borderId="10" applyAlignment="1" applyProtection="1" pivotButton="0" quotePrefix="0" xfId="4">
      <alignment vertical="center" wrapText="1"/>
      <protection locked="0" hidden="0"/>
    </xf>
    <xf numFmtId="0" fontId="5" fillId="4" borderId="11" applyAlignment="1" applyProtection="1" pivotButton="0" quotePrefix="0" xfId="4">
      <alignment vertical="center" wrapText="1"/>
      <protection locked="0" hidden="0"/>
    </xf>
    <xf numFmtId="0" fontId="3" fillId="0" borderId="10" applyAlignment="1" applyProtection="1" pivotButton="0" quotePrefix="0" xfId="0">
      <alignment horizontal="left" vertical="center" wrapText="1"/>
      <protection locked="0" hidden="0"/>
    </xf>
    <xf numFmtId="0" fontId="5" fillId="6" borderId="8" applyAlignment="1" applyProtection="1" pivotButton="0" quotePrefix="0" xfId="4">
      <alignment horizontal="center" vertical="center" wrapText="1"/>
      <protection locked="0" hidden="0"/>
    </xf>
    <xf numFmtId="0" fontId="24" fillId="6" borderId="23" applyAlignment="1" applyProtection="1" pivotButton="0" quotePrefix="0" xfId="4">
      <alignment horizontal="center" vertical="center" wrapText="1"/>
      <protection locked="0" hidden="0"/>
    </xf>
    <xf numFmtId="0" fontId="3" fillId="0" borderId="10" applyAlignment="1" pivotButton="0" quotePrefix="0" xfId="4">
      <alignment horizontal="left" vertical="center" wrapText="1"/>
    </xf>
    <xf numFmtId="0" fontId="5" fillId="7" borderId="8" applyAlignment="1" applyProtection="1" pivotButton="0" quotePrefix="0" xfId="0">
      <alignment horizontal="left" vertical="center" wrapText="1"/>
      <protection locked="0" hidden="0"/>
    </xf>
    <xf numFmtId="0" fontId="5" fillId="0" borderId="13" applyAlignment="1" pivotButton="0" quotePrefix="0" xfId="4">
      <alignment vertical="center" wrapText="1"/>
    </xf>
    <xf numFmtId="0" fontId="5" fillId="0" borderId="10" applyAlignment="1" pivotButton="0" quotePrefix="0" xfId="4">
      <alignment vertical="center" wrapText="1"/>
    </xf>
    <xf numFmtId="0" fontId="5" fillId="0" borderId="11" applyAlignment="1" pivotButton="0" quotePrefix="0" xfId="2">
      <alignment horizontal="left" vertical="center" wrapText="1"/>
    </xf>
    <xf numFmtId="0" fontId="3" fillId="0" borderId="10" applyAlignment="1" pivotButton="0" quotePrefix="0" xfId="4">
      <alignment vertical="center" wrapText="1"/>
    </xf>
    <xf numFmtId="0" fontId="5" fillId="4" borderId="11" applyAlignment="1" applyProtection="1" pivotButton="0" quotePrefix="0" xfId="2">
      <alignment horizontal="left" vertical="center" wrapText="1"/>
      <protection locked="0" hidden="0"/>
    </xf>
    <xf numFmtId="0" fontId="5" fillId="0" borderId="10" applyAlignment="1" pivotButton="0" quotePrefix="0" xfId="4">
      <alignment vertical="top" wrapText="1"/>
    </xf>
    <xf numFmtId="0" fontId="5" fillId="0" borderId="11" applyAlignment="1" pivotButton="0" quotePrefix="0" xfId="2">
      <alignment vertical="center" wrapText="1"/>
    </xf>
    <xf numFmtId="0" fontId="5" fillId="0" borderId="7" applyAlignment="1" pivotButton="0" quotePrefix="0" xfId="4">
      <alignment vertical="center" wrapText="1"/>
    </xf>
    <xf numFmtId="0" fontId="5" fillId="0" borderId="8" applyAlignment="1" applyProtection="1" pivotButton="0" quotePrefix="0" xfId="0">
      <alignment horizontal="left" vertical="center" wrapText="1"/>
      <protection locked="0" hidden="0"/>
    </xf>
    <xf numFmtId="0" fontId="13" fillId="0" borderId="10" applyAlignment="1" pivotButton="0" quotePrefix="0" xfId="2">
      <alignment horizontal="center" vertical="center" wrapText="1"/>
    </xf>
    <xf numFmtId="0" fontId="24" fillId="0" borderId="8" applyAlignment="1" applyProtection="1" pivotButton="0" quotePrefix="0" xfId="0">
      <alignment horizontal="center" vertical="center" wrapText="1"/>
      <protection locked="0" hidden="0"/>
    </xf>
    <xf numFmtId="0" fontId="17" fillId="0" borderId="40" applyAlignment="1" applyProtection="1" pivotButton="0" quotePrefix="0" xfId="4">
      <alignment vertical="center" wrapText="1"/>
      <protection locked="0" hidden="0"/>
    </xf>
    <xf numFmtId="0" fontId="17" fillId="0" borderId="39" applyAlignment="1" applyProtection="1" pivotButton="0" quotePrefix="0" xfId="4">
      <alignment vertical="center" wrapText="1"/>
      <protection locked="0" hidden="0"/>
    </xf>
    <xf numFmtId="0" fontId="3" fillId="4" borderId="25" applyAlignment="1" applyProtection="1" pivotButton="0" quotePrefix="0" xfId="2">
      <alignment horizontal="left" vertical="center" wrapText="1"/>
      <protection locked="0" hidden="0"/>
    </xf>
    <xf numFmtId="0" fontId="5" fillId="4" borderId="11" applyAlignment="1" applyProtection="1" pivotButton="0" quotePrefix="0" xfId="4">
      <alignment horizontal="left" vertical="center" wrapText="1"/>
      <protection locked="0" hidden="0"/>
    </xf>
    <xf numFmtId="0" fontId="5" fillId="0" borderId="2" applyAlignment="1" pivotButton="0" quotePrefix="0" xfId="0">
      <alignment horizontal="center" vertical="center" wrapText="1"/>
    </xf>
    <xf numFmtId="0" fontId="13" fillId="0" borderId="7" applyAlignment="1" pivotButton="0" quotePrefix="0" xfId="2">
      <alignment horizontal="center" vertical="center" wrapText="1"/>
    </xf>
    <xf numFmtId="0" fontId="5" fillId="4" borderId="8" applyAlignment="1" applyProtection="1" pivotButton="0" quotePrefix="0" xfId="4">
      <alignment horizontal="left" vertical="center" wrapText="1"/>
      <protection locked="0" hidden="0"/>
    </xf>
    <xf numFmtId="0" fontId="5" fillId="0" borderId="8" applyAlignment="1" pivotButton="0" quotePrefix="0" xfId="0">
      <alignment horizontal="center" vertical="center" wrapText="1"/>
    </xf>
    <xf numFmtId="0" fontId="5" fillId="0" borderId="13" applyAlignment="1" pivotButton="0" quotePrefix="0" xfId="4">
      <alignment horizontal="left" vertical="center" wrapText="1"/>
    </xf>
    <xf numFmtId="0" fontId="5" fillId="0" borderId="4" applyAlignment="1" applyProtection="1" pivotButton="0" quotePrefix="0" xfId="0">
      <alignment horizontal="left" vertical="center" wrapText="1"/>
      <protection locked="0" hidden="0"/>
    </xf>
    <xf numFmtId="0" fontId="5" fillId="0" borderId="3" applyAlignment="1" applyProtection="1" pivotButton="0" quotePrefix="0" xfId="0">
      <alignment horizontal="left" vertical="center" wrapText="1"/>
      <protection locked="0" hidden="0"/>
    </xf>
    <xf numFmtId="0" fontId="5" fillId="0" borderId="3" applyAlignment="1" applyProtection="1" pivotButton="0" quotePrefix="0" xfId="4">
      <alignment horizontal="left" vertical="center" wrapText="1"/>
      <protection locked="0" hidden="0"/>
    </xf>
    <xf numFmtId="0" fontId="24" fillId="0" borderId="38" applyAlignment="1" applyProtection="1" pivotButton="0" quotePrefix="0" xfId="4">
      <alignment horizontal="left" vertical="center" wrapText="1"/>
      <protection locked="0" hidden="0"/>
    </xf>
    <xf numFmtId="0" fontId="5" fillId="0" borderId="22" applyAlignment="1" pivotButton="0" quotePrefix="0" xfId="2">
      <alignment horizontal="center" vertical="center" wrapText="1"/>
    </xf>
    <xf numFmtId="0" fontId="5" fillId="0" borderId="23" applyAlignment="1" pivotButton="0" quotePrefix="0" xfId="2">
      <alignment horizontal="center" vertical="center" wrapText="1"/>
    </xf>
    <xf numFmtId="0" fontId="5" fillId="0" borderId="44" applyAlignment="1" pivotButton="0" quotePrefix="0" xfId="0">
      <alignment horizontal="center" vertical="center"/>
    </xf>
    <xf numFmtId="0" fontId="13" fillId="3" borderId="10" applyAlignment="1" pivotButton="0" quotePrefix="0" xfId="0">
      <alignment horizontal="center" vertical="center" wrapText="1"/>
    </xf>
    <xf numFmtId="0" fontId="5" fillId="3" borderId="10" applyAlignment="1" pivotButton="0" quotePrefix="0" xfId="0">
      <alignment horizontal="center" vertical="center" wrapText="1"/>
    </xf>
    <xf numFmtId="49" fontId="5" fillId="3" borderId="19" applyAlignment="1" pivotButton="0" quotePrefix="0" xfId="0">
      <alignment horizontal="left" vertical="center" wrapText="1"/>
    </xf>
    <xf numFmtId="0" fontId="5" fillId="3" borderId="7" applyAlignment="1" pivotButton="0" quotePrefix="0" xfId="2">
      <alignment horizontal="center" vertical="center" wrapText="1"/>
    </xf>
    <xf numFmtId="0" fontId="5" fillId="3" borderId="8" applyAlignment="1" pivotButton="0" quotePrefix="0" xfId="2">
      <alignment horizontal="center" vertical="center" wrapText="1"/>
    </xf>
    <xf numFmtId="0" fontId="5" fillId="3" borderId="8" applyAlignment="1" pivotButton="0" quotePrefix="0" xfId="4">
      <alignment horizontal="left" vertical="center" wrapText="1"/>
    </xf>
    <xf numFmtId="0" fontId="5" fillId="3" borderId="8" applyAlignment="1" applyProtection="1" pivotButton="0" quotePrefix="0" xfId="4">
      <alignment horizontal="left" vertical="center" wrapText="1"/>
      <protection locked="0" hidden="0"/>
    </xf>
    <xf numFmtId="164" fontId="5" fillId="0" borderId="0" applyAlignment="1" pivotButton="0" quotePrefix="0" xfId="0">
      <alignment horizontal="center" vertical="center" wrapText="1"/>
    </xf>
    <xf numFmtId="9" fontId="5" fillId="0" borderId="0" applyAlignment="1" pivotButton="0" quotePrefix="0" xfId="1">
      <alignment horizontal="center" vertical="center"/>
    </xf>
    <xf numFmtId="164" fontId="5" fillId="0" borderId="0" applyAlignment="1" pivotButton="0" quotePrefix="0" xfId="0">
      <alignment horizontal="center" vertical="center"/>
    </xf>
    <xf numFmtId="0" fontId="5" fillId="0" borderId="0" pivotButton="0" quotePrefix="0" xfId="0"/>
    <xf numFmtId="0" fontId="5" fillId="3" borderId="10" applyAlignment="1" pivotButton="0" quotePrefix="0" xfId="2">
      <alignment horizontal="center" vertical="center" wrapText="1"/>
    </xf>
    <xf numFmtId="0" fontId="5" fillId="3" borderId="11" applyAlignment="1" pivotButton="0" quotePrefix="0" xfId="4">
      <alignment horizontal="left" vertical="center" wrapText="1"/>
    </xf>
    <xf numFmtId="0" fontId="5" fillId="3" borderId="9" applyAlignment="1" applyProtection="1" pivotButton="0" quotePrefix="0" xfId="0">
      <alignment horizontal="left" vertical="center" wrapText="1"/>
      <protection locked="0" hidden="0"/>
    </xf>
    <xf numFmtId="0" fontId="5" fillId="3" borderId="40" applyAlignment="1" applyProtection="1" pivotButton="0" quotePrefix="0" xfId="4">
      <alignment horizontal="left" vertical="center" wrapText="1"/>
      <protection locked="0" hidden="0"/>
    </xf>
    <xf numFmtId="0" fontId="13" fillId="0" borderId="22" applyAlignment="1" pivotButton="0" quotePrefix="0" xfId="3">
      <alignment horizontal="center" vertical="center" wrapText="1"/>
    </xf>
    <xf numFmtId="0" fontId="18" fillId="3" borderId="2" applyAlignment="1" pivotButton="0" quotePrefix="0" xfId="6">
      <alignment horizontal="left" vertical="center" wrapText="1"/>
    </xf>
    <xf numFmtId="0" fontId="3" fillId="3" borderId="2" applyAlignment="1" pivotButton="0" quotePrefix="0" xfId="6">
      <alignment horizontal="center" vertical="center" wrapText="1"/>
    </xf>
    <xf numFmtId="0" fontId="18" fillId="3" borderId="2" applyAlignment="1" pivotButton="0" quotePrefix="0" xfId="6">
      <alignment vertical="center" wrapText="1"/>
    </xf>
    <xf numFmtId="0" fontId="3" fillId="3" borderId="2" applyAlignment="1" pivotButton="0" quotePrefix="0" xfId="6">
      <alignment horizontal="left" vertical="center" wrapText="1"/>
    </xf>
    <xf numFmtId="0" fontId="5" fillId="0" borderId="23" applyAlignment="1" applyProtection="1" pivotButton="0" quotePrefix="0" xfId="4">
      <alignment horizontal="center" vertical="center" wrapText="1"/>
      <protection locked="0" hidden="0"/>
    </xf>
    <xf numFmtId="0" fontId="5" fillId="0" borderId="27" applyAlignment="1" applyProtection="1" pivotButton="0" quotePrefix="0" xfId="4">
      <alignment horizontal="left" vertical="center" wrapText="1"/>
      <protection locked="0" hidden="0"/>
    </xf>
    <xf numFmtId="0" fontId="5" fillId="0" borderId="43" applyAlignment="1" applyProtection="1" pivotButton="0" quotePrefix="0" xfId="4">
      <alignment horizontal="center" vertical="center" wrapText="1"/>
      <protection locked="0" hidden="0"/>
    </xf>
    <xf numFmtId="0" fontId="5" fillId="0" borderId="35" applyAlignment="1" pivotButton="0" quotePrefix="0" xfId="0">
      <alignment horizontal="center" vertical="center"/>
    </xf>
    <xf numFmtId="0" fontId="13" fillId="0" borderId="5" applyAlignment="1" pivotButton="0" quotePrefix="0" xfId="3">
      <alignment horizontal="center" vertical="center" wrapText="1"/>
    </xf>
    <xf numFmtId="0" fontId="5" fillId="0" borderId="5" applyAlignment="1" pivotButton="0" quotePrefix="0" xfId="0">
      <alignment horizontal="center" vertical="center" wrapText="1"/>
    </xf>
    <xf numFmtId="0" fontId="5" fillId="0" borderId="5" applyAlignment="1" pivotButton="0" quotePrefix="0" xfId="4">
      <alignment horizontal="left" vertical="center" wrapText="1"/>
    </xf>
    <xf numFmtId="0" fontId="5" fillId="0" borderId="5" applyAlignment="1" pivotButton="0" quotePrefix="0" xfId="2">
      <alignment horizontal="center" vertical="center" wrapText="1"/>
    </xf>
    <xf numFmtId="0" fontId="5" fillId="3" borderId="5" applyAlignment="1" pivotButton="0" quotePrefix="0" xfId="4">
      <alignment horizontal="left" vertical="center" wrapText="1"/>
    </xf>
    <xf numFmtId="0" fontId="5" fillId="0" borderId="5" applyAlignment="1" pivotButton="0" quotePrefix="0" xfId="2">
      <alignment horizontal="left" vertical="center" wrapText="1"/>
    </xf>
    <xf numFmtId="0" fontId="3" fillId="3" borderId="5" applyAlignment="1" pivotButton="0" quotePrefix="0" xfId="2">
      <alignment horizontal="left" vertical="center" wrapText="1"/>
    </xf>
    <xf numFmtId="0" fontId="5" fillId="3" borderId="5" applyAlignment="1" pivotButton="0" quotePrefix="0" xfId="2">
      <alignment horizontal="left" vertical="center" wrapText="1"/>
    </xf>
    <xf numFmtId="0" fontId="5" fillId="0" borderId="29" applyAlignment="1" pivotButton="0" quotePrefix="0" xfId="2">
      <alignment horizontal="center" vertical="center" wrapText="1"/>
    </xf>
    <xf numFmtId="0" fontId="5" fillId="0" borderId="29" applyAlignment="1" pivotButton="0" quotePrefix="0" xfId="2">
      <alignment horizontal="left" vertical="center" wrapText="1"/>
    </xf>
    <xf numFmtId="0" fontId="5" fillId="0" borderId="29" applyAlignment="1" applyProtection="1" pivotButton="0" quotePrefix="0" xfId="2">
      <alignment horizontal="center" vertical="center" wrapText="1"/>
      <protection locked="0" hidden="0"/>
    </xf>
    <xf numFmtId="0" fontId="5" fillId="0" borderId="30" applyAlignment="1" applyProtection="1" pivotButton="0" quotePrefix="0" xfId="4">
      <alignment horizontal="left" vertical="center" wrapText="1"/>
      <protection locked="0" hidden="0"/>
    </xf>
    <xf numFmtId="0" fontId="5" fillId="0" borderId="6" applyAlignment="1" applyProtection="1" pivotButton="0" quotePrefix="0" xfId="4">
      <alignment horizontal="left" vertical="center" wrapText="1"/>
      <protection locked="0" hidden="0"/>
    </xf>
    <xf numFmtId="164" fontId="14" fillId="0" borderId="0" applyAlignment="1" pivotButton="0" quotePrefix="0" xfId="0">
      <alignment horizontal="right" vertical="center"/>
    </xf>
    <xf numFmtId="0" fontId="5" fillId="0" borderId="10" applyAlignment="1" pivotButton="0" quotePrefix="0" xfId="7">
      <alignment horizontal="left" vertical="center" wrapText="1"/>
    </xf>
    <xf numFmtId="0" fontId="16" fillId="0" borderId="12" applyAlignment="1" pivotButton="0" quotePrefix="0" xfId="0">
      <alignment horizontal="center" vertical="center" wrapText="1"/>
    </xf>
    <xf numFmtId="0" fontId="16" fillId="0" borderId="0" pivotButton="0" quotePrefix="0" xfId="0"/>
    <xf numFmtId="0" fontId="16" fillId="0" borderId="43" pivotButton="0" quotePrefix="0" xfId="0"/>
    <xf numFmtId="0" fontId="5" fillId="0" borderId="14" applyAlignment="1" pivotButton="0" quotePrefix="0" xfId="7">
      <alignment horizontal="left" vertical="center" wrapText="1"/>
    </xf>
    <xf numFmtId="0" fontId="16" fillId="0" borderId="18" applyAlignment="1" pivotButton="0" quotePrefix="0" xfId="0">
      <alignment horizontal="center" vertical="center" wrapText="1"/>
    </xf>
    <xf numFmtId="0" fontId="16" fillId="0" borderId="33" pivotButton="0" quotePrefix="0" xfId="0"/>
    <xf numFmtId="0" fontId="16" fillId="0" borderId="37" pivotButton="0" quotePrefix="0" xfId="0"/>
    <xf numFmtId="0" fontId="3" fillId="0" borderId="0" applyAlignment="1" pivotButton="0" quotePrefix="0" xfId="0">
      <alignment horizontal="center" vertical="center"/>
    </xf>
    <xf numFmtId="0" fontId="13" fillId="0" borderId="0" applyProtection="1" pivotButton="0" quotePrefix="0" xfId="0">
      <protection locked="0" hidden="0"/>
    </xf>
    <xf numFmtId="0" fontId="5" fillId="0" borderId="0" applyAlignment="1" applyProtection="1" pivotButton="0" quotePrefix="0" xfId="0">
      <alignment horizontal="center"/>
      <protection locked="0" hidden="0"/>
    </xf>
    <xf numFmtId="0" fontId="5" fillId="0" borderId="0" applyAlignment="1" applyProtection="1" pivotButton="0" quotePrefix="0" xfId="0">
      <alignment wrapText="1"/>
      <protection locked="0" hidden="0"/>
    </xf>
    <xf numFmtId="0" fontId="5" fillId="0" borderId="0" applyProtection="1" pivotButton="0" quotePrefix="0" xfId="0">
      <protection locked="0" hidden="0"/>
    </xf>
    <xf numFmtId="0" fontId="5" fillId="3" borderId="0" applyAlignment="1" applyProtection="1" pivotButton="0" quotePrefix="0" xfId="0">
      <alignment wrapText="1"/>
      <protection locked="0" hidden="0"/>
    </xf>
    <xf numFmtId="0" fontId="14" fillId="0" borderId="0" applyAlignment="1" applyProtection="1" pivotButton="0" quotePrefix="0" xfId="0">
      <alignment horizontal="right" vertical="center"/>
      <protection locked="0" hidden="0"/>
    </xf>
    <xf numFmtId="9" fontId="14" fillId="0" borderId="0" applyAlignment="1" applyProtection="1" pivotButton="0" quotePrefix="0" xfId="1">
      <alignment horizontal="right" vertical="center"/>
      <protection locked="0" hidden="0"/>
    </xf>
    <xf numFmtId="0" fontId="13" fillId="0" borderId="31" applyAlignment="1" applyProtection="1" pivotButton="0" quotePrefix="0" xfId="0">
      <alignment wrapText="1"/>
      <protection locked="0" hidden="0"/>
    </xf>
    <xf numFmtId="0" fontId="13" fillId="0" borderId="26" applyProtection="1" pivotButton="0" quotePrefix="0" xfId="0">
      <protection locked="0" hidden="0"/>
    </xf>
    <xf numFmtId="0" fontId="13" fillId="3" borderId="26" applyAlignment="1" applyProtection="1" pivotButton="0" quotePrefix="0" xfId="0">
      <alignment wrapText="1"/>
      <protection locked="0" hidden="0"/>
    </xf>
    <xf numFmtId="0" fontId="19" fillId="0" borderId="26" applyAlignment="1" applyProtection="1" pivotButton="0" quotePrefix="0" xfId="0">
      <alignment horizontal="right" vertical="center"/>
      <protection locked="0" hidden="0"/>
    </xf>
    <xf numFmtId="9" fontId="19" fillId="0" borderId="26" applyAlignment="1" applyProtection="1" pivotButton="0" quotePrefix="0" xfId="1">
      <alignment horizontal="right" vertical="center"/>
      <protection locked="0" hidden="0"/>
    </xf>
    <xf numFmtId="2" fontId="19" fillId="0" borderId="6" applyAlignment="1" applyProtection="1" pivotButton="0" quotePrefix="0" xfId="0">
      <alignment horizontal="right" vertical="center"/>
      <protection locked="0" hidden="0"/>
    </xf>
    <xf numFmtId="0" fontId="13" fillId="0" borderId="32" applyAlignment="1" applyProtection="1" pivotButton="0" quotePrefix="0" xfId="0">
      <alignment wrapText="1"/>
      <protection locked="0" hidden="0"/>
    </xf>
    <xf numFmtId="0" fontId="13" fillId="0" borderId="33" applyProtection="1" pivotButton="0" quotePrefix="0" xfId="0">
      <protection locked="0" hidden="0"/>
    </xf>
    <xf numFmtId="0" fontId="13" fillId="3" borderId="33" applyProtection="1" pivotButton="0" quotePrefix="0" xfId="0">
      <protection locked="0" hidden="0"/>
    </xf>
    <xf numFmtId="0" fontId="19" fillId="0" borderId="33" applyAlignment="1" applyProtection="1" pivotButton="0" quotePrefix="0" xfId="0">
      <alignment horizontal="right" vertical="center"/>
      <protection locked="0" hidden="0"/>
    </xf>
    <xf numFmtId="9" fontId="19" fillId="0" borderId="33" applyAlignment="1" applyProtection="1" pivotButton="0" quotePrefix="0" xfId="1">
      <alignment horizontal="right" vertical="center"/>
      <protection locked="0" hidden="0"/>
    </xf>
    <xf numFmtId="2" fontId="19" fillId="0" borderId="34" applyAlignment="1" applyProtection="1" pivotButton="0" quotePrefix="0" xfId="0">
      <alignment horizontal="right" vertical="center"/>
      <protection locked="0" hidden="0"/>
    </xf>
    <xf numFmtId="0" fontId="13" fillId="3" borderId="26" applyProtection="1" pivotButton="0" quotePrefix="0" xfId="0">
      <protection locked="0" hidden="0"/>
    </xf>
    <xf numFmtId="2" fontId="19" fillId="0" borderId="30" applyAlignment="1" applyProtection="1" pivotButton="0" quotePrefix="0" xfId="0">
      <alignment horizontal="right" vertical="center"/>
      <protection locked="0" hidden="0"/>
    </xf>
    <xf numFmtId="0" fontId="3" fillId="3" borderId="0" pivotButton="0" quotePrefix="0" xfId="0"/>
    <xf numFmtId="49" fontId="5" fillId="3" borderId="19" applyAlignment="1" pivotButton="0" quotePrefix="0" xfId="0">
      <alignment vertical="center" wrapText="1"/>
    </xf>
    <xf numFmtId="0" fontId="13" fillId="3" borderId="7" applyAlignment="1" pivotButton="0" quotePrefix="0" xfId="3">
      <alignment horizontal="center" vertical="center" wrapText="1"/>
    </xf>
    <xf numFmtId="0" fontId="5" fillId="3" borderId="7" applyAlignment="1" pivotButton="0" quotePrefix="0" xfId="3">
      <alignment horizontal="center" vertical="center" wrapText="1"/>
    </xf>
    <xf numFmtId="0" fontId="5" fillId="3" borderId="10" applyAlignment="1" pivotButton="0" quotePrefix="0" xfId="4">
      <alignment horizontal="center" vertical="center" wrapText="1"/>
    </xf>
    <xf numFmtId="0" fontId="26" fillId="3" borderId="10" applyAlignment="1" pivotButton="0" quotePrefix="0" xfId="2">
      <alignment horizontal="left" vertical="center" wrapText="1"/>
    </xf>
    <xf numFmtId="0" fontId="13" fillId="0" borderId="14" applyAlignment="1" pivotButton="0" quotePrefix="0" xfId="3">
      <alignment horizontal="center" vertical="center" wrapText="1"/>
    </xf>
    <xf numFmtId="0" fontId="5" fillId="0" borderId="14" applyAlignment="1" pivotButton="0" quotePrefix="0" xfId="2">
      <alignment horizontal="center" vertical="center" wrapText="1"/>
    </xf>
    <xf numFmtId="0" fontId="13" fillId="0" borderId="2" applyAlignment="1" applyProtection="1" pivotButton="0" quotePrefix="0" xfId="3">
      <alignment horizontal="center" vertical="center" wrapText="1"/>
      <protection locked="0" hidden="0"/>
    </xf>
    <xf numFmtId="0" fontId="5" fillId="0" borderId="2" applyAlignment="1" applyProtection="1" pivotButton="0" quotePrefix="0" xfId="3">
      <alignment horizontal="center" vertical="center" wrapText="1"/>
      <protection locked="0" hidden="0"/>
    </xf>
    <xf numFmtId="0" fontId="5" fillId="0" borderId="2" applyAlignment="1" applyProtection="1" pivotButton="0" quotePrefix="0" xfId="0">
      <alignment horizontal="left" vertical="center" wrapText="1"/>
      <protection locked="0" hidden="0"/>
    </xf>
    <xf numFmtId="0" fontId="5" fillId="0" borderId="2" applyAlignment="1" applyProtection="1" pivotButton="0" quotePrefix="0" xfId="2">
      <alignment horizontal="center" vertical="center" wrapText="1"/>
      <protection locked="0" hidden="0"/>
    </xf>
    <xf numFmtId="0" fontId="5" fillId="0" borderId="22" applyAlignment="1" applyProtection="1" pivotButton="0" quotePrefix="0" xfId="2">
      <alignment horizontal="left" vertical="center" wrapText="1"/>
      <protection locked="0" hidden="0"/>
    </xf>
    <xf numFmtId="0" fontId="5" fillId="0" borderId="7" applyAlignment="1" applyProtection="1" pivotButton="0" quotePrefix="0" xfId="2">
      <alignment horizontal="center" vertical="center" wrapText="1"/>
      <protection locked="0" hidden="0"/>
    </xf>
    <xf numFmtId="0" fontId="5" fillId="0" borderId="7" applyAlignment="1" applyProtection="1" pivotButton="0" quotePrefix="0" xfId="0">
      <alignment horizontal="center" vertical="center" wrapText="1"/>
      <protection locked="0" hidden="0"/>
    </xf>
    <xf numFmtId="0" fontId="5" fillId="0" borderId="22" applyAlignment="1" applyProtection="1" pivotButton="0" quotePrefix="0" xfId="0">
      <alignment horizontal="left" vertical="center" wrapText="1"/>
      <protection locked="0" hidden="0"/>
    </xf>
    <xf numFmtId="0" fontId="13" fillId="0" borderId="10" applyAlignment="1" applyProtection="1" pivotButton="0" quotePrefix="0" xfId="2">
      <alignment horizontal="center" vertical="center" wrapText="1"/>
      <protection locked="0" hidden="0"/>
    </xf>
    <xf numFmtId="0" fontId="5" fillId="0" borderId="10" applyAlignment="1" applyProtection="1" pivotButton="0" quotePrefix="0" xfId="4">
      <alignment horizontal="left" vertical="center" wrapText="1"/>
      <protection locked="0" hidden="0"/>
    </xf>
    <xf numFmtId="0" fontId="5" fillId="0" borderId="13" applyAlignment="1" pivotButton="0" quotePrefix="0" xfId="0">
      <alignment horizontal="center" vertical="center" wrapText="1"/>
    </xf>
    <xf numFmtId="9" fontId="14" fillId="0" borderId="0" applyAlignment="1" applyProtection="1" pivotButton="0" quotePrefix="0" xfId="1">
      <alignment horizontal="center" vertical="center"/>
      <protection locked="0" hidden="0"/>
    </xf>
    <xf numFmtId="0" fontId="5" fillId="0" borderId="0" applyAlignment="1" pivotButton="0" quotePrefix="0" xfId="4">
      <alignment horizontal="left" vertical="center" wrapText="1"/>
    </xf>
    <xf numFmtId="0" fontId="5" fillId="0" borderId="2" applyAlignment="1" applyProtection="1" pivotButton="0" quotePrefix="0" xfId="2">
      <alignment horizontal="left" vertical="center" wrapText="1"/>
      <protection locked="0" hidden="0"/>
    </xf>
    <xf numFmtId="0" fontId="5" fillId="0" borderId="28" applyAlignment="1" pivotButton="0" quotePrefix="0" xfId="4">
      <alignment horizontal="left" vertical="center" wrapText="1"/>
    </xf>
    <xf numFmtId="0" fontId="5" fillId="3" borderId="13" applyAlignment="1" pivotButton="0" quotePrefix="0" xfId="4">
      <alignment horizontal="left" vertical="center" wrapText="1"/>
    </xf>
    <xf numFmtId="0" fontId="5" fillId="0" borderId="35" applyAlignment="1" pivotButton="0" quotePrefix="0" xfId="2">
      <alignment horizontal="center" vertical="center"/>
    </xf>
    <xf numFmtId="0" fontId="5" fillId="3" borderId="10" applyAlignment="1" pivotButton="0" quotePrefix="0" xfId="7">
      <alignment horizontal="left" vertical="center" wrapText="1"/>
    </xf>
    <xf numFmtId="0" fontId="5" fillId="0" borderId="36" applyAlignment="1" pivotButton="0" quotePrefix="0" xfId="2">
      <alignment horizontal="center" vertical="center"/>
    </xf>
    <xf numFmtId="0" fontId="5" fillId="3" borderId="14" applyAlignment="1" pivotButton="0" quotePrefix="0" xfId="7">
      <alignment horizontal="left" vertical="center" wrapText="1"/>
    </xf>
    <xf numFmtId="0" fontId="5" fillId="0" borderId="14" applyAlignment="1" pivotButton="0" quotePrefix="0" xfId="0">
      <alignment horizontal="center" vertical="center" wrapText="1"/>
    </xf>
    <xf numFmtId="0" fontId="5" fillId="0" borderId="3" applyAlignment="1" applyProtection="1" pivotButton="0" quotePrefix="0" xfId="4">
      <alignment vertical="center" wrapText="1"/>
      <protection locked="0" hidden="0"/>
    </xf>
    <xf numFmtId="0" fontId="5" fillId="0" borderId="11" applyAlignment="1" applyProtection="1" pivotButton="0" quotePrefix="0" xfId="4">
      <alignment vertical="center" wrapText="1"/>
      <protection locked="0" hidden="0"/>
    </xf>
    <xf numFmtId="0" fontId="5" fillId="0" borderId="11" applyAlignment="1" pivotButton="0" quotePrefix="0" xfId="0">
      <alignment horizontal="center" vertical="center" wrapText="1"/>
    </xf>
    <xf numFmtId="0" fontId="5" fillId="0" borderId="16" applyAlignment="1" pivotButton="0" quotePrefix="0" xfId="0">
      <alignment horizontal="center" vertical="center" wrapText="1"/>
    </xf>
    <xf numFmtId="0" fontId="5" fillId="0" borderId="21" applyAlignment="1" pivotButton="0" quotePrefix="0" xfId="4">
      <alignment horizontal="center" vertical="center" wrapText="1"/>
    </xf>
    <xf numFmtId="0" fontId="5" fillId="0" borderId="21" applyAlignment="1" pivotButton="0" quotePrefix="0" xfId="5">
      <alignment horizontal="center" vertical="center" wrapText="1"/>
    </xf>
    <xf numFmtId="0" fontId="17" fillId="0" borderId="21" applyAlignment="1" pivotButton="0" quotePrefix="0" xfId="4">
      <alignment horizontal="left" vertical="center" wrapText="1"/>
    </xf>
    <xf numFmtId="0" fontId="5" fillId="0" borderId="21" applyAlignment="1" pivotButton="0" quotePrefix="0" xfId="4">
      <alignment horizontal="left" vertical="center" wrapText="1"/>
    </xf>
    <xf numFmtId="0" fontId="5" fillId="0" borderId="58" applyAlignment="1" pivotButton="0" quotePrefix="0" xfId="4">
      <alignment horizontal="center" vertical="center" wrapText="1"/>
    </xf>
    <xf numFmtId="0" fontId="5" fillId="0" borderId="54" applyAlignment="1" pivotButton="0" quotePrefix="0" xfId="2">
      <alignment horizontal="left" vertical="center" wrapText="1"/>
    </xf>
    <xf numFmtId="0" fontId="5" fillId="0" borderId="20" applyAlignment="1" pivotButton="0" quotePrefix="0" xfId="2">
      <alignment horizontal="left" vertical="center" wrapText="1"/>
    </xf>
    <xf numFmtId="0" fontId="17" fillId="0" borderId="20" applyAlignment="1" pivotButton="0" quotePrefix="0" xfId="4">
      <alignment horizontal="left" vertical="center" wrapText="1"/>
    </xf>
    <xf numFmtId="0" fontId="5" fillId="0" borderId="20" applyAlignment="1" pivotButton="0" quotePrefix="0" xfId="4">
      <alignment horizontal="left" vertical="center" wrapText="1"/>
    </xf>
    <xf numFmtId="0" fontId="20" fillId="0" borderId="20" applyAlignment="1" pivotButton="0" quotePrefix="0" xfId="4">
      <alignment horizontal="left" vertical="center" wrapText="1"/>
    </xf>
    <xf numFmtId="0" fontId="20" fillId="0" borderId="53" applyAlignment="1" pivotButton="0" quotePrefix="0" xfId="4">
      <alignment horizontal="left" vertical="center" wrapText="1"/>
    </xf>
    <xf numFmtId="0" fontId="20" fillId="3" borderId="53" applyAlignment="1" pivotButton="0" quotePrefix="0" xfId="4">
      <alignment horizontal="left" vertical="center" wrapText="1"/>
    </xf>
    <xf numFmtId="0" fontId="5" fillId="0" borderId="53" applyAlignment="1" applyProtection="1" pivotButton="0" quotePrefix="0" xfId="4">
      <alignment vertical="center" wrapText="1"/>
      <protection locked="0" hidden="0"/>
    </xf>
    <xf numFmtId="0" fontId="5" fillId="6" borderId="20" applyAlignment="1" applyProtection="1" pivotButton="0" quotePrefix="0" xfId="4">
      <alignment horizontal="center" vertical="center" wrapText="1"/>
      <protection locked="0" hidden="0"/>
    </xf>
    <xf numFmtId="0" fontId="5" fillId="0" borderId="20" applyAlignment="1" pivotButton="0" quotePrefix="0" xfId="0">
      <alignment horizontal="left" vertical="center" wrapText="1"/>
    </xf>
    <xf numFmtId="0" fontId="5" fillId="0" borderId="21" applyAlignment="1" pivotButton="0" quotePrefix="0" xfId="2">
      <alignment horizontal="left" vertical="center" wrapText="1"/>
    </xf>
    <xf numFmtId="0" fontId="3" fillId="0" borderId="60" applyAlignment="1" pivotButton="0" quotePrefix="0" xfId="2">
      <alignment horizontal="left" vertical="center" wrapText="1"/>
    </xf>
    <xf numFmtId="0" fontId="5" fillId="0" borderId="53" applyAlignment="1" pivotButton="0" quotePrefix="0" xfId="4">
      <alignment horizontal="left" vertical="center" wrapText="1"/>
    </xf>
    <xf numFmtId="0" fontId="5" fillId="0" borderId="58" applyAlignment="1" pivotButton="0" quotePrefix="0" xfId="0">
      <alignment horizontal="left" vertical="center" wrapText="1"/>
    </xf>
    <xf numFmtId="0" fontId="5" fillId="0" borderId="58" applyAlignment="1" pivotButton="0" quotePrefix="0" xfId="4">
      <alignment horizontal="left" vertical="center" wrapText="1"/>
    </xf>
    <xf numFmtId="0" fontId="5" fillId="3" borderId="20" applyAlignment="1" pivotButton="0" quotePrefix="0" xfId="4">
      <alignment horizontal="left" vertical="center" wrapText="1"/>
    </xf>
    <xf numFmtId="0" fontId="5" fillId="0" borderId="0" applyAlignment="1" pivotButton="0" quotePrefix="0" xfId="4">
      <alignment horizontal="center" vertical="center" wrapText="1"/>
    </xf>
    <xf numFmtId="0" fontId="5" fillId="0" borderId="26" applyAlignment="1" pivotButton="0" quotePrefix="0" xfId="2">
      <alignment horizontal="center" vertical="center" wrapText="1"/>
    </xf>
    <xf numFmtId="0" fontId="16" fillId="0" borderId="40" applyAlignment="1" pivotButton="0" quotePrefix="0" xfId="0">
      <alignment horizontal="center" vertical="center" wrapText="1"/>
    </xf>
    <xf numFmtId="0" fontId="16" fillId="0" borderId="41" applyAlignment="1" pivotButton="0" quotePrefix="0" xfId="0">
      <alignment horizontal="center" vertical="center" wrapText="1"/>
    </xf>
    <xf numFmtId="0" fontId="5" fillId="0" borderId="12" applyAlignment="1" pivotButton="0" quotePrefix="0" xfId="4">
      <alignment horizontal="left" vertical="center" wrapText="1"/>
    </xf>
    <xf numFmtId="0" fontId="5" fillId="0" borderId="12" applyAlignment="1" pivotButton="0" quotePrefix="0" xfId="5">
      <alignment horizontal="left" vertical="center" wrapText="1"/>
    </xf>
    <xf numFmtId="0" fontId="16" fillId="0" borderId="12" applyAlignment="1" pivotButton="0" quotePrefix="0" xfId="4">
      <alignment horizontal="left" vertical="center" wrapText="1"/>
    </xf>
    <xf numFmtId="0" fontId="5" fillId="0" borderId="12" applyAlignment="1" pivotButton="0" quotePrefix="0" xfId="2">
      <alignment horizontal="left" vertical="center"/>
    </xf>
    <xf numFmtId="0" fontId="16" fillId="3" borderId="12" applyAlignment="1" pivotButton="0" quotePrefix="0" xfId="4">
      <alignment horizontal="left" vertical="center" wrapText="1"/>
    </xf>
    <xf numFmtId="0" fontId="22" fillId="0" borderId="12" applyAlignment="1" applyProtection="1" pivotButton="0" quotePrefix="0" xfId="4">
      <alignment vertical="center" wrapText="1"/>
      <protection locked="0" hidden="0"/>
    </xf>
    <xf numFmtId="0" fontId="5" fillId="0" borderId="12" applyAlignment="1" applyProtection="1" pivotButton="0" quotePrefix="0" xfId="4">
      <alignment horizontal="left" vertical="center" wrapText="1"/>
      <protection locked="0" hidden="0"/>
    </xf>
    <xf numFmtId="0" fontId="5" fillId="0" borderId="12" applyAlignment="1" pivotButton="0" quotePrefix="0" xfId="2">
      <alignment horizontal="left" vertical="center" wrapText="1"/>
    </xf>
    <xf numFmtId="0" fontId="16" fillId="3" borderId="12" applyAlignment="1" applyProtection="1" pivotButton="0" quotePrefix="0" xfId="2">
      <alignment horizontal="left" vertical="center" wrapText="1"/>
      <protection locked="0" hidden="0"/>
    </xf>
    <xf numFmtId="0" fontId="5" fillId="3" borderId="12" applyAlignment="1" pivotButton="0" quotePrefix="0" xfId="4">
      <alignment horizontal="left" vertical="center" wrapText="1"/>
    </xf>
    <xf numFmtId="0" fontId="5" fillId="0" borderId="55" applyAlignment="1" pivotButton="0" quotePrefix="0" xfId="4">
      <alignment horizontal="left" vertical="center" wrapText="1"/>
    </xf>
    <xf numFmtId="0" fontId="16" fillId="0" borderId="56" applyAlignment="1" pivotButton="0" quotePrefix="0" xfId="0">
      <alignment horizontal="center" vertical="center" wrapText="1"/>
    </xf>
    <xf numFmtId="0" fontId="5" fillId="0" borderId="1" applyAlignment="1" pivotButton="0" quotePrefix="0" xfId="2">
      <alignment horizontal="left" vertical="center" wrapText="1"/>
    </xf>
    <xf numFmtId="0" fontId="13" fillId="0" borderId="6" applyProtection="1" pivotButton="0" quotePrefix="0" xfId="0">
      <protection locked="0" hidden="0"/>
    </xf>
    <xf numFmtId="0" fontId="13" fillId="0" borderId="37" applyProtection="1" pivotButton="0" quotePrefix="0" xfId="0">
      <protection locked="0" hidden="0"/>
    </xf>
    <xf numFmtId="0" fontId="3" fillId="0" borderId="64" applyAlignment="1" pivotButton="0" quotePrefix="0" xfId="0">
      <alignment horizontal="center" vertical="center"/>
    </xf>
    <xf numFmtId="0" fontId="5" fillId="0" borderId="56" applyAlignment="1" pivotButton="0" quotePrefix="0" xfId="4">
      <alignment horizontal="left" vertical="center" wrapText="1"/>
    </xf>
    <xf numFmtId="0" fontId="3" fillId="0" borderId="65" applyAlignment="1" pivotButton="0" quotePrefix="0" xfId="0">
      <alignment horizontal="center" vertical="center"/>
    </xf>
    <xf numFmtId="0" fontId="12" fillId="0" borderId="28" applyAlignment="1" pivotButton="0" quotePrefix="0" xfId="0">
      <alignment horizontal="center" vertical="center"/>
    </xf>
    <xf numFmtId="0" fontId="3" fillId="0" borderId="28" applyAlignment="1" pivotButton="0" quotePrefix="0" xfId="0">
      <alignment horizontal="center" vertical="center"/>
    </xf>
    <xf numFmtId="0" fontId="3" fillId="0" borderId="28" applyAlignment="1" pivotButton="0" quotePrefix="0" xfId="0">
      <alignment vertical="center" wrapText="1"/>
    </xf>
    <xf numFmtId="0" fontId="3" fillId="3" borderId="28" applyAlignment="1" pivotButton="0" quotePrefix="0" xfId="0">
      <alignment vertical="center" wrapText="1"/>
    </xf>
    <xf numFmtId="0" fontId="3" fillId="0" borderId="20" applyAlignment="1" pivotButton="0" quotePrefix="0" xfId="0">
      <alignment horizontal="left" vertical="center" wrapText="1"/>
    </xf>
    <xf numFmtId="0" fontId="5" fillId="3" borderId="20" applyAlignment="1" pivotButton="0" quotePrefix="0" xfId="0">
      <alignment horizontal="left" vertical="center" wrapText="1"/>
    </xf>
    <xf numFmtId="0" fontId="15" fillId="0" borderId="56" applyAlignment="1" pivotButton="0" quotePrefix="0" xfId="4">
      <alignment horizontal="left" vertical="center" wrapText="1"/>
    </xf>
    <xf numFmtId="0" fontId="5" fillId="0" borderId="22" applyAlignment="1" applyProtection="1" pivotButton="0" quotePrefix="0" xfId="2">
      <alignment horizontal="center" vertical="center" wrapText="1"/>
      <protection locked="0" hidden="0"/>
    </xf>
    <xf numFmtId="0" fontId="3" fillId="0" borderId="22" applyAlignment="1" applyProtection="1" pivotButton="0" quotePrefix="0" xfId="2">
      <alignment horizontal="left" vertical="center" wrapText="1"/>
      <protection locked="0" hidden="0"/>
    </xf>
    <xf numFmtId="0" fontId="3" fillId="0" borderId="2" applyAlignment="1" applyProtection="1" pivotButton="0" quotePrefix="0" xfId="2">
      <alignment horizontal="left" vertical="center" wrapText="1"/>
      <protection locked="0" hidden="0"/>
    </xf>
    <xf numFmtId="0" fontId="5" fillId="0" borderId="2" applyAlignment="1" applyProtection="1" pivotButton="0" quotePrefix="0" xfId="0">
      <alignment horizontal="center" vertical="center" wrapText="1"/>
      <protection locked="0" hidden="0"/>
    </xf>
    <xf numFmtId="0" fontId="5" fillId="0" borderId="55" applyAlignment="1" applyProtection="1" pivotButton="0" quotePrefix="0" xfId="4">
      <alignment horizontal="left" vertical="center" wrapText="1"/>
      <protection locked="0" hidden="0"/>
    </xf>
    <xf numFmtId="0" fontId="24" fillId="6" borderId="0" applyAlignment="1" applyProtection="1" pivotButton="0" quotePrefix="0" xfId="4">
      <alignment horizontal="center" vertical="center" wrapText="1"/>
      <protection locked="0" hidden="0"/>
    </xf>
    <xf numFmtId="49" fontId="5" fillId="0" borderId="66" applyAlignment="1" pivotButton="0" quotePrefix="0" xfId="0">
      <alignment vertical="center" wrapText="1"/>
    </xf>
    <xf numFmtId="0" fontId="20" fillId="0" borderId="7" applyAlignment="1" pivotButton="0" quotePrefix="0" xfId="2">
      <alignment horizontal="center" vertical="center" wrapText="1"/>
    </xf>
    <xf numFmtId="49" fontId="5" fillId="3" borderId="66" applyAlignment="1" pivotButton="0" quotePrefix="0" xfId="0">
      <alignment vertical="center" wrapText="1"/>
    </xf>
    <xf numFmtId="0" fontId="20" fillId="0" borderId="9" applyAlignment="1" applyProtection="1" pivotButton="0" quotePrefix="0" xfId="4">
      <alignment horizontal="left" vertical="center" wrapText="1"/>
      <protection locked="0" hidden="0"/>
    </xf>
    <xf numFmtId="0" fontId="14" fillId="3" borderId="2" applyAlignment="1" pivotButton="0" quotePrefix="0" xfId="6">
      <alignment horizontal="left" vertical="center" wrapText="1"/>
    </xf>
    <xf numFmtId="0" fontId="5" fillId="0" borderId="2" applyAlignment="1" pivotButton="0" quotePrefix="0" xfId="6">
      <alignment horizontal="center" vertical="center" wrapText="1"/>
    </xf>
    <xf numFmtId="0" fontId="5" fillId="3" borderId="2" applyAlignment="1" pivotButton="0" quotePrefix="0" xfId="6">
      <alignment vertical="center" wrapText="1"/>
    </xf>
    <xf numFmtId="0" fontId="5" fillId="3" borderId="2" applyAlignment="1" pivotButton="0" quotePrefix="0" xfId="6">
      <alignment horizontal="left" vertical="center" wrapText="1"/>
    </xf>
    <xf numFmtId="0" fontId="5" fillId="0" borderId="56" applyAlignment="1" pivotButton="0" quotePrefix="0" xfId="2">
      <alignment horizontal="left" vertical="center"/>
    </xf>
    <xf numFmtId="0" fontId="3" fillId="0" borderId="10" applyAlignment="1" pivotButton="0" quotePrefix="0" xfId="0">
      <alignment horizontal="center" vertical="center"/>
    </xf>
    <xf numFmtId="0" fontId="5" fillId="0" borderId="7" applyAlignment="1" pivotButton="0" quotePrefix="0" xfId="7">
      <alignment horizontal="left" vertical="center" wrapText="1"/>
    </xf>
    <xf numFmtId="0" fontId="13" fillId="0" borderId="45" applyAlignment="1" pivotButton="0" quotePrefix="0" xfId="2">
      <alignment horizontal="center" vertical="center"/>
    </xf>
    <xf numFmtId="0" fontId="12" fillId="0" borderId="37" pivotButton="0" quotePrefix="0" xfId="7"/>
    <xf numFmtId="0" fontId="14" fillId="0" borderId="10" applyAlignment="1" pivotButton="0" quotePrefix="0" xfId="6">
      <alignment horizontal="left" vertical="center" wrapText="1"/>
    </xf>
    <xf numFmtId="0" fontId="5" fillId="0" borderId="10" applyAlignment="1" pivotButton="0" quotePrefix="0" xfId="6">
      <alignment vertical="center" wrapText="1"/>
    </xf>
    <xf numFmtId="0" fontId="14" fillId="0" borderId="7" applyAlignment="1" pivotButton="0" quotePrefix="0" xfId="6">
      <alignment horizontal="left" vertical="center" wrapText="1"/>
    </xf>
    <xf numFmtId="0" fontId="5" fillId="0" borderId="7" applyAlignment="1" pivotButton="0" quotePrefix="0" xfId="6">
      <alignment vertical="center" wrapText="1"/>
    </xf>
    <xf numFmtId="0" fontId="5" fillId="0" borderId="7" applyAlignment="1" pivotButton="0" quotePrefix="0" xfId="6">
      <alignment horizontal="left" vertical="center" wrapText="1"/>
    </xf>
    <xf numFmtId="0" fontId="5" fillId="0" borderId="10" applyAlignment="1" pivotButton="0" quotePrefix="0" xfId="3">
      <alignment horizontal="left" vertical="center" wrapText="1"/>
    </xf>
    <xf numFmtId="0" fontId="5" fillId="0" borderId="10" applyAlignment="1" pivotButton="0" quotePrefix="0" xfId="3">
      <alignment vertical="center" wrapText="1"/>
    </xf>
    <xf numFmtId="0" fontId="5" fillId="0" borderId="7" applyAlignment="1" applyProtection="1" pivotButton="0" quotePrefix="0" xfId="2">
      <alignment horizontal="left" vertical="center" wrapText="1"/>
      <protection locked="0" hidden="0"/>
    </xf>
    <xf numFmtId="0" fontId="14" fillId="0" borderId="7" applyAlignment="1" pivotButton="0" quotePrefix="0" xfId="6">
      <alignment vertical="center" wrapText="1"/>
    </xf>
    <xf numFmtId="0" fontId="3" fillId="0" borderId="10" applyAlignment="1" pivotButton="0" quotePrefix="0" xfId="2">
      <alignment horizontal="left" vertical="center" wrapText="1"/>
    </xf>
    <xf numFmtId="0" fontId="5" fillId="0" borderId="11" applyAlignment="1" applyProtection="1" pivotButton="0" quotePrefix="0" xfId="2">
      <alignment horizontal="left" vertical="center" wrapText="1"/>
      <protection locked="0" hidden="0"/>
    </xf>
    <xf numFmtId="9" fontId="14" fillId="0" borderId="0" applyAlignment="1" pivotButton="0" quotePrefix="0" xfId="1">
      <alignment horizontal="center" vertical="center"/>
    </xf>
    <xf numFmtId="0" fontId="5" fillId="0" borderId="10" applyAlignment="1" pivotButton="0" quotePrefix="0" xfId="0">
      <alignment vertical="center" wrapText="1"/>
    </xf>
    <xf numFmtId="0" fontId="5" fillId="0" borderId="8" applyAlignment="1" applyProtection="1" pivotButton="0" quotePrefix="0" xfId="2">
      <alignment horizontal="center" vertical="center" wrapText="1"/>
      <protection locked="0" hidden="0"/>
    </xf>
    <xf numFmtId="0" fontId="5" fillId="0" borderId="8" applyAlignment="1" applyProtection="1" pivotButton="0" quotePrefix="0" xfId="2">
      <alignment horizontal="left" vertical="center" wrapText="1"/>
      <protection locked="0" hidden="0"/>
    </xf>
    <xf numFmtId="0" fontId="16" fillId="0" borderId="12" applyAlignment="1" applyProtection="1" pivotButton="0" quotePrefix="0" xfId="2">
      <alignment horizontal="left" vertical="center" wrapText="1"/>
      <protection locked="0" hidden="0"/>
    </xf>
    <xf numFmtId="0" fontId="17" fillId="0" borderId="20" applyAlignment="1" applyProtection="1" pivotButton="0" quotePrefix="0" xfId="0">
      <alignment horizontal="left" vertical="center" wrapText="1"/>
      <protection locked="0" hidden="0"/>
    </xf>
    <xf numFmtId="0" fontId="5" fillId="0" borderId="10" applyAlignment="1" pivotButton="0" quotePrefix="0" xfId="3">
      <alignment horizontal="center" vertical="center" wrapText="1"/>
    </xf>
    <xf numFmtId="0" fontId="5" fillId="0" borderId="53" applyAlignment="1" applyProtection="1" pivotButton="0" quotePrefix="0" xfId="4">
      <alignment horizontal="left" vertical="center" wrapText="1"/>
      <protection locked="0" hidden="0"/>
    </xf>
    <xf numFmtId="0" fontId="3" fillId="0" borderId="7" applyAlignment="1" pivotButton="0" quotePrefix="0" xfId="2">
      <alignment horizontal="left" vertical="center" wrapText="1"/>
    </xf>
    <xf numFmtId="0" fontId="5" fillId="0" borderId="3" applyAlignment="1" pivotButton="0" quotePrefix="0" xfId="2">
      <alignment horizontal="left" vertical="center" wrapText="1"/>
    </xf>
    <xf numFmtId="0" fontId="5" fillId="0" borderId="55" applyAlignment="1" pivotButton="0" quotePrefix="0" xfId="2">
      <alignment horizontal="left" vertical="center" wrapText="1"/>
    </xf>
    <xf numFmtId="0" fontId="5" fillId="0" borderId="0" applyAlignment="1" pivotButton="0" quotePrefix="0" xfId="0">
      <alignment horizontal="left" vertical="center" wrapText="1"/>
    </xf>
    <xf numFmtId="0" fontId="5" fillId="0" borderId="23" applyAlignment="1" applyProtection="1" pivotButton="0" quotePrefix="0" xfId="0">
      <alignment horizontal="left" vertical="center" wrapText="1"/>
      <protection locked="0" hidden="0"/>
    </xf>
    <xf numFmtId="0" fontId="5" fillId="0" borderId="27" applyAlignment="1" applyProtection="1" pivotButton="0" quotePrefix="0" xfId="0">
      <alignment horizontal="left" vertical="center" wrapText="1"/>
      <protection locked="0" hidden="0"/>
    </xf>
    <xf numFmtId="0" fontId="5" fillId="0" borderId="3" applyAlignment="1" pivotButton="0" quotePrefix="0" xfId="2">
      <alignment horizontal="center" vertical="center" wrapText="1"/>
    </xf>
    <xf numFmtId="0" fontId="5" fillId="0" borderId="58" applyAlignment="1" pivotButton="0" quotePrefix="0" xfId="2">
      <alignment horizontal="left" vertical="center" wrapText="1"/>
    </xf>
    <xf numFmtId="0" fontId="5" fillId="0" borderId="3" applyAlignment="1" applyProtection="1" pivotButton="0" quotePrefix="0" xfId="2">
      <alignment horizontal="left" vertical="center" wrapText="1"/>
      <protection locked="0" hidden="0"/>
    </xf>
    <xf numFmtId="0" fontId="18" fillId="0" borderId="10" applyAlignment="1" pivotButton="0" quotePrefix="0" xfId="6">
      <alignment horizontal="left" vertical="center" wrapText="1"/>
    </xf>
    <xf numFmtId="0" fontId="3" fillId="0" borderId="10" applyAlignment="1" pivotButton="0" quotePrefix="0" xfId="6">
      <alignment vertical="center" wrapText="1"/>
    </xf>
    <xf numFmtId="0" fontId="3" fillId="0" borderId="10" applyAlignment="1" pivotButton="0" quotePrefix="0" xfId="6">
      <alignment horizontal="center" vertical="center" wrapText="1"/>
    </xf>
    <xf numFmtId="0" fontId="5" fillId="0" borderId="21" applyAlignment="1" pivotButton="0" quotePrefix="0" xfId="0">
      <alignment horizontal="left" vertical="center" wrapText="1"/>
    </xf>
    <xf numFmtId="0" fontId="5" fillId="0" borderId="11" applyAlignment="1" applyProtection="1" pivotButton="0" quotePrefix="0" xfId="0">
      <alignment horizontal="left" vertical="center" wrapText="1"/>
      <protection locked="0" hidden="0"/>
    </xf>
    <xf numFmtId="0" fontId="5" fillId="0" borderId="13" applyAlignment="1" pivotButton="0" quotePrefix="0" xfId="6">
      <alignment vertical="center" wrapText="1"/>
    </xf>
    <xf numFmtId="0" fontId="5" fillId="0" borderId="10" applyAlignment="1" applyProtection="1" pivotButton="0" quotePrefix="0" xfId="4">
      <alignment horizontal="center" vertical="center" wrapText="1"/>
      <protection locked="0" hidden="0"/>
    </xf>
    <xf numFmtId="0" fontId="24" fillId="0" borderId="52" applyAlignment="1" applyProtection="1" pivotButton="0" quotePrefix="0" xfId="4">
      <alignment vertical="center" wrapText="1"/>
      <protection locked="0" hidden="0"/>
    </xf>
    <xf numFmtId="0" fontId="24" fillId="0" borderId="3" applyAlignment="1" applyProtection="1" pivotButton="0" quotePrefix="0" xfId="4">
      <alignment vertical="center" wrapText="1"/>
      <protection locked="0" hidden="0"/>
    </xf>
    <xf numFmtId="0" fontId="24" fillId="0" borderId="40" applyAlignment="1" applyProtection="1" pivotButton="0" quotePrefix="0" xfId="4">
      <alignment horizontal="left" vertical="center" wrapText="1"/>
      <protection locked="0" hidden="0"/>
    </xf>
    <xf numFmtId="0" fontId="13" fillId="0" borderId="7" applyAlignment="1" applyProtection="1" pivotButton="0" quotePrefix="0" xfId="0">
      <alignment horizontal="center" vertical="center" wrapText="1"/>
      <protection locked="0" hidden="0"/>
    </xf>
    <xf numFmtId="0" fontId="5" fillId="0" borderId="58" applyAlignment="1" applyProtection="1" pivotButton="0" quotePrefix="0" xfId="4">
      <alignment horizontal="left" vertical="center" wrapText="1"/>
      <protection locked="0" hidden="0"/>
    </xf>
    <xf numFmtId="0" fontId="3" fillId="0" borderId="10" applyAlignment="1" applyProtection="1" pivotButton="0" quotePrefix="0" xfId="2">
      <alignment horizontal="left" vertical="center" wrapText="1"/>
      <protection locked="0" hidden="0"/>
    </xf>
    <xf numFmtId="0" fontId="5" fillId="0" borderId="53" applyProtection="1" pivotButton="0" quotePrefix="0" xfId="4">
      <protection locked="0" hidden="0"/>
    </xf>
    <xf numFmtId="0" fontId="5" fillId="0" borderId="11" applyProtection="1" pivotButton="0" quotePrefix="0" xfId="4">
      <protection locked="0" hidden="0"/>
    </xf>
    <xf numFmtId="0" fontId="24" fillId="0" borderId="53" applyAlignment="1" applyProtection="1" pivotButton="0" quotePrefix="0" xfId="4">
      <alignment vertical="center" wrapText="1"/>
      <protection locked="0" hidden="0"/>
    </xf>
    <xf numFmtId="0" fontId="24" fillId="0" borderId="11" applyAlignment="1" applyProtection="1" pivotButton="0" quotePrefix="0" xfId="4">
      <alignment vertical="center" wrapText="1"/>
      <protection locked="0" hidden="0"/>
    </xf>
    <xf numFmtId="0" fontId="5" fillId="0" borderId="40" applyAlignment="1" applyProtection="1" pivotButton="0" quotePrefix="0" xfId="4">
      <alignment vertical="center" wrapText="1"/>
      <protection locked="0" hidden="0"/>
    </xf>
    <xf numFmtId="0" fontId="5" fillId="0" borderId="22" applyAlignment="1" pivotButton="0" quotePrefix="0" xfId="2">
      <alignment horizontal="left" vertical="center" wrapText="1"/>
    </xf>
    <xf numFmtId="0" fontId="5" fillId="0" borderId="22" applyAlignment="1" pivotButton="0" quotePrefix="0" xfId="4">
      <alignment horizontal="center" vertical="center" wrapText="1"/>
    </xf>
    <xf numFmtId="0" fontId="5" fillId="0" borderId="39" applyAlignment="1" applyProtection="1" pivotButton="0" quotePrefix="0" xfId="4">
      <alignment vertical="center" wrapText="1"/>
      <protection locked="0" hidden="0"/>
    </xf>
    <xf numFmtId="0" fontId="3" fillId="0" borderId="10" applyAlignment="1" applyProtection="1" pivotButton="0" quotePrefix="0" xfId="4">
      <alignment vertical="center" wrapText="1"/>
      <protection locked="0" hidden="0"/>
    </xf>
    <xf numFmtId="0" fontId="5" fillId="0" borderId="11" applyAlignment="1" applyProtection="1" pivotButton="0" quotePrefix="0" xfId="2">
      <alignment horizontal="center" vertical="center" wrapText="1"/>
      <protection locked="0" hidden="0"/>
    </xf>
    <xf numFmtId="0" fontId="5" fillId="0" borderId="39" applyAlignment="1" applyProtection="1" pivotButton="0" quotePrefix="0" xfId="4">
      <alignment horizontal="center" vertical="center" wrapText="1"/>
      <protection locked="0" hidden="0"/>
    </xf>
    <xf numFmtId="0" fontId="5" fillId="0" borderId="2" applyAlignment="1" applyProtection="1" pivotButton="0" quotePrefix="0" xfId="4">
      <alignment horizontal="left" vertical="center" wrapText="1"/>
      <protection locked="0" hidden="0"/>
    </xf>
    <xf numFmtId="0" fontId="5" fillId="0" borderId="3" applyAlignment="1" applyProtection="1" pivotButton="0" quotePrefix="0" xfId="2">
      <alignment horizontal="center" vertical="center" wrapText="1"/>
      <protection locked="0" hidden="0"/>
    </xf>
    <xf numFmtId="0" fontId="5" fillId="0" borderId="0" applyAlignment="1" applyProtection="1" pivotButton="0" quotePrefix="0" xfId="4">
      <alignment horizontal="left" vertical="center" wrapText="1"/>
      <protection locked="0" hidden="0"/>
    </xf>
    <xf numFmtId="164" fontId="14" fillId="0" borderId="0" applyAlignment="1" pivotButton="0" quotePrefix="0" xfId="0">
      <alignment horizontal="center" vertical="center" wrapText="1"/>
    </xf>
    <xf numFmtId="0" fontId="14" fillId="0" borderId="7" applyAlignment="1" pivotButton="0" quotePrefix="0" xfId="0">
      <alignment horizontal="center" vertical="center" wrapText="1"/>
    </xf>
    <xf numFmtId="0" fontId="5" fillId="0" borderId="57" applyAlignment="1" applyProtection="1" pivotButton="0" quotePrefix="0" xfId="2">
      <alignment horizontal="left" vertical="center" wrapText="1"/>
      <protection locked="0" hidden="0"/>
    </xf>
    <xf numFmtId="0" fontId="13" fillId="0" borderId="10" applyAlignment="1" applyProtection="1" pivotButton="0" quotePrefix="0" xfId="0">
      <alignment horizontal="center" vertical="center" wrapText="1"/>
      <protection locked="0" hidden="0"/>
    </xf>
    <xf numFmtId="0" fontId="5" fillId="0" borderId="37" applyAlignment="1" applyProtection="1" pivotButton="0" quotePrefix="0" xfId="4">
      <alignment horizontal="left" vertical="center" wrapText="1"/>
      <protection locked="0" hidden="0"/>
    </xf>
    <xf numFmtId="0" fontId="13" fillId="0" borderId="62" applyAlignment="1" applyProtection="1" pivotButton="0" quotePrefix="0" xfId="0">
      <alignment horizontal="center" vertical="center"/>
      <protection locked="0" hidden="0"/>
    </xf>
    <xf numFmtId="0" fontId="5" fillId="0" borderId="62" applyAlignment="1" applyProtection="1" pivotButton="0" quotePrefix="0" xfId="0">
      <alignment horizontal="center" vertical="center" wrapText="1"/>
      <protection locked="0" hidden="0"/>
    </xf>
    <xf numFmtId="0" fontId="5" fillId="0" borderId="62" applyAlignment="1" applyProtection="1" pivotButton="0" quotePrefix="0" xfId="4">
      <alignment horizontal="left" vertical="center" wrapText="1"/>
      <protection locked="0" hidden="0"/>
    </xf>
    <xf numFmtId="0" fontId="5" fillId="0" borderId="63" applyAlignment="1" applyProtection="1" pivotButton="0" quotePrefix="0" xfId="2">
      <alignment horizontal="left" vertical="center" wrapText="1"/>
      <protection locked="0" hidden="0"/>
    </xf>
    <xf numFmtId="0" fontId="28" fillId="0" borderId="56" applyAlignment="1" pivotButton="0" quotePrefix="0" xfId="4">
      <alignment horizontal="left" vertical="center" wrapText="1"/>
    </xf>
    <xf numFmtId="0" fontId="15" fillId="0" borderId="55" applyAlignment="1" applyProtection="1" pivotButton="0" quotePrefix="0" xfId="4">
      <alignment horizontal="left" vertical="center" wrapText="1"/>
      <protection locked="0" hidden="0"/>
    </xf>
    <xf numFmtId="0" fontId="15" fillId="0" borderId="12" applyAlignment="1" pivotButton="0" quotePrefix="0" xfId="2">
      <alignment horizontal="left" vertical="center" wrapText="1"/>
    </xf>
    <xf numFmtId="0" fontId="28" fillId="0" borderId="12" applyAlignment="1" applyProtection="1" pivotButton="0" quotePrefix="0" xfId="4">
      <alignment horizontal="left" vertical="center" wrapText="1"/>
      <protection locked="0" hidden="0"/>
    </xf>
    <xf numFmtId="0" fontId="15" fillId="0" borderId="55" applyAlignment="1" pivotButton="0" quotePrefix="0" xfId="4">
      <alignment horizontal="left" vertical="center" wrapText="1"/>
    </xf>
    <xf numFmtId="0" fontId="5" fillId="13" borderId="11" applyAlignment="1" pivotButton="0" quotePrefix="0" xfId="4">
      <alignment horizontal="left" vertical="center" wrapText="1"/>
    </xf>
    <xf numFmtId="0" fontId="15" fillId="13" borderId="10" applyAlignment="1" pivotButton="0" quotePrefix="0" xfId="4">
      <alignment horizontal="left" vertical="center" wrapText="1"/>
    </xf>
    <xf numFmtId="49" fontId="5" fillId="13" borderId="19" applyAlignment="1" pivotButton="0" quotePrefix="0" xfId="0">
      <alignment vertical="center" wrapText="1"/>
    </xf>
    <xf numFmtId="0" fontId="5" fillId="13" borderId="8" applyAlignment="1" pivotButton="0" quotePrefix="0" xfId="4">
      <alignment horizontal="left" vertical="center" wrapText="1"/>
    </xf>
    <xf numFmtId="0" fontId="5" fillId="13" borderId="7" applyAlignment="1" pivotButton="0" quotePrefix="0" xfId="4">
      <alignment horizontal="left" vertical="center" wrapText="1"/>
    </xf>
    <xf numFmtId="0" fontId="5" fillId="13" borderId="7" applyAlignment="1" pivotButton="0" quotePrefix="0" xfId="2">
      <alignment horizontal="center" vertical="center" wrapText="1"/>
    </xf>
    <xf numFmtId="0" fontId="5" fillId="13" borderId="13" applyAlignment="1" pivotButton="0" quotePrefix="0" xfId="4">
      <alignment vertical="center" wrapText="1"/>
    </xf>
    <xf numFmtId="0" fontId="3" fillId="13" borderId="10" applyAlignment="1" pivotButton="0" quotePrefix="0" xfId="4">
      <alignment vertical="center" wrapText="1"/>
    </xf>
    <xf numFmtId="0" fontId="5" fillId="13" borderId="10" applyAlignment="1" pivotButton="0" quotePrefix="0" xfId="4">
      <alignment vertical="center" wrapText="1"/>
    </xf>
    <xf numFmtId="0" fontId="5" fillId="13" borderId="7" applyAlignment="1" pivotButton="0" quotePrefix="0" xfId="4">
      <alignment vertical="center" wrapText="1"/>
    </xf>
    <xf numFmtId="0" fontId="5" fillId="13" borderId="10" applyAlignment="1" pivotButton="0" quotePrefix="0" xfId="4">
      <alignment horizontal="left" vertical="center" wrapText="1"/>
    </xf>
    <xf numFmtId="0" fontId="5" fillId="13" borderId="13" applyAlignment="1" pivotButton="0" quotePrefix="0" xfId="4">
      <alignment horizontal="left" vertical="center" wrapText="1"/>
    </xf>
    <xf numFmtId="0" fontId="5" fillId="13" borderId="28" applyAlignment="1" pivotButton="0" quotePrefix="0" xfId="0">
      <alignment vertical="center" wrapText="1"/>
    </xf>
    <xf numFmtId="0" fontId="5" fillId="13" borderId="62" applyAlignment="1" pivotButton="0" quotePrefix="0" xfId="4">
      <alignment horizontal="left" vertical="center" wrapText="1"/>
    </xf>
    <xf numFmtId="0" fontId="3" fillId="13" borderId="10" applyAlignment="1" applyProtection="1" pivotButton="0" quotePrefix="0" xfId="4">
      <alignment vertical="center" wrapText="1"/>
      <protection locked="0" hidden="0"/>
    </xf>
    <xf numFmtId="0" fontId="3" fillId="3" borderId="35" applyAlignment="1" pivotButton="0" quotePrefix="0" xfId="0">
      <alignment horizontal="center" vertical="center"/>
    </xf>
    <xf numFmtId="0" fontId="13" fillId="3" borderId="10" applyAlignment="1" applyProtection="1" pivotButton="0" quotePrefix="0" xfId="3">
      <alignment horizontal="center" vertical="center" wrapText="1"/>
      <protection locked="0" hidden="0"/>
    </xf>
    <xf numFmtId="0" fontId="5" fillId="3" borderId="10" applyAlignment="1" applyProtection="1" pivotButton="0" quotePrefix="0" xfId="0">
      <alignment horizontal="center" vertical="center" wrapText="1"/>
      <protection locked="0" hidden="0"/>
    </xf>
    <xf numFmtId="0" fontId="5" fillId="3" borderId="10" applyAlignment="1" applyProtection="1" pivotButton="0" quotePrefix="0" xfId="0">
      <alignment horizontal="left" vertical="center" wrapText="1"/>
      <protection locked="0" hidden="0"/>
    </xf>
    <xf numFmtId="0" fontId="5" fillId="3" borderId="10" applyAlignment="1" applyProtection="1" pivotButton="0" quotePrefix="0" xfId="2">
      <alignment horizontal="center" vertical="center" wrapText="1"/>
      <protection locked="0" hidden="0"/>
    </xf>
    <xf numFmtId="0" fontId="5" fillId="3" borderId="7" applyAlignment="1" applyProtection="1" pivotButton="0" quotePrefix="0" xfId="2">
      <alignment horizontal="center" vertical="center" wrapText="1"/>
      <protection locked="0" hidden="0"/>
    </xf>
    <xf numFmtId="0" fontId="5" fillId="3" borderId="7" applyAlignment="1" applyProtection="1" pivotButton="0" quotePrefix="0" xfId="2">
      <alignment horizontal="left" vertical="center" wrapText="1"/>
      <protection locked="0" hidden="0"/>
    </xf>
    <xf numFmtId="0" fontId="5" fillId="3" borderId="20" applyAlignment="1" applyProtection="1" pivotButton="0" quotePrefix="0" xfId="4">
      <alignment horizontal="center" vertical="center" wrapText="1"/>
      <protection locked="0" hidden="0"/>
    </xf>
    <xf numFmtId="0" fontId="5" fillId="3" borderId="8" applyAlignment="1" applyProtection="1" pivotButton="0" quotePrefix="0" xfId="4">
      <alignment horizontal="center" vertical="center" wrapText="1"/>
      <protection locked="0" hidden="0"/>
    </xf>
    <xf numFmtId="0" fontId="5" fillId="3" borderId="4" applyAlignment="1" applyProtection="1" pivotButton="0" quotePrefix="0" xfId="4">
      <alignment horizontal="left" vertical="center" wrapText="1"/>
      <protection locked="0" hidden="0"/>
    </xf>
    <xf numFmtId="164" fontId="14" fillId="3" borderId="0" applyAlignment="1" applyProtection="1" pivotButton="0" quotePrefix="0" xfId="0">
      <alignment horizontal="center" vertical="center"/>
      <protection locked="0" hidden="0"/>
    </xf>
    <xf numFmtId="9" fontId="14" fillId="3" borderId="0" applyAlignment="1" applyProtection="1" pivotButton="0" quotePrefix="0" xfId="1">
      <alignment horizontal="center" vertical="center"/>
      <protection locked="0" hidden="0"/>
    </xf>
    <xf numFmtId="0" fontId="15" fillId="3" borderId="12" applyAlignment="1" applyProtection="1" pivotButton="0" quotePrefix="0" xfId="4">
      <alignment horizontal="left" vertical="center" wrapText="1"/>
      <protection locked="0" hidden="0"/>
    </xf>
    <xf numFmtId="0" fontId="15" fillId="0" borderId="10" applyAlignment="1" pivotButton="0" quotePrefix="0" xfId="4">
      <alignment horizontal="left" vertical="center" wrapText="1"/>
    </xf>
    <xf numFmtId="0" fontId="5" fillId="3" borderId="7" applyAlignment="1" applyProtection="1" pivotButton="0" quotePrefix="0" xfId="0">
      <alignment horizontal="center" vertical="center" wrapText="1"/>
      <protection locked="0" hidden="0"/>
    </xf>
    <xf numFmtId="0" fontId="5" fillId="3" borderId="10" applyAlignment="1" applyProtection="1" pivotButton="0" quotePrefix="0" xfId="4">
      <alignment horizontal="left" vertical="center" wrapText="1"/>
      <protection locked="0" hidden="0"/>
    </xf>
    <xf numFmtId="0" fontId="3" fillId="3" borderId="10" applyAlignment="1" applyProtection="1" pivotButton="0" quotePrefix="0" xfId="0">
      <alignment horizontal="left" vertical="center" wrapText="1"/>
      <protection locked="0" hidden="0"/>
    </xf>
    <xf numFmtId="0" fontId="5" fillId="3" borderId="10" applyAlignment="1" pivotButton="0" quotePrefix="0" xfId="6">
      <alignment horizontal="center" vertical="center" wrapText="1"/>
    </xf>
    <xf numFmtId="0" fontId="3" fillId="3" borderId="7" applyAlignment="1" pivotButton="0" quotePrefix="0" xfId="0">
      <alignment horizontal="center" vertical="center"/>
    </xf>
    <xf numFmtId="0" fontId="5" fillId="3" borderId="7" applyAlignment="1" pivotButton="0" quotePrefix="0" xfId="4">
      <alignment horizontal="left" vertical="center" wrapText="1"/>
    </xf>
    <xf numFmtId="0" fontId="5" fillId="3" borderId="9" applyAlignment="1" applyProtection="1" pivotButton="0" quotePrefix="0" xfId="4">
      <alignment horizontal="left" vertical="center" wrapText="1"/>
      <protection locked="0" hidden="0"/>
    </xf>
    <xf numFmtId="0" fontId="15" fillId="3" borderId="12" applyAlignment="1" pivotButton="0" quotePrefix="0" xfId="4">
      <alignment horizontal="left" vertical="center" wrapText="1"/>
    </xf>
    <xf numFmtId="0" fontId="12" fillId="3" borderId="7" applyAlignment="1" pivotButton="0" quotePrefix="0" xfId="3">
      <alignment horizontal="center" vertical="center" wrapText="1"/>
    </xf>
    <xf numFmtId="0" fontId="3" fillId="3" borderId="7" applyAlignment="1" pivotButton="0" quotePrefix="0" xfId="3">
      <alignment horizontal="center" vertical="center" wrapText="1"/>
    </xf>
    <xf numFmtId="0" fontId="3" fillId="3" borderId="7" applyAlignment="1" pivotButton="0" quotePrefix="0" xfId="4">
      <alignment horizontal="left" vertical="center" wrapText="1"/>
    </xf>
    <xf numFmtId="0" fontId="3" fillId="3" borderId="7" applyAlignment="1" pivotButton="0" quotePrefix="0" xfId="2">
      <alignment horizontal="center" vertical="center" wrapText="1"/>
    </xf>
    <xf numFmtId="0" fontId="3" fillId="3" borderId="8" applyAlignment="1" pivotButton="0" quotePrefix="0" xfId="2">
      <alignment horizontal="center" vertical="center" wrapText="1"/>
    </xf>
    <xf numFmtId="0" fontId="3" fillId="3" borderId="8" applyAlignment="1" pivotButton="0" quotePrefix="0" xfId="4">
      <alignment horizontal="left" vertical="center" wrapText="1"/>
    </xf>
    <xf numFmtId="0" fontId="3" fillId="3" borderId="56" applyAlignment="1" pivotButton="0" quotePrefix="0" xfId="4">
      <alignment horizontal="left" vertical="center" wrapText="1"/>
    </xf>
    <xf numFmtId="0" fontId="3" fillId="3" borderId="20" applyAlignment="1" pivotButton="0" quotePrefix="0" xfId="4">
      <alignment horizontal="center" vertical="center" wrapText="1"/>
    </xf>
    <xf numFmtId="0" fontId="3" fillId="3" borderId="8" applyAlignment="1" applyProtection="1" pivotButton="0" quotePrefix="0" xfId="4">
      <alignment horizontal="center" vertical="center" wrapText="1"/>
      <protection locked="0" hidden="0"/>
    </xf>
    <xf numFmtId="0" fontId="3" fillId="3" borderId="9" applyAlignment="1" applyProtection="1" pivotButton="0" quotePrefix="0" xfId="4">
      <alignment horizontal="left" vertical="center" wrapText="1"/>
      <protection locked="0" hidden="0"/>
    </xf>
    <xf numFmtId="0" fontId="3" fillId="3" borderId="38" applyAlignment="1" applyProtection="1" pivotButton="0" quotePrefix="0" xfId="4">
      <alignment horizontal="left" vertical="center" wrapText="1"/>
      <protection locked="0" hidden="0"/>
    </xf>
    <xf numFmtId="164" fontId="18" fillId="3" borderId="0" applyAlignment="1" applyProtection="1" pivotButton="0" quotePrefix="0" xfId="0">
      <alignment horizontal="center" vertical="center"/>
      <protection locked="0" hidden="0"/>
    </xf>
    <xf numFmtId="9" fontId="18" fillId="3" borderId="0" applyAlignment="1" applyProtection="1" pivotButton="0" quotePrefix="0" xfId="1">
      <alignment horizontal="center" vertical="center"/>
      <protection locked="0" hidden="0"/>
    </xf>
    <xf numFmtId="0" fontId="3" fillId="3" borderId="10" applyAlignment="1" pivotButton="0" quotePrefix="0" xfId="0">
      <alignment horizontal="center" vertical="center"/>
    </xf>
    <xf numFmtId="0" fontId="12" fillId="3" borderId="7" applyAlignment="1" pivotButton="0" quotePrefix="0" xfId="0">
      <alignment horizontal="center" vertical="center" wrapText="1"/>
    </xf>
    <xf numFmtId="0" fontId="3" fillId="3" borderId="7" applyAlignment="1" pivotButton="0" quotePrefix="0" xfId="0">
      <alignment horizontal="center" vertical="center" wrapText="1"/>
    </xf>
    <xf numFmtId="0" fontId="3" fillId="3" borderId="10" applyAlignment="1" pivotButton="0" quotePrefix="0" xfId="4">
      <alignment horizontal="left" vertical="center" wrapText="1"/>
    </xf>
    <xf numFmtId="0" fontId="3" fillId="3" borderId="12" applyAlignment="1" pivotButton="0" quotePrefix="0" xfId="4">
      <alignment horizontal="left" vertical="center" wrapText="1"/>
    </xf>
    <xf numFmtId="0" fontId="3" fillId="3" borderId="39" applyAlignment="1" applyProtection="1" pivotButton="0" quotePrefix="0" xfId="4">
      <alignment horizontal="left" vertical="center" wrapText="1"/>
      <protection locked="0" hidden="0"/>
    </xf>
    <xf numFmtId="0" fontId="20" fillId="3" borderId="20" applyAlignment="1" pivotButton="0" quotePrefix="0" xfId="0">
      <alignment horizontal="left" vertical="center" wrapText="1"/>
    </xf>
    <xf numFmtId="0" fontId="20" fillId="3" borderId="8" applyAlignment="1" applyProtection="1" pivotButton="0" quotePrefix="0" xfId="0">
      <alignment horizontal="left" vertical="center" wrapText="1"/>
      <protection locked="0" hidden="0"/>
    </xf>
    <xf numFmtId="164" fontId="20" fillId="3" borderId="0" applyAlignment="1" pivotButton="0" quotePrefix="0" xfId="0">
      <alignment horizontal="center" vertical="center"/>
    </xf>
    <xf numFmtId="9" fontId="20" fillId="3" borderId="0" applyAlignment="1" pivotButton="0" quotePrefix="0" xfId="1">
      <alignment horizontal="center" vertical="center"/>
    </xf>
    <xf numFmtId="0" fontId="15" fillId="0" borderId="12" applyAlignment="1" pivotButton="0" quotePrefix="0" xfId="4">
      <alignment horizontal="left" vertical="center" wrapText="1"/>
    </xf>
    <xf numFmtId="0" fontId="20" fillId="0" borderId="20" applyAlignment="1" pivotButton="0" quotePrefix="0" xfId="0">
      <alignment horizontal="left" vertical="center" wrapText="1"/>
    </xf>
    <xf numFmtId="0" fontId="20" fillId="0" borderId="8" applyAlignment="1" applyProtection="1" pivotButton="0" quotePrefix="0" xfId="0">
      <alignment horizontal="left" vertical="center" wrapText="1"/>
      <protection locked="0" hidden="0"/>
    </xf>
    <xf numFmtId="9" fontId="20" fillId="0" borderId="0" applyAlignment="1" pivotButton="0" quotePrefix="0" xfId="1">
      <alignment horizontal="center" vertical="center"/>
    </xf>
    <xf numFmtId="0" fontId="15" fillId="13" borderId="11" applyAlignment="1" applyProtection="1" pivotButton="0" quotePrefix="0" xfId="4">
      <alignment horizontal="left" vertical="center" wrapText="1"/>
      <protection locked="0" hidden="0"/>
    </xf>
    <xf numFmtId="0" fontId="28" fillId="13" borderId="10" applyAlignment="1" applyProtection="1" pivotButton="0" quotePrefix="0" xfId="3">
      <alignment horizontal="center" vertical="center" wrapText="1"/>
      <protection locked="0" hidden="0"/>
    </xf>
    <xf numFmtId="0" fontId="15" fillId="13" borderId="7" applyAlignment="1" applyProtection="1" pivotButton="0" quotePrefix="0" xfId="0">
      <alignment horizontal="center" vertical="center" wrapText="1"/>
      <protection locked="0" hidden="0"/>
    </xf>
    <xf numFmtId="0" fontId="15" fillId="13" borderId="22" applyAlignment="1" applyProtection="1" pivotButton="0" quotePrefix="0" xfId="0">
      <alignment horizontal="left" vertical="center" wrapText="1"/>
      <protection locked="0" hidden="0"/>
    </xf>
    <xf numFmtId="0" fontId="15" fillId="13" borderId="7" applyAlignment="1" applyProtection="1" pivotButton="0" quotePrefix="0" xfId="2">
      <alignment horizontal="center" vertical="center" wrapText="1"/>
      <protection locked="0" hidden="0"/>
    </xf>
    <xf numFmtId="0" fontId="15" fillId="13" borderId="22" applyAlignment="1" pivotButton="0" quotePrefix="0" xfId="2">
      <alignment horizontal="left" vertical="center" wrapText="1"/>
    </xf>
    <xf numFmtId="0" fontId="15" fillId="13" borderId="7" applyAlignment="1" pivotButton="0" quotePrefix="0" xfId="2">
      <alignment horizontal="center" vertical="center" wrapText="1"/>
    </xf>
    <xf numFmtId="0" fontId="15" fillId="13" borderId="0" applyProtection="1" pivotButton="0" quotePrefix="0" xfId="4">
      <protection locked="0" hidden="0"/>
    </xf>
    <xf numFmtId="9" fontId="27" fillId="13" borderId="0" applyAlignment="1" pivotButton="0" quotePrefix="0" xfId="10">
      <alignment horizontal="center" vertical="center"/>
    </xf>
    <xf numFmtId="0" fontId="15" fillId="13" borderId="7" applyAlignment="1" applyProtection="1" pivotButton="0" quotePrefix="0" xfId="4">
      <alignment horizontal="left" vertical="center" wrapText="1"/>
      <protection locked="0" hidden="0"/>
    </xf>
    <xf numFmtId="0" fontId="5" fillId="3" borderId="10" applyAlignment="1" applyProtection="1" pivotButton="0" quotePrefix="0" xfId="4">
      <alignment vertical="center" wrapText="1"/>
      <protection locked="0" hidden="0"/>
    </xf>
    <xf numFmtId="0" fontId="5" fillId="3" borderId="56" applyAlignment="1" applyProtection="1" pivotButton="0" quotePrefix="0" xfId="4">
      <alignment horizontal="left" vertical="center" wrapText="1"/>
      <protection locked="0" hidden="0"/>
    </xf>
    <xf numFmtId="0" fontId="5" fillId="3" borderId="0" applyProtection="1" pivotButton="0" quotePrefix="0" xfId="4">
      <protection locked="0" hidden="0"/>
    </xf>
    <xf numFmtId="0" fontId="15" fillId="13" borderId="44" applyAlignment="1" applyProtection="1" pivotButton="0" quotePrefix="0" xfId="2">
      <alignment horizontal="center" vertical="center"/>
      <protection locked="0" hidden="0"/>
    </xf>
    <xf numFmtId="0" fontId="28" fillId="13" borderId="2" applyAlignment="1" applyProtection="1" pivotButton="0" quotePrefix="0" xfId="3">
      <alignment horizontal="center" vertical="center" wrapText="1"/>
      <protection locked="0" hidden="0"/>
    </xf>
    <xf numFmtId="0" fontId="15" fillId="13" borderId="2" applyAlignment="1" applyProtection="1" pivotButton="0" quotePrefix="0" xfId="3">
      <alignment horizontal="center" vertical="center" wrapText="1"/>
      <protection locked="0" hidden="0"/>
    </xf>
    <xf numFmtId="0" fontId="27" fillId="13" borderId="2" applyAlignment="1" applyProtection="1" pivotButton="0" quotePrefix="0" xfId="0">
      <alignment horizontal="left" vertical="center" wrapText="1"/>
      <protection locked="0" hidden="0"/>
    </xf>
    <xf numFmtId="0" fontId="15" fillId="13" borderId="2" applyAlignment="1" applyProtection="1" pivotButton="0" quotePrefix="0" xfId="2">
      <alignment horizontal="center" vertical="center" wrapText="1"/>
      <protection locked="0" hidden="0"/>
    </xf>
    <xf numFmtId="0" fontId="15" fillId="13" borderId="2" applyAlignment="1" applyProtection="1" pivotButton="0" quotePrefix="0" xfId="0">
      <alignment horizontal="left" wrapText="1"/>
      <protection locked="0" hidden="0"/>
    </xf>
    <xf numFmtId="0" fontId="15" fillId="13" borderId="2" applyAlignment="1" applyProtection="1" pivotButton="0" quotePrefix="0" xfId="0">
      <alignment horizontal="center" vertical="center" wrapText="1"/>
      <protection locked="0" hidden="0"/>
    </xf>
    <xf numFmtId="0" fontId="15" fillId="13" borderId="2" applyAlignment="1" applyProtection="1" pivotButton="0" quotePrefix="0" xfId="4">
      <alignment horizontal="left" vertical="center" wrapText="1"/>
      <protection locked="0" hidden="0"/>
    </xf>
    <xf numFmtId="0" fontId="5" fillId="13" borderId="10" applyAlignment="1" applyProtection="1" pivotButton="0" quotePrefix="0" xfId="2">
      <alignment horizontal="center" vertical="center"/>
      <protection locked="0" hidden="0"/>
    </xf>
    <xf numFmtId="0" fontId="27" fillId="13" borderId="10" applyAlignment="1" applyProtection="1" pivotButton="0" quotePrefix="0" xfId="0">
      <alignment horizontal="left" vertical="center" wrapText="1"/>
      <protection locked="0" hidden="0"/>
    </xf>
    <xf numFmtId="0" fontId="15" fillId="13" borderId="10" applyAlignment="1" applyProtection="1" pivotButton="0" quotePrefix="0" xfId="2">
      <alignment horizontal="center" vertical="center" wrapText="1"/>
      <protection locked="0" hidden="0"/>
    </xf>
    <xf numFmtId="0" fontId="15" fillId="13" borderId="10" applyAlignment="1" applyProtection="1" pivotButton="0" quotePrefix="0" xfId="0">
      <alignment horizontal="left" vertical="center" wrapText="1"/>
      <protection locked="0" hidden="0"/>
    </xf>
    <xf numFmtId="0" fontId="15" fillId="13" borderId="10" applyProtection="1" pivotButton="0" quotePrefix="0" xfId="4">
      <protection locked="0" hidden="0"/>
    </xf>
    <xf numFmtId="0" fontId="15" fillId="13" borderId="10" applyAlignment="1" applyProtection="1" pivotButton="0" quotePrefix="0" xfId="0">
      <alignment horizontal="center" vertical="center" wrapText="1"/>
      <protection locked="0" hidden="0"/>
    </xf>
    <xf numFmtId="0" fontId="15" fillId="13" borderId="10" applyAlignment="1" applyProtection="1" pivotButton="0" quotePrefix="0" xfId="4">
      <alignment horizontal="left" vertical="center" wrapText="1"/>
      <protection locked="0" hidden="0"/>
    </xf>
    <xf numFmtId="0" fontId="15" fillId="0" borderId="0" applyProtection="1" pivotButton="0" quotePrefix="0" xfId="4">
      <protection locked="0" hidden="0"/>
    </xf>
    <xf numFmtId="0" fontId="17" fillId="0" borderId="12" applyAlignment="1" applyProtection="1" pivotButton="0" quotePrefix="0" xfId="4">
      <alignment horizontal="left" vertical="center" wrapText="1"/>
      <protection locked="0" hidden="0"/>
    </xf>
    <xf numFmtId="9" fontId="14" fillId="0" borderId="0" applyAlignment="1" applyProtection="1" pivotButton="0" quotePrefix="0" xfId="10">
      <alignment horizontal="center" vertical="center"/>
      <protection locked="0" hidden="0"/>
    </xf>
    <xf numFmtId="0" fontId="5" fillId="0" borderId="0" applyAlignment="1" applyProtection="1" pivotButton="0" quotePrefix="0" xfId="0">
      <alignment horizontal="center" vertical="center"/>
      <protection locked="0" hidden="0"/>
    </xf>
    <xf numFmtId="0" fontId="5" fillId="0" borderId="0" applyProtection="1" pivotButton="0" quotePrefix="0" xfId="4">
      <protection locked="0" hidden="0"/>
    </xf>
    <xf numFmtId="0" fontId="13" fillId="0" borderId="0" applyAlignment="1" applyProtection="1" pivotButton="0" quotePrefix="0" xfId="4">
      <alignment horizontal="center" vertical="center"/>
      <protection locked="0" hidden="0"/>
    </xf>
    <xf numFmtId="0" fontId="13" fillId="0" borderId="22" applyAlignment="1" applyProtection="1" pivotButton="0" quotePrefix="0" xfId="3">
      <alignment horizontal="center" vertical="center" wrapText="1"/>
      <protection locked="0" hidden="0"/>
    </xf>
    <xf numFmtId="0" fontId="5" fillId="0" borderId="7" applyAlignment="1" applyProtection="1" pivotButton="0" quotePrefix="0" xfId="4">
      <alignment horizontal="left" vertical="center" wrapText="1"/>
      <protection locked="0" hidden="0"/>
    </xf>
    <xf numFmtId="0" fontId="27" fillId="13" borderId="10" applyAlignment="1" applyProtection="1" pivotButton="0" quotePrefix="0" xfId="4">
      <alignment horizontal="left" vertical="center" wrapText="1"/>
      <protection locked="0" hidden="0"/>
    </xf>
    <xf numFmtId="0" fontId="15" fillId="13" borderId="65" applyAlignment="1" applyProtection="1" pivotButton="0" quotePrefix="0" xfId="2">
      <alignment horizontal="center" vertical="center"/>
      <protection locked="0" hidden="0"/>
    </xf>
    <xf numFmtId="0" fontId="28" fillId="13" borderId="22" applyAlignment="1" applyProtection="1" pivotButton="0" quotePrefix="0" xfId="3">
      <alignment horizontal="center" vertical="center" wrapText="1"/>
      <protection locked="0" hidden="0"/>
    </xf>
    <xf numFmtId="0" fontId="15" fillId="13" borderId="22" applyAlignment="1" applyProtection="1" pivotButton="0" quotePrefix="0" xfId="3">
      <alignment horizontal="center" vertical="center" wrapText="1"/>
      <protection locked="0" hidden="0"/>
    </xf>
    <xf numFmtId="0" fontId="15" fillId="13" borderId="22" applyAlignment="1" applyProtection="1" pivotButton="0" quotePrefix="0" xfId="2">
      <alignment horizontal="center" vertical="center" wrapText="1"/>
      <protection locked="0" hidden="0"/>
    </xf>
    <xf numFmtId="0" fontId="15" fillId="13" borderId="7" applyAlignment="1" applyProtection="1" pivotButton="0" quotePrefix="0" xfId="0">
      <alignment horizontal="left" vertical="center" wrapText="1"/>
      <protection locked="0" hidden="0"/>
    </xf>
    <xf numFmtId="0" fontId="15" fillId="13" borderId="7" applyAlignment="1" applyProtection="1" pivotButton="0" quotePrefix="0" xfId="4">
      <alignment horizontal="center" vertical="center" wrapText="1"/>
      <protection locked="0" hidden="0"/>
    </xf>
    <xf numFmtId="0" fontId="15" fillId="13" borderId="8" applyAlignment="1" applyProtection="1" pivotButton="0" quotePrefix="0" xfId="4">
      <alignment horizontal="left" vertical="center" wrapText="1"/>
      <protection locked="0" hidden="0"/>
    </xf>
    <xf numFmtId="0" fontId="5" fillId="0" borderId="7" applyAlignment="1" pivotButton="0" quotePrefix="0" xfId="4">
      <alignment horizontal="left" wrapText="1"/>
    </xf>
    <xf numFmtId="0" fontId="13" fillId="0" borderId="7" applyAlignment="1" applyProtection="1" pivotButton="0" quotePrefix="0" xfId="3">
      <alignment horizontal="center" vertical="center" wrapText="1"/>
      <protection locked="0" hidden="0"/>
    </xf>
    <xf numFmtId="0" fontId="5" fillId="0" borderId="7" applyAlignment="1" applyProtection="1" pivotButton="0" quotePrefix="0" xfId="3">
      <alignment horizontal="center" vertical="center" wrapText="1"/>
      <protection locked="0" hidden="0"/>
    </xf>
    <xf numFmtId="0" fontId="5" fillId="0" borderId="13" applyAlignment="1" applyProtection="1" pivotButton="0" quotePrefix="0" xfId="4">
      <alignment vertical="center" wrapText="1"/>
      <protection locked="0" hidden="0"/>
    </xf>
    <xf numFmtId="0" fontId="15" fillId="0" borderId="12" applyAlignment="1" applyProtection="1" pivotButton="0" quotePrefix="0" xfId="4">
      <alignment horizontal="left" vertical="center" wrapText="1"/>
      <protection locked="0" hidden="0"/>
    </xf>
    <xf numFmtId="0" fontId="5" fillId="0" borderId="20" applyAlignment="1" applyProtection="1" pivotButton="0" quotePrefix="0" xfId="0">
      <alignment horizontal="left" vertical="center" wrapText="1"/>
      <protection locked="0" hidden="0"/>
    </xf>
    <xf numFmtId="0" fontId="5" fillId="0" borderId="22" applyAlignment="1" applyProtection="1" pivotButton="0" quotePrefix="0" xfId="4">
      <alignment horizontal="left" vertical="center" wrapText="1"/>
      <protection locked="0" hidden="0"/>
    </xf>
    <xf numFmtId="0" fontId="16" fillId="0" borderId="12" applyAlignment="1" applyProtection="1" pivotButton="0" quotePrefix="0" xfId="4">
      <alignment horizontal="left" vertical="center" wrapText="1"/>
      <protection locked="0" hidden="0"/>
    </xf>
    <xf numFmtId="0" fontId="17" fillId="0" borderId="21" applyAlignment="1" applyProtection="1" pivotButton="0" quotePrefix="0" xfId="0">
      <alignment horizontal="left" vertical="center" wrapText="1"/>
      <protection locked="0" hidden="0"/>
    </xf>
    <xf numFmtId="0" fontId="17" fillId="0" borderId="11" applyAlignment="1" applyProtection="1" pivotButton="0" quotePrefix="0" xfId="0">
      <alignment horizontal="left" vertical="center" wrapText="1"/>
      <protection locked="0" hidden="0"/>
    </xf>
    <xf numFmtId="0" fontId="17" fillId="0" borderId="40" applyAlignment="1" applyProtection="1" pivotButton="0" quotePrefix="0" xfId="4">
      <alignment horizontal="center" vertical="center" wrapText="1"/>
      <protection locked="0" hidden="0"/>
    </xf>
    <xf numFmtId="0" fontId="15" fillId="13" borderId="35" applyAlignment="1" applyProtection="1" pivotButton="0" quotePrefix="0" xfId="2">
      <alignment horizontal="center" vertical="center"/>
      <protection locked="0" hidden="0"/>
    </xf>
    <xf numFmtId="0" fontId="15" fillId="13" borderId="10" applyAlignment="1" applyProtection="1" pivotButton="0" quotePrefix="0" xfId="2">
      <alignment horizontal="left" vertical="center" wrapText="1"/>
      <protection locked="0" hidden="0"/>
    </xf>
    <xf numFmtId="0" fontId="15" fillId="13" borderId="10" applyAlignment="1" applyProtection="1" pivotButton="0" quotePrefix="0" xfId="3">
      <alignment horizontal="center" vertical="center" wrapText="1"/>
      <protection locked="0" hidden="0"/>
    </xf>
    <xf numFmtId="0" fontId="15" fillId="13" borderId="7" applyAlignment="1" applyProtection="1" pivotButton="0" quotePrefix="0" xfId="2">
      <alignment horizontal="left" vertical="center" wrapText="1"/>
      <protection locked="0" hidden="0"/>
    </xf>
    <xf numFmtId="0" fontId="15" fillId="0" borderId="8" applyAlignment="1" applyProtection="1" pivotButton="0" quotePrefix="0" xfId="4">
      <alignment horizontal="center" vertical="center" wrapText="1"/>
      <protection locked="0" hidden="0"/>
    </xf>
    <xf numFmtId="0" fontId="29" fillId="3" borderId="20" applyAlignment="1" applyProtection="1" pivotButton="0" quotePrefix="0" xfId="0">
      <alignment horizontal="left" vertical="center" wrapText="1"/>
      <protection locked="0" hidden="0"/>
    </xf>
    <xf numFmtId="0" fontId="29" fillId="3" borderId="8" applyAlignment="1" applyProtection="1" pivotButton="0" quotePrefix="0" xfId="0">
      <alignment horizontal="left" vertical="center" wrapText="1"/>
      <protection locked="0" hidden="0"/>
    </xf>
    <xf numFmtId="0" fontId="29" fillId="3" borderId="9" applyAlignment="1" applyProtection="1" pivotButton="0" quotePrefix="0" xfId="4">
      <alignment horizontal="left" vertical="center" wrapText="1"/>
      <protection locked="0" hidden="0"/>
    </xf>
    <xf numFmtId="0" fontId="29" fillId="3" borderId="39" applyAlignment="1" applyProtection="1" pivotButton="0" quotePrefix="0" xfId="4">
      <alignment horizontal="left" vertical="center" wrapText="1"/>
      <protection locked="0" hidden="0"/>
    </xf>
    <xf numFmtId="164" fontId="30" fillId="3" borderId="0" applyAlignment="1" applyProtection="1" pivotButton="0" quotePrefix="0" xfId="0">
      <alignment horizontal="center" vertical="center"/>
      <protection locked="0" hidden="0"/>
    </xf>
    <xf numFmtId="9" fontId="30" fillId="3" borderId="0" applyAlignment="1" applyProtection="1" pivotButton="0" quotePrefix="0" xfId="1">
      <alignment horizontal="center" vertical="center"/>
      <protection locked="0" hidden="0"/>
    </xf>
    <xf numFmtId="0" fontId="29" fillId="3" borderId="0" pivotButton="0" quotePrefix="0" xfId="0"/>
    <xf numFmtId="0" fontId="31" fillId="14" borderId="21" applyAlignment="1" applyProtection="1" pivotButton="0" quotePrefix="0" xfId="0">
      <alignment horizontal="left" vertical="center" wrapText="1"/>
      <protection locked="0" hidden="0"/>
    </xf>
    <xf numFmtId="0" fontId="31" fillId="14" borderId="11" applyAlignment="1" applyProtection="1" pivotButton="0" quotePrefix="0" xfId="0">
      <alignment horizontal="left" vertical="center" wrapText="1"/>
      <protection locked="0" hidden="0"/>
    </xf>
    <xf numFmtId="0" fontId="29" fillId="3" borderId="4" applyAlignment="1" applyProtection="1" pivotButton="0" quotePrefix="0" xfId="4">
      <alignment horizontal="left" vertical="center" wrapText="1"/>
      <protection locked="0" hidden="0"/>
    </xf>
    <xf numFmtId="0" fontId="31" fillId="3" borderId="40" applyAlignment="1" applyProtection="1" pivotButton="0" quotePrefix="0" xfId="4">
      <alignment horizontal="center" vertical="center" wrapText="1"/>
      <protection locked="0" hidden="0"/>
    </xf>
    <xf numFmtId="0" fontId="32" fillId="15" borderId="35" applyAlignment="1" pivotButton="0" quotePrefix="0" xfId="0">
      <alignment horizontal="center" vertical="center"/>
    </xf>
    <xf numFmtId="0" fontId="33" fillId="15" borderId="7" applyAlignment="1" applyProtection="1" pivotButton="0" quotePrefix="0" xfId="3">
      <alignment horizontal="center" vertical="center" wrapText="1"/>
      <protection locked="0" hidden="0"/>
    </xf>
    <xf numFmtId="0" fontId="32" fillId="15" borderId="7" applyAlignment="1" applyProtection="1" pivotButton="0" quotePrefix="0" xfId="3">
      <alignment horizontal="center" vertical="center" wrapText="1"/>
      <protection locked="0" hidden="0"/>
    </xf>
    <xf numFmtId="0" fontId="32" fillId="15" borderId="13" applyAlignment="1" applyProtection="1" pivotButton="0" quotePrefix="0" xfId="4">
      <alignment vertical="center" wrapText="1"/>
      <protection locked="0" hidden="0"/>
    </xf>
    <xf numFmtId="0" fontId="32" fillId="15" borderId="7" applyAlignment="1" applyProtection="1" pivotButton="0" quotePrefix="0" xfId="2">
      <alignment horizontal="center" vertical="center" wrapText="1"/>
      <protection locked="0" hidden="0"/>
    </xf>
    <xf numFmtId="0" fontId="32" fillId="15" borderId="10" applyAlignment="1" pivotButton="0" quotePrefix="0" xfId="3">
      <alignment horizontal="left" vertical="center" wrapText="1"/>
    </xf>
    <xf numFmtId="0" fontId="32" fillId="15" borderId="10" applyAlignment="1" pivotButton="0" quotePrefix="0" xfId="3">
      <alignment vertical="center" wrapText="1"/>
    </xf>
    <xf numFmtId="0" fontId="32" fillId="15" borderId="7" applyAlignment="1" applyProtection="1" pivotButton="0" quotePrefix="0" xfId="0">
      <alignment horizontal="center" vertical="center" wrapText="1"/>
      <protection locked="0" hidden="0"/>
    </xf>
    <xf numFmtId="0" fontId="32" fillId="15" borderId="8" applyAlignment="1" pivotButton="0" quotePrefix="0" xfId="2">
      <alignment horizontal="center" vertical="center" wrapText="1"/>
    </xf>
    <xf numFmtId="0" fontId="32" fillId="15" borderId="8" applyAlignment="1" applyProtection="1" pivotButton="0" quotePrefix="0" xfId="4">
      <alignment horizontal="left" vertical="center" wrapText="1"/>
      <protection locked="0" hidden="0"/>
    </xf>
    <xf numFmtId="0" fontId="33" fillId="15" borderId="10" applyAlignment="1" applyProtection="1" pivotButton="0" quotePrefix="0" xfId="3">
      <alignment horizontal="center" vertical="center" wrapText="1"/>
      <protection locked="0" hidden="0"/>
    </xf>
    <xf numFmtId="0" fontId="32" fillId="15" borderId="10" applyAlignment="1" applyProtection="1" pivotButton="0" quotePrefix="0" xfId="3">
      <alignment horizontal="center" vertical="center" wrapText="1"/>
      <protection locked="0" hidden="0"/>
    </xf>
    <xf numFmtId="0" fontId="32" fillId="15" borderId="22" applyAlignment="1" applyProtection="1" pivotButton="0" quotePrefix="0" xfId="4">
      <alignment horizontal="left" vertical="center" wrapText="1"/>
      <protection locked="0" hidden="0"/>
    </xf>
    <xf numFmtId="0" fontId="32" fillId="15" borderId="10" applyAlignment="1" applyProtection="1" pivotButton="0" quotePrefix="0" xfId="2">
      <alignment horizontal="center" vertical="center" wrapText="1"/>
      <protection locked="0" hidden="0"/>
    </xf>
    <xf numFmtId="0" fontId="32" fillId="15" borderId="10" applyAlignment="1" applyProtection="1" pivotButton="0" quotePrefix="0" xfId="2">
      <alignment horizontal="left" vertical="center" wrapText="1"/>
      <protection locked="0" hidden="0"/>
    </xf>
    <xf numFmtId="0" fontId="32" fillId="15" borderId="10" applyAlignment="1" applyProtection="1" pivotButton="0" quotePrefix="0" xfId="4">
      <alignment horizontal="left" vertical="center" wrapText="1"/>
      <protection locked="0" hidden="0"/>
    </xf>
    <xf numFmtId="0" fontId="13" fillId="3" borderId="10" applyAlignment="1" pivotButton="0" quotePrefix="0" xfId="3">
      <alignment horizontal="center" vertical="center" wrapText="1"/>
    </xf>
    <xf numFmtId="0" fontId="5" fillId="3" borderId="7" applyAlignment="1" pivotButton="0" quotePrefix="0" xfId="0">
      <alignment horizontal="center" vertical="center" wrapText="1"/>
    </xf>
    <xf numFmtId="0" fontId="5" fillId="14" borderId="8" applyAlignment="1" applyProtection="1" pivotButton="0" quotePrefix="0" xfId="0">
      <alignment horizontal="left" vertical="center" wrapText="1"/>
      <protection locked="0" hidden="0"/>
    </xf>
    <xf numFmtId="164" fontId="14" fillId="3" borderId="0" applyAlignment="1" pivotButton="0" quotePrefix="0" xfId="0">
      <alignment horizontal="center" vertical="center"/>
    </xf>
    <xf numFmtId="9" fontId="14" fillId="3" borderId="0" applyAlignment="1" pivotButton="0" quotePrefix="0" xfId="1">
      <alignment horizontal="center" vertical="center"/>
    </xf>
    <xf numFmtId="0" fontId="5" fillId="3" borderId="13" applyAlignment="1" pivotButton="0" quotePrefix="0" xfId="4">
      <alignment vertical="center" wrapText="1"/>
    </xf>
    <xf numFmtId="0" fontId="5" fillId="3" borderId="39" applyAlignment="1" applyProtection="1" pivotButton="0" quotePrefix="0" xfId="4">
      <alignment horizontal="left" vertical="center" wrapText="1"/>
      <protection locked="0" hidden="0"/>
    </xf>
    <xf numFmtId="0" fontId="5" fillId="0" borderId="2" applyAlignment="1" applyProtection="1" pivotButton="0" quotePrefix="0" xfId="4">
      <alignment horizontal="center" vertical="center" wrapText="1"/>
      <protection locked="0" hidden="0"/>
    </xf>
    <xf numFmtId="0" fontId="13" fillId="0" borderId="7" applyAlignment="1" pivotButton="0" quotePrefix="0" xfId="0">
      <alignment horizontal="center" vertical="center" wrapText="1"/>
    </xf>
    <xf numFmtId="0" fontId="5" fillId="0" borderId="8" applyAlignment="1" pivotButton="0" quotePrefix="0" xfId="2">
      <alignment horizontal="left" vertical="center" wrapText="1"/>
    </xf>
    <xf numFmtId="0" fontId="5" fillId="0" borderId="56" applyAlignment="1" pivotButton="0" quotePrefix="0" xfId="2">
      <alignment horizontal="left" vertical="center" wrapText="1"/>
    </xf>
    <xf numFmtId="0" fontId="13" fillId="0" borderId="40" applyAlignment="1" applyProtection="1" pivotButton="0" quotePrefix="0" xfId="4">
      <alignment horizontal="center" vertical="center" wrapText="1"/>
      <protection locked="0" hidden="0"/>
    </xf>
    <xf numFmtId="0" fontId="3" fillId="0" borderId="25" applyAlignment="1" applyProtection="1" pivotButton="0" quotePrefix="0" xfId="2">
      <alignment horizontal="left" vertical="center" wrapText="1"/>
      <protection locked="0" hidden="0"/>
    </xf>
    <xf numFmtId="0" fontId="5" fillId="3" borderId="7" applyAlignment="1" pivotButton="0" quotePrefix="0" xfId="4">
      <alignment vertical="center" wrapText="1"/>
    </xf>
    <xf numFmtId="0" fontId="5" fillId="3" borderId="7" applyAlignment="1" pivotButton="0" quotePrefix="0" xfId="4">
      <alignment horizontal="center" vertical="center" wrapText="1"/>
    </xf>
    <xf numFmtId="0" fontId="5" fillId="3" borderId="8" applyAlignment="1" pivotButton="0" quotePrefix="0" xfId="2">
      <alignment horizontal="left" vertical="center" wrapText="1"/>
    </xf>
    <xf numFmtId="0" fontId="16" fillId="3" borderId="12" applyAlignment="1" pivotButton="0" quotePrefix="0" xfId="2">
      <alignment horizontal="left" vertical="center" wrapText="1"/>
    </xf>
    <xf numFmtId="0" fontId="3" fillId="3" borderId="60" applyAlignment="1" pivotButton="0" quotePrefix="0" xfId="2">
      <alignment horizontal="left" vertical="center" wrapText="1"/>
    </xf>
    <xf numFmtId="0" fontId="3" fillId="3" borderId="25" applyAlignment="1" applyProtection="1" pivotButton="0" quotePrefix="0" xfId="2">
      <alignment horizontal="left" vertical="center" wrapText="1"/>
      <protection locked="0" hidden="0"/>
    </xf>
    <xf numFmtId="0" fontId="33" fillId="15" borderId="10" applyAlignment="1" applyProtection="1" pivotButton="0" quotePrefix="0" xfId="2">
      <alignment horizontal="center" vertical="center" wrapText="1"/>
      <protection locked="0" hidden="0"/>
    </xf>
    <xf numFmtId="0" fontId="32" fillId="15" borderId="10" applyAlignment="1" pivotButton="0" quotePrefix="0" xfId="4">
      <alignment vertical="center" wrapText="1"/>
    </xf>
    <xf numFmtId="0" fontId="32" fillId="15" borderId="10" applyAlignment="1" pivotButton="0" quotePrefix="0" xfId="2">
      <alignment horizontal="center" vertical="center" wrapText="1"/>
    </xf>
    <xf numFmtId="0" fontId="32" fillId="15" borderId="7" applyAlignment="1" applyProtection="1" pivotButton="0" quotePrefix="0" xfId="2">
      <alignment horizontal="left" vertical="center" wrapText="1"/>
      <protection locked="0" hidden="0"/>
    </xf>
    <xf numFmtId="0" fontId="32" fillId="15" borderId="10" applyAlignment="1" pivotButton="0" quotePrefix="0" xfId="4">
      <alignment horizontal="left" vertical="center" wrapText="1"/>
    </xf>
    <xf numFmtId="0" fontId="32" fillId="15" borderId="10" applyAlignment="1" pivotButton="0" quotePrefix="0" xfId="0">
      <alignment horizontal="center" vertical="center" wrapText="1"/>
    </xf>
    <xf numFmtId="0" fontId="32" fillId="15" borderId="11" applyAlignment="1" pivotButton="0" quotePrefix="0" xfId="2">
      <alignment horizontal="left" vertical="center" wrapText="1"/>
    </xf>
    <xf numFmtId="0" fontId="32" fillId="15" borderId="12" applyAlignment="1" pivotButton="0" quotePrefix="0" xfId="2">
      <alignment horizontal="left" vertical="center" wrapText="1"/>
    </xf>
    <xf numFmtId="0" fontId="32" fillId="15" borderId="60" applyAlignment="1" pivotButton="0" quotePrefix="0" xfId="2">
      <alignment horizontal="left" vertical="center" wrapText="1"/>
    </xf>
    <xf numFmtId="0" fontId="32" fillId="15" borderId="25" applyAlignment="1" applyProtection="1" pivotButton="0" quotePrefix="0" xfId="2">
      <alignment horizontal="left" vertical="center" wrapText="1"/>
      <protection locked="0" hidden="0"/>
    </xf>
    <xf numFmtId="0" fontId="32" fillId="15" borderId="4" applyAlignment="1" applyProtection="1" pivotButton="0" quotePrefix="0" xfId="4">
      <alignment horizontal="left" vertical="center" wrapText="1"/>
      <protection locked="0" hidden="0"/>
    </xf>
    <xf numFmtId="0" fontId="32" fillId="15" borderId="40" applyAlignment="1" applyProtection="1" pivotButton="0" quotePrefix="0" xfId="4">
      <alignment horizontal="left" vertical="center" wrapText="1"/>
      <protection locked="0" hidden="0"/>
    </xf>
    <xf numFmtId="164" fontId="34" fillId="15" borderId="0" applyAlignment="1" pivotButton="0" quotePrefix="0" xfId="0">
      <alignment horizontal="center" vertical="center"/>
    </xf>
    <xf numFmtId="9" fontId="34" fillId="15" borderId="0" applyAlignment="1" applyProtection="1" pivotButton="0" quotePrefix="0" xfId="1">
      <alignment horizontal="center" vertical="center"/>
      <protection locked="0" hidden="0"/>
    </xf>
    <xf numFmtId="0" fontId="32" fillId="15" borderId="0" pivotButton="0" quotePrefix="0" xfId="0"/>
    <xf numFmtId="0" fontId="32" fillId="15" borderId="10" applyAlignment="1" applyProtection="1" pivotButton="0" quotePrefix="0" xfId="4">
      <alignment vertical="center" wrapText="1"/>
      <protection locked="0" hidden="0"/>
    </xf>
    <xf numFmtId="0" fontId="33" fillId="15" borderId="12" applyAlignment="1" pivotButton="0" quotePrefix="0" xfId="2">
      <alignment horizontal="left" vertical="center" wrapText="1"/>
    </xf>
    <xf numFmtId="0" fontId="15" fillId="13" borderId="11" applyAlignment="1" pivotButton="0" quotePrefix="0" xfId="2">
      <alignment horizontal="left" vertical="center" wrapText="1"/>
    </xf>
    <xf numFmtId="0" fontId="28" fillId="0" borderId="12" applyAlignment="1" pivotButton="0" quotePrefix="0" xfId="2">
      <alignment horizontal="left" vertical="center" wrapText="1"/>
    </xf>
    <xf numFmtId="0" fontId="25" fillId="0" borderId="61" applyAlignment="1" pivotButton="0" quotePrefix="0" xfId="0">
      <alignment horizontal="left" vertical="center" wrapText="1"/>
    </xf>
    <xf numFmtId="0" fontId="25" fillId="0" borderId="0" applyAlignment="1" applyProtection="1" pivotButton="0" quotePrefix="0" xfId="0">
      <alignment horizontal="left" vertical="center" wrapText="1"/>
      <protection locked="0" hidden="0"/>
    </xf>
    <xf numFmtId="0" fontId="33" fillId="15" borderId="13" applyAlignment="1" applyProtection="1" pivotButton="0" quotePrefix="0" xfId="0">
      <alignment horizontal="center" vertical="center"/>
      <protection locked="0" hidden="0"/>
    </xf>
    <xf numFmtId="0" fontId="32" fillId="15" borderId="13" applyAlignment="1" applyProtection="1" pivotButton="0" quotePrefix="0" xfId="0">
      <alignment horizontal="center" vertical="center"/>
      <protection locked="0" hidden="0"/>
    </xf>
    <xf numFmtId="0" fontId="32" fillId="15" borderId="10" applyAlignment="1" applyProtection="1" pivotButton="0" quotePrefix="0" xfId="0">
      <alignment horizontal="left" vertical="center" wrapText="1"/>
      <protection locked="0" hidden="0"/>
    </xf>
    <xf numFmtId="0" fontId="32" fillId="15" borderId="10" applyAlignment="1" pivotButton="0" quotePrefix="0" xfId="2">
      <alignment horizontal="left" vertical="center" wrapText="1"/>
    </xf>
    <xf numFmtId="0" fontId="5" fillId="15" borderId="12" applyAlignment="1" pivotButton="0" quotePrefix="0" xfId="2">
      <alignment horizontal="left" vertical="center" wrapText="1"/>
    </xf>
    <xf numFmtId="0" fontId="32" fillId="15" borderId="20" applyAlignment="1" pivotButton="0" quotePrefix="0" xfId="0">
      <alignment horizontal="left" vertical="center" wrapText="1"/>
    </xf>
    <xf numFmtId="0" fontId="35" fillId="15" borderId="8" applyAlignment="1" applyProtection="1" pivotButton="0" quotePrefix="0" xfId="0">
      <alignment horizontal="center" vertical="center" wrapText="1"/>
      <protection locked="0" hidden="0"/>
    </xf>
    <xf numFmtId="0" fontId="36" fillId="15" borderId="40" applyAlignment="1" applyProtection="1" pivotButton="0" quotePrefix="0" xfId="4">
      <alignment vertical="center" wrapText="1"/>
      <protection locked="0" hidden="0"/>
    </xf>
    <xf numFmtId="0" fontId="32" fillId="15" borderId="7" applyAlignment="1" applyProtection="1" pivotButton="0" quotePrefix="0" xfId="0">
      <alignment horizontal="left" vertical="center" wrapText="1"/>
      <protection locked="0" hidden="0"/>
    </xf>
    <xf numFmtId="0" fontId="32" fillId="15" borderId="10" applyAlignment="1" pivotButton="0" quotePrefix="0" xfId="4">
      <alignment horizontal="center" vertical="center" wrapText="1"/>
    </xf>
    <xf numFmtId="0" fontId="32" fillId="15" borderId="11" applyAlignment="1" pivotButton="0" quotePrefix="0" xfId="4">
      <alignment horizontal="left" vertical="center" wrapText="1"/>
    </xf>
    <xf numFmtId="0" fontId="5" fillId="15" borderId="12" applyAlignment="1" pivotButton="0" quotePrefix="0" xfId="4">
      <alignment horizontal="left" vertical="center" wrapText="1"/>
    </xf>
    <xf numFmtId="0" fontId="32" fillId="15" borderId="61" applyAlignment="1" pivotButton="0" quotePrefix="0" xfId="0">
      <alignment horizontal="left" vertical="center" wrapText="1"/>
    </xf>
    <xf numFmtId="0" fontId="32" fillId="15" borderId="0" applyAlignment="1" applyProtection="1" pivotButton="0" quotePrefix="0" xfId="0">
      <alignment horizontal="left" vertical="center" wrapText="1"/>
      <protection locked="0" hidden="0"/>
    </xf>
    <xf numFmtId="0" fontId="32" fillId="15" borderId="40" applyAlignment="1" applyProtection="1" pivotButton="0" quotePrefix="0" xfId="4">
      <alignment horizontal="center" vertical="center" wrapText="1"/>
      <protection locked="0" hidden="0"/>
    </xf>
    <xf numFmtId="0" fontId="32" fillId="15" borderId="11" applyAlignment="1" applyProtection="1" pivotButton="0" quotePrefix="0" xfId="4">
      <alignment horizontal="left" vertical="center" wrapText="1"/>
      <protection locked="0" hidden="0"/>
    </xf>
    <xf numFmtId="0" fontId="28" fillId="0" borderId="12" applyAlignment="1" applyProtection="1" pivotButton="0" quotePrefix="0" xfId="2">
      <alignment horizontal="left" vertical="center" wrapText="1"/>
      <protection locked="0" hidden="0"/>
    </xf>
    <xf numFmtId="0" fontId="33" fillId="15" borderId="22" applyAlignment="1" applyProtection="1" pivotButton="0" quotePrefix="0" xfId="3">
      <alignment horizontal="center" vertical="center" wrapText="1"/>
      <protection locked="0" hidden="0"/>
    </xf>
    <xf numFmtId="0" fontId="32" fillId="15" borderId="22" applyAlignment="1" applyProtection="1" pivotButton="0" quotePrefix="0" xfId="3">
      <alignment horizontal="center" vertical="center" wrapText="1"/>
      <protection locked="0" hidden="0"/>
    </xf>
    <xf numFmtId="0" fontId="32" fillId="15" borderId="22" applyAlignment="1" applyProtection="1" pivotButton="0" quotePrefix="0" xfId="0">
      <alignment horizontal="left" vertical="center" wrapText="1"/>
      <protection locked="0" hidden="0"/>
    </xf>
    <xf numFmtId="0" fontId="32" fillId="15" borderId="22" applyAlignment="1" applyProtection="1" pivotButton="0" quotePrefix="0" xfId="2">
      <alignment horizontal="center" vertical="center" wrapText="1"/>
      <protection locked="0" hidden="0"/>
    </xf>
    <xf numFmtId="0" fontId="32" fillId="15" borderId="2" applyAlignment="1" applyProtection="1" pivotButton="0" quotePrefix="0" xfId="2">
      <alignment horizontal="center" vertical="center" wrapText="1"/>
      <protection locked="0" hidden="0"/>
    </xf>
    <xf numFmtId="0" fontId="32" fillId="15" borderId="22" applyAlignment="1" applyProtection="1" pivotButton="0" quotePrefix="0" xfId="2">
      <alignment horizontal="left" vertical="center" wrapText="1"/>
      <protection locked="0" hidden="0"/>
    </xf>
    <xf numFmtId="0" fontId="32" fillId="15" borderId="2" applyAlignment="1" applyProtection="1" pivotButton="0" quotePrefix="0" xfId="2">
      <alignment horizontal="left" vertical="center" wrapText="1"/>
      <protection locked="0" hidden="0"/>
    </xf>
    <xf numFmtId="0" fontId="32" fillId="15" borderId="22" applyAlignment="1" applyProtection="1" pivotButton="0" quotePrefix="0" xfId="0">
      <alignment horizontal="center" vertical="center" wrapText="1"/>
      <protection locked="0" hidden="0"/>
    </xf>
    <xf numFmtId="0" fontId="32" fillId="16" borderId="2" applyAlignment="1" applyProtection="1" pivotButton="0" quotePrefix="0" xfId="0">
      <alignment horizontal="center" vertical="center"/>
      <protection locked="0" hidden="0"/>
    </xf>
    <xf numFmtId="0" fontId="32" fillId="15" borderId="23" applyAlignment="1" pivotButton="0" quotePrefix="0" xfId="2">
      <alignment horizontal="center" vertical="center" wrapText="1"/>
    </xf>
    <xf numFmtId="0" fontId="32" fillId="15" borderId="23" applyAlignment="1" applyProtection="1" pivotButton="0" quotePrefix="0" xfId="4">
      <alignment horizontal="left" vertical="center" wrapText="1"/>
      <protection locked="0" hidden="0"/>
    </xf>
    <xf numFmtId="0" fontId="5" fillId="15" borderId="55" applyAlignment="1" applyProtection="1" pivotButton="0" quotePrefix="0" xfId="4">
      <alignment horizontal="left" vertical="center" wrapText="1"/>
      <protection locked="0" hidden="0"/>
    </xf>
    <xf numFmtId="0" fontId="35" fillId="15" borderId="0" applyAlignment="1" applyProtection="1" pivotButton="0" quotePrefix="0" xfId="4">
      <alignment horizontal="left" vertical="center" wrapText="1"/>
      <protection locked="0" hidden="0"/>
    </xf>
    <xf numFmtId="0" fontId="35" fillId="15" borderId="23" applyAlignment="1" applyProtection="1" pivotButton="0" quotePrefix="0" xfId="4">
      <alignment horizontal="left" vertical="center" wrapText="1"/>
      <protection locked="0" hidden="0"/>
    </xf>
    <xf numFmtId="0" fontId="32" fillId="15" borderId="24" applyAlignment="1" applyProtection="1" pivotButton="0" quotePrefix="0" xfId="4">
      <alignment horizontal="left" vertical="center" wrapText="1"/>
      <protection locked="0" hidden="0"/>
    </xf>
    <xf numFmtId="164" fontId="34" fillId="15" borderId="0" applyAlignment="1" applyProtection="1" pivotButton="0" quotePrefix="0" xfId="0">
      <alignment horizontal="center" vertical="center"/>
      <protection locked="0" hidden="0"/>
    </xf>
    <xf numFmtId="0" fontId="37" fillId="15" borderId="44" applyAlignment="1" pivotButton="0" quotePrefix="0" xfId="0">
      <alignment horizontal="center" vertical="center"/>
    </xf>
    <xf numFmtId="0" fontId="33" fillId="15" borderId="2" applyAlignment="1" applyProtection="1" pivotButton="0" quotePrefix="0" xfId="3">
      <alignment horizontal="center" vertical="center" wrapText="1"/>
      <protection locked="0" hidden="0"/>
    </xf>
    <xf numFmtId="0" fontId="32" fillId="15" borderId="2" applyAlignment="1" applyProtection="1" pivotButton="0" quotePrefix="0" xfId="3">
      <alignment horizontal="center" vertical="center" wrapText="1"/>
      <protection locked="0" hidden="0"/>
    </xf>
    <xf numFmtId="0" fontId="32" fillId="15" borderId="23" applyAlignment="1" applyProtection="1" pivotButton="0" quotePrefix="0" xfId="2">
      <alignment horizontal="center" vertical="center" wrapText="1"/>
      <protection locked="0" hidden="0"/>
    </xf>
    <xf numFmtId="0" fontId="29" fillId="15" borderId="55" applyAlignment="1" applyProtection="1" pivotButton="0" quotePrefix="0" xfId="4">
      <alignment horizontal="left" vertical="center" wrapText="1"/>
      <protection locked="0" hidden="0"/>
    </xf>
    <xf numFmtId="0" fontId="32" fillId="15" borderId="37" applyAlignment="1" applyProtection="1" pivotButton="0" quotePrefix="0" xfId="4">
      <alignment horizontal="center" vertical="center" wrapText="1"/>
      <protection locked="0" hidden="0"/>
    </xf>
    <xf numFmtId="9" fontId="34" fillId="15" borderId="0" applyAlignment="1" pivotButton="0" quotePrefix="0" xfId="1">
      <alignment horizontal="center" vertical="center"/>
    </xf>
    <xf numFmtId="0" fontId="37" fillId="15" borderId="0" pivotButton="0" quotePrefix="0" xfId="0"/>
    <xf numFmtId="0" fontId="15" fillId="13" borderId="11" applyAlignment="1" pivotButton="0" quotePrefix="0" xfId="4">
      <alignment horizontal="left" vertical="center" wrapText="1"/>
    </xf>
    <xf numFmtId="0" fontId="3" fillId="0" borderId="7" applyAlignment="1" pivotButton="0" quotePrefix="0" xfId="4">
      <alignment horizontal="left" vertical="center" wrapText="1"/>
    </xf>
    <xf numFmtId="0" fontId="15" fillId="0" borderId="13" applyAlignment="1" pivotButton="0" quotePrefix="0" xfId="0">
      <alignment vertical="center" wrapText="1"/>
    </xf>
    <xf numFmtId="0" fontId="13" fillId="0" borderId="10" applyAlignment="1" pivotButton="0" quotePrefix="0" xfId="0">
      <alignment horizontal="center" vertical="center"/>
    </xf>
    <xf numFmtId="0" fontId="5" fillId="0" borderId="10" applyAlignment="1" pivotButton="0" quotePrefix="0" xfId="0">
      <alignment horizontal="center" vertical="center"/>
    </xf>
    <xf numFmtId="0" fontId="5" fillId="0" borderId="11" applyAlignment="1" pivotButton="0" quotePrefix="0" xfId="0">
      <alignment horizontal="center" vertical="center"/>
    </xf>
    <xf numFmtId="0" fontId="5" fillId="0" borderId="11" applyAlignment="1" pivotButton="0" quotePrefix="0" xfId="0">
      <alignment vertical="center"/>
    </xf>
    <xf numFmtId="0" fontId="15" fillId="0" borderId="13" applyAlignment="1" pivotButton="0" quotePrefix="0" xfId="4">
      <alignment horizontal="left" vertical="center" wrapText="1"/>
    </xf>
    <xf numFmtId="0" fontId="5" fillId="0" borderId="21" applyAlignment="1" pivotButton="0" quotePrefix="0" xfId="0">
      <alignment vertical="center"/>
    </xf>
    <xf numFmtId="0" fontId="5" fillId="0" borderId="8" applyAlignment="1" applyProtection="1" pivotButton="0" quotePrefix="0" xfId="0">
      <alignment vertical="center"/>
      <protection locked="0" hidden="0"/>
    </xf>
    <xf numFmtId="0" fontId="5" fillId="0" borderId="62" applyAlignment="1" pivotButton="0" quotePrefix="0" xfId="4">
      <alignment horizontal="left" vertical="center" wrapText="1"/>
    </xf>
    <xf numFmtId="0" fontId="5" fillId="0" borderId="23" applyAlignment="1" pivotButton="0" quotePrefix="0" xfId="4">
      <alignment horizontal="center" vertical="center" wrapText="1"/>
    </xf>
    <xf numFmtId="0" fontId="15" fillId="13" borderId="28" applyAlignment="1" pivotButton="0" quotePrefix="0" xfId="4">
      <alignment vertical="center" wrapText="1"/>
    </xf>
    <xf numFmtId="0" fontId="15" fillId="0" borderId="56" applyAlignment="1" pivotButton="0" quotePrefix="0" xfId="2">
      <alignment horizontal="left" vertical="center" wrapText="1"/>
    </xf>
    <xf numFmtId="0" fontId="5" fillId="0" borderId="9" applyAlignment="1" applyProtection="1" pivotButton="0" quotePrefix="0" xfId="0">
      <alignment horizontal="left" vertical="center" wrapText="1"/>
      <protection locked="0" hidden="0"/>
    </xf>
    <xf numFmtId="0" fontId="32" fillId="15" borderId="44" applyAlignment="1" pivotButton="0" quotePrefix="0" xfId="0">
      <alignment horizontal="center" vertical="center"/>
    </xf>
    <xf numFmtId="0" fontId="33" fillId="15" borderId="10" applyAlignment="1" pivotButton="0" quotePrefix="0" xfId="0">
      <alignment horizontal="center" vertical="center" wrapText="1"/>
    </xf>
    <xf numFmtId="49" fontId="32" fillId="15" borderId="19" applyAlignment="1" pivotButton="0" quotePrefix="0" xfId="0">
      <alignment horizontal="left" vertical="center" wrapText="1"/>
    </xf>
    <xf numFmtId="0" fontId="32" fillId="15" borderId="7" applyAlignment="1" pivotButton="0" quotePrefix="0" xfId="2">
      <alignment horizontal="center" vertical="center" wrapText="1"/>
    </xf>
    <xf numFmtId="0" fontId="32" fillId="15" borderId="7" applyAlignment="1" pivotButton="0" quotePrefix="0" xfId="2">
      <alignment horizontal="left" vertical="center" wrapText="1"/>
    </xf>
    <xf numFmtId="0" fontId="32" fillId="15" borderId="8" applyAlignment="1" pivotButton="0" quotePrefix="0" xfId="4">
      <alignment horizontal="left" vertical="center" wrapText="1"/>
    </xf>
    <xf numFmtId="0" fontId="32" fillId="15" borderId="20" applyAlignment="1" pivotButton="0" quotePrefix="0" xfId="4">
      <alignment horizontal="left" vertical="center" wrapText="1"/>
    </xf>
    <xf numFmtId="0" fontId="32" fillId="15" borderId="9" applyAlignment="1" applyProtection="1" pivotButton="0" quotePrefix="0" xfId="4">
      <alignment horizontal="left" vertical="center" wrapText="1"/>
      <protection locked="0" hidden="0"/>
    </xf>
    <xf numFmtId="0" fontId="32" fillId="15" borderId="39" applyAlignment="1" applyProtection="1" pivotButton="0" quotePrefix="0" xfId="4">
      <alignment horizontal="left" vertical="center" wrapText="1"/>
      <protection locked="0" hidden="0"/>
    </xf>
    <xf numFmtId="164" fontId="32" fillId="15" borderId="0" applyAlignment="1" pivotButton="0" quotePrefix="0" xfId="0">
      <alignment horizontal="center" vertical="center" wrapText="1"/>
    </xf>
    <xf numFmtId="9" fontId="32" fillId="15" borderId="0" applyAlignment="1" pivotButton="0" quotePrefix="0" xfId="1">
      <alignment horizontal="center" vertical="center"/>
    </xf>
    <xf numFmtId="164" fontId="32" fillId="15" borderId="0" applyAlignment="1" pivotButton="0" quotePrefix="0" xfId="0">
      <alignment horizontal="center" vertical="center"/>
    </xf>
    <xf numFmtId="0" fontId="13" fillId="15" borderId="12" applyAlignment="1" pivotButton="0" quotePrefix="0" xfId="4">
      <alignment horizontal="left" vertical="center" wrapText="1"/>
    </xf>
    <xf numFmtId="49" fontId="32" fillId="15" borderId="19" applyAlignment="1" applyProtection="1" pivotButton="0" quotePrefix="0" xfId="0">
      <alignment horizontal="left" vertical="center" wrapText="1"/>
      <protection locked="0" hidden="0"/>
    </xf>
    <xf numFmtId="0" fontId="38" fillId="15" borderId="7" applyAlignment="1" applyProtection="1" pivotButton="0" quotePrefix="0" xfId="2">
      <alignment horizontal="center" vertical="center" wrapText="1"/>
      <protection locked="0" hidden="0"/>
    </xf>
    <xf numFmtId="164" fontId="32" fillId="15" borderId="0" applyAlignment="1" applyProtection="1" pivotButton="0" quotePrefix="0" xfId="0">
      <alignment horizontal="center" vertical="center" wrapText="1"/>
      <protection locked="0" hidden="0"/>
    </xf>
    <xf numFmtId="9" fontId="32" fillId="15" borderId="0" applyAlignment="1" applyProtection="1" pivotButton="0" quotePrefix="0" xfId="1">
      <alignment horizontal="center" vertical="center"/>
      <protection locked="0" hidden="0"/>
    </xf>
    <xf numFmtId="164" fontId="32" fillId="15" borderId="0" applyAlignment="1" applyProtection="1" pivotButton="0" quotePrefix="0" xfId="0">
      <alignment horizontal="center" vertical="center"/>
      <protection locked="0" hidden="0"/>
    </xf>
    <xf numFmtId="0" fontId="15" fillId="13" borderId="8" applyAlignment="1" pivotButton="0" quotePrefix="0" xfId="4">
      <alignment horizontal="left" vertical="center" wrapText="1"/>
    </xf>
    <xf numFmtId="0" fontId="39" fillId="13" borderId="7" applyAlignment="1" applyProtection="1" pivotButton="0" quotePrefix="0" xfId="2">
      <alignment horizontal="left" vertical="center" wrapText="1"/>
      <protection locked="0" hidden="0"/>
    </xf>
    <xf numFmtId="0" fontId="39" fillId="13" borderId="7" applyAlignment="1" applyProtection="1" pivotButton="0" quotePrefix="0" xfId="2">
      <alignment horizontal="center" vertical="center" wrapText="1"/>
      <protection locked="0" hidden="0"/>
    </xf>
    <xf numFmtId="0" fontId="39" fillId="13" borderId="10" applyAlignment="1" applyProtection="1" pivotButton="0" quotePrefix="0" xfId="2">
      <alignment horizontal="left" vertical="center" wrapText="1"/>
      <protection locked="0" hidden="0"/>
    </xf>
    <xf numFmtId="0" fontId="5" fillId="3" borderId="2" applyAlignment="1" pivotButton="0" quotePrefix="0" xfId="2">
      <alignment horizontal="left" vertical="center" wrapText="1"/>
    </xf>
    <xf numFmtId="0" fontId="5" fillId="3" borderId="2" applyAlignment="1" applyProtection="1" pivotButton="0" quotePrefix="0" xfId="2">
      <alignment horizontal="center" vertical="center" wrapText="1"/>
      <protection locked="0" hidden="0"/>
    </xf>
    <xf numFmtId="0" fontId="5" fillId="3" borderId="2" applyAlignment="1" pivotButton="0" quotePrefix="0" xfId="2">
      <alignment horizontal="center" vertical="center" wrapText="1"/>
    </xf>
    <xf numFmtId="0" fontId="5" fillId="3" borderId="2" applyAlignment="1" applyProtection="1" pivotButton="0" quotePrefix="0" xfId="2">
      <alignment horizontal="left" vertical="center" wrapText="1"/>
      <protection locked="0" hidden="0"/>
    </xf>
    <xf numFmtId="0" fontId="5" fillId="3" borderId="7" applyAlignment="1" pivotButton="0" quotePrefix="0" xfId="6">
      <alignment horizontal="center" vertical="center" wrapText="1"/>
    </xf>
    <xf numFmtId="0" fontId="15" fillId="0" borderId="35" applyAlignment="1" applyProtection="1" pivotButton="0" quotePrefix="0" xfId="2">
      <alignment horizontal="center" vertical="center"/>
      <protection locked="0" hidden="0"/>
    </xf>
    <xf numFmtId="0" fontId="15" fillId="17" borderId="0" applyProtection="1" pivotButton="0" quotePrefix="0" xfId="4">
      <protection locked="0" hidden="0"/>
    </xf>
    <xf numFmtId="0" fontId="5" fillId="8" borderId="1" applyAlignment="1" pivotButton="0" quotePrefix="0" xfId="2">
      <alignment horizontal="center" vertical="center"/>
    </xf>
    <xf numFmtId="0" fontId="3" fillId="0" borderId="26" pivotButton="0" quotePrefix="0" xfId="0"/>
    <xf numFmtId="0" fontId="3" fillId="0" borderId="1" pivotButton="0" quotePrefix="0" xfId="0"/>
    <xf numFmtId="0" fontId="3" fillId="0" borderId="6" pivotButton="0" quotePrefix="0" xfId="0"/>
    <xf numFmtId="0" fontId="26" fillId="8" borderId="45" applyAlignment="1" pivotButton="0" quotePrefix="0" xfId="2">
      <alignment horizontal="center" vertical="center"/>
    </xf>
    <xf numFmtId="0" fontId="26" fillId="8" borderId="5" applyAlignment="1" pivotButton="0" quotePrefix="0" xfId="2">
      <alignment horizontal="center" vertical="center"/>
    </xf>
    <xf numFmtId="0" fontId="26" fillId="8" borderId="29" applyAlignment="1" pivotButton="0" quotePrefix="0" xfId="2">
      <alignment horizontal="center" vertical="center"/>
    </xf>
    <xf numFmtId="0" fontId="26" fillId="8" borderId="1" applyAlignment="1" pivotButton="0" quotePrefix="0" xfId="2">
      <alignment horizontal="center" vertical="center"/>
    </xf>
    <xf numFmtId="0" fontId="5" fillId="0" borderId="21" applyAlignment="1" applyProtection="1" pivotButton="0" quotePrefix="0" xfId="4">
      <alignment horizontal="center" vertical="center" wrapText="1"/>
      <protection locked="0" hidden="0"/>
    </xf>
    <xf numFmtId="0" fontId="3" fillId="0" borderId="20" pivotButton="0" quotePrefix="0" xfId="0"/>
    <xf numFmtId="0" fontId="5" fillId="0" borderId="40" applyAlignment="1" applyProtection="1" pivotButton="0" quotePrefix="0" xfId="4">
      <alignment horizontal="center" vertical="center" wrapText="1"/>
      <protection locked="0" hidden="0"/>
    </xf>
    <xf numFmtId="0" fontId="3" fillId="0" borderId="39" pivotButton="0" quotePrefix="0" xfId="0"/>
    <xf numFmtId="0" fontId="24" fillId="4" borderId="40" applyAlignment="1" applyProtection="1" pivotButton="0" quotePrefix="0" xfId="4">
      <alignment horizontal="center" vertical="center" wrapText="1"/>
      <protection locked="0" hidden="0"/>
    </xf>
    <xf numFmtId="0" fontId="3" fillId="0" borderId="43" pivotButton="0" quotePrefix="0" xfId="0"/>
    <xf numFmtId="0" fontId="22" fillId="0" borderId="12" applyAlignment="1" pivotButton="0" quotePrefix="0" xfId="4">
      <alignment horizontal="left" vertical="center" wrapText="1"/>
    </xf>
    <xf numFmtId="0" fontId="11" fillId="9" borderId="31" applyAlignment="1" pivotButton="0" quotePrefix="0" xfId="3">
      <alignment horizontal="center" vertical="center" wrapText="1"/>
    </xf>
    <xf numFmtId="0" fontId="11" fillId="9" borderId="26" applyAlignment="1" pivotButton="0" quotePrefix="0" xfId="3">
      <alignment horizontal="center" vertical="center" wrapText="1"/>
    </xf>
    <xf numFmtId="0" fontId="11" fillId="9" borderId="6" applyAlignment="1" pivotButton="0" quotePrefix="0" xfId="3">
      <alignment horizontal="center" vertical="center" wrapText="1"/>
    </xf>
    <xf numFmtId="0" fontId="11" fillId="2" borderId="45" applyAlignment="1" pivotButton="0" quotePrefix="0" xfId="3">
      <alignment horizontal="center" vertical="center" wrapText="1"/>
    </xf>
    <xf numFmtId="0" fontId="12" fillId="2" borderId="5" applyAlignment="1" pivotButton="0" quotePrefix="0" xfId="3">
      <alignment horizontal="center" vertical="center" wrapText="1"/>
    </xf>
    <xf numFmtId="0" fontId="12" fillId="2" borderId="30" applyAlignment="1" pivotButton="0" quotePrefix="0" xfId="3">
      <alignment horizontal="center" vertical="center" wrapText="1"/>
    </xf>
    <xf numFmtId="0" fontId="3" fillId="10" borderId="45" applyAlignment="1" pivotButton="0" quotePrefix="0" xfId="0">
      <alignment horizontal="center" vertical="center"/>
    </xf>
    <xf numFmtId="0" fontId="3" fillId="10" borderId="5" applyAlignment="1" pivotButton="0" quotePrefix="0" xfId="0">
      <alignment horizontal="center" vertical="center"/>
    </xf>
    <xf numFmtId="0" fontId="3" fillId="10" borderId="29" applyAlignment="1" pivotButton="0" quotePrefix="0" xfId="0">
      <alignment horizontal="center" vertical="center"/>
    </xf>
    <xf numFmtId="0" fontId="3" fillId="10" borderId="1" applyAlignment="1" pivotButton="0" quotePrefix="0" xfId="0">
      <alignment horizontal="center" vertical="center"/>
    </xf>
    <xf numFmtId="0" fontId="3" fillId="10" borderId="6" applyAlignment="1" pivotButton="0" quotePrefix="0" xfId="0">
      <alignment horizontal="center" vertical="center"/>
    </xf>
    <xf numFmtId="0" fontId="16" fillId="3" borderId="12" applyAlignment="1" pivotButton="0" quotePrefix="0" xfId="4">
      <alignment horizontal="center" vertical="center" wrapText="1"/>
    </xf>
    <xf numFmtId="0" fontId="17" fillId="5" borderId="53" applyAlignment="1" pivotButton="0" quotePrefix="0" xfId="4">
      <alignment horizontal="center" vertical="center" wrapText="1"/>
    </xf>
    <xf numFmtId="0" fontId="3" fillId="0" borderId="59" pivotButton="0" quotePrefix="0" xfId="0"/>
    <xf numFmtId="0" fontId="3" fillId="0" borderId="54" pivotButton="0" quotePrefix="0" xfId="0"/>
    <xf numFmtId="0" fontId="11" fillId="9" borderId="1" applyAlignment="1" pivotButton="0" quotePrefix="0" xfId="3">
      <alignment horizontal="center" vertical="center" wrapText="1"/>
    </xf>
    <xf numFmtId="0" fontId="0" fillId="0" borderId="26" pivotButton="0" quotePrefix="0" xfId="0"/>
    <xf numFmtId="0" fontId="0" fillId="0" borderId="6" pivotButton="0" quotePrefix="0" xfId="0"/>
    <xf numFmtId="0" fontId="0" fillId="0" borderId="70" pivotButton="0" quotePrefix="0" xfId="0"/>
    <xf numFmtId="0" fontId="0" fillId="0" borderId="56" pivotButton="0" quotePrefix="0" xfId="0"/>
    <xf numFmtId="0" fontId="0" fillId="0" borderId="73" pivotButton="0" quotePrefix="0" xfId="0"/>
    <xf numFmtId="0" fontId="0" fillId="0" borderId="72" pivotButton="0" quotePrefix="0" xfId="0"/>
    <xf numFmtId="0" fontId="0" fillId="0" borderId="54" pivotButton="0" quotePrefix="0" xfId="0"/>
    <xf numFmtId="0" fontId="0" fillId="0" borderId="74" pivotButton="0" quotePrefix="0" xfId="0"/>
    <xf numFmtId="0" fontId="0" fillId="0" borderId="39" pivotButton="0" quotePrefix="0" xfId="0"/>
    <xf numFmtId="0" fontId="0" fillId="0" borderId="43" pivotButton="0" quotePrefix="0" xfId="0"/>
    <xf numFmtId="0" fontId="40" fillId="0" borderId="75" applyAlignment="1" pivotButton="0" quotePrefix="0" xfId="0">
      <alignment horizontal="center" vertical="top"/>
    </xf>
  </cellXfs>
  <cellStyles count="11">
    <cellStyle name="Normal" xfId="0" builtinId="0"/>
    <cellStyle name="Percent" xfId="1" builtinId="5"/>
    <cellStyle name="Normal 5" xfId="2"/>
    <cellStyle name="Normal 2 2 3" xfId="3"/>
    <cellStyle name="Normal 3" xfId="4"/>
    <cellStyle name="Normal 4" xfId="5"/>
    <cellStyle name="Normal 3 2" xfId="6"/>
    <cellStyle name="Normal 7" xfId="7"/>
    <cellStyle name="Check Cell 2" xfId="8"/>
    <cellStyle name="Normal 4 2 2 2" xfId="9"/>
    <cellStyle name="Percent 2" xfId="10"/>
  </cellStyles>
  <dxfs count="2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sz val="11"/>
      </font>
      <fill>
        <patternFill>
          <bgColor rgb="FFFFC7CE"/>
        </patternFill>
      </fill>
    </dxf>
    <dxf>
      <font>
        <color rgb="FF9C0006"/>
      </font>
      <fill>
        <patternFill>
          <bgColor rgb="FFFFC7CE"/>
        </patternFill>
      </fill>
    </dxf>
    <dxf>
      <font>
        <color rgb="FF9C0006"/>
        <sz val="11"/>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sz val="11"/>
      </font>
      <fill>
        <patternFill>
          <bgColor rgb="FFFFC7CE"/>
        </patternFill>
      </fill>
    </dxf>
    <dxf>
      <font>
        <color rgb="FF9C0006"/>
        <sz val="11"/>
      </font>
      <fill>
        <patternFill>
          <bgColor rgb="FFFFC7CE"/>
        </patternFill>
      </fill>
    </dxf>
    <dxf>
      <font>
        <color rgb="FF9C0006"/>
        <sz val="11"/>
      </font>
      <fill>
        <patternFill>
          <bgColor rgb="FFFFC7CE"/>
        </patternFill>
      </fill>
    </dxf>
    <dxf>
      <font>
        <color rgb="FF9C0006"/>
        <sz val="11"/>
      </font>
      <fill>
        <patternFill>
          <bgColor rgb="FFFFC7CE"/>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7" tint="0.5999633777886288"/>
        </patternFill>
      </fill>
    </dxf>
    <dxf>
      <fill>
        <patternFill>
          <bgColor rgb="FFE1AAA9"/>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patternType="solid">
          <fgColor indexed="64"/>
          <bgColor rgb="FFBA005D"/>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F2DBDA"/>
        </patternFill>
      </fill>
    </dxf>
    <dxf>
      <fill>
        <patternFill>
          <bgColor rgb="FFDDE8C6"/>
        </patternFill>
      </fill>
    </dxf>
    <dxf>
      <fill>
        <patternFill patternType="solid">
          <fgColor indexed="64"/>
          <bgColor rgb="FFDCC97A"/>
        </patternFill>
      </fill>
    </dxf>
    <dxf>
      <fill>
        <patternFill patternType="solid">
          <fgColor indexed="64"/>
          <bgColor rgb="FF9E004F"/>
        </patternFill>
      </fill>
    </dxf>
    <dxf>
      <fill>
        <patternFill patternType="solid">
          <fgColor indexed="64"/>
          <bgColor rgb="FFE7D480"/>
        </patternFill>
      </fill>
    </dxf>
    <dxf>
      <fill>
        <patternFill>
          <bgColor theme="7" tint="0.3999450666829432"/>
        </patternFill>
      </fill>
    </dxf>
    <dxf>
      <fill>
        <patternFill patternType="solid">
          <fgColor indexed="64"/>
          <bgColor rgb="FFE4E300"/>
        </patternFill>
      </fill>
    </dxf>
    <dxf>
      <fill>
        <patternFill patternType="solid">
          <fgColor indexed="64"/>
          <bgColor rgb="FF9E004F"/>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patternType="solid">
          <fgColor indexed="64"/>
          <bgColor rgb="FFBA005D"/>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bgColor rgb="FFFFBB57"/>
        </patternFill>
      </fill>
    </dxf>
    <dxf>
      <fill>
        <patternFill>
          <bgColor rgb="FF4685D2"/>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99BCE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patternType="solid">
          <fgColor indexed="64"/>
          <bgColor theme="4" tint="0.7999816888943144"/>
        </patternFill>
      </fill>
    </dxf>
    <dxf>
      <fill>
        <patternFill>
          <bgColor rgb="FFFFBB57"/>
        </patternFill>
      </fill>
    </dxf>
    <dxf>
      <fill>
        <patternFill patternType="solid">
          <fgColor indexed="64"/>
          <bgColor theme="6" tint="0.7999816888943144"/>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bgColor rgb="FF99BCE7"/>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154546" cy="508000"/>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0" y="0"/>
          <a:ext cx="1154546" cy="508000"/>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J202"/>
  <sheetViews>
    <sheetView tabSelected="1" zoomScale="75" zoomScaleNormal="50" workbookViewId="0">
      <pane xSplit="5" ySplit="3" topLeftCell="L4" activePane="bottomRight" state="frozen"/>
      <selection pane="topRight" activeCell="F1" sqref="F1"/>
      <selection pane="bottomLeft" activeCell="A4" sqref="A4"/>
      <selection pane="bottomRight" activeCell="C4" sqref="C4"/>
    </sheetView>
  </sheetViews>
  <sheetFormatPr baseColWidth="10" defaultColWidth="9.1640625" defaultRowHeight="19"/>
  <cols>
    <col width="9.33203125" bestFit="1" customWidth="1" style="47" min="1" max="1"/>
    <col width="39" bestFit="1" customWidth="1" style="47" min="2" max="2"/>
    <col width="38.33203125" customWidth="1" style="47" min="3" max="3"/>
    <col width="90.1640625" customWidth="1" style="47" min="4" max="4"/>
    <col hidden="1" width="9.33203125" customWidth="1" style="47" min="5" max="5"/>
    <col width="90.1640625" customWidth="1" style="261" min="6" max="6"/>
    <col hidden="1" width="9.1640625" customWidth="1" style="47" min="7" max="7"/>
    <col width="98.5" customWidth="1" style="47" min="8" max="8"/>
    <col hidden="1" width="9.1640625" customWidth="1" style="47" min="9" max="9"/>
    <col width="102.1640625" customWidth="1" style="47" min="10" max="10"/>
    <col hidden="1" width="9.1640625" customWidth="1" style="47" min="11" max="11"/>
    <col width="90.1640625" customWidth="1" style="47" min="12" max="12"/>
    <col hidden="1" width="9.1640625" customWidth="1" style="47" min="13" max="13"/>
    <col width="90.1640625" customWidth="1" style="47" min="14" max="14"/>
    <col hidden="1" width="9.1640625" customWidth="1" style="47" min="15" max="15"/>
    <col width="90.1640625" customWidth="1" style="47" min="16" max="16"/>
    <col width="9.1640625" customWidth="1" style="47" min="17" max="17"/>
    <col width="38.33203125" customWidth="1" style="47" min="18" max="18"/>
    <col width="14" customWidth="1" style="47" min="19" max="19"/>
    <col width="40.5" customWidth="1" style="47" min="20" max="20"/>
    <col width="33.83203125" customWidth="1" style="47" min="21" max="21"/>
    <col width="38.33203125" customWidth="1" style="47" min="22" max="22"/>
    <col width="38.5" customWidth="1" style="47" min="23" max="23"/>
    <col width="66.1640625" customWidth="1" style="47" min="24" max="24"/>
    <col width="33.83203125" customWidth="1" style="47" min="25" max="25"/>
    <col width="31" customWidth="1" style="47" min="26" max="26"/>
    <col width="25.5" customWidth="1" style="47" min="27" max="27"/>
    <col width="9.1640625" customWidth="1" style="47" min="28" max="30"/>
    <col width="14.83203125" customWidth="1" style="47" min="31" max="31"/>
    <col width="9.1640625" customWidth="1" style="47" min="32" max="32"/>
    <col width="33.33203125" customWidth="1" style="47" min="33" max="33"/>
    <col width="9.33203125" bestFit="1" customWidth="1" style="47" min="34" max="36"/>
    <col width="9.1640625" customWidth="1" style="47" min="37" max="16384"/>
  </cols>
  <sheetData>
    <row r="1" ht="20" customFormat="1" customHeight="1" s="29" thickBot="1">
      <c r="A1" s="738" t="inlineStr">
        <is>
          <t>GeoPoll Submission Form</t>
        </is>
      </c>
      <c r="B1" s="739" t="n"/>
      <c r="C1" s="739" t="n"/>
      <c r="D1" s="739" t="n"/>
      <c r="E1" s="739" t="n"/>
      <c r="F1" s="739" t="n"/>
      <c r="G1" s="739" t="n"/>
      <c r="H1" s="739" t="n"/>
      <c r="I1" s="739" t="n"/>
      <c r="J1" s="739" t="n"/>
      <c r="K1" s="739" t="n"/>
      <c r="L1" s="739" t="n"/>
      <c r="M1" s="739" t="n"/>
      <c r="N1" s="739" t="n"/>
      <c r="O1" s="739" t="n"/>
      <c r="P1" s="739" t="n"/>
      <c r="Q1" s="739" t="n"/>
      <c r="R1" s="739" t="n"/>
      <c r="S1" s="739" t="n"/>
      <c r="T1" s="739" t="n"/>
      <c r="U1" s="739" t="n"/>
      <c r="V1" s="739" t="n"/>
      <c r="W1" s="739" t="n"/>
      <c r="X1" s="739" t="n"/>
      <c r="Y1" s="740" t="n"/>
    </row>
    <row r="2" ht="20" customFormat="1" customHeight="1" s="29" thickBot="1">
      <c r="A2" s="726" t="inlineStr">
        <is>
          <t>FAO Household Questionnaire</t>
        </is>
      </c>
      <c r="B2" s="739" t="n"/>
      <c r="C2" s="739" t="n"/>
      <c r="D2" s="739" t="n"/>
      <c r="E2" s="739" t="n"/>
      <c r="F2" s="739" t="n"/>
      <c r="G2" s="739" t="n"/>
      <c r="H2" s="739" t="n"/>
      <c r="I2" s="739" t="n"/>
      <c r="J2" s="739" t="n"/>
      <c r="K2" s="739" t="n"/>
      <c r="L2" s="739" t="n"/>
      <c r="M2" s="739" t="n"/>
      <c r="N2" s="739" t="n"/>
      <c r="O2" s="739" t="n"/>
      <c r="P2" s="739" t="n"/>
      <c r="Q2" s="739" t="n"/>
      <c r="R2" s="739" t="n"/>
      <c r="S2" s="739" t="n"/>
      <c r="T2" s="739" t="n"/>
      <c r="U2" s="739" t="n"/>
      <c r="V2" s="739" t="n"/>
      <c r="W2" s="739" t="n"/>
      <c r="X2" s="739" t="n"/>
      <c r="Y2" s="741" t="n"/>
    </row>
    <row r="3" ht="29.5" customFormat="1" customHeight="1" s="35" thickBot="1">
      <c r="A3" s="361" t="inlineStr">
        <is>
          <t>Q #</t>
        </is>
      </c>
      <c r="B3" s="30" t="inlineStr">
        <is>
          <t>Q Name</t>
        </is>
      </c>
      <c r="C3" s="30" t="inlineStr">
        <is>
          <t>Suggested Qname</t>
        </is>
      </c>
      <c r="D3" s="31" t="inlineStr">
        <is>
          <t>English</t>
        </is>
      </c>
      <c r="E3" s="31" t="inlineStr">
        <is>
          <t>Length</t>
        </is>
      </c>
      <c r="F3" s="32" t="inlineStr">
        <is>
          <t>fr_French</t>
        </is>
      </c>
      <c r="G3" s="31" t="inlineStr">
        <is>
          <t>Length</t>
        </is>
      </c>
      <c r="H3" s="33" t="inlineStr">
        <is>
          <t>bm_Bambara</t>
        </is>
      </c>
      <c r="I3" s="31" t="inlineStr">
        <is>
          <t>Length</t>
        </is>
      </c>
      <c r="J3" s="33" t="inlineStr">
        <is>
          <t>dba_Dogon</t>
        </is>
      </c>
      <c r="K3" s="31" t="inlineStr">
        <is>
          <t>Length</t>
        </is>
      </c>
      <c r="L3" s="33" t="inlineStr">
        <is>
          <t>son_Sornhai</t>
        </is>
      </c>
      <c r="M3" s="33" t="inlineStr">
        <is>
          <t>Length</t>
        </is>
      </c>
      <c r="N3" s="33" t="inlineStr">
        <is>
          <t>taq_Tamachek</t>
        </is>
      </c>
      <c r="O3" s="33" t="inlineStr">
        <is>
          <t>Length</t>
        </is>
      </c>
      <c r="P3" s="33" t="inlineStr">
        <is>
          <t>fuf_Peulh</t>
        </is>
      </c>
      <c r="Q3" s="31" t="inlineStr">
        <is>
          <t>Length</t>
        </is>
      </c>
      <c r="R3" s="31" t="inlineStr">
        <is>
          <t>Q Type</t>
        </is>
      </c>
      <c r="S3" s="31" t="inlineStr">
        <is>
          <t>Randomize</t>
        </is>
      </c>
      <c r="T3" s="31" t="inlineStr">
        <is>
          <t>Conditional</t>
        </is>
      </c>
      <c r="U3" s="31" t="inlineStr">
        <is>
          <t>Programming Instructions</t>
        </is>
      </c>
      <c r="V3" s="31" t="inlineStr">
        <is>
          <t>Codes</t>
        </is>
      </c>
      <c r="W3" s="31" t="inlineStr">
        <is>
          <t>Skip Pattern</t>
        </is>
      </c>
      <c r="X3" s="34" t="inlineStr">
        <is>
          <t>GeoPoll Comments</t>
        </is>
      </c>
      <c r="Y3" s="362" t="n"/>
    </row>
    <row r="4" ht="20" customFormat="1" customHeight="1" s="261">
      <c r="A4" s="465" t="n"/>
      <c r="B4" s="469" t="inlineStr">
        <is>
          <t>Optin</t>
        </is>
      </c>
      <c r="C4" s="470" t="n"/>
      <c r="D4" s="471" t="inlineStr">
        <is>
          <t>Optin</t>
        </is>
      </c>
      <c r="E4" s="472">
        <f>LEN(D4)</f>
        <v/>
      </c>
      <c r="F4" s="471" t="inlineStr">
        <is>
          <t>Optin</t>
        </is>
      </c>
      <c r="G4" s="472">
        <f>LEN(F4)</f>
        <v/>
      </c>
      <c r="H4" s="59" t="inlineStr">
        <is>
          <t>Optin</t>
        </is>
      </c>
      <c r="I4" s="472">
        <f>LEN(H4)</f>
        <v/>
      </c>
      <c r="J4" s="59" t="inlineStr">
        <is>
          <t>Optin</t>
        </is>
      </c>
      <c r="K4" s="472">
        <f>LEN(J4)</f>
        <v/>
      </c>
      <c r="L4" s="58" t="inlineStr">
        <is>
          <t>Optin</t>
        </is>
      </c>
      <c r="M4" s="60">
        <f>LEN(L4)</f>
        <v/>
      </c>
      <c r="N4" s="59" t="inlineStr">
        <is>
          <t>Optin</t>
        </is>
      </c>
      <c r="O4" s="60">
        <f>LEN(N4)</f>
        <v/>
      </c>
      <c r="P4" s="59" t="inlineStr">
        <is>
          <t>Optin</t>
        </is>
      </c>
      <c r="Q4" s="472">
        <f>LEN(P4)</f>
        <v/>
      </c>
      <c r="R4" s="472" t="inlineStr">
        <is>
          <t>Open Ended</t>
        </is>
      </c>
      <c r="S4" s="472" t="inlineStr">
        <is>
          <t>NA</t>
        </is>
      </c>
      <c r="T4" s="472" t="inlineStr">
        <is>
          <t>NA</t>
        </is>
      </c>
      <c r="U4" s="472" t="inlineStr">
        <is>
          <t>Form Type - TextBox</t>
        </is>
      </c>
      <c r="V4" s="473" t="inlineStr">
        <is>
          <t>NA</t>
        </is>
      </c>
      <c r="W4" s="474" t="inlineStr">
        <is>
          <t>Any Response = phone_number</t>
        </is>
      </c>
      <c r="X4" s="475" t="n"/>
      <c r="Y4" s="476" t="inlineStr">
        <is>
          <t>NA</t>
        </is>
      </c>
      <c r="Z4" s="477" t="n"/>
      <c r="AA4" s="478" t="inlineStr">
        <is>
          <t>ALL</t>
        </is>
      </c>
      <c r="AB4" s="479" t="n"/>
      <c r="AC4" s="480" t="n">
        <v>0</v>
      </c>
      <c r="AD4" s="481" t="n"/>
      <c r="AE4" s="480">
        <f>AC4*AD4</f>
        <v/>
      </c>
    </row>
    <row r="5" ht="20" customFormat="1" customHeight="1" s="261">
      <c r="A5" s="482" t="inlineStr">
        <is>
          <t>NA</t>
        </is>
      </c>
      <c r="B5" s="483" t="inlineStr">
        <is>
          <t>phone_number</t>
        </is>
      </c>
      <c r="C5" s="484" t="inlineStr">
        <is>
          <t>phone_number</t>
        </is>
      </c>
      <c r="D5" s="485" t="inlineStr">
        <is>
          <t xml:space="preserve">Input the phone number that you are contacting: </t>
        </is>
      </c>
      <c r="E5" s="472">
        <f>LEN(D5)</f>
        <v/>
      </c>
      <c r="F5" s="485" t="inlineStr">
        <is>
          <t xml:space="preserve">Saisir le numéro de téléphone que vous chercher à contacter: </t>
        </is>
      </c>
      <c r="G5" s="472">
        <f>LEN(F5)</f>
        <v/>
      </c>
      <c r="H5" s="52" t="inlineStr">
        <is>
          <t xml:space="preserve">I bɛ kumana mɔgɔ min fɛ, o tigi ka nimoro don </t>
        </is>
      </c>
      <c r="I5" s="472">
        <f>LEN(H5)</f>
        <v/>
      </c>
      <c r="J5" s="52" t="inlineStr">
        <is>
          <t>Telpɔn mà limɔrõ bón é bɔ̃rãrá kuno i</t>
        </is>
      </c>
      <c r="K5" s="472">
        <f>LEN(J5)</f>
        <v/>
      </c>
      <c r="L5" s="52" t="inlineStr">
        <is>
          <t>Danng boora telfoono lanba:</t>
        </is>
      </c>
      <c r="M5" s="472">
        <f>LEN(L5)</f>
        <v/>
      </c>
      <c r="N5" s="52" t="inlineStr">
        <is>
          <t>Igiš  numoro ən telefone was tarhed teɣarenes:</t>
        </is>
      </c>
      <c r="O5" s="472">
        <f>LEN(N5)</f>
        <v/>
      </c>
      <c r="P5" s="52" t="inlineStr">
        <is>
          <t>Ngattee liimoro nga kaajaɗon noddude.</t>
        </is>
      </c>
      <c r="Q5" s="472">
        <f>LEN(P5)</f>
        <v/>
      </c>
      <c r="R5" s="472" t="inlineStr">
        <is>
          <t>Open Ended</t>
        </is>
      </c>
      <c r="S5" s="472" t="inlineStr">
        <is>
          <t>NA</t>
        </is>
      </c>
      <c r="T5" s="472" t="inlineStr">
        <is>
          <t>NA</t>
        </is>
      </c>
      <c r="U5" s="472" t="inlineStr">
        <is>
          <t>Form Type - TextBox</t>
        </is>
      </c>
      <c r="V5" s="473" t="inlineStr">
        <is>
          <t>NA</t>
        </is>
      </c>
      <c r="W5" s="474" t="inlineStr">
        <is>
          <t>Any Response = calldispo</t>
        </is>
      </c>
      <c r="X5" s="486" t="n"/>
      <c r="Y5" s="476" t="inlineStr">
        <is>
          <t>NA</t>
        </is>
      </c>
      <c r="Z5" s="477" t="n"/>
      <c r="AA5" s="478" t="inlineStr">
        <is>
          <t>ALL</t>
        </is>
      </c>
      <c r="AB5" s="487" t="n"/>
      <c r="AC5" s="480" t="n">
        <v>0</v>
      </c>
      <c r="AD5" s="481" t="n"/>
      <c r="AE5" s="480">
        <f>AC5*AD5</f>
        <v/>
      </c>
    </row>
    <row r="6" ht="160" customHeight="1">
      <c r="A6" s="359" t="inlineStr">
        <is>
          <t>NA</t>
        </is>
      </c>
      <c r="B6" s="56" t="inlineStr">
        <is>
          <t>calldispo</t>
        </is>
      </c>
      <c r="C6" s="48" t="inlineStr">
        <is>
          <t>calldispo</t>
        </is>
      </c>
      <c r="D6" s="49" t="inlineStr">
        <is>
          <t>Phone number: #CATI_MOBILENUMBER#
1)Someone answers
2)Answering machine
3)No answer
4)Hang up or refusal
5)Call back
6)Under review
7)Disconnected</t>
        </is>
      </c>
      <c r="E6" s="27">
        <f>LEN(D6)</f>
        <v/>
      </c>
      <c r="F6" s="57" t="inlineStr">
        <is>
          <t>Numéro de téléphone: #CATI_MOBILENUMBER#
1)Quelqu’un répond
2)Répondeur
3)Pas de réponse
4)Raccroche/Refuse
5)Doit être rappeler
6)À l’étude
7)Déconnecté</t>
        </is>
      </c>
      <c r="G6" s="27">
        <f>LEN(F6)</f>
        <v/>
      </c>
      <c r="H6" s="58" t="inlineStr">
        <is>
          <t xml:space="preserve">Telephone numero : #CATI_MOBILENUMBER#
1)Dô ya djabi
2)Nêguêdjourousira ma sone
3)A soné la n'ga a ma diabi
4)Nêguêdjourousira taara a ma son gninigali ma
5)Segui ka wélé
6)Ka diaté minai
7)A te barala </t>
        </is>
      </c>
      <c r="I6" s="27">
        <f>LEN(H6)</f>
        <v/>
      </c>
      <c r="J6" s="58" t="inlineStr">
        <is>
          <t>A telephoni ma numero bèrèi: #CATI_MOBILENUMBER#
1)Inè tourou djeyawô
2)Yorou
3)Sanè
4)Polatin/ Yabanè
5)Pilémé bono
6)Kiguéré ou Pilémé manrouyènè
7)Diguèla</t>
        </is>
      </c>
      <c r="K6" s="27">
        <f>LEN(J6)</f>
        <v/>
      </c>
      <c r="L6" s="59" t="inlineStr">
        <is>
          <t>Gourou schero lamba: #CATI_MOBILENUMBER#
1)Borfo touurou
2)Repondeur
3)Borkoul chi ma za
4)A wandji ka za
5)A ga tia keyna
6)Wato chi boori
7)A chi ma conneté</t>
        </is>
      </c>
      <c r="M6" s="60">
        <f>LEN(L6)</f>
        <v/>
      </c>
      <c r="N6" s="61" t="inlineStr">
        <is>
          <t>Numero de telephone: #CATI_MOBILENUMBER#
1)issoudmare awadoume iyane
2)tamoute
3)warissenague
4)oundjeye sassoudmour
5)siktidahide
6)an nine minhi
7)wahihene salane</t>
        </is>
      </c>
      <c r="O6" s="62">
        <f>LEN(N6)</f>
        <v/>
      </c>
      <c r="P6" s="59" t="inlineStr">
        <is>
          <t xml:space="preserve"> Telefon numero: #CATI_MOBILENUMBER#
1)Gooto jaban
2)Hebataaki
3) Wala jaabu
4)yeebaade / Salaade
5)Nodditanngo
6)Ana hayba
7)Pamondirta</t>
        </is>
      </c>
      <c r="Q6" s="27">
        <f>LEN(P6)</f>
        <v/>
      </c>
      <c r="R6" s="63" t="inlineStr">
        <is>
          <t>Single Choice</t>
        </is>
      </c>
      <c r="S6" s="27" t="inlineStr">
        <is>
          <t>NA</t>
        </is>
      </c>
      <c r="T6" s="27" t="inlineStr">
        <is>
          <t>NA</t>
        </is>
      </c>
      <c r="U6" s="27" t="inlineStr">
        <is>
          <t>Form Type - Buttons</t>
        </is>
      </c>
      <c r="V6" s="40" t="inlineStr">
        <is>
          <t>NA</t>
        </is>
      </c>
      <c r="W6" s="64" t="inlineStr">
        <is>
          <t>1 = resp_language
2 = AnsweringMachine
3 = NoAnswer
4 = Refusal
5 = WhenCallBack
6 = UnderReview
7 = Disconnected</t>
        </is>
      </c>
      <c r="X6" s="319" t="n"/>
      <c r="Y6" s="294" t="inlineStr">
        <is>
          <t>NA</t>
        </is>
      </c>
      <c r="Z6" s="65" t="n"/>
      <c r="AA6" s="66" t="inlineStr">
        <is>
          <t>ALL</t>
        </is>
      </c>
      <c r="AB6" s="67" t="n"/>
      <c r="AC6" s="45" t="n">
        <v>0</v>
      </c>
      <c r="AD6" s="280" t="n"/>
      <c r="AE6" s="45">
        <f>AC6*AD6</f>
        <v/>
      </c>
    </row>
    <row r="7" ht="20" customHeight="1">
      <c r="A7" s="359" t="inlineStr">
        <is>
          <t>NA</t>
        </is>
      </c>
      <c r="B7" s="56" t="inlineStr">
        <is>
          <t>AnsweringMachine</t>
        </is>
      </c>
      <c r="C7" s="48" t="inlineStr">
        <is>
          <t>calldispo_answeringmachine</t>
        </is>
      </c>
      <c r="D7" s="68" t="inlineStr">
        <is>
          <t>Reached an answering machine.</t>
        </is>
      </c>
      <c r="E7" s="27">
        <f>LEN(D7)</f>
        <v/>
      </c>
      <c r="F7" s="69" t="inlineStr">
        <is>
          <t>L'appel a abouti sur un répondeur.</t>
        </is>
      </c>
      <c r="G7" s="27">
        <f>LEN(F7)</f>
        <v/>
      </c>
      <c r="H7" s="70" t="inlineStr">
        <is>
          <t>Nêguêdjourousira  te ka do</t>
        </is>
      </c>
      <c r="I7" s="27">
        <f>LEN(H7)</f>
        <v/>
      </c>
      <c r="J7" s="70" t="inlineStr">
        <is>
          <t>Téléphone gô yowôrô</t>
        </is>
      </c>
      <c r="K7" s="27">
        <f>LEN(J7)</f>
        <v/>
      </c>
      <c r="L7" s="71" t="inlineStr">
        <is>
          <t>Gourou sechero go repondeur</t>
        </is>
      </c>
      <c r="M7" s="72">
        <f>LEN(L7)</f>
        <v/>
      </c>
      <c r="N7" s="71" t="inlineStr">
        <is>
          <t>Telephone ta moute.</t>
        </is>
      </c>
      <c r="O7" s="72">
        <f>LEN(N7)</f>
        <v/>
      </c>
      <c r="P7" s="54" t="inlineStr">
        <is>
          <t>Telefon jnifudo</t>
        </is>
      </c>
      <c r="Q7" s="27">
        <f>LEN(P7)</f>
        <v/>
      </c>
      <c r="R7" s="63" t="inlineStr">
        <is>
          <t>NA</t>
        </is>
      </c>
      <c r="S7" s="63" t="inlineStr">
        <is>
          <t>NA</t>
        </is>
      </c>
      <c r="T7" s="63" t="inlineStr">
        <is>
          <t>NA</t>
        </is>
      </c>
      <c r="U7" s="63" t="inlineStr">
        <is>
          <t>NA</t>
        </is>
      </c>
      <c r="V7" s="40" t="inlineStr">
        <is>
          <t>NA</t>
        </is>
      </c>
      <c r="W7" s="73" t="inlineStr">
        <is>
          <t>End Poll AnsweringMachine</t>
        </is>
      </c>
      <c r="X7" s="320" t="n"/>
      <c r="Y7" s="295" t="inlineStr">
        <is>
          <t>NA</t>
        </is>
      </c>
      <c r="Z7" s="74" t="n"/>
      <c r="AA7" s="75" t="inlineStr">
        <is>
          <t>calldispo = 2</t>
        </is>
      </c>
      <c r="AB7" s="76" t="n"/>
      <c r="AC7" s="45" t="n">
        <v>0</v>
      </c>
      <c r="AD7" s="280" t="n"/>
      <c r="AE7" s="45">
        <f>AC7*AD7</f>
        <v/>
      </c>
    </row>
    <row r="8" ht="20" customHeight="1">
      <c r="A8" s="359" t="inlineStr">
        <is>
          <t>NA</t>
        </is>
      </c>
      <c r="B8" s="56" t="inlineStr">
        <is>
          <t>NoAnswer</t>
        </is>
      </c>
      <c r="C8" s="48" t="inlineStr">
        <is>
          <t>calldispo_noanswer</t>
        </is>
      </c>
      <c r="D8" s="68" t="inlineStr">
        <is>
          <t>Phone rang and no one answered.</t>
        </is>
      </c>
      <c r="E8" s="27">
        <f>LEN(D8)</f>
        <v/>
      </c>
      <c r="F8" s="57" t="inlineStr">
        <is>
          <t>Le téléphone a sonné et personne n'a répondu.</t>
        </is>
      </c>
      <c r="G8" s="27">
        <f>LEN(F8)</f>
        <v/>
      </c>
      <c r="H8" s="70" t="inlineStr">
        <is>
          <t>Nêguêdjourousira soné la n'ga mogo ma djabi</t>
        </is>
      </c>
      <c r="I8" s="27">
        <f>LEN(H8)</f>
        <v/>
      </c>
      <c r="J8" s="70" t="inlineStr">
        <is>
          <t>Téléphone gô bogorabé inè kama djéyérou</t>
        </is>
      </c>
      <c r="K8" s="27">
        <f>LEN(J8)</f>
        <v/>
      </c>
      <c r="L8" s="71" t="inlineStr">
        <is>
          <t>Gourou sechero hin amma borkoul mana za</t>
        </is>
      </c>
      <c r="M8" s="72">
        <f>LEN(L8)</f>
        <v/>
      </c>
      <c r="N8" s="71" t="inlineStr">
        <is>
          <t>Telephone tidiasoné watate ikel awadoume.</t>
        </is>
      </c>
      <c r="O8" s="72">
        <f>LEN(N8)</f>
        <v/>
      </c>
      <c r="P8" s="54" t="inlineStr">
        <is>
          <t>Telefon o soni fay gooto jaabay.</t>
        </is>
      </c>
      <c r="Q8" s="27">
        <f>LEN(P8)</f>
        <v/>
      </c>
      <c r="R8" s="63" t="inlineStr">
        <is>
          <t>NA</t>
        </is>
      </c>
      <c r="S8" s="63" t="inlineStr">
        <is>
          <t>NA</t>
        </is>
      </c>
      <c r="T8" s="63" t="inlineStr">
        <is>
          <t>NA</t>
        </is>
      </c>
      <c r="U8" s="63" t="inlineStr">
        <is>
          <t>NA</t>
        </is>
      </c>
      <c r="V8" s="40" t="inlineStr">
        <is>
          <t>NA</t>
        </is>
      </c>
      <c r="W8" s="73" t="inlineStr">
        <is>
          <t>End Poll NoAnswer</t>
        </is>
      </c>
      <c r="X8" s="320" t="n"/>
      <c r="Y8" s="295" t="inlineStr">
        <is>
          <t>NA</t>
        </is>
      </c>
      <c r="Z8" s="74" t="n"/>
      <c r="AA8" s="75" t="inlineStr">
        <is>
          <t>calldispo = 3</t>
        </is>
      </c>
      <c r="AB8" s="76" t="n"/>
      <c r="AC8" s="45" t="n">
        <v>0</v>
      </c>
      <c r="AD8" s="280" t="n"/>
      <c r="AE8" s="45">
        <f>AC8*AD8</f>
        <v/>
      </c>
    </row>
    <row r="9" ht="20" customHeight="1">
      <c r="A9" s="359" t="inlineStr">
        <is>
          <t>NA</t>
        </is>
      </c>
      <c r="B9" s="56" t="inlineStr">
        <is>
          <t>UnderReview</t>
        </is>
      </c>
      <c r="C9" s="48" t="inlineStr">
        <is>
          <t>calldispo_underreview</t>
        </is>
      </c>
      <c r="D9" s="68" t="inlineStr">
        <is>
          <t>Case needs review by a supervisor.</t>
        </is>
      </c>
      <c r="E9" s="27">
        <f>LEN(D9)</f>
        <v/>
      </c>
      <c r="F9" s="57" t="inlineStr">
        <is>
          <t>Le cas doit être examiné par un superviseur.</t>
        </is>
      </c>
      <c r="G9" s="27">
        <f>LEN(F9)</f>
        <v/>
      </c>
      <c r="H9" s="70" t="inlineStr">
        <is>
          <t>superviseur dô kan ka ni diateminè</t>
        </is>
      </c>
      <c r="I9" s="27">
        <f>LEN(H9)</f>
        <v/>
      </c>
      <c r="J9" s="70" t="inlineStr">
        <is>
          <t>On guiritonè tourou marouyènèwou djan</t>
        </is>
      </c>
      <c r="K9" s="27">
        <f>LEN(J9)</f>
        <v/>
      </c>
      <c r="L9" s="71" t="inlineStr">
        <is>
          <t>Boro beeri fo ga hima ka dabari tjétji ara</t>
        </is>
      </c>
      <c r="M9" s="72">
        <f>LEN(L9)</f>
        <v/>
      </c>
      <c r="N9" s="71" t="inlineStr">
        <is>
          <t>Alkhalat di inihadja issirikrikti amawal nichaghaldi.</t>
        </is>
      </c>
      <c r="O9" s="72">
        <f>LEN(N9)</f>
        <v/>
      </c>
      <c r="P9" s="54" t="inlineStr">
        <is>
          <t>Hooreejo gooto ana haani jeyttude dum.</t>
        </is>
      </c>
      <c r="Q9" s="27">
        <f>LEN(P9)</f>
        <v/>
      </c>
      <c r="R9" s="63" t="inlineStr">
        <is>
          <t>NA</t>
        </is>
      </c>
      <c r="S9" s="63" t="inlineStr">
        <is>
          <t>NA</t>
        </is>
      </c>
      <c r="T9" s="63" t="inlineStr">
        <is>
          <t>NA</t>
        </is>
      </c>
      <c r="U9" s="63" t="inlineStr">
        <is>
          <t>NA</t>
        </is>
      </c>
      <c r="V9" s="40" t="inlineStr">
        <is>
          <t>NA</t>
        </is>
      </c>
      <c r="W9" s="73" t="inlineStr">
        <is>
          <t>End Poll UnderReview</t>
        </is>
      </c>
      <c r="X9" s="320" t="n"/>
      <c r="Y9" s="295" t="inlineStr">
        <is>
          <t>NA</t>
        </is>
      </c>
      <c r="Z9" s="74" t="n"/>
      <c r="AA9" s="75" t="inlineStr">
        <is>
          <t>calldispo = 6</t>
        </is>
      </c>
      <c r="AB9" s="76" t="n"/>
      <c r="AC9" s="45" t="n">
        <v>0</v>
      </c>
      <c r="AD9" s="280" t="n"/>
      <c r="AE9" s="45">
        <f>AC9*AD9</f>
        <v/>
      </c>
    </row>
    <row r="10" ht="20" customHeight="1">
      <c r="A10" s="359" t="inlineStr">
        <is>
          <t>NA</t>
        </is>
      </c>
      <c r="B10" s="56" t="inlineStr">
        <is>
          <t>Disconnected</t>
        </is>
      </c>
      <c r="C10" s="48" t="inlineStr">
        <is>
          <t>calldispo_disconnected</t>
        </is>
      </c>
      <c r="D10" s="68" t="inlineStr">
        <is>
          <t>Phone was disconnected or out of service.</t>
        </is>
      </c>
      <c r="E10" s="27">
        <f>LEN(D10)</f>
        <v/>
      </c>
      <c r="F10" s="57" t="inlineStr">
        <is>
          <t>Le téléphone est déconnecté ou hors service.</t>
        </is>
      </c>
      <c r="G10" s="27">
        <f>LEN(F10)</f>
        <v/>
      </c>
      <c r="H10" s="70" t="inlineStr">
        <is>
          <t xml:space="preserve">Nêguêdjourousira tigè la wali  a te ka labara  </t>
        </is>
      </c>
      <c r="I10" s="27">
        <f>LEN(H10)</f>
        <v/>
      </c>
      <c r="J10" s="70" t="inlineStr">
        <is>
          <t>Téléphone gô poli ma yanwawima</t>
        </is>
      </c>
      <c r="K10" s="27">
        <f>LEN(J10)</f>
        <v/>
      </c>
      <c r="L10" s="71" t="inlineStr">
        <is>
          <t>Gouro sechero si reso'ra wala bindé anka bou</t>
        </is>
      </c>
      <c r="M10" s="72">
        <f>LEN(L10)</f>
        <v/>
      </c>
      <c r="N10" s="71" t="inlineStr">
        <is>
          <t>Telephone timakate maigue watiha reseau.</t>
        </is>
      </c>
      <c r="O10" s="72">
        <f>LEN(N10)</f>
        <v/>
      </c>
      <c r="P10" s="54" t="inlineStr">
        <is>
          <t xml:space="preserve">Telefon o jniffude naa walaa e golle. </t>
        </is>
      </c>
      <c r="Q10" s="27">
        <f>LEN(P10)</f>
        <v/>
      </c>
      <c r="R10" s="63" t="inlineStr">
        <is>
          <t>NA</t>
        </is>
      </c>
      <c r="S10" s="63" t="inlineStr">
        <is>
          <t>NA</t>
        </is>
      </c>
      <c r="T10" s="63" t="inlineStr">
        <is>
          <t>NA</t>
        </is>
      </c>
      <c r="U10" s="63" t="inlineStr">
        <is>
          <t>NA</t>
        </is>
      </c>
      <c r="V10" s="40" t="inlineStr">
        <is>
          <t>NA</t>
        </is>
      </c>
      <c r="W10" s="73" t="inlineStr">
        <is>
          <t>End Poll Disconnected</t>
        </is>
      </c>
      <c r="X10" s="320" t="n"/>
      <c r="Y10" s="295" t="inlineStr">
        <is>
          <t>NA</t>
        </is>
      </c>
      <c r="Z10" s="74" t="n"/>
      <c r="AA10" s="75" t="inlineStr">
        <is>
          <t>calldispo = 7</t>
        </is>
      </c>
      <c r="AB10" s="76" t="n"/>
      <c r="AC10" s="45" t="n">
        <v>0</v>
      </c>
      <c r="AD10" s="280" t="n"/>
      <c r="AE10" s="45">
        <f>AC10*AD10</f>
        <v/>
      </c>
    </row>
    <row r="11" ht="193.25" customHeight="1">
      <c r="A11" s="359" t="n">
        <v>1</v>
      </c>
      <c r="B11" s="56" t="inlineStr">
        <is>
          <t>resp_language</t>
        </is>
      </c>
      <c r="C11" s="48" t="inlineStr">
        <is>
          <t>resp_language</t>
        </is>
      </c>
      <c r="D11" s="77" t="inlineStr">
        <is>
          <t>Which language do you wish to proceed with?
[OPERATOR: READ ANSWER CHOICES, SINGLE RESPONSE]
1)French
2)Bambara
3)Dogon
4)Sonrhai
5)Tamachek
6)Peulh
7)English - [TESTING PURPOSES]</t>
        </is>
      </c>
      <c r="E11" s="27">
        <f>LEN(D11)</f>
        <v/>
      </c>
      <c r="F11" s="57" t="inlineStr">
        <is>
          <t>Dans quelle langue souhaitez-vous que nous parlions?
[OPÉRATEUR/OPÉRATRICE: LISEZ LES CHOIX, RÉPONSE UNIQUE]
1)French
2)Bambara
3)Dogon
4)Sonrhai
5)Tamachek
6)Peulh
7)English - [TESTING PURPOSES]</t>
        </is>
      </c>
      <c r="G11" s="27">
        <f>LEN(F11)</f>
        <v/>
      </c>
      <c r="H11" s="86" t="inlineStr">
        <is>
          <t>I Be fè an ka baara ni kè kan djoumè na?
[NÈGÈDOUROU SIRA: NÊGUÊDJOUROUSIRA KELEN SOUGANTI]
1)Toubabou kan
2)Bamana kan
3)Dôgônon kan
4)Sonrhai kan
5)Tamachek kan
6)Foula kan
7)English - [TESTING PURPOSES]</t>
        </is>
      </c>
      <c r="I11" s="27">
        <f>LEN(H11)</f>
        <v/>
      </c>
      <c r="J11" s="86" t="inlineStr">
        <is>
          <t>Sô yôgô lé birèmou?
[SEROUMOU SEROUMOUNE: YABIYIRI TOUROU DJEGNE]
1)Andiara sô
2)Bambara sô
3)Dogon sô
4)Sonrhai sô
5)Tamachek sô
6)Peulh sô
7)English - [TESTING PURPOSES]</t>
        </is>
      </c>
      <c r="K11" s="27">
        <f>LEN(J11)</f>
        <v/>
      </c>
      <c r="L11" s="71" t="inlineStr">
        <is>
          <t>Chénni fora nga ba ir ma shelegn?
[HANKOYO: AFFO DE ZA]
1)Annassara chenne
2)Bambara chenne
3)Kaada chenne
4)Songhoi boro chenne
5)Belle chenne
6)Foulan chenne
7)English - [TESTING PURPOSES]</t>
        </is>
      </c>
      <c r="M11" s="464">
        <f>LEN(L11)</f>
        <v/>
      </c>
      <c r="N11" s="71" t="inlineStr">
        <is>
          <t>indeke madjerede wah dague tarhede anissante
[AMASSASTAN: akile iyane dague issoudmarane]
1)Takafarte
2)Bambara
3)Dogon
4)Sonrhai
5)Tamachek
6)Peulh
7)English - [TESTING PURPOSES]</t>
        </is>
      </c>
      <c r="O11" s="705">
        <f>LEN(N11)</f>
        <v/>
      </c>
      <c r="P11" s="71" t="inlineStr">
        <is>
          <t>Sii haala kodum jidda jaabude
[LANDOTOODO: SUBU JAABUU GOOTO TAN]
1)Faransikoro
2)Bambarakore
3)Fulfulde
4)Haabere
5)Koroborore
6)laarabuukore 
7)English - [TESTING PURPOSES]</t>
        </is>
      </c>
      <c r="Q11" s="27">
        <f>LEN(P11)</f>
        <v/>
      </c>
      <c r="R11" s="63" t="inlineStr">
        <is>
          <t>Single Choice</t>
        </is>
      </c>
      <c r="S11" s="27" t="inlineStr">
        <is>
          <t>NA</t>
        </is>
      </c>
      <c r="T11" s="27" t="inlineStr">
        <is>
          <t>NA</t>
        </is>
      </c>
      <c r="U11" s="27" t="inlineStr">
        <is>
          <t>Form Type - Buttons</t>
        </is>
      </c>
      <c r="V11" s="27" t="inlineStr">
        <is>
          <t>NA</t>
        </is>
      </c>
      <c r="W11" s="79" t="inlineStr">
        <is>
          <t>1 = Introduction [French]
2 = Introduction [Bambara]
3 = Introduction [Dogon]
4 = Introduction [Sornhai]
5 = Introduction [Tamachek]
6 = Introduction [Peulh]
7 = Introduction [English]</t>
        </is>
      </c>
      <c r="X11" s="321" t="n"/>
      <c r="Y11" s="296" t="inlineStr">
        <is>
          <t>For any response, go to introduction</t>
        </is>
      </c>
      <c r="Z11" s="80" t="n"/>
      <c r="AA11" s="66" t="inlineStr">
        <is>
          <t>ALL</t>
        </is>
      </c>
      <c r="AB11" s="81" t="inlineStr">
        <is>
          <t>Insert most common national languages here [max 4 for translation with GeoPoll].
Insérer ici les langues nationales les plus courantes [4 maximum pour la traduction avec GeoPoll].</t>
        </is>
      </c>
      <c r="AC11" s="45" t="n">
        <v>3.062232494354248</v>
      </c>
      <c r="AD11" s="280" t="n"/>
      <c r="AE11" s="45">
        <f>AC11*AD11</f>
        <v/>
      </c>
    </row>
    <row r="12" ht="409.6" customHeight="1">
      <c r="A12" s="359">
        <f>A11+1</f>
        <v/>
      </c>
      <c r="B12" s="56" t="inlineStr">
        <is>
          <t>Introduction</t>
        </is>
      </c>
      <c r="C12" s="48" t="inlineStr">
        <is>
          <t>introduction</t>
        </is>
      </c>
      <c r="D12" s="2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2" s="27">
        <f>LEN(D12)</f>
        <v/>
      </c>
      <c r="F12" s="28"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15 et 20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2" s="27">
        <f>LEN(F12)</f>
        <v/>
      </c>
      <c r="H12" s="26" t="inlineStr">
        <is>
          <t>Aw ni sɔgɔma, ne tɔgɔjɛ ko #OPERATOR# n bɛ weleni ka bɔ GeoPoll min bɛ jatimina kɛ ka ta sani feere cogoyaw kan. An bɛ nin sɛgɛsɛgɛni ni kɛ Food and Agriculture Organization of the United Nations [FAO] tɔgɔla. FAO y’a dɛmɛbaga n’a kɔrɔta baga ye. Sɛgɛseɛgɛni ka laɲini ye ka se k’a dɔn cogoya min mɔgɔ bɛ dumuni sɔrɔcogo ani u ɲɛnamaya bɛ cogo di.
Sɛgɛseɛgɛni bɛna kɛ minti 15 ka se 20 ma. Aw ka seen doni ye sagonan ko le ye, kunafoniw minw bɛ na sɔrɔ kabɔ aw yɔrɔla bɛna kɛ gundo ye aw ni anw cɛɛ. Aw bɛ se ka ban wala ka son ka ɲinigali dɔw jaabi. A sago ya dinilo fana aw ma aw ka se k’a seen bɔ ni sɛgɛsɛgɛ ni la sanga ni wakati bɛɛ. N’ga anw bɛ na a waleɲuman don ni aw seen donna k‘a laban, ani ka an ka ɲinigaliw jaabi di ni sɛbɛya ye.
Aw bɛna #TOPUP#! Weleli inite sɔrɔ I k aka taalikɛ kama.
Aw ka dɔn ko ni welenikan nin bɛ se ka ta ka bila danye ko kama.
Ɲinankali dɔ bɛ I fɛ wa?
[SƐGƐSƐGƐNIKƐLA : NI JAABILIKƐLA BƐ NI ƝININKALIW AW KA JAABI A YE. N’O TƐ AW YE TAA ƝƐ NI SƐGƐSƐGƐLI NE YE]
1)AW YE TAA ƝƐ.</t>
        </is>
      </c>
      <c r="I12" s="27">
        <f>LEN(H12)</f>
        <v/>
      </c>
      <c r="J12" s="26" t="inlineStr">
        <is>
          <t>Ǎn/ɲěn jéeɟè póo, mà bón #OPERATOR# gàbà, lugo mà bírɛ́-úró GeoPoll be gara kũũ nam-i è bɔ̃rɔ̃-djine. nàsɔ̃́ʒíní mà mɔ́ɔnú, káɲéyii wárúu mà òdjú káa djere (FAO) mà bón lè-i kònò. é àná mà úró-dúu nám-bé dãy ɛnɛ-bé kũu tígáa-rà, màa yówdjín kãrã miné káɲéy bɛ̀rɛ́ ɲée-ra bà máa, koy hɔ̀rá-rà i. kòsógó, é kũũ mà úródúu mà máná úɟúrú daga érú uɟuru déné m djĩĩ.
.
ámá wɛɛju lé, kò uj́úrǔ fúu míníntù 15/20 gara-go. ko tégú e tégè-sà fuu, ámáa ee lɛy say mà gàn-i wáɟákɔ̀, kò bírɛ́-nuŋo mà òɟúká léy sáy kò kúnó i, inen lagin-kã lé nà kò tégé-gó i. ko újúrú ceene djɛ mày, é déné mà bàrú, ámá é bàrá kũũ sogo nàa, wahla di be bɛ́rɛ́ mà kũ érú-i bɛl-li bé, PƐ́YKÃ́RÃ̀. é déné mà mana-ii dènè bè ley, úɟúrú turu mà ká sáará ó-gó bée, màa kò újúrú kũũ fúu-i déné bè kãrã nàa, sóy kò ká sáará ó-i la i. ngáa, kòrú é núu mà gé, yɛ máanáa-rã̀ i. iɲe djɛy mà ley, é júgɔ̀ nɛwɛ̃ yɛ̀sà djɛ́y.
.
Kéŕedi #TOPUP#! bɛ̀rɛ̀-bè, Kéŕedi bón bè bɔ̃̀rɔ̃́, kò újúrú mà òdjú kaá lè, dí bɛ́rɛ́ míné é numo é kunô.
kono ɟugɔ i, kò àpɛ́l mà bɛ̀rɛ́, mírẽ́ áawú gàmá kúnó i, ngáa sábábú ɛ̀djú sógóy. 
ujuru-bé yɛjéré-bè maa ?
[BIRƐ BAŊA : KO KAASAAN MÀ UɟURU BÉ KAASAARA BÉ YƆKƆ LÉY, WORU Ô U].
1)DJÍDJƐ̀ GÁRÁ I.</t>
        </is>
      </c>
      <c r="K12" s="27">
        <f>LEN(J12)</f>
        <v/>
      </c>
      <c r="L12" s="26" t="inlineStr">
        <is>
          <t xml:space="preserve">Alborey ndu weyborey mate er go, ay maayo no to  #OPERATOR#, ay manu er ce kala GeoPoll ma ga naasiyoŋ ini margana kaŋ gu hawgey ŋaaro ndu farey goyey kaŋ se i gu ne [FAO] goyo boŋ. Ir si ku te kala hãyoŋ huwey hinaa, mata kaŋ i gu te ku ŋaari er won ereziyoŋo ga ey su ba kala ey mu hayoŋ te huwo miso boŋ.
Enketto su gey kala mintu 15/20. Er zaabey kaŋ er gui r zaabi nda kulu si kala tugurey ga, anketto fonda ga hinne ga no ir gu i daŋ. Ir su i no boro fo kulu se. Er yedda gu zaabuyoŋo si kala yaamo anketto wo ga. a sinda ir mu er no gaakusiney fo. Goyo wo binibaay nda no boro gu a te, hala er ba bumbo, er tuuro hãyoŋey se. Aman ir gu tamhã kala erg u yedda ku goy nda ir zama er mu goyo teeyoŋo gu ir  kulu nafa gumo .
Er gu du #TOPUP# ! kaŋ gu te initeyoŋ er yedda ku zaabi ir se yoŋo se anketto fonda ga.
Er mu bey kaŋ ir ceyoŋo ir gu hini ku a sambu ku a gaayi ir boŋ se suba senni se.
Er gondu hãyoŋ wala ?
[HÃKA : ER MU ZAABU ZAABUKA NONGORO GA, HALA MONGO KU DU ZAABO].
1)ER MU SOBEY </t>
        </is>
      </c>
      <c r="M12" s="27">
        <f>LEN(L12)</f>
        <v/>
      </c>
      <c r="N12" s="26" t="inlineStr">
        <is>
          <t>Asalam Aleykum ahalis/tamat, əsimin eqal #OPERATOR# əd afal kawan varav dǎɣ tabarat tan ehan wan asostan ən GeoPoll dǎɣ əsim ən Tartət tan Nation Unies fal ashashko ən sigyak ən [[FAO]. Nitagu asostan fal tadabit ən təmudre ən məzvan əd aśahat ən agaraw ən atavam dǎɣ akal nawan. Arhev akawan sistinav ən asostan iyad fal amazav nawan.
Asostan dǎɣ awa atiwazayan itagu 15/20 ən minit. Isalan dak widǎɣ ihinav hakam adaqaymin garenav dirwan, wariken amitkil adǎɣ dǎɣ samando ən asostan əd waraqelan aytawalaven ye adinat iyad. Tiridaw ən ugish nawan ye livitan ən asostan wen wareqel dǎɣ WALA IYAN ayertayan ən tabavor nawan fal agaraw ən tadhil. Amos tabarat ən təridawt əd tadoben aikisam iba nisudmir ye iyan mev aniket ən asostanan afal tarham awen.Ugudendǎɣ, norda as atigisham, falas morda nawan eqal ayfan.
Atigriwam #TOPUP# ən azruf ən tevare fal salan ən ugish ən asostan.
Agat aniyat ye asəqəymu ən tavare tadobat ataqaymu dǎɣ samando ən təmusne.
Tilam asostanan ?
[ƏMASESTƏN : SUDMIR YE ASOSTAN ƏN WA ISIDMURAN, IYAT TABARAT].
1)AKIYAT</t>
        </is>
      </c>
      <c r="O12" s="27">
        <f>LEN(N12)</f>
        <v/>
      </c>
      <c r="P12" s="26" t="inlineStr">
        <is>
          <t>JOn mbeetii e jam, innde am yo #OPERATOR#, dow innde waalde hiinyoore no nguurndam ɓiɓɓe aadama en woorri annditirteende GeoPoll noddirmaa-mi. Nden waalde na jeydaa e waalde Nason Jini daraniinde neema e demal [FAO]. Miɗen ngondi e hiinyugol faa faama ko ɓaadeeji mbuurdi banngal neemaaji muɓɓen nder nukkooje muɓɓen. Miɗo yiɗi min lamndoo-ɗon ko haɓɓodii e ɓaade mooɗon.
Ƴamɗe ɗen na mbaawi adude mintaaji 15 yaade 20. Kala ko kaalanton men ɗum fuh yo ko suurii, goɗɗo fuh nanataa ɗum, yo banngal golle amen tan men kaajoraa ɗum. 
Hawtude hoore mooɗon e ngal gollal duh yo e muuyɗe mooɗon woni, walaa fuh ko heɓetee nder majjum banngal mballa feereejo feedee mooɗon. Yo ɗum mballa ɓolo, so on muuyaay duh oɗon mbaawi tawee on njaabaaki yoga e ƴamɗe ɗen maa ɗe fuh. Ammaa miɗen njeloo tawee on njaɓan njaabo-ɗon men, sabu jaabu mooɗon nafan sanne.
Min ndeldan-ɗon initteeji #TOPUP# faa keɓon kawriton e lamndi ɗin.
Paamon keh yeewto meeɗen nder telfon ngoo na waawi joƴƴineede no waɗata ko laaɓal majjum heɓee. 
Oɗon njogii fuh ƴamɗe banngal majjum ?
[GOLLOOWO: NJAABO-ƊAA ƳAMƊE MAKKO, SO TAWWAAMA O ƳAMII FAAMUDE GOƊƊUM].
1)YAARU YEESO.</t>
        </is>
      </c>
      <c r="Q12" s="27">
        <f>LEN(P12)</f>
        <v/>
      </c>
      <c r="R12" s="63" t="inlineStr">
        <is>
          <t>Single Choice</t>
        </is>
      </c>
      <c r="S12" s="27" t="inlineStr">
        <is>
          <t>NA</t>
        </is>
      </c>
      <c r="T12" s="27" t="inlineStr">
        <is>
          <t>NA</t>
        </is>
      </c>
      <c r="U12" s="27" t="inlineStr">
        <is>
          <t>Form Type - Buttons</t>
        </is>
      </c>
      <c r="V12" s="40" t="inlineStr">
        <is>
          <t>NA</t>
        </is>
      </c>
      <c r="W12" s="64" t="inlineStr">
        <is>
          <t>1 = Agree</t>
        </is>
      </c>
      <c r="X12" s="319" t="n"/>
      <c r="Y12" s="296" t="inlineStr">
        <is>
          <t>For any response, go to Agree</t>
        </is>
      </c>
      <c r="Z12" s="80" t="n"/>
      <c r="AA12" s="66" t="inlineStr">
        <is>
          <t>ALL</t>
        </is>
      </c>
      <c r="AB12" s="81" t="inlineStr">
        <is>
          <t>Set the amount of incentive here, if any.
Le cas échéant, définir ici le montant de l'incitation.</t>
        </is>
      </c>
      <c r="AC12" s="45" t="n">
        <v>50.82254028320312</v>
      </c>
      <c r="AD12" s="280" t="n"/>
      <c r="AE12" s="45">
        <f>AC12*AD12</f>
        <v/>
      </c>
    </row>
    <row r="13" ht="140" customHeight="1">
      <c r="A13" s="359">
        <f>A12+1</f>
        <v/>
      </c>
      <c r="B13" s="56" t="inlineStr">
        <is>
          <t>Agree</t>
        </is>
      </c>
      <c r="C13" s="48" t="inlineStr">
        <is>
          <t>resp_agree</t>
        </is>
      </c>
      <c r="D13" s="49" t="inlineStr">
        <is>
          <t xml:space="preserve">Are you interested in participating in this survey?
[OPERATOR: SINGLE RESPONSE]
1)Yes 
2)Not now but another time in the week 
3)No </t>
        </is>
      </c>
      <c r="E13" s="27">
        <f>LEN(D13)</f>
        <v/>
      </c>
      <c r="F13" s="83" t="inlineStr">
        <is>
          <t xml:space="preserve">Souhaitez-vous participer à cette enquête?
[OPÉRATEUR/OPÉRATRICE: RÉPONSE UNIQUE]
1)Oui
2)Pas maintenant mais à un autre moment de la semaine 
3)Non </t>
        </is>
      </c>
      <c r="G13" s="27">
        <f>LEN(F13)</f>
        <v/>
      </c>
      <c r="H13" s="363" t="inlineStr">
        <is>
          <t>Son na nienigali baara ni ka da minè wa?
[NÈGÈDOUROU SIRA: DJABI KELEN]
1)Awo
2)Ayi wati wèrè dogokou kono
3)Ayi</t>
        </is>
      </c>
      <c r="I13" s="27">
        <f>LEN(H13)</f>
        <v/>
      </c>
      <c r="J13" s="363" t="inlineStr">
        <is>
          <t>Seroumou gô bé ouwônè seroumou bèbè gôn ma?
[SEROUMOU SEROUMOUNE: YABIYIRIYE TOUROU]
1)Éh
2)Kanaye lah baylé diougou on kôrônè
3)Ayi</t>
        </is>
      </c>
      <c r="K13" s="27">
        <f>LEN(J13)</f>
        <v/>
      </c>
      <c r="L13" s="364" t="inlineStr">
        <is>
          <t xml:space="preserve">Ni yadda wala?
[HANKOYO: DJAABI FO]
1)Ayo
2)Manti sohonda kala wati fo
3)Kala-kala                                                                                                                                                                                   </t>
        </is>
      </c>
      <c r="M13" s="85">
        <f>LEN(L13)</f>
        <v/>
      </c>
      <c r="N13" s="77" t="inlineStr">
        <is>
          <t>Tardede Assintide?
[OPERATEUR: ASSOUDMA IYENE]
1)Iya
2)Har darate awah
3)Aboh</t>
        </is>
      </c>
      <c r="O13" s="85">
        <f>LEN(N13)</f>
        <v/>
      </c>
      <c r="P13" s="77" t="inlineStr">
        <is>
          <t>Adayidi wonude e ngol humpitigol naa? 
[LANDOTOODO: JAABUU GOOTO]
1)Ayyo
2)Wana jooni faa wakati goddo ley yontere nde
3)A'aa</t>
        </is>
      </c>
      <c r="Q13" s="27">
        <f>LEN(P13)</f>
        <v/>
      </c>
      <c r="R13" s="63" t="inlineStr">
        <is>
          <t>StartRecording</t>
        </is>
      </c>
      <c r="S13" s="27" t="inlineStr">
        <is>
          <t>NA</t>
        </is>
      </c>
      <c r="T13" s="27" t="inlineStr">
        <is>
          <t>NA</t>
        </is>
      </c>
      <c r="U13" s="27" t="inlineStr">
        <is>
          <t>Form Type - Buttons</t>
        </is>
      </c>
      <c r="V13" s="40" t="inlineStr">
        <is>
          <t>NA</t>
        </is>
      </c>
      <c r="W13" s="64" t="inlineStr">
        <is>
          <t>1 = id_panel
2 = WhenCallBack
3 = resp_refusalwhy</t>
        </is>
      </c>
      <c r="X13" s="319" t="n"/>
      <c r="Y13" s="297" t="inlineStr">
        <is>
          <t>if Agree = 1, go to resp_firstname
if Agree = 2, go to WhenCallBack
if Agree = 3, go to resp_refusalwhy</t>
        </is>
      </c>
      <c r="Z13" s="87" t="n"/>
      <c r="AA13" s="66" t="inlineStr">
        <is>
          <t>ALL</t>
        </is>
      </c>
      <c r="AB13" s="67" t="n"/>
      <c r="AC13" s="45" t="n">
        <v>3.496473789215088</v>
      </c>
      <c r="AD13" s="280" t="n">
        <v>1</v>
      </c>
      <c r="AE13" s="45">
        <f>AC13*AD13</f>
        <v/>
      </c>
    </row>
    <row r="14" ht="160" customHeight="1">
      <c r="A14" s="88">
        <f>A13+1</f>
        <v/>
      </c>
      <c r="B14" s="448" t="inlineStr">
        <is>
          <t>id_panel</t>
        </is>
      </c>
      <c r="C14" s="461" t="inlineStr">
        <is>
          <t>id_panel</t>
        </is>
      </c>
      <c r="D14" s="462" t="inlineStr">
        <is>
          <t>Have you or any member of your household received a call on behalf of FAO regarding this topic in the past two years?
[OPERATOR: SINGLE RESPONSE.]
1)YES
2)NO
3)DON'T KNOW</t>
        </is>
      </c>
      <c r="E14" s="451">
        <f>LEN(D14)</f>
        <v/>
      </c>
      <c r="F14" s="463" t="inlineStr">
        <is>
          <t>Est-ce que vous ou un membre de votre ménage avez reçu un appel pour le compte de la FAO sur ce sujet au cours des deux dernières années?
[OPÉRATEUR/OP´ERATRICE: RÉPONSE UNIQUE.]
1)Oui
2)Non
3)NE SAIT PAS</t>
        </is>
      </c>
      <c r="G14" s="204">
        <f>LEN(F14)</f>
        <v/>
      </c>
      <c r="H14" s="84" t="inlineStr">
        <is>
          <t>Ayiwa aw yɛrɛ walima aw dukɔnɔmɔgɔ dɔ delila ka welilakan sɔrɔ FAO fɛ nin kumakan fan fɛ wa?
[NIENIGALI KÈLA: DIABI KELEN]
1)AWO
2)AYI
3)NE MA DON</t>
        </is>
      </c>
      <c r="I14" s="451">
        <f>LEN(H14)</f>
        <v/>
      </c>
      <c r="J14" s="84" t="inlineStr">
        <is>
          <t xml:space="preserve">Bɛyi, é màa, é uro bɛrɛ mà inén màa, oju kaa nuŋo jɛmay, ãrã dũwõ nuŋo ley bɛrɛ, FAO kaa lé apɛl bɛ-sà bè ?
[BIRƐ MA KŨ BAŋA : UɟURU KƆ TURU LE BE SAA-I]
1)ÉE
2)Ɔ̃-Ɔ̃
3)ɟUGƆGO. </t>
        </is>
      </c>
      <c r="K14" s="451">
        <f>LEN(J14)</f>
        <v/>
      </c>
      <c r="L14" s="86" t="inlineStr">
        <is>
          <t>Jiiri hĩkey wey ndu cere game, i daŋ ku er wala bine er won nongoro boro fo ce FAO ma ga senno dine boŋ?
[HANKOYO:  MACHI TA KA HAR DJAABI FO]
1) AYYO
2) KALA
3) A CHI BEY</t>
        </is>
      </c>
      <c r="M14" s="464">
        <f>LEN(L14)</f>
        <v/>
      </c>
      <c r="N14" s="71" t="inlineStr">
        <is>
          <t>Yala kawaned meɣ awadəm dǎɣ amazaɣ nawan igraw atwiɣir dǎɣ əsəm wan FAO fal salan ɣur dǎɣ əsin elan wi dəlkamnen?
[AMASSASTAN: AGRETE ISSALANES ASSOUDMARE IYANE]
1)IYA
2)ABO
3)WARISSÉNAGUE</t>
        </is>
      </c>
      <c r="O14" s="464">
        <f>LEN(N14)</f>
        <v/>
      </c>
      <c r="P14" s="84" t="inlineStr">
        <is>
          <t xml:space="preserve">Won fuh noddaaɗo nder ɓaade mooɗon dow innde FAO habaru majjum ley duuɓi ɗiɗi cakitiiɗi ɗii? 
[GOLLOOWO : JAWAABU GOOTO].
1)AYYO 
2)AA'A. 
3)ANNDA </t>
        </is>
      </c>
      <c r="Q14" s="72">
        <f>LEN(P14)</f>
        <v/>
      </c>
      <c r="R14" s="265" t="inlineStr">
        <is>
          <t>Single Choice</t>
        </is>
      </c>
      <c r="S14" s="27" t="inlineStr">
        <is>
          <t>NA</t>
        </is>
      </c>
      <c r="T14" s="40" t="inlineStr">
        <is>
          <t>NA</t>
        </is>
      </c>
      <c r="U14" s="27" t="inlineStr">
        <is>
          <t>NA</t>
        </is>
      </c>
      <c r="V14" s="27" t="inlineStr">
        <is>
          <t>Form Type - Buttons</t>
        </is>
      </c>
      <c r="W14" s="41" t="inlineStr">
        <is>
          <t>1-3 = resp_firstname</t>
        </is>
      </c>
      <c r="X14" s="321" t="n"/>
      <c r="Y14" s="303" t="inlineStr">
        <is>
          <t>if phone_number_conf = 1, go to contact_2
if phone_number_conf = 2, go to phone_number_personal
if phone_number_conf = 3-4, go to contact_2</t>
        </is>
      </c>
      <c r="Z14" s="125" t="n"/>
      <c r="AA14" s="126" t="inlineStr">
        <is>
          <t>resp_agree = 1 
resp_age = 18-100</t>
        </is>
      </c>
      <c r="AB14" s="127" t="n"/>
      <c r="AC14" s="128" t="n">
        <v>10</v>
      </c>
      <c r="AD14" s="495">
        <f>1</f>
        <v/>
      </c>
      <c r="AE14" s="128">
        <f>AC14*AD14</f>
        <v/>
      </c>
    </row>
    <row r="15" ht="140" customHeight="1">
      <c r="A15" s="359" t="inlineStr">
        <is>
          <t>NA</t>
        </is>
      </c>
      <c r="B15" s="56" t="inlineStr">
        <is>
          <t>resp_refusalwhy</t>
        </is>
      </c>
      <c r="C15" s="48" t="inlineStr">
        <is>
          <t>resp_refusalwhy</t>
        </is>
      </c>
      <c r="D15" s="89" t="inlineStr">
        <is>
          <t>Please let us know why you have REFUSED to take the survey.
[OPERATOR: SINGLE RESPONSE]
1)Not interested
2)Do not want to be recorded
3)Other [specify]</t>
        </is>
      </c>
      <c r="E15" s="27">
        <f>LEN(D15)</f>
        <v/>
      </c>
      <c r="F15" s="54" t="inlineStr">
        <is>
          <t xml:space="preserve">Pourriez-vous m'indiquer pourquoi vous refusez de répondre à l'enquête.
[OPÉRATEUR/OPÉRATRICE: RÉPONSE UNIQUE]
1)Pas intéressé
2)Ne veut pas être enregistré
3)Autre [préciser] </t>
        </is>
      </c>
      <c r="G15" s="27">
        <f>LEN(F15)</f>
        <v/>
      </c>
      <c r="H15" s="90" t="inlineStr">
        <is>
          <t>Aketo i ka fo an ye mouna i ma son nienigaliw ma.
[NÈGÈDOUROU SIRA: DJABI KELEN]
1)A te interesse
2)Ne te fè kouma kan ka enregistré
3)Do were [a sinsi]</t>
        </is>
      </c>
      <c r="I15" s="27">
        <f>LEN(H15)</f>
        <v/>
      </c>
      <c r="J15" s="90" t="inlineStr">
        <is>
          <t>Indièye ga seroumou gô yabarou kanrou.
[SEROUMOU SEROUMOUNE: YABIYIRIYE TOUROU]
1)Mane niwè toro
2)Mi mon djéyéyou ibè lan
3)Léyi [indjèye]</t>
        </is>
      </c>
      <c r="K15" s="27">
        <f>LEN(J15)</f>
        <v/>
      </c>
      <c r="L15" s="70" t="inlineStr">
        <is>
          <t>Ma tjinché ni chi yadda?
[HANKOYO: DJAABI FO]
1)An ka shi kane ané
2)Ay chi ba ama enrégisté
3)Nda hayafo tana no ahar…</t>
        </is>
      </c>
      <c r="M15" s="85">
        <f>LEN(L15)</f>
        <v/>
      </c>
      <c r="N15" s="83" t="inlineStr">
        <is>
          <t>Tadobade ahanake tinede mafal toundjayade ichaghal.
[OPERATEUR: ASSOUDMA IYENE]
1)Wahinfa
2)Warar heghue si salanine atantidjime rangistrer
3)Harata iyene [djanémanague]</t>
        </is>
      </c>
      <c r="O15" s="85">
        <f>LEN(N15)</f>
        <v/>
      </c>
      <c r="P15" s="83" t="inlineStr">
        <is>
          <t xml:space="preserve">Accu hakke ko saliirda haldanngo?
[LANDOTOODO: JAABUU GOOTO]
1)Wala nafa
2)Mi yida windeede
3)Goddu [sifaade]  </t>
        </is>
      </c>
      <c r="Q15" s="27">
        <f>LEN(P15)</f>
        <v/>
      </c>
      <c r="R15" s="63" t="inlineStr">
        <is>
          <t>Open Ended-Single Choice</t>
        </is>
      </c>
      <c r="S15" s="27" t="inlineStr">
        <is>
          <t>NA</t>
        </is>
      </c>
      <c r="T15" s="27" t="inlineStr">
        <is>
          <t>NA</t>
        </is>
      </c>
      <c r="U15" s="27" t="inlineStr">
        <is>
          <t>Form Type - RadioList</t>
        </is>
      </c>
      <c r="V15" s="40" t="inlineStr">
        <is>
          <t>NA</t>
        </is>
      </c>
      <c r="W15" s="64" t="inlineStr">
        <is>
          <t>Any Response = Refusal</t>
        </is>
      </c>
      <c r="X15" s="319" t="n"/>
      <c r="Y15" s="297" t="inlineStr">
        <is>
          <t>For any response, go to Refusal</t>
        </is>
      </c>
      <c r="Z15" s="87" t="n"/>
      <c r="AA15" s="66" t="inlineStr">
        <is>
          <t>resp_agree = 3</t>
        </is>
      </c>
      <c r="AB15" s="67" t="n"/>
      <c r="AC15" s="45" t="n">
        <v>0</v>
      </c>
      <c r="AD15" s="280" t="n">
        <v>1</v>
      </c>
      <c r="AE15" s="45">
        <f>AC15*AD15</f>
        <v/>
      </c>
    </row>
    <row r="16" ht="60" customHeight="1">
      <c r="A16" s="359" t="inlineStr">
        <is>
          <t>NA</t>
        </is>
      </c>
      <c r="B16" s="56" t="inlineStr">
        <is>
          <t>WhenCallBack</t>
        </is>
      </c>
      <c r="C16" s="48" t="inlineStr">
        <is>
          <t>resp_whencallback</t>
        </is>
      </c>
      <c r="D16" s="49" t="inlineStr">
        <is>
          <t>When would it be a good time to call you back?
[RECORD HH/MM/DD/MM OF CALLBACK]</t>
        </is>
      </c>
      <c r="E16" s="27">
        <f>LEN(D16)</f>
        <v/>
      </c>
      <c r="F16" s="54" t="inlineStr">
        <is>
          <t>À quel moment pourrais-je vous rappeler?
[ENREGISTRER HH/MM/JJ/MM DU RAPPEL]</t>
        </is>
      </c>
      <c r="G16" s="27">
        <f>LEN(F16)</f>
        <v/>
      </c>
      <c r="H16" s="84" t="inlineStr">
        <is>
          <t>Wati wèrè djoumè be soro i bolo an segi ki wele?
[WELE KAN KOURA ENREGISTRE]</t>
        </is>
      </c>
      <c r="I16" s="27">
        <f>LEN(H16)</f>
        <v/>
      </c>
      <c r="J16" s="90" t="inlineStr">
        <is>
          <t>Wagadou yôgôlé ouye bono?
[PILEME BONOU KIBÈROU GUÔ AA]</t>
        </is>
      </c>
      <c r="K16" s="27">
        <f>LEN(J16)</f>
        <v/>
      </c>
      <c r="L16" s="86" t="inlineStr">
        <is>
          <t>Wati fo no ngaba ir ma ni tia?
[MA WATO KAN A NE I MA NGA TJE ZA]</t>
        </is>
      </c>
      <c r="M16" s="85">
        <f>LEN(L16)</f>
        <v/>
      </c>
      <c r="N16" s="71" t="inlineStr">
        <is>
          <t>Indeke alwake wa tarhame aka wanaghure
[ENREGISTRER INFORMATIONS DE RAPPEL]</t>
        </is>
      </c>
      <c r="O16" s="85">
        <f>LEN(N16)</f>
        <v/>
      </c>
      <c r="P16" s="71" t="inlineStr">
        <is>
          <t>Hodun woni wakati lobbo faa nodditeda?
[MARUDE KABARUJI  NODDITANNGO]</t>
        </is>
      </c>
      <c r="Q16" s="27">
        <f>LEN(P16)</f>
        <v/>
      </c>
      <c r="R16" s="63" t="inlineStr">
        <is>
          <t>Open Ended</t>
        </is>
      </c>
      <c r="S16" s="27" t="inlineStr">
        <is>
          <t>NA</t>
        </is>
      </c>
      <c r="T16" s="27" t="inlineStr">
        <is>
          <t>NA</t>
        </is>
      </c>
      <c r="U16" s="27" t="inlineStr">
        <is>
          <t>Form Type - TextBox
IsCallBackDemographic</t>
        </is>
      </c>
      <c r="V16" s="40" t="inlineStr">
        <is>
          <t>NA</t>
        </is>
      </c>
      <c r="W16" s="64" t="inlineStr">
        <is>
          <t>Any Response = CallbackMessageEN</t>
        </is>
      </c>
      <c r="X16" s="319" t="n"/>
      <c r="Y16" s="297" t="inlineStr">
        <is>
          <t>For any response, go to CallbackMessageEN</t>
        </is>
      </c>
      <c r="Z16" s="87" t="n"/>
      <c r="AA16" s="66" t="inlineStr">
        <is>
          <t>resp_agree = 2</t>
        </is>
      </c>
      <c r="AB16" s="67" t="n"/>
      <c r="AC16" s="45" t="n">
        <v>0</v>
      </c>
      <c r="AD16" s="280" t="n">
        <v>1</v>
      </c>
      <c r="AE16" s="45">
        <f>AC16*AD16</f>
        <v/>
      </c>
    </row>
    <row r="17" ht="100" customHeight="1">
      <c r="A17" s="88" t="inlineStr">
        <is>
          <t>NA</t>
        </is>
      </c>
      <c r="B17" s="56" t="inlineStr">
        <is>
          <t>CallbackMessageEN</t>
        </is>
      </c>
      <c r="C17" s="48" t="inlineStr">
        <is>
          <t>callbackmessage_en</t>
        </is>
      </c>
      <c r="D17" s="49" t="inlineStr">
        <is>
          <t>Thank you, we will call you back at {WhenCallBack} you requested. Thank you again and have a great day!
[OPERATOR: ENTER CALL NOTES BELOW, WHO YOU SPOKE TO AND WHAT THEY SAID]</t>
        </is>
      </c>
      <c r="E17" s="27">
        <f>LEN(D17)</f>
        <v/>
      </c>
      <c r="F17" s="54" t="inlineStr">
        <is>
          <t>Merci, nous vous rappellerons à {WhenCallBack}. Merci encore et bonne journée!
[OPÉRATEUR/OPÉRATRICE: SAISIR LES DONNÉES D'APPEL CI-DESSOUS, LE NOM DE LA PERSONNE À LAQUELLE VOUS AVEZ PARLÉ ET CE QU'ELLE A DIT]</t>
        </is>
      </c>
      <c r="G17" s="27">
        <f>LEN(F17)</f>
        <v/>
      </c>
      <c r="H17" s="84" t="inlineStr">
        <is>
          <t>I ni tié, an be segi k’I wele wati ko fole na, {WhenCallBack}. I ni tié ka kile hèrè!
[NÈGÈDJOUROU SIRA: KOUMA KAN NAFAMA SÈBÈN DOUGOUMA, I KOUMA NA MOU FÈ A NA YE MOU FO]</t>
        </is>
      </c>
      <c r="I17" s="27">
        <f>LEN(H17)</f>
        <v/>
      </c>
      <c r="J17" s="90" t="inlineStr">
        <is>
          <t>Birèpo wagadou ougui gôlé ouye bono deyi, {WhenCallBack} Birèpo ama dinrou sin obo!
[INE OU BONOU GO BE SO SOYI GOLE BOYI BEME LE TONGO]</t>
        </is>
      </c>
      <c r="K17" s="27">
        <f>LEN(J17)</f>
        <v/>
      </c>
      <c r="L17" s="91" t="inlineStr">
        <is>
          <t>Fondagoy! Ir ga ni tia wato kan na har ga  {WhenCallBack}  . Zaro ma boori
[HANKOYO: HAYEN KAN HARRANDI WAR FAKARA'RA HANTOUM, BOREY KAN CH2 NSHELEGN NDA HAYA KAN INA HAR]</t>
        </is>
      </c>
      <c r="M17" s="85">
        <f>LEN(L17)</f>
        <v/>
      </c>
      <c r="N17" s="71" t="inlineStr">
        <is>
          <t>Ni diake alharadjene akey nagure fal alwake watinnéde {WhenCallBack}, ikena yallah achal
[AMASSASTAN: ISSALANE OUI TIDIAME INDE OUISSE TANE TIDIAME FOUKE ATIOUASSANENE]</t>
        </is>
      </c>
      <c r="O17" s="85">
        <f>LEN(N17)</f>
        <v/>
      </c>
      <c r="P17" s="71" t="inlineStr">
        <is>
          <t>Tiyabu, min nodditite wakati subado, {WhenCallBack}. Tiyaabu kasen jam jnalam en!
[LANDOTOODO WINNDUDE BINNDI LEY DI, HOMO KALDUDA DE HODUM BE BII?]</t>
        </is>
      </c>
      <c r="Q17" s="27">
        <f>LEN(P17)</f>
        <v/>
      </c>
      <c r="R17" s="63" t="inlineStr">
        <is>
          <t>Open Ended</t>
        </is>
      </c>
      <c r="S17" s="27" t="inlineStr">
        <is>
          <t>NA</t>
        </is>
      </c>
      <c r="T17" s="27" t="inlineStr">
        <is>
          <t>NA</t>
        </is>
      </c>
      <c r="U17" s="27" t="inlineStr">
        <is>
          <t>Form Type - TextBox</t>
        </is>
      </c>
      <c r="V17" s="40" t="inlineStr">
        <is>
          <t>NA</t>
        </is>
      </c>
      <c r="W17" s="64" t="inlineStr">
        <is>
          <t>Any response = End poll callback</t>
        </is>
      </c>
      <c r="X17" s="319" t="n"/>
      <c r="Y17" s="294" t="inlineStr">
        <is>
          <t>NA</t>
        </is>
      </c>
      <c r="Z17" s="65" t="n"/>
      <c r="AA17" s="66" t="inlineStr">
        <is>
          <t>resp_agree = 2</t>
        </is>
      </c>
      <c r="AB17" s="67" t="n"/>
      <c r="AC17" s="45" t="n">
        <v>0</v>
      </c>
      <c r="AD17" s="280" t="n">
        <v>1</v>
      </c>
      <c r="AE17" s="45">
        <f>AC17*AD17</f>
        <v/>
      </c>
    </row>
    <row r="18" ht="40" customHeight="1">
      <c r="A18" s="88" t="inlineStr">
        <is>
          <t>NA</t>
        </is>
      </c>
      <c r="B18" s="56" t="inlineStr">
        <is>
          <t>Ineligible</t>
        </is>
      </c>
      <c r="C18" s="48" t="inlineStr">
        <is>
          <t>NA</t>
        </is>
      </c>
      <c r="D18" s="433" t="inlineStr">
        <is>
          <t>You are ineligible for this survey. Thank you for your time and please look out for future survey</t>
        </is>
      </c>
      <c r="E18" s="27">
        <f>LEN(D18)</f>
        <v/>
      </c>
      <c r="F18" s="372" t="inlineStr">
        <is>
          <t>Vous ne pouvez être retenu pour cette enquête. Merci pour votre temps et renseignez-vous sur les prochains sondages GeoPoll! Pour plus d'informations, consultez GeoPoll.com</t>
        </is>
      </c>
      <c r="G18" s="27">
        <f>LEN(F18)</f>
        <v/>
      </c>
      <c r="H18" s="363" t="inlineStr">
        <is>
          <t>E sen te ni baara ni na. I ni tié ka kile hèrè!</t>
        </is>
      </c>
      <c r="I18" s="27">
        <f>LEN(H18)</f>
        <v/>
      </c>
      <c r="J18" s="363" t="inlineStr">
        <is>
          <t>Seroumou ônnou ouye toro, Bonou magô ou sayi gô dagawô, Birèpo ama dinrou sin obo !</t>
        </is>
      </c>
      <c r="K18" s="27">
        <f>LEN(J18)</f>
        <v/>
      </c>
      <c r="L18" s="364" t="inlineStr">
        <is>
          <t>Ni taka nda ir han yaney chi koye tiarbandé. Fondagoye nda wato kan ni na no ir ché, zaro ma boori</t>
        </is>
      </c>
      <c r="M18" s="85">
        <f>LEN(L18)</f>
        <v/>
      </c>
      <c r="N18" s="77" t="inlineStr">
        <is>
          <t>Watihéde issistane wi . Nidjake alharadjene ikna yallah achal!</t>
        </is>
      </c>
      <c r="O18" s="85">
        <f>LEN(N18)</f>
        <v/>
      </c>
      <c r="P18" s="77" t="inlineStr">
        <is>
          <t>A bamama ley ngol humpitangol. Tiyaabu e mujnal ma jam jnallan en!  A wala e ngol humpitangol. Tiyabu e mujnal ma jam jnalan en!</t>
        </is>
      </c>
      <c r="Q18" s="27">
        <f>LEN(P18)</f>
        <v/>
      </c>
      <c r="R18" s="63" t="inlineStr">
        <is>
          <t>NA</t>
        </is>
      </c>
      <c r="S18" s="27" t="inlineStr">
        <is>
          <t>NA</t>
        </is>
      </c>
      <c r="T18" s="27" t="inlineStr">
        <is>
          <t>NA</t>
        </is>
      </c>
      <c r="U18" s="27" t="inlineStr">
        <is>
          <t>NA</t>
        </is>
      </c>
      <c r="V18" s="40" t="inlineStr">
        <is>
          <t>NA</t>
        </is>
      </c>
      <c r="W18" s="64" t="inlineStr">
        <is>
          <t>End Poll Ineligible</t>
        </is>
      </c>
      <c r="X18" s="460" t="n"/>
      <c r="Y18" s="294" t="inlineStr">
        <is>
          <t>NA</t>
        </is>
      </c>
      <c r="Z18" s="65" t="n"/>
      <c r="AA18" s="66" t="inlineStr">
        <is>
          <t>NA</t>
        </is>
      </c>
      <c r="AB18" s="67" t="n"/>
      <c r="AC18" s="45" t="n">
        <v>0</v>
      </c>
      <c r="AD18" s="280" t="n">
        <v>1</v>
      </c>
      <c r="AE18" s="45">
        <f>AC18*AD18</f>
        <v/>
      </c>
    </row>
    <row r="19" ht="29.25" customHeight="1" thickBot="1">
      <c r="A19" s="92" t="inlineStr">
        <is>
          <t>NA</t>
        </is>
      </c>
      <c r="B19" s="93" t="inlineStr">
        <is>
          <t>Refusal</t>
        </is>
      </c>
      <c r="C19" s="94" t="inlineStr">
        <is>
          <t xml:space="preserve">NA </t>
        </is>
      </c>
      <c r="D19" s="95" t="inlineStr">
        <is>
          <t>Thank you for your time, you will be removed from today's survey.</t>
        </is>
      </c>
      <c r="E19" s="96">
        <f>LEN(D19)</f>
        <v/>
      </c>
      <c r="F19" s="97" t="inlineStr">
        <is>
          <t>Merci pour votre temps. Vous serez écarté de l'enquête d'aujourd'hui.</t>
        </is>
      </c>
      <c r="G19" s="96">
        <f>LEN(F19)</f>
        <v/>
      </c>
      <c r="H19" s="354" t="inlineStr">
        <is>
          <t>I ni tié ni wati na, I be bo bi baara kelen na.</t>
        </is>
      </c>
      <c r="I19" s="96">
        <f>LEN(H19)</f>
        <v/>
      </c>
      <c r="J19" s="354" t="inlineStr">
        <is>
          <t>Birèpo boye wô iyé kèwou  kôkôdiôdeye,</t>
        </is>
      </c>
      <c r="K19" s="96">
        <f>LEN(J19)</f>
        <v/>
      </c>
      <c r="L19" s="356" t="inlineStr">
        <is>
          <t xml:space="preserve"> fondagoye hala hon ama ir ga ni manio ka'ra hon</t>
        </is>
      </c>
      <c r="M19" s="355">
        <f>LEN(L19)</f>
        <v/>
      </c>
      <c r="N19" s="357" t="inlineStr">
        <is>
          <t>Nidjake alharadjene, nikaskayine dague issistane ikna yallah achal.</t>
        </is>
      </c>
      <c r="O19" s="355">
        <f>LEN(N19)</f>
        <v/>
      </c>
      <c r="P19" s="357" t="inlineStr">
        <is>
          <t>Tiyaabu e mujnal ma. A ittete e kaldal men hannden</t>
        </is>
      </c>
      <c r="Q19" s="96">
        <f>LEN(P19)</f>
        <v/>
      </c>
      <c r="R19" s="98" t="inlineStr">
        <is>
          <t>NA</t>
        </is>
      </c>
      <c r="S19" s="96" t="inlineStr">
        <is>
          <t>NA</t>
        </is>
      </c>
      <c r="T19" s="96" t="inlineStr">
        <is>
          <t>NA</t>
        </is>
      </c>
      <c r="U19" s="96" t="inlineStr">
        <is>
          <t>NA</t>
        </is>
      </c>
      <c r="V19" s="191" t="inlineStr">
        <is>
          <t>NA</t>
        </is>
      </c>
      <c r="W19" s="99" t="inlineStr">
        <is>
          <t>End poll declined</t>
        </is>
      </c>
      <c r="X19" s="329" t="n"/>
      <c r="Y19" s="298" t="inlineStr">
        <is>
          <t>NA</t>
        </is>
      </c>
      <c r="Z19" s="100" t="n"/>
      <c r="AA19" s="101" t="inlineStr">
        <is>
          <t>calldispo = 4</t>
        </is>
      </c>
      <c r="AB19" s="102" t="n"/>
      <c r="AC19" s="45" t="n">
        <v>0</v>
      </c>
      <c r="AD19" s="280" t="n">
        <v>1</v>
      </c>
      <c r="AE19" s="45">
        <f>AC19*AD19</f>
        <v/>
      </c>
    </row>
    <row r="20" ht="20" customHeight="1" thickBot="1">
      <c r="A20" s="729" t="n"/>
      <c r="B20" s="739" t="n"/>
      <c r="C20" s="739" t="n"/>
      <c r="D20" s="739" t="n"/>
      <c r="E20" s="739" t="n"/>
      <c r="F20" s="739" t="n"/>
      <c r="G20" s="739" t="n"/>
      <c r="H20" s="739" t="n"/>
      <c r="I20" s="739" t="n"/>
      <c r="J20" s="739" t="n"/>
      <c r="K20" s="739" t="n"/>
      <c r="L20" s="739" t="n"/>
      <c r="M20" s="739" t="n"/>
      <c r="N20" s="739" t="n"/>
      <c r="O20" s="739" t="n"/>
      <c r="P20" s="739" t="n"/>
      <c r="Q20" s="739" t="n"/>
      <c r="R20" s="739" t="n"/>
      <c r="S20" s="739" t="n"/>
      <c r="T20" s="739" t="n"/>
      <c r="U20" s="739" t="n"/>
      <c r="V20" s="739" t="n"/>
      <c r="W20" s="739" t="n"/>
      <c r="X20" s="739" t="n"/>
      <c r="Y20" s="741" t="n"/>
      <c r="AA20" s="721" t="n"/>
      <c r="AC20" s="45" t="n"/>
      <c r="AD20" s="280" t="n"/>
      <c r="AE20" s="280" t="n"/>
    </row>
    <row r="21" ht="100" customHeight="1">
      <c r="A21" s="336">
        <f>A14+1</f>
        <v/>
      </c>
      <c r="B21" s="104" t="inlineStr">
        <is>
          <t>resp_firstname</t>
        </is>
      </c>
      <c r="C21" s="105" t="inlineStr">
        <is>
          <t>resp_firstname</t>
        </is>
      </c>
      <c r="D21" s="51" t="inlineStr">
        <is>
          <t>What is your first name?
[OPERATOR: RECORD THE RESPONDENT'S FIRST NAME. ENTER 999 FOR REFUSED.]</t>
        </is>
      </c>
      <c r="E21" s="105">
        <f>LEN(D21)</f>
        <v/>
      </c>
      <c r="F21" s="53" t="inlineStr">
        <is>
          <t>Quel est votre prénom ?
[OPÉRATEUR/OPÉRATRICE: ENREGISTRER LE PRÉNOM DE LA PERSONNE INTÉRROGÉE. SAISIR  999 POUR REFUSÉ.]</t>
        </is>
      </c>
      <c r="G21" s="105">
        <f>LEN(F21)</f>
        <v/>
      </c>
      <c r="H21" s="51" t="inlineStr">
        <is>
          <t xml:space="preserve">Aw tɔgɔ ko di?
[SƆRƆBATIGI : ƝININGALI BE LASERA MƆGƆ MIN MA, O TIGI TƆGƆ SƐBƐ. I BE 999 GOSI N’I MA SƆN A MA]. 
</t>
        </is>
      </c>
      <c r="I21" s="105">
        <f>LEN(H21)</f>
        <v/>
      </c>
      <c r="J21" s="52" t="inlineStr">
        <is>
          <t xml:space="preserve">E bon jow ɟin gaba ? 
[BIRƐ MA KŨ BAŋA : KO BANA MA BON-NA DI KOKƆ ɟINCƐW TƆ̃NƆ̃ I. KIN JƆWƆLI BE LEJ 999 TƆ̃NƆ̃ I]
</t>
        </is>
      </c>
      <c r="K21" s="105">
        <f>LEN(J21)</f>
        <v/>
      </c>
      <c r="L21" s="53" t="inlineStr">
        <is>
          <t xml:space="preserve">Nnuu mayoo? 
[HANKA : BOORA MAAYO SAMBU KARU 999 HAN NU WINGAA]
</t>
        </is>
      </c>
      <c r="M21" s="105">
        <f>LEN(L21)</f>
        <v/>
      </c>
      <c r="N21" s="51" t="inlineStr">
        <is>
          <t>Əndek  əsim ən-nak ?
[EMASESTƏN : SAQAYMU ƏSIM ƏN WA ATIWASASTANAN. IGIŠ 999 FAL TUGINT.]</t>
        </is>
      </c>
      <c r="O21" s="105">
        <f>LEN(N21)</f>
        <v/>
      </c>
      <c r="P21" s="52" t="inlineStr">
        <is>
          <t xml:space="preserve">
Noy won innde mon?
[GOLLOOWO: MBINNDON INNDE ƳAMAAƊO ON. SO HEƁAAKA KA NI NGATTON 999.]
</t>
        </is>
      </c>
      <c r="Q21" s="105">
        <f>LEN(P21)</f>
        <v/>
      </c>
      <c r="R21" s="106" t="inlineStr">
        <is>
          <t>Open Ended</t>
        </is>
      </c>
      <c r="S21" s="105" t="inlineStr">
        <is>
          <t>NA</t>
        </is>
      </c>
      <c r="T21" s="105" t="inlineStr">
        <is>
          <t>NA</t>
        </is>
      </c>
      <c r="U21" s="105" t="inlineStr">
        <is>
          <t>Form Type - TextBox</t>
        </is>
      </c>
      <c r="V21" s="40" t="inlineStr">
        <is>
          <t>NA</t>
        </is>
      </c>
      <c r="W21" s="107" t="inlineStr">
        <is>
          <t>Any Response = resp_lastname</t>
        </is>
      </c>
      <c r="X21" s="358" t="n"/>
      <c r="Y21" s="299" t="inlineStr">
        <is>
          <t>For any response, go to resp_lastname</t>
        </is>
      </c>
      <c r="Z21" s="108" t="n"/>
      <c r="AA21" s="109" t="inlineStr">
        <is>
          <t>resp_agree = 1</t>
        </is>
      </c>
      <c r="AB21" s="110" t="n"/>
      <c r="AC21" s="111" t="n">
        <v>10</v>
      </c>
      <c r="AD21" s="374">
        <f>1</f>
        <v/>
      </c>
      <c r="AE21" s="111">
        <f>AC21*AD21</f>
        <v/>
      </c>
    </row>
    <row r="22" ht="140" customHeight="1">
      <c r="A22" s="88">
        <f>A21+1</f>
        <v/>
      </c>
      <c r="B22" s="104" t="inlineStr">
        <is>
          <t>resp_lastname</t>
        </is>
      </c>
      <c r="C22" s="105" t="inlineStr">
        <is>
          <t>resp_lastname</t>
        </is>
      </c>
      <c r="D22" s="51" t="inlineStr">
        <is>
          <t>What is your last name? 
[OPERATOR: RECORD THE RESPONDENT'S LAST NAME. ENTER 999 FOR REFUSED.]</t>
        </is>
      </c>
      <c r="E22" s="113">
        <f>LEN(D22)</f>
        <v/>
      </c>
      <c r="F22" s="53" t="inlineStr">
        <is>
          <t>Quel est votre nom de famille ?
[OPÉRATEUR/OPÉRATRICE: ENREGISTRER LE NOM DE FAMILLE DE LA PERSONNE INTÉRROGÉE. SAISIR  999 POUR REFUSÉ.]</t>
        </is>
      </c>
      <c r="G22" s="113">
        <f>LEN(F22)</f>
        <v/>
      </c>
      <c r="H22" s="82" t="inlineStr">
        <is>
          <t xml:space="preserve">Aw jamu ye jumɛn de ye? 
[SƆRƆBATIGI : I BE MƆGƆ MIN SƐGƐSƐGƐLA, O TIGI JAMU SƐBƐ. I KA 999 ƝƐGƐ N’A MA SƆN] 
</t>
        </is>
      </c>
      <c r="I22" s="113">
        <f>LEN(H22)</f>
        <v/>
      </c>
      <c r="J22" s="54" t="inlineStr">
        <is>
          <t xml:space="preserve">
E babon jow ɟin gaba?
[BIRƐ MA KŨ BANA : KO BANA MA BABON DI KOKƆ ɟINCƐW TƆ̃NƆ̃ I. KIN JƆWƆ LI BE LEY NA 999 TƆ̃NƆ̃ BE]
</t>
        </is>
      </c>
      <c r="K22" s="113">
        <f>LEN(J22)</f>
        <v/>
      </c>
      <c r="L22" s="57" t="inlineStr">
        <is>
          <t>Er huwo boorey mayoo ?
[HANKAA: HUWO BOOREY MAYOO HANTUM 999 HANTUM NDA E WINGEE]</t>
        </is>
      </c>
      <c r="M22" s="113">
        <f>LEN(L22)</f>
        <v/>
      </c>
      <c r="N22" s="82" t="inlineStr">
        <is>
          <t>Əndek əsim ən alɣayal inak ?
[EMASESTƏN : SAQAYMU ƏSIM ƏN WA ATIWASASTANAN. IGIŠ 999 FAL TUGINT.]</t>
        </is>
      </c>
      <c r="O22" s="113">
        <f>LEN(N22)</f>
        <v/>
      </c>
      <c r="P22" s="54" t="inlineStr">
        <is>
          <t xml:space="preserve">
Noy won jammoore mon?
[GOLLOOWO: MBINNDON JAMMOORE ƳAMAAƊO SO HEƁAAMA. SO ON KEƁAY DU NGATTON 999.]
</t>
        </is>
      </c>
      <c r="Q22" s="113">
        <f>LEN(P22)</f>
        <v/>
      </c>
      <c r="R22" s="114" t="inlineStr">
        <is>
          <t>Open Ended</t>
        </is>
      </c>
      <c r="S22" s="113" t="inlineStr">
        <is>
          <t>NA</t>
        </is>
      </c>
      <c r="T22" s="113" t="inlineStr">
        <is>
          <t>NA</t>
        </is>
      </c>
      <c r="U22" s="113" t="inlineStr">
        <is>
          <t>Form Type - TextBox</t>
        </is>
      </c>
      <c r="V22" s="40" t="inlineStr">
        <is>
          <t>NA</t>
        </is>
      </c>
      <c r="W22" s="107" t="inlineStr">
        <is>
          <t>Any Response = resp_age</t>
        </is>
      </c>
      <c r="X22" s="322" t="n"/>
      <c r="Y22" s="300" t="inlineStr">
        <is>
          <t>For any response, go to resp_age</t>
        </is>
      </c>
      <c r="Z22" s="108" t="n"/>
      <c r="AA22" s="109" t="inlineStr">
        <is>
          <t>resp_agree = 1</t>
        </is>
      </c>
      <c r="AB22" s="110" t="n"/>
      <c r="AC22" s="111" t="n">
        <v>10</v>
      </c>
      <c r="AD22" s="374">
        <f>1</f>
        <v/>
      </c>
      <c r="AE22" s="111">
        <f>AC22*AD22</f>
        <v/>
      </c>
    </row>
    <row r="23" ht="100" customHeight="1">
      <c r="A23" s="88">
        <f>A22+1</f>
        <v/>
      </c>
      <c r="B23" s="115" t="inlineStr">
        <is>
          <t>resp_age</t>
        </is>
      </c>
      <c r="C23" s="116" t="inlineStr">
        <is>
          <t>resp_age</t>
        </is>
      </c>
      <c r="D23" s="38" t="inlineStr">
        <is>
          <t>How old are you? 
[OPERATOR: RECORD AGE IN NUMBER OF YEARS. ROUND UP TO NEAREST WHOLE NUMBER. IF THE RESPONDENT GIVES BIRTH YEAR, REPEAT THE QUESTION. ENTER 00 FOR DON'T KNOW.]</t>
        </is>
      </c>
      <c r="E23" s="105">
        <f>LEN(D23)</f>
        <v/>
      </c>
      <c r="F23" s="53" t="inlineStr">
        <is>
          <t>Quel âge avez-vous [en années] ?
[OPÉRATEUR/OPÉRATRICE: ENREGISTRER L'ÂGE EN ANNÉES. ARRONDIR AU NOMBRE ENTIER LE PLUS PROCHE. SI LE RÉPONDANT DONNE SON ANNÉE DE NAISSANCE, RÉPÉTER LA QUESTION. SAISIR 00 pour JE NE SAIS PAS.]</t>
        </is>
      </c>
      <c r="G23" s="105">
        <f>LEN(F23)</f>
        <v/>
      </c>
      <c r="H23" s="117" t="inlineStr">
        <is>
          <t>I si san ye djoli ye?
[BAARA KÈLA: SHI SAN SÈBÈN – NI SHI SAN BE WATI KOFO LE NI NIONGO TIÈ I BE DIATE SÈBÈN MI KA SOUNROU SHI SAN NA. NI A YÉ SHI SAN FO, SEGIN NIENIGALI KAN. FOU SEBEN NI DIABILI KÈLA TE A SHI SAN DON]</t>
        </is>
      </c>
      <c r="I23" s="105">
        <f>LEN(H23)</f>
        <v/>
      </c>
      <c r="J23" s="119" t="inlineStr">
        <is>
          <t>Anragoudiou anga sèwou?
[SEROUMOU SEROUMOUNE: ANRAN DI GUÖ TONGUON - ANRAN DI LOUGO GUA BEROU GUÖ BOJO.INÈ GUÖ ANRAN DI OBADJÈLE, WON PILEME SEROUMON , SEROUM GUÖ GUIMÉ SEROUMON. INÈ GUÖ, INÈYI GUILE 00 TONGUON]</t>
        </is>
      </c>
      <c r="K23" s="105">
        <f>LEN(J23)</f>
        <v/>
      </c>
      <c r="L23" s="120" t="inlineStr">
        <is>
          <t>Ni djiiri mardjè?
[HANKOYO : DJIIRO ENREGISTRER - MA SASSAWANDI NDA DJIIRI HINNA KAN AGA HIMMA KA DOUWA NDA AKA TI GAR BORA KAN NI GO M'AHAN DJIIRO KAN AYANDI HAR, MA AHAN KOYNE MA YAADA (00) NDA ANE NGA CHI BEYE]</t>
        </is>
      </c>
      <c r="M23" s="118">
        <f>LEN(L23)</f>
        <v/>
      </c>
      <c r="N23" s="61" t="inlineStr">
        <is>
          <t>Mah tilede dague witiyane?
[AMASSASTAN: ALMIDATE IWITIYAN HADE DIHAGUE INTANE ADJATE BANANE KOUNTA WARISSENE IWITIYANESSE]</t>
        </is>
      </c>
      <c r="O23" s="118">
        <f>LEN(N23)</f>
        <v/>
      </c>
      <c r="P23" s="61" t="inlineStr">
        <is>
          <t>Duubi hono foti jogida?
[LANDOTOODO : MARU DUUBI DII - NANTINI E ADADU BAROOWO. SO JOMUN LANNDAMA WATTU DUBBI NDIMIRDII, LILLITA LANNDONGOL. WATTU 00 SO JOMUN WI ANDA]</t>
        </is>
      </c>
      <c r="Q23" s="105">
        <f>LEN(P23)</f>
        <v/>
      </c>
      <c r="R23" s="105" t="inlineStr">
        <is>
          <t>Range</t>
        </is>
      </c>
      <c r="S23" s="105" t="inlineStr">
        <is>
          <t>NA</t>
        </is>
      </c>
      <c r="T23" s="105" t="inlineStr">
        <is>
          <t>NA</t>
        </is>
      </c>
      <c r="U23" s="105" t="inlineStr">
        <is>
          <t>Form Type - TextBox</t>
        </is>
      </c>
      <c r="V23" s="40" t="inlineStr">
        <is>
          <t>NA</t>
        </is>
      </c>
      <c r="W23" s="41" t="inlineStr">
        <is>
          <t>0-17 = Ineligible
18-100 = resp_gender
00 = Ineligible</t>
        </is>
      </c>
      <c r="X23" s="319" t="n"/>
      <c r="Y23" s="301" t="inlineStr">
        <is>
          <t>Only respondents from 18-100 will be eligible for the surve.</t>
        </is>
      </c>
      <c r="Z23" s="121" t="n"/>
      <c r="AA23" s="109" t="inlineStr">
        <is>
          <t>resp_agree = 1</t>
        </is>
      </c>
      <c r="AB23" s="110" t="n"/>
      <c r="AC23" s="111" t="n">
        <v>13.75307273864746</v>
      </c>
      <c r="AD23" s="374">
        <f>1</f>
        <v/>
      </c>
      <c r="AE23" s="111">
        <f>AC23*AD23</f>
        <v/>
      </c>
    </row>
    <row r="24" ht="180" customHeight="1">
      <c r="A24" s="88">
        <f>A23+1</f>
        <v/>
      </c>
      <c r="B24" s="56" t="inlineStr">
        <is>
          <t>resp_gender</t>
        </is>
      </c>
      <c r="C24" s="48" t="inlineStr">
        <is>
          <t>resp_gender</t>
        </is>
      </c>
      <c r="D24" s="49" t="inlineStr">
        <is>
          <t>What is the gender of the respondent?
[OPERATOR: DO NOT ASK THIS QUESTION. LISTEN TO THE VOICE AND CHECK THE CORRECT BOX.]
1)Male
2)Female
3)DON'T KNOW
4)REFUSED</t>
        </is>
      </c>
      <c r="E24" s="27">
        <f>LEN(D24)</f>
        <v/>
      </c>
      <c r="F24" s="50" t="inlineStr">
        <is>
          <t>Quel est le sexe du répondant ?  
[OPÉRATEUR/OPÉRATRICE: ÉCOUTER LA VOIX ET DÉTERMINER SI LE RÉPONDANT EST UN HOMME OU UNE FEMME.]
1)Homme
2)Femme
3)NE SAIT PAS
4)REFUSÉ</t>
        </is>
      </c>
      <c r="G24" s="27">
        <f>LEN(F24)</f>
        <v/>
      </c>
      <c r="H24" s="82" t="inlineStr">
        <is>
          <t xml:space="preserve">Mɔgɔ min sɔnna o tigi julata ye mun de ye? 
[SƆRƆBATIGI : I KANA ƝININGALI NIN KƐ. I KA AAN LAMƐN ANI KA NƆƆ BILA SOO ƝUMAN KƆNƆ]. 
1)Cɛɛ. 
2)Muso. 
3)NE T’A DƆN. 
4)NE MA SƆN 
</t>
        </is>
      </c>
      <c r="I24" s="27">
        <f>LEN(H24)</f>
        <v/>
      </c>
      <c r="J24" s="54" t="inlineStr">
        <is>
          <t xml:space="preserve">Ǎn-i bè maa ɲen-i bè?
[BIRƐ MA KŨ BAŋA : UɟURU NUŋO UɟURO I LA I. WO KA-MIRẼ CEGERE MINE DI KƆ TƆ̃ŋƆ̃ I]
1)Ãn. 
2)Ɲen. 
3)ɟUGƆGO. 
4)JƆWƆLI.
</t>
        </is>
      </c>
      <c r="K24" s="27">
        <f>LEN(J24)</f>
        <v/>
      </c>
      <c r="L24" s="57" t="inlineStr">
        <is>
          <t>Weyboor no wal alboor no ?
[HANKA : BOORA MAAYO SAMBU KARU 999 HAN NU WINGAA]
1)Alboor  
2)Weyboor 
3)E SU BEY 
4)E WINGEE</t>
        </is>
      </c>
      <c r="M24" s="27">
        <f>LEN(L24)</f>
        <v/>
      </c>
      <c r="N24" s="82" t="inlineStr">
        <is>
          <t>Indek awa eqal awadim wa itawasastanan?
[EMASESTƏN: WAR TIGED ASOSTAN WEN. SIDIRGIN YE TAMASLAQ IZAR IKIS EHAN WA AHUSKEN].
1)Ahalis 
2)Tamaƭ. 
3)WARISENAƔ. 
4)UGAY</t>
        </is>
      </c>
      <c r="O24" s="27">
        <f>LEN(N24)</f>
        <v/>
      </c>
      <c r="P24" s="54" t="inlineStr">
        <is>
          <t>Ƴamaaɗon oo wo Debbo naa Gorko?
[GOLLOOWO: TAA ƳAMEE NANNDI ƊE ƳAMƊE. HETTINDE HAALA JOOMUM DE MBINNDON].
1)Gorko 
2)Debbo 
3)ANNDA 
4)SALAADE</t>
        </is>
      </c>
      <c r="Q24" s="27">
        <f>LEN(P24)</f>
        <v/>
      </c>
      <c r="R24" s="63" t="inlineStr">
        <is>
          <t>Single Choice</t>
        </is>
      </c>
      <c r="S24" s="27" t="inlineStr">
        <is>
          <t>NA</t>
        </is>
      </c>
      <c r="T24" s="27" t="inlineStr">
        <is>
          <t>NA</t>
        </is>
      </c>
      <c r="U24" s="27" t="inlineStr">
        <is>
          <t>Form Type - Buttons</t>
        </is>
      </c>
      <c r="V24" s="40" t="inlineStr">
        <is>
          <t>NA</t>
        </is>
      </c>
      <c r="W24" s="64" t="inlineStr">
        <is>
          <t>1-4 = phone_number_conf</t>
        </is>
      </c>
      <c r="X24" s="319" t="n"/>
      <c r="Y24" s="302" t="inlineStr">
        <is>
          <t>For any response, go to phone_number_conf</t>
        </is>
      </c>
      <c r="Z24" s="122" t="n"/>
      <c r="AA24" s="66" t="inlineStr">
        <is>
          <t>resp_agree = 1 
resp_age = 18-100</t>
        </is>
      </c>
      <c r="AB24" s="67" t="n"/>
      <c r="AC24" s="111" t="n">
        <v>2.117356061935425</v>
      </c>
      <c r="AD24" s="374">
        <f>1</f>
        <v/>
      </c>
      <c r="AE24" s="111">
        <f>AC24*AD24</f>
        <v/>
      </c>
    </row>
    <row r="25" ht="205" customHeight="1">
      <c r="A25" s="88">
        <f>A24+1</f>
        <v/>
      </c>
      <c r="B25" s="36" t="inlineStr">
        <is>
          <t>phone_number_conf</t>
        </is>
      </c>
      <c r="C25" s="37" t="inlineStr">
        <is>
          <t>phone_number_conf</t>
        </is>
      </c>
      <c r="D25" s="123" t="inlineStr">
        <is>
          <t>Is the phone number I am calling you on yours or a household member's?
[OPERATOR: SINGLE RESPONSE.]
1)YES
2)NO
3)DON'T KNOW
4)REFUSED</t>
        </is>
      </c>
      <c r="E25" s="124">
        <f>LEN(D25)</f>
        <v/>
      </c>
      <c r="F25" s="262" t="inlineStr">
        <is>
          <t>Le numéro de téléphone sur lequel je vous appelle est-il le vôtre ou celui d'un membre de votre famille ?
[OPÉRATEUR/OPÉRATRICE: RÉPONSE UNIQUE.]
1)Oui
2)Non
3)NE SAIT PAS
4)REFUSÉ</t>
        </is>
      </c>
      <c r="G25" s="124">
        <f>LEN(F25)</f>
        <v/>
      </c>
      <c r="H25" s="90" t="inlineStr">
        <is>
          <t xml:space="preserve">
Ne bɛ aw weelela nigɛjuru sira min kan o ye aw ta ye wala aw ka gwaso mɔgɔ dɔ ta ye wa? 
[NIENIGALI KÈLA: DIABI KELEN]
1)AWO
2)AYI
3)NE MA DON
4)A BAN NA</t>
        </is>
      </c>
      <c r="I25" s="124">
        <f>LEN(H25)</f>
        <v/>
      </c>
      <c r="J25" s="90" t="inlineStr">
        <is>
          <t>Limɔrõ ni e mi bõrõ ɟine, e key maa e nam key?
[BIRƐ MA KŨ BAŋA : UɟURU KƆ TURU LE BE SAA-I]
1)ÉE
2)Ɔ̃-Ɔ̃
3)ɟUGƆGO. 
4)JƆWƆLI.</t>
        </is>
      </c>
      <c r="K25" s="124">
        <f>LEN(J25)</f>
        <v/>
      </c>
      <c r="L25" s="70" t="inlineStr">
        <is>
          <t>Lamboo kang bon no e nun ce ni wonnoo wal er wu boor fo wonno ?
[HANKOYO:  MACHI TA KA HAR DJAABI FO]
1) AYYO
2) KALA
3) A CHI BEY
4) A WANDJI</t>
        </is>
      </c>
      <c r="M25" s="72">
        <f>LEN(L25)</f>
        <v/>
      </c>
      <c r="N25" s="78" t="inlineStr">
        <is>
          <t>Numoro wa telefone fal kay ɣaraɣ eqal inak meɣ ən harat daɣ alɣayal ən amazaɣ?
[AMASSASTAN: AGRETE ISSALANES ASSOUDMARE IYANE]
1)IYA
2)ABO
3)WARISSÉNAGUE
4)OUDIAYAGUE</t>
        </is>
      </c>
      <c r="O25" s="72">
        <f>LEN(N25)</f>
        <v/>
      </c>
      <c r="P25" s="90" t="inlineStr">
        <is>
          <t>Limooro nga noddirmion nga onon jeyi naa wo neɗɗo wuro mon jeyi?
[GOLLOOWO : JAWAABU GOOTO].
1)AYYO 
2)AA'A. 
3)ANNDA 
4)SALAADE</t>
        </is>
      </c>
      <c r="Q25" s="72">
        <f>LEN(P25)</f>
        <v/>
      </c>
      <c r="R25" s="63" t="inlineStr">
        <is>
          <t>Single Choice</t>
        </is>
      </c>
      <c r="S25" s="27" t="inlineStr">
        <is>
          <t>NA</t>
        </is>
      </c>
      <c r="T25" s="40" t="inlineStr">
        <is>
          <t>NA</t>
        </is>
      </c>
      <c r="U25" s="27" t="inlineStr">
        <is>
          <t>NA</t>
        </is>
      </c>
      <c r="V25" s="27" t="inlineStr">
        <is>
          <t>Form Type - Buttons</t>
        </is>
      </c>
      <c r="W25" s="41" t="inlineStr">
        <is>
          <t>1 = contact_2
2 = phone_number_personal
3-4 = contact_2</t>
        </is>
      </c>
      <c r="X25" s="321" t="n"/>
      <c r="Y25" s="303" t="inlineStr">
        <is>
          <t>if phone_number_conf = 1, go to contact_2
if phone_number_conf = 2, go to phone_number_personal
if phone_number_conf = 3-4, go to contact_2</t>
        </is>
      </c>
      <c r="Z25" s="125" t="n"/>
      <c r="AA25" s="126" t="inlineStr">
        <is>
          <t>resp_agree = 1 
resp_age = 18-100</t>
        </is>
      </c>
      <c r="AB25" s="127" t="n"/>
      <c r="AC25" s="128" t="n">
        <v>10</v>
      </c>
      <c r="AD25" s="495">
        <f>1</f>
        <v/>
      </c>
      <c r="AE25" s="128">
        <f>AC25*AD25</f>
        <v/>
      </c>
    </row>
    <row r="26" ht="149.5" customHeight="1">
      <c r="A26" s="88">
        <f>A25+1</f>
        <v/>
      </c>
      <c r="B26" s="36" t="inlineStr">
        <is>
          <t>phone_number_personal</t>
        </is>
      </c>
      <c r="C26" s="37" t="inlineStr">
        <is>
          <t>phone_number_pers</t>
        </is>
      </c>
      <c r="D26" s="123" t="inlineStr">
        <is>
          <t>What is your phone number?
[OPERATOR: RECORD THE NUMBER GIVEN]</t>
        </is>
      </c>
      <c r="E26" s="27">
        <f>LEN(D26)</f>
        <v/>
      </c>
      <c r="F26" s="262" t="inlineStr">
        <is>
          <t>Quel est votre numéro de téléphone ?
[OPÉRATEUR/OPÉRATRICE: SAISIR LE NUMERO.]</t>
        </is>
      </c>
      <c r="G26" s="27">
        <f>LEN(F26)</f>
        <v/>
      </c>
      <c r="H26" s="82" t="inlineStr">
        <is>
          <t xml:space="preserve">Aw ka nigɛjuru sira ye juma de ye ? 
[SƆRƆBATIGI: NIGƐJURU SIRA MIN DIRA SƐBƐ] 
</t>
        </is>
      </c>
      <c r="I26" s="27">
        <f>LEN(H26)</f>
        <v/>
      </c>
      <c r="J26" s="57" t="inlineStr">
        <is>
          <t xml:space="preserve">E limɔrõ jɔkɔy?
[BIRƐ MA KŨ BAŋA : LIMƆRÕ ERU BE Ô TƆ̃ŊƆ̃ I]
</t>
        </is>
      </c>
      <c r="K26" s="27">
        <f>LEN(J26)</f>
        <v/>
      </c>
      <c r="L26" s="57" t="inlineStr">
        <is>
          <t xml:space="preserve">Maaciinoo nnu telfono lambaa ?
[HANKAA : TELEFONO LAMBAA HANTUM]
</t>
        </is>
      </c>
      <c r="M26" s="27">
        <f>LEN(L26)</f>
        <v/>
      </c>
      <c r="N26" s="82" t="inlineStr">
        <is>
          <t>Indek numoro nak wa telefone ?
[EMASESTƏN : SAQAYMU NUMORO ƏN TELEFONE WA TIWAFAN]</t>
        </is>
      </c>
      <c r="O26" s="27">
        <f>LEN(N26)</f>
        <v/>
      </c>
      <c r="P26" s="57" t="inlineStr">
        <is>
          <t>Ɗume won limooro mon noddirga?
[GOLLOOWO : MBINNDON CALLALOL KOKKAANGOL]</t>
        </is>
      </c>
      <c r="Q26" s="27">
        <f>LEN(P26)</f>
        <v/>
      </c>
      <c r="R26" s="63" t="inlineStr">
        <is>
          <t>Range</t>
        </is>
      </c>
      <c r="S26" s="27" t="inlineStr">
        <is>
          <t>NA</t>
        </is>
      </c>
      <c r="T26" s="27" t="inlineStr">
        <is>
          <t>NA</t>
        </is>
      </c>
      <c r="U26" s="27" t="inlineStr">
        <is>
          <t>Form Type - TextBox</t>
        </is>
      </c>
      <c r="V26" s="40" t="inlineStr">
        <is>
          <t>NA</t>
        </is>
      </c>
      <c r="W26" s="41" t="inlineStr">
        <is>
          <t>1000000-9999999999999 = contact_2</t>
        </is>
      </c>
      <c r="X26" s="321" t="n"/>
      <c r="Y26" s="304" t="inlineStr">
        <is>
          <t>For any response, go to contact_2</t>
        </is>
      </c>
      <c r="Z26" s="130" t="n"/>
      <c r="AA26" s="126" t="inlineStr">
        <is>
          <t>resp_agree = 1 
resp_age = 18-100
phone_number_conf = 2</t>
        </is>
      </c>
      <c r="AB26" s="127" t="n"/>
      <c r="AC26" s="128" t="n">
        <v>10</v>
      </c>
      <c r="AD26" s="495">
        <f>1</f>
        <v/>
      </c>
      <c r="AE26" s="128">
        <f>AC26*AD26</f>
        <v/>
      </c>
    </row>
    <row r="27" ht="214" customFormat="1" customHeight="1" s="261">
      <c r="A27" s="447">
        <f>A26+1</f>
        <v/>
      </c>
      <c r="B27" s="263" t="inlineStr">
        <is>
          <t>contact_2</t>
        </is>
      </c>
      <c r="C27" s="264" t="inlineStr">
        <is>
          <t>contact_2</t>
        </is>
      </c>
      <c r="D27" s="434" t="inlineStr">
        <is>
          <t>Can you give me an additional phone number belonging to you, another household member or a close relative living outside of the household at which you can be reached?
[OPERATOR: SINGLE RESPONSE.]
1)YES - mine
2)YES - other household member
3)YES - friend or relative [non-household member]
4)NO
5)DON'T KNOW
6)REFUSED</t>
        </is>
      </c>
      <c r="E27" s="204">
        <f>LEN(D27)</f>
        <v/>
      </c>
      <c r="F27" s="262" t="inlineStr">
        <is>
          <t>Pouvez-vous me donner un autre numéro de téléphone, le vôtre, celui d'un parent ou d'un ami, auquel vous pouvez être joint?
[OPÉRATEUR/OPÉRATRICE: RÉPONSE UNIQUE.]
1)OUI - le mien 
2)OUI - un autre membre du ménage
3)OUI - un ami ou un parent [non membre du ménage]
4)NON
5)NE SAIT PAS
6)REFUSÉ</t>
        </is>
      </c>
      <c r="G27" s="204">
        <f>LEN(F27)</f>
        <v/>
      </c>
      <c r="H27" s="57" t="inlineStr">
        <is>
          <t>Aw k’a ka nigɛjuru sira wɛrɛ di ne ma min kɛra aw ta ye, an be se k’aw sɔrɔ min kan ? 
[SƆRƆBATIGI: JAABI KELEN]. 
1)ƆWƆ - ne ta. 
2)2)ƆWƆ - dukɔnɔmɔgɔ wɛrɛ
3)ƆWƆ- Teri wala siyakɔnɔmɔgɔɔ dɔ [min tɛ dumɔgɔ ye]
4)AYI 
5)NE MA DON
6)A BAN NA</t>
        </is>
      </c>
      <c r="I27" s="204">
        <f>LEN(H27)</f>
        <v/>
      </c>
      <c r="J27" s="57" t="inlineStr">
        <is>
          <t>Limɔrõ è mi bõrõ bɛrɛɛ, e kũũ kje maa e uro nam kje maa, maa e tɛn kje maa, min l(e)’ ô go bee?
[BIRƐ MA KŨ BAŋA : UɟURU KƆ TURU LE BE SAA-I]
1)EE-mi ce-i.
2)ÉÊ – ko uro iné lagin
3) ÉÊ – tɛnɛ màa tɔgu [ko uro inén-i láa]
4)Ɔ̃-Ɔ̃.
5)ɟUGƆGO. 
6)JƆWƆLI.</t>
        </is>
      </c>
      <c r="K27" s="204">
        <f>LEN(J27)</f>
        <v/>
      </c>
      <c r="L27" s="57" t="inlineStr">
        <is>
          <t>E noo telfon wonn lamb hinkantu fo kang bon ir gu hinn kun ce, nboora, nceero wal nbumbooh 
[HANKAA : ZAABI AFFOO]
1)AYYO -e bumbo    
2)AYYO– huwo boro fo  
3)AYYO – cere wala boro won boro fo [a mantu huwo boro no]
4)HANHAN 
5)E SU BEY 
6)E WINGEE</t>
        </is>
      </c>
      <c r="M27" s="204">
        <f>LEN(L27)</f>
        <v/>
      </c>
      <c r="N27" s="57" t="inlineStr">
        <is>
          <t xml:space="preserve">Tadobed ahitifid numoro ən telefone iyan, tiled, meɣ ila amidinak, əs nadobat akay nigruw ?
[EMASESTƏN : ALƏƔI IYANDAƔ].
1)IYA -inaw. 
2)IYA – iyan awadəm ən amazaɣ 
3)IYA – amidi meɣ amaraw [wareqel awadəm ən amazaɣ]
4)BABO.
5)WARISENAƔ. 
6)UGAY </t>
        </is>
      </c>
      <c r="O27" s="204">
        <f>LEN(N27)</f>
        <v/>
      </c>
      <c r="P27" s="57" t="inlineStr">
        <is>
          <t>Na on waawi ɓeydude limoro mon ngonga noddirga, limoro neɗɗo mon, maa du nga waayii on jeyi tayee na on waawi noddede heɓɓedon na?
[GOLLOOWO : JAWAABU GOOTO].
1)AYYO - Nga am. 
2) AYYO - neɗɗo jeyaaɗo nder ɓaade nden
3) AYYO - yigiiwo maa koruwol [mo jeyaaka nder ɓaade nden]  
4)AA'A. 
5)ANNDA 
6)SALAADE</t>
        </is>
      </c>
      <c r="Q27" s="204">
        <f>LEN(P27)</f>
        <v/>
      </c>
      <c r="R27" s="265" t="inlineStr">
        <is>
          <t>Single Choice</t>
        </is>
      </c>
      <c r="S27" s="204" t="inlineStr">
        <is>
          <t>NA</t>
        </is>
      </c>
      <c r="T27" s="204" t="inlineStr">
        <is>
          <t>NA</t>
        </is>
      </c>
      <c r="U27" s="204" t="inlineStr">
        <is>
          <t>Form Type - Buttons</t>
        </is>
      </c>
      <c r="V27" s="197" t="inlineStr">
        <is>
          <t>NA</t>
        </is>
      </c>
      <c r="W27" s="198" t="inlineStr">
        <is>
          <t>1-3 = phone_number_2
4-6 = hh_admin1</t>
        </is>
      </c>
      <c r="X27" s="468" t="n"/>
      <c r="Y27" s="488" t="inlineStr">
        <is>
          <t>if contact_2 = 1-2, go to phone_number_2
if contact_2 = 3-5, go to contact_3</t>
        </is>
      </c>
      <c r="Z27" s="489" t="n"/>
      <c r="AA27" s="131" t="inlineStr">
        <is>
          <t>resp_agree = 1 
resp_age = 18-100</t>
        </is>
      </c>
      <c r="AB27" s="132" t="n"/>
      <c r="AC27" s="490" t="n">
        <v>10</v>
      </c>
      <c r="AD27" s="491">
        <f>1</f>
        <v/>
      </c>
      <c r="AE27" s="490">
        <f>AC27*AD27</f>
        <v/>
      </c>
    </row>
    <row r="28" ht="149.5" customHeight="1">
      <c r="A28" s="88">
        <f>A27+1</f>
        <v/>
      </c>
      <c r="B28" s="263" t="inlineStr">
        <is>
          <t>phone_number_2</t>
        </is>
      </c>
      <c r="C28" s="264" t="inlineStr">
        <is>
          <t>phone_number_2</t>
        </is>
      </c>
      <c r="D28" s="262" t="inlineStr">
        <is>
          <t>What is the additional phone number?
[OPERATOR: RECORD THE NUMBER GIVEN]</t>
        </is>
      </c>
      <c r="E28" s="204">
        <f>LEN(D28)</f>
        <v/>
      </c>
      <c r="F28" s="266" t="inlineStr">
        <is>
          <t>Quel est cet autre numéro de téléphone?
[OPÉRATEUR/OPÉRATRICE: SAISIR LE NUMERO.]</t>
        </is>
      </c>
      <c r="G28" s="204">
        <f>LEN(F28)</f>
        <v/>
      </c>
      <c r="H28" s="82" t="inlineStr">
        <is>
          <t xml:space="preserve">Nigɛjuru sira wɛrɛ limɔrɔ ye juma tun? 
[SƆRƆBATIGI: NIGƐJURU SIRA MIN DIRA SƐBƐ] </t>
        </is>
      </c>
      <c r="I28" s="27">
        <f>LEN(H28)</f>
        <v/>
      </c>
      <c r="J28" s="82" t="inlineStr">
        <is>
          <t>Ko limɔrõ e barâ jɔkɔy?
[BIRƐ MA KŨ BAŋA : LIMƆRÕ ERU BE Ô TƆ̃ŊƆ̃ I]</t>
        </is>
      </c>
      <c r="K28" s="27">
        <f>LEN(J28)</f>
        <v/>
      </c>
      <c r="L28" s="82" t="inlineStr">
        <is>
          <t>Cii ese telfono lamba hinkantaa ?
[HANKAA : TELEFONO LAMBAA HANTUM]</t>
        </is>
      </c>
      <c r="M28" s="27">
        <f>LEN(L28)</f>
        <v/>
      </c>
      <c r="N28" s="82" t="inlineStr">
        <is>
          <t>Indek numoro wa telefone iyan?
[EMASESTƏN : SAQAYMU NUMORO ƏN TELEFONE WA TIWAFAN]</t>
        </is>
      </c>
      <c r="O28" s="27">
        <f>LEN(N28)</f>
        <v/>
      </c>
      <c r="P28" s="82" t="inlineStr">
        <is>
          <t>Ngale won limooro noddirga ɓeydoowa?
[GOLLOOWO : MBINNDON CALLALOL KOKKAANGOL]</t>
        </is>
      </c>
      <c r="Q28" s="204">
        <f>LEN(P28)</f>
        <v/>
      </c>
      <c r="R28" s="265" t="inlineStr">
        <is>
          <t>Range</t>
        </is>
      </c>
      <c r="S28" s="204" t="inlineStr">
        <is>
          <t>NA</t>
        </is>
      </c>
      <c r="T28" s="204" t="inlineStr">
        <is>
          <t>NA</t>
        </is>
      </c>
      <c r="U28" s="204" t="inlineStr">
        <is>
          <t>Form Type - TextBox</t>
        </is>
      </c>
      <c r="V28" s="40" t="inlineStr">
        <is>
          <t>NA</t>
        </is>
      </c>
      <c r="W28" s="198" t="inlineStr">
        <is>
          <t>1000000-9999999999999 = contact_2_name</t>
        </is>
      </c>
      <c r="X28" s="734" t="n"/>
      <c r="Y28" s="305" t="inlineStr">
        <is>
          <t>For any response, go to contact_2_name</t>
        </is>
      </c>
      <c r="Z28" s="133" t="n"/>
      <c r="AA28" s="131" t="inlineStr">
        <is>
          <t>resp_agree = 1 
resp_age = 18-100
contact_2 = 1 | 2</t>
        </is>
      </c>
      <c r="AB28" s="132" t="n"/>
      <c r="AC28" s="128" t="n">
        <v>10</v>
      </c>
      <c r="AD28" s="495">
        <f>1</f>
        <v/>
      </c>
      <c r="AE28" s="128">
        <f>AC28*AD28</f>
        <v/>
      </c>
    </row>
    <row r="29" ht="114" customHeight="1">
      <c r="A29" s="88">
        <f>A28+1</f>
        <v/>
      </c>
      <c r="B29" s="263" t="inlineStr">
        <is>
          <t>contact_2_name</t>
        </is>
      </c>
      <c r="C29" s="264" t="inlineStr">
        <is>
          <t>contact_2_name</t>
        </is>
      </c>
      <c r="D29" s="262" t="inlineStr">
        <is>
          <t>What is the name of the contact?
[OPERATOR: RECORD THE NAME OF THE CONTACT FOR THE PHONE NUMBER.]</t>
        </is>
      </c>
      <c r="E29" s="204">
        <f>LEN(D29)</f>
        <v/>
      </c>
      <c r="F29" s="262" t="inlineStr">
        <is>
          <t>Quel est le nom du contact associé à ce numéro de téléphone?
[OPÉRATEUR/OPÉRATRICE: SAISIR LENOM DU CONTACT POUR CE NUMERO DE TÉLÉPHONE.]</t>
        </is>
      </c>
      <c r="G29" s="204">
        <f>LEN(F29)</f>
        <v/>
      </c>
      <c r="H29" s="82" t="inlineStr">
        <is>
          <t>Nigɛjuru sira wɛrɛ tigi tɔgɔ ko di? 
[SƆRƆBATIGI: AW YE TAALIKƐKƐLA TɔGɔ SƐBƐN ANI A LIMCCRCC SƐBƐN]</t>
        </is>
      </c>
      <c r="I29" s="27">
        <f>LEN(H29)</f>
        <v/>
      </c>
      <c r="J29" s="82" t="inlineStr">
        <is>
          <t>Inen aa ma bon-i koru kuno ba?
[BIRƐ BAŊA : KÒ TÉLÉPƆ́N MÀ LIMƆRÕ KŨŨ LÉ, INEN BÈ BƆRƆN MÀ BON TƆ̃ŊƆ̃ KUNO I.]</t>
        </is>
      </c>
      <c r="K29" s="27">
        <f>LEN(J29)</f>
        <v/>
      </c>
      <c r="L29" s="82" t="inlineStr">
        <is>
          <t xml:space="preserve">Maafo noh a bong ?
[HÃKA : ER MU BORO KAŊ GU HINI ZAABI WON MAAYO NDU A TELFONO LAMABA ANTUM]. </t>
        </is>
      </c>
      <c r="M29" s="27">
        <f>LEN(L29)</f>
        <v/>
      </c>
      <c r="N29" s="82" t="inlineStr">
        <is>
          <t>Indek əsim ən numoro?
[ƏMASESTƏN : SAQAMU ƏSƏM ƏN NAWADƏM WA MANAN ATWAƔRU FAL LIMORO ƏN TELEFONE].</t>
        </is>
      </c>
      <c r="O29" s="27">
        <f>LEN(N29)</f>
        <v/>
      </c>
      <c r="P29" s="82" t="inlineStr">
        <is>
          <t xml:space="preserve">Noy won innde limoro ngan?
[GOLLOOWO : WINNDU INNDE NEƊƊO NODDETOOƊO ON, LAMBA TELFOL NGOL]. </t>
        </is>
      </c>
      <c r="Q29" s="204">
        <f>LEN(P29)</f>
        <v/>
      </c>
      <c r="R29" s="265" t="inlineStr">
        <is>
          <t>Open Ended</t>
        </is>
      </c>
      <c r="S29" s="204" t="inlineStr">
        <is>
          <t>NA</t>
        </is>
      </c>
      <c r="T29" s="204" t="inlineStr">
        <is>
          <t>Send if "contact_2" "Equals" "YES - other household member" Or "contact_2" "Equals" "YES - friend or relative [non-household member]" if not satisfied go to "contact_3"</t>
        </is>
      </c>
      <c r="U29" s="204" t="inlineStr">
        <is>
          <t>Form Type - TextBox</t>
        </is>
      </c>
      <c r="V29" s="40" t="inlineStr">
        <is>
          <t>NA</t>
        </is>
      </c>
      <c r="W29" s="198" t="inlineStr">
        <is>
          <t>Any Response = contact_3</t>
        </is>
      </c>
      <c r="X29" s="742" t="n"/>
      <c r="Y29" s="305" t="inlineStr">
        <is>
          <t>Asked if "contact_2" "Equals" "YES - friend or relative". Otherwise, it skips to "contact_3".
For any response, go to contact_3</t>
        </is>
      </c>
      <c r="Z29" s="134" t="n"/>
      <c r="AA29" s="131" t="inlineStr">
        <is>
          <t>resp_agree = 1 
resp_age = 18-100
contact_2 = 2</t>
        </is>
      </c>
      <c r="AB29" s="132" t="n"/>
      <c r="AC29" s="128" t="n">
        <v>10</v>
      </c>
      <c r="AD29" s="495">
        <f>1</f>
        <v/>
      </c>
      <c r="AE29" s="128">
        <f>AC29*AD29</f>
        <v/>
      </c>
    </row>
    <row r="30" ht="234.75" customHeight="1">
      <c r="A30" s="88">
        <f>A29+1</f>
        <v/>
      </c>
      <c r="B30" s="36" t="inlineStr">
        <is>
          <t>contact_3</t>
        </is>
      </c>
      <c r="C30" s="37" t="inlineStr">
        <is>
          <t>contact_3</t>
        </is>
      </c>
      <c r="D30" s="434" t="inlineStr">
        <is>
          <t>Can you give me an additional phone number belonging to you, another household member or a close relative living outside of the household at which you can be reached?
[OPERATOR: SINGLE RESPONSE.]
1)YES - mine
2)YES - other household member
3)YES - friend or relative [non-household member]
4)NO
5)DON'T KNOW
6)REFUSED</t>
        </is>
      </c>
      <c r="E30" s="27">
        <f>LEN(D30)</f>
        <v/>
      </c>
      <c r="F30" s="123" t="inlineStr">
        <is>
          <t>Pouvez-vous me donner un autre numéro de téléphone, le vôtre, celui d'un parent ou d'un ami, auquel vous pouvez être joint?
[OPÉRATEUR/OPÉRATRICE: RÉPONSE UNIQUE.]
1)OUI - le mien
2)OUI - un autre membre du ménage
3)OUI - un ami ou un parent [non membre du ménage]
4)NON
5)NE SAIT PAS
6)REFUSÉ</t>
        </is>
      </c>
      <c r="G30" s="27">
        <f>LEN(F30)</f>
        <v/>
      </c>
      <c r="H30" s="82" t="inlineStr">
        <is>
          <t>Aw k’a ka nigɛjuru sira wɛrɛ di ne ma min kɛra aw ta ye, an be se k’aw sɔrɔ min kan ? 
[SƆRƆBATIGI: JAABI KELEN]. 
1)ƆWƆ - ne ta. 
2)ƆWƆ - dukɔnɔmɔgɔ wɛrɛ
3)ƆWƆ- Teri wala siyakɔnɔmɔgɔɔ dɔ [min tɛ dumɔgɔ ye]
4)AYI 
5)NE MA DON
6)A BAN NA</t>
        </is>
      </c>
      <c r="I30" s="27">
        <f>LEN(H30)</f>
        <v/>
      </c>
      <c r="J30" s="82" t="inlineStr">
        <is>
          <t>Limɔrõ è mi bõrõ bɛrɛɛ, e kũũ kje maa e uro nam kje maa, maa e tɛn kje maa, min l(e)’ ô go bee?
[BIRƐ MA KŨ BAŋA : UɟURU KƆ TURU LE BE SAA-I]
1)EE-mi ce-i.
2)ÉÊ – ko uro iné lagin
3) ÉÊ – tɛnɛ màa tɔgu [ko uro inén-i láa]
4)Ɔ̃-Ɔ̃.
5)ɟUGƆGO. 
6)JƆWƆLI.</t>
        </is>
      </c>
      <c r="K30" s="27">
        <f>LEN(J30)</f>
        <v/>
      </c>
      <c r="L30" s="82" t="inlineStr">
        <is>
          <t>E noo telfon wonn lamb hinkantu fo kang bon ir gu hinn kun ce, nboora, nceero wal nbumbooh 
[HANKAA : ZAABI AFFOO]
1)AYYO -e bumbo    
2)AYYO– huwo boro fo  
3)AYYO – cere wala boro won boro fo [a mantu huwo boro no]
4)HANHAN 
5)E SU BEY 
6)E WINGEE</t>
        </is>
      </c>
      <c r="M30" s="27">
        <f>LEN(L30)</f>
        <v/>
      </c>
      <c r="N30" s="82" t="inlineStr">
        <is>
          <t xml:space="preserve">Tadobed ahitifid numoro ən telefone iyan, tiled, meɣ ila amidinak, əs nadobat akay nigruw ?
[EMASESTƏN : ALƏƔI IYANDAƔ].
1)IYA -inaw. 
2)IYA – iyan awadəm ən amazaɣ 
3)IYA – amidi meɣ amaraw [wareqel awadəm ən amazaɣ]
4)BABO.
5)WARISENAƔ. 
6)UGAY </t>
        </is>
      </c>
      <c r="O30" s="27">
        <f>LEN(N30)</f>
        <v/>
      </c>
      <c r="P30" s="82" t="inlineStr">
        <is>
          <t>Na on waawi ɓeydude limoro mon ngonga noddirga, limoro neɗɗo mon, maa du nga waayii on jeyi tayee na on waawi noddede heɓɓedon na?
[GOLLOOWO : JAWAABU GOOTO].
1)AYYO - Nga am. 
2) AYYO - neɗɗo jeyaaɗo nder ɓaade nden
3) AYYO - yigiiwo maa koruwol [mo jeyaaka nder ɓaade nden]  
4)AA'A. 
5)ANNDA 
6)SALAADE</t>
        </is>
      </c>
      <c r="Q30" s="27">
        <f>LEN(P30)</f>
        <v/>
      </c>
      <c r="R30" s="63" t="inlineStr">
        <is>
          <t>Single Choice</t>
        </is>
      </c>
      <c r="S30" s="27" t="inlineStr">
        <is>
          <t>NA</t>
        </is>
      </c>
      <c r="T30" s="27" t="inlineStr">
        <is>
          <t>NA</t>
        </is>
      </c>
      <c r="U30" s="27" t="inlineStr">
        <is>
          <t>Form Type - Buttons</t>
        </is>
      </c>
      <c r="V30" s="40" t="inlineStr">
        <is>
          <t>NA</t>
        </is>
      </c>
      <c r="W30" s="41" t="inlineStr">
        <is>
          <t>1-3= phone_number_3
4-6 = hh_admin1</t>
        </is>
      </c>
      <c r="X30" s="492" t="n"/>
      <c r="Y30" s="493" t="inlineStr">
        <is>
          <t>if contact_3 = 1-2, go to phone_number_3
if contact_3 = 3-5, go to hh_admin1</t>
        </is>
      </c>
      <c r="Z30" s="494" t="n"/>
      <c r="AA30" s="126" t="inlineStr">
        <is>
          <t>resp_agree = 1 
resp_age = 18-100
contact_2 = 1 | 2</t>
        </is>
      </c>
      <c r="AB30" s="127" t="n"/>
      <c r="AC30" s="128" t="n">
        <v>10</v>
      </c>
      <c r="AD30" s="495">
        <f>1</f>
        <v/>
      </c>
      <c r="AE30" s="128">
        <f>AC30*AD30</f>
        <v/>
      </c>
    </row>
    <row r="31" ht="103" customHeight="1">
      <c r="A31" s="88">
        <f>A30+1</f>
        <v/>
      </c>
      <c r="B31" s="263" t="inlineStr">
        <is>
          <t>phone_number_3</t>
        </is>
      </c>
      <c r="C31" s="264" t="inlineStr">
        <is>
          <t>phone_number_3</t>
        </is>
      </c>
      <c r="D31" s="262" t="inlineStr">
        <is>
          <t>What is the additional phone number?
[OPERATOR: RECORD THE NUMBER GIVEN]</t>
        </is>
      </c>
      <c r="E31" s="204">
        <f>LEN(D31)</f>
        <v/>
      </c>
      <c r="F31" s="266" t="inlineStr">
        <is>
          <t>Quel est cet autre numéro de téléphone?
[OPÉRATEUR/OPÉRATRICE: SAISIR LE NUMERO.]</t>
        </is>
      </c>
      <c r="G31" s="204">
        <f>LEN(F31)</f>
        <v/>
      </c>
      <c r="H31" s="82" t="inlineStr">
        <is>
          <t xml:space="preserve">O nigɛjuru sira dɔ wɛrɛ nin ye jumɛ de ye? 
[SƆRƆBATIGI: NIGƐJURU SIRA MIN DIRA SƐBƐ] </t>
        </is>
      </c>
      <c r="I31" s="27">
        <f>LEN(H31)</f>
        <v/>
      </c>
      <c r="J31" s="82" t="inlineStr">
        <is>
          <t>Ko limɔrõ e barâ jɔkɔy?
[BIRƐ MA KŨ BAŋA : LIMƆRÕ ERU BE Ô TƆ̃ŊƆ̃ I]</t>
        </is>
      </c>
      <c r="K31" s="27">
        <f>LEN(J31)</f>
        <v/>
      </c>
      <c r="L31" s="82" t="inlineStr">
        <is>
          <t>Telelefono lambu hinkantu foo noh ?  
[HANKAA : TELEFONO LAMBAA HANTUM]</t>
        </is>
      </c>
      <c r="M31" s="27">
        <f>LEN(L31)</f>
        <v/>
      </c>
      <c r="N31" s="82" t="inlineStr">
        <is>
          <t>Indek numoro wa telefone iyan?
[EMASESTƏN : SAQAYMU NUMORO ƏN TELEFONE WA TIWAFAN]</t>
        </is>
      </c>
      <c r="O31" s="27">
        <f>LEN(N31)</f>
        <v/>
      </c>
      <c r="P31" s="82" t="inlineStr">
        <is>
          <t xml:space="preserve">Ngale won limooro noddirga ɓeydoowa?
[GOLLOOWO : MBINNDON CALLALOL KOKKAANGOL]
</t>
        </is>
      </c>
      <c r="Q31" s="204">
        <f>LEN(P31)</f>
        <v/>
      </c>
      <c r="R31" s="265" t="inlineStr">
        <is>
          <t>Range</t>
        </is>
      </c>
      <c r="S31" s="204" t="inlineStr">
        <is>
          <t>NA</t>
        </is>
      </c>
      <c r="T31" s="204" t="inlineStr">
        <is>
          <t>NA</t>
        </is>
      </c>
      <c r="U31" s="204" t="inlineStr">
        <is>
          <t>Form Type - TextBox</t>
        </is>
      </c>
      <c r="V31" s="40" t="inlineStr">
        <is>
          <t>NA</t>
        </is>
      </c>
      <c r="W31" s="198" t="inlineStr">
        <is>
          <t>1000000-9999999999999 = contact_3_name</t>
        </is>
      </c>
      <c r="X31" s="323" t="n"/>
      <c r="Y31" s="305" t="inlineStr">
        <is>
          <t>For any response, go to contact_3_name</t>
        </is>
      </c>
      <c r="Z31" s="133" t="n"/>
      <c r="AA31" s="131" t="inlineStr">
        <is>
          <t>resp_agree = 1 
resp_age = 18-100
contact_3 = 1 | 2</t>
        </is>
      </c>
      <c r="AB31" s="132" t="n"/>
      <c r="AC31" s="128" t="n">
        <v>10</v>
      </c>
      <c r="AD31" s="495">
        <f>1</f>
        <v/>
      </c>
      <c r="AE31" s="128">
        <f>AC31*AD31</f>
        <v/>
      </c>
    </row>
    <row r="32" ht="129.75" customHeight="1">
      <c r="A32" s="88">
        <f>A31+1</f>
        <v/>
      </c>
      <c r="B32" s="263" t="inlineStr">
        <is>
          <t>contact_3_name</t>
        </is>
      </c>
      <c r="C32" s="264" t="inlineStr">
        <is>
          <t>phone_number_3_name</t>
        </is>
      </c>
      <c r="D32" s="123" t="inlineStr">
        <is>
          <t>What is the name of the contact?
[OPERATOR: RECORD THE NAME OF THE CONTACT FOR THE PHONE NUMBER.]</t>
        </is>
      </c>
      <c r="E32" s="204">
        <f>LEN(D32)</f>
        <v/>
      </c>
      <c r="F32" s="262" t="inlineStr">
        <is>
          <t>Quel est le nom du contact associé à ce numéro de téléphone?
[OPÉRATEUR/OPÉRATRICE: SAISIR LENOM DU CONTACT POUR CE NUMERO DE TÉLÉPHONE.]</t>
        </is>
      </c>
      <c r="G32" s="204">
        <f>LEN(F32)</f>
        <v/>
      </c>
      <c r="H32" s="82" t="inlineStr">
        <is>
          <t>Nigɛ juru sira nin tigi tɔgɔ ye jumɛn de ye? 
[SƆRƆBATIGI: AW YE TAALIKƐKƐLA TɔGɔ SƐBƐN ANI A LIMCCRCC SƐBƐN]</t>
        </is>
      </c>
      <c r="I32" s="27">
        <f>LEN(H32)</f>
        <v/>
      </c>
      <c r="J32" s="82" t="inlineStr">
        <is>
          <t>Inen aa ma bon-i koru kuno ba?
[BIRƐ BAŊA : KÒ TÉLÉPƆ́N MÀ LIMƆRÕ KŨŨ LÉ, INEN BÈ BƆRƆN MÀ BON TƆ̃ŊƆ̃ KUNO I.]</t>
        </is>
      </c>
      <c r="K32" s="27">
        <f>LEN(J32)</f>
        <v/>
      </c>
      <c r="L32" s="82" t="inlineStr">
        <is>
          <t xml:space="preserve">Maa fo noh a bong ?
[HÃKA : ER MU BORO KAŊ GU HINI ZAABI WON MAAYO NDU A TELFONO LAMABA ANTUM]. </t>
        </is>
      </c>
      <c r="M32" s="27">
        <f>LEN(L32)</f>
        <v/>
      </c>
      <c r="N32" s="82" t="inlineStr">
        <is>
          <t>Indek əsim ən numoro?
[ƏMASESTƏN : SAQAMU ƏSƏM ƏN NAWADƏM WA MANAN ATWAƔRU FAL LIMORO ƏN TELEFONE].</t>
        </is>
      </c>
      <c r="O32" s="27">
        <f>LEN(N32)</f>
        <v/>
      </c>
      <c r="P32" s="82" t="inlineStr">
        <is>
          <t xml:space="preserve">Noy won innde limoro ngan?
[GOLLOOWO : WINNDU INNDE NEƊƊO NODDETOOƊO ON, LAMBA TELFOL NGOL]. </t>
        </is>
      </c>
      <c r="Q32" s="204">
        <f>LEN(P32)</f>
        <v/>
      </c>
      <c r="R32" s="265" t="inlineStr">
        <is>
          <t>Open Ended</t>
        </is>
      </c>
      <c r="S32" s="204" t="inlineStr">
        <is>
          <t>NA</t>
        </is>
      </c>
      <c r="T32" s="204" t="inlineStr">
        <is>
          <t>Send if "contact_3" "Equals" "YES - other household member" Or "contact_3" "Equals" "YES - friend or relative [non-household member]" if not satisfied go to "hh_admin1"</t>
        </is>
      </c>
      <c r="U32" s="204" t="inlineStr">
        <is>
          <t>Form Type - TextBox</t>
        </is>
      </c>
      <c r="V32" s="40" t="inlineStr">
        <is>
          <t>NA</t>
        </is>
      </c>
      <c r="W32" s="198" t="inlineStr">
        <is>
          <t>Any Response = hh_admin1</t>
        </is>
      </c>
      <c r="X32" s="323" t="n"/>
      <c r="Y32" s="305" t="inlineStr">
        <is>
          <t>Asked if "contact_3" "Equals" "YES - friend or relative". Otherwise, it skips to "hh_admin1".
For any response, go to hh_admin1</t>
        </is>
      </c>
      <c r="Z32" s="134" t="n"/>
      <c r="AA32" s="131" t="inlineStr">
        <is>
          <t>resp_agree = 1 
resp_age = 18-100
contact_3 = 2</t>
        </is>
      </c>
      <c r="AB32" s="132" t="n"/>
      <c r="AC32" s="128" t="n">
        <v>10</v>
      </c>
      <c r="AD32" s="495">
        <f>1</f>
        <v/>
      </c>
      <c r="AE32" s="128">
        <f>AC32*AD32</f>
        <v/>
      </c>
    </row>
    <row r="33" ht="409.5" customHeight="1">
      <c r="A33" s="88">
        <f>A32+1</f>
        <v/>
      </c>
      <c r="B33" s="36" t="inlineStr">
        <is>
          <t>hh_admin1</t>
        </is>
      </c>
      <c r="C33" s="48" t="inlineStr">
        <is>
          <t>hh_admin1</t>
        </is>
      </c>
      <c r="D33" s="38" t="inlineStr">
        <is>
          <t xml:space="preserve">Currently, in which Region does your household reside?
[OPERATOR: SINGLE SELECTION.]
[HINT: HOUSEHOLD CONSISTS OF ALL MEMBERS LIVING TOGETHER, SHARING RESOURCES &amp; EATING FROM THE SAME POT.]
1)BAMAKO
2)GAO
3)KAYES
4)KIDAL
5)KOULIKORO
6)MENAKA
7)MOPTI
8)SIKASSO
9)SÉGOU
10)TOMBOUCTOU
11)DON'T KNOW
12)REFUSED </t>
        </is>
      </c>
      <c r="E33" s="39">
        <f>LEN(D33)</f>
        <v/>
      </c>
      <c r="F33" s="53" t="inlineStr">
        <is>
          <t>Actuellement, dans quel Region votre ménage vit-il ?
[OPÉRATEUR/OPÉRATRICE: RÉPONSE UNIQUE.]
[CONSEIL: LE MÉNAGE EST COMPOSÉ DE TOUTES LES PERSONNES VIVANT ENSEMBLE, PARTAGEANT LEURS RESSOURCES ET MANGEANT DANS UNE MARMITE COMMUNE.]
1)BAMAKO
2)GAO
3)KAYES
4)KIDAL
5)KOULIKORO
6)MENAKA
7)MOPTI
8)SIKASSO
9)SÉGOU
10)TOMBOUCTOU
11)NE SAIT PAS
12)REFUSÉ</t>
        </is>
      </c>
      <c r="G33" s="39">
        <f>LEN(F33)</f>
        <v/>
      </c>
      <c r="H33" s="50" t="inlineStr">
        <is>
          <t>Si san I ka denbaya be sigida djoumè na?
[NIENIGALI KÈLA : I KANA KOUMA KAN TIAMA TA. DIABI KELEN]
[TAAMASHIƝƐ : GWASO KƆNƆ MƆGƆW BƐƐ BE ƝƆGƆN FƐ, K’U KA SƆRƆW BƐƐ TILAN U NI ƝƆGƆN CƐ ANI KA DUMUNI KƐ MINAN KELEN KƆNƆ]. 
1)BAMAKO
2)GAO
3)KAYES
4)KIDAL
5)KOULIKORO
6)MENAKA
7)MOPTI
8)SIKASSO
9)SÉGOU
10)TOMBOUCTOU
11)NE MA DON
12)A BAN NA</t>
        </is>
      </c>
      <c r="I33" s="39">
        <f>LEN(H33)</f>
        <v/>
      </c>
      <c r="J33" s="135" t="inlineStr">
        <is>
          <t>Kanayi, oumanranwou éwoyi yago wôyi?
[SEROUMOU SEROUMOUNE: YABIYIRIYE GO BE DIANGANWOU, YABIYIRIYE TOUROU]
[SƐRƐ: URO INEM ɟƐ BA LEY GE INE ƝE-IM KO BƐRƐƐ KUNUM FUU, BE ASƐGƐ I MƆRƆ̃̌ BE BAƝA NA MI MƆ́RƆ̃̀]
1)BAMAKO
2)GAO
3)KAYES
4)KIDAL
5)KOULIKORO
6)MENAKA
7)MOPTI
8)SIKASSO
9)SÉGOU
10)TOMBOUCTOU
11)INON
12)YABIRIYEDORON</t>
        </is>
      </c>
      <c r="K33" s="39">
        <f>LEN(J33)</f>
        <v/>
      </c>
      <c r="L33" s="136" t="inlineStr">
        <is>
          <t>Sohonda région fo ra ni alayaney go?
[HANKOYO: MACHI TA KA HAR, SOUBA DE]
[SILMANKA: HUWO BOOREY NNOKU BOOREY KUL KAN GO WIINDU FO GA, I KUL ALMENE NDU KNANRU FOOLON]
1)BAMAKO
2)GAO
3)KAYES
4)KIDAL
5)KOULIKORO
6)MENAKA
7)MOPTI
8)SIKASSO
9)SÉGOU
10)TOMBOUCTOU
11) A CHI BEY
12)A WANDJI</t>
        </is>
      </c>
      <c r="M33" s="63">
        <f>LEN(L33)</f>
        <v/>
      </c>
      <c r="N33" s="50" t="inlineStr">
        <is>
          <t>Amaradaghue indeke region tah daghue taha ehanake?
[AMASSASTAN: WATGUEREME AKATABE IYANE]
[ASIKIN : ALƔAYAL EQAL AYERTAYAN ƏS ADINAT WI IDARNEN DAK, TUZANEN ANAFATAN ƏD TATAN DAƔ AKOS IYAN].
1)BAMAKO
2)GAO
3)KAYES
4)KIDAL
5)KOULIKORO
6)MENAKA
7)MOPTI
8)SIKASSO
9)SÉGOU
10)TOMBOUCTOU
11)WARISSENAGHUE
12)OUNDJAYAGHUE</t>
        </is>
      </c>
      <c r="O33" s="63">
        <f>LEN(N33)</f>
        <v/>
      </c>
      <c r="P33" s="50" t="inlineStr">
        <is>
          <t>Hannden, ley leydi hoto galle ma jodi?
[LANDOTOODO: PATTI JANNGU JAABUJI DII. MANNDU TAN]
[MAANAA : ƁAADE NDEN FUH HAWTU JAWDI WOOƊI E LE'AL GOOTAL ƁE ƝAAMDATA].
1)BAMAKO
2)GAO
3)KAYES
4)KIDAL
5)KOULIKORO
6)MENAKA
7)MOPTI
8)SIKASSO
9)SÉGOU
10)TOMBOUCTOU
11)MIN ANDA
12)SALAADE</t>
        </is>
      </c>
      <c r="Q33" s="39">
        <f>LEN(P33)</f>
        <v/>
      </c>
      <c r="R33" s="137" t="inlineStr">
        <is>
          <t>Single Choice</t>
        </is>
      </c>
      <c r="S33" s="39" t="inlineStr">
        <is>
          <t>NA</t>
        </is>
      </c>
      <c r="T33" s="39" t="inlineStr">
        <is>
          <t>NA</t>
        </is>
      </c>
      <c r="U33" s="39" t="inlineStr">
        <is>
          <t>Form Type - Buttons
set Demographic - ADM1</t>
        </is>
      </c>
      <c r="V33" s="40" t="inlineStr">
        <is>
          <t xml:space="preserve">1)Bamako
2)Gao
3)Kayes
4)Kidal
5)Koulikoro
6)Menaka
7)Mopti
8)Sikasso
9)Ségou
10)Tombouctou
11)DON'T KNOW
12)REFUSED </t>
        </is>
      </c>
      <c r="W33" s="41" t="inlineStr">
        <is>
          <t>1 = hh_admin2_1
2 = hh_admin2_2
3 = hh_admin2_3
4 = hh_admin2_4
5 = hh_admin2_5
6 = hh_admin2_6
7 = hh_admin2_7
8 = hh_admin2_8
9 = hh_admin2_9
10 = hh_admin2_10
11,12 = Ineligible</t>
        </is>
      </c>
      <c r="X33" s="321" t="n"/>
      <c r="Y33" s="735" t="inlineStr">
        <is>
          <t xml:space="preserve">The administrative information will be updated by GeoPoll based on the sample design document and the administrative boundaries provided by the dashboard team after the questionnaire validation. </t>
        </is>
      </c>
      <c r="Z33" s="138" t="n"/>
      <c r="AA33" s="66" t="inlineStr">
        <is>
          <t>resp_agree = 1 
resp_age = 18-100</t>
        </is>
      </c>
      <c r="AB33" s="67" t="n"/>
      <c r="AC33" s="111" t="n">
        <v>8.800000000000001</v>
      </c>
      <c r="AD33" s="374">
        <f>1</f>
        <v/>
      </c>
      <c r="AE33" s="111">
        <f>AC33*AD33</f>
        <v/>
      </c>
    </row>
    <row r="34" ht="140" customHeight="1">
      <c r="A34" s="88">
        <f>A33+1</f>
        <v/>
      </c>
      <c r="B34" s="56" t="inlineStr">
        <is>
          <t>hh_admin2_1</t>
        </is>
      </c>
      <c r="C34" s="48" t="inlineStr">
        <is>
          <t>hh_admin2_1</t>
        </is>
      </c>
      <c r="D34" s="139" t="inlineStr">
        <is>
          <t xml:space="preserve">Currently, in which Cercle does your household reside?
[OPERATOR: SINGLE RESPONSE.]
1)BAMAKO
2)DON'T KNOW
3)REFUSED </t>
        </is>
      </c>
      <c r="E34" s="27">
        <f>LEN(D34)</f>
        <v/>
      </c>
      <c r="F34" s="140" t="inlineStr">
        <is>
          <t>Actuellement, dans quel Cercle votre ménage vit-il ?
[OPÉRATEUR/OPÉRATRICE: RÉPONSE UNIQUE.]
1)BAMAKO
2)NE SAIT PAS
3)REFUSÉ</t>
        </is>
      </c>
      <c r="G34" s="27">
        <f>LEN(F34)</f>
        <v/>
      </c>
      <c r="H34" s="139" t="inlineStr">
        <is>
          <t xml:space="preserve">Nin waati la, aw ka gwaso be Kobida jumɛ de kɔnɔ? 
[SƆRƆBATIGI: JAABI KELEN]
1)BAMAKO
2)NE MA DON
3)A BAN NA </t>
        </is>
      </c>
      <c r="I34" s="27">
        <f>LEN(H34)</f>
        <v/>
      </c>
      <c r="J34" s="139" t="inlineStr">
        <is>
          <t xml:space="preserve">Nim cɛrkl jɔ-kɔ bɛrɛ e uro kun?
[BIRƐ MA KŨ BAŋA : UɟURU KƆ TURU LE BE SAA-I]
1)BAMAKO
2)ɟUGƆGO
3)JƆWƆLI </t>
        </is>
      </c>
      <c r="K34" s="27">
        <f>LEN(J34)</f>
        <v/>
      </c>
      <c r="L34" s="139" t="inlineStr">
        <is>
          <t xml:space="preserve">Hon woo, mannoo er wuwo borey gondu gorey ?
[HANKAA : ZAABI AFFOO]
1)BAMAKO
2)E SU BEY
3)E WINGEE </t>
        </is>
      </c>
      <c r="M34" s="27">
        <f>LEN(L34)</f>
        <v/>
      </c>
      <c r="N34" s="139" t="inlineStr">
        <is>
          <t xml:space="preserve">Amaradaɣ, indek akal wadaɣ izaɣa alɣayal inak ?
[AMASSASTAN: AGRETE ISSALANES ASSOUDMARE IYANE]
1)BAMAKO
2)WARISENAƔ
3)UGAY </t>
        </is>
      </c>
      <c r="O34" s="27">
        <f>LEN(N34)</f>
        <v/>
      </c>
      <c r="P34" s="139" t="inlineStr">
        <is>
          <t xml:space="preserve">Jooni ley ndewgu ngule wuro mon jooɗii ya?
[GOLLOOWO : JAWAABU GOOTO].
1)BAMAKO
2)ANNDA
3)SALAADE </t>
        </is>
      </c>
      <c r="Q34" s="27">
        <f>LEN(P34)</f>
        <v/>
      </c>
      <c r="R34" s="63" t="inlineStr">
        <is>
          <t>Single Choice</t>
        </is>
      </c>
      <c r="S34" s="27" t="inlineStr">
        <is>
          <t>NA</t>
        </is>
      </c>
      <c r="T34" s="27" t="inlineStr">
        <is>
          <t>NA</t>
        </is>
      </c>
      <c r="U34" s="27" t="inlineStr">
        <is>
          <t>Form Type - Buttons
set Demographic - ADM2</t>
        </is>
      </c>
      <c r="V34" s="141" t="inlineStr">
        <is>
          <t xml:space="preserve">1)Bamako
2)DON'T KNOW
3)REFUSED </t>
        </is>
      </c>
      <c r="W34" s="64" t="inlineStr">
        <is>
          <t>1 = quotareached
2-3 = Ineligible</t>
        </is>
      </c>
      <c r="X34" s="722" t="n"/>
      <c r="Y34" s="743" t="n"/>
      <c r="Z34" s="716" t="n"/>
      <c r="AA34" s="66" t="inlineStr">
        <is>
          <t>resp_agree = 1 
resp_age = 18-100
hh_admin1 = 1</t>
        </is>
      </c>
      <c r="AB34" s="718" t="n"/>
      <c r="AC34" s="111" t="n">
        <v>10.4</v>
      </c>
      <c r="AD34" s="374">
        <f>1</f>
        <v/>
      </c>
      <c r="AE34" s="111">
        <f>AC34*AD34</f>
        <v/>
      </c>
    </row>
    <row r="35" ht="180" customHeight="1">
      <c r="A35" s="88">
        <f>A34+1</f>
        <v/>
      </c>
      <c r="B35" s="56" t="inlineStr">
        <is>
          <t>hh_admin2_2</t>
        </is>
      </c>
      <c r="C35" s="48" t="inlineStr">
        <is>
          <t>hh_admin2_2</t>
        </is>
      </c>
      <c r="D35" s="139" t="inlineStr">
        <is>
          <t xml:space="preserve">Currently, in which Cercle does your household reside?
[OPERATOR: SINGLE RESPONSE.]
1)GAO
2)BOUREM
3)ANSONGO
4)DON'T KNOW
5) REFUSED </t>
        </is>
      </c>
      <c r="E35" s="27">
        <f>LEN(D35)</f>
        <v/>
      </c>
      <c r="F35" s="140" t="inlineStr">
        <is>
          <t>Actuellement, dans quel Cercle votre ménage vit-il ?
[OPÉRATEUR/OPÉRATRICE: RÉPONSE UNIQUE.]
1)GAO
2)BOUREM
3)ANSONGO
4)NE SAIT PAS
5)REFUSÉ</t>
        </is>
      </c>
      <c r="G35" s="27">
        <f>LEN(F35)</f>
        <v/>
      </c>
      <c r="H35" s="139" t="inlineStr">
        <is>
          <t xml:space="preserve">Nin waati la, aw ka gwaso be Kobida jumɛ de kɔnɔ? 
[SƆRƆBATIGI: JAABI KELEN]
1)GAO
2)BOUREM
3)ANSONGO
4)NE MA DON
5) A BAN NA </t>
        </is>
      </c>
      <c r="I35" s="27">
        <f>LEN(H35)</f>
        <v/>
      </c>
      <c r="J35" s="139" t="inlineStr">
        <is>
          <t xml:space="preserve">Nim cɛrkl jɔ-kɔ bɛrɛ e uro kun?
[BIRƐ MA KŨ BAŋA : UɟURU KƆ TURU LE BE SAA-I]
1)GAO
2)BOUREM
3)ANSONGO
4)ɟUGƆGO
5) JƆWƆLI </t>
        </is>
      </c>
      <c r="K35" s="27">
        <f>LEN(J35)</f>
        <v/>
      </c>
      <c r="L35" s="139" t="inlineStr">
        <is>
          <t xml:space="preserve">Hon woo, mannoo er wuwo borey gondu gorey ?
[HANKAA : ZAABI AFFOO]
1)GAO
2)BOUREM
3)ANSONGO
4)E SU BEY
5) E WINGEE </t>
        </is>
      </c>
      <c r="M35" s="27">
        <f>LEN(L35)</f>
        <v/>
      </c>
      <c r="N35" s="139" t="inlineStr">
        <is>
          <t xml:space="preserve">Amaradaɣ, indek akal wadaɣ izaɣa alɣayal inak ?
[AMASSASTAN: AGRETE ISSALANES ASSOUDMARE IYANE]
1)GAO
2)BOUREM
3)ANSONGO
4)WARISENAƔ
5) UGAY </t>
        </is>
      </c>
      <c r="O35" s="27">
        <f>LEN(N35)</f>
        <v/>
      </c>
      <c r="P35" s="139" t="inlineStr">
        <is>
          <t xml:space="preserve">Jooni ley ndewgu ngule wuro mon jooɗii ya?
[GOLLOOWO : JAWAABU GOOTO].
1)GAO
2)BOUREM
3)ANSONGO
4)ANNDA
5) SALAADE </t>
        </is>
      </c>
      <c r="Q35" s="27">
        <f>LEN(P35)</f>
        <v/>
      </c>
      <c r="R35" s="63" t="inlineStr">
        <is>
          <t>Single Choice</t>
        </is>
      </c>
      <c r="S35" s="27" t="inlineStr">
        <is>
          <t>NA</t>
        </is>
      </c>
      <c r="T35" s="27" t="inlineStr">
        <is>
          <t>NA</t>
        </is>
      </c>
      <c r="U35" s="27" t="inlineStr">
        <is>
          <t>Form Type - Buttons
set Demographic - ADM2</t>
        </is>
      </c>
      <c r="V35" s="141" t="inlineStr">
        <is>
          <t xml:space="preserve">1)Gao
2)Bourem
3)Ansongo
4)DON'T KNOW
5) REFUSED </t>
        </is>
      </c>
      <c r="W35" s="64" t="inlineStr">
        <is>
          <t>1-3 = quotareached
4,5 = Ineligible</t>
        </is>
      </c>
      <c r="X35" s="744" t="n"/>
      <c r="Y35" s="745" t="n"/>
      <c r="Z35" s="746" t="n"/>
      <c r="AA35" s="66" t="inlineStr">
        <is>
          <t>resp_agree = 1 
resp_age = 18-100
hh_admin1 = 2</t>
        </is>
      </c>
      <c r="AB35" s="747" t="n"/>
      <c r="AC35" s="111" t="n"/>
      <c r="AD35" s="374">
        <f>1</f>
        <v/>
      </c>
      <c r="AE35" s="111">
        <f>AC35*AD35</f>
        <v/>
      </c>
    </row>
    <row r="36" ht="260" customHeight="1">
      <c r="A36" s="88">
        <f>A35+1</f>
        <v/>
      </c>
      <c r="B36" s="56" t="inlineStr">
        <is>
          <t>hh_admin2_3</t>
        </is>
      </c>
      <c r="C36" s="48" t="inlineStr">
        <is>
          <t>hh_admin2_2</t>
        </is>
      </c>
      <c r="D36" s="139" t="inlineStr">
        <is>
          <t xml:space="preserve">Currently, in which Cercle does your household reside?
[OPERATOR: SINGLE RESPONSE.]
1)BAFOULABE
2)DIÉMA
3)KAYES
4)KITA
5)KÉNIÉBA
6)NIORO
7)YÉLIMANÉ
8)DON'T KNOW
9) REFUSED </t>
        </is>
      </c>
      <c r="E36" s="27">
        <f>LEN(D36)</f>
        <v/>
      </c>
      <c r="F36" s="140" t="inlineStr">
        <is>
          <t>Actuellement, dans quel Cercle votre ménage vit-il ?
[OPÉRATEUR/OPÉRATRICE: RÉPONSE UNIQUE.]
1)BAFOULABE
2)DIÉMA
3)KAYES
4)KITA
5)KÉNIÉBA
6)NIORO
7)YÉLIMANÉ
8)NE SAIT PAS
9)REFUSÉ</t>
        </is>
      </c>
      <c r="G36" s="27">
        <f>LEN(F36)</f>
        <v/>
      </c>
      <c r="H36" s="139" t="inlineStr">
        <is>
          <t xml:space="preserve">Nin waati la, aw ka gwaso be Kobida jumɛ de kɔnɔ? 
[SƆRƆBATIGI: JAABI KELEN]
1)BAFOULABE
2)DIÉMA
3)KAYES
4)KITA
5)KÉNIÉBA
6)NIORO
7)YÉLIMANÉ
8)NE MA DON
9) A BAN NA </t>
        </is>
      </c>
      <c r="I36" s="27">
        <f>LEN(H36)</f>
        <v/>
      </c>
      <c r="J36" s="139" t="inlineStr">
        <is>
          <t xml:space="preserve">Nim cɛrkl jɔ-kɔ bɛrɛ e uro kun?
[BIRƐ MA KŨ BAŋA : UɟURU KƆ TURU LE BE SAA-I]
1)BAFOULABE
2)DIÉMA
3)KAYES
4)KITA
5)KÉNIÉBA
6)NIORO
7)YÉLIMANÉ
8)ɟUGƆGO
9) JƆWƆLI </t>
        </is>
      </c>
      <c r="K36" s="27">
        <f>LEN(J36)</f>
        <v/>
      </c>
      <c r="L36" s="139" t="inlineStr">
        <is>
          <t xml:space="preserve">Hon woo, mannoo er wuwo borey gondu gorey ?
[HANKAA : ZAABI AFFOO]
1)BAFOULABE
2)DIÉMA
3)KAYES
4)KITA
5)KÉNIÉBA
6)NIORO
7)YÉLIMANÉ
8)E SU BEY
9) E WINGEE </t>
        </is>
      </c>
      <c r="M36" s="27">
        <f>LEN(L36)</f>
        <v/>
      </c>
      <c r="N36" s="139" t="inlineStr">
        <is>
          <t xml:space="preserve">Amaradaɣ, indek akal wadaɣ izaɣa alɣayal inak ?
[AMASSASTAN: AGRETE ISSALANES ASSOUDMARE IYANE]
1)BAFOULABE
2)DIÉMA
3)KAYES
4)KITA
5)KÉNIÉBA
6)NIORO
7)YÉLIMANÉ
8)WARISENAƔ
9) UGAY </t>
        </is>
      </c>
      <c r="O36" s="27">
        <f>LEN(N36)</f>
        <v/>
      </c>
      <c r="P36" s="139" t="inlineStr">
        <is>
          <t xml:space="preserve">Jooni ley ndewgu ngule wuro mon jooɗii ya?
[GOLLOOWO : JAWAABU GOOTO].
1)BAFOULABE
2)DIÉMA
3)KAYES
4)KITA
5)KÉNIÉBA
6)NIORO
7)YÉLIMANÉ
8)ANNDA
9) SALAADE </t>
        </is>
      </c>
      <c r="Q36" s="27">
        <f>LEN(P36)</f>
        <v/>
      </c>
      <c r="R36" s="63" t="inlineStr">
        <is>
          <t>Single Choice</t>
        </is>
      </c>
      <c r="S36" s="27" t="inlineStr">
        <is>
          <t>NA</t>
        </is>
      </c>
      <c r="T36" s="27" t="inlineStr">
        <is>
          <t>NA</t>
        </is>
      </c>
      <c r="U36" s="27" t="inlineStr">
        <is>
          <t>Form Type - Buttons
set Demographic - ADM2</t>
        </is>
      </c>
      <c r="V36" s="141" t="inlineStr">
        <is>
          <t xml:space="preserve">1)Bafoulabe
2)Diéma
3)Kayes
4)Kita
5)Kéniéba
6)Nioro
7)Yélimané
8)DON'T KNOW
9) REFUSED </t>
        </is>
      </c>
      <c r="W36" s="64" t="inlineStr">
        <is>
          <t>1-7 = quotareached
8-9 = Ineligible</t>
        </is>
      </c>
      <c r="X36" s="744" t="n"/>
      <c r="Y36" s="717" t="n"/>
      <c r="Z36" s="717" t="n"/>
      <c r="AA36" s="66" t="n"/>
      <c r="AB36" s="719" t="n"/>
      <c r="AC36" s="111" t="n"/>
      <c r="AD36" s="374" t="n"/>
      <c r="AE36" s="111" t="n"/>
    </row>
    <row r="37" ht="200" customHeight="1">
      <c r="A37" s="88">
        <f>A36+1</f>
        <v/>
      </c>
      <c r="B37" s="56" t="inlineStr">
        <is>
          <t>hh_admin2_4</t>
        </is>
      </c>
      <c r="C37" s="48" t="inlineStr">
        <is>
          <t>hh_admin2_2</t>
        </is>
      </c>
      <c r="D37" s="139" t="inlineStr">
        <is>
          <t xml:space="preserve">Currently, in which Cercle does your household reside?
[OPERATOR: SINGLE RESPONSE.]
1)ABEIBARA
2)KIDAL
3)TESSALIT
4)TIN-ESSAKO
5)DON'T KNOW
6) REFUSED </t>
        </is>
      </c>
      <c r="E37" s="27">
        <f>LEN(D37)</f>
        <v/>
      </c>
      <c r="F37" s="140" t="inlineStr">
        <is>
          <t>Actuellement, dans quel Cercle votre ménage vit-il ?
[OPÉRATEUR/OPÉRATRICE: RÉPONSE UNIQUE.]
1)ABEIBARA
2)KIDAL
3)TESSALIT
4)TIN-ESSAKO
5)NE SAIT PAS
6)REFUSÉ</t>
        </is>
      </c>
      <c r="G37" s="27">
        <f>LEN(F37)</f>
        <v/>
      </c>
      <c r="H37" s="139" t="inlineStr">
        <is>
          <t xml:space="preserve">Nin waati la, aw ka gwaso be Kobida jumɛ de kɔnɔ? 
[SƆRƆBATIGI: JAABI KELEN]
1)ABEIBARA
2)KIDAL
3)TESSALIT
4)TIN-ESSAKO
5)NE MA DON
6) A BAN NA </t>
        </is>
      </c>
      <c r="I37" s="27">
        <f>LEN(H37)</f>
        <v/>
      </c>
      <c r="J37" s="139" t="inlineStr">
        <is>
          <t xml:space="preserve">Nim cɛrkl jɔ-kɔ bɛrɛ e uro kun?
[BIRƐ MA KŨ BAŋA : UɟURU KƆ TURU LE BE SAA-I]
1)ABEIBARA
2)KIDAL
3)TESSALIT
4)TIN-ESSAKO
5)ɟUGƆGO
6) JƆWƆLI </t>
        </is>
      </c>
      <c r="K37" s="27">
        <f>LEN(J37)</f>
        <v/>
      </c>
      <c r="L37" s="139" t="inlineStr">
        <is>
          <t xml:space="preserve">Hon woo, mannoo er wuwo borey gondu gorey ?
[HANKAA : ZAABI AFFOO]
1)ABEIBARA
2)KIDAL
3)TESSALIT
4)TIN-ESSAKO
5)E SU BEY
6) E WINGEE </t>
        </is>
      </c>
      <c r="M37" s="27">
        <f>LEN(L37)</f>
        <v/>
      </c>
      <c r="N37" s="139" t="inlineStr">
        <is>
          <t xml:space="preserve">Amaradaɣ, indek akal wadaɣ izaɣa alɣayal inak ?
[AMASSASTAN: AGRETE ISSALANES ASSOUDMARE IYANE]
1)ABEIBARA
2)KIDAL
3)TESSALIT
4)TIN-ESSAKO
5)WARISENAƔ
6) UGAY </t>
        </is>
      </c>
      <c r="O37" s="27">
        <f>LEN(N37)</f>
        <v/>
      </c>
      <c r="P37" s="139" t="inlineStr">
        <is>
          <t xml:space="preserve">Jooni ley ndewgu ngule wuro mon jooɗii ya?
[GOLLOOWO : JAWAABU GOOTO].
1)ABEIBARA
2)KIDAL
3)TESSALIT
4)TIN-ESSAKO
5)ANNDA
6) SALAADE </t>
        </is>
      </c>
      <c r="Q37" s="27">
        <f>LEN(P37)</f>
        <v/>
      </c>
      <c r="R37" s="63" t="inlineStr">
        <is>
          <t>Single Choice</t>
        </is>
      </c>
      <c r="S37" s="27" t="inlineStr">
        <is>
          <t>NA</t>
        </is>
      </c>
      <c r="T37" s="27" t="inlineStr">
        <is>
          <t>NA</t>
        </is>
      </c>
      <c r="U37" s="27" t="inlineStr">
        <is>
          <t>Form Type - Buttons
set Demographic - ADM2</t>
        </is>
      </c>
      <c r="V37" s="141" t="inlineStr">
        <is>
          <t xml:space="preserve">1)Abeibara
2)Kidal
3)Tessalit
4)Tin-Essako
5)DON'T KNOW
6) REFUSED </t>
        </is>
      </c>
      <c r="W37" s="64" t="inlineStr">
        <is>
          <t>1-4 = quotareached
5-6 = Ineligible</t>
        </is>
      </c>
      <c r="X37" s="744" t="n"/>
      <c r="Y37" s="717" t="n"/>
      <c r="Z37" s="717" t="n"/>
      <c r="AA37" s="66" t="n"/>
      <c r="AB37" s="719" t="n"/>
      <c r="AC37" s="111" t="n"/>
      <c r="AD37" s="374" t="n"/>
      <c r="AE37" s="111" t="n"/>
    </row>
    <row r="38" ht="260" customHeight="1">
      <c r="A38" s="88">
        <f>A37+1</f>
        <v/>
      </c>
      <c r="B38" s="56" t="inlineStr">
        <is>
          <t>hh_admin2_5</t>
        </is>
      </c>
      <c r="C38" s="48" t="inlineStr">
        <is>
          <t>hh_admin2_2</t>
        </is>
      </c>
      <c r="D38" s="139" t="inlineStr">
        <is>
          <t xml:space="preserve">Currently, in which Cercle does your household reside?
[OPERATOR: SINGLE RESPONSE.]
1)BANAMBA
2)DIOILA
3)KANGABA
4)KATI
5)KOLOKANI
6)KOULIKORO
7)NARA
8)DON'T KNOW
9) REFUSED </t>
        </is>
      </c>
      <c r="E38" s="27">
        <f>LEN(D38)</f>
        <v/>
      </c>
      <c r="F38" s="140" t="inlineStr">
        <is>
          <t>Actuellement, dans quel Cercle votre ménage vit-il ?
[OPÉRATEUR/OPÉRATRICE: RÉPONSE UNIQUE.]
1)BANAMBA
2)DIOILA
3)KANGABA
4)KATI
5)KOLOKANI
6)KOULIKORO
7)NARA
8)NE SAIT PAS
9)REFUSÉ</t>
        </is>
      </c>
      <c r="G38" s="27">
        <f>LEN(F38)</f>
        <v/>
      </c>
      <c r="H38" s="139" t="inlineStr">
        <is>
          <t xml:space="preserve">Nin waati la, aw ka gwaso be Kobida jumɛ de kɔnɔ? 
[SƆRƆBATIGI: JAABI KELEN]
1)BANAMBA
2)DIOILA
3)KANGABA
4)KATI
5)KOLOKANI
6)KOULIKORO
7)NARA
8)NE MA DON
9) A BAN NA </t>
        </is>
      </c>
      <c r="I38" s="27">
        <f>LEN(H38)</f>
        <v/>
      </c>
      <c r="J38" s="139" t="inlineStr">
        <is>
          <t xml:space="preserve">Nim cɛrkl jɔ-kɔ bɛrɛ e uro kun?
[BIRƐ MA KŨ BAŋA : UɟURU KƆ TURU LE BE SAA-I]
1)BANAMBA
2)DIOILA
3)KANGABA
4)KATI
5)KOLOKANI
6)KOULIKORO
7)NARA
8)ɟUGƆGO
9) JƆWƆLI </t>
        </is>
      </c>
      <c r="K38" s="27">
        <f>LEN(J38)</f>
        <v/>
      </c>
      <c r="L38" s="139" t="inlineStr">
        <is>
          <t xml:space="preserve">Hon woo, mannoo er wuwo borey gondu gorey ?
[HANKAA : ZAABI AFFOO]
1)BANAMBA
2)DIOILA
3)KANGABA
4)KATI
5)KOLOKANI
6)KOULIKORO
7)NARA
8)E SU BEY
9) E WINGEE </t>
        </is>
      </c>
      <c r="M38" s="27">
        <f>LEN(L38)</f>
        <v/>
      </c>
      <c r="N38" s="139" t="inlineStr">
        <is>
          <t xml:space="preserve">Amaradaɣ, indek akal wadaɣ izaɣa alɣayal inak ?
[AMASSASTAN: AGRETE ISSALANES ASSOUDMARE IYANE]
1)BANAMBA
2)DIOILA
3)KANGABA
4)KATI
5)KOLOKANI
6)KOULIKORO
7)NARA
8)WARISENAƔ
9) UGAY </t>
        </is>
      </c>
      <c r="O38" s="27">
        <f>LEN(N38)</f>
        <v/>
      </c>
      <c r="P38" s="139" t="inlineStr">
        <is>
          <t xml:space="preserve">Jooni ley ndewgu ngule wuro mon jooɗii ya?
[GOLLOOWO : JAWAABU GOOTO].
1)BANAMBA
2)DIOILA
3)KANGABA
4)KATI
5)KOLOKANI
6)KOULIKORO
7)NARA
8)ANNDA
9) SALAADE </t>
        </is>
      </c>
      <c r="Q38" s="27">
        <f>LEN(P38)</f>
        <v/>
      </c>
      <c r="R38" s="63" t="inlineStr">
        <is>
          <t>Single Choice</t>
        </is>
      </c>
      <c r="S38" s="27" t="inlineStr">
        <is>
          <t>NA</t>
        </is>
      </c>
      <c r="T38" s="27" t="inlineStr">
        <is>
          <t>NA</t>
        </is>
      </c>
      <c r="U38" s="27" t="inlineStr">
        <is>
          <t>Form Type - Buttons
set Demographic - ADM2</t>
        </is>
      </c>
      <c r="V38" s="141" t="inlineStr">
        <is>
          <t>1)Banamba
2)Dioila
3)Kangaba
4)Kati
5)Kolokani
6)Koulikoro
7)Nara
8)DON'T KNOW
9) REFUSED</t>
        </is>
      </c>
      <c r="W38" s="64" t="inlineStr">
        <is>
          <t>1-7 = quotareached
8-9 = Ineligible</t>
        </is>
      </c>
      <c r="X38" s="744" t="n"/>
      <c r="Y38" s="717" t="n"/>
      <c r="Z38" s="717" t="n"/>
      <c r="AA38" s="66" t="n"/>
      <c r="AB38" s="719" t="n"/>
      <c r="AC38" s="111" t="n"/>
      <c r="AD38" s="374" t="n"/>
      <c r="AE38" s="111" t="n"/>
    </row>
    <row r="39" ht="200" customHeight="1">
      <c r="A39" s="88">
        <f>A38+1</f>
        <v/>
      </c>
      <c r="B39" s="56" t="inlineStr">
        <is>
          <t>hh_admin2_6</t>
        </is>
      </c>
      <c r="C39" s="48" t="inlineStr">
        <is>
          <t>hh_admin2_2</t>
        </is>
      </c>
      <c r="D39" s="139" t="inlineStr">
        <is>
          <t xml:space="preserve">Currently, in which Cercle does your household reside?
[OPERATOR: SINGLE RESPONSE.]
1)ANDERAMBOUKANE
2)INEKAR
3)MÉNAKA
4)TIDERMENE
5)DON'T KNOW
6) REFUSED </t>
        </is>
      </c>
      <c r="E39" s="27">
        <f>LEN(D39)</f>
        <v/>
      </c>
      <c r="F39" s="140" t="inlineStr">
        <is>
          <t>Actuellement, dans quel Cercle votre ménage vit-il ?
[OPÉRATEUR/OPÉRATRICE: RÉPONSE UNIQUE.]
1)ANDERAMBOUKANE
2)INEKAR
3)MÉNAKA
4)TIDERMENE
5)NE SAIT PAS
6)REFUSÉ</t>
        </is>
      </c>
      <c r="G39" s="27">
        <f>LEN(F39)</f>
        <v/>
      </c>
      <c r="H39" s="139" t="inlineStr">
        <is>
          <t xml:space="preserve">Nin waati la, aw ka gwaso be Kobida jumɛ de kɔnɔ? 
[SƆRƆBATIGI: JAABI KELEN]
1)ANDERAMBOUKANE
2)INEKAR
3)MÉNAKA
4)TIDERMENE
5)NE MA DON
6) A BAN NA </t>
        </is>
      </c>
      <c r="I39" s="27">
        <f>LEN(H39)</f>
        <v/>
      </c>
      <c r="J39" s="139" t="inlineStr">
        <is>
          <t xml:space="preserve">Nim cɛrkl jɔ-kɔ bɛrɛ e uro kun?
[BIRƐ MA KŨ BAŋA : UɟURU KƆ TURU LE BE SAA-I]
1)ANDERAMBOUKANE
2)INEKAR
3)MÉNAKA
4)TIDERMENE
5)ɟUGƆGO
6) JƆWƆLI </t>
        </is>
      </c>
      <c r="K39" s="27">
        <f>LEN(J39)</f>
        <v/>
      </c>
      <c r="L39" s="139" t="inlineStr">
        <is>
          <t xml:space="preserve">Hon woo, mannoo er wuwo borey gondu gorey ?
[HANKAA : ZAABI AFFOO]
1)ANDERAMBOUKANE
2)INEKAR
3)MÉNAKA
4)TIDERMENE
5)E SU BEY
6) E WINGEE </t>
        </is>
      </c>
      <c r="M39" s="27">
        <f>LEN(L39)</f>
        <v/>
      </c>
      <c r="N39" s="139" t="inlineStr">
        <is>
          <t xml:space="preserve">Amaradaɣ, indek akal wadaɣ izaɣa alɣayal inak ?
[AMASSASTAN: AGRETE ISSALANES ASSOUDMARE IYANE]
1)ANDERAMBOUKANE
2)INEKAR
3)MÉNAKA
4)TIDERMENE
5)WARISENAƔ
6) UGAY </t>
        </is>
      </c>
      <c r="O39" s="27">
        <f>LEN(N39)</f>
        <v/>
      </c>
      <c r="P39" s="139" t="inlineStr">
        <is>
          <t xml:space="preserve">Jooni ley ndewgu ngule wuro mon jooɗii ya?
[GOLLOOWO : JAWAABU GOOTO].
1)ANDERAMBOUKANE
2)INEKAR
3)MÉNAKA
4)TIDERMENE
5)ANNDA
6) SALAADE </t>
        </is>
      </c>
      <c r="Q39" s="27">
        <f>LEN(P39)</f>
        <v/>
      </c>
      <c r="R39" s="63" t="inlineStr">
        <is>
          <t>Single Choice</t>
        </is>
      </c>
      <c r="S39" s="27" t="inlineStr">
        <is>
          <t>NA</t>
        </is>
      </c>
      <c r="T39" s="27" t="inlineStr">
        <is>
          <t>NA</t>
        </is>
      </c>
      <c r="U39" s="27" t="inlineStr">
        <is>
          <t>Form Type - Buttons
set Demographic - ADM2</t>
        </is>
      </c>
      <c r="V39" s="141" t="inlineStr">
        <is>
          <t xml:space="preserve">1)Anderamboukane
2)Inekar
3)Ménaka
4)Tidermene
5)DON'T KNOW
6) REFUSED </t>
        </is>
      </c>
      <c r="W39" s="64" t="inlineStr">
        <is>
          <t>1-4 = quotareached
5-6 = Ineligible</t>
        </is>
      </c>
      <c r="X39" s="744" t="n"/>
      <c r="Y39" s="717" t="n"/>
      <c r="Z39" s="717" t="n"/>
      <c r="AA39" s="66" t="n"/>
      <c r="AB39" s="719" t="n"/>
      <c r="AC39" s="111" t="n"/>
      <c r="AD39" s="374" t="n"/>
      <c r="AE39" s="111" t="n"/>
    </row>
    <row r="40" ht="280" customHeight="1">
      <c r="A40" s="88">
        <f>A39+1</f>
        <v/>
      </c>
      <c r="B40" s="56" t="inlineStr">
        <is>
          <t>hh_admin2_7</t>
        </is>
      </c>
      <c r="C40" s="48" t="inlineStr">
        <is>
          <t>hh_admin2_2</t>
        </is>
      </c>
      <c r="D40" s="139" t="inlineStr">
        <is>
          <t xml:space="preserve">Currently, in which Cercle does your household reside?
[OPERATOR: SINGLE RESPONSE.]
1)BANDIAGARA
2)BANKASS
3)DJENNÉ
4)DOUENTZA
5)KORO
6)MOPTI
7)TÉNENKOU
8)YOUWAROU
9)DON'T KNOW
10) REFUSED </t>
        </is>
      </c>
      <c r="E40" s="27">
        <f>LEN(D40)</f>
        <v/>
      </c>
      <c r="F40" s="140" t="inlineStr">
        <is>
          <t>Actuellement, dans quel Cercle votre ménage vit-il ?
[OPÉRATEUR/OPÉRATRICE: RÉPONSE UNIQUE.]
1)BANDIAGARA
2)BANKASS
3)DJENNÉ
4)DOUENTZA
5)KORO
6)MOPTI
7)TÉNENKOU
8)YOUWAROU
9)NE SAIT PAS
10)REFUSÉ</t>
        </is>
      </c>
      <c r="G40" s="27">
        <f>LEN(F40)</f>
        <v/>
      </c>
      <c r="H40" s="139" t="inlineStr">
        <is>
          <t xml:space="preserve">Nin waati la, aw ka gwaso be Kobida jumɛ de kɔnɔ? 
[SƆRƆBATIGI: JAABI KELEN]
1)BANDIAGARA
2)BANKASS
3)DJENNÉ
4)DOUENTZA
5)KORO
6)MOPTI
7)TÉNENKOU
8)YOUWAROU
9)NE MA DON
10) A BAN NA </t>
        </is>
      </c>
      <c r="I40" s="27">
        <f>LEN(H40)</f>
        <v/>
      </c>
      <c r="J40" s="139" t="inlineStr">
        <is>
          <t xml:space="preserve">Nim cɛrkl jɔ-kɔ bɛrɛ e uro kun?
[BIRƐ MA KŨ BAŋA : UɟURU KƆ TURU LE BE SAA-I]
1)BANDIAGARA
2)BANKASS
3)DJENNÉ
4)DOUENTZA
5)KORO
6)MOPTI
7)TÉNENKOU
8)YOUWAROU
9)ɟUGƆGO
10) JƆWƆLI </t>
        </is>
      </c>
      <c r="K40" s="27">
        <f>LEN(J40)</f>
        <v/>
      </c>
      <c r="L40" s="139" t="inlineStr">
        <is>
          <t xml:space="preserve">Hon woo, mannoo er wuwo borey gondu gorey ?
[HANKAA : ZAABI AFFOO]
1)BANDIAGARA
2)BANKASS
3)DJENNÉ
4)DOUENTZA
5)KORO
6)MOPTI
7)TÉNENKOU
8)YOUWAROU
9)E SU BEY
10) E WINGEE </t>
        </is>
      </c>
      <c r="M40" s="27">
        <f>LEN(L40)</f>
        <v/>
      </c>
      <c r="N40" s="139" t="inlineStr">
        <is>
          <t xml:space="preserve">Amaradaɣ, indek akal wadaɣ izaɣa alɣayal inak ?
[AMASSASTAN: AGRETE ISSALANES ASSOUDMARE IYANE]
1)BANDIAGARA
2)BANKASS
3)DJENNÉ
4)DOUENTZA
5)KORO
6)MOPTI
7)TÉNENKOU
8)YOUWAROU
9)WARISENAƔ
10) UGAY </t>
        </is>
      </c>
      <c r="O40" s="27">
        <f>LEN(N40)</f>
        <v/>
      </c>
      <c r="P40" s="139" t="inlineStr">
        <is>
          <t xml:space="preserve">Jooni ley ndewgu ngule wuro mon jooɗii ya?
[GOLLOOWO : JAWAABU GOOTO].
1)BANDIAGARA
2)BANKASS
3)DJENNÉ
4)DOUENTZA
5)KORO
6)MOPTI
7)TÉNENKOU
8)YOUWAROU
9)ANNDA
10) SALAADE </t>
        </is>
      </c>
      <c r="Q40" s="27">
        <f>LEN(P40)</f>
        <v/>
      </c>
      <c r="R40" s="63" t="inlineStr">
        <is>
          <t>Single Choice</t>
        </is>
      </c>
      <c r="S40" s="27" t="inlineStr">
        <is>
          <t>NA</t>
        </is>
      </c>
      <c r="T40" s="27" t="inlineStr">
        <is>
          <t>NA</t>
        </is>
      </c>
      <c r="U40" s="27" t="inlineStr">
        <is>
          <t>Form Type - Buttons
set Demographic - ADM2</t>
        </is>
      </c>
      <c r="V40" s="141" t="inlineStr">
        <is>
          <t xml:space="preserve">1)Bandiagara
2)Bankass
3)Djenné
4)Douentza
5)Koro
6)Mopti
7)Ténenkou
8)Youwarou
9)DON'T KNOW
10) REFUSED </t>
        </is>
      </c>
      <c r="W40" s="64" t="inlineStr">
        <is>
          <t>1-8 = quotareached
9-10 = Ineligible</t>
        </is>
      </c>
      <c r="X40" s="744" t="n"/>
      <c r="Y40" s="717" t="n"/>
      <c r="Z40" s="717" t="n"/>
      <c r="AA40" s="66" t="n"/>
      <c r="AB40" s="719" t="n"/>
      <c r="AC40" s="111" t="n"/>
      <c r="AD40" s="374" t="n"/>
      <c r="AE40" s="111" t="n"/>
    </row>
    <row r="41" ht="260" customHeight="1">
      <c r="A41" s="88">
        <f>A40+1</f>
        <v/>
      </c>
      <c r="B41" s="56" t="inlineStr">
        <is>
          <t>hh_admin2_8</t>
        </is>
      </c>
      <c r="C41" s="48" t="inlineStr">
        <is>
          <t>hh_admin2_2</t>
        </is>
      </c>
      <c r="D41" s="139" t="inlineStr">
        <is>
          <t xml:space="preserve">Currently, in which Cercle does your household reside?
[OPERATOR: SINGLE RESPONSE.]
1)BOUGOUNI
2)KADIOLO
3)KOLONDIEBA
4)KOUTIALA
5)SIKASSO
6)YANFOLILA
7)YOROSSO
8)DON'T KNOW
9) REFUSED </t>
        </is>
      </c>
      <c r="E41" s="27">
        <f>LEN(D41)</f>
        <v/>
      </c>
      <c r="F41" s="140" t="inlineStr">
        <is>
          <t>Actuellement, dans quel Cercle votre ménage vit-il ?
[OPÉRATEUR/OPÉRATRICE: RÉPONSE UNIQUE.]
1)BOUGOUNI
2)KADIOLO
3)KOLONDIEBA
4)KOUTIALA
5)SIKASSO
6)YANFOLILA
7)YOROSSO
8)NE SAIT PAS
9)REFUSÉ</t>
        </is>
      </c>
      <c r="G41" s="27">
        <f>LEN(F41)</f>
        <v/>
      </c>
      <c r="H41" s="139" t="inlineStr">
        <is>
          <t xml:space="preserve">Nin waati la, aw ka gwaso be Kobida jumɛ de kɔnɔ? 
[SƆRƆBATIGI: JAABI KELEN]
1)BOUGOUNI
2)KADIOLO
3)KOLONDIEBA
4)KOUTIALA
5)SIKASSO
6)YANFOLILA
7)YOROSSO
8)NE MA DON
9) A BAN NA </t>
        </is>
      </c>
      <c r="I41" s="27">
        <f>LEN(H41)</f>
        <v/>
      </c>
      <c r="J41" s="139" t="inlineStr">
        <is>
          <t xml:space="preserve">Nim cɛrkl jɔ-kɔ bɛrɛ e uro kun?
[BIRƐ MA KŨ BAŋA : UɟURU KƆ TURU LE BE SAA-I]
1)BOUGOUNI
2)KADIOLO
3)KOLONDIEBA
4)KOUTIALA
5)SIKASSO
6)YANFOLILA
7)YOROSSO
8)ɟUGƆGO
9) JƆWƆLI </t>
        </is>
      </c>
      <c r="K41" s="27">
        <f>LEN(J41)</f>
        <v/>
      </c>
      <c r="L41" s="139" t="inlineStr">
        <is>
          <t xml:space="preserve">Hon woo, mannoo er wuwo borey gondu gorey ?
[HANKAA : ZAABI AFFOO]
1)BOUGOUNI
2)KADIOLO
3)KOLONDIEBA
4)KOUTIALA
5)SIKASSO
6)YANFOLILA
7)YOROSSO
8)E SU BEY
9) E WINGEE </t>
        </is>
      </c>
      <c r="M41" s="27">
        <f>LEN(L41)</f>
        <v/>
      </c>
      <c r="N41" s="139" t="inlineStr">
        <is>
          <t xml:space="preserve">Amaradaɣ, indek akal wadaɣ izaɣa alɣayal inak ?
[AMASSASTAN: AGRETE ISSALANES ASSOUDMARE IYANE]
1)BOUGOUNI
2)KADIOLO
3)KOLONDIEBA
4)KOUTIALA
5)SIKASSO
6)YANFOLILA
7)YOROSSO
8)WARISENAƔ
9) UGAY </t>
        </is>
      </c>
      <c r="O41" s="27">
        <f>LEN(N41)</f>
        <v/>
      </c>
      <c r="P41" s="139" t="inlineStr">
        <is>
          <t xml:space="preserve">Jooni ley ndewgu ngule wuro mon jooɗii ya?
[GOLLOOWO : JAWAABU GOOTO].
1)BOUGOUNI
2)KADIOLO
3)KOLONDIEBA
4)KOUTIALA
5)SIKASSO
6)YANFOLILA
7)YOROSSO
8)ANNDA
9) SALAADE </t>
        </is>
      </c>
      <c r="Q41" s="27">
        <f>LEN(P41)</f>
        <v/>
      </c>
      <c r="R41" s="63" t="inlineStr">
        <is>
          <t>Single Choice</t>
        </is>
      </c>
      <c r="S41" s="27" t="inlineStr">
        <is>
          <t>NA</t>
        </is>
      </c>
      <c r="T41" s="27" t="inlineStr">
        <is>
          <t>NA</t>
        </is>
      </c>
      <c r="U41" s="27" t="inlineStr">
        <is>
          <t>Form Type - Buttons
set Demographic - ADM2</t>
        </is>
      </c>
      <c r="V41" s="141" t="inlineStr">
        <is>
          <t xml:space="preserve">1)Bougouni
2)Kadiolo
3)Kolondieba
4)Koutiala
5)Sikasso
6)Yanfolila
7)Yorosso
8)DON'T KNOW
9) REFUSED </t>
        </is>
      </c>
      <c r="W41" s="64" t="inlineStr">
        <is>
          <t>1-7 = quotareached
8,9 = Ineligible</t>
        </is>
      </c>
      <c r="X41" s="744" t="n"/>
      <c r="Y41" s="717" t="n"/>
      <c r="Z41" s="717" t="n"/>
      <c r="AA41" s="66" t="n"/>
      <c r="AB41" s="719" t="n"/>
      <c r="AC41" s="111" t="n"/>
      <c r="AD41" s="374" t="n"/>
      <c r="AE41" s="111" t="n"/>
    </row>
    <row r="42" ht="260" customHeight="1">
      <c r="A42" s="88">
        <f>A41+1</f>
        <v/>
      </c>
      <c r="B42" s="56" t="inlineStr">
        <is>
          <t>hh_admin2_9</t>
        </is>
      </c>
      <c r="C42" s="48" t="inlineStr">
        <is>
          <t>hh_admin2_2</t>
        </is>
      </c>
      <c r="D42" s="139" t="inlineStr">
        <is>
          <t xml:space="preserve">Currently, in which Cercle does your household reside?
[OPERATOR: SINGLE RESPONSE.]
1)BARAOUÉLI
2)BLA
3)MACINA
4)NIONO
5)SAN
6)SÉGOU
7)TOMINIAN
8)DON'T KNOW
9) REFUSED </t>
        </is>
      </c>
      <c r="E42" s="27">
        <f>LEN(D42)</f>
        <v/>
      </c>
      <c r="F42" s="140" t="inlineStr">
        <is>
          <t>Actuellement, dans quel Cercle votre ménage vit-il ?
[OPÉRATEUR/OPÉRATRICE: RÉPONSE UNIQUE.]
1)BARAOUÉLI
2)BLA
3)MACINA
4)NIONO
5)SAN
6)SÉGOU
7)TOMINIAN
8)NE SAIT PAS
9)REFUSÉ</t>
        </is>
      </c>
      <c r="G42" s="27">
        <f>LEN(F42)</f>
        <v/>
      </c>
      <c r="H42" s="139" t="inlineStr">
        <is>
          <t xml:space="preserve">Nin waati la, aw ka gwaso be Kobida jumɛ de kɔnɔ? 
[SƆRƆBATIGI: JAABI KELEN]
1)BARAOUÉLI
2)BLA
3)MACINA
4)NIONO
5)SAN
6)SÉGOU
7)TOMINIAN
8)NE MA DON
9) A BAN NA </t>
        </is>
      </c>
      <c r="I42" s="27">
        <f>LEN(H42)</f>
        <v/>
      </c>
      <c r="J42" s="139" t="inlineStr">
        <is>
          <t xml:space="preserve">Nim cɛrkl jɔ-kɔ bɛrɛ e uro kun?
[BIRƐ MA KŨ BAŋA : UɟURU KƆ TURU LE BE SAA-I]
1)BARAOUÉLI
2)BLA
3)MACINA
4)NIONO
5)SAN
6)SÉGOU
7)TOMINIAN
8)ɟUGƆGO
9) JƆWƆLI </t>
        </is>
      </c>
      <c r="K42" s="27">
        <f>LEN(J42)</f>
        <v/>
      </c>
      <c r="L42" s="139" t="inlineStr">
        <is>
          <t xml:space="preserve">Hon woo, mannoo er wuwo borey gondu gorey ?
[HANKAA : ZAABI AFFOO]
1)BARAOUÉLI
2)BLA
3)MACINA
4)NIONO
5)SAN
6)SÉGOU
7)TOMINIAN
8)E SU BEY
9) E WINGEE </t>
        </is>
      </c>
      <c r="M42" s="27">
        <f>LEN(L42)</f>
        <v/>
      </c>
      <c r="N42" s="139" t="inlineStr">
        <is>
          <t xml:space="preserve">Amaradaɣ, indek akal wadaɣ izaɣa alɣayal inak ?
[AMASSASTAN: AGRETE ISSALANES ASSOUDMARE IYANE]
1)BARAOUÉLI
2)BLA
3)MACINA
4)NIONO
5)SAN
6)SÉGOU
7)TOMINIAN
8)WARISENAƔ
9) UGAY </t>
        </is>
      </c>
      <c r="O42" s="27">
        <f>LEN(N42)</f>
        <v/>
      </c>
      <c r="P42" s="139" t="inlineStr">
        <is>
          <t xml:space="preserve">Jooni ley ndewgu ngule wuro mon jooɗii ya?
[GOLLOOWO : JAWAABU GOOTO].
1)BARAOUÉLI
2)BLA
3)MACINA
4)NIONO
5)SAN
6)SÉGOU
7)TOMINIAN
8)ANNDA
9) SALAADE </t>
        </is>
      </c>
      <c r="Q42" s="27">
        <f>LEN(P42)</f>
        <v/>
      </c>
      <c r="R42" s="63" t="inlineStr">
        <is>
          <t>Single Choice</t>
        </is>
      </c>
      <c r="S42" s="27" t="inlineStr">
        <is>
          <t>NA</t>
        </is>
      </c>
      <c r="T42" s="27" t="inlineStr">
        <is>
          <t>NA</t>
        </is>
      </c>
      <c r="U42" s="27" t="inlineStr">
        <is>
          <t>Form Type - Buttons
set Demographic - ADM2</t>
        </is>
      </c>
      <c r="V42" s="141" t="inlineStr">
        <is>
          <t xml:space="preserve">1)Baraouéli
2)Bla
3)Macina
4)Niono
5)San
6)Ségou
7)Tominian
8)DON'T KNOW
9) REFUSED </t>
        </is>
      </c>
      <c r="W42" s="64" t="inlineStr">
        <is>
          <t>1-7 = quotareached
8,9 = Ineligible</t>
        </is>
      </c>
      <c r="X42" s="744" t="n"/>
      <c r="Y42" s="717" t="n"/>
      <c r="Z42" s="717" t="n"/>
      <c r="AA42" s="66" t="n"/>
      <c r="AB42" s="719" t="n"/>
      <c r="AC42" s="111" t="n"/>
      <c r="AD42" s="374" t="n"/>
      <c r="AE42" s="111" t="n"/>
    </row>
    <row r="43" ht="220" customHeight="1">
      <c r="A43" s="88">
        <f>A42+1</f>
        <v/>
      </c>
      <c r="B43" s="56" t="inlineStr">
        <is>
          <t>hh_admin2_10</t>
        </is>
      </c>
      <c r="C43" s="48" t="inlineStr">
        <is>
          <t>hh_admin2_2</t>
        </is>
      </c>
      <c r="D43" s="139" t="inlineStr">
        <is>
          <t xml:space="preserve">Currently, in which Cercle does your household reside?
[OPERATOR: SINGLE RESPONSE.]
1)DIRÉ
2)GOUNDAM
3)GOURMA-RHAROUS
4)NIAFUNKÉ
5)TOMBOUCTOU
6)DON'T KNOW
7) REFUSED </t>
        </is>
      </c>
      <c r="E43" s="27">
        <f>LEN(D43)</f>
        <v/>
      </c>
      <c r="F43" s="140" t="inlineStr">
        <is>
          <t>Actuellement, dans quel Cercle votre ménage vit-il ?
[OPÉRATEUR/OPÉRATRICE: RÉPONSE UNIQUE.]
1)DIRÉ
2)GOUNDAM
3)GOURMA-RHAROUS
4)NIAFUNKÉ
5)TOMBOUCTOU
6)NE SAIT PAS
7)REFUSÉ</t>
        </is>
      </c>
      <c r="G43" s="27">
        <f>LEN(F43)</f>
        <v/>
      </c>
      <c r="H43" s="139" t="inlineStr">
        <is>
          <t xml:space="preserve">Nin waati la, aw ka gwaso be Kobida jumɛ de kɔnɔ? 
[SƆRƆBATIGI: JAABI KELEN]
1)DIRÉ
2)GOUNDAM
3)GOURMA-RHAROUS
4)NIAFUNKÉ
5)TOMBOUCTOU
6)NE MA DON
7) A BAN NA </t>
        </is>
      </c>
      <c r="I43" s="27">
        <f>LEN(H43)</f>
        <v/>
      </c>
      <c r="J43" s="139" t="inlineStr">
        <is>
          <t xml:space="preserve">Nim cɛrkl jɔ-kɔ bɛrɛ e uro kun?
[BIRƐ MA KŨ BAŋA : UɟURU KƆ TURU LE BE SAA-I]
1)DIRÉ
2)GOUNDAM
3)GOURMA-RHAROUS
4)NIAFUNKÉ
5)TOMBOUCTOU
6)ɟUGƆGO
7) JƆWƆLI </t>
        </is>
      </c>
      <c r="K43" s="27">
        <f>LEN(J43)</f>
        <v/>
      </c>
      <c r="L43" s="139" t="inlineStr">
        <is>
          <t xml:space="preserve">Hon woo, mannoo er wuwo borey gondu gorey ?
[HANKAA : ZAABI AFFOO]
1)DIRÉ
2)GOUNDAM
3)GOURMA-RHAROUS
4)NIAFUNKÉ
5)TOMBOUCTOU
6)E SU BEY
7) E WINGEE </t>
        </is>
      </c>
      <c r="M43" s="27">
        <f>LEN(L43)</f>
        <v/>
      </c>
      <c r="N43" s="139" t="inlineStr">
        <is>
          <t xml:space="preserve">Amaradaɣ, indek akal wadaɣ izaɣa alɣayal inak ?
[AMASSASTAN: AGRETE ISSALANES ASSOUDMARE IYANE]
1)DIRÉ
2)GOUNDAM
3)GOURMA-RHAROUS
4)NIAFUNKÉ
5)TOMBOUCTOU
6)WARISENAƔ
7) UGAY </t>
        </is>
      </c>
      <c r="O43" s="27">
        <f>LEN(N43)</f>
        <v/>
      </c>
      <c r="P43" s="139" t="inlineStr">
        <is>
          <t xml:space="preserve">Jooni ley ndewgu ngule wuro mon jooɗii ya?
[GOLLOOWO : JAWAABU GOOTO].
1)DIRÉ
2)GOUNDAM
3)GOURMA-RHAROUS
4)NIAFUNKÉ
5)TOMBOUCTOU
6)ANNDA
7) SALAADE </t>
        </is>
      </c>
      <c r="Q43" s="27">
        <f>LEN(P43)</f>
        <v/>
      </c>
      <c r="R43" s="63" t="inlineStr">
        <is>
          <t>Single Choice</t>
        </is>
      </c>
      <c r="S43" s="27" t="inlineStr">
        <is>
          <t>NA</t>
        </is>
      </c>
      <c r="T43" s="27" t="inlineStr">
        <is>
          <t>NA</t>
        </is>
      </c>
      <c r="U43" s="27" t="inlineStr">
        <is>
          <t>Form Type - Buttons
set Demographic - ADM2</t>
        </is>
      </c>
      <c r="V43" s="141" t="inlineStr">
        <is>
          <t xml:space="preserve">1)Diré
2)Goundam
3)Gourma-Rharous
4)Niafunké
5)Tombouctou
6)DON'T KNOW
7) REFUSED </t>
        </is>
      </c>
      <c r="W43" s="64" t="inlineStr">
        <is>
          <t>1-5 = quotareached
6,7 = Ineligible</t>
        </is>
      </c>
      <c r="X43" s="742" t="n"/>
      <c r="Y43" s="717" t="n"/>
      <c r="Z43" s="717" t="n"/>
      <c r="AA43" s="66" t="n"/>
      <c r="AB43" s="719" t="n"/>
      <c r="AC43" s="111" t="n"/>
      <c r="AD43" s="374" t="n"/>
      <c r="AE43" s="111" t="n"/>
    </row>
    <row r="44" ht="247.5" customHeight="1">
      <c r="A44" s="88">
        <f>A43+1</f>
        <v/>
      </c>
      <c r="B44" s="56" t="inlineStr">
        <is>
          <t>quotareached</t>
        </is>
      </c>
      <c r="C44" s="48" t="inlineStr">
        <is>
          <t>quotareached</t>
        </is>
      </c>
      <c r="D44" s="49" t="inlineStr">
        <is>
          <t>[OPERATOR: DO NOT READ. ANSWER QUESTION BELOW.]
THIS RESPONDENT REPORTED THEY LIVE IN:
{ADM1}
{ADM2}
1)THE GOAL FOR THIS LOCATION HAS BEEN ACHIEVED - END SURVEY
2)THE GOAL FOR THIS LOCATION IS OPEN - CONTINUE SURVEY</t>
        </is>
      </c>
      <c r="E44" s="27">
        <f>LEN(D44)</f>
        <v/>
      </c>
      <c r="F44" s="57" t="inlineStr">
        <is>
          <t>[OPÉRATEUR/OPÉRATRICE: NE PAS LIRE. RÉPONDRE À LA QUESTION EN DESSOUS.]
CE RÉPONDANT DIT VIVRE À:
{ADM1}
{ADM2}
1)L'OBJECTIF DANS CETTE ZONE A ÉTÉ ATTEINT - FIN DU SONDAGE
2)L'OBJECTIF DANS CETTE ZONE N'EST PAS ENCORE ATTEINT - CONTINUER LE SONDAGE</t>
        </is>
      </c>
      <c r="G44" s="27">
        <f>LEN(F44)</f>
        <v/>
      </c>
      <c r="H44" s="90" t="inlineStr">
        <is>
          <t>[NIENIGALI KÈLA : A TE KALAN. DOUGOUMA NIENIGALIW DIABI.]
DIABI BAGA KO BE BALO À / AU:
{ADM1}
{ADM2}
1)AKILINA MI BE NI YORO NI BAARA LA O SORO LA – NIENIGALI BANA
2)AKILINA MI BE NI YORO NI BAARA LA O SORO LA DAMINÈ NA – TÈMÈ NI BAARA YE</t>
        </is>
      </c>
      <c r="I44" s="27">
        <f>LEN(H44)</f>
        <v/>
      </c>
      <c r="J44" s="90" t="inlineStr">
        <is>
          <t>[SEROUMOU SEROUMOUNE:  BONOU BONONE YAROU ON DIANGAROUWONOU DIABA]
INÈ SISA NÈ ON, ANA ON WO GUI:
{ADM1}
{ADM2}
1)SO DE YAROU ON SEROUMOU GO SEROUMIN GO BEME WO DOGAYI
2)SO DE YAROU ON SEROUMOU GO PINDIRIN TORAYI-BIRE GO NIMA TABIYA</t>
        </is>
      </c>
      <c r="K44" s="27">
        <f>LEN(J44)</f>
        <v/>
      </c>
      <c r="L44" s="70" t="inlineStr">
        <is>
          <t>[HANKOYO: MA CHI TIAW. TOUROU HAN YANO KAN GO GANDA CHE.]
BORA WO BEYRANDI KAN GA CHI HOUNA KALA :
{ADM1}
{ADM2}
1)GOYO KAN GA HIMA KA TE NERA WASSA - HAN YANEY BENE
2) GOYEYE KAN GA KA KATE NERE MA CHINTINA - HAN YANEY MA KOYE AGA</t>
        </is>
      </c>
      <c r="M44" s="72">
        <f>LEN(L44)</f>
        <v/>
      </c>
      <c r="N44" s="71" t="inlineStr">
        <is>
          <t>[AMASSASTAN: WATIDJEME ISSALANE WINE SISTANENE INE SIDERE.]
IDJENE ISSALANE INE TOUMOUDRÉ:
{ADM1}
{ADM2}
1)ISSALANE INE DIHA ITIDJERAWANE ISSISTANANE IMIDANE
2)ISSISTANANE INE AMERANE ICHAGALE INTAH</t>
        </is>
      </c>
      <c r="O44" s="72">
        <f>LEN(N44)</f>
        <v/>
      </c>
      <c r="P44" s="78" t="inlineStr">
        <is>
          <t>[LANDOTOODO: PATI JANGA JAABUJI LAMDI GONDII LEY.]
 O JABATODO HOLITI WONUDE:
{ADM1}
{ADM2}
1) FANDA NOKKU O KAJNUM KO GOLLETEKO HEWTAMA - TIMOORE HUMPITAGOL
2) FANDA NDE JONNDE  KAJNUM KO GOLLETEKO  UDDITAAMA - JOKKIN HUMPITANGOL NGOL</t>
        </is>
      </c>
      <c r="Q44" s="27">
        <f>LEN(P44)</f>
        <v/>
      </c>
      <c r="R44" s="63" t="inlineStr">
        <is>
          <t>Single Choice</t>
        </is>
      </c>
      <c r="S44" s="27" t="inlineStr">
        <is>
          <t>NA</t>
        </is>
      </c>
      <c r="T44" s="27" t="inlineStr">
        <is>
          <t>NA</t>
        </is>
      </c>
      <c r="U44" s="27" t="inlineStr">
        <is>
          <t>Form Type - Buttons</t>
        </is>
      </c>
      <c r="V44" s="40" t="inlineStr">
        <is>
          <t>NA</t>
        </is>
      </c>
      <c r="W44" s="64" t="inlineStr">
        <is>
          <t>1 = End Poll Quota Reached
2 = hh_agricactivity</t>
        </is>
      </c>
      <c r="X44" s="319" t="n"/>
      <c r="Y44" s="302" t="inlineStr">
        <is>
          <t>If the quota has not been reached, continue the questionnaire. If it has, end of survey.</t>
        </is>
      </c>
      <c r="Z44" s="122" t="n"/>
      <c r="AA44" s="66" t="inlineStr">
        <is>
          <t>resp_agree = 1 
resp_age = 18-100</t>
        </is>
      </c>
      <c r="AB44" s="67" t="n"/>
      <c r="AC44" s="111" t="n">
        <v>2.284250020980835</v>
      </c>
      <c r="AD44" s="374">
        <f>1</f>
        <v/>
      </c>
      <c r="AE44" s="111">
        <f>AC44*AD44</f>
        <v/>
      </c>
    </row>
    <row r="45" ht="320" customHeight="1">
      <c r="A45" s="88">
        <f>A43+1</f>
        <v/>
      </c>
      <c r="B45" s="93" t="inlineStr">
        <is>
          <t>hh_agricactivity</t>
        </is>
      </c>
      <c r="C45" s="380" t="inlineStr">
        <is>
          <t>hh_agricactivity</t>
        </is>
      </c>
      <c r="D45" s="49" t="inlineStr">
        <is>
          <t xml:space="preserve">Has anybody in your household been producing crops or livestock for household consumption or for sale in the past 12 months, including household members currently away for transhumance?
[OPERATOR: SINGLE RESPONSE. THIS IS THE MAIN SCREENING QUESTION. THE RESPONDENT WILL HAVE TO ANSWER. DON'T FORGET TO PROBE ABOUT TRANSHUMANCE.]
[HINT: HOUSEHOLD CONSISTS OF ALL MEMBERS LIVING TOGETHER, SHARING RESOURCES &amp; EATING FROM THE SAME POT.]
1)Yes - crop production 
2)Yes - livestock production
3)Yes - both crop and livestock production 
4)No
5)DON'T KNOW
6)REFUSED </t>
        </is>
      </c>
      <c r="E45" s="27">
        <f>LEN(D45)</f>
        <v/>
      </c>
      <c r="F45" s="82" t="inlineStr">
        <is>
          <t>Est-ce que quelqu'un dans votre ménage a produit des cultures ou du bétail pour la consommation du ménage ou pour la vente au cours des 12 derniers mois, y compris des membres du ménage actuellement partis pour la transhumance ?
[OPÉRATEUR/OPÉRATRICE: RÉPONSE UNIQUE. IL S'AGIT DE LA PRINCIPALE QUESTION DE SÉLECTION. LA PERSONNE INTERROGÉE DOIT Y RÉPONDRE. NE PAS OUBLIER DE MENTIONNER LA TRANSHUMANCE].
[CONSEIL: LE MÉNAGE EST COMPOSÉ DE TOUTES LES PERSONNES VIVANT ENSEMBLE, PARTAGEANT LEURS RESSOURCES ET MANGEANT DANS UNE MARMITE COMMUNE.]
1)Oui - production végétale 
2)Oui - production animale
3)Oui - production végétale et animale 
4)Non
5)NE SAIT PAS
6)REFUSÉ</t>
        </is>
      </c>
      <c r="G45" s="27">
        <f>LEN(F45)</f>
        <v/>
      </c>
      <c r="H45" s="82" t="inlineStr">
        <is>
          <t xml:space="preserve">Aw ka gwa la mɔgɔ dɔ ye sɛnɛ wala bɛgɛn balo kɛ gwaso ka balo kosɔn wa, wala feereli kama kalo 12 nata kɔnɔ wa, ka fara gwaso mɔgɔ minw taa la tunga la kan wa ? 
[SƆRƆBATIGI : JAABI KELEN. SUGANDILI ƝINNGALI JƆNJƆN KOO DE DO. SƐGƐSƐGƐLEN KA KAN KA JAABILI DI. AW KANA ƝINA KA ƝININGALIW KƐ TUNGA TAABAW KOO LA]. 
[TAAMASHIƝƐ : GWASO KƆNƆ MƆGƆW BƐƐ BE ƝƆGƆN FƐ, K’U KA SƆRƆW BƐƐ TILAN U NI ƝƆGƆN CƐ ANI KA DUMUNI KƐ MINAN KELEN KƆNƆ]. 
1)Ɔwɔ - sɛnɛfɛnw. 
2)Ɔwɔ - bɛgɛnbalo. 
3)Ɔwɔ - sɛnɛfɛn ni bɛgɛnbalo 
4)Ayi
5)NE MA DON
6) A BAN NA </t>
        </is>
      </c>
      <c r="I45" s="27">
        <f>LEN(H45)</f>
        <v/>
      </c>
      <c r="J45" s="372" t="inlineStr">
        <is>
          <t xml:space="preserve">Ɛ 12 mì káaná gárá bɛ̀rɛ̀, é úró bɛ̀rɛ́ ine kã dɛ̃rɛ̃ máa àsɛ̀gɛ̀ kãã ɟɛ́rɛ́ lii kò úró mà bón lè?
[BIRƐ MA KŨ BAŋA : KASAY TUNO MÀ ÚɟÚRÚ-I. KÒ KU NÀ, BÈ ƝƐ́MƐ́-I. Ɛ̀GGÚ MÀ ÓɟÚKÁ MÀ ÙɟÙRÚ NÀŋÁ-I LÁ I].
.
[SƐRƐ : URO INEM ɟƐ BA LEY GE INE ƝE-IM KO BƐRƐƐ KUNUM FUU, BE ASƐGƐ I MƆRƆ̃̌ BE BAƝA NA MI MƆ́RƆ̃̀].
1)Ee-tiwẽbirɛ. 
2)Ee-asɛgɛkɔy. 
3)Ee-tiwẽbirɛɛ asɛgɛkɔy. 
4)Ɔ̃-ɔ̃. 
5)ɟUGƆGO
6) JƆWƆLI 
</t>
        </is>
      </c>
      <c r="K45" s="27">
        <f>LEN(J45)</f>
        <v/>
      </c>
      <c r="L45" s="82" t="inlineStr">
        <is>
          <t xml:space="preserve">Er wuwo borey kul ,gorga wal diirga, boor goono kang faaru wal an almeney yong biiri ku kang wal ku neere wuwo borey ce jiiro ga ?
[HANKAA: BON FEREY FOLON. TUYONG FOOLON . HAN YONG BON BEERA NOOH. BOORA HIMKU TU. ERM SI DIRGANE KU BOORA HAN CEE DIREY BONG.]
[SILMANKA: HUWO BOOREY NNOKU BOOREY KUL KAN GO WIINDU FO GA, I KUL ALMENE NDU KNANRU FOOLON].
1)AYYO-faarim
2)AYYO-almeney biiro
3)AYYO-faarim ndu almeney biiro
4)HANHAN
5)E SU BEY
6)E WINGEE </t>
        </is>
      </c>
      <c r="M45" s="27">
        <f>LEN(L45)</f>
        <v/>
      </c>
      <c r="N45" s="82" t="inlineStr">
        <is>
          <t xml:space="preserve">Yala awadim daɣ alɣayal nawan igyak əsigyak meɣ arizeg fal ašaško ən alɣayal meɣ fal ašinš daɣ 12 uran wihin okaynen, daɣ ahan adinat nalɣayal amaradaɣ daɣ asikil ?
 [EMASESTƏN : ALƏƔI IYANDAƔ. AMOS ASOSTAN WA ATIWASANAN DAƔ UKIS. AWADIM WA ATIWASASTANAN ANIHAGA ADISUDMIR. WAHIN TITUWAM ASISTINAM ƏN ASOSTAN FAL MISUKAL].
 [ASIKIN : ALƔAYAL EQAL AYERTAYAN ƏN ADINAT WI IDARNEN DAK, TUZANEN TANFOTEN ƏD TATANEN DAƔ AKOS IYANDAƔ].
1)IYA – asisiriw ən hiškan. 
2)Iya – asisiriw ən narizej. 
3)Iya- asisiriw ən hiškan əd narizej  
4)Babo. 
5)WARISENAƔ
6) UGAY </t>
        </is>
      </c>
      <c r="O45" s="27">
        <f>LEN(N45)</f>
        <v/>
      </c>
      <c r="P45" s="372" t="inlineStr">
        <is>
          <t xml:space="preserve">Yalla goɗɗo ley wuro mon ngo golli golle demal ko ɲammina wuro ngo, maa margal faa ɓe cotta ley lebbi 12 sakitiiɗi ɗi ɓeydi e himɓe eggu ɓe ɓen?
[GOLLOOWO: JAWAABU GOOTO. WO ƳAMNGAL GOOTAL CUƁEETE. ƳAMAAƊO ON NA HAANI JAABO. TA NJEGGITON ƳAMUDE E EGGOL DU.]
[MAANAA : ƁAADE NDEN FUH HAWTU JAWDI WOOƊI E LE'AL GOOTAL ƁE ƝAAMDATA].
1)AYYO- gollal kulle cecce. 
2)AYYO- margal. 
3)AYYO- golle ko hecciɗi e margal.
4)Aa’a. 
5)ANNDA
6) SALAADE </t>
        </is>
      </c>
      <c r="Q45" s="27">
        <f>LEN(P45)</f>
        <v/>
      </c>
      <c r="R45" s="63" t="inlineStr">
        <is>
          <t>Single Choice</t>
        </is>
      </c>
      <c r="S45" s="27" t="inlineStr">
        <is>
          <t>NA</t>
        </is>
      </c>
      <c r="T45" s="27" t="inlineStr">
        <is>
          <t>NA</t>
        </is>
      </c>
      <c r="U45" s="27" t="inlineStr">
        <is>
          <t>Form Type - Buttons</t>
        </is>
      </c>
      <c r="V45" s="27" t="inlineStr">
        <is>
          <t>NA</t>
        </is>
      </c>
      <c r="W45" s="442" t="inlineStr">
        <is>
          <t>1-4 = hh_fish
5-6 = Ineligible</t>
        </is>
      </c>
      <c r="X45" s="329" t="n"/>
      <c r="Y45" s="281" t="inlineStr">
        <is>
          <t xml:space="preserve">if hh_agricactivity = 1-4, go to hh_gender. Otherwise, the respondent is ineligible. </t>
        </is>
      </c>
      <c r="Z45" s="147" t="n"/>
      <c r="AA45" s="148" t="inlineStr">
        <is>
          <t xml:space="preserve">resp_agree = 1 
resp_age = 18-100
quotareached = 2 </t>
        </is>
      </c>
      <c r="AB45" s="149" t="n"/>
      <c r="AC45" s="111" t="n">
        <v>31.37237739562988</v>
      </c>
      <c r="AD45" s="374">
        <f>1</f>
        <v/>
      </c>
      <c r="AE45" s="111">
        <f>AC45*AD45</f>
        <v/>
      </c>
    </row>
    <row r="46" ht="221" customFormat="1" customHeight="1" s="508" thickBot="1">
      <c r="A46" s="88">
        <f>A44+1</f>
        <v/>
      </c>
      <c r="B46" s="497" t="inlineStr">
        <is>
          <t>hh_fish</t>
        </is>
      </c>
      <c r="C46" s="498" t="inlineStr">
        <is>
          <t>hh_fish</t>
        </is>
      </c>
      <c r="D46" s="499"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46" s="500" t="n">
        <v>116</v>
      </c>
      <c r="F46" s="501"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46" s="502">
        <f>LEN(F46)</f>
        <v/>
      </c>
      <c r="H46" s="707" t="n"/>
      <c r="I46" s="707" t="n"/>
      <c r="J46" s="707" t="n"/>
      <c r="K46" s="707" t="n"/>
      <c r="L46" s="503" t="n"/>
      <c r="M46" s="503" t="n"/>
      <c r="N46" s="503" t="n"/>
      <c r="O46" s="503" t="n"/>
      <c r="P46" s="503" t="n"/>
      <c r="Q46" s="504" t="n"/>
      <c r="R46" s="498" t="inlineStr">
        <is>
          <t>Single Choice</t>
        </is>
      </c>
      <c r="S46" s="500" t="inlineStr">
        <is>
          <t>NA</t>
        </is>
      </c>
      <c r="T46" s="500" t="inlineStr">
        <is>
          <t>NA</t>
        </is>
      </c>
      <c r="U46" s="500" t="inlineStr">
        <is>
          <t>Form Type - Buttons</t>
        </is>
      </c>
      <c r="V46" s="503" t="n"/>
      <c r="W46" s="505" t="inlineStr">
        <is>
          <t>1-2 = resp_id
3-4 = Ineligible</t>
        </is>
      </c>
      <c r="X46" s="506" t="inlineStr">
        <is>
          <t>if hh_fish = 1-2, go to resp_id. Otherwise, the respondent is ineligible. 
GeoPoll: noted options 3,4 are being ineligible. Please note that you might screen out eligible respondents based on  Q hh_agriactivity above</t>
        </is>
      </c>
      <c r="Y46" s="507" t="inlineStr">
        <is>
          <t xml:space="preserve">Use this question if the survey seeks to gather important information on fisheries and/or aquaculture in the country. </t>
        </is>
      </c>
    </row>
    <row r="47" ht="20" customHeight="1" thickBot="1">
      <c r="A47" s="708" t="inlineStr">
        <is>
          <t>B. GENERAL HOUSEHOLD INFORMATION</t>
        </is>
      </c>
      <c r="B47" s="739" t="n"/>
      <c r="C47" s="739" t="n"/>
      <c r="D47" s="739" t="n"/>
      <c r="E47" s="739" t="n"/>
      <c r="F47" s="739" t="n"/>
      <c r="G47" s="739" t="n"/>
      <c r="H47" s="739" t="n"/>
      <c r="I47" s="739" t="n"/>
      <c r="J47" s="739" t="n"/>
      <c r="K47" s="739" t="n"/>
      <c r="L47" s="739" t="n"/>
      <c r="M47" s="739" t="n"/>
      <c r="N47" s="739" t="n"/>
      <c r="O47" s="739" t="n"/>
      <c r="P47" s="739" t="n"/>
      <c r="Q47" s="739" t="n"/>
      <c r="R47" s="739" t="n"/>
      <c r="S47" s="739" t="n"/>
      <c r="T47" s="739" t="n"/>
      <c r="U47" s="739" t="n"/>
      <c r="V47" s="739" t="n"/>
      <c r="W47" s="739" t="n"/>
      <c r="X47" s="739" t="n"/>
      <c r="Y47" s="739" t="n"/>
      <c r="Z47" s="739" t="n"/>
      <c r="AA47" s="740" t="n"/>
      <c r="AB47" s="151" t="n"/>
      <c r="AC47" s="45" t="n"/>
      <c r="AD47" s="280">
        <f>1</f>
        <v/>
      </c>
      <c r="AE47" s="45">
        <f>AC47*AD47</f>
        <v/>
      </c>
    </row>
    <row r="48" ht="205" customHeight="1">
      <c r="A48" s="336">
        <f>A46+1</f>
        <v/>
      </c>
      <c r="B48" s="36" t="inlineStr">
        <is>
          <t>resp_id</t>
        </is>
      </c>
      <c r="C48" s="37" t="inlineStr">
        <is>
          <t>resp_id</t>
        </is>
      </c>
      <c r="D48" s="350" t="inlineStr">
        <is>
          <t>Are you the head of household?
[OPERATOR: SINGLE RESPONSE.]
1)Yes
2)No
3)DON'T KNOW
4)REFUSED</t>
        </is>
      </c>
      <c r="E48" s="351">
        <f>LEN(D48)</f>
        <v/>
      </c>
      <c r="F48" s="352" t="inlineStr">
        <is>
          <t>Êtes-vous le chef de ménage?
[OPÉRATEUR/OPÉRATRICE: RÉPONSE UNIQUE.]
1)Oui
2)Non
3)NE SAIT PAS
4)REFUSÉ</t>
        </is>
      </c>
      <c r="G48" s="351">
        <f>LEN(F48)</f>
        <v/>
      </c>
      <c r="H48" s="365" t="inlineStr">
        <is>
          <t xml:space="preserve">
Aw de ye dutigi nin wa?
[NIENIGALI KÈLA: DIABI KELEN]
1)AWO
2)AYI
3)NE MA DON
4)A BAN NA</t>
        </is>
      </c>
      <c r="I48" s="39">
        <f>LEN(H48)</f>
        <v/>
      </c>
      <c r="J48" s="365" t="inlineStr">
        <is>
          <t>Uro mà kũ baŋa-i bè màa?
[BIRƐ MA KŨ BAŋA : UɟURU KƆ TURU LE BE SAA-I]
1)ÉE
2)Ɔ̃-Ɔ̃
3)ɟUGƆGO. 
4)JƆWƆLI.</t>
        </is>
      </c>
      <c r="K48" s="39">
        <f>LEN(J48)</f>
        <v/>
      </c>
      <c r="L48" s="366" t="inlineStr">
        <is>
          <t>Ni no tu huwo albeera ?
[HANKOYO:  MACHI TA KA HAR DJAABI FO]
1) AYYO
2) KALA
3) A CHI BEY
4) A WANDJI</t>
        </is>
      </c>
      <c r="M48" s="118">
        <f>LEN(L48)</f>
        <v/>
      </c>
      <c r="N48" s="367" t="inlineStr">
        <is>
          <t>Ataqalam anamokal ən alɣayal?
[AMASSASTAN: AGRETE ISSALANES ASSOUDMARE IYANE]
1)IYA
2)ABO
3)WARISSÉNAGUE
4)OUDIAYAGUE</t>
        </is>
      </c>
      <c r="O48" s="118">
        <f>LEN(N48)</f>
        <v/>
      </c>
      <c r="P48" s="365" t="inlineStr">
        <is>
          <t>Aan woni baa-ɓaade nden naa? 
[GOLLOOWO : JAWAABU GOOTO].
1)AYYO 
2)AA'A. 
3)ANNDA 
4)SALAADE</t>
        </is>
      </c>
      <c r="Q48" s="60">
        <f>LEN(P48)</f>
        <v/>
      </c>
      <c r="R48" s="137" t="inlineStr">
        <is>
          <t>Single Choice</t>
        </is>
      </c>
      <c r="S48" s="39" t="inlineStr">
        <is>
          <t>NA</t>
        </is>
      </c>
      <c r="T48" s="40" t="inlineStr">
        <is>
          <t>NA</t>
        </is>
      </c>
      <c r="U48" s="39" t="inlineStr">
        <is>
          <t>NA</t>
        </is>
      </c>
      <c r="V48" s="39" t="inlineStr">
        <is>
          <t>Form Type - Buttons</t>
        </is>
      </c>
      <c r="W48" s="41" t="inlineStr">
        <is>
          <t>1 = hh_education 
2-4 = hh_gender</t>
        </is>
      </c>
      <c r="X48" s="427" t="n"/>
      <c r="Y48" s="303" t="inlineStr">
        <is>
          <t>if phone_number_conf = 1, go to contact_2
if phone_number_conf = 2, go to phone_number_personal
if phone_number_conf = 3-4, go to contact_2</t>
        </is>
      </c>
      <c r="Z48" s="125" t="n"/>
      <c r="AA48" s="353" t="inlineStr">
        <is>
          <t>resp_agree = 1 
resp_age = 18-100</t>
        </is>
      </c>
      <c r="AB48" s="127" t="n"/>
      <c r="AC48" s="128" t="n">
        <v>10</v>
      </c>
      <c r="AD48" s="495">
        <f>1</f>
        <v/>
      </c>
      <c r="AE48" s="128">
        <f>AC48*AD48</f>
        <v/>
      </c>
    </row>
    <row r="49" ht="201" customHeight="1">
      <c r="A49" s="88">
        <f>A48+1</f>
        <v/>
      </c>
      <c r="B49" s="36" t="inlineStr">
        <is>
          <t>hh_gender</t>
        </is>
      </c>
      <c r="C49" s="48" t="inlineStr">
        <is>
          <t>hh_gender</t>
        </is>
      </c>
      <c r="D49" s="152" t="inlineStr">
        <is>
          <t>Is the head of your household male or female?
[OPERATOR: SINGLE RESPONSE.]
1)Male 
2)Female
3)DON'T KNOW
4)REFUSED</t>
        </is>
      </c>
      <c r="E49" s="39">
        <f>LEN(D49)</f>
        <v/>
      </c>
      <c r="F49" s="57" t="inlineStr">
        <is>
          <t>Le chef de votre ménage est-il un homme ou une femme ?
[OPÉRATEUR/OPÉRATRICE: RÉPONSE UNIQUE.]
1)Homme
2)Femme
3)NE SAIT PAS
4)REFUSÉ</t>
        </is>
      </c>
      <c r="G49" s="39">
        <f>LEN(F49)</f>
        <v/>
      </c>
      <c r="H49" s="368" t="inlineStr">
        <is>
          <t>Dou tigi ye tiè wa mouso ? 
[NIENIGALI KÈLA : DIABI KELEN]
1)TIÈ
2)MOUSO
3)A MA DON
4)A BAN NA</t>
        </is>
      </c>
      <c r="I49" s="39">
        <f>LEN(H49)</f>
        <v/>
      </c>
      <c r="J49" s="368" t="inlineStr">
        <is>
          <t>Guinrougono ébé kou banga anyinè ma yanran ? 
[SEROUMOU SEROUMOUNE: YABIYIRI TOUROU DJEGNE]
1)Ãn. 
2)Ɲen. 
3)ɟUGƆGO. 
4)JƆWƆLI.</t>
        </is>
      </c>
      <c r="K49" s="39">
        <f>LEN(J49)</f>
        <v/>
      </c>
      <c r="L49" s="369" t="inlineStr">
        <is>
          <t>Arou wala wey ti no ti hougo bonkoyno? 
[HANKOYO: DJAABI FO]
1)AROU
2)WEY
3) A CHI BEY
4)A WANDJI</t>
        </is>
      </c>
      <c r="M49" s="85">
        <f>LEN(L49)</f>
        <v/>
      </c>
      <c r="N49" s="368" t="inlineStr">
        <is>
          <t>Missis nehane tamate megh ahalis/Tamate ?   
[AMASSASTAN: ASSOUDMARE IYANE]
1)AHALISSE
2)TAMATE
3)WARISSENAGHUE
4)OUDJAYEGHUE</t>
        </is>
      </c>
      <c r="O49" s="85">
        <f>LEN(N49)</f>
        <v/>
      </c>
      <c r="P49" s="368" t="inlineStr">
        <is>
          <t>Djon gale mon yo gorko na debo? 
[LANDOTOODO : DJABOU GOTO TAN]
1)GORKO
2)DEBO
3)MI ANDA
4)SALAADE</t>
        </is>
      </c>
      <c r="Q49" s="39">
        <f>LEN(P49)</f>
        <v/>
      </c>
      <c r="R49" s="48" t="inlineStr">
        <is>
          <t>Single Choice</t>
        </is>
      </c>
      <c r="S49" s="39" t="inlineStr">
        <is>
          <t>NA</t>
        </is>
      </c>
      <c r="T49" s="39" t="inlineStr">
        <is>
          <t>NA</t>
        </is>
      </c>
      <c r="U49" s="39" t="inlineStr">
        <is>
          <t>Form Type - Buttons</t>
        </is>
      </c>
      <c r="V49" s="40" t="inlineStr">
        <is>
          <t>NA</t>
        </is>
      </c>
      <c r="W49" s="41" t="inlineStr">
        <is>
          <t>1-4 = hh_education</t>
        </is>
      </c>
      <c r="X49" s="319" t="n"/>
      <c r="Y49" s="302" t="inlineStr">
        <is>
          <t>if hh_gender = 1-4, go to hh_education.</t>
        </is>
      </c>
      <c r="Z49" s="122" t="n"/>
      <c r="AA49" s="43" t="inlineStr">
        <is>
          <t>resp_age = 18-100
hh_agricactivity = 1 | 2 | 3 | 4
quotareached = 2</t>
        </is>
      </c>
      <c r="AB49" s="55" t="n"/>
      <c r="AC49" s="111" t="n">
        <v>10.08573150634766</v>
      </c>
      <c r="AD49" s="374">
        <f>1</f>
        <v/>
      </c>
      <c r="AE49" s="111">
        <f>AC49*AD49</f>
        <v/>
      </c>
    </row>
    <row r="50" ht="267.75" customHeight="1">
      <c r="A50" s="88">
        <f>A49+1</f>
        <v/>
      </c>
      <c r="B50" s="56" t="inlineStr">
        <is>
          <t>hh_education</t>
        </is>
      </c>
      <c r="C50" s="48" t="inlineStr">
        <is>
          <t>hh_education</t>
        </is>
      </c>
      <c r="D50" s="89"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50" s="27">
        <f>LEN(D50)</f>
        <v/>
      </c>
      <c r="F50" s="57"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50" s="27">
        <f>LEN(F50)</f>
        <v/>
      </c>
      <c r="H50" s="363" t="inlineStr">
        <is>
          <t>Goutigui ka kalan donya be yoro doumè na?
[NIENIGALI KÈLA: DIABI KELEN]
1)A ma kalan walima kalan koun folo ma laban
2)A ye Kalan koun folo ban
3)A ye kalan koun filana ban
4)Sanfè kalanso sèbèn ba bolo
5)Dina kalan wala tubabu kalan dama 
6)A MA DON
7)A BAN NA</t>
        </is>
      </c>
      <c r="I50" s="27">
        <f>LEN(H50)</f>
        <v/>
      </c>
      <c r="J50" s="363" t="inlineStr">
        <is>
          <t>Guinrou koubanga gô diangou indièyi diangou?
[SEROUMOU SEROUMOUNE: YABIYIRI TOUROU DJEGNE]
1)Diangarou - dianga dianguinrou pôrô gôbé dogonorou
2)Dianguinrou pôrô gôbé dogona bé
3)Dianginrou touwô onounè dianga sougouna bé
4)Andi pèrileyesiguè onou nè dianga sougouna bé
5)5)Diinane mà ɟãŋgu maa dɔgɔbirɛ say.
6)INON
7)YABIRIYEDORON</t>
        </is>
      </c>
      <c r="K50" s="27">
        <f>LEN(J50)</f>
        <v/>
      </c>
      <c r="L50" s="369" t="inlineStr">
        <is>
          <t xml:space="preserve">Malla hougou djiné bora tjaw hakey?
[HANKOYO: DJAABI FO]
1)Bafo wala amana bissa kilassou iddou wa ga
2)A benandi kilassou iddou wa ga
3)A benandi defo ga
4)A dou nga université diplomo ka beène
5)Aladabu addiina wal aladabu nasaara
6)E SU BEY
7) E WINGEE </t>
        </is>
      </c>
      <c r="M50" s="85">
        <f>LEN(L50)</f>
        <v/>
      </c>
      <c r="N50" s="368" t="inlineStr">
        <is>
          <t xml:space="preserve">Indeke diha ibdade massisse nahane daghue tegharé?
[AMASSASTAN: ASSOUDMARE IYANE]
1)Watillah maighue waridja lacole
2)Asse mandah lacole wantikane
3)Asse mandah lacole wassissine
4)Aase mandah lacole wa ichamane sitawana université
5)Asiɣir wan nisliman meɣ wan salan ɣas
6)WARISSENAGHUE
7)OUDJAYEGHUE </t>
        </is>
      </c>
      <c r="O50" s="85">
        <f>LEN(N50)</f>
        <v/>
      </c>
      <c r="P50" s="368" t="inlineStr">
        <is>
          <t>Hoto jannde hoore galle haadi?
[LANDATOODO : JAABU KOOTO]
1)Fay gooto'o timinay cilasiji pamare
2)Timini cilasiji pamare
3)Timini cilasiji hakundeje
4)Djandè ekole mawdi [université/ Lissé] na o tilikè djandè
5)Jannde diina naa naa jannde anndal ɓolde?
6)MI ANDA
7)SALAADE</t>
        </is>
      </c>
      <c r="Q50" s="27">
        <f>LEN(P50)</f>
        <v/>
      </c>
      <c r="R50" s="153" t="inlineStr">
        <is>
          <t>Single Choice</t>
        </is>
      </c>
      <c r="S50" s="27" t="inlineStr">
        <is>
          <t>NA</t>
        </is>
      </c>
      <c r="T50" s="27" t="inlineStr">
        <is>
          <t>NA</t>
        </is>
      </c>
      <c r="U50" s="27" t="inlineStr">
        <is>
          <t>Form Type - Buttons</t>
        </is>
      </c>
      <c r="V50" s="40" t="inlineStr">
        <is>
          <t>NA</t>
        </is>
      </c>
      <c r="W50" s="64" t="inlineStr">
        <is>
          <t>1-7 = hh_wealth_water</t>
        </is>
      </c>
      <c r="X50" s="319" t="n"/>
      <c r="Y50" s="302" t="inlineStr">
        <is>
          <t>if hh_education = 1-7, go to hh_wealth.</t>
        </is>
      </c>
      <c r="Z50" s="122" t="n"/>
      <c r="AA50" s="66" t="inlineStr">
        <is>
          <t>resp_age = 18-100
hh_agricactivity = 1 | 2 | 3 | 4
quotareached = 2</t>
        </is>
      </c>
      <c r="AB50" s="149" t="n"/>
      <c r="AC50" s="111" t="n">
        <v>12.89403438568115</v>
      </c>
      <c r="AD50" s="374">
        <f>1</f>
        <v/>
      </c>
      <c r="AE50" s="111">
        <f>AC50*AD50</f>
        <v/>
      </c>
    </row>
    <row r="51" ht="320" customHeight="1">
      <c r="A51" s="88">
        <f>A50+1</f>
        <v/>
      </c>
      <c r="B51" s="154" t="inlineStr">
        <is>
          <t>hh_wealth_water</t>
        </is>
      </c>
      <c r="C51" s="155" t="inlineStr">
        <is>
          <t>hh_wealth_water</t>
        </is>
      </c>
      <c r="D51" s="26"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51" s="156">
        <f>LEN(D51)</f>
        <v/>
      </c>
      <c r="F51" s="157" t="inlineStr">
        <is>
          <t>Où procurez-vous habituellement l'eau l'eau que vous buvez dans votre foyer ?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51" s="156">
        <f>LEN(F51)</f>
        <v/>
      </c>
      <c r="H51" s="28" t="inlineStr">
        <is>
          <t xml:space="preserve">Aw be jii min nin soo kɔnɔ, o be bɔ min? 
[NIENIGALI KÈLA: DIABI KELEN]
1)Orobinɛ min be so kɔnɔ jii do. 
2)Foroba orobinɛ jii do. 
3)Kɔlɔn lakanalen jii do. 
4)Butɛli la jii do 
5)Yɔrɔ ɲuman wɛrɛ. 
6)Kɔɔ. 
7)Kɔlɔ lakanalenbali. 
8)Bununjii. 
9)Dugumakolo kan jiyɔrɔ [misaliya la kɔbolo/kɔ/barasi]
10)Farati yɔrɔ wɛrɛ 
11)NE MA DON
12) A BAN NA </t>
        </is>
      </c>
      <c r="I51" s="156">
        <f>LEN(H51)</f>
        <v/>
      </c>
      <c r="J51" s="28" t="inlineStr">
        <is>
          <t>E nî nɔ̌ jow le gɔ̃rɔ̃ra bè?
[BIRƐ MA KŨ BAŋA : UɟURU KƆ TURU LE BE SAA-I]
1)E uro bɛ̀rɛ̀ tujo le nǐ baɟa kuno woroine. 
2)Woroine mɔɔn. 
3)Wɔ̃ɲu be hata ɟine-i. 
4)Boutel mà nǐ. 
5)Nǐ mà oɟuka laga hɔɔlaru sa-i. 
6)Nǐgóró-i. 
7)Buro be hati bɛrɛ ɟine-i.
8)Nǐ seɲera-i. 
9)Bómó lé mà nî [gàmá/ nî gòrú bé tɔɔn/ónógòró bé tɔɔn/bàrású bé tɔɔn].
10)Nǐ mà oɟuka laga mɔɲu.
11)ɟUGƆGO. 
12)JƆWƆLI.</t>
        </is>
      </c>
      <c r="K51" s="156">
        <f>LEN(J51)</f>
        <v/>
      </c>
      <c r="L51" s="28" t="inlineStr">
        <is>
          <t xml:space="preserve">Mane noh ergu du haro kang gu han wu ?
[HANKAA : ZAABI AFFOO]
1)Winndo robina  ga 
2)Jaama won robina do    
3)Doyey hinney  
4)Loulouwey harey 
5)Har hiin foo yong  
6)Bangey
7)Ginjow dowey
8)Tondo bon harey
9)Bangey harey [sanda/ gootey/ harukeyey/barazey]
10)Harr ziibey /lalley yong fo
11)E SU BEY
12) E WINGEE </t>
        </is>
      </c>
      <c r="M51" s="156">
        <f>LEN(L51)</f>
        <v/>
      </c>
      <c r="N51" s="28" t="inlineStr">
        <is>
          <t xml:space="preserve">Indek diha əd-ditifalan aman wi sasam ɣur ehan ?
[EMASESTƏN : ALƏƔI IYANDAƔ].
1)Robinet wanak ən aman okaynen. 
2)Wi robinet wa atiwaharan. 
3)Anu atiwadgalan. 
4)Aman wi butalan. 
5)Iyat tabarat toɣadat. 
6)Ejerer. 
7)Anu winan atwadgal. 
8)Aman wi naɣarus. 
9)Aman wi nafala [dǎɣ asikin/ əšušal/tebagawen/barajtan]
10)Iyan aɣarus asuɣsadan
11)WARISENAƔ
12) UGAY </t>
        </is>
      </c>
      <c r="O51" s="156">
        <f>LEN(N51)</f>
        <v/>
      </c>
      <c r="P51" s="28" t="inlineStr">
        <is>
          <t xml:space="preserve">Toy ndiyam ɗam yaroɗon wuro ƴuurata?
[LANDATOODO : JAABU KOOTO]
1)Robine mo ndiyam ley leydi. 
2)Ndiyam robine jamaare. 
3)Ndiyam ɓunndu hawjaa ndu. 
4)Ndiyam  buten. 
5)Laabi ndiyam goɗɗi kolniiɗi. 
6)weendu. 
7)Ɓunɗu ndu hawjaaka 
8)Laabi goɗɗi. 
9)Ndiyam mbeɗɗitiiɗam [hono bubbinirɗi ndiyam/pete/baraasiiji]. 
10)Ndiyam laabi goɗɗi bonndi.
11)ANNDA
12) SALAADE </t>
        </is>
      </c>
      <c r="Q51" s="156">
        <f>LEN(P51)</f>
        <v/>
      </c>
      <c r="R51" s="158" t="inlineStr">
        <is>
          <t>Single Choice</t>
        </is>
      </c>
      <c r="S51" s="156" t="inlineStr">
        <is>
          <t>NA</t>
        </is>
      </c>
      <c r="T51" s="156" t="inlineStr">
        <is>
          <t>NA</t>
        </is>
      </c>
      <c r="U51" s="156" t="inlineStr">
        <is>
          <t>Form Type - Buttons</t>
        </is>
      </c>
      <c r="V51" s="40" t="inlineStr">
        <is>
          <t>NA</t>
        </is>
      </c>
      <c r="W51" s="290" t="inlineStr">
        <is>
          <t xml:space="preserve">
1-12 = hh_wealth_toilet</t>
        </is>
      </c>
      <c r="X51" s="324" t="n"/>
      <c r="Y51" s="306" t="inlineStr">
        <is>
          <t>For any response, go to [income_main OR other optional question]</t>
        </is>
      </c>
      <c r="Z51" s="160" t="n"/>
      <c r="AA51" s="66" t="inlineStr">
        <is>
          <t>resp_age = 18-100
hh_agricactivity = 1 | 2 | 3 | 4
quotareached = 2</t>
        </is>
      </c>
      <c r="AB51" s="720" t="inlineStr">
        <is>
          <t xml:space="preserve">Choose one of three of the wealth indicators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
Choisir un des trois indicateurs de richesse (supprimer ceux qui ne sont pas utilisés). 
Si aucun de ces indicateurs n'est adapté au contexte de votre pays, se reporter aux autres indicateurs de richesse proposés dans les questions facultatives ci-dessous. Ne pas oublier que des données de base seront nécessaires, et que la variable doit être définie correctement dans la "weight_input_table".
 </t>
        </is>
      </c>
      <c r="AC51" s="45" t="n">
        <v>15.26582908630371</v>
      </c>
      <c r="AD51" s="280">
        <f>1</f>
        <v/>
      </c>
      <c r="AE51" s="45">
        <f>AC51*AD51</f>
        <v/>
      </c>
    </row>
    <row r="52" ht="260" customHeight="1">
      <c r="A52" s="88">
        <f>A51+1</f>
        <v/>
      </c>
      <c r="B52" s="154" t="inlineStr">
        <is>
          <t>hh_wealth_toilet</t>
        </is>
      </c>
      <c r="C52" s="155" t="inlineStr">
        <is>
          <t>hh_wealth_toilet</t>
        </is>
      </c>
      <c r="D52" s="26" t="inlineStr">
        <is>
          <t>Where do household members typically go to use a toilet?
[OPERATOR: SINGLE CHOICE.]
1)Flush latrine [toilet with water]
2)Traditional pit latrine [no water]
3)Open pit [whole in the ground for excrement without water/ roof or wall]
4)Communal latrine [with or without water]
5)None – bush
6)DON'T KNOW
7)REFUSED</t>
        </is>
      </c>
      <c r="E52" s="156">
        <f>LEN(D52)</f>
        <v/>
      </c>
      <c r="F52" s="157" t="inlineStr">
        <is>
          <t>Où vous rendez-vous généralement, vous et les membres de votre ménage, pour aller aux toilettes ?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52" s="156">
        <f>LEN(F52)</f>
        <v/>
      </c>
      <c r="H52" s="28" t="inlineStr">
        <is>
          <t xml:space="preserve">Gwaso mɔgɔw be deli ka taa sokɔtaga kɛ min de? 
[NIENIGALI KÈLA: DIABI KELEN]
1)Jiwoyo ɲɛgɛn kɔnɔ [jii be ɲɛgɛn minw kɔnɔ]. 
2)Kabinɛ gwansan kɔnɔ [jii te kabinɛ minw kɔnɔ]. 
3)Inga dayɛlɛlen kɔnɔ [dingɛ min sigila sɔkɔtaa kama jii t’a la/gwata wala kogo t’a la]. 
4)Foroba ɲɛgɛn [jii be yen wala jii te yen]. 
5)Foyi – tu kɔnɔ 
6)NE MA DON
7) A BAN NA </t>
        </is>
      </c>
      <c r="I52" s="156">
        <f>LEN(H52)</f>
        <v/>
      </c>
      <c r="J52" s="28" t="inlineStr">
        <is>
          <t>E uro nam yow le laara wãŋãra bà?
[BIRƐ MA KŨ BAŋA : UɟURU KƆ TURU LE BE SAA-I]
1)Ɲɛgɛrɛ pompu sa-i maa [logoɟo nǐ sǎ].
2)Dɔgɔbaga ɲɛgɛrɛ-i maa [logoɟo nǐ sǎra].
3)Ɔ̃rɔ̃ peere-i maa [ɔ̃rɔ̃ wom be ɟã sa-i/ nǐ ma oɟuka sǎraa/ dɛmi laa/ gɔ̃-i kãrã lâ] 
4)Ana ma logoɟo mɔɔn-i [nǐ jɛ sà maa sǎra] 
5)Ko turu kãrã-i laa -eɟule jara bà
6)ɟUGƆGO. 
7)JƆWƆLI.</t>
        </is>
      </c>
      <c r="K52" s="156">
        <f>LEN(J52)</f>
        <v/>
      </c>
      <c r="L52" s="28" t="inlineStr">
        <is>
          <t xml:space="preserve">Bataam wofogga huwo borrey guu sadjii? 
[HANKAA : ZAABI AFFOO]
1)Sallangey kan gonddy hayy kan guu harro cenndi [salanga ndu harro]
2)Don bonrey wonuu salangeyy fumbey [kan sindu harri]
3)Tennkka kall miyyo go kuu ferri [guso kan I finsi wayong se/kan sindu harri/tarrey karra ga]
4)Borreyy kuul wonn salanga [kan gondu wal sindu harri]
5)Mmba ifo – ginjoh  ga
6)E SU BEY
7)E WINGEE </t>
        </is>
      </c>
      <c r="M52" s="156">
        <f>LEN(L52)</f>
        <v/>
      </c>
      <c r="N52" s="28" t="inlineStr">
        <is>
          <t xml:space="preserve">Indek edag was adinat ən alɣayal tagan daɣas tadahot ?
[EMASESTƏN : ALƏƔI IYANDAƔ].
1)Salangatan wi ilanen aman [bente dər aman].
2)Salangaran win anu ən banan [wadilen aman].
3)Anu ameran [anu atiwaɣashan daɣ akal ye arog əd winan ila /afala meɣ aɣala].
4)Salangaran wi adinat [ilan wala wadilen aman].
5)Wala iyan - finta.
6)WARISENAƔ
7) UGAY </t>
        </is>
      </c>
      <c r="O52" s="156">
        <f>LEN(N52)</f>
        <v/>
      </c>
      <c r="P52" s="28" t="inlineStr">
        <is>
          <t xml:space="preserve">E nokkuure ndeye yimɓe ɓaade mooɗon piilotoo? 
[LANDATOODO : JAABU KOOTO]
1) Piilorɗe gooduɗe ɗo nyoƴƴetee deh ndiyam n'a dillina tuundi [piilorɗe gonduɗe ndiyam]. 
2) piilorɗe abadaaje gonduɗe ngayka [ɗe ngalaa ndiyam]. 
3) Ngayka ɓola ko huuraaka [Ngayka mbasaaka faa waɗee salanka ka walaa ndiyam / kippudi maa kokuwol]. 
4) Piilorɗe gaɗanaaɗe yimɓe wuro fuh [gooduɗe ndiyam maa ɗe ngalaa]. 
5) Walaa - ley ladde.
6)ANNDA
7) SALAADE </t>
        </is>
      </c>
      <c r="Q52" s="156">
        <f>LEN(P52)</f>
        <v/>
      </c>
      <c r="R52" s="158" t="inlineStr">
        <is>
          <t>Single Choice</t>
        </is>
      </c>
      <c r="S52" s="156" t="inlineStr">
        <is>
          <t>NA</t>
        </is>
      </c>
      <c r="T52" s="156" t="inlineStr">
        <is>
          <t>NA</t>
        </is>
      </c>
      <c r="U52" s="156" t="inlineStr">
        <is>
          <t>Form Type - Buttons</t>
        </is>
      </c>
      <c r="V52" s="40" t="inlineStr">
        <is>
          <t>NA</t>
        </is>
      </c>
      <c r="W52" s="290" t="inlineStr">
        <is>
          <t xml:space="preserve">
1-7 = hh_wealth_light</t>
        </is>
      </c>
      <c r="X52" s="324" t="n"/>
      <c r="Y52" s="306" t="inlineStr">
        <is>
          <t>For any response, go to [income_main OR other optional question]</t>
        </is>
      </c>
      <c r="Z52" s="160" t="n"/>
      <c r="AA52" s="66" t="inlineStr">
        <is>
          <t>resp_age = 18-100
hh_agricactivity = 1 | 2 | 3 | 4
quotareached = 2</t>
        </is>
      </c>
      <c r="AB52" s="748" t="n"/>
      <c r="AC52" s="45" t="n">
        <v>15.12371826171875</v>
      </c>
      <c r="AD52" s="280">
        <f>1</f>
        <v/>
      </c>
      <c r="AE52" s="45">
        <f>AC52*AD52</f>
        <v/>
      </c>
    </row>
    <row r="53" ht="280.5" customHeight="1">
      <c r="A53" s="88">
        <f>A52+1</f>
        <v/>
      </c>
      <c r="B53" s="154" t="inlineStr">
        <is>
          <t>hh_wealth_light</t>
        </is>
      </c>
      <c r="C53" s="155" t="inlineStr">
        <is>
          <t>hh_wealth_light</t>
        </is>
      </c>
      <c r="D53" s="161" t="inlineStr">
        <is>
          <t>What is the main source of light in your dwelling?
[OPERATOR: SINGLE RESPONSE.]
1)Electricity [from generator or electrical grid]
2)Candle
3)Petrol lamp
4)Lamp with batteries
5)Solar panel
6)Other [no electric supply to the house]
7)DON'T KNOW
8)REFUSED</t>
        </is>
      </c>
      <c r="E53" s="156">
        <f>LEN(D53)</f>
        <v/>
      </c>
      <c r="F53" s="157" t="inlineStr">
        <is>
          <t>Quelle est la principale source de lumière de votre logement ?
[OPÉRATEUR/OPÉRATRICE: RÉPONSE UNIQUE.]
1)Électricité [générateur ou réseau électrique]
2)Bougie
3)Lampe à pétrole
4)Lampe à piles
5)Panneaux solaires
6)Autre [pas d'alimentation électrique dans la maison]
7)NE SAIT PAS
8)REFUSÉ</t>
        </is>
      </c>
      <c r="G53" s="156">
        <f>LEN(F53)</f>
        <v/>
      </c>
      <c r="H53" s="28" t="inlineStr">
        <is>
          <t xml:space="preserve">Aw ka boon kɔnɔ yeelen be bɔ min?
[NIENIGALI KÈLA: DIABI KELEN]
1)Kuran [masini ta wala sosiyete ta]
2)Buzi
3)Sanse lanpa 
4)Pili lanpa
5)Plaki solɛri
6)Dɔwɛrɛ [yeelen te an ka soo kɔnɔ]
7)NE MA DON
8)A BAN NA </t>
        </is>
      </c>
      <c r="I53" s="156">
        <f>LEN(H53)</f>
        <v/>
      </c>
      <c r="J53" s="28" t="inlineStr">
        <is>
          <t>Daaga, iɲele ɟire ɛrɛ be?
[BIRƐ MA KŨ BAŋA : UɟURU KƆ TURU LE BE SAA-I]
1)Kúrã́ŋ [kurãŋ ná lé gó-rà màa/ núwṍ  mà oju kaa mɔ́ɔn  lé jɔ̀nɔ̀].
2)Buʒi-i. 
3)Petɔrɔl ma lampa. 
4)Lampa lajtuʔi be kunara-i. 
5)Pano nini lé bè tãɲã
6)Lɟu laga-i [ko uro bɛrɛ nuwotaŋa kuno].
7)ɟUGƆGO. 
8)JƆWƆLI.</t>
        </is>
      </c>
      <c r="K53" s="156">
        <f>LEN(J53)</f>
        <v/>
      </c>
      <c r="L53" s="28" t="inlineStr">
        <is>
          <t xml:space="preserve">Fo nom er huwo diiyindi ciino ga ?
[HANKAA : ZAABI AFFOO]
1)Puranŋo [guruppo wala karfey]
2)Bugio niina .   
3)Esanso fiitila .   
4)Lamppo piley .
5)Palaku sooleerey
6)Bundey niina wal ifo yong
7)E SU BEY
8) E WINGEE </t>
        </is>
      </c>
      <c r="M53" s="156">
        <f>LEN(L53)</f>
        <v/>
      </c>
      <c r="N53" s="28" t="inlineStr">
        <is>
          <t xml:space="preserve">Indek awa eqalan aytbatan ən tabarat ən asimululuw ən dǎɣ ehan nawan?
[EMASESTƏN : ALƏƔI IYANDAƔ].
1)Koran [əd dihan əs grup meɣ əɣunan ən koran]
2)Bugi.
3)Fatila tan esanse 
4)Fatila tan tihun. 
5)Tesayt tan tafuk
6)Iyad [wartitila tehak tan əouran dǎɣ ehan].
7)WARISENAƔ
8) UGAY </t>
        </is>
      </c>
      <c r="O53" s="156">
        <f>LEN(N53)</f>
        <v/>
      </c>
      <c r="P53" s="28" t="inlineStr">
        <is>
          <t xml:space="preserve">Ɗume njaayninirton ɓaade mooɗon banngal yiite ?
[LANDATOODO : JAABU KOOTO]
1) Yiite [ƴuuwde e masin yiite maa yiite kuura]
2)Buuji. 
3)Fitilla asansi
4)Lampa ngatteteeka kaaƴe yiite.
5)Palakki soleere
6)Guɗɗum [yiite kuura walaa nder ɓaade]
7)ANNDA
8) SALAADE </t>
        </is>
      </c>
      <c r="Q53" s="156">
        <f>LEN(P53)</f>
        <v/>
      </c>
      <c r="R53" s="158" t="inlineStr">
        <is>
          <t>Single Choice</t>
        </is>
      </c>
      <c r="S53" s="156" t="inlineStr">
        <is>
          <t>NA</t>
        </is>
      </c>
      <c r="T53" s="156" t="inlineStr">
        <is>
          <t>NA</t>
        </is>
      </c>
      <c r="U53" s="156" t="inlineStr">
        <is>
          <t>Form Type - Buttons</t>
        </is>
      </c>
      <c r="V53" s="40" t="inlineStr">
        <is>
          <t>NA</t>
        </is>
      </c>
      <c r="W53" s="291" t="inlineStr">
        <is>
          <t xml:space="preserve">
1-8 = hh_residencetype</t>
        </is>
      </c>
      <c r="X53" s="324" t="n"/>
      <c r="Y53" s="306" t="inlineStr">
        <is>
          <t>For any response, go to [income_main OR other optional question]</t>
        </is>
      </c>
      <c r="Z53" s="160" t="n"/>
      <c r="AA53" s="66" t="inlineStr">
        <is>
          <t>resp_age = 18-100
hh_agricactivity = 1 | 2 | 3 | 4
quotareached = 2</t>
        </is>
      </c>
      <c r="AB53" s="747" t="n"/>
      <c r="AC53" s="45" t="n">
        <v>13.76013851165771</v>
      </c>
      <c r="AD53" s="280">
        <f>1</f>
        <v/>
      </c>
      <c r="AE53" s="45">
        <f>AC53*AD53</f>
        <v/>
      </c>
    </row>
    <row r="54" ht="409.6" customHeight="1">
      <c r="A54" s="88">
        <f>A53+1</f>
        <v/>
      </c>
      <c r="B54" s="154" t="inlineStr">
        <is>
          <t>hh_residencetype</t>
        </is>
      </c>
      <c r="C54" s="275" t="inlineStr">
        <is>
          <t>hh_residencetype</t>
        </is>
      </c>
      <c r="D54" s="276"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54" s="274">
        <f>LEN(D54)</f>
        <v/>
      </c>
      <c r="F54" s="276" t="inlineStr">
        <is>
          <t>Parmi les propositions suivantes, laquelle décrit le mieux votre résidence ?
[OPÉRATEUR/OPÉRATRICE: LIRE LES OPTIONS, RÉPONSE UNIQUE].
[CONSEIL: SI LA PERSONNE INTERROGÉE N'EST ÉLOIGNÉE DU FOYER QUE POUR UN TRAVAIL SAISONNIER DE COURTE DURÉE (&lt;6 MOIS) OU POUR LA TRANSHUMANCE,  FAIRE RÉFÉRENCE AU FOYER DE RETOUR OÙ ELLE VIT HABITUELLEMENT].
1)Résident permanent - vous vivez dans votre village/ville depuis plus de deux ans et vous le/la considérez comme votre résidence habituelle
2)Migrant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
3)Personne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
4)Personne déplacée à l'intérieur de son pays - vous avez été forcé de fuir votre village ou votre ville en raison d'un conflit ou d'une catastrophe naturelle et vous êtes une personne déplacée à l'intérieur de son propre pays dans votre lieu de résidence actuel
5)Réfugié - vous avez été forcé de fuir votre pays en raison d'un conflit ou d'une catastrophe naturelle et vous êtes un réfugié dans votre lieu de résidence actuel
6)NE SAIT PAS
7)REFUSÉ</t>
        </is>
      </c>
      <c r="G54" s="274">
        <f>LEN(F54)</f>
        <v/>
      </c>
      <c r="H54" s="370" t="inlineStr">
        <is>
          <t xml:space="preserve">Sibon minw filɛ jukɔrɔ, jumɛn de bɔlen bɛ b’aw ka siyɔrɔ ma kosɔbɛ? 
[SƆRƆBATIGI: KA ƝƐNATƆMNLIW KALAN. JAABI KELEN]. 
[TAAMASHIƝƐ : NI SƐGƐSƐGƐLEN TE GWASO KƆNƆ WAATI SURUN KƆNƆ WAATI KUNKURUNI BAARA KAMA (KALO 6)ƝƆGƆN WALA TUNGA TAGA KOSƆN, AW K4AW ƝASIN A KA GWASO MA N’A SƐGI LA KA NA A BE DELI KA SƆRƆ YƆRƆ MIN NA]. 
1)Min b’a sigiyɔrɔ la tuma bɛɛ - aw sigilen be aw ka dugudeni/duguba kɔnɔ a ca ni saan fila ye a n’i b’o de jati i ka sigi dugu ye. 
2)Min yɛlɛma na kura ye nga a ma yɛlɛma nin fanga ye – aw sigilen b’aw ka yɔrɔ kura la a ma saan fila bɔ fɔlɔ a n’a diyara aw ye ka sigi yen aw sago ma/ gwaso kosɔn wala fɛɛn wɛrɛ kosɔn min ma kɛ kɛlɛ ko oye wala jangata gwansan dɔ kosɔn. 
3)Siginfɛ - aw segila ka na nin yɔrɔ la kɔsana saan fila tɛmɛlenw na aw karabalen kɔ ka taa yɔrɔ wɛrɛ la walisa ka boli kɛlɛ wala jangata gwansan dɔ ɲɛ [ni kɔsegili kɛra ka tɛmɛ saan fila kan/ sɛgɛsɛgɛlen be jati mɔgɔ min b’a sigiyɔrɔ la tuma bɛɛ dɔ ye]. 
4)Siginfɛ min b’a yɛrɛ ka jamana kɔnɔ [IDP] – aw wajibiyara ka boli k’aw ka dugu deni wala duguba bila kɛlɛ wala jangata gwansan dɔ kosɔn sisan aw kɛra siginfɛ aw yɛrɛ ka jamana kɔnɔ aw be sigiyɔrɔ min na sisan la. 
5)Kundogobaa – aw bɔra aw ka jamana la jagoyala kɛlɛ wala jangata dɔ sababu la aw kɛrɛ kundogobaa ye aw sigiyɔrɔ kura la sisan. 
6)NE MA DON
7) A BAN NA </t>
        </is>
      </c>
      <c r="I54" s="274">
        <f>LEN(H54)</f>
        <v/>
      </c>
      <c r="J54" s="370" t="inlineStr">
        <is>
          <t xml:space="preserve">Ʃifɛ nuŋo be bɛ̀rɛ̌, yɔkɔj  e uro kje tímé sà?
 [BIRƐ MA KŨ BANA : KO OɟUKA BE ɟÃNGA TEERE I. KASAJ TUNO MA UɟURU-I].
 [SƐRƐ : KO INEN KASAJ ERU ORAN URO DOGURU FUU JƐ-WƆ, WARU-WARA MAA ASƐGƐ ɟIRƐ-I SAJ NǏ LUGO GƆ̃-I LE (Ɛ KUROJ)PILWE URO JƐRARA LE KOKU MA URO LEJ WO LUGO BA].
1)Ko uro ɟoo wɔnin – e ke ana/ana bɛrɛsaj ãrãkuɟu lɛjm mannâ kun be lej gè e anadĩŋ-i
2)Kaana eŋi-i ana jasan ngaa paŋam mana-i laa – nim di mi e wɔ le e jɛrɛ̀/ ãrãkuɟu lɛj dɔ̀ɔgó iɟina e denem mana e kũm birɛ ɟɛ maa e uro oɟuka ɟɛ maa/ maa oɟuka ɟɛi maa ɛɛrum kasara le mɔrɔla ma kũ di laga le ada jaajɛ be laj.
3)Inen wo iɟubaj le be â sunuŋosan –ko di le e pilwé jɛrɛ ãrãkuɟu lɛj le irela lej/ tilajm mana ada maj di laga le e oɟuka ɟɛi maa ɛɛrum kasaram kâ ɛrɛm ɟɛ jaajɛ be lej. [wo pilwé ãrãkuɟu lɛj ire lej ko baŋa anam bɔ nu-u].
4)Inen ɛnɛ ma iɟubaj tumno bɛrɛ di turu le ada maj di laga le jaasan [IDP] – tilɛjm mana e ana ɟɔwɔ daga be/ ɟɛi ɟɛmaj maa ɛɛrum kasara ma ɟɛ. Kosogo nim di mi e wɔ le gè Inen ɛnɛ kũ ma iɟubaj bɛrɛ wɔtɔgɔ maj ada maj ko iɟubaj tumno bɛrɛ di laga le jaasani-i be
5)Jerin - tilɛjm mana e iɟubaj ɟɔwɔ daga be/ ɟɛi ɟɛmaj maa ɛɛrum kasara ma ɟɛ. Kosogo nim di mi e wɔ kũle
6)ɟUGƆGO. 
7)JƆWƆLI.
</t>
        </is>
      </c>
      <c r="K54" s="274">
        <f>LEN(J54)</f>
        <v/>
      </c>
      <c r="L54" s="370" t="inlineStr">
        <is>
          <t xml:space="preserve">Huwey ga wo foo nom himm er huwo?
[HANKAA : SA CEWU. BON FEREY FOLON].
[SILMANKA : AL BOORA KAN I GO KU HAN KOY GOY DIREY DO KAN SU GEY (AS TOH HANDU 6)WAL CEE DIREY ERM YEKU DIYAA I WIINDO DO ]
1)Er windoo ga- er biisu jiiri iinka goorey yong  er koyra wal er koyrr beera ga
2)Er diir ku koy ku goroo nongor fo er biini bayoo ga jiiri hiinkey la- er gu hiin ku koy nan kan er bak u er mudaarey ferii kan maatu wangu wal ballawu yong se
3)I ner tunindi ndu gaabi labo foo ga ku kand er ong labo fo do –I ner zurindi ndu gaabi wago wal ballaw se agu biisi jiiri hinka
4)Ndira nkoy la ku koy ku gooro nlaabo koy fo ga- i nun direy iindi ndu gaabi wago wal ballawo se ku kondi ni nlaabo koyr fo ga kang ngondu gorey
5)Yoow kang tugu-wango wal ballawo nun diirindi ndu gaabi nlaabo ga ku kondu ni laabo fo ga kallu ngondu goorey
6)E SU BEY
7) E WINGEE </t>
        </is>
      </c>
      <c r="M54" s="274">
        <f>LEN(L54)</f>
        <v/>
      </c>
      <c r="N54" s="370" t="inlineStr">
        <is>
          <t xml:space="preserve">Daɣ haditan ən ihinan wi ilkamnen, indek wa asisknan hulen ehan wanak ?
[EMASESTƏN : AƔIRE TABARATEN. ALIƔI IYANDAƔ].
 [ASIKIN : AFAL WA ISIDMURAN  WAREQEL AWINAN AJIHA DAƔ AMAZAƔ YE AŠIƔIL NALWAQ ƏNDIRAN (&lt;6 URAN)MEƔ FAL IHINAN, ANIHAGA ATIGID NEHAL YE ALƔAYAL INES YE UƔIL ƔUR DIHA DILA AGUDAK].
1)Amudak ən harkuk - ad-daɣ tizaɣam ɣillage nawan/aɣrim daɣ ogaran əsin elan əd awendaɣ atigam sund taɣaymit nawan tan hadani.
2)Amasakul aynayan winan imušwar šašahat- adaɣ tizaɣam edag wadaɣ namaradaɣ awinan iwed əsin elan əd ad- ditahonam daɣ erhet fal daɣ salan atiwasanen namazaɣ meɣ iyad winan eqel ayertayan ən akinas meɣ tarna nazaman.
3)Awadəm əd datiwašagan – taqalam adeqalan daɣ edag ən timuzuq tendaɣ daɣ alwaq wa əsin elan daraƭ awa nuɣil nasihašalan emešwar ibret nedag iyan fal ye azal ən akinas meɣ tarna nazaman [afal uɣil eqal aygan daɣ ogaran əsin elan wa ididmuran eqal atiwasanahagan ən sund amazaɣ ən harkuk].
4)Awadəm ahonan daɣ amas nakal [IDƊ] – ataqalam atiwahašalam ye azal ən ɣillage meɣ aɣrim fal salan ən akinas meɣ ən tarna nazaman əd taqalam amara awadim ahonan daɣ amas ən akal daɣ edag ən təmuzuq ta namaradaɣ.
5)Amasakul – taqalam aygraw azal daɣ akal nawan daɣ salan ən akinas meɣ tarna nazaman əd taqalam amara amasakul daɣ edag nawan ən timuzuq namaradaɣ.
6)WARISENAƔ
7) UGAY </t>
        </is>
      </c>
      <c r="O54" s="274">
        <f>LEN(N54)</f>
        <v/>
      </c>
      <c r="P54" s="28" t="inlineStr">
        <is>
          <t xml:space="preserve">Ley jonndeeji limtaaɗi fuh ndele ɓuri hollinde galle mon?
[GOLLOOWO : JANNGON MIILO FUH. SUƁOƊOL GOOTEL.]
 [MAANAA : SO JAABOTOOƊO ON WO DILLU TEFOY DE MAA WO EGGU FUH KEƊƊOƊON GAARTOL (LEWRU 6)MAKKO DE NJAHON TO O JOOƊII JOONI ƊON.].
1)Jonnde tabitinnde - Na ɓuri ɗuuɓi ɗiɗi ko jooɗoriɗon nde hiɓeere/Saare faa nde laati jonnde mon tilayiire.
2)On egguɗo kesso mo doole dillinay wuro mum- on ngonii nokku mon joonii jo o ko hewtay duuɓi ɗiɗi. On ngadduɓe ko'e mon saabe golle/ sabaabuuji gure goɗɗi ɗi ngaldaa e wolde/ maa kasaara nduuniya.
3)Himɓe wirfitaaɓe gure muɓɓen. Ley duuɓi ɗiɗi sakitiiɗi ɗi ngaruɗonɗo caggal on ndiiwiraama nokku goɗɗo faa daɗon warhoore/ kasaara nduuniya.
4)On himɓe sottinɓe gure muɓɓen saabe wolde maa saabe kasaara. Hannden wo on himɓe sottinɓe ɗon ngonɗon jooni ɗo. 
5)On weerɓe ndogguɓe leydi mon saabe wolde maa kasaaraji bonɗi. Joonin o wo on himɓe sottinɓe ley leydi njananndi.
6)ANNDA
7) SALAADE 
</t>
        </is>
      </c>
      <c r="Q54" s="274">
        <f>LEN(P54)</f>
        <v/>
      </c>
      <c r="R54" s="275" t="inlineStr">
        <is>
          <t>Single Choice</t>
        </is>
      </c>
      <c r="S54" s="274" t="inlineStr">
        <is>
          <t>NA</t>
        </is>
      </c>
      <c r="T54" s="274" t="inlineStr">
        <is>
          <t>NA</t>
        </is>
      </c>
      <c r="U54" s="274" t="inlineStr">
        <is>
          <t>Form Type - Buttons</t>
        </is>
      </c>
      <c r="V54" s="40" t="inlineStr">
        <is>
          <t>NA</t>
        </is>
      </c>
      <c r="W54" s="122" t="inlineStr">
        <is>
          <t>1-7 = hh_size</t>
        </is>
      </c>
      <c r="X54" s="325" t="n"/>
      <c r="Y54" s="307" t="inlineStr">
        <is>
          <t xml:space="preserve"> </t>
        </is>
      </c>
      <c r="Z54" s="162" t="n"/>
      <c r="AA54" s="66" t="inlineStr">
        <is>
          <t>resp_age = 18-100
hh_agricactivity = 1 | 2 | 3 | 4
quotareached = 2</t>
        </is>
      </c>
      <c r="AB54" s="55" t="n"/>
      <c r="AC54" s="45" t="n">
        <v>30.64618873596191</v>
      </c>
      <c r="AD54" s="280">
        <f>1</f>
        <v/>
      </c>
      <c r="AE54" s="45">
        <f>AC54*AD54</f>
        <v/>
      </c>
    </row>
    <row r="55" ht="181.5" customFormat="1" customHeight="1" s="261">
      <c r="A55" s="447">
        <f>A54+1</f>
        <v/>
      </c>
      <c r="B55" s="448" t="inlineStr">
        <is>
          <t>hh_size</t>
        </is>
      </c>
      <c r="C55" s="449" t="inlineStr">
        <is>
          <t>hh_size</t>
        </is>
      </c>
      <c r="D55" s="450"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5" s="451">
        <f>LEN(D55)</f>
        <v/>
      </c>
      <c r="F55" s="450"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55" s="452">
        <f>LEN(F55)</f>
        <v/>
      </c>
      <c r="H55" s="453" t="inlineStr">
        <is>
          <t>Mɔgɔ joli be sɔrɔ aw ka gwa kɔnɔ? 
[SƆRƆBATIGI: GWASODENW DA SƐBƐ. KA 88 SƐBƐ N’A MA DƆN ANI 99 N’A MA SƆN] 
[MIIRIYA: GWASO KƆNƆ KO MƆGƆ MINW B'A KƆNƆ NIN SIGILEN BƐ DU KELEN KƆNƆ, U BƐ U NAFALO NI ƝƆGHƆN MA ANI U BƐ DUMUNI KƐ DAGA KELEN KƆNNƆ]</t>
        </is>
      </c>
      <c r="I55" s="451">
        <f>LEN(H55)</f>
        <v/>
      </c>
      <c r="J55" s="453" t="inlineStr">
        <is>
          <t>E uro nam ma kũ lugo ko aaŋay?
[BIRƐ MA KŨ BAŋA : KO URO MA INEM KU LUGO DÃY TƆ̃ŋƆ̃ KUNO I. 88 TƆ̃ŋƆ̃ I ɟUGƆ GO BA LEY, 99 TƆ̃ŋƆ̃ I TEGU JƆWƆLI BA LEY].
[SƐRƐ : URO TƆ̀ƆN LE MƆRƆM GE, BE KƐW URO-DUU TUMNO LE DÃ BAA, BE KAA PANA IMƆRƆ, IJINA, DÃNÃ-JƐM TUMNO BƐ̀RƐ́ ƝE-RA BA].</t>
        </is>
      </c>
      <c r="K55" s="451">
        <f>LEN(J55)</f>
        <v/>
      </c>
      <c r="L55" s="453" t="inlineStr">
        <is>
          <t>Er boorr margu nooh ku barr er wiindo/ huwoo ga?
[HANKAA: WIINDO BOREY KUL SAMBU.HANTUM 88 E SU BEY SE,99 BOORKAN WINGU KU TU ]
[HANDU HĨZEY WEY NDU CERE GAME, MAN NO ER HUWO ME GAARO GO KU HUN?]</t>
        </is>
      </c>
      <c r="M55" s="452">
        <f>LEN(L55)</f>
        <v/>
      </c>
      <c r="N55" s="453" t="inlineStr">
        <is>
          <t>Maniket adinat ahanen alɣayal ?
[EMASESTƏN : SAQAYMU HADI ƏN ALJAMAƔAT ƏN ALƔAYAL. AGIŠ 88 FAL AD WITISENAD ƏD 99 DAL TUNGIT].
[ASƏKIN : FAL IGI NUGIŠ ƏN AMAZAƔ IYANdǎɣ, ALƔAYALAN ANIHAGA ADAZAƔAN DAW TELE IYAdǎɣ, UZANAN TAFOTEN TƏYAdǎɣ ƏN MUNSIWAN dǎɣ BARMA IYANdǎɣ].</t>
        </is>
      </c>
      <c r="O55" s="452">
        <f>LEN(N55)</f>
        <v/>
      </c>
      <c r="P55" s="157" t="inlineStr">
        <is>
          <t>Yimɓe foto ngoni nder ɓaade mooɗon ?
[GOLLOOWO : WINNDU AYKA NO YIMƁE ƁAADE NDEN POTI. WINNDU 88 SO TAWII JOOMUM ANNDAA, 99 SO SALAADE]
[MAANDAA : FAA JOOMUM HAWTA E ƁAADE NDEN, SANAA TAWEE YIMƁE TAWEE  SUUDU WOOTURU KAWTI, TAWEEE NA KAWTI JAWDI ƁAADE E FAYANNDE NEEMA WOOTERE].</t>
        </is>
      </c>
      <c r="Q55" s="452">
        <f>LEN(P55)</f>
        <v/>
      </c>
      <c r="R55" s="449" t="inlineStr">
        <is>
          <t>Range</t>
        </is>
      </c>
      <c r="S55" s="451" t="inlineStr">
        <is>
          <t>NA</t>
        </is>
      </c>
      <c r="T55" s="451" t="inlineStr">
        <is>
          <t>NA</t>
        </is>
      </c>
      <c r="U55" s="451" t="inlineStr">
        <is>
          <t>Form Type - TextBox</t>
        </is>
      </c>
      <c r="V55" s="197" t="inlineStr">
        <is>
          <t>NA</t>
        </is>
      </c>
      <c r="W55" s="496" t="inlineStr">
        <is>
          <t>1-50 = hh_asset_prod
88-88 =hh_asset_prod
99-99 = hh_asset_prod</t>
        </is>
      </c>
      <c r="X55" s="459" t="n"/>
      <c r="Y55" s="454" t="inlineStr">
        <is>
          <t xml:space="preserve"> </t>
        </is>
      </c>
      <c r="Z55" s="455" t="n"/>
      <c r="AA55" s="456" t="inlineStr">
        <is>
          <t>resp_age = 18-100
hh_agricactivity = 1 | 2 | 3 | 4
quotareached = 2</t>
        </is>
      </c>
      <c r="AB55" s="207" t="n"/>
      <c r="AC55" s="457" t="n">
        <v>15.21184825897217</v>
      </c>
      <c r="AD55" s="458">
        <f>1</f>
        <v/>
      </c>
      <c r="AE55" s="457">
        <f>AC55*AD55</f>
        <v/>
      </c>
    </row>
    <row r="56" ht="272" customFormat="1" customHeight="1" s="528">
      <c r="A56" s="509">
        <f>A55+1</f>
        <v/>
      </c>
      <c r="B56" s="510" t="inlineStr">
        <is>
          <t>hh_asset_prod</t>
        </is>
      </c>
      <c r="C56" s="511" t="inlineStr">
        <is>
          <t>hh_asset_prod_
1) hh_asset_prod_process
2) hh_asset_prod_farmmach
3) hh_asset_prod_sewing
4) hh_asset_prod_taxi
5) hh_asset_prod_truck
6) hh_asset_prod_other
7) hh_asset_prod_none
8) hh_asset_prod_dk
9) hh_asset_prod_ref</t>
        </is>
      </c>
      <c r="D56" s="512"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6" s="513">
        <f>LEN(D56)</f>
        <v/>
      </c>
      <c r="F56" s="514" t="inlineStr">
        <is>
          <t xml:space="preserve">Votre ménage possède-t-il l'un des actifs productifs suivants?
[OPÉRATEUR / OPÉRATRICE : PLUSIEURS RÉPONSES POSSIBLES. LIRE LES OPTIONS DE RÉPONSE À HAUTE VOIX.]
1)Actifs de transformation [par ex. broyeur/ moulin/ presse à huile/aquarium]
2)Machine agricole ou de pêche [par ex. tracteur/charrue/ faucille/ bateaux/ moteurs]
3)Machine à coudre ou métier à tisser
4)Taxi
5)Camion
6)Autres machines ou actifs productifs
7)Aucune machine ou actif productif
8)NE SAIT PAS
9)REFUSÉ
</t>
        </is>
      </c>
      <c r="G56" s="513">
        <f>LEN(F56)</f>
        <v/>
      </c>
      <c r="H56" s="503" t="n"/>
      <c r="I56" s="503" t="n"/>
      <c r="J56" s="503" t="n"/>
      <c r="K56" s="503" t="n"/>
      <c r="L56" s="503" t="n"/>
      <c r="M56" s="503" t="n"/>
      <c r="N56" s="503" t="n"/>
      <c r="O56" s="503" t="n"/>
      <c r="P56" s="503" t="n"/>
      <c r="Q56" s="503" t="n"/>
      <c r="R56" s="515" t="inlineStr">
        <is>
          <t>Select All That Apply</t>
        </is>
      </c>
      <c r="S56" s="513" t="inlineStr">
        <is>
          <t>NA</t>
        </is>
      </c>
      <c r="T56" s="513" t="inlineStr">
        <is>
          <t>NA</t>
        </is>
      </c>
      <c r="U56" s="513" t="inlineStr">
        <is>
          <t>Form Type - Checklist
Randomize
6,7,8,9 = IsAnchored
7,8,9 = IsNone</t>
        </is>
      </c>
      <c r="V56" s="516" t="inlineStr">
        <is>
          <t>1)hh_asset_prod_process
2)hh_asset_prod_farmmach
3)hh_asset_prod_sewing
4)hh_asset_prod_taxi
5)hh_asset_prod_truck
6)hh_asset_prod_other
7)hh_asset_prod_none
8)hh_asset_prod_dk
9)hh_asset_prod_ref</t>
        </is>
      </c>
      <c r="W56" s="523" t="inlineStr">
        <is>
          <t>1-9 = hh_asset_transp</t>
        </is>
      </c>
      <c r="X56" s="524" t="n"/>
      <c r="Y56" s="159" t="inlineStr">
        <is>
          <t>For any response, go to [next question]</t>
        </is>
      </c>
      <c r="Z56" s="525" t="inlineStr">
        <is>
          <t xml:space="preserve">This wealth indicator may be useful to Identify poor households in middle income countries. It could be interesting for F2F surveys, to be used as baseline reference for follow-up surveys. </t>
        </is>
      </c>
      <c r="AA56" s="526">
        <f>1</f>
        <v/>
      </c>
      <c r="AB56" s="527" t="n"/>
      <c r="AD56" s="529" t="inlineStr">
        <is>
          <t>no</t>
        </is>
      </c>
      <c r="AE56" s="243" t="n"/>
      <c r="AH56" s="45" t="n">
        <v>16.95780372619629</v>
      </c>
      <c r="AI56" s="45">
        <f>IF(AH56="","",AH56*AA56)</f>
        <v/>
      </c>
    </row>
    <row r="57" ht="272" customFormat="1" customHeight="1" s="528">
      <c r="A57" s="517">
        <f>A56+1</f>
        <v/>
      </c>
      <c r="B57" s="497" t="inlineStr">
        <is>
          <t>hh_asset_transp</t>
        </is>
      </c>
      <c r="C57" s="532"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7" s="518"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7" s="519">
        <f>LEN(D57)</f>
        <v/>
      </c>
      <c r="F57" s="520"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57" s="519">
        <f>LEN(F57)</f>
        <v/>
      </c>
      <c r="H57" s="521" t="n"/>
      <c r="I57" s="521" t="n"/>
      <c r="J57" s="521" t="n"/>
      <c r="K57" s="521" t="n"/>
      <c r="L57" s="521" t="n"/>
      <c r="M57" s="521" t="n"/>
      <c r="N57" s="521" t="n"/>
      <c r="O57" s="521" t="n"/>
      <c r="P57" s="521" t="n"/>
      <c r="Q57" s="521" t="n"/>
      <c r="R57" s="522" t="inlineStr">
        <is>
          <t>Select All That Apply</t>
        </is>
      </c>
      <c r="S57" s="519" t="inlineStr">
        <is>
          <t>NA</t>
        </is>
      </c>
      <c r="T57" s="519" t="inlineStr">
        <is>
          <t>NA</t>
        </is>
      </c>
      <c r="U57" s="519" t="inlineStr">
        <is>
          <t>Form Type - Checklist
Randomize
8,9,10,11  = IsAnchored
9,10,11 = IsNone</t>
        </is>
      </c>
      <c r="V57" s="523"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W57" s="523" t="inlineStr">
        <is>
          <t>1-11 = hh_maritalstat</t>
        </is>
      </c>
      <c r="X57" s="524" t="n"/>
      <c r="Y57" s="159" t="inlineStr">
        <is>
          <t>For any response, go to [next question]</t>
        </is>
      </c>
      <c r="Z57" s="525" t="inlineStr">
        <is>
          <t xml:space="preserve">This wealth indicator may be useful to Identify poor households in middle income countries. It could be interesting for F2F surveys, to be used as baseline reference for follow-up surveys. </t>
        </is>
      </c>
      <c r="AA57" s="526">
        <f>1</f>
        <v/>
      </c>
      <c r="AB57" s="527" t="n"/>
      <c r="AD57" s="529" t="inlineStr">
        <is>
          <t>no</t>
        </is>
      </c>
      <c r="AE57" s="243" t="n"/>
      <c r="AH57" s="45" t="n">
        <v>11.02202892303467</v>
      </c>
      <c r="AI57" s="45">
        <f>IF(AH57="","",AH57*AA57)</f>
        <v/>
      </c>
    </row>
    <row r="58" ht="252.5" customFormat="1" customHeight="1" s="528">
      <c r="A58" s="533">
        <f>A57+1</f>
        <v/>
      </c>
      <c r="B58" s="534" t="inlineStr">
        <is>
          <t>hh_maritalstat</t>
        </is>
      </c>
      <c r="C58" s="535" t="inlineStr">
        <is>
          <t>hh_maritalstat</t>
        </is>
      </c>
      <c r="D58" s="499" t="inlineStr">
        <is>
          <t xml:space="preserve">What is the head of household’s current marital status? 
[OPERATOR: SINGLE RESPONSE.]
1)Single / never married 
2)Married
3)Separated
4)Divorced
5)Widowed
6)DON’T KNOW
7)REFUSED </t>
        </is>
      </c>
      <c r="E58" s="536">
        <f>LEN(D58)</f>
        <v/>
      </c>
      <c r="F58" s="537" t="inlineStr">
        <is>
          <t>Quel est le status marital actuel du chef de ménage?
[OPÉRATEUR/OPÉRATRICE: RÉPONSE UNIQUE.]
1)Célibataire / jamais marié 
2)Marié[e]
3)Séparé[e]
4)Divorcé[e]
5)Veuf ou veuve
6)NE SAIT PAS
7)REFUSÉ</t>
        </is>
      </c>
      <c r="G58" s="536">
        <f>LEN(F58)</f>
        <v/>
      </c>
      <c r="H58" s="698" t="inlineStr">
        <is>
          <t xml:space="preserve">Aw ka gwaso cogo be di faama sira kan bii? 
[NIENIGALI KÈLA: DIABI KELEN]
1)Gwanan / min ma furu kɛ ka ye. 
2)Furulen [m]
3)Furu faralen[m]
4)Furusalen
5)Ɲɛniɲɛni wala firiyamuso 
6)NE MA DON
7) A BAN NA </t>
        </is>
      </c>
      <c r="I58" s="699">
        <f>LEN(H58)</f>
        <v/>
      </c>
      <c r="J58" s="698" t="inlineStr">
        <is>
          <t>E uro ma ine gan womi-i wɔ maa inen mɔrɔ̃ maa jow ɟin-i?
[BIRƐ MA KŨ BAŋA : UɟURU KƆ TURU LE BE SAA-I]
1)Ãrãkũn-i/ɲen ɟɛtɛlin/ agauro nutɛlin 
2)Ɲen ɟɛɟɛn-i/ agauro nujɛn-i. . 
3)Tɔɔn le mɔrɔ̃ wɔrɔ bà. 
 4)Jaaɟi cɛɟaa
5)Apanin maa ɲɛpanin.
6)ɟUGƆGO. 
7)JƆWƆLI.</t>
        </is>
      </c>
      <c r="K58" s="699">
        <f>LEN(J58)</f>
        <v/>
      </c>
      <c r="L58" s="698" t="inlineStr">
        <is>
          <t xml:space="preserve">Mate nooh windo albeera miisoo?
[HANKAA : ZAABI AFFOO]
1)Aro waasoh- a man bey ku hiiji   
 2)Ar/wey hiijo
 3)A feyey
4)A furu
5)Kurgnon wal wando buu  
6)E SU BEY
7) E WINGEE </t>
        </is>
      </c>
      <c r="M58" s="699">
        <f>LEN(L58)</f>
        <v/>
      </c>
      <c r="N58" s="698" t="inlineStr">
        <is>
          <t xml:space="preserve">Indek awa eqal aduban ən anamokal ən alɣayal ?
 [EMASESTƏN: ALƏƔI IYANDAƔ].
1)Amasro/kala wad izizlay. 
2)Azizlay. 
3)Abdan. 
4)Amizay. 
5)Aziwar meɣ tasiwar.
6)WARISENAƔ
7)UGAY </t>
        </is>
      </c>
      <c r="O58" s="699">
        <f>LEN(N58)</f>
        <v/>
      </c>
      <c r="P58" s="700" t="inlineStr">
        <is>
          <t>Jom wuro jooniijo o ndewluɗo naa o gortaalo?
[GOLLOOWO : JAWAABU GOOTO].
1)O gortaalo/ ndewlay ginan. 
2)O ndewlii. 
3)O seedi. 
4)O seerii. 
5)O mayraaɗo.
6)ANNDA
7) SALAADE</t>
        </is>
      </c>
      <c r="Q58" s="503" t="n"/>
      <c r="R58" s="498" t="inlineStr">
        <is>
          <t>Single Choice</t>
        </is>
      </c>
      <c r="S58" s="536" t="inlineStr">
        <is>
          <t>NA</t>
        </is>
      </c>
      <c r="T58" s="536" t="inlineStr">
        <is>
          <t>NA</t>
        </is>
      </c>
      <c r="U58" s="500" t="inlineStr">
        <is>
          <t>Form Type - Buttons</t>
        </is>
      </c>
      <c r="V58" s="538" t="inlineStr">
        <is>
          <t>NA</t>
        </is>
      </c>
      <c r="W58" s="539" t="inlineStr">
        <is>
          <t>1-7 = hh_age</t>
        </is>
      </c>
      <c r="X58" s="524" t="n"/>
      <c r="Y58" s="159" t="inlineStr">
        <is>
          <t>For any response, go to [next question]</t>
        </is>
      </c>
      <c r="Z58" s="348" t="n"/>
      <c r="AA58" s="526">
        <f>1</f>
        <v/>
      </c>
      <c r="AB58" s="527" t="n"/>
      <c r="AD58" s="529" t="inlineStr">
        <is>
          <t>no</t>
        </is>
      </c>
      <c r="AE58" s="243" t="n"/>
      <c r="AH58" s="45" t="n">
        <v>9.96186637878418</v>
      </c>
      <c r="AI58" s="45">
        <f>IF(AH58="","",AH58*AA58)</f>
        <v/>
      </c>
    </row>
    <row r="59" ht="230.25" customHeight="1" thickBot="1">
      <c r="A59" s="88">
        <f>A58+1</f>
        <v/>
      </c>
      <c r="B59" s="269" t="inlineStr">
        <is>
          <t>hh_age</t>
        </is>
      </c>
      <c r="C59" s="270" t="inlineStr">
        <is>
          <t>hh_age</t>
        </is>
      </c>
      <c r="D59" s="271" t="inlineStr">
        <is>
          <t>How old is the head of household? 
[OPERATOR: SINGLE RESPONSE.]
1)Under 18
2)18 to 40 
3)41 to 65 
4)Over 65
5)DON'T KNOW
6)REFUSED</t>
        </is>
      </c>
      <c r="E59" s="272">
        <f>LEN(D59)</f>
        <v/>
      </c>
      <c r="F59" s="273" t="inlineStr">
        <is>
          <t>Quel âge a le chef de famille?
[OPÉRATEUR/OPÉRATRICE: RÉPONSE UNIQUE.]
1)Moins de 18 ans
2)entre 18 et 40 ans 
3)entre 41 et 65 ans
4)Plus de 65 ans
5)NE SAIT PAS
6)REFUSÉ</t>
        </is>
      </c>
      <c r="G59" s="344">
        <f>LEN(F59)</f>
        <v/>
      </c>
      <c r="H59" s="273" t="inlineStr">
        <is>
          <t xml:space="preserve">Gwaso kuntigi saanda ye joli de ye?
[NIENIGALI KÈLA: DIABI KELEN]
1)A ma saan18 bɔ.
2)Saan 18 ka se 40 la.
3)Saan 41 ka 65 la. 
4)A tɛmɛna saan 65 kan 
5)NE MA DON
6) A BAN NA </t>
        </is>
      </c>
      <c r="I59" s="272">
        <f>LEN(R59)</f>
        <v/>
      </c>
      <c r="J59" s="345" t="inlineStr">
        <is>
          <t>E uro ma ine gan Ãrãkuɟu aaŋa ɟere?
[BIRƐ MA KŨ BAŋA : UɟURU KƆ TURU LE BE SAA-I]
1)Ãrãkuɟu 18 ma doɟule-i. 
2)Ãrãkuɟu 18 jaŋamine Ãrãkuɟu 40 dɔ-i. 
3)Ãrãkuɟu 41 jaŋamine Ãrãkuɟu 65 dɔ-i. 
4)Ãrãkuɟu 65 ma manale-i.
5)ɟUGƆGO. 
6)JƆWƆLI.</t>
        </is>
      </c>
      <c r="K59" s="272">
        <f>LEN(J59)</f>
        <v/>
      </c>
      <c r="L59" s="273" t="inlineStr">
        <is>
          <t xml:space="preserve">Windo albeera jiiri barge ?
[HANKAA : ZAABI AFFOO]
1)A sindu jiiri wey ciindu a ha ku-
2)Wey ciindu a ha ku –ku koy weytaci
3)Weytaci cindu fo ku koy wey iidu cindu gu
4)A gu biisa wey iidu cindu gu
5)E SU BEY
6) E WINGEE </t>
        </is>
      </c>
      <c r="M59" s="344">
        <f>LEN(L59)</f>
        <v/>
      </c>
      <c r="N59" s="273" t="inlineStr">
        <is>
          <t xml:space="preserve">Indekan elan ən anamokal ən amazaɣ ?
 [EMASESTƏN: ALƏƔI IYANDAƔ].
1)Daw 18 elan. 
2)Ɣur 18 har 40 elan. 
3)Ɣur 41 har 65 elan. 
4)Ogaran 65 elan
5)WARISENAƔ
6)UGAY </t>
        </is>
      </c>
      <c r="O59" s="344">
        <f>LEN(N59)</f>
        <v/>
      </c>
      <c r="P59" s="346" t="inlineStr">
        <is>
          <t>No foti duuɓi jom ɓaade?
[GOLLOOWO: JAWAABU GOOTO].
1)Na ɲaki duuɓi 18. 
2)Duuɓi 18 yaade 40. 
3)Duuɓi 41 yaade 65. 
4)Na ɓuuri 65.
5)ANNDA
6) SALAADE</t>
        </is>
      </c>
      <c r="Q59" s="344">
        <f>LEN(P59)</f>
        <v/>
      </c>
      <c r="R59" s="273" t="inlineStr">
        <is>
          <t>Single Choice</t>
        </is>
      </c>
      <c r="S59" s="272" t="inlineStr">
        <is>
          <t>NA</t>
        </is>
      </c>
      <c r="T59" s="272" t="inlineStr">
        <is>
          <t>NA</t>
        </is>
      </c>
      <c r="U59" s="272" t="inlineStr">
        <is>
          <t>Form Type - Buttons</t>
        </is>
      </c>
      <c r="V59" s="272" t="inlineStr">
        <is>
          <t>NA</t>
        </is>
      </c>
      <c r="W59" s="188" t="inlineStr">
        <is>
          <t>1-6 = income_main</t>
        </is>
      </c>
      <c r="X59" s="428" t="n"/>
      <c r="Y59" s="349" t="inlineStr">
        <is>
          <t xml:space="preserve"> </t>
        </is>
      </c>
      <c r="Z59" s="163" t="n"/>
      <c r="AA59" s="148" t="inlineStr">
        <is>
          <t>resp_age = 18-100
hh_agricactivity = 1 | 2 | 3 | 4
quotareached = 2</t>
        </is>
      </c>
      <c r="AB59" s="67" t="n"/>
      <c r="AC59" s="45" t="n">
        <v>8.228806495666504</v>
      </c>
      <c r="AD59" s="280">
        <f>1</f>
        <v/>
      </c>
      <c r="AE59" s="45">
        <f>AC59*AD59</f>
        <v/>
      </c>
    </row>
    <row r="60" ht="20" customHeight="1" thickBot="1">
      <c r="A60" s="708" t="inlineStr">
        <is>
          <t>C. INCOME SOURCES, LIVELIHOOD AND SHOCKS</t>
        </is>
      </c>
      <c r="B60" s="739" t="n"/>
      <c r="C60" s="739" t="n"/>
      <c r="D60" s="739" t="n"/>
      <c r="E60" s="739" t="n"/>
      <c r="F60" s="739" t="n"/>
      <c r="G60" s="739" t="n"/>
      <c r="H60" s="739" t="n"/>
      <c r="I60" s="739" t="n"/>
      <c r="J60" s="739" t="n"/>
      <c r="K60" s="739" t="n"/>
      <c r="L60" s="739" t="n"/>
      <c r="M60" s="739" t="n"/>
      <c r="N60" s="739" t="n"/>
      <c r="O60" s="739" t="n"/>
      <c r="P60" s="739" t="n"/>
      <c r="Q60" s="739" t="n"/>
      <c r="R60" s="739" t="n"/>
      <c r="S60" s="739" t="n"/>
      <c r="T60" s="739" t="n"/>
      <c r="U60" s="739" t="n"/>
      <c r="V60" s="739" t="n"/>
      <c r="W60" s="739" t="n"/>
      <c r="X60" s="739" t="n"/>
      <c r="Y60" s="739" t="n"/>
      <c r="Z60" s="739" t="n"/>
      <c r="AA60" s="740" t="n"/>
      <c r="AC60" s="45" t="n"/>
      <c r="AD60" s="280" t="n"/>
      <c r="AE60" s="45" t="n"/>
    </row>
    <row r="61" ht="409.6" customHeight="1">
      <c r="A61" s="336">
        <f>A59+1</f>
        <v/>
      </c>
      <c r="B61" s="36" t="inlineStr">
        <is>
          <t>income_main</t>
        </is>
      </c>
      <c r="C61" s="48" t="inlineStr">
        <is>
          <t>income_main</t>
        </is>
      </c>
      <c r="D61" s="43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1" s="39">
        <f>LEN(D61)</f>
        <v/>
      </c>
      <c r="F61" s="540"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61" s="39">
        <f>LEN(F61)</f>
        <v/>
      </c>
      <c r="H61" s="38" t="inlineStr">
        <is>
          <t>Kalo 3 tɛmɛni na aw ka gwasomɔgɔ sɔrɔda kunba tun ye mun ye?
[SƆRƆBATIGI:JAABILI KELEN. AW YE BANBA KA BANNI JAABILI KƐɲƐ N'AW BƐ SE.]
1)Sumankisɛ sɔrɔta ani a feereli
2)Nanfɛnkɛnɛ sɔrɔta ani a feereli 
3)Jagofɛnsɛnɛ sɔrɔta ani a feereli 
4)Bɛgɛnbuguyabaara sɔrɔta ani Bɛgɛnw fɛnw feereli
5)Libɔbaara ani li fɛnw feereli
6)Jɛgɛ mɔni ani jɛgɛ feereli
7)Dɔgɔ sɔrɔta ani a feereli walima kungɔyiri fɛnw feereli 
8)Sɛnɛfɛnw jago MIN Tɛ SɛNɛKɛ BAARA YE [sɛnɛkɛcogokɔrɔ wala sɛnɛkɛcogokɔrɔ]
9)Don o don sɛnɛbaara sara wala walanbiri baara sara 
10)Sɛnɛkɛyccrcc basigini baara
11)Baara wɛrɛ min tɛ sɛnɛ baara ye kɛnyɛrɛ baara walima / dɔgɔtɔrɔ / Sojɔ baw / avoka / dumuni dumunikɛyɔrɔ
12)Don o don sara baara min tɛ sɛnɛ baara komi baara misɛnw
13)basigini baara mi tɛ sɛnɛ baara ye
14)Gofɛrɛnɛma baara 
15)Sɔrɔda wɛrɛ min tɛ bɔ baara la /nilifɛn 
16)ɔrɔda wɛrɛ min tɛ bɔ baara la / dɛmɛ/rɛtrɛtɛ sara/ dɛmɛ
17)ɔrɔda wɛrɛ min tɛ bɔ baara la / nilifɛn
18)ɔrɔda wɛrɛ min tɛ bɔ baara la /sɔrɔda min bɔra baara wɛrɛ fan fɛ
19)Sɔrɔda si ma sɔrɔ kalo 3 tɛmɛni na ani an w ye bilankɔrɔw bɔ ani juru ta
20)BANNI</t>
        </is>
      </c>
      <c r="I61" s="39">
        <f>LEN(H61)</f>
        <v/>
      </c>
      <c r="J61" s="38" t="inlineStr">
        <is>
          <t>Ãrãkuju taan dũwõ kũũ bɛrɛ, é uro mà kaa pana di é bɛra-ra mà bɛ̀rɛ́, yɔkɔ-i kò fɔɔrɔy?
[BIRƐ BAŊA : KÁA SÁARÁ TÚRÚ-I. KÒ NÚMÓ BÈ YƆ́WƆ́-LÌ CƐ́W, MÁYNÀ-SÀ BÈ LÉY, KÒ WƆ̀SƆ̀̀ I].
1)Dɛ̃rɛ̃ ná bè bìrúu ko dɔ̃̀rṹũ
2) Niŋe màsɔmɔ̃ɲ bèe/ màa tĩwẽ ĩ bèe mà cénúu ko dɔ̃̀rṹũ 
3) Daaganay mà kaa ɲey bè cénuu kò dɔ̃rũũ
4) Asɛgɛ bè maŋuu kò dɔ̃rũũ/ màa asɛgɛ bè nɛ́ɛmà
5) ɲuŋ mà cénuu kò dɔ̃rũũ màa ɲuŋ céenu cɛ́ jɛrɛ-kɔ
6) Iiju ayi kò dɔ̃rũũ
7) tĩ́wẽ́ kúrɔ́ bée tĩwẽ ĩ bée mà gɔ̃yi ko dɔ̃rũũ màa éjú nɔwɔ̃ bè
8) cɛ́ dɔ̃rɔ̃ mà wàrù/ wárú-wáràm beru mɔ̃rɔ̃ là [atɛmɛrɛ̃ màa jire ɛ́ nam].
9) Saradiŋe bɛ̀rɛ́ mà ninuwõ bírɛ́/ màa wárú oju kaa lè kò jin tɔ̀ɔn mà birɛ làgá
10) Wárú là ójú káa lè bírɛ́ tɔ̀jɔ̀-ɛ̀jú sâ
11) Wárù-waran-i láa birɛ-birɛn ɛnɛ mà kũ jéré bɛ́rɛ́n/ ɛnɛ mà bírɛ mà jugɔ sanin/dɔgɔtɔrɔ/maarã mà kũ baŋã/ábóká[zúzú]/yáŋà yá òtól dɔ̃́rɔ̃́m lèdɔ́ɔ
12)Ninuwõ birɛ/ waru mà numo lèmɔrɔ̃-laa kò mà birɛ daga-daga laga beru kãrã mɔrɔ̃-lá
13)Birɛ tɔjɔ sâ ɛju/ waru lè mɔrɔ̃-lá
14)Gɔbɔnɛɛru mà birɛ
15)Kaa-pana bírɛ́ bìrɛ̀ may bè bɛrɛy láa/jákà
16)Kaa-pana bírɛ́ bìrɛ̀ may bè bɛrɛy láa/jugɔ mà oy/jã́/prozé màoy
17)Kaa-pana bírɛ́ bìrɛ̀ may bè bɛrɛy láa/dii lé bèbɛrɛy
18)Kaa-pana bírɛ́ bìrɛ̀ may bè bɛrɛy láa/lwasu laga beru bèbɛrɛy
19)ɛ́ taan dũwõ kũũ bɛ̀rɛ̀kaa pana jɛrɛ-kɔ kò turu kãrã kɔrɔɔ numo biliw joo/ɲen
20)YƆWƆ-LI</t>
        </is>
      </c>
      <c r="K61" s="39">
        <f>LEN(J61)</f>
        <v/>
      </c>
      <c r="L61" s="38" t="inlineStr">
        <is>
          <t>Handu hĩzey wey ndu cere game, man no er huwo me gaaro go ku hun? 
[HÃKA : ZAABI FOLLOŊ. BORA MANU HIMA KU WENGE KU ZAABI].
1)Nongoro dumiizey neera
2)keli dumiizeyyoŋ wala tuuriizey kaŋ gu ŋa neera
3)Dumiize foyoŋ won neera
4)Almeney biiriyoŋo ku neereyoŋo ndu almeney ŋaarey neera
5)Yuwo teeyoŋo ndu yuwo neera ndu yuwo teegoyey jiney neera
6)Hamiisa biiriyoŋo ndu hamiisa neera
7)gengo ga turiizey ka ku neera
8)heyni neerekow kaŋ su goy ndu farkey [wey kaŋ go beyrey ga ndu wey kaŋ si beyrey ga].
9)Dimma kaŋ boro gu du dumiizey goyo ga faro wala nongoro ga
10)Goy jinekeyanta kaŋ boro du dumiizey goyo ga
11)boro boŋ la goyoy kaŋ mantu farim goy wala kabu goy /lokkotortarey/ cinkow/ avakatarey/ ndu ŋaari neerowkoy
12)zaariŋo ga baniya kaŋ mantu farmi goy/ walu bine goy bunbuney
13)goy jinekeyante kaŋ mantu farim goy
14)hino goy
15)dimma kaŋ boro gu hini ku du kaŋ mantu goyo ga /sargamey 
16)dimma kaŋ boro gu hini ku du kaŋ mantu goyo /nooro kaŋ i gu taŋ boro se/gaakusiney
17)dimma kaŋ boro gu hini ku du kaŋ su hun goyo do /noorey sambirey 
18)dimma kaŋ boro gu hini ku du kaŋ su hun goyo do /lowaso noorey 
19)boro manu du hay kulu handu hĩza ndu cere game kala dey gisira sambuyoŋo ndu gara sambuyoŋo
20)WENGUYOŊO</t>
        </is>
      </c>
      <c r="M61" s="39">
        <f>LEN(L61)</f>
        <v/>
      </c>
      <c r="N61" s="38" t="inlineStr">
        <is>
          <t>Indekat ta taqalat atiwasanan tabarat ən tafoten dǎɣ amazaɣ nawan ɣur dǎɣ karad uran wi dokaynen ?
[ƏMASESTƏN : ALIƔI IYANDǍƔ. TABARAT TA TUGAYAT ANIHAGA ATAT TƏYID FAL TADABIT].
1)Igi əd ašiš ən sigyak wən santo
2)Igi əd ašiš ən izad meɣ əd samban
3)Igi əd ašiš ən sigyak wən asostan
4)Igi əd ašiš ən arizeg əd ilalan wan arizeg
5)Igi əd ašiš ən turawat meɣ ilalan wən ajamar ən zimbawan
6)Igi əd ašiš ən manan
7)Asidəw əd ašiš ən ilalan wən hiskan meɣ wən finta
8)Ašiš ən sigyak dǎɣ warahen magyakan [atiwasanen meɣ wənan atwasan]
9)Alhak wan dǎɣ ašal dǎɣ qalan əd iyad ašiɣilan ən dǎɣ alwaq dǎɣ tabarat tan sigyak
10)Ašiɣil adiken dǎɣ tabarat tan asigyik
11)Emašal ən manes winan eqel agayak meɣ əšiɣil ən manes/laķtor/ amuɣan/amadhal/dǎɣ iha emasakadaw
12)Alhak wa dǎɣ ašal dǎɣ wariha ašišiɣil ən nagayak əd iyad ašiɣilan nalwaq winan eqel agayak
13)Ašiɣil adiken dǎɣ tabarat ta winan taqel agayak
14)Ašiɣil wa adinat dak
15)Agaraw wənan diha əs əšiɣil/takute
16)Agaraw wənan əs əšiɣil/ alhak nəsikil/təmzal nalwaq/ tadhil ən adinat
17)Agaraw wənan dizger əšiɣil/tasawit ən Azruf
18)Agaraw wənan dizger dǎɣ əšiɣil/agayak niyad alhakan
19)Wala iyat tabarat ən agaraw ɣur dǎɣ 3 uran wi dokaynen əd adakal ən hulen ən asitwir/ əd amarwas
20)UGAY</t>
        </is>
      </c>
      <c r="O61" s="39">
        <f>LEN(N61)</f>
        <v/>
      </c>
      <c r="P61" s="38" t="inlineStr">
        <is>
          <t>Gollal ngale woni ngal njogori-ɗon ɓaade mooɗon nder duuɓi tati cakitiiɗi ɗii?
[GOLLOOWO : JAABU GOOTO. SUƁAADE SALAGOL NA HAANI TEWTEE HISEEDE NO WAAWIRAA FUH].
1) Remugol e soonnugol ko heɓaa ƴuuwde e demal ngal.
2) Remugol e soonnugol lu'ooji e ɓiɓɓe leɗɗe
3)Remugol e soonnugol demal pildeteengaL tino
4)Marugol e soonnugol daabaaji e ko ƴuwi e muuɗum en.
5) Waɗugol e soonnugol njuumndi maa ko ƴuwata e marugol nyaaki
6) Marugol e soonnugol liƴƴi
7) Tewtugol e soonnugol ɓiɓɓe leɗɗe maa kuukoy ladde
8) Jaagu  demal ko baka gollooɓe [anndanaaɓe maa ɓe anndanaaka]. 
9) Njoɓdi nyalooma-nyalooma nder hoggooji e golle wakkati-wakkati banngal demal.
10) Gollal duumiingal nder demal 
11) Gollanooɓe ko'e muɓɓen ko wanaa banngal demal maa gollal e muuyɗe joomum /lokotorooɓe /nyiɓooɓe /awokka /tawti e soonnooɓe neema.
12) Njoɓdi nyalooma-nyalooma ko baka demal walaa e golle wakkatiije ɗe ngaldaa.
13) Gollal duumiingal ngal waldaa e demal.
14) Gollal kawtaangal
15) Tino mo haɓdaaki e demal / ko hokkitiraa.
16) Tino mo haɓdaaki e demal / hokkareede / mballa banngal ceede /mballa yurmeende.
17) Tino mo ƴuwaay e gollal / nildeede ceede.
18) Tino mo ƴuwaay e gollal / tino luwaasi.
19) Laawol keɓal faay gootol heɓaaka nder lebbi tati cakitiiɗi e gollitiragol ndesaa ceede /e nyamaale.
20) MUUYAAY JAABAAƊE.</t>
        </is>
      </c>
      <c r="Q61" s="39">
        <f>LEN(P61)</f>
        <v/>
      </c>
      <c r="R61" s="48" t="inlineStr">
        <is>
          <t>Single Choice</t>
        </is>
      </c>
      <c r="S61" s="39" t="inlineStr">
        <is>
          <t>NA</t>
        </is>
      </c>
      <c r="T61" s="39" t="inlineStr">
        <is>
          <t>NA</t>
        </is>
      </c>
      <c r="U61" s="39" t="inlineStr">
        <is>
          <t>Form Type - Buttons
IsDemographic</t>
        </is>
      </c>
      <c r="V61" s="40" t="inlineStr">
        <is>
          <t>NA</t>
        </is>
      </c>
      <c r="W61" s="435" t="inlineStr">
        <is>
          <t>1-3 = income_main_crop_check
4 = income_main_ls_check 
5 = income_main_amount
6 = income_main_fish_check
7-18 = income_main_amount
19-20 = shock</t>
        </is>
      </c>
      <c r="X61" s="343" t="n"/>
      <c r="Y61" s="308" t="inlineStr">
        <is>
          <t>if options #1-3 selected go to income_main_cropcheck 
if options #4 selected go to income_main_lscheck 
if options #5 selected go to income_main_fishcheck 
if options #6-18 selected, go to [income_main_comp OR income_main_amount OR income_main_gender] 
if options #19-21 selected, go to shock</t>
        </is>
      </c>
      <c r="Z61" s="174" t="n"/>
      <c r="AA61" s="43" t="inlineStr">
        <is>
          <t>resp_age = 18-100
hh_agricactivity = 1 | 2 | 3 | 4
quotareached = 2</t>
        </is>
      </c>
      <c r="AB61" s="55" t="n"/>
      <c r="AC61" s="111" t="n">
        <v>36.92873382568359</v>
      </c>
      <c r="AD61" s="374">
        <f>1</f>
        <v/>
      </c>
      <c r="AE61" s="111">
        <f>AC61*AD61</f>
        <v/>
      </c>
    </row>
    <row r="62" ht="201" customHeight="1">
      <c r="A62" s="88">
        <f>A61+1</f>
        <v/>
      </c>
      <c r="B62" s="36" t="inlineStr">
        <is>
          <t>income_main_crop_check</t>
        </is>
      </c>
      <c r="C62" s="37" t="inlineStr">
        <is>
          <t>income_main_crop_check</t>
        </is>
      </c>
      <c r="D62" s="438" t="inlineStr">
        <is>
          <t>Are the crops sold also produced by you or anyone in your household?
[OPERATOR: SINGLE RESPONSE.]
1)YES
2)NO
3)DON'T KNOW
4)REFUSED</t>
        </is>
      </c>
      <c r="E62" s="39">
        <f>LEN(D62)</f>
        <v/>
      </c>
      <c r="F62" s="166" t="inlineStr">
        <is>
          <t>Les cultures que vous vendez sont-elles produites par vous ou par un des membres de votre ménage ?
[OPÉRATEUR/OPÉRATRICE: RÉPONSE UNIQUE.]
1)Oui
2)Non
3)NE SAIT PAS
4)REFUSÉ</t>
        </is>
      </c>
      <c r="G62" s="39">
        <f>LEN(F62)</f>
        <v/>
      </c>
      <c r="H62" s="51" t="inlineStr">
        <is>
          <t>Aw be sɛnɛfɛn minw feere la, aw yɛrɛ de y’o sɛnɛ wala aw ka gwaso mɔgɔ dɔ de y’o sɛnɛ? 
[NIENIGALI KÈLA: DIABI KELEN]
1)ƆWƆ 
2)AYI 
3)NE MA DON
4)A BAN NA</t>
        </is>
      </c>
      <c r="I62" s="39">
        <f>LEN(H62)</f>
        <v/>
      </c>
      <c r="J62" s="51" t="inlineStr">
        <is>
          <t>Ko dɛ̃rɛ̃ mi e dɔ̃rããra, e kũ le è wara-i máá màà e uro nam wara-i?
[BIRƐ MA KŨ BAŋA : UɟURU KƆ TURU LE BE SAA-I]
1)ÉE
2)Ɔ̃-Ɔ̃
3)ɟUGƆGO. 
4)JƆWƆLI.</t>
        </is>
      </c>
      <c r="K62" s="39">
        <f>LEN(J62)</f>
        <v/>
      </c>
      <c r="L62" s="51" t="inlineStr">
        <is>
          <t>Farimo izez kan er go neere, ni bumbo wonney wal huwo boor fo wonney ? 
[HANKOYO:  MACHI TA KA HAR DJAABI FO]
1) AYYO
2) KALA
3) A CHI BEY
4) A WANDJI</t>
        </is>
      </c>
      <c r="M62" s="39">
        <f>LEN(L62)</f>
        <v/>
      </c>
      <c r="N62" s="51" t="inlineStr">
        <is>
          <t xml:space="preserve">Isigyak wihin tišišanmin aqalan adizgaran fal lawan meɣ fal awadim ən alɣayal nawan ?
[EMASESTƏN : ALƏƔI IYANDAƔ].
1)IYA 
2)BABO.
3)WARISENAƔ. 
4)UGAY </t>
        </is>
      </c>
      <c r="O62" s="39">
        <f>LEN(N62)</f>
        <v/>
      </c>
      <c r="P62" s="82" t="inlineStr">
        <is>
          <t>Cogguuji mon ɗi jaagotoɗon ɗi onon ngaɗi naa wo neɗɗo gure mon?
[GOLLOOWO : JAWAABU GOOTO].
1)AYYO 
2)AA'A. 
3)ANNDA 
4)SALAADE</t>
        </is>
      </c>
      <c r="Q62" s="39">
        <f>LEN(P62)</f>
        <v/>
      </c>
      <c r="R62" s="48" t="inlineStr">
        <is>
          <t>Single Choice</t>
        </is>
      </c>
      <c r="S62" s="39" t="inlineStr">
        <is>
          <t>NA</t>
        </is>
      </c>
      <c r="T62" s="39" t="inlineStr">
        <is>
          <t>NA</t>
        </is>
      </c>
      <c r="U62" s="39" t="inlineStr">
        <is>
          <t>Form Type - Buttons</t>
        </is>
      </c>
      <c r="V62" s="40" t="inlineStr">
        <is>
          <t>NA</t>
        </is>
      </c>
      <c r="W62" s="435" t="inlineStr">
        <is>
          <t>1-4 = income_main_amount</t>
        </is>
      </c>
      <c r="X62" s="492" t="n"/>
      <c r="Y62" s="308" t="inlineStr">
        <is>
          <t>if options #1-4, go to [income_main_comp OR income_main_amount OR income_main_gender]</t>
        </is>
      </c>
      <c r="Z62" s="174" t="n"/>
      <c r="AA62" s="43" t="inlineStr">
        <is>
          <t>resp_age = 18-100
hh_agricactivity = 1 | 2 | 3 | 4
quotareached = 2
income_main = 1 | 2 | 3</t>
        </is>
      </c>
      <c r="AB62" s="55" t="n"/>
      <c r="AC62" s="111" t="n"/>
      <c r="AD62" s="374">
        <f>1</f>
        <v/>
      </c>
      <c r="AE62" s="111">
        <f>AC62*AD62</f>
        <v/>
      </c>
    </row>
    <row r="63" ht="199.5" customHeight="1">
      <c r="A63" s="88">
        <f>A62+1</f>
        <v/>
      </c>
      <c r="B63" s="36" t="inlineStr">
        <is>
          <t>income_main_ls_check</t>
        </is>
      </c>
      <c r="C63" s="37" t="inlineStr">
        <is>
          <t>income_main_ls_check</t>
        </is>
      </c>
      <c r="D63" s="432" t="inlineStr">
        <is>
          <t xml:space="preserve">Are the livestock or livestock products sold also produced by you or anyone in your household?
[OPERATOR: SINGLE RESPONSE.]
1)YES
2)NO
3)DON'T KNOW
4)REFUSED </t>
        </is>
      </c>
      <c r="E63" s="39">
        <f>LEN(D63)</f>
        <v/>
      </c>
      <c r="F63" s="166" t="inlineStr">
        <is>
          <t>Le bétail et les produits du bétail que vous vendez sont-ils produits par vous par un des membres de votre ménage ?
[OPÉRATEUR/OPÉRATRICE: RÉPONSE UNIQUE.]
1)Oui
2)Non
3)NE SAIT PAS
4)REFUSÉ</t>
        </is>
      </c>
      <c r="G63" s="39">
        <f>LEN(F63)</f>
        <v/>
      </c>
      <c r="H63" s="51" t="inlineStr">
        <is>
          <t>Aw be bɛgɛnbalo fɛɛn minw feere la, aw yɛrɛ de y’o ladon wala aw ka gwaso mɔgɔ dɔ de y’a ladon? 
[NIENIGALI KÈLA: DIABI KELEN]
1)ƆWƆ 
2)AYI 
3)NE MA DON
4)A BAN NA</t>
        </is>
      </c>
      <c r="I63" s="39">
        <f>LEN(H63)</f>
        <v/>
      </c>
      <c r="J63" s="51" t="inlineStr">
        <is>
          <t>Ko assɛgɛ mi è dɔ̃rããra na, e kũ le è maŋa-i máá, màà è uro nam maŋa-i?
[BIRƐ MA KŨ BAŋA : UɟURU KƆ TURU LE BE SAA-I]
1)ÉE
2)Ɔ̃-Ɔ̃
3)ɟUGƆGO. 
4)JƆWƆLI.</t>
        </is>
      </c>
      <c r="K63" s="39">
        <f>LEN(J63)</f>
        <v/>
      </c>
      <c r="L63" s="51" t="inlineStr">
        <is>
          <t>Almaeney biiro izey kan er go neere, ni bumbo wonney wal huwo boor fo wonney ? 
[HANKOYO:  MACHI TA KA HAR DJAABI FO]
1) AYYO
2) KALA
3) A CHI BEY
4) A WANDJI</t>
        </is>
      </c>
      <c r="M63" s="39">
        <f>LEN(L63)</f>
        <v/>
      </c>
      <c r="N63" s="51" t="inlineStr">
        <is>
          <t xml:space="preserve">Arizeg əd aratan ən arizeg wa šanšem aqalan atigam kawaned me meɣ awadəm iyan ən alɣayal nawan ?
[EMASESTƏN : ALƏƔI IYANDAƔ].
1)IYA 
2)BABO.
3)WARISENAƔ. 
4)UGAY </t>
        </is>
      </c>
      <c r="O63" s="39">
        <f>LEN(N63)</f>
        <v/>
      </c>
      <c r="P63" s="82" t="inlineStr">
        <is>
          <t>Ɲaamee dammucce tawti kanji e ko'e ɗi sottoton, wo jeyan mon naa neɗɗo mooɗon?
[GOLLOOWO : JAWAABU GOOTO].
1)AYYO 
2)AA'A. 
3)ANNDA 
4)SALAADE</t>
        </is>
      </c>
      <c r="Q63" s="39">
        <f>LEN(P63)</f>
        <v/>
      </c>
      <c r="R63" s="48" t="inlineStr">
        <is>
          <t>Single Choice</t>
        </is>
      </c>
      <c r="S63" s="39" t="inlineStr">
        <is>
          <t>NA</t>
        </is>
      </c>
      <c r="T63" s="39" t="inlineStr">
        <is>
          <t>NA</t>
        </is>
      </c>
      <c r="U63" s="39" t="inlineStr">
        <is>
          <t>Form Type - Buttons</t>
        </is>
      </c>
      <c r="V63" s="40" t="inlineStr">
        <is>
          <t>NA</t>
        </is>
      </c>
      <c r="W63" s="435" t="inlineStr">
        <is>
          <t>1-4 = income_main_amount</t>
        </is>
      </c>
      <c r="X63" s="319" t="n"/>
      <c r="Y63" s="308" t="inlineStr">
        <is>
          <t>if options #1-4, go to [income_main_comp OR income_main_amount OR income_main_gender]</t>
        </is>
      </c>
      <c r="Z63" s="174" t="n"/>
      <c r="AA63" s="43" t="inlineStr">
        <is>
          <t>resp_age = 18-100
hh_agricactivity = 1 | 2 | 3 | 4
quotareached = 2
income_main = 4</t>
        </is>
      </c>
      <c r="AB63" s="55" t="n"/>
      <c r="AC63" s="111" t="n"/>
      <c r="AD63" s="374">
        <f>1</f>
        <v/>
      </c>
      <c r="AE63" s="111">
        <f>AC63*AD63</f>
        <v/>
      </c>
    </row>
    <row r="64" ht="199.5" customHeight="1">
      <c r="A64" s="88">
        <f>A63+1</f>
        <v/>
      </c>
      <c r="B64" s="36" t="inlineStr">
        <is>
          <t>income_main_fish_check</t>
        </is>
      </c>
      <c r="C64" s="37" t="inlineStr">
        <is>
          <t>income_main_fish_check</t>
        </is>
      </c>
      <c r="D64" s="432" t="inlineStr">
        <is>
          <t xml:space="preserve">Are the fish or aquatic products sold also captured/harvested by you or anyone in your household
[OPERATOR: SINGLE RESPONSE.]
1)YES
2)NO
3)DON'T KNOW
4)REFUSED </t>
        </is>
      </c>
      <c r="E64" s="39">
        <f>LEN(D64)</f>
        <v/>
      </c>
      <c r="F64" s="166" t="inlineStr">
        <is>
          <t>Les poissons et/ou les produits de la pêche que vous vendez sont-ils également capturés ou récoltés par vous ou un membre de votre ménage ?
[OPÉRATEUR/OPÉRATRICE: RÉPONSE UNIQUE.]
1)Oui
2)Non
3)NE SAIT PAS
4)REFUSÉ</t>
        </is>
      </c>
      <c r="G64" s="39">
        <f>LEN(F64)</f>
        <v/>
      </c>
      <c r="H64" s="51" t="inlineStr">
        <is>
          <t>Aw bɛ jɛgɛ min feere nin aw gwasomɔgɔ walima aw yɛrɛ tun y'a mɔ wa?
[NIENIGALI KÈLA: DIABI KELEN]
1)ƆWƆ 
2)AYI 
3)NE MA DON
4)A BAN NA</t>
        </is>
      </c>
      <c r="I64" s="39">
        <f>LEN(H64)</f>
        <v/>
      </c>
      <c r="J64" s="51" t="inlineStr">
        <is>
          <t>Kò iijuu màa kò iiju ay mà oju kaa lècɛ́ é bɛrɛ é dɔ̃rã-rã kũũ bée nàa , yallah é gɔ̃-rã máa é uro inen gɔ̃-rã ?
[BIRƐ MA KŨ BAŋA : UɟURU KƆ TURU LE BE SAA-I]
1)ÉE
2)Ɔ̃-Ɔ̃
3)ɟUGƆGO. 
4)JƆWƆLI.</t>
        </is>
      </c>
      <c r="K64" s="39">
        <f>LEN(J64)</f>
        <v/>
      </c>
      <c r="L64" s="51" t="inlineStr">
        <is>
          <t>Hamiisa wala tamohayey kaŋyoŋ er gua neere, er bumbey wala er huwo boro fo mu i di wala i tam ?
[HANKOYO:  MACHI TA KA HAR DJAABI FO]
1) AYYO
2) KALA
3) A CHI BEY
4) A WANDJI</t>
        </is>
      </c>
      <c r="M64" s="39">
        <f>LEN(L64)</f>
        <v/>
      </c>
      <c r="N64" s="51" t="inlineStr">
        <is>
          <t xml:space="preserve">Aman əd/meɣ əd ilalan wən ukis ən manan wi šašem aqalan əntanedǎɣ atiwarmasan meɣ atiwakasan əs hawan meɣ awadəm ən amazaɣ nawan?
[EMASESTƏN : ALƏƔI IYANDAƔ].
1)IYA 
2)BABO.
3)WARISENAƔ. 
4)UGAY </t>
        </is>
      </c>
      <c r="O64" s="39">
        <f>LEN(N64)</f>
        <v/>
      </c>
      <c r="P64" s="82" t="inlineStr">
        <is>
          <t>Liƴƴi maa e/maa ko ƴuwi e liƴƴagol ko coonnoton ɗum yo on nanngu ɗi naa won no ɗum heɓiraa ƴuuwde e jeyaaɗo nder ɓaade mooɗon?
[GOLLOOWO : JAWAABU GOOTO].
1)AYYO 
2)AA'A. 
3)ANNDA 
4)SALAADE</t>
        </is>
      </c>
      <c r="Q64" s="39">
        <f>LEN(P64)</f>
        <v/>
      </c>
      <c r="R64" s="48" t="inlineStr">
        <is>
          <t>Single Choice</t>
        </is>
      </c>
      <c r="S64" s="39" t="inlineStr">
        <is>
          <t>NA</t>
        </is>
      </c>
      <c r="T64" s="39" t="inlineStr">
        <is>
          <t>NA</t>
        </is>
      </c>
      <c r="U64" s="39" t="inlineStr">
        <is>
          <t>Form Type - Buttons</t>
        </is>
      </c>
      <c r="V64" s="40" t="inlineStr">
        <is>
          <t>NA</t>
        </is>
      </c>
      <c r="W64" s="41" t="inlineStr">
        <is>
          <t>1-4 = income_main_amount</t>
        </is>
      </c>
      <c r="X64" s="492" t="n"/>
      <c r="Y64" s="308" t="inlineStr">
        <is>
          <t>if options #1-4, go to [income_main_comp OR income_main_amount OR income_main_gender]</t>
        </is>
      </c>
      <c r="Z64" s="174" t="n"/>
      <c r="AA64" s="43" t="inlineStr">
        <is>
          <t>resp_age = 18-100
hh_agricactivity = 1 | 2 | 3 | 4
quotareached = 2
income_main = 5</t>
        </is>
      </c>
      <c r="AB64" s="55" t="n"/>
      <c r="AC64" s="111" t="n"/>
      <c r="AD64" s="374">
        <f>1</f>
        <v/>
      </c>
      <c r="AE64" s="111">
        <f>AC64*AD64</f>
        <v/>
      </c>
    </row>
    <row r="65" ht="136" customFormat="1" customHeight="1" s="528">
      <c r="A65" s="88">
        <f>A64+1</f>
        <v/>
      </c>
      <c r="B65" s="497" t="inlineStr">
        <is>
          <t>income_main_amount</t>
        </is>
      </c>
      <c r="C65" s="498" t="inlineStr">
        <is>
          <t>income_main_amount</t>
        </is>
      </c>
      <c r="D65" s="523" t="inlineStr">
        <is>
          <t>How much was earned [in CFA] from your main income source, {income_main}, in the past 3 months ?
[OPERATOR: MAKE SURE THE INFORMATION IS RECORDED IN THE CORRECT CURRENCY. ENTER 8888888 FOR DON'T KNOW AND 9999999 FOR REFUSED.]</t>
        </is>
      </c>
      <c r="E65" s="519">
        <f>LEN(D65)</f>
        <v/>
      </c>
      <c r="F65" s="552" t="inlineStr">
        <is>
          <t>Quelle somme [en CFA] a rapporté votre principale source de revenus, {income_main}, au cours des trois derniers mois?
[OPÉRATEUR/OPÉRATRICE: VÉRIFIER QUE LA RÉPONSE EST ENREGISTRÉE DANS LA BONNE DEVISE. SAISIR 8888888 POUR «NE SAIT PAS» ET 9999999 POUR «REFUSÉ».]</t>
        </is>
      </c>
      <c r="G65" s="519">
        <f>LEN(F65)</f>
        <v/>
      </c>
      <c r="H65" s="698" t="inlineStr">
        <is>
          <t xml:space="preserve">Aw ye joli de sɔrɔ (CFA wari la)aw ka sɔrɔ jujɔn la, {income_main} fɛ, kalo laban 3 nunnun kɔnɔ? 
[SƆRƆBATIGI: SɛGɛSɛGɛLI Kɛ K’A FILɛ NI KUNAFONI YE YIɲɛ YE A N’A SɛBɛNNA COGO ɲUMAN NA. I BA 8888888 SɛBɛ N’A MA DɔN KOO LA ANI KA 9999999 SɛBɛ N’A MA SɔN KOO LA] 
</t>
        </is>
      </c>
      <c r="I65" s="699">
        <f>LEN(H65)</f>
        <v/>
      </c>
      <c r="J65" s="698" t="inlineStr">
        <is>
          <t xml:space="preserve">Ɛɛ 3 dũwõ nuŋo bɛrɛ buudu aaŋa bɛrɛ be, e ke {income main} gaara buudu e bɛrara kṷ̃ le?
[BIRƐ MA KŨ BAŋA : KO KASAJ DEMDEM KƆ MA KO URO BƐRƐ KO TƆŋƆ̃ BE MA, ɟƐ̃ŋƐ̃RƐ̃ CEENE I. 8888888 TƆ̃ŋƆ̃ I ɟUGƆ GO BA LEJ, 9999999 TƆ̃NƆ̃ I TEGU JƆWƆLI BA LEJ].
</t>
        </is>
      </c>
      <c r="K65" s="699">
        <f>LEN(J65)</f>
        <v/>
      </c>
      <c r="L65" s="698" t="inlineStr">
        <is>
          <t xml:space="preserve">Handu 3 kan (bissa CFA)nooro {income_main} marge nooh ndu n huumo goyo ga ? 
[HANKAA : [GUNN AMBOORI AL SEINNO CIIMO NOH, A TUM NONGOR HEENO BON . HANTUM 8888888 ES BEY SE NDU 9999999 A WINGIN SE ] 
</t>
        </is>
      </c>
      <c r="M65" s="699">
        <f>LEN(L65)</f>
        <v/>
      </c>
      <c r="N65" s="698" t="inlineStr">
        <is>
          <t>Maniket atigrawam [daɣ CFA] ən tanak tabarat nagaraw, {income_main}, ɣur karad uran wi dokaynen ?
[EMASESTƏN: ASIN AS ISALAN WARAQELAN AWINAN IKNA ƏD AQALAN AQIYMAN DAƔ AHUSKEN OƔADAN. AGU 8888888 AFAL WATISENAD ƏD 9999999 FALTUGINT]</t>
        </is>
      </c>
      <c r="O65" s="699">
        <f>LEN(N65)</f>
        <v/>
      </c>
      <c r="P65" s="700" t="inlineStr">
        <is>
          <t>Foti keɓu-ɗon [e ceede CFA)ley gollal mooɗon jaagu, {income_main} ley ñalaaɗe tati cakitiiɗe ɗee ?
[GOLLOOWO : TAYKINEEKE KE JAWAABU ON NA SELLI. MAA WONNITOƊON ON. ADEE 88888888 SO ON ANNDAA MAA 99999999 SO SALAADE.].</t>
        </is>
      </c>
      <c r="Q65" s="503" t="n"/>
      <c r="R65" s="519" t="inlineStr">
        <is>
          <t>Range</t>
        </is>
      </c>
      <c r="S65" s="519" t="inlineStr">
        <is>
          <t>NA</t>
        </is>
      </c>
      <c r="T65" s="519" t="inlineStr">
        <is>
          <t>NA</t>
        </is>
      </c>
      <c r="U65" s="519" t="inlineStr">
        <is>
          <t>Form Type - TextBox</t>
        </is>
      </c>
      <c r="V65" s="503" t="n"/>
      <c r="W65" s="496" t="inlineStr">
        <is>
          <t>5 - 1500000 = income_main_gender
1500000 - 3000000 = income_main_amount_conf
8888888-8888888 = income_main_gender
9999999-9999999 = income_main_gender</t>
        </is>
      </c>
      <c r="X65" s="555" t="n"/>
      <c r="Y65" s="549" t="inlineStr">
        <is>
          <t>If the income amount is over the threshold set in "Additional information", the respondent will be asked to confirm with income_main_amount_conf. Otherwise, go to income_main_comp or optional question.</t>
        </is>
      </c>
      <c r="Z65" s="549" t="n"/>
      <c r="AA65" s="82" t="n"/>
      <c r="AB65" s="526">
        <f>1</f>
        <v/>
      </c>
      <c r="AC65" s="527" t="n"/>
      <c r="AE65" s="529" t="inlineStr">
        <is>
          <t>no</t>
        </is>
      </c>
      <c r="AF65" s="243" t="n"/>
      <c r="AI65" s="45" t="n">
        <v>31.96376609802246</v>
      </c>
      <c r="AJ65" s="45">
        <f>IF(AI65="","",AI65*AB65)</f>
        <v/>
      </c>
    </row>
    <row r="66" ht="119" customFormat="1" customHeight="1" s="528">
      <c r="A66" s="88">
        <f>A65+1</f>
        <v/>
      </c>
      <c r="B66" s="497" t="inlineStr">
        <is>
          <t>income_main_amount_conf</t>
        </is>
      </c>
      <c r="C66" s="553" t="inlineStr">
        <is>
          <t>income_main_amount_conf</t>
        </is>
      </c>
      <c r="D66" s="523" t="inlineStr">
        <is>
          <t>Can you confirm the amount of income you just stated is correct?
[OPERATOR: IF THE AMOUNT EARNED FROM THIS INCOME SOURCE OVER THE PAST 3 MONTH IS INDEED OVER 1500000, CLICK ON CONTINUE. OTHERWISE, GO BACK AND CHANGE THE AMOUNT ENTERED.]
1)CONTINUE</t>
        </is>
      </c>
      <c r="E66" s="519">
        <f>LEN(D66)</f>
        <v/>
      </c>
      <c r="F66" s="554" t="inlineStr">
        <is>
          <t>Pouvez-vous confirmer que le montant que vous venez de déclarer est correct?
[OPÉRATEUR/OPÉRATRICE: SI LE MONTANT ISSU DE CETTE SOURCE DE REVENU AU COURS DES TROIS DERNIERS MOIS EST SUPÉRIEUR AU 1500000, CLIQUER SUR CONTINUER. SINON, REVENIR EN ARRIÈRE ET MODIFIER LE MONTANT SAISI.]
1)CONTINUER</t>
        </is>
      </c>
      <c r="G66" s="519">
        <f>LEN(F66)</f>
        <v/>
      </c>
      <c r="H66" s="698" t="inlineStr">
        <is>
          <t xml:space="preserve">Aw be se k’a sɛmɛntiya ko aw ye warida min fɔ sisan bɛnna wa? 
[SƆRƆBATIGI : NI WARIDA MIN SƆRƆ LA NIN SIRA FƐ KALO 3 TƐMƐNIN KƆNƆ TƐMƐNA 150000 KAN, I KA NƆCƐ DIGI. N’O TƐ, I KA SEGI KƆFƐ KA WARIDA MIN SƐBƐNNA YƐLƐMA]. 
1)NƆCƐ 
</t>
        </is>
      </c>
      <c r="I66" s="699">
        <f>LEN(H66)</f>
        <v/>
      </c>
      <c r="J66" s="698" t="inlineStr">
        <is>
          <t xml:space="preserve">Ko buudu lugo kaana mi e ô tɔ̃ɲɔ̃-i?
[BIRƐ MA KŨ BAŋA : ÃRÃKUɟU 3 DUWÕ KU BƐRƐ BUUDU HADU BE BƐRƐRA BUUDU MUƝU 150000 LE IRE LEJ. SARAGARA I DƆƆGO LEJ NA U GUN LE PILUWE MINE TƆŋƆ̃ KUNO I].
1)ɟIɟƐ GARA
</t>
        </is>
      </c>
      <c r="K66" s="699">
        <f>LEN(J66)</f>
        <v/>
      </c>
      <c r="L66" s="698" t="inlineStr">
        <is>
          <t xml:space="preserve">Ngu hiin ku taabati kan ciimo no nooro kan nne ?
[HANKAA : AL WOK AL BOORA DO HADU HIINZA KAN BISSA, AGU BISSA 150000, KARU KOY JIINE BON. AL MATE WOO DINOH KA BANDE DEM NOORA HANSE ].
1)KOY JIINAA
</t>
        </is>
      </c>
      <c r="M66" s="699">
        <f>LEN(L66)</f>
        <v/>
      </c>
      <c r="N66" s="698" t="inlineStr">
        <is>
          <t>Tadobem asidutem as hadi nagaraw wa tisiknam eqal oɣadan ?
[EMASESTƏN: AFAL HADI NAWA ATWAGRAWAN ƏN TABARAT TEN ƏN AGARAW DAƔ KARAD URAN WI ILKAMNEN EQAL OGARAN 150 000 ƏFA, AGIŠ FAL UKIY. AFAL BABO, AQILID ƏZDARAƬ ƏD SIMUTIY HADI WA TIGED].
1)AKIYAT</t>
        </is>
      </c>
      <c r="O66" s="699">
        <f>LEN(N66)</f>
        <v/>
      </c>
      <c r="P66" s="700" t="inlineStr">
        <is>
          <t xml:space="preserve">Na on heɓi ngonndinde ke adadu buuɓi keɓal ɗi mbiiɗon ɗi wo noon?
[GOLLOOWO : SO CEEDE MURSAAƊE E ON JAAGU LEY LEBBI 3 SAKITIIƊI ƊI NA ƁURI 150 000 NI ADON YEESO SO WAAWA NON DU ITTIRON GAƊƊA DE MBATTITON CEEDE MBINNDAA ƊE ƊEN].
1)YEESO
</t>
        </is>
      </c>
      <c r="Q66" s="503" t="n"/>
      <c r="R66" s="538" t="inlineStr">
        <is>
          <t>Single Choice</t>
        </is>
      </c>
      <c r="S66" s="500" t="inlineStr">
        <is>
          <t>NA</t>
        </is>
      </c>
      <c r="T66" s="500" t="inlineStr">
        <is>
          <t>NA</t>
        </is>
      </c>
      <c r="U66" s="500" t="inlineStr">
        <is>
          <t>Form Type - Buttons</t>
        </is>
      </c>
      <c r="V66" s="503" t="n"/>
      <c r="W66" s="539" t="inlineStr">
        <is>
          <t>1 = income_main_gender</t>
        </is>
      </c>
      <c r="X66" s="555" t="n"/>
      <c r="Y66" s="174" t="inlineStr">
        <is>
          <t>if income_main_amount_conf = 1, go to income_main_comp or optional question</t>
        </is>
      </c>
      <c r="Z66" s="174" t="n"/>
      <c r="AA66" s="82" t="n"/>
      <c r="AB66" s="526">
        <f>1</f>
        <v/>
      </c>
      <c r="AC66" s="527" t="n"/>
      <c r="AE66" s="529" t="inlineStr">
        <is>
          <t>no</t>
        </is>
      </c>
      <c r="AF66" s="243" t="n"/>
      <c r="AI66" s="45" t="n">
        <v>2.227367401123047</v>
      </c>
      <c r="AJ66" s="45">
        <f>IF(AI66="","",AI66*AB66)</f>
        <v/>
      </c>
    </row>
    <row r="67" ht="232.5" customHeight="1">
      <c r="A67" s="88">
        <f>A66+1</f>
        <v/>
      </c>
      <c r="B67" s="541" t="inlineStr">
        <is>
          <t>income_main_gender</t>
        </is>
      </c>
      <c r="C67" s="542" t="inlineStr">
        <is>
          <t>income_main_gender</t>
        </is>
      </c>
      <c r="D67" s="543" t="inlineStr">
        <is>
          <t>What is the gender of the household member[s] generating income from {income_main}?
[OPERATOR: SINGLE RESPONSE.]
1)Male
2)Female
3)Joint [both male &amp; female]
4)DON'T KNOW
5)REFUSED</t>
        </is>
      </c>
      <c r="E67" s="274">
        <f>LEN(D67)</f>
        <v/>
      </c>
      <c r="F67" s="370" t="inlineStr">
        <is>
          <t>Quel est le sexe du ou des membres du ménage qui génèrent des revenus de {income_main}?
[OPÉRATEUR/OPÉRATRICE: RÉPONSE UNIQUE].
1)Homme
2)Femme
3)Mixte [homme et femme]
4)NE SAIT PAS
5)REFUSÉ</t>
        </is>
      </c>
      <c r="G67" s="274">
        <f>LEN(F67)</f>
        <v/>
      </c>
      <c r="H67" s="368" t="inlineStr">
        <is>
          <t>Gwasokɔnɔ mɔgɔ/mɔgɔw min bɛ sɔrɔda min bɔɔra {income_main} lana gwasokɔnɔ ye cɛɛ wala muso?
[NIENIGALI KÈLA : DIABI KELEN]
1)TIÈ
2)MOUSO
3)Mɔgɔ kelen tɛ [cɛɛ ani muso]
4)A MA DON
5)A BAN NA</t>
        </is>
      </c>
      <c r="I67" s="274">
        <f>LEN(H67)</f>
        <v/>
      </c>
      <c r="J67" s="368" t="inlineStr">
        <is>
          <t>E ke uro inen kaa-pana {income_main} gɔ̃rãn nà bɛy an-ii máa ɲen-ii ? màa inen turu-i làa ley nà , ãrũm-ii bá máa ɲem-ii bá ?
[SEROUMOU SEROUMOUNE: YABIYIRI TOUROU DJEGNE]
1)Ãn. 
2)Ɲen. 
3) Gãrũ-gãrĩ-i [ãrũm bée ɲem bée-i]
4)ɟUGƆGO. 
5)JƆWƆLI.</t>
        </is>
      </c>
      <c r="K67" s="274">
        <f>LEN(J67)</f>
        <v/>
      </c>
      <c r="L67" s="369" t="inlineStr">
        <is>
          <t xml:space="preserve">
Er huwo bor kaŋ gu du hay {income_main} do  alboro no wala weyboro no ?
[HANKOYO: DJAABI FO]
1)AROU
2)WEY
3)I kulu [alboro ndu weyboro]
4) A CHI BEY
5)A WANDJI</t>
        </is>
      </c>
      <c r="M67" s="85">
        <f>LEN(L67)</f>
        <v/>
      </c>
      <c r="N67" s="368" t="inlineStr">
        <is>
          <t>Mayqal/ awadəm ən amazaɣ wa ditakasan agaraw {income_main}?
[AMASSASTAN: ASSOUDMARE IYANE]
1)AHALISSE
2)TAMATE
3)Ayertayan [medən əd deden]
4)WARISSENAGHUE
5)OUDJAYEGHUE</t>
        </is>
      </c>
      <c r="O67" s="85">
        <f>LEN(N67)</f>
        <v/>
      </c>
      <c r="P67" s="368" t="inlineStr">
        <is>
          <t>Nyaamooɓe jawdi {income_main} nder ɓaade  mooɗon ɓen yo rewɓe naa worɓe?
[LANDOTOODO : DJABOU GOTO TAN]
1)Gorko
2)Debo
3) Fuh no hawritin [worɓe e rewɓe]
4)MI ANDA
5)SALAADE</t>
        </is>
      </c>
      <c r="Q67" s="274">
        <f>LEN(P67)</f>
        <v/>
      </c>
      <c r="R67" s="275" t="inlineStr">
        <is>
          <t>Single Choice</t>
        </is>
      </c>
      <c r="S67" s="274" t="inlineStr">
        <is>
          <t>NA</t>
        </is>
      </c>
      <c r="T67" s="274" t="inlineStr">
        <is>
          <t>NA</t>
        </is>
      </c>
      <c r="U67" s="274" t="inlineStr">
        <is>
          <t>Form Type - Buttons</t>
        </is>
      </c>
      <c r="V67" s="40" t="inlineStr">
        <is>
          <t>NA</t>
        </is>
      </c>
      <c r="W67" s="122" t="inlineStr">
        <is>
          <t>1-5 = income_main_control</t>
        </is>
      </c>
      <c r="X67" s="544" t="n"/>
      <c r="Y67" s="545" t="inlineStr">
        <is>
          <t>if options #1-4, go to [income_main_comp OR income_main_amount]</t>
        </is>
      </c>
      <c r="Z67" s="174" t="n"/>
      <c r="AA67" s="43" t="inlineStr">
        <is>
          <t>resp_age = 18-100
hh_agricactivity = 1 | 2 | 3 | 4
quotareached = 2
income_main =  1-18</t>
        </is>
      </c>
      <c r="AB67" s="55" t="n"/>
      <c r="AC67" s="45" t="n">
        <v>17</v>
      </c>
      <c r="AD67" s="280">
        <f>1</f>
        <v/>
      </c>
      <c r="AE67" s="45">
        <f>AC67*AD67</f>
        <v/>
      </c>
    </row>
    <row r="68" ht="226.5" customHeight="1">
      <c r="A68" s="88">
        <f>A67+1</f>
        <v/>
      </c>
      <c r="B68" s="530" t="inlineStr">
        <is>
          <t>income_main_control</t>
        </is>
      </c>
      <c r="C68" s="155" t="inlineStr">
        <is>
          <t>income_main_control</t>
        </is>
      </c>
      <c r="D68" s="546" t="inlineStr">
        <is>
          <t>Who controls the revenue that is earned from {income_main}? 
[OPERATOR: SINGLE RESPONSE.]
1)Male household member[s]
2)Female household member[s]
3)Joint household members [both female &amp; male]
4)DON'T KNOW
5)REFUSED</t>
        </is>
      </c>
      <c r="E68" s="156">
        <f>LEN(D68)</f>
        <v/>
      </c>
      <c r="F68" s="28" t="inlineStr">
        <is>
          <t>Qui contrôle les revenus qui proviennent de {income_main}? 
[OPÉRATEUR/OPÉRATRICE: RÉPONSE UNIQUE].
1)Membre[s] masculin[s] du ménage
2)Membre[s] féminin[s] du ménage
3)Membres du ménage conjointement [femme et homme]
4)NE SAIT PAS
5)REFUSÉ</t>
        </is>
      </c>
      <c r="G68" s="274">
        <f>LEN(F68)</f>
        <v/>
      </c>
      <c r="H68" s="546" t="inlineStr">
        <is>
          <t>Jon lo bɛ sɔrɔda min bɔɔra {income_main} nin mara?
[NIENIGALI KÈLA : DIABI KELEN]
1)Gwasomɔgɔ min ye cɛɛ/cɛɛw ye
2)Gwasomɔgɔ min ye muso/musow ye
3)Gwasomɔgɔ kelen tɛ [cɛɛ ani muso]
4)A MA DON
5)A BAN NA</t>
        </is>
      </c>
      <c r="I68" s="156">
        <f>LEN(H68)</f>
        <v/>
      </c>
      <c r="J68" s="546" t="inlineStr">
        <is>
          <t>Kò kaapana {income_main} lè gó-ra , aa-i kò oju lè ijɛn-i ?
[OPERATOR: SINGLE RESPONSE.]
1) Uro inen [inem] an [ãrũm bé]
2) Uro inen [inem] ɲen [ɲem bé]
3) Uro inem bé mɔɔn-i [ãrũm bée ɲem bée]
4)ɟUGƆGO. 
5)JƆWƆLI.</t>
        </is>
      </c>
      <c r="K68" s="156">
        <f>LEN(J68)</f>
        <v/>
      </c>
      <c r="L68" s="546" t="inlineStr">
        <is>
          <t>Mey no ngu hawgey ndu huwo duurey kaŋ gu hun {income_main}?
[HANKOYO: DJAABI FO]
1)Uwo boro alboro
2)Huwo boro weyboro
3)Huwo borey alberey [alborey ndu weyborey]
4)A CHI BEY
5)A WANDJI</t>
        </is>
      </c>
      <c r="M68" s="274">
        <f>LEN(L68)</f>
        <v/>
      </c>
      <c r="N68" s="546" t="inlineStr">
        <is>
          <t>Way anihadan ye garawan wi dahanen əs {income_main}?
[EMASESTƏN : ALƏƔI IYANDAƔ].
1)Awadəm ən ahalis ən amazaɣ 
2)Awadəm ən tamat ən amazaɣ 
3)Adinat artaynen ən amazaɣ [medən əd deden]
4)WARISENAƔ
5)UGAY</t>
        </is>
      </c>
      <c r="O68" s="274">
        <f>LEN(N68)</f>
        <v/>
      </c>
      <c r="P68" s="546" t="inlineStr">
        <is>
          <t>Moy hawjii jawdi mooɗon ƴuwoori e {income_main}?
[LANDOTOODO : DJABOU GOTO TAN]
1) Gorko maa worɓe jeyaaɓe nder ɓaade nden 
2) Debbo maa rewɓe jeyaaɓe nder ɓaade nden 
3) Dewlonndirɓe nder ɓaade nden [worɓe e rewɓe]
4)MI ANDA
5)SALAADE</t>
        </is>
      </c>
      <c r="Q68" s="274">
        <f>LEN(P68)</f>
        <v/>
      </c>
      <c r="R68" s="275" t="inlineStr">
        <is>
          <t>Single Choice</t>
        </is>
      </c>
      <c r="S68" s="274" t="inlineStr">
        <is>
          <t>NA</t>
        </is>
      </c>
      <c r="T68" s="274" t="inlineStr">
        <is>
          <t>NA</t>
        </is>
      </c>
      <c r="U68" s="274" t="inlineStr">
        <is>
          <t>Form Type - Buttons</t>
        </is>
      </c>
      <c r="V68" s="40" t="inlineStr">
        <is>
          <t>NA</t>
        </is>
      </c>
      <c r="W68" s="122" t="inlineStr">
        <is>
          <t>1-5 = income_main_comp</t>
        </is>
      </c>
      <c r="X68" s="547" t="n"/>
      <c r="Y68" s="548" t="inlineStr">
        <is>
          <t>If the income amount is over the threshold set in "Additional information", the respondent will be asked to confirm with income_main_amount_conf. Otherwise, go to income_main_comp.</t>
        </is>
      </c>
      <c r="Z68" s="549" t="n"/>
      <c r="AA68" s="66" t="inlineStr">
        <is>
          <t>resp_age = 18-100
hh_agricactivity = 1 | 2 | 3 | 4
quotareached = 2
income_main = 1-18</t>
        </is>
      </c>
      <c r="AB68" s="550" t="inlineStr">
        <is>
          <t>We recommend using this pair of questions together.</t>
        </is>
      </c>
      <c r="AC68" s="45" t="n">
        <v>40.04731750488281</v>
      </c>
      <c r="AD68" s="280">
        <f>1</f>
        <v/>
      </c>
      <c r="AE68" s="45">
        <f>AC68*AD68</f>
        <v/>
      </c>
    </row>
    <row r="69" ht="309" customHeight="1">
      <c r="A69" s="88">
        <f>A68+1</f>
        <v/>
      </c>
      <c r="B69" s="56" t="inlineStr">
        <is>
          <t>income_main_comp</t>
        </is>
      </c>
      <c r="C69" s="48" t="inlineStr">
        <is>
          <t>income_main_comp</t>
        </is>
      </c>
      <c r="D69" s="167" t="inlineStr">
        <is>
          <t>Has your household's income from {income_main} changed in the last 3 months compared to the same period of a normal year?
[OPERATOR: SINGLE RESPONSE.]
1)A lot more [increased by more than 50%]
2)Slightly more
3)Same
4)Slightly less
5)A lot less [less than half as much]
6)DON'T KNOW
7)REFUSED</t>
        </is>
      </c>
      <c r="E69" s="27">
        <f>LEN(D69)</f>
        <v/>
      </c>
      <c r="F69" s="167" t="inlineStr">
        <is>
          <t>Le revenu de votre ménage provenant de {income_main} a-t-il changé au cours des trois derniers mois par rapport à la même période d'une annee normale'?
[OPÉRATEUR/OPÉRATRICE: RÉPONSE UNIQUE.]
1)Très supérieur [augmentation de plus de 50%]
2)Légèrement supérieur
3)Identique
4)Légèrement inférieur
5)Très inférieur [moins de la moitié]
6)NE SAIT PAS
7)REFUSÉ</t>
        </is>
      </c>
      <c r="G69" s="27">
        <f>LEN(F69)</f>
        <v/>
      </c>
      <c r="H69" s="82" t="inlineStr">
        <is>
          <t>Aw ka gwaso ka sɔrɔ min bɔra {income_main} fɛ yɛlɛmana kalo 3 tɛmɛnin kɔnɔ ka kaɲa n’o waati ɲɔgɔn saan tɛmɛniw ye wa ? 
[NIENIGALI KÈLA: DIABI KELEN]
1)Kosɔbɛ kɛ [dɔ fara la ka ta tɛmɛ a 50% yɛrɛ kan]. 
2)Dɔɔni fara la. 
3)A bɛɛ ye kelen ye. 
4)Dɔɔni bɔra a la 
5)Caaman bɔra la [a ma se a camancɛ ma]
6)NE MA DON
7)A BAN NA</t>
        </is>
      </c>
      <c r="I69" s="27">
        <f>LEN(H69)</f>
        <v/>
      </c>
      <c r="J69" s="82" t="inlineStr">
        <is>
          <t>Ko ɛɛ 3 dũwõ kũ bɛrɛ, e uro ma assɛgɛ {income_main}  le e bɛrɛ bilwa maa di e bɛrɛ wɛɛɟɛ djin kɔ?
[BIRƐ MA KŨ BAŋA : UɟURU KƆ TURU LE BE SAA-I]
1)Boŋoo bara [50% baa barà]. 
2)Dagaa bara. 
3)Balii gamali [kɛw] 
4)Dagaa gama. 
5)Boŋoo gama [ko ɟɛrɛ-i gama].
6)ɟUGƆGO. 
7)JƆWƆLI.</t>
        </is>
      </c>
      <c r="K69" s="27">
        <f>LEN(J69)</f>
        <v/>
      </c>
      <c r="L69" s="82" t="inlineStr">
        <is>
          <t>Nooro kan nooh er huwoo {income_main}  kul du hand 3 kan bissa er bey ku duwaa jiiroo hiinne waatoo ga ?
[HANKOYO: DJAABI FO]
1)A gu bis woo lay [gooruri 50 % wal tonton].  
2)a gu bissa keyna  .  
3)I kul ifo .  
4)A su toora . 
5)A su toora lay [ciina toora]
6) A CHI BEY
7)A WANDJI</t>
        </is>
      </c>
      <c r="M69" s="27">
        <f>LEN(L69)</f>
        <v/>
      </c>
      <c r="N69" s="82" t="inlineStr">
        <is>
          <t xml:space="preserve">Agaraw ən alɣayal nawan wa dizagaran ən {income_main} yala aliɣat ɣur karad uran wi ilkamnen ye alwaq wendaɣ ən awatay əmda ?
[EMASESTƏN : ALƏƔI IYANDAƔ].
1)Ajen ogaran [asiwid ən ogaran 50%]. 
2)Andiran ogaran. 
3)Olahnen. 
4)Andiran midriyan.                                                 
5)Ajen madriyan [amidriyan ən tizune]. 
6)WARISENAƔ. 
7)UGAY </t>
        </is>
      </c>
      <c r="O69" s="27">
        <f>LEN(N69)</f>
        <v/>
      </c>
      <c r="P69" s="82" t="inlineStr">
        <is>
          <t>Noy ceede coogguuji hanndeeji ɗi {income_main} ɗi ɓaade mooɗon soonnata ɗin ngoorri hannden e no coogguuji ɗin mboowunoo woorrude e hitaande nde tiiɗorma fuh waɗaay?
[LANDOTOODO : DJABOU GOTO TAN]
1)No ɓuri no woowirnoo non sanne [ɓeydagol ceede coogguuji faa hewti 50%]
2)No ɓuri no woowirnoo non seeɗa. 
3)yo foodu. 
4)Ñakii no woowirnoo non seeɗa. 
5)Ñakii no woowirnoo non sanne [Hewtaay fay feccere no woowirnoo].
6)MI ANDA
7)SALAADE</t>
        </is>
      </c>
      <c r="Q69" s="27">
        <f>LEN(P69)</f>
        <v/>
      </c>
      <c r="R69" s="63" t="inlineStr">
        <is>
          <t>Single Choice</t>
        </is>
      </c>
      <c r="S69" s="27" t="inlineStr">
        <is>
          <t>NA</t>
        </is>
      </c>
      <c r="T69" s="27" t="inlineStr">
        <is>
          <t>NA</t>
        </is>
      </c>
      <c r="U69" s="27" t="inlineStr">
        <is>
          <t>Form Type - Buttons</t>
        </is>
      </c>
      <c r="V69" s="40" t="inlineStr">
        <is>
          <t>NA</t>
        </is>
      </c>
      <c r="W69" s="168" t="inlineStr">
        <is>
          <t>1-7= income_sec</t>
        </is>
      </c>
      <c r="X69" s="326" t="n"/>
      <c r="Y69" s="309" t="inlineStr">
        <is>
          <t>if income_main_comp = 1-7, go to income_sec</t>
        </is>
      </c>
      <c r="Z69" s="373" t="n"/>
      <c r="AA69" s="66" t="inlineStr">
        <is>
          <t>resp_age = 18-100
hh_agricactivity = 1 | 2 | 3 | 4
quotareached = 2
income_main = 1-18</t>
        </is>
      </c>
      <c r="AB69" s="67" t="n"/>
      <c r="AC69" s="111" t="n">
        <v>27.24216651916504</v>
      </c>
      <c r="AD69" s="374">
        <f>1</f>
        <v/>
      </c>
      <c r="AE69" s="111">
        <f>AC69*AD69</f>
        <v/>
      </c>
    </row>
    <row r="70" ht="409.6" customHeight="1">
      <c r="A70" s="88">
        <f>A69+1</f>
        <v/>
      </c>
      <c r="B70" s="56" t="inlineStr">
        <is>
          <t>income_sec</t>
        </is>
      </c>
      <c r="C70" s="48" t="inlineStr">
        <is>
          <t>income_sec</t>
        </is>
      </c>
      <c r="D70" s="43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0" s="27">
        <f>LEN(D70)</f>
        <v/>
      </c>
      <c r="F70" s="82"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70" s="27">
        <f>LEN(F70)</f>
        <v/>
      </c>
      <c r="H70" s="38" t="inlineStr">
        <is>
          <t>Aw ka gwaso sɔrɔda fisaman filanan tun bɛ bɔɔra min kalo 3 tɛmɛni na?
[SƆRƆBATIGI:JAABILI KELEN. AW YE BANBA KA BANNI JAABILI KƐɲƐ N'AW BƐ SE.]
1)Sumankisɛ sɔrɔta ani a feereli
2)Nanfɛnkɛnɛ sɔrɔta ani a feereli 
3)Jagofɛnsɛnɛ sɔrɔta ani a feereli 
4)Bɛgɛnbuguyabaara sɔrɔta ani Bɛgɛnw fɛnw feereli
5)Libɔbaara ani li fɛnw feereli
6)Jɛgɛ mɔni ani jɛgɛ feereli
7)Dɔgɔ sɔrɔta ani a feereli walima kungɔyiri fɛnw feereli 
8)Sɛnɛfɛnw jago MIN Tɛ SɛNɛKɛ BAARA YE [sɛnɛkɛcogokɔrɔ wala sɛnɛkɛcogokɔrɔ]
9)Don o don sɛnɛbaara sara wala walanbiri baara sara 
10)Sɛnɛkɛyccrcc basigini baara
11)Baara wɛrɛ min tɛ sɛnɛ baara ye kɛnyɛrɛ baara walima / dɔgɔtɔrɔ / Sojɔ baw / avoka / dumuni dumunikɛyɔrɔ
12)Don o don sara baara min tɛ sɛnɛ baara komi baara misɛnw
13)basigini baara mi tɛ sɛnɛ baara ye
14)Gofɛrɛnɛma baara 
15)Sɔrɔda wɛrɛ min tɛ bɔ baara la /nilifɛn 
16)ɔrɔda wɛrɛ min tɛ bɔ baara la / dɛmɛ/rɛtrɛtɛ sara/ dɛmɛ
17)ɔrɔda wɛrɛ min tɛ bɔ baara la / nilifɛn
18)ɔrɔda wɛrɛ min tɛ bɔ baara la /sɔrɔda min bɔra baara wɛrɛ fan fɛ
19)sɔrɔda fisaman filanan tɛ yen
20)NE MA DON
21)A BAN NA</t>
        </is>
      </c>
      <c r="I70" s="27">
        <f>LEN(H70)</f>
        <v/>
      </c>
      <c r="J70" s="167" t="inlineStr">
        <is>
          <t>Rãkuju taan dũwõ kũũ bɛ̀rɛ̀, kaa-pana jɛrɛ gaara é bɛra-ra mà bɛ̀rɛ̀ jɔkɔy ley-nɛ-i?
[BIRƐ BAŊA : KÁA SÁARÁ TÚRÚ-I. KÒ NÚMÓ BÈ YƆ́WƆ́-LÌ CƐ́W, MÁYNÀ-SÀ BÈ LÉY, KÒ WƆ̀SƆ̀̀ I].
1)Dɛ̃rɛ̃ ná bè bìrúu ko dɔ̃̀rṹũ
2) Niŋe màsɔmɔ̃ɲ bèe/ màa tĩwẽ ĩ bèe mà cénúu ko dɔ̃̀rṹũ 
3) Daaganay mà kaa ɲey bè cénuu kò dɔ̃rũũ
4) Asɛgɛ bè maŋuu kò dɔ̃rũũ/ màa asɛgɛ bè nɛ́ɛmà
5) ɲuŋ mà cénuu kò dɔ̃rũũ màa ɲuŋ céenu cɛ́ jɛrɛ-kɔ
6) Iiju ayi kò dɔ̃rũũ
7) tĩ́wẽ́ kúrɔ́ bée tĩwẽ ĩ bée mà gɔ̃yi ko dɔ̃rũũ màa éjú nɔwɔ̃ bè
8) cɛ́ dɔ̃rɔ̃ mà wàrù/ wárú-wáràm beru mɔ̃rɔ̃ là [atɛmɛrɛ̃ màa jire ɛ́ nam].
9) Saradiŋe bɛ̀rɛ́ mà ninuwõ bírɛ́/ màa wárú oju kaa lè kò jin tɔ̀ɔn mà birɛ làgá
10) Wárú là ójú káa lè bírɛ́ tɔ̀jɔ̀-ɛ̀jú sâ
11) Wárù-waran-i láa birɛ-birɛn ɛnɛ mà kũ jéré bɛ́rɛ́n/ ɛnɛ mà bírɛ mà jugɔ sanin/dɔgɔtɔrɔ/maarã mà kũ baŋã/ábóká[zúzú]/yáŋà yá òtól dɔ̃́rɔ̃́m lèdɔ́ɔ
12)Ninuwõ birɛ/ waru mà numo lèmɔrɔ̃-laa kò mà birɛ daga-daga laga beru kãrã mɔrɔ̃-lá
13)Birɛ tɔjɔ sâ ɛju/ waru lè mɔrɔ̃-lá
14)Gɔbɔnɛɛru mà birɛ
15)Kaa-pana bírɛ́ bìrɛ̀ may bè bɛrɛy láa/jákà
16)Kaa-pana bírɛ́ bìrɛ̀ may bè bɛrɛy láa/jugɔ mà oy/jã́/prozé màoy
17)Kaa-pana bírɛ́ bìrɛ̀ may bè bɛrɛy láa/dii lé bèbɛrɛy
18)Kaa-pana bírɛ́ bìrɛ̀ may bè bɛrɛy láa/lwasu laga beru bèbɛrɛy
19) Kaa-pana jɛrɛ ɛjii bè bɛra-ra kò ley-nɛ kɔrɔ
20)ɟUGƆGO. 
21)JƆWƆLI.</t>
        </is>
      </c>
      <c r="K70" s="27">
        <f>LEN(J70)</f>
        <v/>
      </c>
      <c r="L70" s="167" t="inlineStr">
        <is>
          <t>Handu hĩzey wey ndu cere game, man no er huwo me gaaro go ku hun?
[HÃKA : ZAABI FOLLOŊ. ZAABEY SANDA "AY SU BEY" WALA "WENGEY" BORO MU SU YEEDA I GA].
1)Nongoro dumiizey neera
2)keli dumiizeyyoŋ wala tuuriizey kaŋ gu ŋa neera
3)Dumiize foyoŋ won neera
4)Almeney biiriyoŋo ku neereyoŋo ndu almeney ŋaarey neera
5)Yuwo teeyoŋo ndu yuwo neera ndu yuwo teegoyey jiney neera
6)Hamiisa biiriyoŋo ndu hamiisa neera
7)gengo ga turiizey ka ku neera
8)heyni neerekow kaŋ su goy ndu farkey [wey kaŋ go beyrey ga ndu wey kaŋ si beyrey ga].
9)Dimma kaŋ boro gu du dumiizey goyo ga faro wala nongoro ga
10)Goy jinekeyanta kaŋ boro du dumiizey goyo ga
11)boro boŋ la goyoy kaŋ mantu farim goy wala kabu goy /lokkotortarey/ cinkow/ avakatarey/ ndu ŋaari neerowkoy
12)zaariŋo ga baniya kaŋ mantu farmi goy/ walu bine goy bunbuney
13)goy jinekeyante kaŋ mantu farim goy
14)hino goy
15)dimma kaŋ boro gu hini ku du kaŋ mantu goyo ga /sargamey 
16)dimma kaŋ boro gu hini ku du kaŋ mantu goyo /nooro kaŋ i gu taŋ boro se/gaakusiney
17)dimma kaŋ boro gu hini ku du kaŋ su hun goyo do /noorey sambirey 
18)dimma kaŋ boro gu hini ku du kaŋ su hun goyo do /lowaso noorey 
19)Duuri nongori hĩkante do si 
20)A CHI BEY
21)A WANDJI</t>
        </is>
      </c>
      <c r="M70" s="27">
        <f>LEN(L70)</f>
        <v/>
      </c>
      <c r="N70" s="167" t="inlineStr">
        <is>
          <t xml:space="preserve">Əndekat tabarat ta sanatat ən garawan wi ogarnen tanfo dǎɣ amazaɣ nawan ɣur dǎɣ karad uran wi dokaynen?
[ƏMASESTƏN : ALIƔI IYANDǍƔ. TABARATEN ‘’WARISENAƔ’’ ƏD ‘’TUNGIT’’ ANIHAGA ADIQƏLNAT ATIWAYAN DǍƔ HADI ƏN TADABIT].
1)Igi əd ašiš ən sigyak wən santo
2)Igi əd ašiš ən izad meɣ əd samban
3)Igi əd ašiš ən sigyak wən asostan
4)Igi əd ašiš ən arizeg əd ilalan wan arizeg
5)Igi əd ašiš ən turawat meɣ ilalan wən ajamar ən zimbawan
6)Igi əd ašiš ən manan
7)Asidəw əd ašiš ən ilalan wən hiskan meɣ wən finta
8)Ašiš ən sigyak dǎɣ warahen magyakan [atiwasanen meɣ wənan atwasan]
9)Alhak wan dǎɣ ašal dǎɣ qalan əd iyad ašiɣilan ən dǎɣ alwaq dǎɣ tabarat tan sigyak
10)Ašiɣil adiken dǎɣ tabarat tan asigyik
11)Emašal ən manes winan eqel agayak meɣ əšiɣil ən manes/laķtor/ amuɣan/amadhal/dǎɣ iha emasakadaw
12)Alhak wa dǎɣ ašal dǎɣ wariha ašišiɣil ən nagayak əd iyad ašiɣilan nalwaq winan eqel agayak
13)Ašiɣil adiken dǎɣ tabarat ta winan taqel agayak
14)Ašiɣil wa adinat dak
15)Agaraw wənan diha əs əšiɣil/takute
16)Agaraw wənan əs əšiɣil/ alhak nəsikil/təmzal nalwaq/ tadhil ən adinat
17)Agaraw wənan dizger əšiɣil/tasawit ən Azruf
18)Agaraw wənan dizger dǎɣ əšiɣil/agayak niyad alhakan
19)Wartitila tabarat ta sanatat ən garawan wi ogarnen tanfo
20)WARISENAƔ. 
21)UGAY </t>
        </is>
      </c>
      <c r="O70" s="27">
        <f>LEN(N70)</f>
        <v/>
      </c>
      <c r="P70" s="167" t="inlineStr">
        <is>
          <t>Laawol kemrugol jawdi ɗiɗaɓol ngole woni ɓurungol semmbe nder ɓaade mooɗon ley duuɓi tati cakitiiɗi ɗii?
[GOLLOOWO : JAABU GOOTO. SUƁAADE "ANNDAA" ET "SALAGOL" NA HAANI TEWTEE HISEEDE NO WAAWIRAA FUH].
1) Remugol e soonnugol ko heɓaa ƴuuwde e demal ngal.
2) Remugol e soonnugol lu'ooji e ɓiɓɓe leɗɗe
3)Remugol e soonnugol demal pildeteengaL tino
4)Marugol e soonnugol daabaaji e ko ƴuwi e muuɗum en.
5) Waɗugol e soonnugol njuumndi maa ko ƴuwata e marugol nyaaki
6) Marugol e soonnugol liƴƴi
7) Tewtugol e soonnugol ɓiɓɓe leɗɗe maa kuukoy ladde
8) Jaagu  demal ko baka gollooɓe [anndanaaɓe maa ɓe anndanaaka]. 
9) Njoɓdi nyalooma-nyalooma nder hoggooji e golle wakkati-wakkati banngal demal.
10) Gollal duumiingal nder demal 
11) Gollanooɓe ko'e muɓɓen ko wanaa banngal demal maa gollal e muuyɗe joomum /lokotorooɓe /nyiɓooɓe /awokka /tawti e soonnooɓe neema.
12) Njoɓdi nyalooma-nyalooma ko baka demal walaa e golle wakkatiije ɗe ngaldaa.
13) Gollal duumiingal ngal waldaa e demal.
14) Gollal kawtaangal
15) Tino mo haɓdaaki e demal / ko hokkitiraa.
16) Tino mo haɓdaaki e demal / hokkareede / mballa banngal ceede /mballa yurmeende.
17) Tino mo ƴuwaay e gollal / nildeede ceede.
18) Tino mo ƴuwaay e gollal / tino luwaasi.
19) Laawol maangol kemrugol jawdi ɗiɗaɓol walaa
20)MI ANDA
21)SALAADE</t>
        </is>
      </c>
      <c r="Q70" s="27">
        <f>LEN(P70)</f>
        <v/>
      </c>
      <c r="R70" s="63" t="inlineStr">
        <is>
          <t>Single Choice</t>
        </is>
      </c>
      <c r="S70" s="27" t="inlineStr">
        <is>
          <t>NA</t>
        </is>
      </c>
      <c r="T70" s="27" t="inlineStr">
        <is>
          <t>NA</t>
        </is>
      </c>
      <c r="U70" s="27" t="inlineStr">
        <is>
          <t>Form Type - Buttons
Add all options manually
exclude selected "income_main"
IsDemographic</t>
        </is>
      </c>
      <c r="V70" s="40" t="inlineStr">
        <is>
          <t>NA</t>
        </is>
      </c>
      <c r="W70" s="435" t="inlineStr">
        <is>
          <t>1-3 = income_sec_crop_check
4 = income_sec_ls_check
5 = income_sec_amount
6 = income_sec_fish_check
7-18 = income_sec_amount
19-21 = shock</t>
        </is>
      </c>
      <c r="X70" s="492" t="n"/>
      <c r="Y70" s="308" t="inlineStr">
        <is>
          <t xml:space="preserve"> if options #1-3 selected go to income_sec_cropcheck 
if options #4 selected go to income_sec_lscheck 
if options #5 selected go to income_sec_fishcheck 
if options #6-18 selected, go to [income_sec_comp OR income_sec_amount OR income_sec_gender] 
if options #19-21 selected, go to shock</t>
        </is>
      </c>
      <c r="Z70" s="174" t="n"/>
      <c r="AA70" s="66" t="inlineStr">
        <is>
          <t>resp_age = 18-100
hh_agricactivity = 1 | 2 | 3 | 4
quotareached = 2
income_main = 1-18</t>
        </is>
      </c>
      <c r="AB70" s="67" t="n"/>
      <c r="AC70" s="111" t="n">
        <v>25.30800437927246</v>
      </c>
      <c r="AD70" s="374">
        <f>1</f>
        <v/>
      </c>
      <c r="AE70" s="111">
        <f>AC70*AD70</f>
        <v/>
      </c>
    </row>
    <row r="71" ht="204" customHeight="1">
      <c r="A71" s="88">
        <f>A70+1</f>
        <v/>
      </c>
      <c r="B71" s="36" t="inlineStr">
        <is>
          <t>income_sec_crop_check</t>
        </is>
      </c>
      <c r="C71" s="37" t="inlineStr">
        <is>
          <t>income_sec_crop_check</t>
        </is>
      </c>
      <c r="D71" s="438" t="inlineStr">
        <is>
          <t>Are the crops sold also produced by you or anyone in your household?
[OPERATOR: SINGLE RESPONSE.]
1)YES
2)NO
3)DON'T KNOW
4)REFUSED</t>
        </is>
      </c>
      <c r="E71" s="39">
        <f>LEN(D71)</f>
        <v/>
      </c>
      <c r="F71" s="166" t="inlineStr">
        <is>
          <t>Les cultures que vous vendez sont-elles produites par vous ou par un des membres de votre ménage ?
[OPÉRATEUR/OPÉRATRICE: RÉPONSE UNIQUE.]
1)Oui
2)Non
3)NE SAIT PAS
4)REFUSÉ</t>
        </is>
      </c>
      <c r="G71" s="27">
        <f>LEN(F71)</f>
        <v/>
      </c>
      <c r="H71" s="51" t="inlineStr">
        <is>
          <t>Aw be sɛnɛfɛn minw feere la, aw yɛrɛ de y’o sɛnɛ wala aw ka gwaso mɔgɔ dɔ de y’o sɛnɛ? 
[NIENIGALI KÈLA: DIABI KELEN]
1)ƆWƆ 
2)AYI 
3)NE MA DON
4)A BAN NA</t>
        </is>
      </c>
      <c r="I71" s="39">
        <f>LEN(H71)</f>
        <v/>
      </c>
      <c r="J71" s="51" t="inlineStr">
        <is>
          <t>Ko dɛ̃rɛ̃ mi e dɔ̃rããra, e kũ le è wara-i máá màà e uro nam wara-i?
[BIRƐ MA KŨ BAŋA : UɟURU KƆ TURU LE BE SAA-I]
1)ÉE
2)Ɔ̃-Ɔ̃
3)ɟUGƆGO. 
4)JƆWƆLI.</t>
        </is>
      </c>
      <c r="K71" s="39">
        <f>LEN(J71)</f>
        <v/>
      </c>
      <c r="L71" s="51" t="inlineStr">
        <is>
          <t>Farimo izez kan er go neere, ni bumbo wonney wal huwo boor fo wonney ? 
[HANKOYO:  MACHI TA KA HAR DJAABI FO]
1) AYYO
2) KALA
3) A CHI BEY
4) A WANDJI</t>
        </is>
      </c>
      <c r="M71" s="27">
        <f>LEN(L71)</f>
        <v/>
      </c>
      <c r="N71" s="51" t="inlineStr">
        <is>
          <t xml:space="preserve">Isigyak wihin tišišanmin aqalan adizgaran fal lawan meɣ fal awadim ən alɣayal nawan ?
[EMASESTƏN : ALƏƔI IYANDAƔ].
1)IYA
2)BABO.
3)WARISENAƔ. 
4)UGAY </t>
        </is>
      </c>
      <c r="O71" s="27">
        <f>LEN(N71)</f>
        <v/>
      </c>
      <c r="P71" s="82" t="inlineStr">
        <is>
          <t>Cogguuji mon ɗi jaagotoɗon ɗi onon ngaɗi naa wo neɗɗo gure mon?
[GOLLOOWO : JAWAABU GOOTO].
1)AYYO 
2)AA'A. 
3)ANNDA 
4)SALAADE</t>
        </is>
      </c>
      <c r="Q71" s="27">
        <f>LEN(P71)</f>
        <v/>
      </c>
      <c r="R71" s="48" t="inlineStr">
        <is>
          <t>Single Choice</t>
        </is>
      </c>
      <c r="S71" s="39" t="inlineStr">
        <is>
          <t>NA</t>
        </is>
      </c>
      <c r="T71" s="39" t="inlineStr">
        <is>
          <t>NA</t>
        </is>
      </c>
      <c r="U71" s="39" t="inlineStr">
        <is>
          <t>Form Type - Buttons</t>
        </is>
      </c>
      <c r="V71" s="40" t="inlineStr">
        <is>
          <t>NA</t>
        </is>
      </c>
      <c r="W71" s="435" t="inlineStr">
        <is>
          <t>1-4 =income_sec_amount</t>
        </is>
      </c>
      <c r="X71" s="492" t="n"/>
      <c r="Y71" s="308" t="inlineStr">
        <is>
          <t>if options #1-4, go to [income_sec_comp OR income_sec_amount OR income_sec_gender]</t>
        </is>
      </c>
      <c r="Z71" s="174" t="n"/>
      <c r="AA71" s="43" t="inlineStr">
        <is>
          <t>resp_age = 18-100
hh_agricactivity = 1 | 2 | 3 | 4
quotareached = 2
income_sec = 1 | 2 | 3</t>
        </is>
      </c>
      <c r="AB71" s="55" t="n"/>
      <c r="AC71" s="111" t="n"/>
      <c r="AD71" s="374">
        <f>1</f>
        <v/>
      </c>
      <c r="AE71" s="111">
        <f>AC71*AD71</f>
        <v/>
      </c>
    </row>
    <row r="72" ht="193.5" customHeight="1">
      <c r="A72" s="88">
        <f>A71+1</f>
        <v/>
      </c>
      <c r="B72" s="36" t="inlineStr">
        <is>
          <t>income_sec_ls_check</t>
        </is>
      </c>
      <c r="C72" s="37" t="inlineStr">
        <is>
          <t>income_sec_ls_check</t>
        </is>
      </c>
      <c r="D72" s="438" t="inlineStr">
        <is>
          <t>Are the livestock or livestock products sold also produced by you or anyone in your household?
[OPERATOR: SINGLE RESPONSE.]
1)YES
2)NO
3)DON'T KNOW
4)REFUSED</t>
        </is>
      </c>
      <c r="E72" s="39">
        <f>LEN(D72)</f>
        <v/>
      </c>
      <c r="F72" s="166" t="inlineStr">
        <is>
          <t>Le bétail et les produits du bétail que vous vendez sont-ils produits par vous par un des membres de votre ménage ?
[OPÉRATEUR/OPÉRATRICE: RÉPONSE UNIQUE.]
1)Oui
2)Non
3)NE SAIT PAS
4)REFUSÉ</t>
        </is>
      </c>
      <c r="G72" s="27">
        <f>LEN(F72)</f>
        <v/>
      </c>
      <c r="H72" s="51" t="inlineStr">
        <is>
          <t>Aw be bɛgɛnbalo fɛɛn minw feere la, aw yɛrɛ de y’o ladon wala aw ka gwaso mɔgɔ dɔ de y’a ladon? 
[NIENIGALI KÈLA: DIABI KELEN]
1)ƆWƆ 
2)AYI 
3)NE MA DON
4)A BAN NA</t>
        </is>
      </c>
      <c r="I72" s="39">
        <f>LEN(H72)</f>
        <v/>
      </c>
      <c r="J72" s="51" t="inlineStr">
        <is>
          <t>Ko assɛgɛ mi è dɔ̃rããra na, e kũ le è maŋa-i máá, màà è uro nam maŋa-i?
[BIRƐ MA KŨ BAŋA : UɟURU KƆ TURU LE BE SAA-I]
1)ÉE
2)Ɔ̃-Ɔ̃
3)ɟUGƆGO. 
4)JƆWƆLI.</t>
        </is>
      </c>
      <c r="K72" s="39">
        <f>LEN(J72)</f>
        <v/>
      </c>
      <c r="L72" s="51" t="inlineStr">
        <is>
          <t>Almaeney biiro izey kan er go neere, ni bumbo wonney wal huwo boor fo wonney ? 
[HANKOYO:  MACHI TA KA HAR DJAABI FO]
1) AYYO
2) KALA
3) A CHI BEY
4) A WANDJI</t>
        </is>
      </c>
      <c r="M72" s="27">
        <f>LEN(L72)</f>
        <v/>
      </c>
      <c r="N72" s="51" t="inlineStr">
        <is>
          <t xml:space="preserve">Arizeg əd aratan ən arizeg wa šanšem aqalan atigam kawaned me meɣ awadəm iyan ən alɣayal nawan ?
[EMASESTƏN : ALƏƔI IYANDAƔ].
1)IYA 
2)BABO.
3)WARISENAƔ. 
4)UGAY </t>
        </is>
      </c>
      <c r="O72" s="27">
        <f>LEN(N72)</f>
        <v/>
      </c>
      <c r="P72" s="82" t="inlineStr">
        <is>
          <t>Ɲaamee dammucce tawti kanji e ko'e ɗi sottoton, wo jeyan mon naa neɗɗo mooɗon?
[GOLLOOWO : JAWAABU GOOTO].
1)AYYO 
2)AA'A. 
3)ANNDA 
4)SALAADE</t>
        </is>
      </c>
      <c r="Q72" s="27">
        <f>LEN(P72)</f>
        <v/>
      </c>
      <c r="R72" s="48" t="inlineStr">
        <is>
          <t>Single Choice</t>
        </is>
      </c>
      <c r="S72" s="39" t="inlineStr">
        <is>
          <t>NA</t>
        </is>
      </c>
      <c r="T72" s="39" t="inlineStr">
        <is>
          <t>NA</t>
        </is>
      </c>
      <c r="U72" s="39" t="inlineStr">
        <is>
          <t>Form Type - Buttons</t>
        </is>
      </c>
      <c r="V72" s="40" t="inlineStr">
        <is>
          <t>NA</t>
        </is>
      </c>
      <c r="W72" s="435" t="inlineStr">
        <is>
          <t>1-4 = income_sec_amount</t>
        </is>
      </c>
      <c r="X72" s="492" t="n"/>
      <c r="Y72" s="308" t="inlineStr">
        <is>
          <t>if options #1-4, go to [income_sec_comp OR income_sec_amount OR income_sec_gender]</t>
        </is>
      </c>
      <c r="Z72" s="174" t="n"/>
      <c r="AA72" s="43" t="inlineStr">
        <is>
          <t>resp_age = 18-100
hh_agricactivity = 1 | 2 | 3 | 4
quotareached = 2
income_sec = 4</t>
        </is>
      </c>
      <c r="AB72" s="55" t="n"/>
      <c r="AC72" s="111" t="n"/>
      <c r="AD72" s="374">
        <f>1</f>
        <v/>
      </c>
      <c r="AE72" s="111">
        <f>AC72*AD72</f>
        <v/>
      </c>
    </row>
    <row r="73" ht="193.5" customHeight="1">
      <c r="A73" s="88">
        <f>A72+1</f>
        <v/>
      </c>
      <c r="B73" s="36" t="inlineStr">
        <is>
          <t>income_sec_fish_check</t>
        </is>
      </c>
      <c r="C73" s="37" t="inlineStr">
        <is>
          <t>income_sec_fish_check</t>
        </is>
      </c>
      <c r="D73" s="438" t="inlineStr">
        <is>
          <t>Are the fish or aquatic products sold also captured/harvested by you or anyone in your household?
[OPERATOR: SINGLE RESPONSE.]
1)YES
2)NO
3)DON'T KNOW
4)REFUSED</t>
        </is>
      </c>
      <c r="E73" s="39">
        <f>LEN(D73)</f>
        <v/>
      </c>
      <c r="F73" s="166" t="inlineStr">
        <is>
          <t>Les produits de la pêche / aquaculture que vous vendez sont-ils produits par vous ou par un membre de votre ménage ? 
[OPÉRATEUR/OPÉRATRICE: RÉPONSE UNIQUE.]
1)Oui
2)Non
3)NE SAIT PAS
4)REFUSÉ</t>
        </is>
      </c>
      <c r="G73" s="27">
        <f>LEN(F73)</f>
        <v/>
      </c>
      <c r="H73" s="51" t="inlineStr">
        <is>
          <t>Aw bɛ jɛgɛ min feere fana, nin aw gwasomɔgɔ walima aw yɛrɛ tun y'a mɔ wa?
[NIENIGALI KÈLA: DIABI KELEN]
1)ƆWƆ 
2)AYI 
3)NE MA DON
4)A BAN NA</t>
        </is>
      </c>
      <c r="I73" s="39">
        <f>LEN(H73)</f>
        <v/>
      </c>
      <c r="J73" s="51" t="inlineStr">
        <is>
          <t>Kò iijuu màa kò iiju ay mà oju kaa lè, cɛ́ é bɛrɛ, é dɔ̃rã-rã kũũ bée nàa, yallah é gɔ̃-rã máa é uro inen gɔ̃-rã ?
[BIRƐ MA KŨ BAŋA : UɟURU KƆ TURU LE BE SAA-I]
1)ÉE
2)Ɔ̃-Ɔ̃
3)ɟUGƆGO. 
4)JƆWƆLI.</t>
        </is>
      </c>
      <c r="K73" s="39">
        <f>LEN(J73)</f>
        <v/>
      </c>
      <c r="L73" s="51" t="inlineStr">
        <is>
          <t>Hamiisa wala tamohayey kaŋyoŋ er gu neere, er bumbey wala er huwo boro fo mu i di wala i tam ?
[HANKOYO:  MACHI TA KA HAR DJAABI FO]
1) AYYO
2) KALA
3) A CHI BEY
4) A WANDJI</t>
        </is>
      </c>
      <c r="M73" s="27">
        <f>LEN(L73)</f>
        <v/>
      </c>
      <c r="N73" s="51" t="inlineStr">
        <is>
          <t xml:space="preserve">Eman əd/meɣ ilalan wən ukis ən manan wi šašemin aqalan intanedǎɣ atiwarmasan meɣ atiwakasan əs hawan meɣ awadəm ən amazaɣ nawan?
[EMASESTƏN : ALƏƔI IYANDAƔ].
1)IYA  
2)BABO.
3)WARISENAƔ. 
4)UGAY </t>
        </is>
      </c>
      <c r="O73" s="27">
        <f>LEN(N73)</f>
        <v/>
      </c>
      <c r="P73" s="82" t="inlineStr">
        <is>
          <t>Liƴƴi maa e/maa ko ƴuwi e liƴƴagol ko coonnoton ɗum yo onon nanngi ɗi naa won no ɗum heɓiraa ƴuuwde aan e hoore maaɗa naa  yo ƴuuwde e jeyaaɗe nder ɓaade mooɗon?
[GOLLOOWO : JAWAABU GOOTO].
1)AYYO 
2)AA'A. 
3)ANNDA 
4)SALAADE</t>
        </is>
      </c>
      <c r="Q73" s="27">
        <f>LEN(P73)</f>
        <v/>
      </c>
      <c r="R73" s="48" t="inlineStr">
        <is>
          <t>Single Choice</t>
        </is>
      </c>
      <c r="S73" s="39" t="inlineStr">
        <is>
          <t>NA</t>
        </is>
      </c>
      <c r="T73" s="39" t="inlineStr">
        <is>
          <t>NA</t>
        </is>
      </c>
      <c r="U73" s="39" t="inlineStr">
        <is>
          <t>Form Type - Buttons</t>
        </is>
      </c>
      <c r="V73" s="40" t="inlineStr">
        <is>
          <t>NA</t>
        </is>
      </c>
      <c r="W73" s="435" t="inlineStr">
        <is>
          <t>1-4 =income_sec_amount</t>
        </is>
      </c>
      <c r="X73" s="492" t="n"/>
      <c r="Y73" s="308" t="inlineStr">
        <is>
          <t>if options #1-4, go to [income_sec_comp OR income_sec_amount OR income_sec_gender]</t>
        </is>
      </c>
      <c r="Z73" s="174" t="n"/>
      <c r="AA73" s="43" t="inlineStr">
        <is>
          <t>resp_age = 18-100
hh_agricactivity = 1 | 2 | 3 | 4
quotareached = 2
income_sec = 5</t>
        </is>
      </c>
      <c r="AB73" s="55" t="n"/>
      <c r="AC73" s="111" t="n"/>
      <c r="AD73" s="374">
        <f>1</f>
        <v/>
      </c>
      <c r="AE73" s="111">
        <f>AC73*AD73</f>
        <v/>
      </c>
    </row>
    <row r="74" ht="40.25" customFormat="1" customHeight="1" s="562">
      <c r="A74" s="567">
        <f>A73+1</f>
        <v/>
      </c>
      <c r="B74" s="568" t="inlineStr">
        <is>
          <t>income_sec_gender</t>
        </is>
      </c>
      <c r="C74" s="569" t="inlineStr">
        <is>
          <t>income_sec_gender</t>
        </is>
      </c>
      <c r="D74" s="570" t="inlineStr">
        <is>
          <t>What is the gender of the household member[s] generating income from {income_sec}?
[OPERATOR: SINGLE RESPONSE.]
1)Male 
2)Female
3)DON'T KNOW
4)REFUSED</t>
        </is>
      </c>
      <c r="E74" s="571">
        <f>LEN(D74)</f>
        <v/>
      </c>
      <c r="F74" s="570" t="inlineStr">
        <is>
          <t>Quel est le sexe du ou des membres du ménage qui génèrent des revenus de {income_sec}?
[OPÉRATEUR/OPÉRATRICE: RÉPONSE UNIQUE.]
1)Homme
2)Femme
3)NE SAIT PAS
4)REFUSÉ</t>
        </is>
      </c>
      <c r="G74" s="571">
        <f>LEN(F74)</f>
        <v/>
      </c>
      <c r="H74" s="572" t="inlineStr">
        <is>
          <t>Gwasokɔnɔ mɔgɔ/mɔgɔw min bɛ sɔrɔda min bɔɔra {income_sec} lana gwasokɔnɔ ye cɛɛ wala muso?
[NIENIGALI KÈLA : DIABI KELEN]
1)TIÈ
2)MOUSO
3)A MA DON
4)A BAN NA</t>
        </is>
      </c>
      <c r="I74" s="571">
        <f>LEN(H74)</f>
        <v/>
      </c>
      <c r="J74" s="572" t="inlineStr">
        <is>
          <t>Kò iijuu màa kò iiju ay mà oju kaa lè, cɛ́ é bɛrɛ, é dɔ̃rã-rã kũũ bée nàa, yallah {income_sec} é gɔ̃-rã máa é uro inen gɔ̃-rã?
[SEROUMOU SEROUMOUNE: YABIYIRI TOUROU DJEGNE]
1)Ãn. 
2)Ɲen. 
3)ɟUGƆGO. 
4)JƆWƆLI.</t>
        </is>
      </c>
      <c r="K74" s="571">
        <f>LEN(J74)</f>
        <v/>
      </c>
      <c r="L74" s="573" t="inlineStr">
        <is>
          <t>Er huwo bor kaŋ gu du hay {income_sec} do  alboro no wala weyboro no ?
[HANKOYO: DJAABI FO]
1)AROU
2)WEY
3) A CHI BEY
4)A WANDJI</t>
        </is>
      </c>
      <c r="M74" s="571">
        <f>LEN(L74)</f>
        <v/>
      </c>
      <c r="N74" s="572" t="inlineStr">
        <is>
          <t>Mayqal/ awadəm ən amazaɣ wa ditakasan igarawan dǎɣ {income_sec}?
[AMASSASTAN: ASSOUDMARE IYANE]
1)AHALISSE
2)TAMATE
3)WARISSENAGHUE
4)OUDJAYEGHUE</t>
        </is>
      </c>
      <c r="O74" s="571">
        <f>LEN(N74)</f>
        <v/>
      </c>
      <c r="P74" s="572" t="inlineStr">
        <is>
          <t>Nyaamoowo maa nyaamooɓe jawdi {income_sec} nder ɓaade  mooɗon ɓen yo rewɓe naa worɓe?
[LANDOTOODO : DJABOU GOTO TAN]
1)GORKO
2)DEBO
3)MI ANDA
4)SALAADE</t>
        </is>
      </c>
      <c r="Q74" s="571">
        <f>LEN(P74)</f>
        <v/>
      </c>
      <c r="R74" s="574" t="inlineStr">
        <is>
          <t>Single Choice</t>
        </is>
      </c>
      <c r="S74" s="571" t="inlineStr">
        <is>
          <t>NA</t>
        </is>
      </c>
      <c r="T74" s="571" t="inlineStr">
        <is>
          <t>NA</t>
        </is>
      </c>
      <c r="U74" s="571" t="inlineStr">
        <is>
          <t>Form Type - Buttons</t>
        </is>
      </c>
      <c r="V74" s="575" t="inlineStr">
        <is>
          <t>NA</t>
        </is>
      </c>
      <c r="W74" s="576" t="inlineStr">
        <is>
          <t>1-4 = income_sec_control</t>
        </is>
      </c>
      <c r="X74" s="459" t="n"/>
      <c r="Y74" s="556" t="inlineStr">
        <is>
          <t>if options #1-4, go to [income_sec_comp OR income_sec_amount]</t>
        </is>
      </c>
      <c r="Z74" s="557" t="n"/>
      <c r="AA74" s="558" t="inlineStr">
        <is>
          <t>resp_age = 18-100
hh_agricactivity = 1 | 2 | 3 | 4
quotareached = 2
income_sec =  1-18</t>
        </is>
      </c>
      <c r="AB74" s="559" t="n"/>
      <c r="AC74" s="560" t="n">
        <v>17</v>
      </c>
      <c r="AD74" s="561">
        <f>1</f>
        <v/>
      </c>
      <c r="AE74" s="560">
        <f>AC74*AD74</f>
        <v/>
      </c>
    </row>
    <row r="75" ht="40.25" customFormat="1" customHeight="1" s="562">
      <c r="A75" s="567">
        <f>A74+1</f>
        <v/>
      </c>
      <c r="B75" s="577" t="inlineStr">
        <is>
          <t>income_sec_control</t>
        </is>
      </c>
      <c r="C75" s="578" t="inlineStr">
        <is>
          <t>income_sec_control</t>
        </is>
      </c>
      <c r="D75" s="579" t="inlineStr">
        <is>
          <t>Who controls the revenue that is earned from {income_sec}? 
[OPERATOR: SINGLE RESPONSE.]
1)Male household member[s]
2)Female household member[s]
3)Joint household members [both female &amp; male]
4)DON'T KNOW
5)REFUSED</t>
        </is>
      </c>
      <c r="E75" s="580">
        <f>LEN(D75)</f>
        <v/>
      </c>
      <c r="F75" s="581" t="inlineStr">
        <is>
          <t>Qui contrôle les revenus qui proviennent de {income_sec}? 
[OPÉRATEUR/OPÉRATRICE: RÉPONSE UNIQUE].
1)Membre[s] masculin[s] du ménage
2)Membre[s] féminin[s] du ménage
3)Membres du ménage conjointement [femme et homme]
4)NE SAIT PAS
5)REFUSÉ</t>
        </is>
      </c>
      <c r="G75" s="571">
        <f>LEN(F75)</f>
        <v/>
      </c>
      <c r="H75" s="582" t="inlineStr">
        <is>
          <t>Jon lo bɛ sɔrɔda min bɔɔra {income_sec} nin mara?
[SƆRƆBATIGI: JAABILI KELEN.]
1)Gwasomɔgɔ min ye cɛɛ/cɛɛw ye
2)Gwasomɔgɔ min ye muso/musow ye
3)Gwasomɔgɔ kelen tɛ [cɛɛ ani muso]
4)A MA DON
5)A BAN NA</t>
        </is>
      </c>
      <c r="I75" s="580">
        <f>LEN(H75)</f>
        <v/>
      </c>
      <c r="J75" s="582" t="inlineStr">
        <is>
          <t>Kò kaa-pana {income_sec} lègó-ra , aa-i kò oju lè ijɛn-i ?
[BIRƐ BAŊA : KÁA SÁARÁ TÚRÚ-I].
1) Uro inen [inem] an [ãrũm bé]e
2) uro inen [inem] ɲen [ɲem bé]
3) uro inem bé mɔɔn-i [ãrũm bée ɲem bée].
4)ɟUGƆGO. 
5)JƆWƆLI.</t>
        </is>
      </c>
      <c r="K75" s="580">
        <f>LEN(J75)</f>
        <v/>
      </c>
      <c r="L75" s="582" t="inlineStr">
        <is>
          <t>Mey no ngu hawgey ndu huwo duurey kaŋ gu hun {income_sec} ?
[HANKOYO: DJAABI FO]
1)Uwo boro alboro
2)Huwo boro weyboro
3)Huwo borey alberey [alborey ndu weyborey]
4)A CHI BEY
5)A WANDJI</t>
        </is>
      </c>
      <c r="M75" s="580">
        <f>LEN(L75)</f>
        <v/>
      </c>
      <c r="N75" s="582" t="inlineStr">
        <is>
          <t>Əndek wa anihadan ye ataɣaman wi dizgarnen əd {income_sec}?
[ƏMASESTƏN : ALIƔI IYANDǍƔ].
1)Awadəm ən ahalis ən amazaɣ 
2)Awadəm ən tamat ən amazaɣ 
3)Adinat artaynen ən amazaɣ [medən əd deden]
4)WARISENAƔ
5)UGAY</t>
        </is>
      </c>
      <c r="O75" s="571">
        <f>LEN(N75)</f>
        <v/>
      </c>
      <c r="P75" s="579" t="inlineStr">
        <is>
          <t>Moy non hawjii jawdi mooɗon ƴuwoori e nder {income_sec}? 
.
[GOLLOOWO: JAABU GOOTO TAN].
1) Gorko maa worɓe jeyaaɓe nder ɓaade nden 
2) Debbo maa rewɓe jeyaaɓe nder ɓaade nden 
3) Dewlonndirɓe nder ɓaade nden [worɓe e rewɓe]
4)MI ANDA
5)SALAADE</t>
        </is>
      </c>
      <c r="Q75" s="571">
        <f>LEN(P75)</f>
        <v/>
      </c>
      <c r="R75" s="574" t="inlineStr">
        <is>
          <t>Single Choice</t>
        </is>
      </c>
      <c r="S75" s="571" t="inlineStr">
        <is>
          <t>NA</t>
        </is>
      </c>
      <c r="T75" s="571" t="inlineStr">
        <is>
          <t>NA</t>
        </is>
      </c>
      <c r="U75" s="571" t="inlineStr">
        <is>
          <t>Form Type - Buttons</t>
        </is>
      </c>
      <c r="V75" s="575" t="inlineStr">
        <is>
          <t>NA</t>
        </is>
      </c>
      <c r="W75" s="576" t="inlineStr">
        <is>
          <t>1-5 = income_sec_comp</t>
        </is>
      </c>
      <c r="X75" s="459" t="n"/>
      <c r="Y75" s="563" t="inlineStr">
        <is>
          <t>If the income amount is over the threshold set in "Additional information", the respondent will be asked to confirm with income_sec_amount_conf. Otherwise, go to income_sec_comp.</t>
        </is>
      </c>
      <c r="Z75" s="564" t="n"/>
      <c r="AA75" s="565" t="inlineStr">
        <is>
          <t>resp_age = 18-100
hh_agricactivity = 1 | 2 | 3 | 4
quotareached = 2
income_sec = 1-18</t>
        </is>
      </c>
      <c r="AB75" s="566" t="inlineStr">
        <is>
          <t>We recommend using this pair of questions together.
Nous vous recommandons d'utiliser ces deux questions ensemble.</t>
        </is>
      </c>
      <c r="AC75" s="560" t="n">
        <v>30.82847023010254</v>
      </c>
      <c r="AD75" s="561">
        <f>1</f>
        <v/>
      </c>
      <c r="AE75" s="560">
        <f>AC75*AD75</f>
        <v/>
      </c>
    </row>
    <row r="76" ht="136" customFormat="1" customHeight="1" s="528">
      <c r="A76" s="551">
        <f>A73+1</f>
        <v/>
      </c>
      <c r="B76" s="497" t="inlineStr">
        <is>
          <t>income_sec_amount</t>
        </is>
      </c>
      <c r="C76" s="498" t="inlineStr">
        <is>
          <t>income_sec_amount</t>
        </is>
      </c>
      <c r="D76" s="523" t="inlineStr">
        <is>
          <t>How much was earned [in CFA] from your second main income source, {income_sec}, in the past 3 months ?
[OPERATOR: MAKE SURE THE INFORMATION IS RECORDED IN THE CORRECT CURRENCY. ENTER 8888888 FOR DON'T KNOW AND 9999999 FOR REFUSED.]</t>
        </is>
      </c>
      <c r="E76" s="519">
        <f>LEN(D76)</f>
        <v/>
      </c>
      <c r="F76" s="552" t="inlineStr">
        <is>
          <t>Quelle somme [en CFA] a rapporté votre deuxième principale source de revenu, {income_sec}, au cours des trois derniers mois?
[OPÉRATEUR/OPÉRATRICE: VÉRIFIER QUE LA RÉPONSE EST ENREGISTRÉE DANS LA BONNE DEVISE. SAISIR 8888888 POUR «NE SAIT PAS» ET 9999999 POUR «REFUSÉ».]</t>
        </is>
      </c>
      <c r="G76" s="519">
        <f>LEN(F76)</f>
        <v/>
      </c>
      <c r="H76" s="698" t="inlineStr">
        <is>
          <t xml:space="preserve">Aw ye joli de sɔrɔ (CFA wari la)aw ka sɔrɔ filannan la, {income_ sec} fɛ, kalo laban 3 nunnun kɔnɔ? 
[SƆRƆBATIGI: SɛGɛSɛGɛLI Kɛ K’A FILɛ NI KUNAFONI YE YIɲɛ YE A N’A SɛBɛNNA COGO ɲUMAN NA. I BA 8888888 SɛBɛ N’A MA DɔN KOO LA ANI KA 9999999 SɛBɛ N’A MA SɔN KOO LA] 
</t>
        </is>
      </c>
      <c r="I76" s="699">
        <f>LEN(H76)</f>
        <v/>
      </c>
      <c r="J76" s="698" t="inlineStr">
        <is>
          <t xml:space="preserve">Ɛɛ 3 dũwõ nuŋo bɛrɛ buudu aaŋa bɛrɛ be, e ke {income_sec}, lejna gaara buudu e bɛrara kṷ̃ le?
[BIRƐ MA KŨ BAŋA : KO KASAJ DEMDEM KƆ MA KO URO BƐRƐ KO TƆŋƆ̃ BE MA, ɟƐ̃ŋƐ̃RƐ̃ CEENE I. 8888888 TƆ̃ŋƆ̃ I ɟUGƆ GO BA LEJ, 9999999 TƆ̃NƆ̃ I TEGU JƆWƆLI BA LEJ].
</t>
        </is>
      </c>
      <c r="K76" s="699">
        <f>LEN(J76)</f>
        <v/>
      </c>
      <c r="L76" s="698" t="inlineStr">
        <is>
          <t xml:space="preserve">Handu hiinzoo kan bissa, (CFA)margu no er du er goy {income_sec}, beer 3 ga ?
[HANKAA : [GUNN AMBOORI AL SEINNO CIIMO NOH, A TUM NONGOR HEENO BON . HANTUM 8888888 ES BEY SE NDU 9999999 A WINGIN SE ] 
</t>
        </is>
      </c>
      <c r="M76" s="699">
        <f>LEN(L76)</f>
        <v/>
      </c>
      <c r="N76" s="698" t="inlineStr">
        <is>
          <t>Maniket atwagrawan (dǎɣ CFA)dǎɣ tabarat ta sanatat ən agaraw wa santo, {income_sec}, dǎɣ ɣur 3 uran wi dokaynen?
[EMASESTƏN: ASIN AS ISALAN WARAQELAN AWINAN IKNA ƏD AQALAN AQIYMAN DAƔ AHUSKEN OƔADAN. AGU 8888888 AFAL WATISENAD ƏD 9999999 FALTUGINT]</t>
        </is>
      </c>
      <c r="O76" s="699">
        <f>LEN(N76)</f>
        <v/>
      </c>
      <c r="P76" s="700" t="inlineStr">
        <is>
          <t>Foti woni (e CFA)ko ɓaade mooɗon heɓi feedee e laawol keɓal mooɗon ɗiɗaɓal, {income_sec}, ley lebbi 3 cakitiiɗi ɗii ? 
[GOLLOOWO : TAYKINEEKE KE JAWAABU ON NA SELLI. MAA WONNITOƊON ON. ADEE 88888888 SO ON ANNDAA MAA 99999999 SO SALAADE.].</t>
        </is>
      </c>
      <c r="Q76" s="503" t="n"/>
      <c r="R76" s="519" t="inlineStr">
        <is>
          <t>Range</t>
        </is>
      </c>
      <c r="S76" s="519" t="inlineStr">
        <is>
          <t>NA</t>
        </is>
      </c>
      <c r="T76" s="519" t="inlineStr">
        <is>
          <t>NA</t>
        </is>
      </c>
      <c r="U76" s="519" t="inlineStr">
        <is>
          <t>Form Type - TextBox</t>
        </is>
      </c>
      <c r="V76" s="503" t="n"/>
      <c r="W76" s="496" t="inlineStr">
        <is>
          <t>5 - 1500000 = income_sec_comp
1500000 - 3000000 = income_sec_amount_conf
8888888-8888888 = income_sec_comp
9999999-9999999 = income_sec_comp</t>
        </is>
      </c>
      <c r="X76" s="555" t="n"/>
      <c r="Y76" s="549" t="inlineStr">
        <is>
          <t>If the income amount is over the threshold set in "Additional information", the respondent will be asked to confirm with income_sec_amount_conf. Otherwise, go to income_sec_comp.</t>
        </is>
      </c>
      <c r="Z76" s="549" t="n"/>
      <c r="AA76" s="526" t="n"/>
      <c r="AB76" s="527" t="n"/>
      <c r="AD76" s="529" t="n"/>
      <c r="AE76" s="243" t="n"/>
      <c r="AH76" s="45" t="n"/>
      <c r="AI76" s="45" t="n"/>
    </row>
    <row r="77" ht="119" customFormat="1" customHeight="1" s="528">
      <c r="A77" s="551">
        <f>A74+1</f>
        <v/>
      </c>
      <c r="B77" s="497" t="inlineStr">
        <is>
          <t>income_sec_amount_conf</t>
        </is>
      </c>
      <c r="C77" s="553" t="inlineStr">
        <is>
          <t>income_sec_amount_conf</t>
        </is>
      </c>
      <c r="D77" s="523" t="inlineStr">
        <is>
          <t>Can you confirm the amount of income you just stated is correct?
[OPERATOR: IF THE AMOUNT EARNED FROM THIS INCOME SOURCE OVER THE PAST 3 MONTH IS INDEED OVER 1500000, CLICK ON CONTINUE. OTHERWISE, GO BACK AND CHANGE THE AMOUNT ENTERED.]
1)CONTINUE</t>
        </is>
      </c>
      <c r="E77" s="519">
        <f>LEN(D77)</f>
        <v/>
      </c>
      <c r="F77" s="554" t="inlineStr">
        <is>
          <t>Pouvez-vous confirmer que le montant que vous venez de déclarer est correct?
[OPÉRATEUR/OPÉRATRICE: SI LE MONTANT ISSU DE CETTE SOURCE DE REVENU AU COURS DES TROIS DERNIERS MOIS EST SUPÉRIEUR AU 1500000, CLIQUER SUR CONTINUER. SINON, REVENIR EN ARRIÈRE ET MODIFIER LE MONTANT SAISI.]
1)CONTINUER</t>
        </is>
      </c>
      <c r="G77" s="519">
        <f>LEN(F77)</f>
        <v/>
      </c>
      <c r="H77" s="698" t="inlineStr">
        <is>
          <t xml:space="preserve">Aw be se k’a sɛmɛntiya ko aw ye warida min fɔ sisan bɛnna wa? 
[SƆRƆBATIGI : NI WARIDA MIN SƆRƆ LA NIN SIRA FƐ KALO 3 TƐMƐNIN KƆNƆ TƐMƐNA 150000 KAN, I KA NƆCƐ DIGI. N’O TƐ, I KA SEGI KƆFƐ KA WARIDA MIN SƐBƐNNA YƐLƐMA]. 
1)NƆCƐ 
</t>
        </is>
      </c>
      <c r="I77" s="699">
        <f>LEN(H77)</f>
        <v/>
      </c>
      <c r="J77" s="698" t="inlineStr">
        <is>
          <t xml:space="preserve">Ko buudu lugo kaana mi e ô tɔ̃ɲɔ̃-i?
[BIRƐ MA KŨ BAŋA : ÃRÃKUɟU 3 DUWÕ KU BƐRƐ BUUDU HADU BE BƐRƐRA BUUDU MUƝU 150000 LE IRE LEJ. SARAGARA I DƆƆGO LEJ NA U GUN LE PILUWE MINE TƆŋƆ̃ KUNO I].
1)ɟIɟƐ GARA
</t>
        </is>
      </c>
      <c r="K77" s="699">
        <f>LEN(J77)</f>
        <v/>
      </c>
      <c r="L77" s="698" t="inlineStr">
        <is>
          <t xml:space="preserve">Ngu hiin ku taabati kan ciimo no nooro kan nne ?
[HANKAA : AL WOK AL BOORA DO HADU HIINZA KAN BISSA, AGU BISSA 150000, KARU KOY JIINE BON. AL MATE WOO DINOH KA BANDE DEM NOORA HANSE ].
1)KOY JIINAA
</t>
        </is>
      </c>
      <c r="M77" s="699">
        <f>LEN(L77)</f>
        <v/>
      </c>
      <c r="N77" s="698" t="inlineStr">
        <is>
          <t>Tadobem asidutem as hadi nagaraw wa tisiknam eqal oɣadan ?
[EMASESTƏN: AFAL HADI NAWA ATWAGRAWAN ƏN TABARAT TEN ƏN AGARAW DAƔ KARAD URAN WI ILKAMNEN EQAL OGARAN 150000 ƏFA, AGIŠ FAL UKIY. AFAL BABO, AQILID ƏZDARAƬ ƏD SIMUTIY HADI WA TIGED].
1)AKIYAT</t>
        </is>
      </c>
      <c r="O77" s="699">
        <f>LEN(N77)</f>
        <v/>
      </c>
      <c r="P77" s="700" t="inlineStr">
        <is>
          <t xml:space="preserve">Oɗon mbaawi laaɓinande men salla adadu ceede ɗe kaalan-ɗaa men ɗee noon ngoorri naa?
[GOLLOOWO : SO CEEDE MURSAAƊE E ON JAAGU LEY LEBBI 3 SAKITIIƊI ƊI NA ƁURI 150000 NI ADON YEESO SO WAAWA NON DU ITTIRON GAƊƊA DE MBATTITON CEEDE MBINNDAA ƊE ƊEN].
1)YEESO
</t>
        </is>
      </c>
      <c r="Q77" s="503" t="n"/>
      <c r="R77" s="538" t="inlineStr">
        <is>
          <t>Single Choice</t>
        </is>
      </c>
      <c r="S77" s="500" t="inlineStr">
        <is>
          <t>NA</t>
        </is>
      </c>
      <c r="T77" s="500" t="inlineStr">
        <is>
          <t>NA</t>
        </is>
      </c>
      <c r="U77" s="500" t="inlineStr">
        <is>
          <t>Form Type - Buttons</t>
        </is>
      </c>
      <c r="V77" s="503" t="n"/>
      <c r="W77" s="539" t="inlineStr">
        <is>
          <t>1 = income_sec_comp</t>
        </is>
      </c>
      <c r="X77" s="555" t="n"/>
      <c r="Y77" s="122" t="inlineStr">
        <is>
          <t>if income_sec_amount_conf = 1, go to income_sec_comp</t>
        </is>
      </c>
      <c r="Z77" s="122" t="n"/>
      <c r="AA77" s="526" t="n"/>
      <c r="AB77" s="527" t="n"/>
      <c r="AD77" s="529" t="n"/>
      <c r="AE77" s="243" t="n"/>
      <c r="AH77" s="45" t="n"/>
      <c r="AI77" s="45" t="n"/>
    </row>
    <row r="78" ht="310.5" customHeight="1">
      <c r="A78" s="706">
        <f>A75+1</f>
        <v/>
      </c>
      <c r="B78" s="56" t="inlineStr">
        <is>
          <t>income_sec_comp</t>
        </is>
      </c>
      <c r="C78" s="48" t="inlineStr">
        <is>
          <t>income_sec_comp</t>
        </is>
      </c>
      <c r="D78" s="169" t="inlineStr">
        <is>
          <t>Has your household's income from {income_sec} changed in the last 3 months compared to the same period of a normal year?
[OPERATOR: SINGLE RESPONSE.]
1)A lot more [increased by more than 50%]
2)Slightly more
3)Same
4)Slightly less
5)A lot less [less than half as much]
6)DON'T KNOW
7)REFUSED</t>
        </is>
      </c>
      <c r="E78" s="27">
        <f>LEN(D78)</f>
        <v/>
      </c>
      <c r="F78" s="167" t="inlineStr">
        <is>
          <t>Le revenu de votre ménage provenant de {income_sec} a-t-il changé au cours des trois derniers mois par rapport à la même période d'une annee normale? 
[OPÉRATEUR/OPÉRATRICE: RÉPONSE UNIQUE.]
1)Très supérieur [augmentation de plus de 50%]
2)Légèrement supérieur
3)Identique
4)Légèrement inférieur
5)Très inférieur [moins de la moitié]
6)NE SAIT PAS
7)REFUSÉ</t>
        </is>
      </c>
      <c r="G78" s="27">
        <f>LEN(F78)</f>
        <v/>
      </c>
      <c r="H78" s="82" t="inlineStr">
        <is>
          <t>Aw ka gwaso ka sɔrɔ min bɔra {income_ sec} fɛ yɛlɛmana kalo 3 tɛmɛnin kɔnɔ ka kaɲa n’o waati ɲɔgɔn saan tɛmɛniw ye wa? 
[NIENIGALI KÈLA: DIABI KELEN]
1)Kosɔbɛ kɛ [dɔ fara la ka ta tɛmɛ a 50% yɛrɛ kan]. 
2)Dɔɔni fara la. 
3)A bɛɛ ye kelen ye. 
4)Dɔɔni bɔra a la 
5)Caaman bɔra la [a ma se a camancɛ ma]
6)NE MA DON
7)A BAN NA</t>
        </is>
      </c>
      <c r="I78" s="27">
        <f>LEN(H78)</f>
        <v/>
      </c>
      <c r="J78" s="82" t="inlineStr">
        <is>
          <t>Ko ɛɛ 3 dũwõ kũ bɛrɛ, e uro ma assɛgɛ {income_sec} le e bɛrɛ bilwa maa di e bɛrɛ wɛɛɟɛ djin kɔ?
[BIRƐ MA KŨ BAŋA : UɟURU KƆ TURU LE BE SAA-I]
1)Boŋoo bara [50% baa barà]. 
2)Dagaa bara. 
3)Balii gamali [kɛw] 
4)Dagaa gama. 
5)Boŋoo gama [ko ɟɛrɛ-i gama].
6)ɟUGƆGO. 
7)JƆWƆLI.</t>
        </is>
      </c>
      <c r="K78" s="27">
        <f>LEN(J78)</f>
        <v/>
      </c>
      <c r="L78" s="82" t="inlineStr">
        <is>
          <t xml:space="preserve">Nooro kan nooh er huwoo {income_sec}  kul du hand 3 kan bissa er bey ku duwaa jiiroo hiinne waatoo ga ?
[HANKOYO: DJAABI FO]
1)A gu bis woo lay [gooruri 50 % wal tonton].  
2)a gu bissa keyna.
3)I kul ifo .  
4)A su toora . 
5)A su toora lay [ciina toora]
6) A CHI BEY
7)A WANDJI
</t>
        </is>
      </c>
      <c r="M78" s="27">
        <f>LEN(L78)</f>
        <v/>
      </c>
      <c r="N78" s="82" t="inlineStr">
        <is>
          <t xml:space="preserve">Agaraw ən alɣayal nawan wa dizgaran ən {income_sec} yala eqal amutayan ɣur dǎɣ karad uran wi dokaynen sund dǎɣ alwaq nazaman ən awatay oɣadan?
[EMASESTƏN : ALƏƔI IYANDAƔ].
1)Ajen ogaran [asiwid ən ogaran 50%]. 
2)Andiran ogaran. 
3)Olahnen. 
4)Andiran midriyan.                                                 
5)Ajen madriyan [amidriyan ən tizune]. 
6)WARISENAƔ. 
7)UGAY </t>
        </is>
      </c>
      <c r="O78" s="27">
        <f>LEN(N78)</f>
        <v/>
      </c>
      <c r="P78" s="82" t="inlineStr">
        <is>
          <t xml:space="preserve">Keɓal ɓaade mooɗon ƴuwoowal e nder {income_sec} waylake ley lebbi 3 cakitiiɗi ɗii hono no woowirnoo e oon wakkati ?
[LANDOTOODO : DJABOU GOTO TAN]
1)No ɓuri no woowirnoo non sanne [ɓeydagol ceede coogguuji faa hewti 50%]
2)No ɓuri no woowirnoo non seeɗa. 
3)yo foodu. 
4)Ñakii no woowirnoo non seeɗa. 
5)Ñakii no woowirnoo non sanne [Hewtaay fay feccere no woowirnoo].
6)MI ANDA
7)SALAADE
</t>
        </is>
      </c>
      <c r="Q78" s="27">
        <f>LEN(P78)</f>
        <v/>
      </c>
      <c r="R78" s="63" t="inlineStr">
        <is>
          <t>Single Choice</t>
        </is>
      </c>
      <c r="S78" s="27" t="inlineStr">
        <is>
          <t>NA</t>
        </is>
      </c>
      <c r="T78" s="27" t="inlineStr">
        <is>
          <t>NA</t>
        </is>
      </c>
      <c r="U78" s="27" t="inlineStr">
        <is>
          <t>Form Type - Buttons</t>
        </is>
      </c>
      <c r="V78" s="40" t="inlineStr">
        <is>
          <t>NA</t>
        </is>
      </c>
      <c r="W78" s="168" t="inlineStr">
        <is>
          <t>1-7= income_third</t>
        </is>
      </c>
      <c r="X78" s="429" t="n"/>
      <c r="Y78" s="309" t="inlineStr">
        <is>
          <t>if income_sec_comp = 1-7, go to income_third</t>
        </is>
      </c>
      <c r="Z78" s="373" t="n"/>
      <c r="AA78" s="66" t="inlineStr">
        <is>
          <t>resp_age = 18-100
hh_agricactivity = 1 | 2 | 3 | 4
quotareached = 2
income_main = 1-18
income_sec = 1-18</t>
        </is>
      </c>
      <c r="AB78" s="67" t="n"/>
      <c r="AC78" s="111" t="n">
        <v>21.19325637817383</v>
      </c>
      <c r="AD78" s="374">
        <f>1</f>
        <v/>
      </c>
      <c r="AE78" s="111">
        <f>AC78*AD78</f>
        <v/>
      </c>
    </row>
    <row r="79" ht="409.6" customFormat="1" customHeight="1" s="261">
      <c r="A79" s="447">
        <f>A78+1</f>
        <v/>
      </c>
      <c r="B79" s="583" t="inlineStr">
        <is>
          <t>income_third</t>
        </is>
      </c>
      <c r="C79" s="584" t="inlineStr">
        <is>
          <t>income_third</t>
        </is>
      </c>
      <c r="D79" s="439"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79" s="204">
        <f>LEN(D79)</f>
        <v/>
      </c>
      <c r="F79" s="57"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79" s="204">
        <f>LEN(F79)</f>
        <v/>
      </c>
      <c r="H79" s="466" t="inlineStr">
        <is>
          <t>Aw ka gwaso sɔrɔda fisaman sabanan tun bɛ bɔɔra min kalo 3 tɛmɛni na?
SƆRƆBATIGI:JAABILI KELEN. AW YE BANBA KA BANNI JAABILI KƐƝƐN'AW BƐ SE.]
1)Sumankisɛ sɔrɔta ani a feereli
2)Nanfɛnkɛnɛ sɔrɔta ani a feereli 
3)Jagofɛnsɛnɛ sɔrɔta ani a feereli 
4)Bɛgɛnbuguyabaara sɔrɔta ani Bɛgɛnw fɛnw feereli
5)Libɔbaara ani li fɛnw feereli
6)Jɛgɛ mɔni ani jɛgɛ feereli
7)Dɔgɔ sɔrɔta ani a feereli walima kungɔyiri fɛnw feereli 
8)Sɛnɛfɛnw jago MIN Tɛ SɛNɛKɛ BAARA YE [sɛnɛkɛcogokɔrɔ wala sɛnɛkɛcogokɔrɔ]
9)Don o don sɛnɛbaara sara wala walanbiri baara sara 
10)Sɛnɛkɛyccrcc basigini baara
11)Baara wɛrɛ min tɛ sɛnɛ baara ye kɛnyɛrɛ baara walima / dɔgɔtɔrɔ / Sojɔ baw / avoka / dumuni dumunikɛyɔrɔ
12)Don o don sara baara min tɛ sɛnɛ baara komi baara misɛnw
13)basigini baara mi tɛ sɛnɛ baara ye
14)Gofɛrɛnɛma baara 
15)Sɔrɔda wɛrɛ min tɛ bɔ baara la /nilifɛn 
16)ɔrɔda wɛrɛ min tɛ bɔ baara la / dɛmɛ/rɛtrɛtɛ sara/ dɛmɛ
17)ɔrɔda wɛrɛ min tɛ bɔ baara la / nilifɛn
18)ɔrɔda wɛrɛ min tɛ bɔ baara la /sɔrɔda min bɔra baara wɛrɛ fan fɛ
19)sɔrɔda fisaman sabanan tɛ yen
20)NE MA DON
21)A BAN NA</t>
        </is>
      </c>
      <c r="I79" s="204">
        <f>LEN(H79)</f>
        <v/>
      </c>
      <c r="J79" s="136" t="inlineStr">
        <is>
          <t>Ãrãkuju taan dũwõ kũũ bɛ̀rɛ̀, kaa-pana jɛrɛ gaara é bɛra-ra mà bɛ̀rɛ̀ jɔkɔy tay-na-i ?
[BIRƐ BAŊA : KÁA SÁARÁ TÚRÚ-I. KÒ NÚMÓ BÈ YƆ́WƆ́-LÌ CƐ́W, MÁYNÀ-SÀ BÈ LÉY, KÒ WƆ̀SƆ̀̀ I].
1)Dɛ̃rɛ̃ ná bè bìrúu ko dɔ̃̀rṹũ
2) Niŋe màsɔmɔ̃ɲ bèe/ màa tĩwẽ ĩ bèe mà cénúu ko dɔ̃̀rṹũ 
3) Daaganay mà kaa ɲey bè cénuu kò dɔ̃rũũ
4) Asɛgɛ bè maŋuu kò dɔ̃rũũ/ màa asɛgɛ bè nɛ́ɛmà
5) ɲuŋ mà cénuu kò dɔ̃rũũ màa ɲuŋ céenu cɛ́ jɛrɛ-kɔ
6) Iiju ayi kò dɔ̃rũũ
7) tĩ́wẽ́ kúrɔ́ bée tĩwẽ ĩ bée mà gɔ̃yi ko dɔ̃rũũ màa éjú nɔwɔ̃ bè
8) cɛ́ dɔ̃rɔ̃ mà wàrù/ wárú-wáràm beru mɔ̃rɔ̃ là [atɛmɛrɛ̃ màa jire ɛ́ nam].
9) Saradiŋe bɛ̀rɛ́ mà ninuwõ bírɛ́/ màa wárú oju kaa lè kò jin tɔ̀ɔn mà birɛ làgá
10) Wárú là ójú káa lè bírɛ́ tɔ̀jɔ̀-ɛ̀jú sâ
11) Wárù-waran-i láa birɛ-birɛn ɛnɛ mà kũ jéré bɛ́rɛ́n/ ɛnɛ mà bírɛ mà jugɔ sanin/dɔgɔtɔrɔ/maarã mà kũ baŋã/ábóká[zúzú]/yáŋà yá òtól dɔ̃́rɔ̃́m lèdɔ́ɔ
12)Ninuwõ birɛ/ waru mà numo lèmɔrɔ̃-laa kò mà birɛ daga-daga laga beru kãrã mɔrɔ̃-lá
13)Birɛ tɔjɔ sâ ɛju/ waru lè mɔrɔ̃-lá
14)Gɔbɔnɛɛru mà birɛ
15)Kaa-pana bírɛ́ bìrɛ̀ may bè bɛrɛy láa/jákà
16)Kaa-pana bírɛ́ bìrɛ̀ may bè bɛrɛy láa/jugɔ mà oy/jã́/prozé màoy
17)Kaa-pana bírɛ́ bìrɛ̀ may bè bɛrɛy láa/dii lé bèbɛrɛy
18)Kaa-pana bírɛ́ bìrɛ̀ may bè bɛrɛy láa/lwasu laga beru bèbɛrɛy
19)Kaa-pana jɛrɛ ɛjii bè bɛra-ra/ kò ley-nɛ kɔrɔ
20)ɟUGƆGO. 
21)JƆWƆLI.</t>
        </is>
      </c>
      <c r="K79" s="204">
        <f>LEN(J79)</f>
        <v/>
      </c>
      <c r="L79" s="136" t="inlineStr">
        <is>
          <t>Manu  no er huwo duuri hĩzanta gu hun handu hĩzey wey ndu cere game ?
[HÃKA : ZAABI FOLLOŊ. ZAABEY SANDA "AY SU BEY" WALA "WENGEY" BORO MU SU YEEDA I GA].
1)Nongoro dumiizey neera
2)keli dumiizeyyoŋ wala tuuriizey kaŋ gu ŋa neera
3)Dumiize foyoŋ won neera
4)Almeney biiriyoŋo ku neereyoŋo ndu almeney ŋaarey neera
5)Yuwo teeyoŋo ndu yuwo neera ndu yuwo teegoyey jiney neera
6)Hamiisa biiriyoŋo ndu hamiisa neera
7)gengo ga turiizey ka ku neera
8)heyni neerekow kaŋ su goy ndu farkey [wey kaŋ go beyrey ga ndu wey kaŋ si beyrey ga].
9)Dimma kaŋ boro gu du dumiizey goyo ga faro wala nongoro ga
10)Goy jinekeyanta kaŋ boro du dumiizey goyo ga
11)boro boŋ la goyoy kaŋ mantu farim goy wala kabu goy /lokkotortarey/ cinkow/ avakatarey/ ndu ŋaari neerowkoy
12)zaariŋo ga baniya kaŋ mantu farmi goy/ walu bine goy bunbuney
13)goy jinekeyante kaŋ mantu farim goy
14)hino goy
15)dimma kaŋ boro gu hini ku du kaŋ mantu goyo ga /sargamey 
16)dimma kaŋ boro gu hini ku du kaŋ mantu goyo /nooro kaŋ i gu taŋ boro se/gaakusiney
17)dimma kaŋ boro gu hini ku du kaŋ su hun goyo do /noorey sambirey 
18)dimma kaŋ boro gu hini ku du kaŋ su hun goyo do /lowaso noorey 
19)duuri nongori hĩzante do si 
20)A CHI BEY
21)A WANDJI</t>
        </is>
      </c>
      <c r="M79" s="204">
        <f>LEN(L79)</f>
        <v/>
      </c>
      <c r="N79" s="136" t="inlineStr">
        <is>
          <t xml:space="preserve">Əndekat tabarat tas karad ən garawan wi ogarnen tanfo ən amazaɣ  nawan ɣur dǎɣ karad uran wi dokaynen ?
[ƏMASESTƏN : ALIƔI IYANDǍƔ. TABARATEN ‘’WARISENAƔ’’ ƏD ‘’TUNGIT’’ ANIHAGA ADIQƏLNAT ATIWAYAN DǍƔ HADI ƏN TADABIT].
1)Igi əd ašiš ən sigyak wən santo
2)Igi əd ašiš ən izad meɣ əd samban
3)Igi əd ašiš ən sigyak wən asostan
4)Igi əd ašiš ən arizeg əd ilalan wan arizeg
5)Igi əd ašiš ən turawat meɣ ilalan wən ajamar ən zimbawan
6)Igi əd ašiš ən manan
7)Asidəw əd ašiš ən ilalan wən hiskan meɣ wən finta
8)Ašiš ən sigyak dǎɣ warahen magyakan [atiwasanen meɣ wənan atwasan]
9)Alhak wan dǎɣ ašal dǎɣ qalan əd iyad ašiɣilan ən dǎɣ alwaq dǎɣ tabarat tan sigyak
10)Ašiɣil adiken dǎɣ tabarat tan asigyik
11)Emašal ən manes winan eqel agayak meɣ əšiɣil ən manes/laķtor/ amuɣan/amadhal/dǎɣ iha emasakadaw
12)Alhak wa dǎɣ ašal dǎɣ wariha ašišiɣil ən nagayak əd iyad ašiɣilan nalwaq winan eqel agayak
13)Ašiɣil adiken dǎɣ tabarat ta winan taqel agayak
14)Ašiɣil wa adinat dak
15)Agaraw wənan diha əs əšiɣil/takute
16)Agaraw wənan əs əšiɣil/ alhak nəsikil/təmzal nalwaq/ tadhil ən adinat
17)Agaraw wənan dizger əšiɣil/tasawit ən Azruf
18)Agaraw wənan dizger dǎɣ əšiɣil/agayak niyad alhakan
19)Wartitila tabarat tas karad ən garawan ta togarat tanfo
20)WARISENAƔ. 
21)UGAY </t>
        </is>
      </c>
      <c r="O79" s="204">
        <f>LEN(N79)</f>
        <v/>
      </c>
      <c r="P79" s="136" t="inlineStr">
        <is>
          <t>Laawol kemrugol jawdi tataɓol ngole woni ɓurungol semmbe nder ɓaade mooɗon ley duuɓi tati cakitiiɗi ɗii? 
[GOLLOOWO : JAABU GOOTO. SUƁAADE "ANNDAA" ET "SALAGOL" NA HAANI TEWTEE HISEEDE NO WAAWIRAA FUH]. 
1) Remugol e soonnugol ko heɓaa ƴuuwde e demal ngal.
2) Remugol e soonnugol lu'ooji e ɓiɓɓe leɗɗe
3)Remugol e soonnugol demal pildeteengaL tino
4)Marugol e soonnugol daabaaji e ko ƴuwi e muuɗum en.
5) Waɗugol e soonnugol njuumndi maa ko ƴuwata e marugol nyaaki
6) Marugol e soonnugol liƴƴi
7) Tewtugol e soonnugol ɓiɓɓe leɗɗe maa kuukoy ladde
8) Jaagu  demal ko baka gollooɓe [anndanaaɓe maa ɓe anndanaaka]. 
9) Njoɓdi nyalooma-nyalooma nder hoggooji e golle wakkati-wakkati banngal demal.
10) Gollal duumiingal nder demal 
11) Gollanooɓe ko'e muɓɓen ko wanaa banngal demal maa gollal e muuyɗe joomum /lokotorooɓe /nyiɓooɓe /awokka /tawti e soonnooɓe neema.
12) Njoɓdi nyalooma-nyalooma ko baka demal walaa e golle wakkatiije ɗe ngaldaa.
13) Gollal duumiingal ngal waldaa e demal.
14) Gollal kawtaangal
15) Tino mo haɓdaaki e demal / ko hokkitiraa.
16) Tino mo haɓdaaki e demal / hokkareede / mballa banngal ceede /mballa yurmeende.
17) Tino mo ƴuwaay e gollal / nildeede ceede.
18) Tino mo ƴuwaay e gollal / tino luwaasi.
19) Laawol maangol kemrugol jawdi tataɓol walaa
20)MI ANDA
21)SALAADE</t>
        </is>
      </c>
      <c r="Q79" s="204">
        <f>LEN(P79)</f>
        <v/>
      </c>
      <c r="R79" s="265" t="inlineStr">
        <is>
          <t>Single Choice</t>
        </is>
      </c>
      <c r="S79" s="204" t="inlineStr">
        <is>
          <t>NA</t>
        </is>
      </c>
      <c r="T79" s="204" t="inlineStr">
        <is>
          <t>NA</t>
        </is>
      </c>
      <c r="U79" s="204" t="inlineStr">
        <is>
          <t>Form Type - Buttons
Add all options manually
exclude selected "income_main"
exclude selected "income_sec"
IsDemographic</t>
        </is>
      </c>
      <c r="V79" s="197" t="inlineStr">
        <is>
          <t>NA</t>
        </is>
      </c>
      <c r="W79" s="198" t="inlineStr">
        <is>
          <t>1-3 = income_third_crop_check
4 = income_third_ls_check
5 = income_third_comp
6 = income_third_fish_check 
7-18 = income_third_comp
19-21 = shock</t>
        </is>
      </c>
      <c r="X79" s="468" t="n"/>
      <c r="Y79" s="342" t="inlineStr">
        <is>
          <t>if options #1-3 selected go to income_third_cropcheck 
if options #4 selected go to income_third_lscheck 
if options #5 selected go to income_third_fishcheck 
if options #6-18 selected, go to [income_third_comp OR income_third_amount OR income_third_gender] 
if options #19-21 selected, go to shock</t>
        </is>
      </c>
      <c r="Z79" s="585" t="n"/>
      <c r="AA79" s="456" t="inlineStr">
        <is>
          <t>resp_age = 18-100
hh_agricactivity = 1 | 2 | 3 | 4
quotareached = 2
income_main = 1-18
income_sec = 1-18</t>
        </is>
      </c>
      <c r="AB79" s="207" t="n"/>
      <c r="AC79" s="586" t="n">
        <v>20.22992706298828</v>
      </c>
      <c r="AD79" s="587">
        <f>1</f>
        <v/>
      </c>
      <c r="AE79" s="586">
        <f>AC79*AD79</f>
        <v/>
      </c>
    </row>
    <row r="80" ht="189" customFormat="1" customHeight="1" s="261">
      <c r="A80" s="447">
        <f>A79+1</f>
        <v/>
      </c>
      <c r="B80" s="263" t="inlineStr">
        <is>
          <t>income_third_crop_check</t>
        </is>
      </c>
      <c r="C80" s="264" t="inlineStr">
        <is>
          <t>income_third_crop_check</t>
        </is>
      </c>
      <c r="D80" s="438" t="inlineStr">
        <is>
          <t>Are the crops sold also produced by you or anyone in your household?
[OPERATOR: SINGLE RESPONSE.]
1)YES
2)NO
3)DON'T KNOW
4)REFUSED</t>
        </is>
      </c>
      <c r="E80" s="196">
        <f>LEN(D80)</f>
        <v/>
      </c>
      <c r="F80" s="588" t="inlineStr">
        <is>
          <t>Les cultures que vous vendez sont-elles produites par vous ou par un des membres de votre ménage ?
[OPÉRATEUR/OPÉRATRICE: RÉPONSE UNIQUE.]
1)Oui
2)Non
3)NE SAIT PAS
4)REFUSÉ</t>
        </is>
      </c>
      <c r="G80" s="204">
        <f>LEN(F80)</f>
        <v/>
      </c>
      <c r="H80" s="53" t="inlineStr">
        <is>
          <t>Aw be sɛnɛfɛn minw feere la, aw yɛrɛ de y’o sɛnɛ wala aw ka gwaso mɔgɔ dɔ de y’o sɛnɛ? 
[NIENIGALI KÈLA: DIABI KELEN]
1)ƆWƆ 
2)AYI 
3)NE MA DON
4)A BAN NA</t>
        </is>
      </c>
      <c r="I80" s="196">
        <f>LEN(H80)</f>
        <v/>
      </c>
      <c r="J80" s="53" t="inlineStr">
        <is>
          <t>Ko dɛ̃rɛ̃ mi e dɔ̃rããra, e kũ le è wara-i máá màà e uro nam wara-i?
[BIRƐ MA KŨ BAŋA : UɟURU KƆ TURU LE BE SAA-I]
1)ÉE
2)Ɔ̃-Ɔ̃
3)ɟUGƆGO. 
4)JƆWƆLI.</t>
        </is>
      </c>
      <c r="K80" s="196">
        <f>LEN(J80)</f>
        <v/>
      </c>
      <c r="L80" s="53" t="inlineStr">
        <is>
          <t>Farimo izez kan er go neere, ni bumbo wonney wal huwo boor fo wonney ? 
[HANKOYO:  MACHI TA KA HAR DJAABI FO]
1) AYYO
2) KALA
3) A CHI BEY
4) A WANDJI</t>
        </is>
      </c>
      <c r="M80" s="204">
        <f>LEN(L80)</f>
        <v/>
      </c>
      <c r="N80" s="53" t="inlineStr">
        <is>
          <t xml:space="preserve">Isigyak wihin tišišanmin aqalan adizgaran fal lawan meɣ fal awadim ən alɣayal nawan ?
[EMASESTƏN : ALƏƔI IYANDAƔ].
1)IYA
2)BABO.
3)WARISENAƔ. 
4)UGAY </t>
        </is>
      </c>
      <c r="O80" s="204">
        <f>LEN(N80)</f>
        <v/>
      </c>
      <c r="P80" s="57" t="inlineStr">
        <is>
          <t>Cogguuji mon ɗi jaagotoɗon ɗi onon ngaɗi naa wo neɗɗo gure mon?
[GOLLOOWO : JAWAABU GOOTO].
1)AYYO 
2)AA'A. 
3)ANNDA 
4)SALAADE</t>
        </is>
      </c>
      <c r="Q80" s="204">
        <f>LEN(P80)</f>
        <v/>
      </c>
      <c r="R80" s="584" t="inlineStr">
        <is>
          <t>Single Choice</t>
        </is>
      </c>
      <c r="S80" s="196" t="inlineStr">
        <is>
          <t>NA</t>
        </is>
      </c>
      <c r="T80" s="196" t="inlineStr">
        <is>
          <t>NA</t>
        </is>
      </c>
      <c r="U80" s="196" t="inlineStr">
        <is>
          <t>Form Type - Buttons</t>
        </is>
      </c>
      <c r="V80" s="197" t="inlineStr">
        <is>
          <t>NA</t>
        </is>
      </c>
      <c r="W80" s="198" t="inlineStr">
        <is>
          <t>1-4 = income_third_comp</t>
        </is>
      </c>
      <c r="X80" s="468" t="n"/>
      <c r="Y80" s="342" t="inlineStr">
        <is>
          <t>if options #1-4, go to [income_third_comp OR income_third_amount OR income_third_gender]</t>
        </is>
      </c>
      <c r="Z80" s="585" t="n"/>
      <c r="AA80" s="467" t="inlineStr">
        <is>
          <t>resp_age = 18-100
hh_agricactivity = 1 | 2 | 3 | 4
quotareached = 2
income_third = 1 | 2 | 3</t>
        </is>
      </c>
      <c r="AB80" s="589" t="n"/>
      <c r="AC80" s="586" t="n"/>
      <c r="AD80" s="587">
        <f>1</f>
        <v/>
      </c>
      <c r="AE80" s="586">
        <f>AC80*AD80</f>
        <v/>
      </c>
    </row>
    <row r="81" ht="189" customFormat="1" customHeight="1" s="261">
      <c r="A81" s="447">
        <f>A80+1</f>
        <v/>
      </c>
      <c r="B81" s="263" t="inlineStr">
        <is>
          <t>income_third_ls_check</t>
        </is>
      </c>
      <c r="C81" s="264" t="inlineStr">
        <is>
          <t>income_third_ls_check</t>
        </is>
      </c>
      <c r="D81" s="438" t="inlineStr">
        <is>
          <t>Are the livestock or livestock products sold also produced by you or anyone in your household?
[OPERATOR: SINGLE RESPONSE.]
1)YES
2)NO
3)DON'T KNOW
4)REFUSED</t>
        </is>
      </c>
      <c r="E81" s="196">
        <f>LEN(D81)</f>
        <v/>
      </c>
      <c r="F81" s="588" t="inlineStr">
        <is>
          <t>Le bétail et les produits du bétail que vous vendez sont-ils produits par vous par un des membres de votre ménage ?
[OPÉRATEUR/OPÉRATRICE: RÉPONSE UNIQUE.]
1)Oui
2)Non
3)NE SAIT PAS
4)REFUSÉ</t>
        </is>
      </c>
      <c r="G81" s="204">
        <f>LEN(F81)</f>
        <v/>
      </c>
      <c r="H81" s="53" t="inlineStr">
        <is>
          <t>Aw be bɛgɛnbalo fɛɛn minw feere la, aw yɛrɛ de y’o ladon wala aw ka gwaso mɔgɔ dɔ de y’a ladon? 
[NIENIGALI KÈLA: DIABI KELEN]
1)ƆWƆ 
2)AYI 
3)NE MA DON
4)A BAN NA</t>
        </is>
      </c>
      <c r="I81" s="196">
        <f>LEN(H81)</f>
        <v/>
      </c>
      <c r="J81" s="53" t="inlineStr">
        <is>
          <t>Ko assɛgɛ mi è dɔ̃rããra na, e kũ le è maŋa-i máá, màà è uro nam maŋa-i?
[BIRƐ MA KŨ BAŋA : UɟURU KƆ TURU LE BE SAA-I]
1)ÉE
2)Ɔ̃-Ɔ̃
3)ɟUGƆGO. 
4)JƆWƆLI.</t>
        </is>
      </c>
      <c r="K81" s="196">
        <f>LEN(J81)</f>
        <v/>
      </c>
      <c r="L81" s="53" t="inlineStr">
        <is>
          <t>Almaeney biiro izey kan er go neere, ni bumbo wonney wal huwo boor fo wonney ? 
[HANKOYO:  MACHI TA KA HAR DJAABI FO]
1) AYYO
2) KALA
3) A CHI BEY
4) A WANDJI</t>
        </is>
      </c>
      <c r="M81" s="204">
        <f>LEN(L81)</f>
        <v/>
      </c>
      <c r="N81" s="53" t="inlineStr">
        <is>
          <t xml:space="preserve">Arizeg əd aratan ən arizeg wa šanšem aqalan atigam kawaned me meɣ awadəm iyan ən alɣayal nawan ?
[EMASESTƏN : ALƏƔI IYANDAƔ].
1)IYA
2)BABO.
3)WARISENAƔ. 
4)UGAY </t>
        </is>
      </c>
      <c r="O81" s="204">
        <f>LEN(N81)</f>
        <v/>
      </c>
      <c r="P81" s="57" t="inlineStr">
        <is>
          <t>Ɲaamee dammucce tawti kanji e ko'e ɗi sottoton, wo jeyan mon naa neɗɗo mooɗon?
[GOLLOOWO : JAWAABU GOOTO].
1)AYYO 
2)AA'A. 
3)ANNDA 
4)SALAADE</t>
        </is>
      </c>
      <c r="Q81" s="204">
        <f>LEN(P81)</f>
        <v/>
      </c>
      <c r="R81" s="584" t="inlineStr">
        <is>
          <t>Single Choice</t>
        </is>
      </c>
      <c r="S81" s="196" t="inlineStr">
        <is>
          <t>NA</t>
        </is>
      </c>
      <c r="T81" s="196" t="inlineStr">
        <is>
          <t>NA</t>
        </is>
      </c>
      <c r="U81" s="196" t="inlineStr">
        <is>
          <t>Form Type - Buttons</t>
        </is>
      </c>
      <c r="V81" s="197" t="inlineStr">
        <is>
          <t>NA</t>
        </is>
      </c>
      <c r="W81" s="198" t="inlineStr">
        <is>
          <t>1-4 = income_third_comp</t>
        </is>
      </c>
      <c r="X81" s="468" t="n"/>
      <c r="Y81" s="342" t="inlineStr">
        <is>
          <t>if options #1-4, go to [income_third_comp OR income_third_amount OR income_third_gender]</t>
        </is>
      </c>
      <c r="Z81" s="585" t="n"/>
      <c r="AA81" s="467" t="inlineStr">
        <is>
          <t>resp_age = 18-100
hh_agricactivity = 1 | 2 | 3 | 4
quotareached = 2
income_third = 4</t>
        </is>
      </c>
      <c r="AB81" s="589" t="n"/>
      <c r="AC81" s="586" t="n"/>
      <c r="AD81" s="587">
        <f>1</f>
        <v/>
      </c>
      <c r="AE81" s="586">
        <f>AC81*AD81</f>
        <v/>
      </c>
    </row>
    <row r="82" ht="189" customFormat="1" customHeight="1" s="261">
      <c r="A82" s="447">
        <f>A81+1</f>
        <v/>
      </c>
      <c r="B82" s="263" t="inlineStr">
        <is>
          <t>income_third_fish_check</t>
        </is>
      </c>
      <c r="C82" s="264" t="inlineStr">
        <is>
          <t>income_third_fish_check</t>
        </is>
      </c>
      <c r="D82" s="438" t="inlineStr">
        <is>
          <t>Are the fish or aquatic products sold also captured/harvested by you or anyone in your household?
[OPERATOR: SINGLE RESPONSE.]
1)YES
2)NO
3)DON'T KNOW
4)REFUSED</t>
        </is>
      </c>
      <c r="E82" s="196">
        <f>LEN(D82)</f>
        <v/>
      </c>
      <c r="F82" s="588" t="inlineStr">
        <is>
          <t>Les produits de la pêche / aquaculture que vous vendez sont-ils produits par vous ou par un membre de votre ménage ?
[OPÉRATEUR/OPÉRATRICE: RÉPONSE UNIQUE.]
1)Oui
2)Non
3)NE SAIT PAS
4)REFUSÉ</t>
        </is>
      </c>
      <c r="G82" s="204">
        <f>LEN(F82)</f>
        <v/>
      </c>
      <c r="H82" s="53" t="inlineStr">
        <is>
          <t>Aw bɛ jɛgɛ min feere fana, nin aw gwasomɔgɔ walima aw yɛrɛ tun y'a mɔ wa?
[NIENIGALI KÈLA: DIABI KELEN]
1)ƆWƆ 
2)AYI 
3)NE MA DON
4)A BAN NA</t>
        </is>
      </c>
      <c r="I82" s="196">
        <f>LEN(H82)</f>
        <v/>
      </c>
      <c r="J82" s="53" t="inlineStr">
        <is>
          <t>Kò iijuu màa kò iiju ay mà oju kaa lè cɛ́ é bɛrɛ é dɔ̃rã-rã kũũ bée nàa, yallah é gɔ̃-rã máa é uro inen gɔ̃-rã?
[BIRƐ MA KŨ BAŋA : UɟURU KƆ TURU LE BE SAA-I]
1)ÉE
2)Ɔ̃-Ɔ̃
3)ɟUGƆGO. 
4)JƆWƆLI.</t>
        </is>
      </c>
      <c r="K82" s="196">
        <f>LEN(J82)</f>
        <v/>
      </c>
      <c r="L82" s="53" t="inlineStr">
        <is>
          <t>Hamiisa wala tamohayey kaŋyoŋ er gu neere, er bumbey wala er huwo boro fo mu i di wala i tam ?
[HANKOYO:  MACHI TA KA HAR DJAABI FO]
1) AYYO
2) KALA
3) A CHI BEY
4) A WANDJI</t>
        </is>
      </c>
      <c r="M82" s="204">
        <f>LEN(L82)</f>
        <v/>
      </c>
      <c r="N82" s="53" t="inlineStr">
        <is>
          <t xml:space="preserve">Eman əd/meɣ ilalan wən ukis ən manan wi šašemin aqalnen intanedǎɣ atiwarmasan meɣ atiwakasan ye hawan meɣ awadəm ən amazaɣ nawan?
[EMASESTƏN : ALƏƔI IYANDAƔ].
1)IYA 
2)BABO.
3)WARISENAƔ. 
4)UGAY </t>
        </is>
      </c>
      <c r="O82" s="204">
        <f>LEN(N82)</f>
        <v/>
      </c>
      <c r="P82" s="57" t="inlineStr">
        <is>
          <t>Liƴƴi maa e/maa ko ƴuwi e liƴƴagol ko coonnoton ɗum yo onon nanngi ɗi naa won no ɗum heɓiraa ƴuuwde e maaɗa naa ƴuuwde e jeyaaɗe nder ɓaade mooɗon?
[GOLLOOWO : JAWAABU GOOTO].
1)AYYO 
2)AA'A. 
3)ANNDA 
4)SALAADE</t>
        </is>
      </c>
      <c r="Q82" s="204">
        <f>LEN(P82)</f>
        <v/>
      </c>
      <c r="R82" s="584" t="inlineStr">
        <is>
          <t>Single Choice</t>
        </is>
      </c>
      <c r="S82" s="196" t="inlineStr">
        <is>
          <t>NA</t>
        </is>
      </c>
      <c r="T82" s="196" t="inlineStr">
        <is>
          <t>NA</t>
        </is>
      </c>
      <c r="U82" s="196" t="inlineStr">
        <is>
          <t>Form Type - Buttons</t>
        </is>
      </c>
      <c r="V82" s="197" t="inlineStr">
        <is>
          <t>NA</t>
        </is>
      </c>
      <c r="W82" s="198" t="inlineStr">
        <is>
          <t>1-4 = income_third_comp</t>
        </is>
      </c>
      <c r="X82" s="468" t="n"/>
      <c r="Y82" s="342" t="inlineStr">
        <is>
          <t>if options #1-4, go to [income_third_comp OR income_third_amount OR income_third_gender]</t>
        </is>
      </c>
      <c r="Z82" s="585" t="n"/>
      <c r="AA82" s="467" t="inlineStr">
        <is>
          <t>resp_age = 18-100
hh_agricactivity = 1 | 2 | 3 | 4
quotareached = 2
income_third = 5</t>
        </is>
      </c>
      <c r="AB82" s="589" t="n"/>
      <c r="AC82" s="586" t="n"/>
      <c r="AD82" s="587">
        <f>1</f>
        <v/>
      </c>
      <c r="AE82" s="586">
        <f>AC82*AD82</f>
        <v/>
      </c>
    </row>
    <row r="83" ht="305.25" customHeight="1">
      <c r="A83" s="88">
        <f>A82+1</f>
        <v/>
      </c>
      <c r="B83" s="56" t="inlineStr">
        <is>
          <t>income_third_comp</t>
        </is>
      </c>
      <c r="C83" s="48" t="inlineStr">
        <is>
          <t>income_third_comp</t>
        </is>
      </c>
      <c r="D83" s="375" t="inlineStr">
        <is>
          <t>Has your household's income from {income_third} changed in the last 3 months compared to the same period of a normal year?
[OPERATOR: SINGLE RESPONSE.]
1)A lot more [increased by more than 50%]
2)Slightly more
3)Same
4)Slightly less
5)A lot less [less than half as much]
6)DON'T KNOW
7)REFUSED</t>
        </is>
      </c>
      <c r="E83" s="27">
        <f>LEN(D83)</f>
        <v/>
      </c>
      <c r="F83" s="167" t="inlineStr">
        <is>
          <t>Le revenu de votre ménage provenant de {income_third} a-t-il changé au cours des trois derniers mois par rapport à la même période d'une annee normale?
[OPÉRATEUR/OPÉRATRICE: RÉPONSE UNIQUE.]
1)Très supérieur [augmentation de plus de 50%]
2)Légèrement supérieur
3)Identique
4)Légèrement inférieur
5)Très inférieur [moins de la moitié]
6)NE SAIT PAS
7)REFUSÉ</t>
        </is>
      </c>
      <c r="G83" s="27">
        <f>LEN(F83)</f>
        <v/>
      </c>
      <c r="H83" s="82" t="inlineStr">
        <is>
          <t>Aw ka gwaso ka sɔrɔ min bɔra {income_ third} fɛ yɛlɛmana kalo 3 tɛmɛnin kɔnɔ ka kaɲa n’o waati ɲɔgɔn saan tɛmɛniw ye wa? 
[NIENIGALI KÈLA: DIABI KELEN]
1)Kosɔbɛ kɛ [dɔ fara la ka ta tɛmɛ a 50% yɛrɛ kan]. 
2)Dɔɔni fara la. 
3)A bɛɛ ye kelen ye. 
4)Dɔɔni bɔra a la 
5)Caaman bɔra la [a ma se a camancɛ ma]
6)NE MA DON
7)A BAN NA</t>
        </is>
      </c>
      <c r="I83" s="27">
        <f>LEN(H83)</f>
        <v/>
      </c>
      <c r="J83" s="82" t="inlineStr">
        <is>
          <t>Ko Ãrãkuɟu taan dũwõ kũ bɛrɛ, e uro ma assɛgɛ {income_third}  le e bɛrɛ bilwa maa di e bɛrɛ wɛɛɟɛ djin kɔ?
[BIRƐ MA KŨ BAŋA : UɟURU KƆ TURU LE BE SAA-I]
1)Boŋoo bara [50% baa barà]. 
2)Dagaa bara. 
3)Balii gamali [kɛw] 
4)Dagaa gama. 
5)Boŋoo gama [ko ɟɛrɛ-i gama].
6)ɟUGƆGO. 
7)JƆWƆLI.</t>
        </is>
      </c>
      <c r="K83" s="27">
        <f>LEN(J83)</f>
        <v/>
      </c>
      <c r="L83" s="82" t="inlineStr">
        <is>
          <t>Nooro kan nooh er huwoo kul du {income_third}  hand 3 kan bissa er bey ku duwaa jiiroo hiinne waatoo ga ?
[HANKOYO: DJAABI FO]
1)A gu bis woo lay [gooruri 50 % wal tonton].  
2)a gu bissa keyna  .  
3)I kul ifo .  
4)A su toora . 
5)A su toora lay [ciina toora]
6) A CHI BEY
7)A WANDJI</t>
        </is>
      </c>
      <c r="M83" s="27">
        <f>LEN(L83)</f>
        <v/>
      </c>
      <c r="N83" s="82" t="inlineStr">
        <is>
          <t xml:space="preserve">Agaraw ən alɣayal nawan wa dizgaran dǎɣ {income_third} yala amutay ɣur dǎɣ 3 uran wi dokaynen sund dǎɣ alwaq nazaman dǎɣ awatay oɣadan?
[EMASESTƏN : ALƏƔI IYANDAƔ].
1)Ajen ogaran [asiwid ən ogaran 50%]. 
2)Andiran ogaran. 
3)Olahnen. 
4)Andiran midriyan.                                                 
5)Ajen madriyan [amidriyan ən tizune]. 
6)WARISENAƔ. 
7)UGAY </t>
        </is>
      </c>
      <c r="O83" s="27">
        <f>LEN(N83)</f>
        <v/>
      </c>
      <c r="P83" s="82" t="inlineStr">
        <is>
          <t>Keɓal ɓaade mooɗon ƴuwoowal e nder {income_third} waylake ley lebbi 3 cakitiiɗi ɗii hono no woowirnoo e oon wakkati ? 
[LANDOTOODO : DJABOU GOTO TAN]
1)No ɓuri no woowirnoo non sanne [ɓeydagol ceede coogguuji faa hewti 50%]
2)No ɓuri no woowirnoo non seeɗa. 
3)yo foodu. 
4)Ñakii no woowirnoo non seeɗa. 
5)Ñakii no woowirnoo non sanne [Hewtaay fay feccere no woowirnoo].
6)MI ANDA
7)SALAADE</t>
        </is>
      </c>
      <c r="Q83" s="27">
        <f>LEN(P83)</f>
        <v/>
      </c>
      <c r="R83" s="63" t="inlineStr">
        <is>
          <t>Single Choice</t>
        </is>
      </c>
      <c r="S83" s="27" t="inlineStr">
        <is>
          <t>NA</t>
        </is>
      </c>
      <c r="T83" s="27" t="inlineStr">
        <is>
          <t>NA</t>
        </is>
      </c>
      <c r="U83" s="27" t="inlineStr">
        <is>
          <t>Form Type - Buttons</t>
        </is>
      </c>
      <c r="V83" s="40" t="inlineStr">
        <is>
          <t>NA</t>
        </is>
      </c>
      <c r="W83" s="168" t="inlineStr">
        <is>
          <t>1-7= shock</t>
        </is>
      </c>
      <c r="X83" s="326" t="n"/>
      <c r="Y83" s="309" t="inlineStr">
        <is>
          <t>if income_third_comp = 1-7, go to shock OR income_gender_control</t>
        </is>
      </c>
      <c r="Z83" s="373" t="n"/>
      <c r="AA83" s="66" t="inlineStr">
        <is>
          <t>resp_age = 18-100
hh_agricactivity = 1 | 2 | 3 | 4
quotareached = 2
income_main = 1-18
income_sec = 1-18
income_third = 1-18</t>
        </is>
      </c>
      <c r="AB83" s="67" t="n"/>
      <c r="AC83" s="111" t="n">
        <v>16.34839630126953</v>
      </c>
      <c r="AD83" s="374">
        <f>1</f>
        <v/>
      </c>
      <c r="AE83" s="111">
        <f>AC83*AD83</f>
        <v/>
      </c>
    </row>
    <row r="84" ht="409.6" customHeight="1">
      <c r="A84" s="88">
        <f>A83+1</f>
        <v/>
      </c>
      <c r="B84" s="56" t="inlineStr">
        <is>
          <t>shock</t>
        </is>
      </c>
      <c r="C84" s="48"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84" s="171"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84" s="27">
        <f>LEN(D84)</f>
        <v/>
      </c>
      <c r="F84" s="171"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84" s="27">
        <f>LEN(F84)</f>
        <v/>
      </c>
      <c r="H84" s="171" t="inlineStr">
        <is>
          <t>Aw gwasomɔgɔ wala aw jama ye kojugu dɔ walima gwɛlɛya dɔ sɔrɔ min bɛ aw gwasomɔgɔw bali kamasɔrɔ u tɛ se ka sɔrɔda mara /ka dumuni mara ka se k’u yɛrɛ balo kalo 3 tɛmɛni, n’o ɲɔgɔn kɛra juman (w)don?
[SƆRƆBATIGI: AW YE KOJUGU MIN YE GWASOMɔGɔ TƆƆRƆ SUGANDI. JAABILI CAMAN N'AW BƐ SE. AW BƐ SƆRƆ KOJUGUW KO FƆ, ANI SUMAN, NI BAGAN, GWASO KOJUGUQ, KOJUGUW MINW MA BƆ ADAMADENW FƐ ANI MINW ADAMADENW Y’O KƐ.]
1)Kojugu si ma kɛ
2)Bana walima balawu wala saya don gwasomɔgɔ dɔ fɛ [dumuni sɔrɔbaga / furakɛli sanni mɛn tɛ kɛ don wo don / jɛnɛja waribɔ / dumuni sɔrɔbaga ka saya]
3)Mɔgɔ dɔ baara tiiɲɛna wala a tɛ baara sɔrɔ [min tɛ bana ko kosɔn/balawu]
4)Kojugu wɛrɛ min kɛra gwasokɔnh
5)Dumuni sɔngɔ yɛlɛmana ka tɛmɛ waati wɛrɛ ye
6)Esansi sanda wulula walima pase 
7)Jamaw tɛ se ka wili ka taga yɔrɔ wɛrɛ [fiɲɛbana walima sira wala barasi tiiɲɛna]
8)Kojugu wɛrɛ 
9)Fiɲɛbana
10)alenfɛnw banaw
11)Baganbanaw [min bɛ baganw maga] wala saya
12)Gwɛlɛya ye ka se baganmarayɔrɔ 
13)Bɔnsɔn wala bagan kojugu
14)Nɛnɛ
15)Jiwalankata / ba kogo tigɛlen don
16)Fɔɲɔn ba / siklone fɔɲɔn / sanjiba
17)Jalan / jalanjugu
18)Dugukolonyɛrɛyɛrɛ
19)Dugukolo cɛɛnɛ
20)Tasuma
21)Kojugu wɛrɛ
22)FangafinViolence kɛlɛ
23)Sɔrɔta sonyali [dugukolo / baganw / minanw]
24)Tasuma min adamadenw y’a mana
25)Kojugu adamadenw ye minw kɛ
26)A M'A DƆN
27)A BANNA</t>
        </is>
      </c>
      <c r="I84" s="27">
        <f>LEN(H84)</f>
        <v/>
      </c>
      <c r="J84" s="49" t="inlineStr">
        <is>
          <t>ãrãkuju taan dũwõ nuŋo bɛrɛ, ɛɛru mà kasara máa ɛɛru lè ɔru mɔɲu kɔ tɔɔn e uro máa e inem mà kũ sugo may e uro mà paŋa gama may e kaa-pana tɛ̃na máa kaa-ɲey e kũ lè luguro bɛrɛ-go bé jin báa kɔ maa ?  ko kũũ tɔ̃ɲɔ̃-i ley nà, cɛ iɲe-i/cɛ iɲe be-i ?
[BIRƐ BAŊA : KO URO NAM GARA CƐW TƆŊƆ̃. KAA SAARA JOO GAMA TƐMWƐ KƆ. BUUDU MA NAM MAA, WARU MÀ OJU KAA MÀ NAM MAA, ASƐGƐ BE CEE, MAA NAM KO URO MÀ NAA LÈ KƆƆ, KO JIN DIMÉ KASARA TAŊA KƆ JIN KƆƆ, MAA INE MÀ TIRƐ ÃRÃ MÃRŊÃ KƆ JIN KƆƆ, MAYNA-SÀ BÈ LEY E HAKILƐ KO KŨŨ BERU DAGA].
1)Nam kɔrɔ
2)sĩĩlɛ/ aksidã/ màa uro inen turu mà nuwõ [sĩĩlɛ uro inem mà baru-kɔ/ inen jɔŋ dépãsu bè ɛjii boŋo lɔgɔ-sà / nuwõ uro dépãsu bè / nuwõ uro inem bara-kɔ].
3) à birɛ máa dii gàmà-i ley ya birɛ u bɛ́rɛ́ djĩĩ mà ɛru [sĩĩlɛ-i ko jelii/ aksidã ko jeli].
4) núrõ làgá kò úró mà bɛ́rɛ́ kún.
5) kaaɲey bè ɲee bè dɔn ɛjii boŋno lɔgɔ-sà.
6) ésãsu bè dɔn máa/ mà trampɔru bè ɛjii boŋno lɔgɔ-sà.
7)Ana-nam mà birɛ bɛ́rɛ́ bìrɛ̀-gò [gàmà sĩĩlẽ mɔɲu mà saaba jɛ màa/ niɲe birɛbiru bé ɲɔ̃wɔã bà sògó].
8)Cɛ sara mà nurõ laga
9)Sĩĩlɛ mɔ́ɲú ànà lè kɔ̂
10)Tĩwẽ bé sĩĩlɛ
11)Esɛgɛ ma sĩĩlɛ [asɛgɛ boŋo bé aa-ra] màa nuwõ bé
12)Eju-bomo bé dii asɛgɛ bè jirɛ kɔɔrɔ
13)Dɛ̃́rɛ̃́ bée asɛgɛ bée mana mà nurõ làgá
14)Dii mà tom máa ãni-sagara
15)Ní mà uro bé jaru / ní mà dii fuwɔ ɛjuwu
16) oɲo fufun / ãrã-oɲo gara / oɲo-ban gɔrɔ
17) nibãrã mɔɲu / dii mà ɔgu lɔgɔ
18) íjúbáy mà jìgúrù
19) ijubay mà biilwu
20) ɛɛru lé kasara mà nuwõ-uguwu
21) ɛɛru bɛ̀rɛ̀ cɛ bè lɛɛ laga bé
22) paŋaa/ jam mà kɔrɔɔ / jɛy
23) cɛ birɛ-biru bé gũɲũ [dii bé/ asɛgɛ bé / niɲe bé / ko jin mà cɛ laga bé]
24) inejɛm kasara jɛrɛ mà nuwõ-uguwu
25) inejɛm mà lɛwɛ-kɔ làgá bé
26)JUGƆ-GO WA
27)YƆWƆ-LI</t>
        </is>
      </c>
      <c r="K84" s="27">
        <f>LEN(J84)</f>
        <v/>
      </c>
      <c r="L84" s="171" t="inlineStr">
        <is>
          <t>Handu hĩzey wey ndu cere game, er huwo walu er jama borey naŋ du balawu wala hay fo dey kaŋ nu i gengi goy fo kulu teeyoŋ kaŋ ga i gu hini ku du alzaka wala hay kaŋ gu ŋa hala a mu wasa, hala a te wo fo wala wey foyoŋ no ?
[HÃKA : ER MU SUBAN BALAWU CIMA CIMEY KANYON TO HUWO. ZAABU BOOBOWYON GU KOY DUURO KAMBA, GARUHAYEY NDU ALMENEY KAMBA, HUWO GUNDE BINEHASAREY, ANDUNIYA TEEGOYEY BINEHASAREY NDU BOREY TEEGOYEY BINE HASAREY].
1)Hay kulu manu te
2)Huwo boro fo zaŋey/ a te aksidaŋ wala a bu [ bora kaŋ gu huwo jere zaŋa / sefermey nooro ba henney/ duwawo tetoŋo dapansey/ bora kaŋ gu huwo jere buuno ]. 
3)Goy hasarowyoŋ  wala su hin ku goyyoŋ[kaŋ mantu zaŋa wala aksidaŋ se no]. 
4)Huwo ga won taabi fo
5)ŋaarey nooro tonton gumo gumo
6)Asanso ndu mootu nooro tonton gumo gumo 
7)Borey gengi i mu dira ku koy nongori kaŋ i ba[sanda/ zaney kaŋ gu bere wala bine fondey no su boori].
8)Alzaka jaŋiri foyoŋ
9)Gondu zuri balawey
10)Tuurey zaŋa
11)Almeney zaŋa [kaŋ gu almen boobow di] wala i buuno
12)Almeney sindu kurey do
13)Balaw foyoŋ kaŋ to dumiizey wala almeney 
14)Nongoro gu yey henney  wla ngeriya
15)Nongorey kaŋ yoole/ goorey jebey hasarayoŋo
16)Sebey/ hew laaley/ harihewey
17)Koogendo / nongoro miso hasaruyoŋo
18)Labo jigiyoŋo
19)Labo telensiyoŋo
20)Gengo ga yaarey kaŋ gu goro ku te
21)Balaw foyoŋ
22)Keskera ndu lakkalkena jaŋa / yengey
23)Goyo duuru zeyyoŋ [labo / almeney / jiney / WKC.]
24)Yaara kaŋ manu tun kala boro fo do
25)Balaw foyoŋ kaŋ su tun kala boro fo do
26)SU BEY
27)WENGE</t>
        </is>
      </c>
      <c r="M84" s="27">
        <f>LEN(L84)</f>
        <v/>
      </c>
      <c r="N84" s="171" t="inlineStr">
        <is>
          <t xml:space="preserve">Amazaɣ nawan meɣ terwe nawan eqal agraw albana meɣ aɣašad atiwasanan igrawan asahat ən amazaɣ nawan ye asiwid ən agaraw əd/meɣ ən igi ən ašaško fal gidehan ən ataɣam ɣur dǎɣ karad uran wi dokaynen, əd afal iya, əndeki/əndekan ?
[ƏMASESTƏN : AKIS IƔAŠADAN ATIWASANEN IGRAWNEN AMAZAƔ WEN. ƏLAƔITAN AJOTNEN ADOBEN. SANƏHUGU IƔAŠADǍƔ WI NAZRUF, YE IƔAŠADAN WƏN SIGYAK ƏD WƏN ARIZEG, YE IƔAŠADAN ƏN AMAS ƏN AMAZAƔ, YE ASUƔSID NAZAMAN ƏD ASUƔSID ƏN DIHAN ƏS ADUNY]
1)Wartila aɣašad
2)Torhina/ atwitas meɣ iba ən awadəm ən amazaɣ [torhina tan tilalt ən alɣayal / isifran ən laktor asohatnen hulen / alhak ən aman / iba ən tilalt ən alɣayal]
3)Agamad ən ašiɣil meɣ tadabit ən əšiɣil [winan diha əs tenade meɣ əs atwitas]
4)Iyan aɣašad dǎɣ amas namazaɣ
5)Asuk ən siduma asohatnen hulen 
6)Asuk ən əarbura meɣ alhak nasikil asohatnen hulen 
7)Ifanazan ən matekwayan ən tamite [dǎɣ sund/ fal salan ən atamalsen meɣ iba ən dagan]
8)Iyan aɣašad ən azruf
9)Aytamalsen ən parasitan
10)Torhina tan hiškan 
11)Torhina ən arizeg [garawat arizeg ajen] meɣ ibatan
12)Iba nagaraw nugiš itawanhayan ən asamadon
13)Iyan aɣašad fal sigyak əd arizeg 
14)Alwaq samidan meɣ aquran 
15)Asisikiy naman / aɣašad ən madanan
16)Timədlen / tamadalt / tamadalt
17)Aɣašad/ takast
18)Ašikqid ən nakal 
19)Amiliy ən nakal
20)Teraɣe tigat əs aɣašad ən nazaman
21)Iyad iɣašadan ən nazaman 
22)Tarna əd iba alɣafiyat / akinas
23)Tikra ən tanfo ən sigyak [akal / arizeg/ ilalan/ iyad.]
24)Teraɣe tigat əs aɣašad əs adinat 
25)Iyad iɣašadan əd dahanen əs adinat
26)DON'T KNOW
27)REFUSED </t>
        </is>
      </c>
      <c r="O84" s="27">
        <f>LEN(N84)</f>
        <v/>
      </c>
      <c r="P84" s="171" t="inlineStr">
        <is>
          <t>Ɓaade maa suudu baaba mooɗon hawrii fuh e masiiba maa tiiɗorma goɗɗo duɗɗuɗo baawɗe ɓaade mooɗon nden dow keɓal muuɗum jawdi e/maa faa golla heɓa neema ko heƴata koreeji nder lebbi tati cakitiiɗi ɗii? So tawaama hewtake nden, ɗume woni saɗɗa/maa saɗɗaaji ɗin? 
[GOLLOOWO : SUƁA TIIƊALLAAJI ƁURUƊI NANNGUDE HAKKILLO KEWTIIƊI ƁAADE NDEN. JAABUUJI KEEWƊI NA MBAAWI TAWEEDE. TAYKANO-ƊAA TIIƊALLAAJI FAGGUDU, TIIƊALLAAJI DEMAL E MARDI, TIIƊALLAAJI FEEREEJI NDER ƁAADE, TIIƊALLAAJI BAAWƊI ƳUWUDE E NDER PIILKI E MAA ƁIƁƁE AADAMA EN]
1) Tiiɗalla fuh waɗaay 
2) Nyawu/ fiineede maa maayde jeyaaɗo nder ɓaade [nyawu neɗɗo balloowo ɓaade nden / dapansi cafaaje bittitiiɗe / dapansi du'aa'u maayɗo / maayde balloowo ɓaade nden]. 
3) Mursugol golle maa laawol golle [ngol nyawu maa fiineede saabaaki]. 
4) Tiiɗalla goɗɗo nder ɓaade nden
5) Coogguuji neema bittitiiɗe sanne 
6) Coogguuji esansi maa taransipoor bittitiiɗe sanne 
7) Faddaade yimɓe e nder yuusundeeji muɓɓen [hono/ saabee nyawu/ maa bonugol nyiɓngooji]. 
8) Tiiɗalla banngal faggudu goɗɗo 
9) Nyawu ndaaɓoowu kuukoy maa yimɓe 
10) Nyawu leɗɗe 
11) Nyawu daabaaji [nduɗɗungu daabaaji keewɗi] maa waatugol daabaaji 
12) Rafi heɓugol dura
13) Tiiɗalla goɗɗo dow demal e mardi 
14) Peewol bittitiingol maa ɓooyungol 
15) Ndiyam bonnoojam ɓaadeeji / heefagol diggi paddorɗi ndiyam 
16) Henndu bonondaaru / Henndu duluuru mawndu / Henndu semmbenteeru sanne
17) Yoorngo / wakkati bulɗo 
18) Dinngagol leydi 
19) Taatagol leydi 
20) Ngulu ngu piilki tan saabii 
21) Tiiɗalla piilki goɗɗo
22) Torra e rafi ndeenaagu / bolwole 
23) Nguyka gineeji gollitirɗi [leydi / daabaaji / gineeji / e ko nandi e muuɗum yaade] 
24) Ngulu ngu ɓiɓɓe aadama caabii 
25) Tiiɗalla goɗɗo mo ɓiɓɓe aadama en caabii
26)MI ANDA
27)SALAADE</t>
        </is>
      </c>
      <c r="Q84" s="27">
        <f>LEN(P84)</f>
        <v/>
      </c>
      <c r="R84" s="63" t="inlineStr">
        <is>
          <t>Select All That Apply</t>
        </is>
      </c>
      <c r="S84" s="27" t="inlineStr">
        <is>
          <t>NA</t>
        </is>
      </c>
      <c r="T84" s="27" t="inlineStr">
        <is>
          <t>NA</t>
        </is>
      </c>
      <c r="U84" s="27" t="inlineStr">
        <is>
          <t>Form Type - Checklist
1, 26, 27 = IsNone</t>
        </is>
      </c>
      <c r="V84" s="172"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W84" s="168" t="inlineStr">
        <is>
          <t>1-27 = hh_explanation</t>
        </is>
      </c>
      <c r="X84" s="326" t="n"/>
      <c r="Y84" s="309" t="inlineStr">
        <is>
          <t>if shock = 1-27, go to [covid or hh_explanation]</t>
        </is>
      </c>
      <c r="Z84" s="170" t="n"/>
      <c r="AA84" s="66" t="inlineStr">
        <is>
          <t>resp_age = 18-100
hh_agricactivity = 1 | 2 | 3 | 4
quotareached = 2</t>
        </is>
      </c>
      <c r="AB84" s="67" t="n"/>
      <c r="AC84" s="111" t="n">
        <v>46.24752807617188</v>
      </c>
      <c r="AD84" s="374">
        <f>1</f>
        <v/>
      </c>
      <c r="AE84" s="111">
        <f>AC84*AD84</f>
        <v/>
      </c>
    </row>
    <row r="85" ht="156.75" customFormat="1" customHeight="1" s="203" thickBot="1">
      <c r="A85" s="216">
        <f>A84+1</f>
        <v/>
      </c>
      <c r="B85" s="530" t="inlineStr">
        <is>
          <t>hh_explanation</t>
        </is>
      </c>
      <c r="C85" s="270" t="inlineStr">
        <is>
          <t>hh_explanation</t>
        </is>
      </c>
      <c r="D85" s="546"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85" s="344">
        <f>LEN(D85)</f>
        <v/>
      </c>
      <c r="F85" s="546"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85" s="344">
        <f>LEN(F85)</f>
        <v/>
      </c>
      <c r="H85" s="273" t="inlineStr">
        <is>
          <t>Ni kojugu dɔ ye aw gwaso sɔrɔ kɔsa nin na I n’a fɔ o ye min jira sɛgɛsɛgɛli la [misaliya, dugukoloyɛrɛyɛrɛ], mun de [min year ani min ma ye fɔlh] a nɔ aw gwasomɔgɔ fan fɛ, I yɛrɛ kumansɛn nin na?
[SƆRƆBATIGI: I KA KOO MINW TƐMƐNA SISAN KƆLƆ JƆNJƆN SƐBƐ DAƝƐ DAMANI NA. I KA 88 SƐBƐ NE T’A DƆN KOO LA ANI KA 99 SƐBƐ NE MA SƆN KOO LA]</t>
        </is>
      </c>
      <c r="I85" s="344">
        <f>LEN(H85)</f>
        <v/>
      </c>
      <c r="J85" s="273" t="inlineStr">
        <is>
          <t>Bɛy tɔ̃ɲɔ̃ le mɔɲu [hɔnɔ íjúbáy mà jìgúrù tɔɔn] e uro bee-sà ley, e uro le m sababu mɔɲu jɔkɔ tɔɔn-i gɛrɛ kãn ko taykaa-kɔ jin-kɔ bà maa sababu iɲey, mɔɲu nuŋo eke uro le ko jɛrɛ-kɔ màa maanara bé wa?
[BIRƐ MA KŨ BANA : GƆ̃J BE NAM NA KANA FUU TƆNƆ̃ I. 88 TƆ̃NƆ̃ I ɟUGƆ GO BA LEJ, 99 TƆ̃NƆ̃ I TEGU JƆWƆLI BA LEJ].</t>
        </is>
      </c>
      <c r="K85" s="344">
        <f>LEN(J85)</f>
        <v/>
      </c>
      <c r="L85" s="273" t="inlineStr">
        <is>
          <t>Hala taali beeri to er huwo kaŋ manu  gey [sanda labo jigiryoŋo], foyoŋ n, tu mursey [kaŋ er di wala er ma] kaŋ du er huwo, er meeciino boŋ?
[HANKAA : HANTUM BALAWU BEERA SABAABO. TUM 88  ESU BEY SE, NDU 99 E WINGEY SE ]</t>
        </is>
      </c>
      <c r="M85" s="344">
        <f>LEN(L85)</f>
        <v/>
      </c>
      <c r="N85" s="273" t="inlineStr">
        <is>
          <t>Afal amazaɣ eqal aydas ašaɣad aynayan dǎɣ atiwasaknan dǎɣ asostan wadǎɣ [dǎɣ sund, ašikqid ən nakal ], əndeki awa eɣšadan [ atiwanhayan datawa meɣ atiwaslan] fal amazaɣ nawan,  dǎɣ salan nawan?
[EMASESTƏN : SAQAYMU DǍƔ NAƔRUFAN WI DAZARNEN IƔAŠADAN ƏN AƔAŠAD AYNAYAN. AGAT 88 FAL WARISENAƔ ƏD 99 FAL TUGINT]</t>
        </is>
      </c>
      <c r="O85" s="344">
        <f>LEN(N85)</f>
        <v/>
      </c>
      <c r="P85" s="282" t="inlineStr">
        <is>
          <t>Soni tawii tiiɗalla mawɗo duɗɗii ɓaade nden ko ɓooyaay hono no holliraa nii [hono, dinngagol leydi] ɗume woni ko ɗum saabii [ko yi'aa maa ko waawi yi'eede] nder ɓaade mooɗon, e sifa mooɗon?
[GOLLOOWO: WINNDU AYKA NO KO TIIƊORMA ON WAAWI SAABAADE ƊUM NO FOTI. WINNDU 88 SO TAWII JOOMUM ANNDAA, 99 SO SALAKE]</t>
        </is>
      </c>
      <c r="Q85" s="344">
        <f>LEN(P85)</f>
        <v/>
      </c>
      <c r="R85" s="590" t="inlineStr">
        <is>
          <t>Open Ended</t>
        </is>
      </c>
      <c r="S85" s="272" t="inlineStr">
        <is>
          <t>NA</t>
        </is>
      </c>
      <c r="T85" s="272" t="inlineStr">
        <is>
          <t>NA</t>
        </is>
      </c>
      <c r="U85" s="272" t="inlineStr">
        <is>
          <t>Form Type - TextBox</t>
        </is>
      </c>
      <c r="V85" s="191" t="inlineStr">
        <is>
          <t>NA</t>
        </is>
      </c>
      <c r="W85" s="147" t="inlineStr">
        <is>
          <t>Any Response = crp_intro</t>
        </is>
      </c>
      <c r="X85" s="348" t="n"/>
      <c r="Y85" s="417" t="inlineStr">
        <is>
          <t>For any response to hh_explanation, go to covid.</t>
        </is>
      </c>
      <c r="Z85" s="415" t="n"/>
      <c r="AA85" s="148" t="n"/>
      <c r="AB85" s="67" t="n"/>
      <c r="AC85" s="45" t="n">
        <v>26.11878204345703</v>
      </c>
      <c r="AD85" s="280">
        <f>1</f>
        <v/>
      </c>
      <c r="AE85" s="45">
        <f>AC85*AD85</f>
        <v/>
      </c>
    </row>
    <row r="86" ht="20" customHeight="1" thickBot="1">
      <c r="A86" s="708" t="inlineStr">
        <is>
          <t>D. CROP PRODUCTION</t>
        </is>
      </c>
      <c r="B86" s="739" t="n"/>
      <c r="C86" s="739" t="n"/>
      <c r="D86" s="739" t="n"/>
      <c r="E86" s="739" t="n"/>
      <c r="F86" s="739" t="n"/>
      <c r="G86" s="739" t="n"/>
      <c r="H86" s="739" t="n"/>
      <c r="I86" s="739" t="n"/>
      <c r="J86" s="739" t="n"/>
      <c r="K86" s="739" t="n"/>
      <c r="L86" s="739" t="n"/>
      <c r="M86" s="739" t="n"/>
      <c r="N86" s="739" t="n"/>
      <c r="O86" s="739" t="n"/>
      <c r="P86" s="739" t="n"/>
      <c r="Q86" s="739" t="n"/>
      <c r="R86" s="739" t="n"/>
      <c r="S86" s="739" t="n"/>
      <c r="T86" s="739" t="n"/>
      <c r="U86" s="739" t="n"/>
      <c r="V86" s="739" t="n"/>
      <c r="W86" s="739" t="n"/>
      <c r="X86" s="739" t="n"/>
      <c r="Y86" s="739" t="n"/>
      <c r="Z86" s="739" t="n"/>
      <c r="AA86" s="740" t="n"/>
      <c r="AC86" s="45" t="n"/>
      <c r="AD86" s="280" t="n"/>
      <c r="AE86" s="45" t="n"/>
    </row>
    <row r="87" ht="280" customHeight="1">
      <c r="A87" s="336">
        <f>A85+1</f>
        <v/>
      </c>
      <c r="B87" s="591" t="inlineStr">
        <is>
          <t>crp_intro</t>
        </is>
      </c>
      <c r="C87" s="48" t="inlineStr">
        <is>
          <t>crp_intro</t>
        </is>
      </c>
      <c r="D87" s="441" t="inlineStr">
        <is>
          <t>We will now ask you some questions about crop production which apply to you and anyone in your household that is involved in crop production or sales. All questions refer to the crops grown during Wet Season
1)CONTINUE</t>
        </is>
      </c>
      <c r="E87" s="39">
        <f>LEN(D87)</f>
        <v/>
      </c>
      <c r="F87" s="173"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seche. 
1)CONTINUER</t>
        </is>
      </c>
      <c r="G87" s="39">
        <f>LEN(F87)</f>
        <v/>
      </c>
      <c r="H87" s="51" t="inlineStr">
        <is>
          <t xml:space="preserve">Sisan n bɛna ɲinankali dɔ ɲinqnka I fɛ I n’a fɔ bɔsɔn sɔrɔta ka kɛɲɛ n’I ma ani gwasomɔgɔ kelen kelen min bɛ suman kɛ ani o b’a feere. ɲinankali ni bɛɛ bbɛ ɲinan tilema bɔsɔb kan.
1)NƆCƐ 
</t>
        </is>
      </c>
      <c r="I87" s="39">
        <f>LEN(H87)</f>
        <v/>
      </c>
      <c r="J87" s="51" t="inlineStr">
        <is>
          <t>Nim ge ɛmɛ kũũ, e waru dɛ̃rɛ̃ mà mana, ujuru daga, eru ujuro i. ko kũũ mà ko ujuru bèné, e kũũ mà dãrã-bana koru jɛ-kun bée, eke uro mà inen, dɛ̃rɛ̃ birɛ gɔ̃rɔ̃n kɛw nà, koru jɛ-kun.
1)ɟIɟƐ GARA</t>
        </is>
      </c>
      <c r="K87" s="39">
        <f>LEN(J87)</f>
        <v/>
      </c>
      <c r="L87" s="51" t="inlineStr">
        <is>
          <t>Ir naŋ gu hãyoŋ te er dumiizey goyey kaŋ er huwo borey te boŋ wey kaŋ er te ndu wey kaŋ er neere. Hãyoŋey kulu su zumbu kala heeniŋo dumiizey goyo boŋ.
1)TONTONE</t>
        </is>
      </c>
      <c r="M87" s="39">
        <f>LEN(L87)</f>
        <v/>
      </c>
      <c r="N87" s="51" t="inlineStr">
        <is>
          <t>Anaku amara asostan iyad hawan fal salan ən igitan ən asigyik wi tagam kawaned əd awadəm dak ən amazaɣ nawan amusant ayhan dǎɣ igitan meɣ dǎɣ ašiš ən sigyak. Asostan dak akan isigyak ən nalwaq wan ewelan.
1)AKIYAT</t>
        </is>
      </c>
      <c r="O87" s="39">
        <f>LEN(N87)</f>
        <v/>
      </c>
      <c r="P87" s="51" t="inlineStr">
        <is>
          <t xml:space="preserve">Joonin men lamndoto-ɗon seeɗa ko haɓɓodii e demal mooɗon anon e kala gonuɗo nder ɓaade mooɗon fuh kawtuɗo e remugol maa soonnugol demal ngal. Lamndi ɗin na kaɓɓodii e kulle demeteeɗe  wakkati ceeɗu.
1)YEESO </t>
        </is>
      </c>
      <c r="Q87" s="39">
        <f>LEN(P87)</f>
        <v/>
      </c>
      <c r="R87" s="137" t="inlineStr">
        <is>
          <t>Single Choice</t>
        </is>
      </c>
      <c r="S87" s="39" t="inlineStr">
        <is>
          <t>NA</t>
        </is>
      </c>
      <c r="T87" s="39"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U87" s="39" t="inlineStr">
        <is>
          <t>Form Type - Buttons</t>
        </is>
      </c>
      <c r="V87" s="40" t="inlineStr">
        <is>
          <t>NA</t>
        </is>
      </c>
      <c r="W87" s="592" t="inlineStr">
        <is>
          <t>1 = crp_landsize_num</t>
        </is>
      </c>
      <c r="X87" s="593" t="n"/>
      <c r="Y87" s="308"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Z87" s="174" t="n"/>
      <c r="AA87" s="43" t="inlineStr">
        <is>
          <t>resp_age = 18-100
(hh_agricactivity = 1 | 3) | (income_main_cropcheck = 1) | (income_sec_cropcheck = 1) | (income_third_cropcheck = 1) 
quotareached = 2</t>
        </is>
      </c>
      <c r="AB87" s="594" t="n"/>
      <c r="AC87" s="111" t="n">
        <v>7.5</v>
      </c>
      <c r="AD87" s="280">
        <f>#REF!</f>
        <v/>
      </c>
      <c r="AE87" s="111">
        <f>AC87*AD87</f>
        <v/>
      </c>
    </row>
    <row r="88" ht="232.5" customHeight="1">
      <c r="A88" s="88">
        <f>A87+1</f>
        <v/>
      </c>
      <c r="B88" s="175" t="inlineStr">
        <is>
          <t>crp_landsize_num</t>
        </is>
      </c>
      <c r="C88" s="27" t="inlineStr">
        <is>
          <t>crp_landsize_num</t>
        </is>
      </c>
      <c r="D88" s="167" t="inlineStr">
        <is>
          <t>What is the total size of the land you can cultivate?
[OPERATOR: RECORD THE TOTAL LAND SIZE PROVIDED BY THE RESPONDENT. WRITE 8888888 FOR DON'T KNOW AND 9999999 FOR REFUSED. MEASUREMENT UNIT WILL BE SPECIFIED IN THE FOLLOWING QUESTION.]</t>
        </is>
      </c>
      <c r="E88" s="27">
        <f>LEN(D88)</f>
        <v/>
      </c>
      <c r="F88" s="51" t="inlineStr">
        <is>
          <t>Quelle superficie totale pouvez-vous cultiver ?
[OPÉRATEUR/OPÉRATRICE: SAISIR LA TAILLE TOTALE DU TERRAIN ANNONCÉE PAR LE RÉPONDANT. ENTRER 8888888 POUR «NE SAIT PAS» ET 9999999 POUR «REFUSÉ» . L'UNITÉ DE MESURE SERA PRÉCISÉE À LA QUESTION SUIVANTE].</t>
        </is>
      </c>
      <c r="G88" s="27">
        <f>LEN(F88)</f>
        <v/>
      </c>
      <c r="H88" s="82" t="inlineStr">
        <is>
          <t xml:space="preserve">Aw be se ka dugukolo hakɛ jumɛn de sɛnɛ ? 
[SƆRƆBATIGI: SƐGƐSƐGƐLEN YE DUGUKOLO HAKƐ MIN FƆ SƐBƐ. KA 8888888 SƐBƐ NE T’A DƆN KOO LA ANI KA 9999999 SƐBƐ NE MA SƆN KOO LA. SUMANIKƐLAN BƐNA PEREPERE ƝININGALI NATA KƆNƆ] 
</t>
        </is>
      </c>
      <c r="I88" s="27">
        <f>LEN(H88)</f>
        <v/>
      </c>
      <c r="J88" s="82" t="inlineStr">
        <is>
          <t xml:space="preserve">Waru e wara bɛrɛ ma iɟubay-saruwa dãy jow ɟinî?
[BIRƐ MA KŨ BAŋA : E KASAAN IɟUBAJ-SARUWA O KU FUU TƆ̃ŋƆ̃ I. 8888888 TƆ̃ŋƆ̃ I ɟUGƆ GO BA LEJ, 9999999 TƆ̃ŋƆ̃ I TEGU JƆWƆLI BA LEJ. UɟU NIMJƐKƆ CƐ BE TUWƆ̃ BE TEGE KAWGA-I].
</t>
        </is>
      </c>
      <c r="K88" s="27">
        <f>LEN(J88)</f>
        <v/>
      </c>
      <c r="L88" s="82" t="inlineStr">
        <is>
          <t xml:space="preserve">Er faarey kul ectar margu no ?
[HANKAA : SAMBU LAABO DEEDINTO KUL KAN BOORA CI. HANTUM 8888888 ESU BEY SE NDU 9999999 E WINGIN SE . IRGU DEEDINDO JIINAN CEEBE HANYONG KAN GAKA DO ]
</t>
        </is>
      </c>
      <c r="M88" s="27">
        <f>LEN(L88)</f>
        <v/>
      </c>
      <c r="N88" s="82" t="inlineStr">
        <is>
          <t>Indekat tesayt təmdat nakal ta taqalat as tadobem agayak ənes ?
[EMASESTƏN : SAQAYMU HADI ƏMDAN ƏN NAKAL WA IFA AMASOSTAN. ƏKITB 8888888 FAL IBA NUSIN ƏD 9999999 FAL TUGINT. HARAT WA NAKOT ANIHAGA ADIQIL ATIWAZAYAN DAƔ ASOSTAN WA ILKAMAN]</t>
        </is>
      </c>
      <c r="O88" s="27">
        <f>LEN(N88)</f>
        <v/>
      </c>
      <c r="P88" s="82" t="inlineStr">
        <is>
          <t xml:space="preserve">Noy njaajeefi ngesa nga mbawwu-ɗon remide foti ?
[GOLLOOWO : WINNDU NJAAJEEFI NGESA KI O HOKKI KIN. WINNDU 8888888 SO JUUMUM ANNDAA E 9999999 SO JOOMUM MUUYAAY. KO NGA FONNDIRAA HOLLINTE LEY LAMNDONGAL GAROWAL NGAL]. 
</t>
        </is>
      </c>
      <c r="Q88" s="27">
        <f>LEN(P88)</f>
        <v/>
      </c>
      <c r="R88" s="153" t="inlineStr">
        <is>
          <t>Range</t>
        </is>
      </c>
      <c r="S88" s="27" t="inlineStr">
        <is>
          <t>NA</t>
        </is>
      </c>
      <c r="T88" s="27" t="inlineStr">
        <is>
          <t>NA</t>
        </is>
      </c>
      <c r="U88" s="27" t="inlineStr">
        <is>
          <t>Form Type - TextBox</t>
        </is>
      </c>
      <c r="V88" s="40" t="inlineStr">
        <is>
          <t>NA</t>
        </is>
      </c>
      <c r="W88" s="168" t="inlineStr">
        <is>
          <t>0-1000000 = crp_landsize_unit
8888888-8888888 = crp_main
9999999-9999999 = crp_main</t>
        </is>
      </c>
      <c r="X88" s="326" t="n"/>
      <c r="Y88" s="308" t="inlineStr">
        <is>
          <t>For any response, go to crp_landsize_unit. Range is between 0 and 1000000. For "Don't know" and "Refused", go to crp_main.</t>
        </is>
      </c>
      <c r="Z88" s="176" t="n"/>
      <c r="AA88" s="66" t="inlineStr">
        <is>
          <t>resp_age = 18-100
(hh_agricactivity = 1 | 3) | (income_main_cropcheck = 1) | (income_sec_cropcheck = 1) | (income_third_cropcheck = 1) 
quotareached = 2</t>
        </is>
      </c>
      <c r="AB88" s="177" t="n"/>
      <c r="AC88" s="111" t="n">
        <v>17</v>
      </c>
      <c r="AD88" s="280">
        <f>#REF!</f>
        <v/>
      </c>
      <c r="AE88" s="111">
        <f>AC88*AD88</f>
        <v/>
      </c>
    </row>
    <row r="89" ht="216" customHeight="1">
      <c r="A89" s="88">
        <f>A88+1</f>
        <v/>
      </c>
      <c r="B89" s="175" t="inlineStr">
        <is>
          <t>crp_landsize_unit</t>
        </is>
      </c>
      <c r="C89" s="27" t="inlineStr">
        <is>
          <t>crp_landsize_unit</t>
        </is>
      </c>
      <c r="D89" s="167" t="inlineStr">
        <is>
          <t xml:space="preserve">Unit of measurement for land size: 
[OPERATOR: DO NOT READ. SINGLE RESPONSE.]
1)Acres
2)Hectares
3)Square meters
4)Square feet
</t>
        </is>
      </c>
      <c r="E89" s="27">
        <f>LEN(D89)</f>
        <v/>
      </c>
      <c r="F89" s="167" t="inlineStr">
        <is>
          <t>Unité de mesure des terrains cultivés :
 [OPÉRATEUR/OPÉRATRICE: RÉPONSE UNIQUE.]
1)Acres
2)Hectares
3)Mètres carrés
4)Pieds carrés</t>
        </is>
      </c>
      <c r="G89" s="27">
        <f>LEN(F89)</f>
        <v/>
      </c>
      <c r="H89" s="82" t="inlineStr">
        <is>
          <t xml:space="preserve">Dugukolo hakɛ sumanikɛlan: 
[SƆRƆBATIGI : A TE KALAN. JAABI KELEN]. 
1)Foninin. 
2)Taariw. 
3)Mɛtɛrɛkɛnɛ. 
4)Seen mɛtɛrɛkɛnɛ 
</t>
        </is>
      </c>
      <c r="I89" s="27">
        <f>LEN(H89)</f>
        <v/>
      </c>
      <c r="J89" s="82" t="inlineStr">
        <is>
          <t>Dǐ ma waa cɛ be tũwõ:
[BIRƐ MA KŨ BAŊA: WORU ɟÃGA TEGE I LA I. KASAY TUNO CEJ].
1)Mɛtɛrɛ 40 ma cɛ urɔ goɟu. 
2)Mɛtɛrɛ 100 cɛ urɔ goɟu. 
3)Mɛtɛrɛ tũw siwɛ naj cɛw-cɛw kɔ. 
4)Kɔtãŋã ma lugo.</t>
        </is>
      </c>
      <c r="K89" s="27">
        <f>LEN(J89)</f>
        <v/>
      </c>
      <c r="L89" s="82" t="inlineStr">
        <is>
          <t xml:space="preserve">Oh kan nda er gu faaro beeranda kaabu :
[HANKAA : SA CEWU. BONFEREY FOLON].
1)Akro 
2)Ectaro  
3)Metoro caraa  
4)Cee dodobindu yong
</t>
        </is>
      </c>
      <c r="M89" s="27">
        <f>LEN(L89)</f>
        <v/>
      </c>
      <c r="N89" s="82" t="inlineStr">
        <is>
          <t>Harat ən akot wan təšigrit ən nadag :
[EMASESTEMASEWAR TAƔRED. ALIƔI IYANDAƔ].
1)Arəetan. 
2)Heətartan. 
3)Metretan ogsahnen.
4)Idaran ogdahnen</t>
        </is>
      </c>
      <c r="O89" s="27">
        <f>LEN(N89)</f>
        <v/>
      </c>
      <c r="P89" s="82" t="inlineStr">
        <is>
          <t xml:space="preserve">Cogguuji mon ɗi jaagotoɗon ɗi onon ngaɗi naa wo neɗɗo gure mon?
[GOLLOOWO: JAWAABU GOOTO. TAA JANNGU KO JUUMUN WAAWI SUƁAADE SONO WAAWI LAATAADE]
1)Acre
2)Hectaare
3)Meteere Kaare
4)Pied Kaare
</t>
        </is>
      </c>
      <c r="Q89" s="27">
        <f>LEN(P89)</f>
        <v/>
      </c>
      <c r="R89" s="153" t="inlineStr">
        <is>
          <t>Single Choice</t>
        </is>
      </c>
      <c r="S89" s="27" t="inlineStr">
        <is>
          <t>NA</t>
        </is>
      </c>
      <c r="T89" s="27" t="inlineStr">
        <is>
          <t>NA</t>
        </is>
      </c>
      <c r="U89" s="27" t="inlineStr">
        <is>
          <t>Form Type - Buttons</t>
        </is>
      </c>
      <c r="V89" s="40" t="inlineStr">
        <is>
          <t>NA</t>
        </is>
      </c>
      <c r="W89" s="168" t="inlineStr">
        <is>
          <t>1-4 = crp_main</t>
        </is>
      </c>
      <c r="X89" s="326" t="n"/>
      <c r="Y89" s="308" t="inlineStr">
        <is>
          <t>if crp_landsize_unit = 1-5, go to crp_main</t>
        </is>
      </c>
      <c r="Z89" s="174" t="n"/>
      <c r="AA89" s="66" t="inlineStr">
        <is>
          <t>resp_age = 18-100
(hh_agricactivity = 1 | 3) | (income_main_cropcheck = 1) | (income_sec_cropcheck = 1) | (income_third_cropcheck = 1) 
quotareached = 2</t>
        </is>
      </c>
      <c r="AB89" s="178" t="n"/>
      <c r="AC89" s="111" t="n">
        <v>0</v>
      </c>
      <c r="AD89" s="280">
        <f>#REF!</f>
        <v/>
      </c>
      <c r="AE89" s="111">
        <f>AC89*AD89</f>
        <v/>
      </c>
    </row>
    <row r="90" ht="409.6" customHeight="1">
      <c r="A90" s="88">
        <f>A89+1</f>
        <v/>
      </c>
      <c r="B90" s="36" t="inlineStr">
        <is>
          <t>crp_main</t>
        </is>
      </c>
      <c r="C90" s="48" t="inlineStr">
        <is>
          <t>crp_main</t>
        </is>
      </c>
      <c r="D90" s="441" t="inlineStr">
        <is>
          <t>What has been the main crop that your household has grown for food and income generation in $season$, if any? 
 [OPERATOR: SINGLE RESPONSE. "NO CROP PRODUCTION" IS IN LAST OPTIONS AT THE END.] 
1)Wheat
2)Millet
3)Sorghum
4)Maize
5)Potatoe
6)Tomatoes
7)Haricot
8)Groundnut/peanut
9)Cotton
10)Rice
11)Barley
12)Other Cereal
13)Cassava
14)Sweet Potatoes
15)Yams
16)Carrots
17)Cocoyam
18)Other tubers
19)Beans
20)Lentils
21)Peas
22)Soybeans
23)Chickpeas
24)Fava beans
25)Broad beans
26)Other pulses
27)Cabbage
28)Lettuce
29)Spinach-Amaranth
30)Cassava leaves
31)Potatoe leaves
32)Moringa
33)Sorrel Hibiscus / Rosselle
34)Green salad herbs [thyme, parsley, mint, rocca, other]
35)Cauliflower
36)Other leafy vegetables
37)Cucumber
38)Pumpkin
39)Eggplant/aubergine
40)Zucchini
41)Okra
42)Bell pepper
43)Onions
44)Green peas
45)Fava beans green
46)Other non leafy vegs
47)Orange
48)Lemon
49)Grapefruit
50)Mandarins/clementines
51)Other citrus fruit
52)Sweet Banana
53)Plantains
54)Papaya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80)Coffee
81)Tea
82)Sugarcane
83)Sunflower
84)Other food cash crop
85)Rubber
86)Jute
87)Fodder
88)Tobacco
89)Qat
90)Other non-food cash crop</t>
        </is>
      </c>
      <c r="E90" s="39">
        <f>LEN(D90)</f>
        <v/>
      </c>
      <c r="F90" s="51" t="inlineStr">
        <is>
          <t>Quelle a été la principale culture pratiquée par votre ménage pour se nourrir et générer des revenus pendant la $saison$, si applicable? 
 [OPÉRATEUR/OPÉRATRICE: RÉPONSE UNIQUE. «AUCUNE PRODUCTION VÉGÉTALE» EST PARMI LES DERNIÈRES OPTIONS, À LA FIN DE LA LISTE.] 
1)Blé
2)Mil
3)Sorgho
4)Maïs
5)Pommes de terre
6)Tomates
7)Haricot 
8)Arachide / cacahuète
9)Coton
10)Riz
11)Orge
12)Autres céréales
13)Manioc
14)Patates douces
15)Ignames
16)Carottes
17)Chou caraïbe
18)Autres tubercules
19)Haricots
20)Lentilles
21)Pois
22)Soja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37)Concombre
38)Citrouille
39)Aubergines/aubergines
40)Courgettes
41)Okra
42)Poivrons
43)Oignons
44)Petit pois
45)Pois fève
46)Autres légumes non feuillus
47)Orange
48)Citron
49)Pamplemousse
50)Tangerine/clémentine
51)Autres agrumes
52)Banane douce
53)Banane plantain
54)Papaye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80)Café
81)Thé
82)Canne à sucre
83)Tournesol
84)Autres cultures vivrières de rente
85)Caoutchouc
86)Jute
87)Fourrage
88)Tabac
89)Qat
90)Autre culture de rente non alimentaire</t>
        </is>
      </c>
      <c r="G90" s="27">
        <f>LEN(F90)</f>
        <v/>
      </c>
      <c r="H90" s="51" t="inlineStr">
        <is>
          <t>Suman jɔnjun aw gwasomɔgɔ ye min sɛnɛ dumuni kosɔn ni, ani wara sɔrɔda kosɔn tilema waati ye juman ye 
SƆRƆBATIGI: JAABILI KELEN. "SUMAN FƐNW TƐ YEN" O BƐ ƝƐNATƆMƆLI LABAN NI NA.] 
1)Kini
2)Alkama
3)ɲɔ
4)ɲɔn ba
5)Kaba
6)Pɔm de tɛɛr
7)Tomati
8)Siyɔ
9)Tigɛn
10)Kɔɔri
11)ɔrzi
12)Suman wɛrɛ
13)Bandaka
14)Wosso
15)Ku
16)karɔti
17)Taaro
18)Other tubers
19)Siyɔ wɛrɛ
20)Lantiye
21)Tigɛnankuru
22)Soza
23)Pwa sich
24)Favo siyɔ
25)Siyɔ baw
26)siyɔ suguya wɛrɛ
27)Suu
28)Leti
29)Epinaar Aramanth
30)Bandako flaburu
31)Woso bulu
32)Aljana yiri
33)Bisapi fulɛrɛ
34)Bulu ɲagaminin [tim/ persili/ mant/ rocca/ other]
35)Kiliflɛri
36)Nanfɛnkɛnɛ bulu wɛrɛw
37)Kɔkɔ /buru
38)Gɔyɔ
39)Obɛrzini
40)Zuckin
41)Gan
42)Foronto ba
43)Jaba
44)Tigɛnankuru binkɛnɛman
45)Binkɛnɛma Fava siq
46)Nankɔfɛn w
47)Lemuruba
48)Lebru
49)Rɛzxn
50)Mandarini/klemantinni
51)Agurm wɛrr
52)Baranda
53)Baranda plantain
54)Papay
55)Mango
56)Guyaave
57)Anana
58)Avoka
59)Pasitɛki
60)Tamaro
61)Fig yiti
62)Rɛzxn sugya wɛrɛ
63)Olivuw
64)Pɔù
65)Apriko
66)Ceriz
67)Pɛsi
68)Frɛzi
69)Kantalup Melɔ
70)Yiridenw wɛrɛ
71)Kɔki denw
72)Pɔm Kaazu
73)Woro
74)Bɛnx
75)Gouanzu
76)Amandi
77)Muriye
78)Nwa wɛrɛ
79)Kakao
80)Kafe
81)Atayi
82)Sukaro
83)Turnesɔli
84)Suman wɛrɛ
85)Mana
86)Bɔrɔ
87)Bagan Dumuni
88)Sira
89)Koati
90)Suman min tɛ dumu
91)Suman tɛ ye
92)A M'A DƆN
93)A BANNA</t>
        </is>
      </c>
      <c r="I90" s="39">
        <f>LEN(H90)</f>
        <v/>
      </c>
      <c r="J90" s="51" t="inlineStr">
        <is>
          <t>Kaa-pana ojukaa le dɛ̃rɛ̃ yɔkɔ le gara e uro ɛnɛ mà paŋã daga-sà wà? ko kũũ dɛ̃rɛ̃ koy ley nibãrã mà doguru le kãrã e uro jere bɛ́rɛ́-kɔ kũũ dɛ̃rɛ̃ eru le wara-ra bɛ̀rɛ̀ yɔkɔ-i? 
[BIRƐ BAŊA : KAASAARA TUMNO-I. DƐ̃RƐ̃-BIRƐ KÃ KƆƆRƆ DII BÈ TƆ̃NƆ̃Ɔ̃DƆJU LÉ KÒ ƩIPƐ DUMBO BE BƐ̀RƐ̀ YƐ-KƆ].
1) árá
2) Alikama
3) ɲú
4) ɛ́mɛ̀
5) Póròwoɲú
6) Pɔ́m-dè-tɛ́rù
7) Támàtú bé
8) Nǐm
9) ɛ́ɛrɛ́
10) Nàam
11) ɔrusu
12) dɛ̃rɛ̃ lágá bé
13) Bana-ku
14) Wósó bé
15) Kú
16) Anaasaara-górò
17) Kokoyam
18) Dɛ̃rɛ̃ ijibay bɔrɔ mine narã laga bé
19) Nǐm bé
20) Anaasaara ɛ̀rɛ̀
21) ɛ́ɛrɛ́na
22) Sóʒá
23) Pwa sisu
24) Anaasaara nǐm bé
25) Fɛbu
26) tĩwẽ mà jey jin dɛ̃rɛ̃ laga bé
27) Sû
28) Salaatu
29) Epinaaru-amarãntu
30) Banacu mà kurɔ
31) Pɔm-de-tɛru mà kurɔ
32) Arjɛnɛ-tĩwẽ mà kurɔ
33) Bisapu / rosɛl
34)ɔyɔ salaatu bɛ̀rɛ̀ bè kunaa-rã bé [tim-tim/ pɛrsin/ mantu/ roku/ kin mà ɔyɔ laga]
35)Sú-kulɛru
36) Cɛ-kurɔ niŋe bɛ̀rɛ̀ bè kunaa-ra laga bé
37) Anaasara kimsu
38) Anaasara gɔ̃ɔ̃rɔ̃
39) Obɛrʒin / kumba
40) Anaasara kimsu be
41) Póró
42) Puwabru
43) jɔ̃wɔ̃ ĩ
44) Pwa ɔyɔ-ɔru be
45) Fɛbu ɔyɔ-ɔru be
46) Niŋe mà sɔmɔy cɛ-kurɔy laa laga bé
47) lemburu [ɔ̃rɔ̃ɔ̃su]
48) Sitɔ̃rɔ̃
49) lemburu
50) lemburu/ lemburu
51) tĩwẽ ĩ-narũ laga bé
52) Bananna
53)Aloco
54) Papay
55) Mãŋgoro
56) Buyaku
57) Anana
58) Aboka
59) Basitɛku
60) jɔmɔnɔ
61) Pomme
62) Reʒɛ̃
63) Ciwɛ
64) Pɔm
65) Abiriko
66) Anaasara orowo
67) Pɔm ban / pɔm ban
68) Pɛrɛsu bé
69) Gugun [gɔ̃ɔ̃rɔ̃]
70) tĩwẽ-ĩ laga bé
71) Kako
72) Perege
73) Gooro
74) Namɲu
75) ɛ́rɛ́ná
76) Amandi
77) Anaasara perege
78) tĩwẽ-ĩ kow-sà bé
79) Kakaw
80) Capa
81) Atéy
82) Sukɔrɔ ná
83) TuRsɔl
84) Dɛ̃rɛ̃ daaga iɲu ojukaa jɛ bè ɲé-ra laga bé
85) Makka-tĩwẽ
86) Aɲu-bɛrɛŋga
87) Furaʒu
88) Tɔwɔ
89) Katu
90) Dɛ̃rɛ̃ dɔn-sà/ bè ɲé-go laga bé
91)Dɛ̃rɛ̃ kɔrɔ
92)JUGƆ-GO
93)JƆWƆ-LI</t>
        </is>
      </c>
      <c r="K90" s="39">
        <f>LEN(J90)</f>
        <v/>
      </c>
      <c r="L90" s="51" t="inlineStr">
        <is>
          <t>Dumiize foyoŋ no er duma heeni ŋo waate kaŋ gu hini ku er huwo ŋaayendi dey er mu a neere ku du a ga hay fo, hala a tilasu ?
[HÃKA : ZAABIYON FOLLON. LA MENTION "DUMIIZE FO KULU MANU DANENDI" SENNO GO ZAABO GA BENANTA GA].
1)Muwa
2)Alkamo
3)Barga
4)Hama
5)Kamanari
6)Pomtero
7)Tamatto
8)Dunguro
9)Demse
10)Haabo
11)Kana
12)Dumiizefoyoŋ
13)Orogga
14)Kudaka
15)Dundo
16)Karotto
17)Koko haro
18)Dundu foyoŋ
19)Dunguro
20)Dunguri kaaniya
21)Demsi gundu wargiya
22)Soza
23)Hanto
24)Kankana
25)Kankana
26)Kopto foyoŋ
27)Souwo
28)Salaado
29)Epinaaro – amaranto
30)Orogga koptey
31)Pomteero koptey
32)Windibundo
33)Gisima/armaajo
34)Subu yarga kaŋ gu daŋ salaado ga [thym/ persil/ manto/ roku/ ifoyoŋ]
35)Su fuleero
36)Koptu foyoŋ 
37)Konkomburo
38)Siturulle
39)Oberzinno
40)Tabuzzo
41)Taya
42)Puwavoroŋ
43)Albeselo
44)Dunguri kettiya
45)Feever vertto
46)Koptu foyoŋ
47)Oranzo
48)Sitoroŋo
49)Pampelemuso
50)Mandaariney kelmantiney
51)Ifiyoŋ
52)Bananno
53)Baranda
54)Papayo
55)Manga
56)Goyavo
57)Anana
58)Avoka
59)Haro kankana
60)Teena
61)Jeja
62)Saaro
63)Oliivo
64)Pommo
65)Abiriko
66)Seriso
67)Peese/nektarinno
68)Fereezo
69)Kana [Cantalupo]
70)Tuuriize foyoŋ
71)Kooka guro
72)Akazuwo guro
73)Goora guro
74)lamto
75)Bambara guro
76)Amando
77)Gurey
78)Tuuriizey kaŋ go ndu guro
79)Kakawo
80)Kafaa
81)Ataayo
82)Kaana
83)Weynugano
84)Dumiize foyoŋ
85)Tewoɲoŋo
86)Jutto
87)Subo
88)Taba
89)Katto
90)Tuuriizey kaŋ *yoŋ gu nafa kaŋ su ŋa
91)A sindu keydi
92)SU BEY
93)WENGE</t>
        </is>
      </c>
      <c r="M90" s="27">
        <f>LEN(L90)</f>
        <v/>
      </c>
      <c r="N90" s="51" t="inlineStr">
        <is>
          <t>Əndek wa atiwasanan dǎɣ sigyak dǎɣ amazaɣ nawan fal ataɣam əd asiynay ən garawan dǎɣ alwaq wan ewelan ?, awa dəlkaman ?
[ƏMASESTƏN :ALIƔI IYANDǍƔ. ASIKIN ‘’WAN WARTILEN IGITAN ƏN SIGYAK’’ AYHA DǍƔ TABARATEN TEN SAMANDO].
1)Tafaɣat
2)Ejel
3)Tenalet
4)Aboraɣ
5)Kamanari
6)Orjtan
7)Isiduma iyyad
8)Rogo
9)Pom de terre 
10)Kidaku
11)Takindit
12)Karotan
13)Taarotan
14)iyyad tuberkultan
15)Tanzant
16)Lantiiytan
17)Anshanan
18)Sojatan
19)Anshanan wən əhiəhes
20)Fevetan iyaad 
21)Fevtan 
22)Iyan legumineztan
23)Suutan
24)Letutan
25)Epinardtan-Amarantheran
26)Iliktan ən rogo
27)Iliktan  wən pom de terre
28)Moringatan
29)Ozeyitan Hibiskustan/Rossell
30)Alimoz wa dalen ən salade [ thym/persil/ anaɣnaɣi/ roəəa/iyyade].
31)Suu fleer
32)iyyad legumetan ən liktan
33)Tomati 
34)Elagaztan
35)Sitruyiltan
36)Oberjintan 
37)Elagaaz
38)Gombotan
39)Pwavrontan
40)Albisiltan
41)Tanzant 
42)Anshanan wi dalatnen 
43)Fevetan wi dalatnen
44)iyyad légumetan winan ila iliktan
45)Oranjetan
46)Sitrontan 
47)Bamblemustan
48)Mandarinetan/klementinetan
49)Iyyad argumetan 
50)Bananetan wi ahuskatnen
51)Bananetan Plantenstan
52)Papayatan
53)Mangoro
54)Goyaavetan
55)Ananastan. 
56)Avokatan
57)Bastektan
58)Tehayne
59)Fiigtan
60)Reizentan
61)Olivetan
62)Poomtan
63)Abrikotstan 
64)Seriizitan 
65)Ukis/nektarinetan
66)Freezitan 
67)Melon [kantaalup]
68)Iyyad aratan ən hishkan
69)Kako
70)Sunkam/ kaju
71)Noix wan kaajou
72)Gooro
73)Lamti
74)Birihi/suuma 
75)Amandtan
76)Nowan
77)Iyyad nowantan
78)Kakao
79)Kafi 
80)Atay
81)Kana wan asukar
82)Tatola
83)iyyad əsigyak ən tamudre infanen
84)Habu
85)Mana 
86)Jute
87)Fourraaj
88)Taba 
89)Kowat
90)Iya əsigyak ən tanfo winan eqel ishiska
91)Wartitila ataɣam ən asigyik
92)WARISENAƔ
93)UGAY</t>
        </is>
      </c>
      <c r="O90" s="27">
        <f>LEN(N90)</f>
        <v/>
      </c>
      <c r="P90" s="51" t="inlineStr">
        <is>
          <t>Demal ngale woni ngal ɓaade mooɗon ɓuri remude faa heɓa neema muuɗum e tinooji goɗɗi wakkati ceeɗu, sono waawi taweede? 
[GOLLOOWO : JAABU GOOTO. JAABU HONO "DEMAL FAAY GOTAL WAƊATAAKE" NA WONI LEY  JAABU FAA KANTORƊO]. 
1)Maaro
2)Alkama
3)Ngawri
4)Gawri
5)Kamnaari
6)Orje
7)Ngabbe goɗɗe 
8)Bannda ku
9)Pompo teere
10)Pataat
11)Ku
12)karottis
13)Taaro
14)fuɗngooji goɗɗe
15)Ɲebbe
16)Lantiiye
17)Mbelkoy ndanehoy
18)Sooja
19)Powaa ciis
20)Ɲebbe Fava
21)Ɲebbe Mangal
22)Ɲebbe goɗɗe
23)Suu
24)Salaate
25)Amaarante Epinaare
26)Haakoji bannda ku
27)Haakoji Pomteere
28)Lekki Aljenna 
29)Polle
30)Haakoo salaati  [Haakoji tiim/ Haakoji persil/ Haakoji anana/Haakoji roko/ goɗɗe]
31)Koli
32)Haakoji Goɗɗe
33)Tamatiire
34)kookombru
35)Potiiron
36)Kumbaaje tubakor/Oberjine
37)Zucchini
38)Maanaaje
39)Kaade
40)Albasa
41)Nyeppe
42)Nyebbe ciise
43)Nyebbe Fava
44)Haakoji Nyebbe Goɗɗe 
45)Lemburu Oranje
46)Lemburu lammuɗo
47)Lemburu mbelɗo
48)Lemburu pamaro 
49)Lemburu goɗɗi 
50)Barannda 
51)Barannda aloko
52)Bogofire
53)Mangoro
54)Guyakka
55)Anaana
56)Avoka
57)Paasteke
58)Tamboroohi
59)Yibbere
60)Sibiije
61)Oliive
62)Pom
63)Abriko
64)Seriiji
65)Poaar [poire]
66)Freej
67)Meelon [Kantalup]
68)Ɓiɓɓe leɗɗe goɗɗe 
69)Kokko
70)Sunkaaje
71)Awaade/Pom kaju 
72)Gooro
73)Siiliire
74)Sumaaje/biriihi
75)Kuye
76)Ngeeyu
77)Geeƴi goɗɗi 
78)Kakawu
79)Kaafe
80)Atayi
81)Sikaaro
82)Turnesol
83)Goɗɗi ngaɗanaaɗi jaagu ɗi ɲaamataake 
84)Haabu
85)Mana
86)Botooro
87)Nyaama jawdi
88)Taba
89)Koat
90)Goɗɗi ngaɗanaaɗi jaagu ɗi ɲaamataake 
91)Fuɗngo fuh ngaɗaka 
92)MI ANDA
93)SALAADE</t>
        </is>
      </c>
      <c r="Q90" s="27">
        <f>LEN(P90)</f>
        <v/>
      </c>
      <c r="R90" s="137" t="inlineStr">
        <is>
          <t>Single Choice</t>
        </is>
      </c>
      <c r="S90" s="39" t="inlineStr">
        <is>
          <t>NA</t>
        </is>
      </c>
      <c r="T90" s="39" t="inlineStr">
        <is>
          <t>NA</t>
        </is>
      </c>
      <c r="U90" s="48" t="inlineStr">
        <is>
          <t>Form Type - Dropdown
IsDemographic</t>
        </is>
      </c>
      <c r="V90" s="40" t="inlineStr">
        <is>
          <t>1)1.1
2)1.2
3)1.3
4)1.4
5)1.5
6)2.2
7)5.1
8)5.9
9)8.2
10)10.1
11)1.6
12)1.99
13)2.1
14)2.3
15)2.4
16)2.5
17)2.6
18)2.99
19)3.1
20)3.2
21)3.3
22)3.4
23)3.5
24)3.6
25)3.7
26)3.99
27)4.1
28)4.2
29)4.3
30)4.4
31)4.5
32)4.6
33)4.7
34)4.9
35)4.101
36)4.99
37)5.2
38)5.3
39)5.4
40)5.5
41)5.6
42)5.7
43)5.8
44)5.101
45)5.11
46)5.99
47)6.1
48)6.2
49)6.3
50)6.4
51)6.99
52)7.1
53)7.2
54)7.3
55)7.4
56)7.5
57)7.6
58)7.7
59)7.8
60)7.9
61)7.101
62)7.11
63)7.12
64)7.13
65)7.14
66)7.15
67)7.16
68)7.17
69)7.18
70)7.99
71)8.1
72)8.3
73)8.4
74)8.5
75)8.6
76)8.7
77)8.8
78)8.99
79)9.1
80)9.2
81)9.3
82)9.4
83)9.5
84)9.99
85)10.2
86)10.3
87)10.4
88)10.5
89)10.6
90)10.99</t>
        </is>
      </c>
      <c r="W90" s="592" t="inlineStr">
        <is>
          <t>1-90 = crp_irrig_source
91 = crp_main_check
92-93 = crp_salesmain</t>
        </is>
      </c>
      <c r="X90" s="429" t="n"/>
      <c r="Y90" s="310" t="inlineStr">
        <is>
          <t>if crp_main = any type of crop, go to crp_irrigation;
if crp_main = "No crop production", go to crp_main_check
if crp_main = "Don't know" or "Refused", go to crp_salesmain</t>
        </is>
      </c>
      <c r="Z90" s="595" t="n"/>
      <c r="AA90" s="66" t="inlineStr">
        <is>
          <t>resp_age = 18-100
(hh_agricactivity = 1 | 3) | (income_main_cropcheck = 1) | (income_sec_cropcheck = 1) | (income_third_cropcheck = 1) 
quotareached = 2</t>
        </is>
      </c>
      <c r="AB90" s="55" t="n"/>
      <c r="AC90" s="111" t="n">
        <v>27.05755233764648</v>
      </c>
      <c r="AD90" s="280">
        <f>#REF!</f>
        <v/>
      </c>
      <c r="AE90" s="111">
        <f>AC90*AD90</f>
        <v/>
      </c>
    </row>
    <row r="91" ht="220" customFormat="1" customHeight="1" s="261">
      <c r="A91" s="447">
        <f>A90+1</f>
        <v/>
      </c>
      <c r="B91" s="263" t="inlineStr">
        <is>
          <t>crp_main_check</t>
        </is>
      </c>
      <c r="C91" s="264" t="inlineStr">
        <is>
          <t>crp_main_check</t>
        </is>
      </c>
      <c r="D91" s="441" t="inlineStr">
        <is>
          <t>Why did you not produce any crops in wet season?
[OPERATOR: SINGLE RESPONSE.]
1)Don’t usually produce during this season 
2)Wasn't able to produce [e.g. due to difficulties]</t>
        </is>
      </c>
      <c r="E91" s="196">
        <f>LEN(D91)</f>
        <v/>
      </c>
      <c r="F91" s="596" t="inlineStr">
        <is>
          <t>Pourquoi n'avez-vous produit aucune récolte pendant la saison sèche ?
[OPÉRATEUR/OPÉRATRICE: RÉPONSE UNIQUE.]
1)Ne produit habituellement pas pendant cette saison 
2)N'a pas été en mesure de produire [en raison de difficultés par exemple]</t>
        </is>
      </c>
      <c r="G91" s="204">
        <f>LEN(F91)</f>
        <v/>
      </c>
      <c r="H91" s="596" t="inlineStr">
        <is>
          <t>Mun de kosɔn aw ma se ka foyi sɛnɛ jalen waati?
[NIENIGALI KÈLA: DIABI KELEN]
1)Te deli ka foyi sɛnɛ nin waati la. 
2)Ma se k’a kɛ [i n’a fɔ gwɛlɛyaw sababu la].</t>
        </is>
      </c>
      <c r="I91" s="196">
        <f>LEN(H91)</f>
        <v/>
      </c>
      <c r="J91" s="596" t="inlineStr">
        <is>
          <t>Iɲe-jɛ $seasonn$ mà ãrãkuju waru-wali bè wa?
[BIRƐ MA KŨ BAŋA : UɟURU KƆ TURU LE BE SAA-I]
1)Nɔ cɛ kãã tɔɔli
2)Narwa bɛli [nuro tɔɔn ɟɛ maj]</t>
        </is>
      </c>
      <c r="K91" s="196">
        <f>LEN(J91)</f>
        <v/>
      </c>
      <c r="L91" s="596" t="inlineStr">
        <is>
          <t>Fo se no er manu du ku dumiizeyoŋ daŋ haraŋ jiiro wo ga ?
[HANKOYO: DJAABI FO]
1)I su hayy kul faru
2)I mane du ku faru [balawey se]</t>
        </is>
      </c>
      <c r="M91" s="204">
        <f>LEN(L91)</f>
        <v/>
      </c>
      <c r="N91" s="596" t="inlineStr">
        <is>
          <t>Mafal wartilem ilalan ən nuluy ɣur dǎɣ alwaq wan nasan ?
[EMASESTƏN : ALƏƔI IYANDAƔ].
1)Awid tigid daɣ harkuk daɣ awatay wadaɣ. 
2)Wadigrew asudmir [daɣ sokni daɣ tabarat tan aśahatan]</t>
        </is>
      </c>
      <c r="O91" s="204">
        <f>LEN(N91)</f>
        <v/>
      </c>
      <c r="P91" s="596" t="inlineStr">
        <is>
          <t>Ɗume haɗi-ɗon remude ley ndunngu ngun?
[GOLLOOWO : JAWAABU GOOTO].
1)Mboowaaka golleede o wakkati 
2)Waawaka golleede [Sabo masiiba]</t>
        </is>
      </c>
      <c r="Q91" s="204">
        <f>LEN(P91)</f>
        <v/>
      </c>
      <c r="R91" s="597" t="inlineStr">
        <is>
          <t>Single Choice</t>
        </is>
      </c>
      <c r="S91" s="196" t="inlineStr">
        <is>
          <t>NA</t>
        </is>
      </c>
      <c r="T91" s="196" t="inlineStr">
        <is>
          <t>NA</t>
        </is>
      </c>
      <c r="U91" s="584" t="inlineStr">
        <is>
          <t>Form Type - Dropdown</t>
        </is>
      </c>
      <c r="V91" s="197" t="inlineStr">
        <is>
          <t>NA</t>
        </is>
      </c>
      <c r="W91" s="598" t="inlineStr">
        <is>
          <t>1 = crp_salesmain
2 = crp_proddif</t>
        </is>
      </c>
      <c r="X91" s="599" t="n"/>
      <c r="Y91" s="600" t="inlineStr">
        <is>
          <t>if crp_main_check = 1, go to crp_salesmain
if crp_main_check = 2, go to crp_proddif_1</t>
        </is>
      </c>
      <c r="Z91" s="601" t="n"/>
      <c r="AA91" s="456" t="inlineStr">
        <is>
          <t>resp_age = 18-100
(hh_agricactivity = 1 | 3) | (income_main_cropcheck = 1) | (income_sec_cropcheck = 1) | (income_third_cropcheck = 1) 
quotareached = 2crp_main = 91</t>
        </is>
      </c>
      <c r="AB91" s="589" t="n"/>
      <c r="AC91" s="586" t="n">
        <v>0</v>
      </c>
      <c r="AD91" s="458">
        <f>#REF!</f>
        <v/>
      </c>
      <c r="AE91" s="586">
        <f>AC91*AD91</f>
        <v/>
      </c>
    </row>
    <row r="92" ht="285.75" customHeight="1">
      <c r="A92" s="88">
        <f>A91+1</f>
        <v/>
      </c>
      <c r="B92" s="175" t="inlineStr">
        <is>
          <t>crp_irrig_source</t>
        </is>
      </c>
      <c r="C92" s="27" t="inlineStr">
        <is>
          <t>crp_irrig_source</t>
        </is>
      </c>
      <c r="D92" s="167"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92" s="27">
        <f>LEN(D92)</f>
        <v/>
      </c>
      <c r="F92" s="82"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92" s="27">
        <f>LEN(F92)</f>
        <v/>
      </c>
      <c r="H92" s="82" t="inlineStr">
        <is>
          <t>Aw bɛ jii sɔrɔ yɔtɔ juman ka {crp_main} sɛnɛ?
[SƆRƆBATIGI: JAABILI KELEN.]
1)Sanjii
2)Dugukolon kɔnɔ jii
3)Jii min bɛ dugukolo kan [ba / kɔɔ / babolo / jikafoyɔrɔ / etc.]
4)Jɔliyɔrɔjii [bajalan / barasi / etc.]
5)Foroba jiiyɔrɔ [jalan jiir]
6)Fɛnw wɛrɛ [A fɔ ka jira]
7)A M'A DƆN
8)A BANNA</t>
        </is>
      </c>
      <c r="I92" s="27">
        <f>LEN(H92)</f>
        <v/>
      </c>
      <c r="J92" s="82" t="inlineStr">
        <is>
          <t>{crp_main} mà birɛ le ni dãy hawra-sà jin doguru-kã yɛ bɛra-ra bè maa?
[BIRƐ BAŊA : KASAARA TURU].
1)ãrã-mirẽ mà nii
2) ijubay bɛ̀rɛ ̀mà nii
3) ijubay mànà mà nii Ámá taga [góró / buro / nii-oju / onogoro / ko tɔɔn laga bé]
4)nii mà dí inem ceene-sà [goro / barasu / ko time-sà bé]
5)nii mà maaka mɔɔn ana lé bè ijirɛ-sà [hɔnɔ worobine mà nii tɔɔn]
6)laga [tege tĩrẽ bà]
7)JUGƆ-GO WA
8)BÈ YƆWƆ-LI</t>
        </is>
      </c>
      <c r="K92" s="27">
        <f>LEN(J92)</f>
        <v/>
      </c>
      <c r="L92" s="82" t="inlineStr">
        <is>
          <t>Manu no er gu du haro kaŋ wassa er se ku du ku {crp_main} dumizey haŋendi ?
[HANKOYO: DJAABI FO]
1)keydiya haro
2)haro kaŋ ganda
3)harukeyey [gooriizey/guusey / haruzurey nongorey / bangey / WKC.]
4)haru nongori cinantey [kanalley / barazey / WKC.]
5)koyre beerey ga haro noyoŋo miso [sanda. orobina haro.]
6)i foyoŋ [er mu i ci]
7)EY SU BEY
8)WENGE</t>
        </is>
      </c>
      <c r="M92" s="27">
        <f>LEN(L92)</f>
        <v/>
      </c>
      <c r="N92" s="82" t="inlineStr">
        <is>
          <t xml:space="preserve">
Əndek diha digaraw əs tihusay əd harkuk aman wi infanen ye igitan əd {crp_main}?
[ƏMASESTƏN : UKIS IYANDǍƔ]
1)Aman ən nigina
2)Amanitan nider nakal
3)Aman wi nafal nakal ən agina [ ašašil/ tebagwat/ ejerere/ tebagwat/ iyad.]
4)Edag naman atiwagan [ašašil/ tebagwat/ iyad.]
5)Almaɣna was hakan wanahadan aman [ dǎɣ sund / aman wi 
6)Iyad [laɣatatan]
7)WARISENAƔ 
8)UGAY </t>
        </is>
      </c>
      <c r="O92" s="27">
        <f>LEN(N92)</f>
        <v/>
      </c>
      <c r="P92" s="82" t="inlineStr">
        <is>
          <t>Toy keɓoton ko ɓuri heewde ndiyam ɗam ngollitorto-ɗon nder demal {crp_main} mooɗom? 
[GOLLOOWO : JAWAABU GOOTO].
1) Ndiyam ƴuwoonde 
2) Ndiyam faa ley leydi 
3) Ndiyam mbeɗɗitiiɗam yaasin [yaayre /pete /bubbinirɗi /petoy / e ko nandi e muuɗum yaade.] 
4) Nokkuuje ndiyam basaaɗe [bubbinirɗi / baraasiji / e ko nandi e muuɗum yaade.] 
5) Ndiyam gollitorɗam yimɓe [hono ndiyam robineeji] 
6) Goɗɗum [ɗum hollee]
7)MI ANDA
8)SALAADE</t>
        </is>
      </c>
      <c r="Q92" s="27">
        <f>LEN(P92)</f>
        <v/>
      </c>
      <c r="R92" s="153" t="inlineStr">
        <is>
          <t>Open Ended-Single Choice</t>
        </is>
      </c>
      <c r="S92" s="27" t="inlineStr">
        <is>
          <t>NA</t>
        </is>
      </c>
      <c r="T92" s="27" t="inlineStr">
        <is>
          <t>NA</t>
        </is>
      </c>
      <c r="U92" s="27" t="inlineStr">
        <is>
          <t>Form Type - RadioList</t>
        </is>
      </c>
      <c r="V92" s="40" t="inlineStr">
        <is>
          <t>NA</t>
        </is>
      </c>
      <c r="W92" s="619" t="inlineStr">
        <is>
          <t>1-8 = crp_seed_supply</t>
        </is>
      </c>
      <c r="X92" s="326" t="n"/>
      <c r="Y92" s="310" t="inlineStr">
        <is>
          <t>if crp_irrigation = 1-8, go to [crp_area_change or crp_seed_supply]</t>
        </is>
      </c>
      <c r="Z92" s="179" t="n"/>
      <c r="AA92" s="66" t="inlineStr">
        <is>
          <t>resp_age = 18-100
(hh_agricactivity = 1 | 3) | (income_main_cropcheck = 1) | (income_sec_cropcheck = 1) | (income_third_cropcheck = 1) 
quotareached = 2
crp_main = 1-90</t>
        </is>
      </c>
      <c r="AB92" s="67" t="n"/>
      <c r="AC92" s="111" t="n">
        <v>15.95429515838623</v>
      </c>
      <c r="AD92" s="280">
        <f>#REF!</f>
        <v/>
      </c>
      <c r="AE92" s="111">
        <f>AC92*AD92</f>
        <v/>
      </c>
    </row>
    <row r="93" ht="32" customFormat="1" customHeight="1" s="616">
      <c r="A93" s="567">
        <f>A92+1</f>
        <v/>
      </c>
      <c r="B93" s="602" t="inlineStr">
        <is>
          <t>crp_irrig_system</t>
        </is>
      </c>
      <c r="C93" s="580" t="inlineStr">
        <is>
          <t>crp_irrig_system</t>
        </is>
      </c>
      <c r="D93" s="603" t="inlineStr">
        <is>
          <t>Do you [your community] use a pump for your own [the communal] irrigation system?
[OPERATOR: SINGLE RESPONSE.]
1)No - everything works on gravity
2)Yes - there is a communal diesel/gas pump
3)Yes - there is a communal manual pump
4)Yes - there is a manual pump in your field
5)Yes - there is a diesel pump in your field
6)DON'T KNOW
7)REFUSED</t>
        </is>
      </c>
      <c r="E93" s="604">
        <f>LEN(D93)</f>
        <v/>
      </c>
      <c r="F93" s="605" t="inlineStr">
        <is>
          <t>Utilisez-vous [ou votre communauté] une pompe pour votre propre système d'irrigation?
[OPÉRATEUR/OPÉRATRICE: RÉPONSE UNIQUE.]
1)Non - tout fonctionne par gravité
2)Oui - une pompe commune diesel/gaz
3)Oui - une pompe manuelle commune
4)Oui - une pompe manuelle située dans mon champ
5)Oui - une pompe diesel située dans mon champ
6)NE SAIT PAS
7)REFUSÉ</t>
        </is>
      </c>
      <c r="G93" s="604">
        <f>LEN(F93)</f>
        <v/>
      </c>
      <c r="H93" s="603" t="inlineStr">
        <is>
          <t>Aw [Jama] bɛ pɔnpi jii bɔ ka aw yɛrɛ [komini] sɛnɛ kɛ wa?
[SƆRƆBATIGI: JAABILI KELEN.]
1)Ɔwɔ - Fɛn bɛɛ kɛra ni jii bɔn 
2)Ɔwɔ - Komini ye gazoali masini/pɔnpi sɔrɔ
3)Ɔwɔ - komini ye bolo pɔnpi sɔrɔ 
4)Ɔwɔ - bolo pɔnpi I ka foro la
5)Ɔwɔ - gazoali masini bɛ ne foro kɔnɔ
6)A M'A DƆN
7)BANNI</t>
        </is>
      </c>
      <c r="I93" s="604">
        <f>LEN(H93)</f>
        <v/>
      </c>
      <c r="J93" s="606" t="inlineStr">
        <is>
          <t xml:space="preserve">E [eke ananam] kũ mà cɛ sɔru jɛ-mine pompu yɛ-popa-ra bè  maa [eke ananam]?
[BIRƐ BAŊA : KASAARA TURU].
1)ɔ̃-ɔ̃ɔ̃ - soy ijibay mà tom lé kɔ bà
2)ee – comin mà pompu gurupu/gaasu lé bira-ra jɔkɔ
3)ee - comin mà pompu numo lé bè pompa-ra jɔkɔ
4)ee - pompu numo lé bè pompa-ra e eju bɛ̀rɛ̀ jɔkɔ
5)ee - pompu gurupu lé bira-ra e eju bɛ̀rɛ̀ jɔkɔ
6) JUGƆ-GO WÁ
7) BE YƆWƆ-LI
</t>
        </is>
      </c>
      <c r="K93" s="604">
        <f>LEN(J93)</f>
        <v/>
      </c>
      <c r="L93" s="603" t="inlineStr">
        <is>
          <t>Pompo nda no er gu goy hala er gu er dumiizey haŋendi wala [jama borey]?
[HANKOYO: DJAABI FO]
1)Hãhã-ir nangu zumbu ku guru ku fatta
2)Ayyo- jama pompo go no kaŋ gu goy ndu assanso/gaazo
3)Ayyo kominno kabo pompo go no
4)Ayyo- kabo pompo go er faro ga
5)Ayyo masino pompo go er faro ga
6)EY SU BEY
7)WENGE</t>
        </is>
      </c>
      <c r="M93" s="604">
        <f>LEN(L93)</f>
        <v/>
      </c>
      <c r="N93" s="605" t="inlineStr">
        <is>
          <t xml:space="preserve">
Adakalam [ terwe nawan] pompi ən almaɣna nawan nukis naman [terwe]
[ƏMASESTƏN : UKIS IYANDǍƔ]
1)Babo – dak as əšɣal asahat
2)Iya – ilay pompi atiwaharan ən diesel/gaz
3)Iya- ilay pompi ən nafus atiwaharan
4)Iya – ilay pompi ən nafus dǎɣ ašikriš nawan 
5)Iya – ilay pompi ən diesel dǎɣ ašikriš nawan 
6)WARISENAƔ 
7)UGAY</t>
        </is>
      </c>
      <c r="O93" s="604">
        <f>LEN(N93)</f>
        <v/>
      </c>
      <c r="P93" s="603" t="inlineStr">
        <is>
          <t>Wuro mooɗon na woodi pompi gollitorteeɗo faa demal [wuro] no wicciree naa?
[GOLLOOWO : JAWAABU GOOTO].
1) Aa'a- faay gootum walaa 
2) Ayyo - pompi gatteteeɗo esansi / gaasi no woodi
3) Ayyo - pompi jonketeeɗo no wooɗi 
4) Ayyo – no woodi pompi jonketeeɗo ley ngesa mooɗon 
5) Ayyo – no woodi pompi gatteteeɗo esansi ley ngesa mooɗon 
6)MI ANDA
7)SALAADE</t>
        </is>
      </c>
      <c r="Q93" s="604">
        <f>LEN(P93)</f>
        <v/>
      </c>
      <c r="R93" s="607" t="inlineStr">
        <is>
          <t>Single Choice</t>
        </is>
      </c>
      <c r="S93" s="604" t="inlineStr">
        <is>
          <t>NA</t>
        </is>
      </c>
      <c r="T93" s="604" t="inlineStr">
        <is>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"crp_seed_supply"</t>
        </is>
      </c>
      <c r="U93" s="571" t="inlineStr">
        <is>
          <t>Form Type - Buttons</t>
        </is>
      </c>
      <c r="V93" s="575" t="inlineStr">
        <is>
          <t>NA</t>
        </is>
      </c>
      <c r="W93" s="608" t="inlineStr">
        <is>
          <t>1-7 = crp_irrig_pay</t>
        </is>
      </c>
      <c r="X93" s="609" t="inlineStr">
        <is>
          <t>AY: This question is not in the validated questionnaire hence has been removed</t>
        </is>
      </c>
      <c r="Y93" s="610" t="inlineStr">
        <is>
          <t>if crp_irrigation = 1-8, go to [crp_area_change or crp_seed_supply]</t>
        </is>
      </c>
      <c r="Z93" s="611" t="n"/>
      <c r="AA93" s="612" t="inlineStr">
        <is>
          <t>resp_age = 18-100
(hh_agricactivity = 1 | 3) | (income_main_cropcheck = 1) | (income_sec_cropcheck = 1) | (income_third_cropcheck = 1) 
quotareached = 2
crp_main = 1-90</t>
        </is>
      </c>
      <c r="AB93" s="613" t="n"/>
      <c r="AC93" s="614" t="n">
        <v>15.95429515838623</v>
      </c>
      <c r="AD93" s="615">
        <f>#REF!</f>
        <v/>
      </c>
      <c r="AE93" s="614">
        <f>AC93*AD93</f>
        <v/>
      </c>
    </row>
    <row r="94" ht="32" customFormat="1" customHeight="1" s="616">
      <c r="A94" s="567">
        <f>A93+1</f>
        <v/>
      </c>
      <c r="B94" s="602" t="inlineStr">
        <is>
          <t>crp_irrig_pay</t>
        </is>
      </c>
      <c r="C94" s="580" t="inlineStr">
        <is>
          <t>crp_irrig_pay</t>
        </is>
      </c>
      <c r="D94" s="617" t="inlineStr">
        <is>
          <t>Do you have to pay for water rights [e.g. water rights, communal infrastructure maintenance, gas for communal pump, etc.]? 
[OPERATOR: SINGLE RESPONSE.]
1)YES
2)NO
3)DON'T KNOW
4)REFUSED</t>
        </is>
      </c>
      <c r="E94" s="580">
        <f>LEN(D94)</f>
        <v/>
      </c>
      <c r="F94" s="605" t="inlineStr">
        <is>
          <t>Devez-vous payer pour avoir accès à l'eau [par exemple, droits à l'eau, entretien des infrastructures communes, gaz pour la pompe commune, etc.]? 
[OPÉRATEUR/OPÉRATRICE: RÉPONSE UNIQUE.]
1)OUI
2)NON
3)NE SAIT PAS
4)REFUSÉ</t>
        </is>
      </c>
      <c r="G94" s="604">
        <f>LEN(F94)</f>
        <v/>
      </c>
      <c r="H94" s="617" t="inlineStr">
        <is>
          <t>A ka kan ka jii sɛbɛn sara wa [jii sosiyete sɛbɛn, komini jii dilan cogo, komini baara dɛmɛ sara, esansi wari, masini dilan, komini bila yɔ dilan wari.]?
[NIENIGALI KÈLA: DIABI KELEN]
1)AWO
2)AYI
3)NE MA DON
4)A BAN NA</t>
        </is>
      </c>
      <c r="I94" s="580">
        <f>LEN(H94)</f>
        <v/>
      </c>
      <c r="J94" s="617" t="inlineStr">
        <is>
          <t>Nii mà dɔn yɛ tɔjaa-ra bè maa ? [hɔnɔ dãy kãrã mine é bɛ́rɛ́, màa eke comin ko nii-ná gama ɲi ɲɔwɔ kãrã mine ko bè ceene, màa comin mà pompu esãsu jɛ, màa ko jin mà cɛ laga.]
[BIRƐ BAŊA : KASAARA TURU]
1)ÉE
2)Ɔ̃-Ɔ̃
3)ɟUGƆGO. 
4)JƆWƆLI.</t>
        </is>
      </c>
      <c r="K94" s="580">
        <f>LEN(J94)</f>
        <v/>
      </c>
      <c r="L94" s="617" t="inlineStr">
        <is>
          <t>Er gondu fondo kaŋ gu bana haro guro se wala [sanda haro duruwayey, kominno haro nongorey hãseyoŋey, asanso kaŋ gu daŋ kominno pompo ga, wkc]?
[HANKOYO:  MACHI TA KA HAR DJAABI FO]
1) AYYO
2) KALA
3) A CHI BEY
4) A WANDJI</t>
        </is>
      </c>
      <c r="M94" s="604">
        <f>LEN(L94)</f>
        <v/>
      </c>
      <c r="N94" s="617" t="inlineStr">
        <is>
          <t>Yala tizalam ye alhak wan aman [dǎɣ sund, alhak naman, igi nəniyat ye alil wa atiwaharan, essenəe ye oompi wa atiwaharan, iyad.]
[EMASESTƏN : ALƏƔI IYANDAƔ].
1)IYA
2)ABO
3)WARISSÉNAGUE
4)OUDIAYAGUE</t>
        </is>
      </c>
      <c r="O94" s="604">
        <f>LEN(N94)</f>
        <v/>
      </c>
      <c r="P94" s="617" t="inlineStr">
        <is>
          <t>Oɗon njoɓana hakkee ndiyam [hono, hakkee ndiyam, wallitingol e hawjagol nyiɓngo wuro, ceede esansi gatteteeɗo pompi wuro, e ko nandi e muuɗum yaade.]? 
[GOLLOOWO : JAWAABU GOOTO].
1)AYYO 
2)AA'A. 
3)ANNDA 
4)SALAADE</t>
        </is>
      </c>
      <c r="Q94" s="604">
        <f>LEN(P94)</f>
        <v/>
      </c>
      <c r="R94" s="607" t="inlineStr">
        <is>
          <t>Single Choice</t>
        </is>
      </c>
      <c r="S94" s="604" t="inlineStr">
        <is>
          <t>NA</t>
        </is>
      </c>
      <c r="T94" s="604" t="inlineStr">
        <is>
          <t>NA</t>
        </is>
      </c>
      <c r="U94" s="571" t="inlineStr">
        <is>
          <t>Form Type - Buttons</t>
        </is>
      </c>
      <c r="V94" s="575" t="inlineStr">
        <is>
          <t>NA</t>
        </is>
      </c>
      <c r="W94" s="608" t="inlineStr">
        <is>
          <t>1-4 = crp_seed_supply</t>
        </is>
      </c>
      <c r="X94" s="618" t="inlineStr">
        <is>
          <t>AY: This question is not in the validated questionnaire hence has been removed</t>
        </is>
      </c>
      <c r="Y94" s="610" t="inlineStr">
        <is>
          <t>if crp_irrigation = 1-8, go to [crp_area_change or crp_seed_supply]</t>
        </is>
      </c>
      <c r="Z94" s="611" t="n"/>
      <c r="AA94" s="612" t="inlineStr">
        <is>
          <t>resp_age = 18-100
(hh_agricactivity = 1 | 3) | (income_main_cropcheck = 1) | (income_sec_cropcheck = 1) | (income_third_cropcheck = 1) 
quotareached = 2
crp_main = 1-90</t>
        </is>
      </c>
      <c r="AB94" s="613" t="n"/>
      <c r="AC94" s="614" t="n">
        <v>15.95429515838623</v>
      </c>
      <c r="AD94" s="615">
        <f>#REF!</f>
        <v/>
      </c>
      <c r="AE94" s="614">
        <f>AC94*AD94</f>
        <v/>
      </c>
    </row>
    <row r="95" ht="301.5" customHeight="1">
      <c r="A95" s="88">
        <f>A92+1</f>
        <v/>
      </c>
      <c r="B95" s="277" t="inlineStr">
        <is>
          <t>crp_seed_supply</t>
        </is>
      </c>
      <c r="C95" s="156" t="inlineStr">
        <is>
          <t>crp_seed_supply
1) crp_seed_ownprod
2) crp_seed_market
3) crp_seed_company
4) crp_seed_ngo
5) crp_seed_organized_community
6) crp_seed_gov
7) crp_seed_relatives_friends
8) crp_seed_other
9) crp_seed_dk
10) crp_seed_ref</t>
        </is>
      </c>
      <c r="D95" s="159" t="inlineStr">
        <is>
          <t>Where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95" s="156">
        <f>LEN(D95)</f>
        <v/>
      </c>
      <c r="F95" s="28"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95" s="156">
        <f>LEN(F95)</f>
        <v/>
      </c>
      <c r="H95" s="370" t="inlineStr">
        <is>
          <t>Aw bɛ si nin sɔrɔ yɔrɔ juman? 
[SƆRƆBATIGI: JAABILI CAMAN.]
1)Anw yɛrɛ sɔrhta
2)Aw dugu kɔnh dɔgɔ ra wala sɛnɛ fɛnɛ feere yɔrɔ wala /feerebaga
3)Si feere baara bolo
4)Kɛnyɛrɛyejɛkulu
5)Jama si bila yɔrɔ / sɛnɛkɛlaw jɛkulu /sɛnɛkɛlaw jɛkulu jɛɲɔgɔnya 
6)Gofɛrɛnɛma [Sɛnɛ Minstɛri]
7)Teriw wala siya mɔgɔw
8)Fɛn wɛrɛ
9)A M'A DɔN
10)A BANNA</t>
        </is>
      </c>
      <c r="I95" s="156">
        <f>LEN(H95)</f>
        <v/>
      </c>
      <c r="J95" s="370" t="inlineStr">
        <is>
          <t>Jɛrɛ yowle e dɛ̃rɛ̃ mà gɔ̃ wɛjɛ bè wa? 
 [BIRƐ BAŊA : KASARA JÓ GAMA TƐMƐWƐ̃-KƆ].
1)Ama kũ bãnã mà dẽrẽ bɛ̀rɛ̀
2)Ɛwɛ bɛ̀rɛ̀ máa magasã bɛ̀rɛ̀/cɛ-toy ine oo-ran mà dii
3)Patɔ̃rɔ̃ sosete toy mà oju kaa lé kun
4)Poʒe
5)Ana puu mà cɛ-toy màbãku lé / waru-waram bé mɔɔnu / waru-waram bé asosasɔ̃ / kò jin mà mɔɔn laga laga.
6)Gɔbɔnɛɛru  [hɔnɔ waru-waram puu mà ɔgɔ-uro].
7)Tɔgu màa tɛnɛ là dii
8)Jɛrɛ laga bé
9)JUGƆ-GO WA
10)BÈ JƆWƆ-LI</t>
        </is>
      </c>
      <c r="K95" s="156">
        <f>LEN(J95)</f>
        <v/>
      </c>
      <c r="L95" s="370" t="inlineStr">
        <is>
          <t>Manu no er gu du dumiizey waati kulu ?
[HANKOYO: DJAABI BOBO]
1)Boro bumbo dumiizey
2)Marché local ou magasin / négociant d'intrants agricoles
3)sosiyete kaŋ go ngu boŋ ga kaŋ gondu ngu kambe dumiizey
4)ONG
5)jama kulu wonu dumiizey banco do/ alfarey kunda borey do/ alfarey won asosiyasiyoŋo do / wkc.
6)gofonduma do [sanda/ ministeero kaŋ gu hawgey ndu alfarey do] 
7)boro bora wala boro cero do
8)i foyoŋ
9)EY SU BEY
10)WENGE</t>
        </is>
      </c>
      <c r="M95" s="156">
        <f>LEN(L95)</f>
        <v/>
      </c>
      <c r="N95" s="370" t="inlineStr">
        <is>
          <t>Əndek diha digarawam harkuk isiduma nawan ?
[ƏMASESTƏN : ILIƔITAN AJOTNEN ADOBEN].
1)Igi aridan 
2)Hebu wan kal akal meɣ magazatan/imahakan ən siduma ən sigyak 
3)Tanminak ən manes tan siduma
4)ONG
5)Ehan wan siduma ən atiwaharan/ tartit ən magyakan / tantinet ən magyakan/ iyad.
6)Imanahadan [dǎɣ sund/ amizar wan sigyak].
7)Amarawan meɣ imidawan
8)Iyad
9)WARISENAƔ
10)UGAY</t>
        </is>
      </c>
      <c r="O95" s="156">
        <f>LEN(N95)</f>
        <v/>
      </c>
      <c r="P95" s="370" t="inlineStr">
        <is>
          <t>Toy mboowu-ɗon heɓude haawitirdiiji mooɗon? 
[GOLLOOWO : JAABUUJI KEEWƊI NA MBAAWI JAƁEEDE].
1) E nder demal mooɗon 
2) Nder luumo wuro mooɗon maa e nder lukkaaje laamu/ yeɗooɓe awdiiriij 
3) Sonnooɓe awdiiriij ɓe ngaldaa e laamu 
4)PNG
5) Nder lukkaaje awdiiriij kawtaaɗe / nokku remooɓe /waalde remooɓe / e ko nandi e muuɗum yaade. 
6) Nokku gofernama [ hono/ battaare laamu leydi ndaaranoore ndemri] 
7) Ƴuuwde e koreeji maa yigiraaɓe
8)Goɗɗum
9)ANNDA 
10)SALAADE</t>
        </is>
      </c>
      <c r="Q95" s="156">
        <f>LEN(P95)</f>
        <v/>
      </c>
      <c r="R95" s="275" t="inlineStr">
        <is>
          <t xml:space="preserve">Select All That Apply </t>
        </is>
      </c>
      <c r="S95" s="274" t="inlineStr">
        <is>
          <t>NA</t>
        </is>
      </c>
      <c r="T95" s="274" t="inlineStr">
        <is>
          <t>NA</t>
        </is>
      </c>
      <c r="U95" s="274" t="inlineStr">
        <is>
          <t>Form Type - Checklist
9,10 = IsNone</t>
        </is>
      </c>
      <c r="V95" s="376" t="inlineStr">
        <is>
          <t>1)crp_seed_ownprod
2)crp_seed_market
3)crp_seed_company
4)crp_seed_ngo
5)crp_seed_organized_community
6)crp_seed_gov
7)crp_seed_relatives_friends
8)crp_seed_other
9)crp_seed_dk
10)crp_seed_ref</t>
        </is>
      </c>
      <c r="W95" s="377" t="inlineStr">
        <is>
          <t>1-10 = crp_area_change</t>
        </is>
      </c>
      <c r="X95" s="378" t="n"/>
      <c r="Y95" s="379" t="inlineStr">
        <is>
          <t>if crp_seed_supply = 1-9, go to crp_area_change</t>
        </is>
      </c>
      <c r="Z95" s="176" t="n"/>
      <c r="AA95" s="66" t="inlineStr">
        <is>
          <t>resp_age = 18-100
(hh_agricactivity = 1 | 3) | (income_main_cropcheck = 1) | (income_sec_cropcheck = 1) | (income_third_cropcheck = 1) 
quotareached = 2
crp_main = 1-90</t>
        </is>
      </c>
      <c r="AB95" s="67" t="n"/>
      <c r="AC95" s="45" t="n">
        <v>17.92890930175781</v>
      </c>
      <c r="AD95" s="280">
        <f>#REF!</f>
        <v/>
      </c>
      <c r="AE95" s="45">
        <f>AC95*AD95</f>
        <v/>
      </c>
    </row>
    <row r="96" ht="333" customHeight="1">
      <c r="A96" s="88">
        <f>A95+1</f>
        <v/>
      </c>
      <c r="B96" s="56" t="inlineStr">
        <is>
          <t>crp_area_change</t>
        </is>
      </c>
      <c r="C96" s="380" t="inlineStr">
        <is>
          <t>crp_area_change</t>
        </is>
      </c>
      <c r="D96" s="440" t="inlineStr">
        <is>
          <t>How did the area planted for {crp_main} from Wet season compare to a normal year?
[OPERATOR: SINGLE RESPONSE.]
1)A lot more [increased by more than 50%]
2)Slightly more
3)Same
4)Slightly less
5)A lot less [less than half as much]
6)DON'T KNOW
7)REFUSED</t>
        </is>
      </c>
      <c r="E96" s="27">
        <f>LEN(D96)</f>
        <v/>
      </c>
      <c r="F96" s="82" t="inlineStr">
        <is>
          <t>Comment la superficie plantée pour {crp_main} de la saison sèche se compare-t-elle à une annee normale?
[OPÉRATEUR/OPÉRATRICE: RÉPONSE UNIQUE.]
1)Très supérieure [augmentation de plus de 50%]
2)Légèrement supérieure
3)Identique
4)Légèrement inférieure
5)Très inférieure [moins de la moitié]
6)NE SAIT PAS
7)REFUSÉ</t>
        </is>
      </c>
      <c r="G96" s="27">
        <f>LEN(F96)</f>
        <v/>
      </c>
      <c r="H96" s="82" t="inlineStr">
        <is>
          <t>Aw ye yɔrɔ min sɛnɛ {crp_main} Tilema Waati nin a bɛ kɛɲɛ ni salon ɲɔgɔn cogo juman saan dafanin waati? 
[NIENIGALI KÈLA: DIABI KELEN]
1)Kosɔbɛ kɛ [dɔ fara la ka ta tɛmɛ a 50% yɛrɛ kan]. 
2)Dɔɔni fara la. 
3)A bɛɛ ye kelen ye. 
4)Dɔɔni bɔra a la 
5)Caaman bɔra la [a ma se a camancɛ ma]
6)NE MA DON
7)A BAN NA</t>
        </is>
      </c>
      <c r="I96" s="27">
        <f>LEN(H96)</f>
        <v/>
      </c>
      <c r="J96" s="82" t="inlineStr">
        <is>
          <t>Nibãrã bɛ̀rɛ̀ {crp_main} hadu e tɔɔ, ãrãkuju sélée e tɔɔ yowjin tɔɔn lè kɔ?
[BIRƐ MA KŨ BAŋA : UɟURU KƆ TURU LE BE SAA-I]
1)Boŋoo bara [50% baa barà]. 
2)Dagaa bara. 
3)Balii gamali [kɛw] 
4)Dagaa gama. 
5)Boŋoo gama [ko ɟɛrɛ-i gama].
6)ɟUGƆGO. 
7)JƆWƆLI.</t>
        </is>
      </c>
      <c r="K96" s="27">
        <f>LEN(J96)</f>
        <v/>
      </c>
      <c r="L96" s="82" t="inlineStr">
        <is>
          <t>Mate no labo gando kaŋ i hanse dumiizey se heeniŋo ga {crp_main} se gu hima ndu jiiri kulu keydiya hega miso?
[HANKOYO: DJAABI FO]
1)A gu bis woo lay [gooruri 50 % wal tonton].  
2)a gu bissa keyna  .  
3)I kul ifo .  
4)A su toora . 
5)A su toora lay [ciina toora]
6) A CHI BEY
7)A WANDJI</t>
        </is>
      </c>
      <c r="M96" s="27">
        <f>LEN(L96)</f>
        <v/>
      </c>
      <c r="N96" s="82" t="inlineStr">
        <is>
          <t xml:space="preserve">Matiga tedagit ta tətiwadamet fal {crp_main}  ɣur ugud wan ewelan ataqal amozaɣan əd awatay oɣadan ?
[EMASESTƏN : ALƏƔI IYANDAƔ].
1)Ajen ogaran [asiwid ən ogaran 50%]. 
2)Andiran ogaran. 
3)Olahnen. 
4)Andiran midriyan.                                                 
5)Ajen madriyan [amidriyan ən tizune]. 
6)WARISENAƔ. 
7)UGAY </t>
        </is>
      </c>
      <c r="O96" s="27">
        <f>LEN(N96)</f>
        <v/>
      </c>
      <c r="P96" s="82" t="inlineStr">
        <is>
          <t>Noy njaajeefi ngesa demal {crp_main} mooɗon foti wakkati ceeɗu  e hitaande hiɓɓunde ndee?  
[LANDOTOODO : DJABOU GOTO TAN]
1)No ɓuri no woowirnoo non sanne [ɓeydagol ceede coogguuji faa hewti 50%]
2)No ɓuri no woowirnoo non seeɗa. 
3)yo foodu. 
4)Ñakii no woowirnoo non seeɗa. 
5)Ñakii no woowirnoo non sanne [Hewtaay fay feccere no woowirnoo].
6)MI ANDA
7)SALAADE</t>
        </is>
      </c>
      <c r="Q96" s="27">
        <f>LEN(P96)</f>
        <v/>
      </c>
      <c r="R96" s="63" t="inlineStr">
        <is>
          <t>Single Choice</t>
        </is>
      </c>
      <c r="S96" s="27" t="inlineStr">
        <is>
          <t>NA</t>
        </is>
      </c>
      <c r="T96" s="27" t="inlineStr">
        <is>
          <t>NA</t>
        </is>
      </c>
      <c r="U96" s="27" t="inlineStr">
        <is>
          <t>Form Type - Buttons</t>
        </is>
      </c>
      <c r="V96" s="40" t="inlineStr">
        <is>
          <t>NA</t>
        </is>
      </c>
      <c r="W96" s="168" t="inlineStr">
        <is>
          <t>1-7 = crp_harv_change</t>
        </is>
      </c>
      <c r="X96" s="620" t="n"/>
      <c r="Y96" s="309" t="inlineStr">
        <is>
          <t>if crp_area_change = 1-7, go to crp_harv_change</t>
        </is>
      </c>
      <c r="Z96" s="373" t="n"/>
      <c r="AA96" s="66" t="inlineStr">
        <is>
          <t>resp_age = 18-100
(hh_agricactivity = 1 | 3) | (income_main_cropcheck = 1) | (income_sec_cropcheck = 1) | (income_third_cropcheck = 1) 
quotareached = 2
crp_main = 1-90</t>
        </is>
      </c>
      <c r="AB96" s="67" t="n"/>
      <c r="AC96" s="111" t="n">
        <v>25.43687438964844</v>
      </c>
      <c r="AD96" s="280">
        <f>#REF!</f>
        <v/>
      </c>
      <c r="AE96" s="111">
        <f>AC96*AD96</f>
        <v/>
      </c>
    </row>
    <row r="97" ht="295.5" customHeight="1">
      <c r="A97" s="88">
        <f>A96+1</f>
        <v/>
      </c>
      <c r="B97" s="175" t="inlineStr">
        <is>
          <t>crp_harv_change</t>
        </is>
      </c>
      <c r="C97" s="27" t="inlineStr">
        <is>
          <t>crp_harv_change</t>
        </is>
      </c>
      <c r="D97" s="440" t="inlineStr">
        <is>
          <t xml:space="preserve">
How does the  harvest of {crp_main} in the wet Season compare to a normal year?
[OPERATOR: SINGLE RESPONSE.]
1)A lot more [increased by more than 50%]
2)Slightly more
3)Same
4)Slightly less
5)A lot less [less than half as much]
6)DON'T KNOW
7)REFUSED</t>
        </is>
      </c>
      <c r="E97" s="27">
        <f>LEN(D97)</f>
        <v/>
      </c>
      <c r="F97" s="82" t="inlineStr">
        <is>
          <t>Comment la récolte de {crp_main} pendant la saison sèche se compare-t-elle à une annee normale?
[OPÉRATEUR/OPÉRATRICE: RÉPONSE UNIQUE.]
1)Très supérieure [augmentation de plus de 50%]
2)Légèrement supérieure
3)Identique
4)Légèrement inférieure
5)Très inférieure [moins de la moitié]
6)NE SAIT PAS
7)REFUSÉ</t>
        </is>
      </c>
      <c r="G97" s="27">
        <f>LEN(F97)</f>
        <v/>
      </c>
      <c r="H97" s="82" t="inlineStr">
        <is>
          <t>Aw ye suman min sɛnɛ ni {crp_main} Tilema Waati nin a bɛ kɛɲɛ ni salon ɲɔgɔn cogo juman saan dafanin waati?
[NIENIGALI KÈLA: DIABI KELEN]
1)Kosɔbɛ kɛ [dɔ fara la ka ta tɛmɛ a 50% yɛrɛ kan]. 
2)Dɔɔni fara la. 
3)A bɛɛ ye kelen ye. 
4)Dɔɔni bɔra a la 
5)Caaman bɔra la [a ma se a camancɛ ma]
6)NE MA DON
7)A BAN NA</t>
        </is>
      </c>
      <c r="I97" s="27">
        <f>LEN(H97)</f>
        <v/>
      </c>
      <c r="J97" s="82" t="inlineStr">
        <is>
          <t>Nibãrã bɛ̀rɛ̀ {crp_main} mà waa mà hadu e tɔɔ, ãrãkuju sélée e tɔɔ yowjin tɔɔn lè kɔ?
[BIRƐ MA KŨ BAŋA : UɟURU KƆ TURU LE BE SAA-I]
1)Boŋoo bara [50% baa barà]. 
2)Dagaa bara. 
3)Balii gamali [kɛw] 
4)Dagaa gama. 
5)Boŋoo gama [ko ɟɛrɛ-i gama].
6)ɟUGƆGO. 
7)JƆWƆLI.</t>
        </is>
      </c>
      <c r="K97" s="27">
        <f>LEN(J97)</f>
        <v/>
      </c>
      <c r="L97" s="82" t="inlineStr">
        <is>
          <t>Mate no labo gando kaŋ i hanse dumiizey se heeniŋo ga {crp_main} se gu hima ndu jiiri kulu keydiya hega miso?
[HANKOYO: DJAABI FO]
1)A gu bis woo lay [gooruri 50 % wal tonton].  
2)a gu bissa keyna
3)I kul ifo .  
4)A su toora . 
5)A su toora lay [ciina toora]
6) A CHI BEY
7)A WANDJI</t>
        </is>
      </c>
      <c r="M97" s="27">
        <f>LEN(L97)</f>
        <v/>
      </c>
      <c r="N97" s="82" t="inlineStr">
        <is>
          <t xml:space="preserve">Matiga tedagit ta tətiwadamet fal {crp_main} ɣur ugud wan ewelan ataqal amozaɣan əd awatay oɣadan  ?
[EMASESTƏN : ALƏƔI IYANDAƔ].
1)Ajen ogaran [asiwid ən ogaran 50%]. 
2)Andiran ogaran. 
3)Olahnen. 
4)Andiran midriyan.                                                 
5)Ajen madriyan [amidriyan ən tizune]. 
6)WARISENAƔ. 
7)UGAY </t>
        </is>
      </c>
      <c r="O97" s="27">
        <f>LEN(N97)</f>
        <v/>
      </c>
      <c r="P97" s="82" t="inlineStr">
        <is>
          <t>Noy ko keɓu-ɗon [tayre] {crp_main} banngal demal mooɗon foti e hitaande hiɓɓunde?
[LANDOTOODO : DJABOU GOTO TAN]
1)No ɓuri no woowirnoo non sanne [ɓeydagol ceede coogguuji faa hewti 50%]
2)No ɓuri no woowirnoo non seeɗa. 
3)yo foodu. 
4)Ñakii no woowirnoo non seeɗa. 
5)Ñakii no woowirnoo non sanne [Hewtaay fay feccere no woowirnoo].
6)MI ANDA
7)SALAADE</t>
        </is>
      </c>
      <c r="Q97" s="27">
        <f>LEN(P97)</f>
        <v/>
      </c>
      <c r="R97" s="63" t="inlineStr">
        <is>
          <t>Single Choice</t>
        </is>
      </c>
      <c r="S97" s="27" t="inlineStr">
        <is>
          <t>NA</t>
        </is>
      </c>
      <c r="T97" s="27" t="inlineStr">
        <is>
          <t>NA</t>
        </is>
      </c>
      <c r="U97" s="27" t="inlineStr">
        <is>
          <t>Form Type - Buttons</t>
        </is>
      </c>
      <c r="V97" s="40" t="inlineStr">
        <is>
          <t>NA</t>
        </is>
      </c>
      <c r="W97" s="64" t="inlineStr">
        <is>
          <t>1-7 = crp_proddif</t>
        </is>
      </c>
      <c r="X97" s="492" t="n"/>
      <c r="Y97" s="621" t="inlineStr">
        <is>
          <t>if crp_harv_change = 1-7, go to [crp_proddif_1 or crp_harv_vol]</t>
        </is>
      </c>
      <c r="Z97" s="622" t="n"/>
      <c r="AA97" s="66" t="inlineStr">
        <is>
          <t>resp_age = 18-100
(hh_agricactivity = 1 | 3) | (income_main_cropcheck = 1) | (income_sec_cropcheck = 1) | (income_third_cropcheck = 1) 
quotareached = 2
crp_main = 1-90</t>
        </is>
      </c>
      <c r="AB97" s="718" t="n"/>
      <c r="AC97" s="111" t="n">
        <v>19.36494636535645</v>
      </c>
      <c r="AD97" s="280">
        <f>#REF!</f>
        <v/>
      </c>
      <c r="AE97" s="111">
        <f>AC97*AD97</f>
        <v/>
      </c>
    </row>
    <row r="98" ht="22.25" customFormat="1" customHeight="1" s="616">
      <c r="A98" s="567">
        <f>A97+1</f>
        <v/>
      </c>
      <c r="B98" s="623" t="inlineStr">
        <is>
          <t>crp_harv_vol</t>
        </is>
      </c>
      <c r="C98" s="624" t="inlineStr">
        <is>
          <t>crp_harv_vol</t>
        </is>
      </c>
      <c r="D98" s="625" t="inlineStr">
        <is>
          <t>How much [threshed] {crp_main} did you harvest this Dry Season?
[OPERATOR: RECORD THE RESPONSE GIVEN. UNIT OF MEASUREMENT TO BE SPECIFIED IN NEXT QUESTION. ENTER 8888888 FOR DON'T KNOW &amp; 9999999 FOR REFUSED, TO BE USED RARELY - PROBE!]</t>
        </is>
      </c>
      <c r="E98" s="604">
        <f>LEN(D98)</f>
        <v/>
      </c>
      <c r="F98" s="625" t="inlineStr">
        <is>
          <t>Quelle quantité [battue] de {crp_main} avez-vous récoltée cette Season seche?
[OPÉRATEUR/OPÉRATRICE:  SAISIR LA RÉPONSE DONNÉE. L'UNITÉ DE MESURE DOIT ÊTRE SPÉCIFIÉE À LA QUESTION SUIVANTE. SAISIR 8888888 POUR «NE SAIT PAS» ET 9999999 POUR «REFUSÉ», À UTILISER LE MOINS POSSIBLE - DEMANDER DES PRÉCISIONS!]</t>
        </is>
      </c>
      <c r="G98" s="604">
        <f>LEN(F98)</f>
        <v/>
      </c>
      <c r="H98" s="626" t="inlineStr">
        <is>
          <t>Aw ye [tasa] ɲɛ joli suman {crp_main} Tilema Waati ?
[SƆRƆBATIGI: AW YE JAABILI MIN DIRA SƐBƐN. SUMA MINAN BƐNA JIRA ƝININKALI NATA NIN NA.  8888888 SƐBƐN N'A M'A DƆN KA 9999999 SƐBƐN  N'A BANNA, KANA O SƐBƐN YƆRƆ BƐƐ]</t>
        </is>
      </c>
      <c r="I98" s="604">
        <f>LEN(H98)</f>
        <v/>
      </c>
      <c r="J98" s="626" t="inlineStr">
        <is>
          <t xml:space="preserve"> {crp_main} mà jó mà hadu [bati] yɔkɔ tɔɔn-i nibãrã bɛ̀rɛ̀ gɔ́̃ bè wa?
[BIRƐ BAŊA : KAAMIRẼ BÈ OO LÉ DII JÃÃ JIN CƐW TƆNƆ̃-KUNOY. JUGƆ-GO MÀ DII LE 8888888 KUNOO, YƆWƆ-LI CELE 9999999 KUNO, KIN JOO KÃRÃ-JE - IƝE SOGO KIN GAARA MÀA KUU OJURO SEREWE]</t>
        </is>
      </c>
      <c r="K98" s="604">
        <f>LEN(J98)</f>
        <v/>
      </c>
      <c r="L98" s="626" t="inlineStr">
        <is>
          <t xml:space="preserve">Dimma marje [bokow] {crp_main} no er hegey heeniŋo waate ?
[HÃKA: ER MU ZAABEY KAN I NO SAMBU. DIIMA KAN BORA HIMA KU NO NAN HIMA KU KOY NDU HAYONO KAN I TE. BORO ANTUM MASINO GA 8888888 EY SU BEY ZAABO SE NDU 9999999 EY WENGE ZAABO SE, SU TARU KU GOY NDU – HÃ KU GUNE!] </t>
        </is>
      </c>
      <c r="M98" s="604">
        <f>LEN(L98)</f>
        <v/>
      </c>
      <c r="N98" s="626" t="inlineStr">
        <is>
          <t>Mamos aniket [tidašat] {crp_main} atigrawam dǎɣ uluy ɣur ugud wan alwaq wan ewelan?
[ƏMASESTƏN: SAQAMU ALIƔI WA ATWAFAN. HARAT WAN AKOT ANIHAGA ADIQIL ATIWASANAN DǍƔ ASOSTAN WA DILKAMAN. AKIS 888888 FAL IBA ƏN TƏMUSNE &amp; 999999 FAL TUNGIT, AYTAWATKALAN WADEN HARKUK – ATWIZAY !]</t>
        </is>
      </c>
      <c r="O98" s="604">
        <f>LEN(N98)</f>
        <v/>
      </c>
      <c r="P98" s="626" t="inlineStr">
        <is>
          <t xml:space="preserve">Noy ko keɓu-ɗon [tayre] {crp_main} banngal demal mooɗon foti e wakkati ceeɗu? 
[GOLLOOWO : WINNDU JAABU KOKKAAƊO ON. KO FONNDIRAA ƊUM SANAA HOLLEE NDER LAMNDAL GAROOWAL NGAL. WINNDU 8888888 SO ANNDAA &amp; 9999999 SO JOOMUM SALAKE JAABAADE, TAA GOLLITORE SANNE- AYKAADE!] </t>
        </is>
      </c>
      <c r="Q98" s="604">
        <f>LEN(P98)</f>
        <v/>
      </c>
      <c r="R98" s="607" t="inlineStr">
        <is>
          <t>Range</t>
        </is>
      </c>
      <c r="S98" s="604" t="inlineStr">
        <is>
          <t>NA</t>
        </is>
      </c>
      <c r="T98" s="604" t="inlineStr">
        <is>
          <t>NA</t>
        </is>
      </c>
      <c r="U98" s="604" t="inlineStr">
        <is>
          <t>Form Type - TextBox</t>
        </is>
      </c>
      <c r="V98" s="575" t="inlineStr">
        <is>
          <t>NA</t>
        </is>
      </c>
      <c r="W98" s="608" t="inlineStr">
        <is>
          <t>1-1000000 = crp_harv_unit
8888888-8888888 =  crp_proddif
9999999-9999999 =  crp_proddif</t>
        </is>
      </c>
      <c r="X98" s="627" t="inlineStr">
        <is>
          <t>AY: This question is not in the validated questionnaire hence has been removed</t>
        </is>
      </c>
      <c r="Y98" s="628" t="inlineStr">
        <is>
          <t>For any response, go to crp_landsize_unit. Range is between 0 and 1000000. For "Don't know" and "Refused", go to crp_main.</t>
        </is>
      </c>
      <c r="Z98" s="629" t="n"/>
      <c r="AA98" s="612" t="inlineStr">
        <is>
          <t>resp_age = 18-100
(hh_agricactivity = 1 | 3) | (income_main_cropcheck = 1) | (income_sec_cropcheck = 1) | (income_third_cropcheck = 1) 
quotareached = 2</t>
        </is>
      </c>
      <c r="AB98" s="630" t="n"/>
      <c r="AC98" s="614" t="n">
        <v>17</v>
      </c>
      <c r="AD98" s="615">
        <f>#REF!</f>
        <v/>
      </c>
      <c r="AE98" s="614">
        <f>AC98*AD98</f>
        <v/>
      </c>
    </row>
    <row r="99" ht="22.25" customFormat="1" customHeight="1" s="616">
      <c r="A99" s="567">
        <f>A98+1</f>
        <v/>
      </c>
      <c r="B99" s="623" t="inlineStr">
        <is>
          <t>crp_harv_unit</t>
        </is>
      </c>
      <c r="C99" s="624" t="inlineStr">
        <is>
          <t>crp_harv_unit</t>
        </is>
      </c>
      <c r="D99" s="631" t="inlineStr">
        <is>
          <t>Unit of measurement for harvested {crp_main} :
[OPERATOR: SINGLE SELECTION]
1)Kilograms [kgs]
2)Tonnes
3)Ounces
4)Pounds
5)Bags
6)Boxes
7)Bundles
8)Packets
9)Other [specify]</t>
        </is>
      </c>
      <c r="E99" s="604">
        <f>LEN(D99)</f>
        <v/>
      </c>
      <c r="F99" s="631" t="inlineStr">
        <is>
          <t>Unité de mesure pour la/le {crp_main} récolté[e]:
[OPÉRATEUR/OPÉRATRICE: RÉPONSE UNIQUE.]
1)Kilogrammes [kg]
2)Tonnes
3)Onces
4)Livres
5)Sacs
6)Boîtes
7)Fagots
8)Paquets
9)Autre [préciser]</t>
        </is>
      </c>
      <c r="G99" s="604">
        <f>LEN(F99)</f>
        <v/>
      </c>
      <c r="H99" s="626" t="inlineStr">
        <is>
          <t>Sɛnɛ suman suma jatimina  {crp_main} :
[SƆRƆBATIGI: JAABILI KELEN]
1)Kilo
2)Tmɔni
3)Onsi
4)Livru
5)Bɔrɔw
6)Buwati
7)Sara
8)Paket
9)Fɛn wɛrɛ [fɔ ka jira]</t>
        </is>
      </c>
      <c r="I99" s="604">
        <f>LEN(H99)</f>
        <v/>
      </c>
      <c r="J99" s="626" t="inlineStr">
        <is>
          <t>{crp_main} dɛ̃rɛ̃ cɛ́tũw
 [BIRƐ BAŊA : CƐƐ TUMNO-I YAŊA BÀ]
1)Kilow bé
2)Tɔn bé
3)Cɛ maŋa bé
4)Liburu bé
5)Bɔɔrɔ bé
6)Bɔtu bé
7)Sarusumo bé
8)Paga bé
9)Laga [togo bà]</t>
        </is>
      </c>
      <c r="K99" s="604">
        <f>LEN(J99)</f>
        <v/>
      </c>
      <c r="L99" s="626" t="inlineStr">
        <is>
          <t>Hega dumiizey keriyoŋo jina {crp_main} 
[HÃKA : SUBANYON FOLLON]
1)kilogarammey
2)tonney
3)ifolloŋkey
4)liverey
5)saakey
6)konkey
7)bongirey
8)pakey
9)ifoyoŋ [i mu ci]</t>
        </is>
      </c>
      <c r="M99" s="604">
        <f>LEN(L99)</f>
        <v/>
      </c>
      <c r="N99" s="626" t="inlineStr">
        <is>
          <t>Harat wan akot ən nuluyan {crp_main} :
[ƏMASESTƏN : UKIS IYANDǍƔ]
1)Kilo [kgs]
2)Tonne
3)Once
4)Livri Sterling
5)Botooro
6)Boite
7)Fagot
8)Koli
9)Iyad [laɣatatan]</t>
        </is>
      </c>
      <c r="O99" s="604">
        <f>LEN(N99)</f>
        <v/>
      </c>
      <c r="P99" s="626" t="inlineStr">
        <is>
          <t xml:space="preserve">Ponndirgal ko heɓaa e nder demal demal {crp_main} ngal :
[GOLLOOWO : SUƁAGOL GOOTOL] 
1)Kilo [Kgs]
2)Tonne
3)Ounces
4)Livru
5)Botooro
6)Boati
7)Bundles
8)Packets
9)Goɗɗum [ɗum hollee] </t>
        </is>
      </c>
      <c r="Q99" s="604">
        <f>LEN(P99)</f>
        <v/>
      </c>
      <c r="R99" s="632" t="inlineStr">
        <is>
          <t>Open Ended-Single Choice</t>
        </is>
      </c>
      <c r="S99" s="604" t="inlineStr">
        <is>
          <t>NA</t>
        </is>
      </c>
      <c r="T99" s="604" t="inlineStr">
        <is>
          <t>NA</t>
        </is>
      </c>
      <c r="U99" s="604" t="inlineStr">
        <is>
          <t>Form Type - RadioList
IsDemographic</t>
        </is>
      </c>
      <c r="V99" s="575" t="inlineStr">
        <is>
          <t>NA</t>
        </is>
      </c>
      <c r="W99" s="633" t="inlineStr">
        <is>
          <t>1-4 = crp_harv_lastyr
5-9 = crp_harv_unit_kg</t>
        </is>
      </c>
      <c r="X99" s="634" t="inlineStr">
        <is>
          <t>AY: This question is not in the validated questionnaire hence has been removed</t>
        </is>
      </c>
      <c r="Y99" s="635" t="inlineStr">
        <is>
          <t>if crp_harv_change = 1-7, go to [crp_proddif_1 or crp_harv_vol]</t>
        </is>
      </c>
      <c r="Z99" s="636" t="n"/>
      <c r="AA99" s="612" t="inlineStr">
        <is>
          <t>resp_age = 18-100
(hh_agricactivity = 1 | 3) | (income_main_cropcheck = 1) | (income_sec_cropcheck = 1) | (income_third_cropcheck = 1) 
quotareached = 2
crp_main = 1-90</t>
        </is>
      </c>
      <c r="AB99" s="637" t="n"/>
      <c r="AC99" s="614" t="n">
        <v>19.36494636535645</v>
      </c>
      <c r="AD99" s="615">
        <f>#REF!</f>
        <v/>
      </c>
      <c r="AE99" s="614">
        <f>AC99*AD99</f>
        <v/>
      </c>
    </row>
    <row r="100" ht="22.25" customFormat="1" customHeight="1" s="616">
      <c r="A100" s="567">
        <f>A99+1</f>
        <v/>
      </c>
      <c r="B100" s="623" t="inlineStr">
        <is>
          <t>crp_harv_unit_kg</t>
        </is>
      </c>
      <c r="C100" s="624" t="inlineStr">
        <is>
          <t>crp_harv_unit_kg</t>
        </is>
      </c>
      <c r="D100" s="631" t="inlineStr">
        <is>
          <t>How many kilograms [kgs] in each unit?
[OPERATOR: RECORD THE AMOUNT GIVEN. ENTER 88888 FOR DON'T KNOW &amp; 99999 FOR REFUSED]</t>
        </is>
      </c>
      <c r="E100" s="604">
        <f>LEN(D100)</f>
        <v/>
      </c>
      <c r="F100" s="631" t="inlineStr">
        <is>
          <t>Combien de kilogrammes [kg] chaque unité contient-elle?
[OPÉRATEUR/OPÉRATRICE:  SAISIR LA QUANTITÉ ANNONCÉE. SAISIR 88888 POUR «NE SAIT PAS» ET 99999 POUR «REFUSÉ».]</t>
        </is>
      </c>
      <c r="G100" s="604">
        <f>LEN(F100)</f>
        <v/>
      </c>
      <c r="H100" s="626" t="inlineStr">
        <is>
          <t>Suma jatimina kelen bɛ kilo joli?
[SƆRƆBATIGI: AW YE DAMAN MIN DIRA SƐBƐN:  8888888 SƐBƐN N'A M'A DƆN KA 9999999 SƐBƐN  N'A BANNA, KANA O SƐBƐN YƆRƆ BƐƐ]</t>
        </is>
      </c>
      <c r="I100" s="604">
        <f>LEN(H100)</f>
        <v/>
      </c>
      <c r="J100" s="626" t="inlineStr">
        <is>
          <t>Kò maŋa kãã bɛ̀rɛ̀ kilow  [kgs] aaŋa kun ?
[BIRƐ BAŊA : KAAMIRẼ BÈ OO LÉ DII JÃÃ JIN CƐW TƆNƆ̃-KUNOY. JUGƆ-GO MÀ DII LE 88888 KUNOO, YƆWƆ-LI CELE 99999 KUNO]</t>
        </is>
      </c>
      <c r="K100" s="604">
        <f>LEN(J100)</f>
        <v/>
      </c>
      <c r="L100" s="626" t="inlineStr">
        <is>
          <t>Cilo marje no ku bara neesigu fo kulu ga ?
[HÃKA: BORO MU ZAABO KAŊ DUMO NO SAMBU. BORO DAN MASINO GA 88888 EY SU BEY SE NDU  99999 WENGE SE]</t>
        </is>
      </c>
      <c r="M100" s="604">
        <f>LEN(L100)</f>
        <v/>
      </c>
      <c r="N100" s="626" t="inlineStr">
        <is>
          <t>Maniket kilogramtan [kgs] ilanti dǎɣ hal madən ?
[ƏMASESTƏN :SAQAMU HADI ƏN AWA ATIWAFAN. AGIŠ 88888 FAL IBA ƏN TƏMUSNE &amp; 9999 FAL TUNGIT]</t>
        </is>
      </c>
      <c r="O100" s="604">
        <f>LEN(N100)</f>
        <v/>
      </c>
      <c r="P100" s="626" t="inlineStr">
        <is>
          <t xml:space="preserve">Kilooji [Kgs] foti ponndirgal fuh wondi? 
[GOLLOOWO : WINNDU AYKA KOKKAAƊO. WINNDU 88888 SO JOOMUM WI'II ANNDAA &amp; 99999 SO JOOMUM SALAKE JAABAADE] 
</t>
        </is>
      </c>
      <c r="Q100" s="604">
        <f>LEN(P100)</f>
        <v/>
      </c>
      <c r="R100" s="607" t="inlineStr">
        <is>
          <t>Range</t>
        </is>
      </c>
      <c r="S100" s="604" t="inlineStr">
        <is>
          <t>NA</t>
        </is>
      </c>
      <c r="T100" s="604" t="inlineStr">
        <is>
          <t>NA</t>
        </is>
      </c>
      <c r="U100" s="604" t="inlineStr">
        <is>
          <t>Form Type - TextBox</t>
        </is>
      </c>
      <c r="V100" s="575" t="inlineStr">
        <is>
          <t>NA</t>
        </is>
      </c>
      <c r="W100" s="638" t="inlineStr">
        <is>
          <t>1-10000 = crp_harv_lastyr
88888-88888 =  crp_harv_lastyr
99999-99999 =  crp_harv_lastyr</t>
        </is>
      </c>
      <c r="X100" s="627" t="inlineStr">
        <is>
          <t>AY: This question is not in the validated questionnaire hence has been removed</t>
        </is>
      </c>
      <c r="Y100" s="628" t="inlineStr">
        <is>
          <t>For any response, go to crp_landsize_unit. Range is between 0 and 1000000. For "Don't know" and "Refused", go to crp_main.</t>
        </is>
      </c>
      <c r="Z100" s="629" t="n"/>
      <c r="AA100" s="612" t="inlineStr">
        <is>
          <t>resp_age = 18-100
(hh_agricactivity = 1 | 3) | (income_main_cropcheck = 1) | (income_sec_cropcheck = 1) | (income_third_cropcheck = 1) 
quotareached = 2</t>
        </is>
      </c>
      <c r="AB100" s="630" t="n"/>
      <c r="AC100" s="614" t="n">
        <v>17</v>
      </c>
      <c r="AD100" s="615">
        <f>#REF!</f>
        <v/>
      </c>
      <c r="AE100" s="614">
        <f>AC100*AD100</f>
        <v/>
      </c>
    </row>
    <row r="101" ht="22.25" customFormat="1" customHeight="1" s="616">
      <c r="A101" s="567">
        <f>A100+1</f>
        <v/>
      </c>
      <c r="B101" s="623" t="inlineStr">
        <is>
          <t>crp_harv_lastyr</t>
        </is>
      </c>
      <c r="C101" s="624" t="inlineStr">
        <is>
          <t>crp_harv_lastyr</t>
        </is>
      </c>
      <c r="D101" s="570" t="inlineStr">
        <is>
          <t>How many {crp_harv_unit} of [threshed] {crp_main} did you harvest last year during the same season?
[OPERATOR: RECORD THE RESPONSE GIVEN. ENTER 8888888 FOR DON'T KNOW &amp; 9999999 FOR REFUSED, TO BE USED RARELY - PROBE!]</t>
        </is>
      </c>
      <c r="E101" s="604">
        <f>LEN(D101)</f>
        <v/>
      </c>
      <c r="F101" s="570"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01" s="604">
        <f>LEN(F101)</f>
        <v/>
      </c>
      <c r="H101" s="626" t="inlineStr">
        <is>
          <t>Aw ye {crp_harv_unit} sumajatimina joli suman {crp_main} fan fɛ salon ɲɔgɔn?
[SƆRƆBATIGI: AW YE JAABILI MIN DIRA SƐBƐN:  8888888 SƐBƐN N'A M'A DƆN KA 9999999 SƐBƐN  N'A BANNA, KANA O SƐBƐN YƆRƆ BƐƐ]</t>
        </is>
      </c>
      <c r="I101" s="604">
        <f>LEN(H101)</f>
        <v/>
      </c>
      <c r="J101" s="626" t="inlineStr">
        <is>
          <t>Gaa mi gárá {crp_harv_unit} ce  [battu] ce {crp_main} aaŋã cɛcɛ bè wa ?
[BIRƐ BAŊA : KAAMIRẼ BÈ OO LÉ DII JÃÃ JIN CƐW TƆNƆ̃-KUNOY. JUGƆ-GO MÀ DII LE 8888888 KUNOO, YƆWƆ-LI CELE 9999999 KUNO, KIN JOO KÃRÃ-JE - IƝE SOGO KIN GAARA MÀA KUU OJURO SEREWE]</t>
        </is>
      </c>
      <c r="K101" s="604">
        <f>LEN(J101)</f>
        <v/>
      </c>
      <c r="L101" s="626" t="inlineStr">
        <is>
          <t>{crp_harv_unit} de [battu] {crp_main} marje no er du er manaŋ hega ga waato cine ga ? 
[HÃKA : ER MU ZAABEY KAN I NO SAMBU . ER MU ANTUM MASINO GA 8888888 EY SU BEY ZAABO SE NDU 9999999 EY WENGE ZAABO SE, SU TARU KU GOY NDU – HÃ KU GUNE!]</t>
        </is>
      </c>
      <c r="M101" s="604">
        <f>LEN(L101)</f>
        <v/>
      </c>
      <c r="N101" s="626" t="inlineStr">
        <is>
          <t>Maniket əd {crp_harv_unit} əd [idašan] {crp_main} atigrawam dǎɣ uluy ən awatay wa dokayan dǎɣ alwaq iyandǎɣ ?
[ƏMASESTƏN :SAQAMU ALIƔI WA ATWAFAN. AGIŠ 88888 FAL IBA ƏN TƏMUSNE &amp; 99999 FAL TUNGIT, AYTAWATKALAN WADEN HARKUK – ATWIZAY !]</t>
        </is>
      </c>
      <c r="O101" s="604">
        <f>LEN(N101)</f>
        <v/>
      </c>
      <c r="P101" s="626" t="inlineStr">
        <is>
          <t xml:space="preserve">Kilooji {crp_harv_unit} foti [kettal nyaamdu] keɓu-ɗon {crp_main} rawanen e wakkati mo ngonu-ɗen oo? 
[GOLLOOWO : WINNDU AYKA KOKKAAƊO. WINNDU 8888888 SO JOOMUM WI'II ANNDAA &amp; 9999999 SO JOOMUM SALAKE JAABAADE, TAA GOLLITORE SANNE- AYKAADE! ] </t>
        </is>
      </c>
      <c r="Q101" s="604">
        <f>LEN(P101)</f>
        <v/>
      </c>
      <c r="R101" s="607" t="inlineStr">
        <is>
          <t>Range</t>
        </is>
      </c>
      <c r="S101" s="604" t="inlineStr">
        <is>
          <t>NA</t>
        </is>
      </c>
      <c r="T101" s="604" t="inlineStr">
        <is>
          <t>NA</t>
        </is>
      </c>
      <c r="U101" s="604" t="inlineStr">
        <is>
          <t>Form Type - TextBox</t>
        </is>
      </c>
      <c r="V101" s="575" t="inlineStr">
        <is>
          <t>NA</t>
        </is>
      </c>
      <c r="W101" s="638" t="inlineStr">
        <is>
          <t>1-1000000 = crp_proddif
8888888-8888888 = crp_proddif
9999999-9999999 = crp_proddif</t>
        </is>
      </c>
      <c r="X101" s="627" t="inlineStr">
        <is>
          <t>AY: This question is not in the validated questionnaire hence has been removed</t>
        </is>
      </c>
      <c r="Y101" s="628" t="inlineStr">
        <is>
          <t>For any response, go to crp_landsize_unit. Range is between 0 and 1000000. For "Don't know" and "Refused", go to crp_main.</t>
        </is>
      </c>
      <c r="Z101" s="629" t="n"/>
      <c r="AA101" s="612" t="inlineStr">
        <is>
          <t>resp_age = 18-100
(hh_agricactivity = 1 | 3) | (income_main_cropcheck = 1) | (income_sec_cropcheck = 1) | (income_third_cropcheck = 1) 
quotareached = 2</t>
        </is>
      </c>
      <c r="AB101" s="630" t="n"/>
      <c r="AC101" s="614" t="n">
        <v>17</v>
      </c>
      <c r="AD101" s="615">
        <f>#REF!</f>
        <v/>
      </c>
      <c r="AE101" s="614">
        <f>AC101*AD101</f>
        <v/>
      </c>
    </row>
    <row r="102" ht="200" customHeight="1">
      <c r="A102" s="88">
        <f>A97+1</f>
        <v/>
      </c>
      <c r="B102" s="175" t="inlineStr">
        <is>
          <t>crp_proddif</t>
        </is>
      </c>
      <c r="C102" s="48" t="inlineStr">
        <is>
          <t>crp_proddif</t>
        </is>
      </c>
      <c r="D102" s="442" t="inlineStr">
        <is>
          <t>Has your household faced any significant difficulty in terms of crop production in wet Season?
[OPERATOR: SINGLE RESPONSE.]
1)YES
2)NO
3)DON'T KNOW
4)REFUSED</t>
        </is>
      </c>
      <c r="E102" s="27">
        <f>LEN(D102)</f>
        <v/>
      </c>
      <c r="F102" s="82" t="inlineStr">
        <is>
          <t>Votre ménage a-t-il rencontré d'importantes difficultés en matière de production végétale au cours de Season seche ?
[OPÉRATEUR/OPÉRATRICE: RÉPONSE UNIQUE.]
1)Oui
2)Non
3)NE SAIT PAS
4)REFUSÉ</t>
        </is>
      </c>
      <c r="G102" s="27">
        <f>LEN(F102)</f>
        <v/>
      </c>
      <c r="H102" s="51" t="inlineStr">
        <is>
          <t>Aw gwasomɔgɔ ye gwɛlɛyaba dɔ sɔrɔ tilema waati suman tigɛ waati wa?
[NIENIGALI KÈLA: DIABI KELEN]
1)ƆWƆ 
2)AYI 
3)NE MA DON
4)A BAN NA</t>
        </is>
      </c>
      <c r="I102" s="27">
        <f>LEN(H102)</f>
        <v/>
      </c>
      <c r="J102" s="82" t="inlineStr">
        <is>
          <t>Nibarã bɛ̀rɛ̀ bɛ̃rɛ̃ birɛ ojukaa jɛ may e uro lè ojukaa nam mɔɲu iɲey bee?
[BIRƐ MA KŨ BAŋA : UɟURU KƆ TURU LE BE SAA-I]
1)ÉE
2)Ɔ̃-Ɔ̃
3)ɟUGƆGO
4)JƆWƆLI</t>
        </is>
      </c>
      <c r="K102" s="27">
        <f>LEN(J102)</f>
        <v/>
      </c>
      <c r="L102" s="82" t="inlineStr">
        <is>
          <t>Er huwo du sendey beeriyoŋ heeniŋo dumiizey daŋyoŋo ga ?
[HANKOYO:  MACHI TA KA HAR DJAABI FO]
1) AYYO
2) KALA
3) A CHI BEY
4) A WANDJI</t>
        </is>
      </c>
      <c r="M102" s="27">
        <f>LEN(L102)</f>
        <v/>
      </c>
      <c r="N102" s="51" t="inlineStr">
        <is>
          <t xml:space="preserve">Amazaɣ nawan amuqas ən asahatan iknanen dǎɣ salan ən igitan ən sigyak ɣur ugud wan ewelan?
[EMASESTƏN : ALƏƔI IYANDAƔ].
1)IYA 
2)BABO.
3)WARISENAƔ. 
4)UGAY </t>
        </is>
      </c>
      <c r="O102" s="27">
        <f>LEN(N102)</f>
        <v/>
      </c>
      <c r="P102" s="82" t="inlineStr">
        <is>
          <t>Ɓaade mooɗon hawrii fuh tiiɗormaaji mawɗi ley lebbi tati cakitiiɗi ɗii banngal  soonnugol mooɗon? 
[GOLLOOWO : JAWAABU GOOTO].
1)AYYO 
2)AA'A. 
3)ANNDA 
4)SALAADE</t>
        </is>
      </c>
      <c r="Q102" s="27">
        <f>LEN(P102)</f>
        <v/>
      </c>
      <c r="R102" s="63" t="inlineStr">
        <is>
          <t>Single Choice</t>
        </is>
      </c>
      <c r="S102" s="27" t="inlineStr">
        <is>
          <t>NA</t>
        </is>
      </c>
      <c r="T102" s="27" t="inlineStr">
        <is>
          <t>NA</t>
        </is>
      </c>
      <c r="U102" s="27" t="inlineStr">
        <is>
          <t>Form Type - Buttons</t>
        </is>
      </c>
      <c r="V102" s="40" t="inlineStr">
        <is>
          <t>NA</t>
        </is>
      </c>
      <c r="W102" s="64" t="inlineStr">
        <is>
          <t>1 = crp_proddif_2
2-4 = crp_storage</t>
        </is>
      </c>
      <c r="X102" s="492" t="n"/>
      <c r="Y102" s="297" t="inlineStr">
        <is>
          <t>if crp_proddif_1 = 1, go to crp_proddif_2 ; 
if crp_proddif_1 = 2-4, go to [crp_salesmain or crp_storage OR crp_all]</t>
        </is>
      </c>
      <c r="Z102" s="87" t="n"/>
      <c r="AA102" s="66" t="inlineStr">
        <is>
          <t>resp_age = 18-100
(hh_agricactivity = 1 | 3) | (income_main_cropcheck = 1) | (income_sec_cropcheck = 1) | (income_third_cropcheck = 1) 
quotareached = 2</t>
        </is>
      </c>
      <c r="AB102" s="67" t="n"/>
      <c r="AC102" s="111" t="n">
        <v>13.45886421203613</v>
      </c>
      <c r="AD102" s="280">
        <f>#REF!</f>
        <v/>
      </c>
      <c r="AE102" s="111">
        <f>AC102*AD102</f>
        <v/>
      </c>
    </row>
    <row r="103" ht="409.6" customHeight="1">
      <c r="A103" s="88">
        <f>A102+1</f>
        <v/>
      </c>
      <c r="B103" s="93" t="inlineStr">
        <is>
          <t>crp_proddif_2</t>
        </is>
      </c>
      <c r="C103" s="1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03" s="443" t="inlineStr">
        <is>
          <t>Which difficulty has your household faced with crop production in wet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03" s="96">
        <f>LEN(D103)</f>
        <v/>
      </c>
      <c r="F103" s="82" t="inlineStr">
        <is>
          <t>Quelles difficultés votre ménage a-t-il rencontrées dans la production végétale au cours de Season seche?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03" s="27">
        <f>LEN(F103)</f>
        <v/>
      </c>
      <c r="H103" s="185" t="inlineStr">
        <is>
          <t>Aw gwasomɔgɔ ye gwɛlɛya juman sɔrɔ Telima suman sɔrɔta fan fɛ?
[SƆRƆBATIGI: JAABILI CAMAN N'AW BƐ SE. AW YE ƝƐNATƆMƆLI MIN KƐƝƐNAN NI JAABILKƐLAW YE KIBARUYA MIN DIRA.]
1)Falenfɛnw banaw
2)Baganbana [kɔnɔ bɛ fara]
3)Baganmara ye fisafasa la
4)Sɛnɛ sɔrɔ cogo
5)Angɛrɛ sɔrɔ cogo [o tɛ sɔrɔ dɔgɔra wala sungɔ ka ca kosɔbɛ]
6)Si ɲanaman sɔrɔ cogo
7)Si caman sɔrɔ cogo [o tɛ sɔrɔ dɔgɔra wala sungɔ ka ca kosɔbɛ]
8)Bagaji sɔrɔ cogo
9)Baaramɔgɔw sɔrɔ cogo
10)Masiniw sɔrɔ cogo/ wala bagan ka sɛnɛ baara
11)Esansi wala kuran sɔrɔ cogo ka sɛnɛ masiniw boli
12)Dugukolonɔn
13)Jii sɔnni man ca / sanjii
14)Jii sɔnni ka ca / jii
15)Juru sɔrɔ sira
16)Fɛn wɛrɛ
17)A M'A DƆN
18)BANNI</t>
        </is>
      </c>
      <c r="I103" s="96">
        <f>LEN(H103)</f>
        <v/>
      </c>
      <c r="J103" s="185" t="inlineStr">
        <is>
          <t>Iɲe mà ojuka nam e uro lé bee wa, nibarã bɛ̀rɛ̀ bɛ̃rɛ̃ birɛ ojukaa lè ?
[BIRƐ BAŊA : KASARA JÓ GAMA TƐMƐWƐ̃-KƆ. INEM UJURU E UJURA-RA KAAMIRẼ ERU O LÉ DII GAARA HAWRA-KƆ KUU YANA I, KÒ DÉNEE-DENEE YANA BE BƐ̀RƐ̀].
1) cɛ-tɔgɔ bé nurõ
2) dɛ̃rɛ̃ mà kasara  [saajĩ beru ya dɔɔ] bé sĩlɛ mɔɲu.
3) sam asɛgɛ-jiru hatu sárà
4) eju mà bɛru
5) ɛ̃ŋgɛrɛ mà bɛru  [ɛwɛ bé bɛ̀rɛ̀kɔɔrɔ màa ko dɔn bonŋo lɔgɔ gay-yɛ]
6) cɛ-toy ɛju bé bɛru
7)  cɛ-toy ɛju bé dãy ko baa-kɔ jin màbɛru  [ɛwɛ bé bɛ̀rɛ̀kɔɔrɔ màa ko dɔn bonŋo lɔgɔ gay-yɛ].
8) cɛ dɛ̃rɛ̃ ɲunuŋu bé porodi bè wɔ-ra mà bɛru
9) birɛ-birɛm màsey
10) masĩ bé /niɲe bé máa asɛgɛ bé/ bírɛ́ bè bìrɛ̀bé bɛru
11) esãsu máa curãŋ kò niɲe birɛ-biru bè jɔnɔ mà bɛru
12) eju ɛjɛ
13) nii cɛ bè sɔrɔ mà kɔɔrɔ / ãrãmirẽ-nii
14) sɔru joo / nii
15)ɲen mà bɛru
16)laga
17)JUGƆ-GO WA
18)BÈ YƆWƆ-LI</t>
        </is>
      </c>
      <c r="K103" s="96">
        <f>LEN(J103)</f>
        <v/>
      </c>
      <c r="L103" s="185" t="inlineStr">
        <is>
          <t>Heeniŋo dumiizey daŋyoŋo ga sendey foyoŋ no er huwo du ?
[HÃKA: ZAABEY GU BA KAŊ I GU HINI KU NO . ER MU SAMBU WEY KAŊYOŊ GU KOY NDU HÃYOŊO KAŊYOŊ NO BORA ZAABI].
1)dummizey zaŋa
2)balawey kaŋ dumiizey ŋa [ndu kirizey].
3)almeney taŋendo
4)borey ndu hayey kulu gu hini ku koy nongoro ga
5)angera duuro Accès aux engrais [a si hebo ga wala bine a nooro gu caada]
6)dumiize henna duuro
7)dumiize henna duuro su faala[boro su duwa hebo ga/ a nooro gu caada]
8)tuuriizey seferma duuro
9)goyteerey duuro
10)masiney duuro/ goyjiney wala almeney kaŋ gu goy
11)asanso ndu kuraŋo kaŋ gu naŋ masino  kaŋ gu goyey te mu tun.
12)farugandey hasara 
13)haro kaŋ gu zuru ku hure gootey ga ku du ku dumiizey haŋendi ndu harukeyey jaŋa
14)haro/ gootey gu ba
15)garow ku du ku to nongoro do
16)i foyoŋ
17)EY SU BEY
18)WENGE</t>
        </is>
      </c>
      <c r="M103" s="27">
        <f>LEN(L103)</f>
        <v/>
      </c>
      <c r="N103" s="185" t="inlineStr">
        <is>
          <t>Mamos asahat wa igrawan amazaɣ nawan ɣur ugud wan igitan ən sigyak ɣur ugud wan ewelan ?
[ƏMASESTƏN: ILIƔITAN AJOTNEN ADOBEN. AKIS TABARATEN TI ANIHAGANEN ƏD AMAS ƏN SALAN WI ƏFAN ADINAT WI ATIWASASTANEN].
1)Torhina tan hiškan 
2)Torhina maškan [dǎɣ ahan əgdad]
3)Asamadon əs waratwaga aniyat
4)Ugiš ən edag
5)Agaraw ən abarji [winan tila dǎɣ hebutan meɣ asuk ənes asohat hulen] 
6)Agaraw ən siduma wi iknanen
7)Agaraw ən siduma əs ajit igdahnen [winan iha hebutan meɣ asuk asohen hulen]
8)Agaraw ən boznatan
9)Agaraw ən mašaɣalan 
10)Agaraw ən mašintan/ ilalan meɣ arizeg wan agayak
11)Agaraw ən karbira meɣ qoran fal asišiɣil ən ilalan wi sigyak 
12)Aɣašad ən akal 
13)Iba naman wi asəsu / ən agina 
14)Asəsu ajen /aman
15)Agaraw ən amarwas
16)Iyad
17)WARISENAƔ
18)UGAY</t>
        </is>
      </c>
      <c r="O103" s="27">
        <f>LEN(N103)</f>
        <v/>
      </c>
      <c r="P103" s="185" t="inlineStr">
        <is>
          <t>Tiiɗormaaji oye ɓaade mooɗon hawri banngal demal nder ceeɗu? 
[GOLLOOWO : JAABUUJI KEEWƊI NA MBAAWI JAƁEEDE. SUƁA JAABUUJI ƁURUƊI HAWRUDE E KIBAARUUJI ƊI LAMNDAAƁE ƁEN KOKKI]. 
1) Nyawu leɗɗe 
2) Nyawu ndaaɓoowu leɗɗe [faa tawti e pooli]. 
3) Bononda daabaaji
4) Tiiɗormaaji heɓugol nokku
5) Tiiɗormaaji heɓugol birgiiji [ngalaa nder luuɓe maa coogguuji ɗin tiiɗi] 
6) Tiiɗormaaji heɓugol awdiiri lobbiri 
7) Nyakugol awdiiriiji lobbi [ngalaa nder luuɓe maa ceede muuɗum keewu sanne]. 
8) Tiiɗormaaji heɓugol ko fuufetee demal
9) Tiiɗormaaji heɓugol wallitooɓe golle
10) Tiiɗormaaji heɓugol masinaaji gollooji / gineeji maa daabaaji demooji. 
11) Tiiɗormaaji heɓugol esansi maa yiite kuura faa gollitoroo banngal demal. 
12) Heefagol leydi 
13) Rafi ndiyam mbiccirɗam demal/ ƴuwoonde 
14) Mbiccirɗam mbittitiiɗam / ndiyam 
15) Tiiɗormaaji heɓugol nyamaale
16)Goɗɗum
17)ANNDA 
18)SALAADE</t>
        </is>
      </c>
      <c r="Q103" s="27">
        <f>LEN(P103)</f>
        <v/>
      </c>
      <c r="R103" s="181" t="inlineStr">
        <is>
          <t xml:space="preserve">Select All That Apply </t>
        </is>
      </c>
      <c r="S103" s="96" t="inlineStr">
        <is>
          <t>NA</t>
        </is>
      </c>
      <c r="T103" s="96" t="inlineStr">
        <is>
          <t>NA</t>
        </is>
      </c>
      <c r="U103" s="96" t="inlineStr">
        <is>
          <t>Form Type - Checklist
17,18= IsNone</t>
        </is>
      </c>
      <c r="V103" s="4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W103" s="99" t="inlineStr">
        <is>
          <t>1-18 = crp_storage</t>
        </is>
      </c>
      <c r="X103" s="639" t="n"/>
      <c r="Y103" s="311" t="inlineStr">
        <is>
          <t>if crp_proddif_2 = 1-15, go to [crp_salesmain OR crp_storage OR crp_all]</t>
        </is>
      </c>
      <c r="Z103" s="87" t="n"/>
      <c r="AA103" s="66" t="inlineStr">
        <is>
          <t>resp_age = 18-100
(hh_agricactivity = 1 | 3) | (income_main_cropcheck = 1) | (income_sec_cropcheck = 1) | (income_third_cropcheck = 1) 
quotareached = 2
crp_proddif_1 =  1</t>
        </is>
      </c>
      <c r="AB103" s="67" t="n"/>
      <c r="AC103" s="111" t="n">
        <v>37.52328872680664</v>
      </c>
      <c r="AD103" s="280">
        <f>#REF!</f>
        <v/>
      </c>
      <c r="AE103" s="111">
        <f>AC103*AD103</f>
        <v/>
      </c>
    </row>
    <row r="104" ht="409.6" customHeight="1">
      <c r="A104" s="88">
        <f>A103+1</f>
        <v/>
      </c>
      <c r="B104" s="154" t="inlineStr">
        <is>
          <t>crp_storage</t>
        </is>
      </c>
      <c r="C104" s="155" t="inlineStr">
        <is>
          <t>crp_storage</t>
        </is>
      </c>
      <c r="D104" s="278" t="inlineStr">
        <is>
          <t>Last year, what proportion of your {crp_main} stock did you lose [to pests, rotting, mould, etc.] after the harvest?
[OPERATOR: SINGLE RESPONSE.]
1)None
2)A little
3)An important part of it but less than half
4)Most of it [half or more]
5)Almost everything 
6)Everything
7)DON'T KNOW
8)REFUSED</t>
        </is>
      </c>
      <c r="E104" s="156">
        <f>LEN(D104)</f>
        <v/>
      </c>
      <c r="F104" s="278" t="inlineStr">
        <is>
          <t>L'année dernière, quelle part du stock de votre {crp_main} avez-vous perdue [en raison des parasites, de la pourriture, de la moisissure, etc.] après la récolte?
[OPÉRATEUR/OPÉRATRICE: RÉPONSE UNIQUE.]
1)Aucune
2)Une petite part
3)Une part importante mais moins de la moitié
4)Une grande part [la moitié ou plus]
5)La presque totalité 
6)La totalité
7)NE SAIT PAS
8)REFUSÉ</t>
        </is>
      </c>
      <c r="G104" s="156">
        <f>LEN(F104)</f>
        <v/>
      </c>
      <c r="H104" s="28" t="inlineStr">
        <is>
          <t>Salon, aw ka {crp_main} dama joli lo cɛna [fɛnɲɛnama ye min tiɲɛ, minw tolila] suman kɔ fɛ?
[NIENIGALI KÈLA: DIABI KELEN]
1)Foyi. 
2)Dɔɔni. 
3)A faanba ng’a ma tilancɛ bɔ. 
4)A faanba bɛɛ [a tilancɛ wala ka tɛmɛ o kan yɛrɛ]. 
5)A tɔɔ ma to caaman. 
6)A bɛɛ 
7)NE MA DON
8)A BAN NA</t>
        </is>
      </c>
      <c r="I104" s="156">
        <f>LEN(H104)</f>
        <v/>
      </c>
      <c r="J104" s="28" t="inlineStr">
        <is>
          <t>Gaaru,  e {crp_main} mà deenu bɛ̀rɛ̀ hadu yɔkɔ tɔɔn-i eru ɛrɛ wà [cicɛɛ ĩ bée ɔy, pusugo,  kò ijin mà cɛɛ mɔɲu laga bè ɲɔwɔ̃ tɛwɛ]? 
[BIRƐ MA KŨ BAŋA : UɟURU KƆ TURU LE BE SAA-I]
1)Ko turu kãrã kɔrɔ. 
2)Dagaa-i kɔ. 
3)Boŋo kɔ ngaa ko cicɛnɛ dɔɔgo. 
4)Ko ɟɛrɛ boŋo-i [ko cicɛnɛ maa kol le ire].
 5)Ko soj le dagaa-i ɲaka. 
6)Soj
7)ɟUGƆGO
8)JƆWƆLI</t>
        </is>
      </c>
      <c r="K104" s="156">
        <f>LEN(J104)</f>
        <v/>
      </c>
      <c r="L104" s="28" t="inlineStr">
        <is>
          <t>Manaŋ, un ŋaaro dimma fo no {crp_main}  ku hasara kaŋ un booka lay[wey kaŋ nooni, wey kaŋ fumbu ku hasara wala i bungesso, wkc]?
[HANKOYO:  MACHI TA KA HAR DJAABI FO]
1)Humba ifo  
2)Keyna 
3)Ag ba de a su to fersimo 
4)I boobo kul [fersimo wala ag bissa]
 5)A baku to a kul 
6)A kul 
7) A CHI BEY
8) A WANDJI</t>
        </is>
      </c>
      <c r="M104" s="156">
        <f>LEN(L104)</f>
        <v/>
      </c>
      <c r="N104" s="28" t="inlineStr">
        <is>
          <t xml:space="preserve">Awatay wahin okayan, əndek aniket ən asidiw nawan {crp_main} akawan igmadan [ igan əs parazitan, ən ataɣam, tahizaq, iyad.
[EMASESTƏN : ALƏƔI IYANDAƔ].
1)Wala iyan. 
2)Andiran. 
3)Tasaga tinfat mašan ifnaz ye tizune. 
4)Ta togarat tasaga [tazune meɣ  ogaran]. 
5)Ibrok dak. 
6)Dak
7)WARISENAƔ. 
8)UGAY </t>
        </is>
      </c>
      <c r="O104" s="156">
        <f>LEN(N104)</f>
        <v/>
      </c>
      <c r="P104" s="28" t="inlineStr">
        <is>
          <t>Rawanen, ayka ndesaa neemaaji mooɗon foti {crp_main} mursu-ɗon [saabee nyawu, bonugol neema, fuunugol, e ko nandi e muuɗum yaade?
[GOLLOOWO : JAWAABU GOOTO].
1)Faay gootum. 
2)Seeɗa. 
3)Ko ɗuuɗi ammaa fotaay feccere. 
4)Ko ɓuri heewde fuh [Feccere maa ko ɓuri noon]. 
5)Seɗɗa tan heddii. 
6)Fuh.
7)ANNDA 
8)SALAADE</t>
        </is>
      </c>
      <c r="Q104" s="156">
        <f>LEN(P104)</f>
        <v/>
      </c>
      <c r="R104" s="158" t="inlineStr">
        <is>
          <t>Single Choice</t>
        </is>
      </c>
      <c r="S104" s="156" t="inlineStr">
        <is>
          <t>NA</t>
        </is>
      </c>
      <c r="T104" s="158" t="inlineStr">
        <is>
          <t>Send if "crp_main" "Equals" "Rice" Or "crp_main" "Equals" "Wheat" Or "crp_main" "Equals" "Millet" Or "crp_main" "Equals" "Sorghum" Or "crp_main" "Equals" "Maize" Or "crp_main" "Equals" "Potatoe" Or "crp_main" "Equals" "Tomatoes" Or "crp_main" "Equals" "Haricot" Or "crp_main" "Equals" "Groundnut/peanut" Or "crp_main" "Equals" "Cotton" Or "crp_main" "Equals" "Barley" Or "crp_main" "Equals" "Other Cereal" Or "crp_main" "Equals" "Cassava"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"Cucumber" Or "crp_main" "Equals" "Pumpkin" Or "crp_main" "Equals" "Eggplant/aubergine" Or "crp_main" "Equals" "Zucchini" Or "crp_main" "Equals" "Okra" Or "crp_main" "Equals" "Bell pepper" Or "crp_main" "Equals" "Onions"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"Rubber" Or "crp_main" "Equals" "Jute" Or "crp_main" "Equals" "Fodder" Or "crp_main" "Equals" "Tobacco" Or "crp_main" "Equals" "Qat" if not satisfied go to "crp_salesmain"</t>
        </is>
      </c>
      <c r="U104" s="156" t="inlineStr">
        <is>
          <t>Form Type - Buttons</t>
        </is>
      </c>
      <c r="V104" s="40" t="inlineStr">
        <is>
          <t>NA</t>
        </is>
      </c>
      <c r="W104" s="496" t="inlineStr">
        <is>
          <t>1-8 = crp_salesmain</t>
        </is>
      </c>
      <c r="X104" s="430" t="n"/>
      <c r="Y104" s="381"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crp_all</t>
        </is>
      </c>
      <c r="Z104" s="87" t="n"/>
      <c r="AA104" s="66" t="inlineStr">
        <is>
          <t>resp_age = 18-100
(hh_agricactivity = 1 | 3) | (income_main_cropcheck = 1) | (income_sec_cropcheck = 1) | (income_third_cropcheck = 1) 
quotareached = 2</t>
        </is>
      </c>
      <c r="AB104" s="67" t="n"/>
      <c r="AC104" s="45" t="n">
        <v>17</v>
      </c>
      <c r="AD104" s="280">
        <f>#REF!</f>
        <v/>
      </c>
      <c r="AE104" s="45">
        <f>AC104*AD104</f>
        <v/>
      </c>
    </row>
    <row r="105" ht="45.5" customFormat="1" customHeight="1" s="616" thickBot="1">
      <c r="A105" s="567">
        <f>A104+1</f>
        <v/>
      </c>
      <c r="B105" s="640" t="inlineStr">
        <is>
          <t>crp_all</t>
        </is>
      </c>
      <c r="C105" s="641" t="inlineStr">
        <is>
          <t>crp_all_[name of crop as per crop list]</t>
        </is>
      </c>
      <c r="D105" s="642" t="inlineStr">
        <is>
          <t>Do you cultivate any other crops aside from {crp_main}, and if so which ones?
[OPERATOR: "No other crop" APPEARS AT THE END OF THE LIST OF OPTIONS. SELECT ALL CROPS LISTED BY THE RESPONDENT.]
1)No other crops
2)DON'T KNOW
3)REFUSED</t>
        </is>
      </c>
      <c r="E105" s="643">
        <f>LEN(D105)</f>
        <v/>
      </c>
      <c r="F105" s="642" t="inlineStr">
        <is>
          <t>Pratiquez-vous d'autres cultures en dehors de {crp_main}, et si oui, lesquelles ?
[OPERATEUR /OPÉRATRICE: "Pas d'autre culture" FIGURE DANS LES DERNIÈRES OPTIONS DE RÉPONSE. SÉLECTIONNER TOUTES LES CULTURES LISTÉES PAR LE RÉPONDANT.]
1)Pas d'autre culture
2)NE SAIT PAS
3)REFUSÉ</t>
        </is>
      </c>
      <c r="G105" s="644">
        <f>LEN(F105)</f>
        <v/>
      </c>
      <c r="H105" s="645" t="inlineStr">
        <is>
          <t>Aw be sɛnɛ wɛrɛ kɛ {crp_main} baara kɔfɛ wa, ni ɔwɔ o ye jumɛw de ye? 
[SƆRƆBATIGI:AN TE SƐNƐ WƐRƐ KƐRA. BE YE SUGUNDILENW LABAN NA. SƐGƐSƐGƐLEN YE SƐNƐ MINW BƐƐ FƆ, OLU BƐƐ SƐBƐ]. 
1)An te sɛnɛ wɛrɛ kɛra. 
2)NE MA DON
3)A BAN NA</t>
        </is>
      </c>
      <c r="I105" s="643">
        <f>LEN(H105)</f>
        <v/>
      </c>
      <c r="J105" s="645" t="inlineStr">
        <is>
          <t>{crp_main} nuŋo laa cɛ laga jɛ warara be? ee ɟɛ be ley na jɔ-kɔ-i?
[BIRƐ MA KŨ BAŋA : WARU MA SII LAGA KÃ DOɟU LE KƆRƆ. E KASAAN SIFƐ MA DÃJ TƆ̃ŋƆ̃]. 
1)Cɛ turu kãrã warara la.
2)ɟUGƆGO
3)JƆWƆLI</t>
        </is>
      </c>
      <c r="K105" s="643">
        <f>LEN(J105)</f>
        <v/>
      </c>
      <c r="L105" s="645" t="inlineStr">
        <is>
          <t>Er dumizey fo yong faaru kan matu wo kir ne {crp_main}, wey foo yong no ?
[HANKAA : FARIM FO KUL SI. A GU FATA SUBAANEY BANDE. HANTUM FARIM IREY  KUL KAN NO BOORA NE ].
1)Farim fo kul si
2) A CHI BEY
3) A WANDJI</t>
        </is>
      </c>
      <c r="M105" s="644">
        <f>LEN(L105)</f>
        <v/>
      </c>
      <c r="N105" s="645" t="inlineStr">
        <is>
          <t xml:space="preserve">Yala tagam iyad isiduma winana iha {crp_main} əd afal iya indekan?
[EMASESTƏN: Wala iyan asigyik. ADIZAGARAN DAƔ SAMANDO ƏN ƏSMAWAN ƏN TABARATEN. AKISAT HADI ƏN SIGYAK KUL WI IFA WAYSIDMURAN].
1) Wala iyan asigyik 
2)WARISENAƔ. 
3)UGAY </t>
        </is>
      </c>
      <c r="O105" s="644">
        <f>LEN(N105)</f>
        <v/>
      </c>
      <c r="P105" s="646" t="inlineStr">
        <is>
          <t>Yalle na on golla goɗɗum ko ɗe golle so non {crp_main}, ni kollaakam?
[GOLLOOWO :"Gollal jaagu fay gootal" NA TAWEE HANTOODE LIMTOL KOLLOOWOL CUƁEE DAABAAJI ƊI JAABOTOOƊO 'O LIMTI].
1)Gollal jaagu fay gootal
2)ANNDA 
3)SALAADE</t>
        </is>
      </c>
      <c r="Q105" s="644">
        <f>LEN(P105)</f>
        <v/>
      </c>
      <c r="R105" s="647" t="inlineStr">
        <is>
          <t>Select All That Apply</t>
        </is>
      </c>
      <c r="S105" s="643" t="inlineStr">
        <is>
          <t>NA</t>
        </is>
      </c>
      <c r="T105" s="648" t="inlineStr">
        <is>
          <t>NA</t>
        </is>
      </c>
      <c r="U105" s="643" t="inlineStr">
        <is>
          <t>Form Type - Checklist
Included unselected "crp_main"
1,2,3= IsNone</t>
        </is>
      </c>
      <c r="V105" s="649" t="inlineStr">
        <is>
          <t>NA</t>
        </is>
      </c>
      <c r="W105" s="650" t="inlineStr">
        <is>
          <t>Dynamic = crp_salesmain
1-3 = crp_salesmain</t>
        </is>
      </c>
      <c r="X105" s="651" t="inlineStr">
        <is>
          <t>AY: This question is not in the validated questionnaire hence has been removed</t>
        </is>
      </c>
      <c r="Y105" s="652" t="inlineStr">
        <is>
          <t>For any response to crp_all, go to crp_salesmain</t>
        </is>
      </c>
      <c r="Z105" s="653" t="n"/>
      <c r="AA105" s="654" t="inlineStr">
        <is>
          <t xml:space="preserve">resp_age = 18-100
(hh_agricactivity = 1 | 3) | (income_main_cropcheck = 1) | (income_sec_cropcheck = 1) | (income_third_cropcheck = 1) 
quotareached = 2
crp_all = 1 </t>
        </is>
      </c>
      <c r="AB105" s="637" t="n"/>
      <c r="AC105" s="655" t="n">
        <v>17</v>
      </c>
      <c r="AD105" s="615">
        <f>#REF!</f>
        <v/>
      </c>
      <c r="AE105" s="655">
        <f>AC105*AD105</f>
        <v/>
      </c>
    </row>
    <row r="106" ht="20" customHeight="1" thickBot="1">
      <c r="A106" s="708" t="inlineStr">
        <is>
          <t>D. CROP MARKETING</t>
        </is>
      </c>
      <c r="B106" s="739" t="n"/>
      <c r="C106" s="739" t="n"/>
      <c r="D106" s="739" t="n"/>
      <c r="E106" s="739" t="n"/>
      <c r="F106" s="739" t="n"/>
      <c r="G106" s="739" t="n"/>
      <c r="H106" s="739" t="n"/>
      <c r="I106" s="739" t="n"/>
      <c r="J106" s="739" t="n"/>
      <c r="K106" s="739" t="n"/>
      <c r="L106" s="739" t="n"/>
      <c r="M106" s="739" t="n"/>
      <c r="N106" s="739" t="n"/>
      <c r="O106" s="739" t="n"/>
      <c r="P106" s="739" t="n"/>
      <c r="Q106" s="739" t="n"/>
      <c r="R106" s="739" t="n"/>
      <c r="S106" s="739" t="n"/>
      <c r="T106" s="739" t="n"/>
      <c r="U106" s="739" t="n"/>
      <c r="V106" s="739" t="n"/>
      <c r="W106" s="739" t="n"/>
      <c r="X106" s="739" t="n"/>
      <c r="Y106" s="739" t="n"/>
      <c r="Z106" s="739" t="n"/>
      <c r="AA106" s="740" t="n"/>
      <c r="AB106" s="150" t="n"/>
      <c r="AC106" s="45" t="n"/>
      <c r="AD106" s="280">
        <f>#REF!</f>
        <v/>
      </c>
      <c r="AE106" s="45">
        <f>AC106*AD106</f>
        <v/>
      </c>
    </row>
    <row r="107" ht="409.6" customHeight="1">
      <c r="A107" s="334">
        <f>A103+1</f>
        <v/>
      </c>
      <c r="B107" s="36" t="inlineStr">
        <is>
          <t>crp_salesmain</t>
        </is>
      </c>
      <c r="C107" s="37" t="inlineStr">
        <is>
          <t>crp_salesmain</t>
        </is>
      </c>
      <c r="D107" s="341" t="inlineStr">
        <is>
          <t>What has been the main crop that you have sold over the last 3 months?
[OPERATOR: "No crop sold in the last 3 months" APPEARS AT THE END OF THE LIST OF OPTIONS. SELECT ALL CROPS LISTED BY THE RESPONDENT.]
1)Wheat
2)Millet
3)Sorghum
4)Maize
5)Potatoe
6)Tomatoes
7)Haricot
8)Groundnut/peanut
9)Cotton
10)Rice
11)Barley
12)Other Cereal
13)Cassava
14)Sweet Potatoes
15)Yams
16)Carrots
17)Cocoyam
18)Other tubers
19)Beans
20)Lentils
21)Peas
22)Soybeans
23)Chickpeas
24)Fava beans
25)Broad beans
26)Other pulses
27)Cabbage
28)Lettuce
29)Spinach-Amaranth
30)Cassava leaves
31)Potatoe leaves
32)Moringa
33)Sorrel Hibiscus / Rosselle
34)Green salad herbs [thyme, parsley, mint, rocca, other]
35)Cauliflower
36)Other leafy vegetables
37)Cucumber
38)Pumpkin
39)Eggplant/aubergine
40)Zucchini
41)Okra
42)Bell pepper
43)Onions
44)Green peas
45)Fava beans green
46)Other non leafy vegs
47)Orange
48)Lemon
49)Grapefruit
50)Mandarins/clementines
51)Other citrus fruit
52)Sweet Banana
53)Plantains
54)Papaya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80)Coffee
81)Tea
82)Sugarcane
83)Sunflower
84)Other food cash crop
85)Rubber
86)Jute
87)Fodder
88)Tobacco
89)Qat
90)Other non-food cash crop
92)DON'T KNOW
93)REFUSED</t>
        </is>
      </c>
      <c r="E107" s="39">
        <f>LEN(D107)</f>
        <v/>
      </c>
      <c r="F107" s="342" t="inlineStr">
        <is>
          <t>Quelle a été la principale récolte que vous avez vendue au cours des 3 derniers mois 
[OPERATEUR /OPÉRATRICE: "Pas de culture vendue sur les 3 derniers mois" FIGURE DANS LES DERNIÈRES OPTIONS DE RÉPONSE. SÉLECTIONNER TOUTES LES CULTURES LISTÉES PAR LE RÉPONDANT.]
1)Blé
2)Mil
3)Sorgho
4)Maïs
5)Pommes de terre
6)Tomates
7)Haricot 
8)Arachide / cacahuète
9)Coton
10)Riz
11)Orge
12)Autres céréales
13)Manioc
14)Patates douces
15)Ignames
16)Carottes
17)Chou caraïbe
18)Autres tubercules
19)Haricots
20)Lentilles
21)Pois
22)Soja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37)Concombre
38)Citrouille
39)Aubergines/aubergines
40)Courgettes
41)Okra
42)Poivrons
43)Oignons
44)Petit pois
45)Pois fève
46)Autres légumes non feuillus
47)Orange
48)Citron
49)Pamplemousse
50)Tangerine/clémentine
51)Autres agrumes
52)Banane douce
53)Banane plantain
54)Papaye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80)Café
81)Thé
82)Canne à sucre
83)Tournesol
84)Autres cultures vivrières de rente
85)Caoutchouc
86)Jute
87)Fourrage
88)Tabac
89)Qat
90)Autre culture de rente non alimentaire
92)NE SAIT PAS
93)REFUSÉ</t>
        </is>
      </c>
      <c r="G107" s="39">
        <f>LEN(F107)</f>
        <v/>
      </c>
      <c r="H107" s="51" t="inlineStr">
        <is>
          <t>Aw ye sɛnɛfɛn jumɛn de feere kalo 3 tɛmɛnin kɔnɔ?  
[SƆRƆBATIGI:AN MA SƐNƐFƐN FOYI FEERE KALO 3 TƐMƐNIN KƆNƆ. BE YE SUGUNDILENW LABAN NA. SƐGƐSƐGƐLEN YE SƐNƐ MINW BƐƐ FƆ, OLU BƐƐ WOLOMA].
1)Kini
2)Alkama
3)ɲɔ
4)ɲɔn ba
5)Kaba
6)Pɔm de tɛɛr
7)Tomati
8)Siyɔ
9)Tigɛn
10)Kɔɔri
11)ɔrzi
12)Suman wɛrɛ
13)Bandaka
14)Wosso
15)Ku
16)karɔti
17)Taaro
18)Other tubers
19)Siyɔ wɛrɛ
20)Lantiye
21)Tigɛnankuru
22)Soza
23)Pwa sich
24)Favo siyɔ
25)Siyɔ baw
26)siyɔ suguya wɛrɛ
27)Suu
28)Leti
29)Epinaar Aramanth
30)Bandako flaburu
31)Woso bulu
32)Aljana yiri
33)Bisapi fulɛrɛ
34)Bulu ɲagaminin [tim/ persili/ mant/ rocca/ other]
35)Kiliflɛri
36)Nanfɛnkɛnɛ bulu wɛrɛw
37)Kɔkɔ/buru
38)Gɔyɔ
39)Obɛrzini
40)Zuckin
41)Gan
42)Foronto ba
43)Jaba
44)Tigɛnankuru binkɛnɛman
45)Binkɛnɛma Fava siq
46)Nankɔfɛn w
47)Lemuruba
48)Lebru
49)Rɛzxn
50)Mandarini/klemantinni
51)Agurm wɛrr
52)Baranda
53)Baranda plantain
54)Papay
55)Mango
56)Guyaave
57)Anana
58)Avoka
59)Pasitɛki
60)Tamaro
61)Fig yiti
62)Rɛzxn sugya wɛrɛ
63)Olivuw
64)Pɔù
65)Apriko
66)Ceriz
67)Pɛsi
68)Frɛzi
69)Kantalup Melɔ
70)Yiridenw wɛrɛ
71)Kɔki denw
72)Pɔm Kaazu
73)Woro
74)Bɛnx
75)Gouanzu
76)Amandi
77)Muriye
78)Nwa wɛrɛ
79)Kakao
80)Kafe
81)Atayi
82)Sukaro
83)Turnesɔli
84)Suman wɛrɛ
85)Mana
86)Bɔrɔ
87)Bagan Dumuni
88)Sira
89)Koati
90)Suman min tɛ dumu
91)An ma sɛnɛfɛn foyi feere kalo 3 tɛmɛnin kɔnɔ
92)NE MA DON
93)A BAN NA</t>
        </is>
      </c>
      <c r="I107" s="39">
        <f>LEN(H107)</f>
        <v/>
      </c>
      <c r="J107" s="51" t="inlineStr">
        <is>
          <t>Ãrãkuɟu taan dũwõ mi gara bɛrɛ, dɛ̃rɛ̃ jɔ-kɔ-i dɔ̃rɔ̃ be ?
[BIRƐ MA KŨ BAŋA : Ɛɛ 3 duwõ mi gara bɛrɛ, dɛ̃rɛ̃ laga dɔ̃nli ba. KO URO ɟO-I BA. E KASAAN URO TEGE KƐW MA MANA LƐɟƐ].
1) árá
2) Alikama
3) ɲú
4) ɛ́mɛ̀
5) Póròwoɲú
6) Pɔ́m-dè-tɛ́rù
7) Támàtú bé
8) Nǐm
9) ɛ́ɛrɛ́
10) Nàam
11) ɔrusu
12) dɛ̃rɛ̃ lágá bé
13) Bana-ku
14) Wósó bé
15) Kú
16) Anaasaara-górò
17) Kokoyam
18) Dɛ̃rɛ̃ ijibay bɔrɔ mine narã laga bé
19) Nǐm bé
20) Anaasaara ɛ̀rɛ̀
21) ɛ́ɛrɛ́na
22) Sóʒá
23) Pwa sisu
24) Anaasaara nǐm bé
25) Fɛbu
26) tĩwẽ mà jey jin dɛ̃rɛ̃ laga bé
27) Sû
28) Salaatu
29) Epinaaru-amarãntu
30) Banacu mà kurɔ
31) Pɔm-de-tɛru mà kurɔ
32) Arjɛnɛ-tĩwẽ mà kurɔ
33) Bisapu / rosɛl
34)ɔyɔ salaatu bɛ̀rɛ̀ bè kunaa-rã bé [tim-tim/ pɛrsin/ mantu/ roku/ kin mà ɔyɔ laga]
35)Sú-kulɛru
36) Cɛ-kurɔ niŋe bɛ̀rɛ̀ bè kunaa-ra laga bé
37) Anaasara kimsu
38) Anaasara gɔ̃ɔ̃rɔ̃
39) Obɛrʒin / kumba
40) Anaasara kimsu be
41) Póró
42) Puwabru
43) jɔ̃wɔ̃ ĩ
44) Pwa ɔyɔ-ɔru be
45) Fɛbu ɔyɔ-ɔru be
46) Niŋe mà sɔmɔy cɛ-kurɔy laa laga bé
47) lemburu [ɔ̃rɔ̃ɔ̃su]
48) Sitɔ̃rɔ̃
49) lemburu
50) lemburu/ lemburu
51) tĩwẽ ĩ-narũ laga bé
52) Bananna
53)Aloco
54) Papay
55) Mãŋgoro
56) Buyaku
57) Anana
58) Aboka
59) Basitɛku
60) jɔmɔnɔ
61) Pomme
62) Reʒɛ̃
63) Ciwɛ
64) Pɔm
65) Abiriko
66) Anaasara orowo
67) Pɔm ban / pɔm ban
68) Pɛrɛsu bé
69) Gugun [gɔ̃ɔ̃rɔ̃]
70) tĩwẽ-ĩ laga bé
71) Kako
72) Perege
73) Gooro
74) Namɲu
75) ɛ́rɛ́ná
76) Amandi
77) Anaasara perege
78) tĩwẽ-ĩ kow-sà bé
79) Kakaw
80) Capa
81) Atéy
82) Sukɔrɔ ná
83) TuRsɔl
84) Dɛ̃rɛ̃ daaga iɲu ojukaa jɛ bè ɲé-ra laga bé
85) Makka-tĩwẽ
86) Aɲu-bɛrɛŋga
87) Furaʒu
88) Tɔwɔ
89) Katu
90) Dɛ̃rɛ̃ dɔn-sà/ bè ɲé-go laga bé
91)Dɛ̃rɛ̃ kɔrɔ
92)JUGƆ-GO
93)JƆWƆ-LI</t>
        </is>
      </c>
      <c r="K107" s="39">
        <f>LEN(J107)</f>
        <v/>
      </c>
      <c r="L107" s="51" t="inlineStr">
        <is>
          <t>Handu hinzoo kan bisa, farimizey beer fo no er neere ?
[HANKAA : FARIM IZEY  FO KUL MANE NEE HANDU HIINZO KAN BISA S. A GU FATA SUBAANEY BANDE. HANTUM FARIM IREY  KUL KAN NO BOORA CE].
1)Muwa
2)alkamo
3)barga
4)hama
5)Kamanari
6)pomtero
7)tamatto
8)dunguro
9)demse
10)haabo
11)kana
12)dumiizefoyoŋ
13)orogga
14)kudaka
15)dundo
16)karotto
17)koko haro
18)dundu foyoŋ
19)dunguro
20)dunguri kaaniya
21)demsi gundu wargiya
22)soza
23)hanto
24)kankana
25)kankana
26)kopto foyoŋ
27)souwo
28)salaado
29)epinaaro – amaranto
30)orogga koptey
31)pomteero koptey
32)windibundo
33)gisima/armaajo
34)subu yarga kaŋ gu daŋ salaado ga [thym/ persil/ manto/ roku/ ifoyoŋ]
35)su fuleero
36)koptu foyoŋ 
37)konkomburo
38)siturulle
39)oberzinno
40)tabuzzo
41)taya
42)puwavoroŋ
43)albeselo
44)dunguri kettiya
45)feever vertto
46)koptu foyoŋ
47)oranzo
48)sitoroŋo
49)pampelemuso
50)mandaariney -kelmantiney
51)ifiyoŋ
52)bananno
53)baranda
54)papayo
55)manga
56)goyavo
57)anana
58)avoka
59)haro kankana
60)teena
61)jeja
62)saaro
63)oliivo
64)pommo
65)abiriko
66)seriso
67)peese/nektarinno
68)fereezo
69)kana [Cantalupo]Melon
70)tuuriize foyoŋ
71)kooka guro
72)akazuwo guro
73)goora guro
74)lamto
75)bambara guro
76)amando
77)gurey
78)tuuriizey kaŋ go ndu guro
79)kakawo
80)kafaa
81)ataayo
82)kaana
83)weynugano
84)dumiize foyoŋ
85)tewoɲoŋo
86)jutto
87)subo
88)taba
89)katto
90)tuuriizey kaŋ *yoŋ gu nafa kaŋ su ŋa
91)a sindu keydi
92)SU BEY
93)WENGE</t>
        </is>
      </c>
      <c r="M107" s="39">
        <f>LEN(L107)</f>
        <v/>
      </c>
      <c r="N107" s="51" t="inlineStr">
        <is>
          <t xml:space="preserve">Indek wa itbatan asigyik wa šanšemim ɣur daɣ 3 uran wi dokaynen? 
[[EMASESTƏN: Wala iyan warinša ɣur daɣ 3 uran wi dokaynen. ADIZAGARAN DAƔ ƏN ƏSMAWAN ƏN TABARATEN. AKISAT ISIGYAK KUL WI IFA WAYSIDMURAN].].
1)Tafaɣat
2)Ejel
3)Tenalet
4)Aboraɣ
5)Kamanari
6)Orjtan
7)Isiduma iyyad
8)Rogo
9)Pom de terre 
10)Kidaku
11)Takindit
12)Karotan
13)Taarotan
14)iyyad tuberkultan
15)Tanzant
16)Lantiiytan
17)Anshanan
18)Sojatan
19)Anshanan wən əhiəhes
20)Fevetan iyaad 
21)Fevtan 
22)Iyan legumineztan
23)Suutan
24)Letutan
25)Epinardtan-Amarantheran
26)Iliktan ən rogo
27)Iliktan  wən pom de terre
28)Moringatan
29)Ozeyitan Hibiskustan/Rossell
30)Alimoz wa dalen ən salade [ thym/persil/ anaɣnaɣi/ roəəa/iyyade].
31)Suu fleer
32)iyyad legumetan ən liktan
33)Tomati 
34)Elagaztan
35)Sitruyiltan
36)Oberjintan 
37)Elagaaz
38)Gombotan
39)Pwavrontan
40)Albisiltan
41)Tanzant 
42)Anshanan wi dalatnen 
43)Fevetan wi dalatnen
44)iyyad légumetan winan ila iliktan
45)Oranjetan
46)Sitrontan 
47)Bamblemustan
48)Mandarinetan/klementinetan
49)Iyyad argumetan 
50)Bananetan wi ahuskatnen
51)Bananetan Plantenstan
52)Papayatan
53)Mangoro
54)Goyaavetan
55)Ananastan. 
56)Avokatan
57)Bastektan
58)Tehayne
59)Fiigtan
60)Reizentan
61)Olivetan
62)Poomtan
63)Abrikotstan 
64)Seriizitan 
65)Ukis/nektarinetan
66)Freezitan 
67)Melon [kantaalup]
68)Iyyad aratan ən hishkan
69)Kako
70)Sunkam/ kaju
71)Noix wan kaajou
72)Gooro
73)Lamti
74)Birihi/suuma 
75)Amandtan
76)Nowan
77)Iyyad nowantan
78)Kakao
79)Kafi 
80)Atay
81)Kana wan asukar
82)Tatola
83)iyyad əsigyak ən tamudre infanen
84)Habu
85)Mana 
86)Jute
87)Fourraaj
88)Taba 
89)Kowat
90)Iya əsigyak ən tanfo winan eqel ishiska
91)Wala iyan warinša ɣur daɣ 3 uran wi dokaynen
92)WARISENAƔ. 
93)UGAY
</t>
        </is>
      </c>
      <c r="O107" s="39">
        <f>LEN(N107)</f>
        <v/>
      </c>
      <c r="P107" s="51" t="inlineStr">
        <is>
          <t>Ɗume won coggu ko jaagiɗaa ley lebbi 3 sakitiiɗi ɗi?
[GOLLOOWO :"Golla goɗɗum" NA TAWEE HANTOODE LIMTOL KOLLOOWOL CUƁEE DAABAAJI ƊI JAABOTOOƊO 'O LIMTI].
1)Maaro
2)Alkama
3)Ngawri
4)Gawri
5)Kamnaari
6)Orje
7)Ngabbe goɗɗe 
8)Bannda ku
9)Pompo teere
10)Pataat
11)Ku
12)karottis
13)Taaro
14)fuɗngooji goɗɗe
15)Ɲebbe
16)Lantiiye
17)Mbelkoy ndanehoy
18)Sooja
19)Powaa ciis
20)Ɲebbe Fava
21)Ɲebbe Mangal
22)Ɲebbe goɗɗe
23)Suu
24)Salaate
25)Amaarante Epinaare
26)Haakoji bannda ku
27)Haakoji Pomteere
28)Lekki Aljenna 
29)Polle
30)Haakoo salaati  [Haakoji tiim/ Haakoji persil/ Haakoji anana/Haakoji roko/ goɗɗe]
31)Koli
32)Haakoji Goɗɗe
33)Tamatiire
34)kookombru
35)Potiiron
36)Kumbaaje tubakor/Oberjine
37)Zucchini
38)Maanaaje
39)Kaade
40)Albasa
41)Nyeppe
42)Nyebbe ciise
43)Nyebbe Fava
44)Haakoji Nyebbe Goɗɗe 
45)Lemburu Oranje
46)Lemburu lammuɗo
47)Lemburu mbelɗo
48)Lemburu pamaro 
49)Lemburu goɗɗi 
50)Barannda 
51)Barannda aloko
52)Bogofire
53)Mangoro
54)Guyakka
55)Anaana
56)Avoka
57)Paasteke
58)Tamboroohi
59)Yibbere
60)Sibiije
61)Oliive
62)Pom
63)Abriko
64)Seriiji
65)Poaar [poire]
66)Freej
67)Meelon [Kantalup]
68)Ɓiɓɓe leɗɗe goɗɗe 
69)Kokko
70)Sunkaaje
71)Awaade/Pom kaju 
72)Gooro
73)Siiliire
74)Sumaaje/biriihi
75)Kuye
76)Ngeeyu
77)Geeƴi goɗɗi 
78)Kakawu
79)Kaafe
80)Atayi
81)Sikaaro
82)Turnesol
83)Goɗɗi ngaɗanaaɗi jaagu ɗi ɲaamataake 
84)Haabu
85)Mana
86)Botooro
87)Nyaama jawdi
88)Taba
89)Koat
90)Goɗɗi ngaɗanaaɗi jaagu ɗi ɲaamataake 
91)Gollal jaagu fay gootal lebbi 3 fuh.
92)ANNDA 
93)SALAADE.</t>
        </is>
      </c>
      <c r="Q107" s="39">
        <f>LEN(P107)</f>
        <v/>
      </c>
      <c r="R107" s="137" t="inlineStr">
        <is>
          <t>Single Choice</t>
        </is>
      </c>
      <c r="S107" s="39" t="inlineStr">
        <is>
          <t>NA</t>
        </is>
      </c>
      <c r="T107" s="4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U107" s="39" t="inlineStr">
        <is>
          <t>Form Type - Buttons
IsDemographic</t>
        </is>
      </c>
      <c r="V107" s="40" t="inlineStr">
        <is>
          <t>1)1.1
2)1.2
3)1.3
4)1.4
5)1.5
6)2.2
7)5.1
8)5.9
9)8.2
10)10.1
11)1.6
12)1.99
13)2.1
14)2.3
15)2.4
16)2.5
17)2.6
18)2.99
19)3.1
20)3.2
21)3.3
22)3.4
23)3.5
24)3.6
25)3.7
26)3.99
27)4.1
28)4.2
29)4.3
30)4.4
31)4.5
32)4.6
33)4.7
34)4.9
35)4.101
36)4.99
37)5.2
38)5.3
39)5.4
40)5.5
41)5.6
42)5.7
43)5.8
44)5.101
45)5.11
46)5.99
47)6.1
48)6.2
49)6.3
50)6.4
51)6.99
52)7.1
53)7.2
54)7.3
55)7.4
56)7.5
57)7.6
58)7.7
59)7.8
60)7.9
61)7.101
62)7.11
63)7.12
64)7.13
65)7.14
66)7.15
67)7.16
68)7.17
69)7.18
70)7.99
71)8.1
72)8.3
73)8.4
74)8.5
75)8.6
76)8.7
77)8.8
78)8.99
79)9.1
80)9.2
81)9.3
82)9.4
83)9.5
84)9.99
85)10.2
86)10.3
87)10.4
88)10.5
89)10.6
90)10.99</t>
        </is>
      </c>
      <c r="W107" s="41" t="inlineStr">
        <is>
          <t>1-90 = crp_salesdif
91-93 = ls_intro</t>
        </is>
      </c>
      <c r="X107" s="343" t="n"/>
      <c r="Y107" s="30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crp_salesdif_1
If "No crop sold" or "Don't know" or "Refused", go to ls_intro</t>
        </is>
      </c>
      <c r="Z107" s="122" t="n"/>
      <c r="AA107" s="43" t="inlineStr">
        <is>
          <t>resp_age = 18-100
hh_agricactivity = 1 | 2 | 3 | 4
(income_main = 1 | 2 | 3) | (income_sec = 1 | 2 | 3) | (income_third =  1 | 2 | 3) 
quotareached = 2</t>
        </is>
      </c>
      <c r="AB107" s="67" t="n"/>
      <c r="AC107" s="111" t="n">
        <v>27.1</v>
      </c>
      <c r="AD107" s="280">
        <f>#REF!</f>
        <v/>
      </c>
      <c r="AE107" s="111">
        <f>AC107*AD107</f>
        <v/>
      </c>
    </row>
    <row r="108" ht="180" customHeight="1">
      <c r="A108" s="359">
        <f>A107+1</f>
        <v/>
      </c>
      <c r="B108" s="182" t="inlineStr">
        <is>
          <t>crp_salesdif</t>
        </is>
      </c>
      <c r="C108" s="48" t="inlineStr">
        <is>
          <t>crp_salesdif</t>
        </is>
      </c>
      <c r="D108" s="38" t="inlineStr">
        <is>
          <t>Has your household faced any significant difficulty in the last 3 months selling your {crp_salesmain}?
[OPERATOR: SINGLE RESPONSE.]
1)YES
2)NO
3)DON'T KNOW
4)REFUSED</t>
        </is>
      </c>
      <c r="E108" s="39">
        <f>LEN(D108)</f>
        <v/>
      </c>
      <c r="F108" s="53" t="inlineStr">
        <is>
          <t>Au cours des trois derniers mois, votre ménage a-t-il rencontré d'importantes difficultés pour vendre ses récoltes de {crp_salesmain}?
[OPÉRATEUR/OPÉRATRICE: RÉPONSE UNIQUE.]
1)Oui
2)Non
3)NE SAIT PAS
4)REFUSÉ</t>
        </is>
      </c>
      <c r="G108" s="39">
        <f>LEN(F108)</f>
        <v/>
      </c>
      <c r="H108" s="51" t="inlineStr">
        <is>
          <t>Aw gwasomɔgɔw ye gwɛlɛyaba dɔ sɔrɔ kalo 3 tɛmɛni na k’aw {crp_salesmain} feere wa?
[NIENIGALI KÈLA: DIABI KELEN]
1)ƆWƆ 
2)AYI 
3)NE MA DON
4)A BAN NA</t>
        </is>
      </c>
      <c r="I108" s="39">
        <f>LEN(H108)</f>
        <v/>
      </c>
      <c r="J108" s="51" t="inlineStr">
        <is>
          <t>Ãkuju taan dũwõ bɛrɛ {crp_salesmain} mà dɔ̃rũ mà ojuka nam mɔɲu e uro lé bee-sà maa ?
[BIRƐ MA KŨ BAŋA : UɟURU KƆ TURU LE BE SAA-I]
1)ÉE
2)Ɔ̃-Ɔ̃
3)ɟUGƆGO
4)JƆWƆLI</t>
        </is>
      </c>
      <c r="K108" s="39">
        <f>LEN(J108)</f>
        <v/>
      </c>
      <c r="L108" s="51" t="inlineStr">
        <is>
          <t>Er huwo du sendey handu hĩzey wey ndu cere game kaŋ nu a genji a mu ngu won {crp_salesmain} neere?
[HANKOYO:  MACHI TA KA HAR DJAABI FO]
1) AYYO
2) KALA
3) A CHI BEY
4) A WANDJI</t>
        </is>
      </c>
      <c r="M108" s="39">
        <f>LEN(L108)</f>
        <v/>
      </c>
      <c r="N108" s="51" t="inlineStr">
        <is>
          <t xml:space="preserve">Amazaɣ nawan aqel amuqasan ən asahatan əfanen ɣur dǎɣ karad uran wi dokaynen fal ašiš ən nawan {crp_salesmain}?
[EMASESTƏN : ALƏƔI IYANDAƔ].
1)IYA 
2)BABO.
3)WARISENAƔ. 
4)UGAY </t>
        </is>
      </c>
      <c r="O108" s="39">
        <f>LEN(N108)</f>
        <v/>
      </c>
      <c r="P108" s="82" t="inlineStr">
        <is>
          <t>Ɓaade mooɗon hawrii fuh tiiɗormaaji mawɗi ley lebbi tati cakitiiɗi ɗii banngal  soonnugol {crp_salesmain} mooɗon?
[GOLLOOWO : JAWAABU GOOTO].
1)AYYO 
2)AA'A. 
3)ANNDA 
4)SALAADE</t>
        </is>
      </c>
      <c r="Q108" s="39">
        <f>LEN(P108)</f>
        <v/>
      </c>
      <c r="R108" s="137" t="inlineStr">
        <is>
          <t>Single Choice</t>
        </is>
      </c>
      <c r="S108" s="39" t="inlineStr">
        <is>
          <t>NA</t>
        </is>
      </c>
      <c r="T108" s="48" t="inlineStr">
        <is>
          <t>NA</t>
        </is>
      </c>
      <c r="U108" s="39" t="inlineStr">
        <is>
          <t>Form Type - Buttons</t>
        </is>
      </c>
      <c r="V108" s="40" t="inlineStr">
        <is>
          <t>NA</t>
        </is>
      </c>
      <c r="W108" s="41" t="inlineStr">
        <is>
          <t>1 = crp_salesdif_2
2-4 = crp_salesprice</t>
        </is>
      </c>
      <c r="X108" s="319" t="n"/>
      <c r="Y108" s="302" t="inlineStr">
        <is>
          <t>if crp_salesdif_1 = 1, go to crp_salesdif_2 ; 
if crp_salesdif_1 = 2-4, go to crp_salesprice</t>
        </is>
      </c>
      <c r="Z108" s="122" t="n"/>
      <c r="AA108" s="43" t="inlineStr">
        <is>
          <t>resp_age = 18-100
hh_agricactivity = 1 | 2 | 3 | 4
(income_main = 1 | 2 | 3) | (income_sec = 1 | 2 | 3) | (income_third =  1 | 2 | 3) 
quotareached = 2
crp_salesmain = 1-90</t>
        </is>
      </c>
      <c r="AB108" s="55" t="n"/>
      <c r="AC108" s="111" t="n">
        <v>12.68148708343506</v>
      </c>
      <c r="AD108" s="280">
        <f>#REF!</f>
        <v/>
      </c>
      <c r="AE108" s="111">
        <f>AC108*AD108</f>
        <v/>
      </c>
    </row>
    <row r="109" ht="375.75" customHeight="1">
      <c r="A109" s="359">
        <f>A108+1</f>
        <v/>
      </c>
      <c r="B109" s="56" t="inlineStr">
        <is>
          <t>crp_salesdif_2</t>
        </is>
      </c>
      <c r="C109" s="48" t="inlineStr">
        <is>
          <t>crp_saledif_
1) crp_saledif_marketing_cost
2) crp_saledif_damage_losses
3) crp_saledif_low_demand
4) crp_saledif_pay_delay
5) crp_saledif_low_price
6) crp_saledif_processing
7) crp_saledif_competition
8) crp_saledif_other
9) crp_saledif_dk
10) crp_saledif_ref</t>
        </is>
      </c>
      <c r="D109" s="164" t="inlineStr">
        <is>
          <t>Which difficulties has your household faced in the last 3 months when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09" s="39">
        <f>LEN(D109)</f>
        <v/>
      </c>
      <c r="F109" s="82" t="inlineStr">
        <is>
          <t>Quelles difficultés votre ménage a-t-il rencontrées au cours des trois derniers mois pour vendre ses cultures principales, {crp_salesmain} ?
[OPÉRATEUR/OPÉRATRICE: PLUSIEURS RÉPONSES POSSIBLES. SÉLECTIONNER LA OU LES OPTIONS QUI CORRESPONDENT LE MIEUX AUX INFORMATIONS PROPOSÉES PAR LE RÉPONDANT.]
1)Coûts de transport élevés ou autres coûts de commercialisation
2)Dommages et pertes dus à des difficultés de stockage et/ou à des difficultés d'accès au marché [par ex. insécurité/ mauvaise infrastructure/ etc.]
3)Manque de demande des commerçants ou acheteurs habituels
4)Retards de paiement des commerçants / acheteurs
5)Prix de vente bas [par ex. par rapport aux prix des intrants / inflation]
6)Difficulté à traiter le produit [manque d'intrants de traitement/d'équipement/etc.]
7)Marché inondé avec ces produits
8)Autre
9)NE SAIT PAS
10)REFUSÉ</t>
        </is>
      </c>
      <c r="G109" s="39">
        <f>LEN(F109)</f>
        <v/>
      </c>
      <c r="H109" s="51" t="inlineStr">
        <is>
          <t>Aw ka gwaso ye gwɛlɛya jumɛn de sɔrɔ kalo 3 tɛmɛnin kɔnɔ aw ka {crp_salesmain} suman feere tuma na? 
[SƆRƆBATIGI:JAABI CAAMAN BE SE KA DI. SƐGƐSƐGƐLEN YE JAABI ƝUMANW DI SUGANDI YƆRƆ MINW LA WOLOMA]. 
1)Pase sungɔ wali dɔgɔ sɔngɔ sugufyɛ sɔngɔ ka ca kosɔbɛ
2)Suman cɛɲɛna ani dɔ tunununa blayɔrɔ ko kosɔn ani/wala gwɛlɛya don ka se sugufyɛ la [misaliya la terorisi kama/ sira ko/ ]
3)Fɔlɔ sannibagaw tɛ san tugu 
4)Sannikɛlaw/feerebagaw tɛ wari sara joona 
5)Feere sɔngɔ ka dɔgɔ [misaliya la Ka kɛqɛ ni sccrccta wari ani sɛnɛ sɔbgɔ]
6)Masiniw tɛ yen ka suman fɛnw dilan [dilan minan / masiniw]
7)Feere fɛn caaman bɛ sugufyɛ la
8)Dɔ wɛrɛw
9)NE MA DON
10)A BAN NA</t>
        </is>
      </c>
      <c r="I109" s="39">
        <f>LEN(H109)</f>
        <v/>
      </c>
      <c r="J109" s="51" t="inlineStr">
        <is>
          <t>Ɛɛ 3 dũwõ mi gara bɛrɛ oɟu ka nam jɔ-kɔ be tɔn-i e uro ɛnɛ ma {crp_salesmain} dɔn-dɔ̃ru bɛrɛ ceɟe?
[BIRƐ MA KŨ BAŋA : KASAJ DI BE O ɟOO-I. KO URO E KASAAN DI TEGE GAARA TIMESA MA MANA LƐɟƐ.
1)Tarampɔɔru máa dɔn-dɔ̃rũ ojukaa laga dɔn bonŋo lɔgɔ gay yɛ
2)Déenu mànâm bée ɛwɛ mà kɔɔrɔ bée ɲɔwɔ̃ tɛwa-ra máa/ màa pɛriti kò jɛrɛ [hɔnɔ ijibay jam kɔɔrɔ/ dannuŋu mɔɲu / kò tɔɔn mà cɛ laga laga.]
3)Dɔn ɛwɛ wɛɛjɛm màa ãgoro yaŋa wɛɛjɛm mà wɔɔrɔ
4)Dɔn ɛwɛm/ãgoro yaŋam mà ɔɣii mà dɔn tɔjɔ-go
5)Niɲe bé dɔn bè ɛwa-ra tɛ̃ɲ-kɔ  [gama/ cɛ kuno mine kò bè cenaa-ra/niɲe bé dɔn dãy bara-ra lé wata-ti bà ley].
6)Cɛ e bɛrɛ bilwɛ mine kaaɲey máa cɛ́ dɔ̃rɔ̃ mà tanuŋu nam-kɔ [cɛ kuno ko niɲe bè birɛ/niɲe birɛ-biru bée/ ko jin ko jin mà cɛ.]
7)Ɛwɛ bɛ̀rɛ̀ niɲe bé jo-lɔgaa
8)Léyi
9)ɟUGƆGO
10)JƆWƆLI</t>
        </is>
      </c>
      <c r="K109" s="39">
        <f>LEN(J109)</f>
        <v/>
      </c>
      <c r="L109" s="51" t="inlineStr">
        <is>
          <t>Handu 3 kan bias, gaabey fo no er do ku {crp_salesmain}  faarimey izzey neere ?
[HANKAA : TUUYONG BOOBO GU HIM KU TE. SAMBU BOORA SEENE FO WAL SEENIZEY KAN GU BOORI].
1)mootu nooro wala jiney naŋ caada
2)jiney hasara zama gisirey do si/ wala hebo ga koyyoŋo gondu gaabi [sanda/ ilakkalkena jaŋa/ fondey miso/ wkc]
3)deykow si sanda borey kaŋ gu ka herci wala bine deykow zeeney
4)hercikey ndu deykey su taru ku nooro bana
5)deymo nooro ye bande [sanda/ dumiizey serferma noora gu sendi/ jina kulu cada].
6)goyo teeyoŋo senda [dumiizey seferma jaŋa/ goyjiney jaŋa/wkc].
7)jina ba hebey gayoŋo
8)Ifo yong
9) A CHI BEY
10)A WANDJI</t>
        </is>
      </c>
      <c r="M109" s="39">
        <f>LEN(L109)</f>
        <v/>
      </c>
      <c r="N109" s="51" t="inlineStr">
        <is>
          <t xml:space="preserve">Indekan asuhutan dǎɣ amoqas alɣayal nawan ɣor 3 oran okaynen ye ašəš nawan {crp_salesmain} ?.
[EMASESTƏN : ISIDMURAN AGOTNEN ATIWADABATNEN. SƏNƏFRƏNAT DIHAD IDAKALAN WI ANIMAWALNEN HULEN YE ISALAN ATIWAJANEN AS INƏSUDMORAN].
1)Alhak wan asikil meɣ iyad alhakan ən šišitan oftanen
2)Iɣašadan əd ibatan əd dahanen əs aśahatan ən asidiw əd/meɣ aśahatan ən ugišawan ən hebu [dǎɣ sund/ iba nalɣafiyat/ abrur ən tabaraten/ iyad.]
3)Iba ən asostan ən sibret ən madalan meɣ ən mašašan atiwazaynen 
4)Tahagit ən təmzal tən ibret ən madalan/mašašan
5)Alhak wan asuk əfnazan [dǎɣ sund/ ibret ən alhakan wən ilalan/ dǎɣ təwat]. 
6)Aśahatan əd səmutuyan ən siduma [iba ən abarji / ilalan wən ašiɣilan/ iyad.]
7)Hebu etkaran əsiduma
8)Iyad
9)WARISENAƔ. 
10)UGAY </t>
        </is>
      </c>
      <c r="O109" s="39">
        <f>LEN(N109)</f>
        <v/>
      </c>
      <c r="P109" s="82" t="inlineStr">
        <is>
          <t>Tiiɗormaaji ɗiye ngoni ɗi ɓaade mooɗon hawri e nder soonugol {crp_salesmain} mooɗon  ?
[GOLLOOWO: JAABUUJI KEEWƊI NA MBAAWI JAƁEEDE. SUƁA JAABU MAA JAABUUJI KAWROOJI E KO ƳAMAAƁE ƁEN  NJAABII]. 
1) Ceede taransipoor maa ceede coogguuji goɗɗi tiiɗuɗi 
2) Bononda e mursuuji saabee e tiiɗormaaji ndesaa e/maa tiiɗormaaji heɓugol jaaguuji [hono/ rafi ndeenaagu / nyiɓngooji bonɗi / e ko nandi e muuɗum yaade.] 
3) Rafi ƴamugol diilaaniiɓe maa soodooɓe abadaaɓe. 
4) Hanndagol njoɓdi ƴuude e diilaaniiɓe/ soodooɓe 
5) Saamugol cooggu [ hono/ coogguuji birgiiji / ɓeydagol coogguuji]. 
6) Tiiɗormaaji taransipoor kulle [rafi birgiiji / masinaaji taransipoor / e ko nandi e muuɗum.]
7) Luumo heewu gineeji faa wittitii
8)Goddu
9)ANNDA 
10)SALAADE</t>
        </is>
      </c>
      <c r="Q109" s="39">
        <f>LEN(P109)</f>
        <v/>
      </c>
      <c r="R109" s="153" t="inlineStr">
        <is>
          <t>Select All That Apply</t>
        </is>
      </c>
      <c r="S109" s="27" t="inlineStr">
        <is>
          <t>NA</t>
        </is>
      </c>
      <c r="T109" s="114" t="inlineStr">
        <is>
          <t>NA</t>
        </is>
      </c>
      <c r="U109" s="27" t="inlineStr">
        <is>
          <t>Form Type - Checklist
9,10 = IsNone</t>
        </is>
      </c>
      <c r="V109" s="141" t="inlineStr">
        <is>
          <t>1)crp_saledif_marketing_cost
2)crp_saledif_damage_losses
3)crp_saledif_low_demand
4)crp_saledif_pay_delay
5)crp_saledif_low_price
6)crp_saledif_processing
7)crp_saledif_competition
8)crp_saledif_other
9)crp_saledif_dk
10)crp_saledif_ref</t>
        </is>
      </c>
      <c r="W109" s="64" t="inlineStr">
        <is>
          <t>1-10 = crp_salesprice</t>
        </is>
      </c>
      <c r="X109" s="378" t="n"/>
      <c r="Y109" s="297" t="inlineStr">
        <is>
          <t>if crp_salesdif_2 = 1-8, go to crp_salesprice</t>
        </is>
      </c>
      <c r="Z109" s="87" t="n"/>
      <c r="AA109" s="66" t="inlineStr">
        <is>
          <t>resp_age = 18-100
hh_agricactivity = 1 | 2 | 3 | 4
(income_main = 1 | 2 | 3) | (income_sec = 1 | 2 | 3) | (income_third =  1 | 2 | 3) 
quotareached = 2
crp_salesmain = 1-90
crp_salesdif = 1</t>
        </is>
      </c>
      <c r="AB109" s="67" t="n"/>
      <c r="AC109" s="111" t="n">
        <v>22.61360931396484</v>
      </c>
      <c r="AD109" s="280">
        <f>#REF!</f>
        <v/>
      </c>
      <c r="AE109" s="111">
        <f>AC109*AD109</f>
        <v/>
      </c>
    </row>
    <row r="110" ht="281" customHeight="1" thickBot="1">
      <c r="A110" s="334">
        <f>A109+1</f>
        <v/>
      </c>
      <c r="B110" s="93" t="inlineStr">
        <is>
          <t>crp_salesprice</t>
        </is>
      </c>
      <c r="C110" s="94" t="inlineStr">
        <is>
          <t>crp_salesprice</t>
        </is>
      </c>
      <c r="D110" s="95" t="inlineStr">
        <is>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is>
      </c>
      <c r="E110" s="96">
        <f>LEN(D110)</f>
        <v/>
      </c>
      <c r="F110" s="145" t="inlineStr">
        <is>
          <t>Comment le prix actuel des {crp_salesmain} de votre ménage se compare-t-il au prix moyen de la même période d'une annee normale?
[OPÉRATEUR/OPÉRATRICE: RÉPONSE UNIQUE. INSISTER SUR LA PRINCIPALE CULTURE MENTIONNÉE AUPARAVANT.]
1)Très supérieur [augmentation de plus de 50%]
2)Légèrement supérieur
3)Identique
4)Légèrement inférieur
5)Très inférieur [moins de la moitié]
6)NE SAIT PAS
7)REFUSÉ</t>
        </is>
      </c>
      <c r="G110" s="96">
        <f>LEN(F110)</f>
        <v/>
      </c>
      <c r="H110" s="145" t="inlineStr">
        <is>
          <t>Aw ka gwaso sɔngɔ be di bi ka kɛɲɛ ni {crp_salesmain} ye bii n’a be suma ni saan dafalen kelen ta ye? 
[SƆRƆBATIGI: JAABI KELEN, I KA SINSIN FƐƐN JƆNJƆN MIN FƆRA KAN]. 
1)Kosɔbɛ kɛ [dɔ fara la ka ta tɛmɛ a 50% yɛrɛ kan]. 
2)Dɔɔni fara la. 
3)A bɛɛ ye kelen ye. 
4)Dɔɔni bɔra a la 
5)Caaman bɔra la [a ma se a camancɛ ma]
6)NE MA DON
7)A BAN NA</t>
        </is>
      </c>
      <c r="I110" s="96">
        <f>LEN(H110)</f>
        <v/>
      </c>
      <c r="J110" s="145" t="inlineStr">
        <is>
          <t>Nim e uro di ɛnɛ ma {crp_salesmain} dɔ̃rãrâ Ãrãkuɟu bɛrɛ ma ko dɔn jow ɟin ko tuwõ kɔ?
[BIRƐ MA KŨ BAŋA : KASAJ TTURU SAJ, KO UɟURU MAKU CƐ MA MANA ƐɟII UɟURO SEREWE].
1)Boŋoo bara [50% baa barà]. 
2)Dagaa bara. 
3)Balii gamali [kɛw] 
4)Dagaa gama. 
5)Boŋoo gama [ko ɟɛrɛ-i gama].
6)ɟUGƆGO. 
7)JƆWƆLI.</t>
        </is>
      </c>
      <c r="K110" s="96">
        <f>LEN(J110)</f>
        <v/>
      </c>
      <c r="L110" s="145" t="inlineStr">
        <is>
          <t>Mate no er gu soo hindu nooro {crp_salesmain} deedindu ndu jiire hiine woono ?
 [HANKAA : TUYONG FOOLON, CEENAA MBOORI ALMENE BEERA BONG].
1)A gu bis woo lay [gooruri 50 % wal tonton].  
2)a gu bissa keyna  .  
3)I kul ifo .  
4)A su toora . 
5)A su toora lay [ciina toora]
6) A CHI BEY
7)A WANDJI</t>
        </is>
      </c>
      <c r="M110" s="96">
        <f>LEN(L110)</f>
        <v/>
      </c>
      <c r="N110" s="145" t="inlineStr">
        <is>
          <t xml:space="preserve">Indek amək ən hebu nišray {crp_salesmain} ən alɣayal nawan itamagdah ad hebu darusan ɣor alwaq iyan ən awatay iknan ?
[EMASESTƏN : ALƏƔI IYANDǍƔ, SISTIN FAL ALIL WA AZARAN ATIWAGAN].
1)Ajen ogaran [asiwid ən ogaran 50%]. 
2)Andiran ogaran. 
3)Olahnen. 
4)Andiran midriyan.                                                 
5)Ajen madriyan [amidriyan ən tizune]. 
6)WARISENAƔ. 
7)UGAY </t>
        </is>
      </c>
      <c r="O110" s="96">
        <f>LEN(N110)</f>
        <v/>
      </c>
      <c r="P110" s="145" t="inlineStr">
        <is>
          <t xml:space="preserve">Noy ceede coogguuji hanndeeji ɗi {crp_salesmain} ɗi ɓaade mooɗon soonnata ɗin ngoorri hannden e no coogguuji ɗin mboowunoo woorrude e hitaande nde tiiɗorma fuh waɗaay ?
[GOLLOOWO : JAABU GOOTO TAN. TEEŊINII HAALA MUUƊUM DI MANGAL GOLLE] 
1)No ɓuri no woowirnoo non sanne [ɓeydagol ceede coogguuji faa hewti 50%]
2)No ɓuri no woowirnoo non seeɗa. 
3)yo foodu. 
4)Ñakii no woowirnoo non seeɗa. 
5)Ñakii no woowirnoo non sanne [Hewtaay fay feccere no woowirnoo].
6)MI ANDA
7)SALAADE
</t>
        </is>
      </c>
      <c r="Q110" s="96">
        <f>LEN(P110)</f>
        <v/>
      </c>
      <c r="R110" s="98" t="inlineStr">
        <is>
          <t>Single Choice</t>
        </is>
      </c>
      <c r="S110" s="96" t="inlineStr">
        <is>
          <t>NA</t>
        </is>
      </c>
      <c r="T110" s="96" t="inlineStr">
        <is>
          <t>NA</t>
        </is>
      </c>
      <c r="U110" s="96" t="inlineStr">
        <is>
          <t>Form Type - Buttons</t>
        </is>
      </c>
      <c r="V110" s="191" t="inlineStr">
        <is>
          <t>NA</t>
        </is>
      </c>
      <c r="W110" s="383" t="inlineStr">
        <is>
          <t xml:space="preserve">1-7 = ls_intro </t>
        </is>
      </c>
      <c r="X110" s="384" t="n"/>
      <c r="Y110" s="385" t="inlineStr">
        <is>
          <t>if crp_salesprice = 1-7, go to ls_intro</t>
        </is>
      </c>
      <c r="Z110" s="386" t="n"/>
      <c r="AA110" s="387" t="inlineStr">
        <is>
          <t>resp_age = 18-100
hh_agricactivity = 1 | 2 | 3 | 4
(income_main = 1 | 2 | 3) | (income_sec = 1 | 2 | 3) | (income_third =  1 | 2 | 3) 
quotareached = 2
crp_salesmain = 1-90</t>
        </is>
      </c>
      <c r="AB110" s="67" t="n"/>
      <c r="AC110" s="111" t="n">
        <v>21.70190811157227</v>
      </c>
      <c r="AD110" s="280">
        <f>#REF!</f>
        <v/>
      </c>
      <c r="AE110" s="111">
        <f>AC110*AD110</f>
        <v/>
      </c>
    </row>
    <row r="111" ht="20" customHeight="1" thickBot="1">
      <c r="A111" s="708" t="inlineStr">
        <is>
          <t>E. LIVESTOCK PRODUCTION</t>
        </is>
      </c>
      <c r="B111" s="739" t="n"/>
      <c r="C111" s="739" t="n"/>
      <c r="D111" s="739" t="n"/>
      <c r="E111" s="739" t="n"/>
      <c r="F111" s="739" t="n"/>
      <c r="G111" s="739" t="n"/>
      <c r="H111" s="739" t="n"/>
      <c r="I111" s="739" t="n"/>
      <c r="J111" s="739" t="n"/>
      <c r="K111" s="739" t="n"/>
      <c r="L111" s="739" t="n"/>
      <c r="M111" s="739" t="n"/>
      <c r="N111" s="739" t="n"/>
      <c r="O111" s="739" t="n"/>
      <c r="P111" s="739" t="n"/>
      <c r="Q111" s="739" t="n"/>
      <c r="R111" s="739" t="n"/>
      <c r="S111" s="739" t="n"/>
      <c r="T111" s="739" t="n"/>
      <c r="U111" s="739" t="n"/>
      <c r="V111" s="739" t="n"/>
      <c r="W111" s="739" t="n"/>
      <c r="X111" s="739" t="n"/>
      <c r="Y111" s="739" t="n"/>
      <c r="Z111" s="739" t="n"/>
      <c r="AA111" s="740" t="n"/>
      <c r="AB111" s="67" t="n"/>
      <c r="AC111" s="45" t="n"/>
      <c r="AD111" s="280">
        <f>#REF!</f>
        <v/>
      </c>
      <c r="AE111" s="45">
        <f>AC111*AD111</f>
        <v/>
      </c>
    </row>
    <row r="112" ht="240" customHeight="1">
      <c r="A112" s="334">
        <f>A110+1</f>
        <v/>
      </c>
      <c r="B112" s="337" t="inlineStr">
        <is>
          <t>ls_intro</t>
        </is>
      </c>
      <c r="C112" s="338" t="inlineStr">
        <is>
          <t>ls_intro</t>
        </is>
      </c>
      <c r="D112" s="339" t="inlineStr">
        <is>
          <t>We will now ask you some questions about livestock production which apply to you and anyone in your household that is involved in livestock production or sales. 
1)CONTINUE</t>
        </is>
      </c>
      <c r="E112" s="39">
        <f>LEN(D112)</f>
        <v/>
      </c>
      <c r="F112" s="340" t="inlineStr">
        <is>
          <t>Nous allons maintenant vous poser quelques questions sur la production animale. Ces questions s'appliquent à vous et à toute personne de votre ménage impliquée dans la production ou la vente de bétail. 
1)CONTINUER</t>
        </is>
      </c>
      <c r="G112" s="39">
        <f>LEN(F112)</f>
        <v/>
      </c>
      <c r="H112" s="51" t="inlineStr">
        <is>
          <t>An bɛna ɲiningali damani lase aw ma sisan bɛganbalo kan min ɲasinnin be aw wala aw ka gwaso mɔgɔ dɔ ma ka taa bɛgan balo wala a feere koo ma. 
1)NƆCƐ</t>
        </is>
      </c>
      <c r="I112" s="39">
        <f>LEN(H112)</f>
        <v/>
      </c>
      <c r="J112" s="52" t="inlineStr">
        <is>
          <t xml:space="preserve">Ney ge e, euro nam koru mɔrɔ̃m ma asɛgɛ maŋ bee ko dɔ̃rũ bee ma mana, uɟuru daga eru uɟuro-i.
1)ɟIɟƐ GARA
</t>
        </is>
      </c>
      <c r="K112" s="39">
        <f>LEN(J112)</f>
        <v/>
      </c>
      <c r="L112" s="53" t="inlineStr">
        <is>
          <t xml:space="preserve">So hon, ir nang er han ni wal huwo boorey mate kan nooh almeney biiro ndu neere misoo go nda.
1)KOY JIINE
</t>
        </is>
      </c>
      <c r="M112" s="39">
        <f>LEN(L112)</f>
        <v/>
      </c>
      <c r="N112" s="51" t="inlineStr">
        <is>
          <t xml:space="preserve">Akawan nafu amara harat nasestanan fal agamar ən imanan adamu ən eškan sarwan oraknen ad awadəm kul ən alɣayal nawan ertayan dǎɣ iji meɣ ašənš ən imanan/ adamu.
1)AKIYAT </t>
        </is>
      </c>
      <c r="O112" s="39">
        <f>LEN(N112)</f>
        <v/>
      </c>
      <c r="P112" s="52" t="inlineStr">
        <is>
          <t>Joonin men ƴaman on golle margal  maa coggu coggu daabaaji ko ngolloton maa ko neddo ɓaade mon ngollata.
1)YEESO</t>
        </is>
      </c>
      <c r="Q112" s="39">
        <f>LEN(P112)</f>
        <v/>
      </c>
      <c r="R112" s="39" t="inlineStr">
        <is>
          <t>Single Choice</t>
        </is>
      </c>
      <c r="S112" s="39" t="inlineStr">
        <is>
          <t>NA</t>
        </is>
      </c>
      <c r="T112" s="39"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U112" s="39" t="inlineStr">
        <is>
          <t>Form Type - Buttons</t>
        </is>
      </c>
      <c r="V112" s="40" t="inlineStr">
        <is>
          <t>NA</t>
        </is>
      </c>
      <c r="W112" s="41" t="inlineStr">
        <is>
          <t>1 = ls_main</t>
        </is>
      </c>
      <c r="X112" s="335" t="n"/>
      <c r="Y112" s="308"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Z112" s="174" t="n"/>
      <c r="AA112" s="43" t="inlineStr">
        <is>
          <t>resp_age = 18-100
(hh_agricactivity = 1 | 3) | (income_main_lscheck = 1) | (income_sec_lscheck = 1) | (income_third_lscheck = 1) 
quotareached = 2</t>
        </is>
      </c>
      <c r="AB112" s="44" t="n"/>
      <c r="AC112" s="111" t="n">
        <v>7.5</v>
      </c>
      <c r="AD112" s="374">
        <f>#REF!</f>
        <v/>
      </c>
      <c r="AE112" s="111">
        <f>AC112*AD112</f>
        <v/>
      </c>
    </row>
    <row r="113" ht="400" customHeight="1">
      <c r="A113" s="88">
        <f>A112+1</f>
        <v/>
      </c>
      <c r="B113" s="36" t="inlineStr">
        <is>
          <t>ls_main</t>
        </is>
      </c>
      <c r="C113" s="48" t="inlineStr">
        <is>
          <t>ls_main</t>
        </is>
      </c>
      <c r="D113" s="436"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2)Goats
3)Sheep
4)Swine [pig / boar / hog / etc]
5)Equine [donkey / horse / etc]
6)Small domesticated mammals [rabbits / minks / guinea pigs / etc]
7)Poultry [chicken / guineafowl / duck / quail / turkey / etc]
8)Camelids
9)Other
10)DON'T KNOW
11)REFUSED</t>
        </is>
      </c>
      <c r="E113" s="39">
        <f>LEN(D113)</f>
        <v/>
      </c>
      <c r="F113" s="51" t="inlineStr">
        <is>
          <t>Quel animal votre ménage a-t-il principalement élevé pour se nourrir et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[lapins / visons / cochons d'Inde / etc.]
7)Volaille [poulets / pintades / canards / cailles / dindes / etc.]
8)Camélidés
9)Autre
10)NE SAIT PAS
11)REFUSÉ</t>
        </is>
      </c>
      <c r="G113" s="39">
        <f>LEN(F113)</f>
        <v/>
      </c>
      <c r="H113" s="51" t="inlineStr">
        <is>
          <t>Aw ka gwaso ye bɛgan jumɛn de balo walisa k’a yɛrɛ balo ani ka nafolo sɔrɔ a la kalo 12 tɛmɛlen kɔnɔ?
[SƆRƆBATIGI:JAABI KELEN. BƐGAN MIN NAFA KA BON NI TƆW YE DE KOO ƝININGƐ SƐGƐSƐGƐLEN FƐ YAN] [TAAMASIƝƐ:AW KA NA ƝINAN KA ƝININGALIW KƐ BƐGANW YƐLƐMA KOO KAN – BƐGƐN KULUW BE WULI KA TAA DƐNDƐRI KƐ FAAN WƐRƐ FƐ]. 
1)Bɛgan kulu [misi musow / turanw / misidenw / wolosow / kɔkuruw]. 
2)Baaw. 
3)Sagaw. 
4)Lɛɛw [lɛɛ musow / lɛɛ cɛmanw / lee deninw / a n’aw]. 
5)Bɛganbaw [fali / soo / a n’aw]. 
6)Sen naanimanfɛn misɛnw min be sokɔnɔ [sonsani/ vizɔnw/ ɛndi ka lɛɛdeniw/ a n’aw.]
7)Kɔnɔw [Siyɛ / kami / tɔnkɔnɔ / cɛwɔlɔnin / kulekule / a n’aw]. 
8)Ɲaamɛ 
9)Dɔ wɛrɛw
10)NE MA DON
11)A BAN NA</t>
        </is>
      </c>
      <c r="I113" s="39">
        <f>LEN(H113)</f>
        <v/>
      </c>
      <c r="J113" s="382" t="inlineStr">
        <is>
          <t>Asɛgɛ jɔ-kɔ tɔn-i e uro kɔɔ ma  ɛnɛ ma pana kuno maa day oɟu ka le kuno ɛɛ 12 mi gara be bɛrɛ?
[BIRƐ MA KŨ BAŋA : ASƐGƐ BOŋÕÕ BE ɟERE-I SAJ BERU UɟURO]
[SƐƐRƐ : ƐGGU MA OɟUKA MA UɟURU NAŋA I- ASƐGƐ ɟIɟƐ MINE DǏ NUNO LE GO DǏ LAGA LE MA JAJ].
1)Asɛgɛ [naŋana / naŋa ãrã/ naŋʔi/ naŋa kurɔ boŋo/eɟunaŋa]
2)Bɛru
3)Peeɟu 
4)Toru [toru ʔi / eɟu toru/ toru/ko tɔɔn ko tãŋa sa fuu] 
5)Asɛgɛ kɔbɛgɛɟɛ turu ɟere [ɟamdru/ ʃom/ ko tɔɔn ko tãŋa sa fuu]
6)Asɛgɛ ɛnɛma ʔi arwakɔ daga-daga be kɔɔra be [ɟɔŋɔ̃/ anaasara ɟiɟuwõ/ toru/ ko tɔɔn ko tãŋa sa fuu]
7)Cɛ tat taru be [éɲé/ ɲaam/ tɔ̃kɔnɔɔɟɔ/ anaasara sugu/ kolokolo/ ko tɔɔn ko tãŋa sa fuu] 
8)Anaasara bɛru be
9)Léyi
10)ɟUGƆGO
11)JƆWƆLI</t>
        </is>
      </c>
      <c r="K113" s="39">
        <f>LEN(J113)</f>
        <v/>
      </c>
      <c r="L113" s="51" t="inlineStr">
        <is>
          <t>Almene beero fo no er biiri  wal ku neere  handu 12 iinko ga ?
[HANKAA : TUYONG FOOLON. HAN ALMEN HEEINA HIINE] [SILMANKA : SU DIRGANE KU HAN DIRYONG FONDEY- ALMENEY KUURA SUBEY NONGOREY DO ].
1)Hawo [hawi izo / k yaro / ginju haw]
2)Hanciino 
3)Feego  
4)Bilkangn [koyru bilknu-ginjoo bilknangn-ifo yong]
5)Faarkey irey [Farka-beriyo-ifo yong] 
6)Almene ketiyey [lapins/ visons/ cochons d'Inde/ etc.]almene ketiyey [ tabey-bizoon-ind won bilkney]
7)Fatkoyey [gorgney / ciirey / bi-kanaro / sasa / dindey / -ifoyong] 
8)Yowey
9)Ifo yong
10) A CHI BEY
11)A WANDJI</t>
        </is>
      </c>
      <c r="M113" s="39">
        <f>LEN(L113)</f>
        <v/>
      </c>
      <c r="N113" s="51" t="inlineStr">
        <is>
          <t xml:space="preserve">Indek  amudar atwəsanan was asədwal alɣayal nawən ye amə šk ad azəzjar ən ijarawən ɣor 12 oran okaynen ?.
[EMASESTƏN: ASUDMAR IYAN. SƏSTƏNAT ƔAS AD AMUDAR WA IKNAN ENAFI][ASƏKƏN : WAR TƏTƏWAM ASƏS ƏN ASESTANAN FAL IHINAN-EME ŠWAR ƏN ARƏZEG ƏN ASAMADON AS IYAN].
1)Arəzej [ tast/tast/aloki/yak/tast narog]. 
2)Uli. 
3)Tihaten. 
4)aɣurɣuru [aɣurɣuru/akurkuru/aɣurɣuru/sikuy].
 5)Imudaran win falə šiwan [e šed/ebaje/sikuy]. 
6)Imudaran atəkətnen ən ihanan [timarwalen/ ɣisontan/ ikurkurutan win Inde/ sikuy.]
7)Igədaɗ [ekaz/taylalt/ekak/tabadəkat/dindon/sikuy] 
8)Imnasan
9)Iyad
10)WARISENAƔ. 
11)UGAY </t>
        </is>
      </c>
      <c r="O113" s="39">
        <f>LEN(N113)</f>
        <v/>
      </c>
      <c r="P113" s="372" t="inlineStr">
        <is>
          <t xml:space="preserve">Daaba oyo woni mo ɓaade mooɗon ɓuri marude faa wuurda e humta haajuuji mooɗum ley lebbi 12 cakitiiɗi ɗii ?
 [GOLLOOWO: JAABU GOOTO TAN WAAWI JAƁEEDE. ƳEMEE DAABA ƁURƊO SEMMBE E MARDI MAƁƁE TAN] [MAANDAA: TAA YEGGITIN ƳAMUDE KO HAƁƁODII E EGGIIRU NA’I – SOTTITINGOL NA’I ƊIN E DURDUDEEEJI].
1)Jawdi [ɓireteenge / nagge / ɓii-nagge / na’i tuubaaku / eda]. 
2)Be’i. 
3)Baali. 
4)Girooji[  ngirow wuro / ngirow ladde /  kurukuruuru / goɗɗum ko nandi e muuɗum yaadi]. 
5)Buudu araaji [araaji / pucci / goɗɗum ko nandi ɗum ]. 
6)Kuukoy muyninoohoy [boje/ wijon/ ngirowu/ foondu fir’awna/ goɗɗum .]
7)Ndiwri [cofal / jaawngal / tonkonoowal / gerrel / Foondu fir’awna / goɗɗum ]. 
8)Geelooɗi. 
9)Goddu
10)ANNDA 
11)SALAADE
</t>
        </is>
      </c>
      <c r="Q113" s="39">
        <f>LEN(P113)</f>
        <v/>
      </c>
      <c r="R113" s="39" t="inlineStr">
        <is>
          <t>Single Choice</t>
        </is>
      </c>
      <c r="S113" s="39" t="inlineStr">
        <is>
          <t>NA</t>
        </is>
      </c>
      <c r="T113" s="39" t="inlineStr">
        <is>
          <t>NA</t>
        </is>
      </c>
      <c r="U113" s="48" t="inlineStr">
        <is>
          <t>Form Type - Buttons
IsDemographic</t>
        </is>
      </c>
      <c r="V113" s="40" t="inlineStr">
        <is>
          <t>nA</t>
        </is>
      </c>
      <c r="W113" s="41" t="inlineStr">
        <is>
          <t>1-9 = ls_num_lastyr
10-11 = ls_proddif</t>
        </is>
      </c>
      <c r="X113" s="639" t="n"/>
      <c r="Y113" s="308" t="inlineStr">
        <is>
          <t>if ls_main = 1-9, go to ls_num_lastyr ; 
If ls_main = 10-11, go to ls_proddif_1</t>
        </is>
      </c>
      <c r="Z113" s="174" t="n"/>
      <c r="AA113" s="43" t="inlineStr">
        <is>
          <t>resp_age = 18-100
(hh_agricactivity = 1 | 3) | (income_main_lscheck = 1) | (income_sec_lscheck = 1) | (income_third_lscheck = 1) 
quotareached = 2</t>
        </is>
      </c>
      <c r="AB113" s="55" t="n"/>
      <c r="AC113" s="111" t="n">
        <v>20.2944221496582</v>
      </c>
      <c r="AD113" s="374">
        <f>#REF!</f>
        <v/>
      </c>
      <c r="AE113" s="111">
        <f>AC113*AD113</f>
        <v/>
      </c>
    </row>
    <row r="114" ht="220" customHeight="1">
      <c r="A114" s="88">
        <f>A113+1</f>
        <v/>
      </c>
      <c r="B114" s="56" t="inlineStr">
        <is>
          <t>ls_num_lastyr</t>
        </is>
      </c>
      <c r="C114" s="48" t="inlineStr">
        <is>
          <t>ls_num_lastyr</t>
        </is>
      </c>
      <c r="D114" s="49" t="inlineStr">
        <is>
          <t>How many {ls_main} did you have at the same time last year?
[OPERATOR: RECORD THE NUMBER OF ANIMALS. ENTER 88888 FOR DON'T KNOW AND 99999 FOR REFUSED.]</t>
        </is>
      </c>
      <c r="E114" s="27">
        <f>LEN(D114)</f>
        <v/>
      </c>
      <c r="F114" s="57" t="inlineStr">
        <is>
          <t>Combien de {ls_main} possédiez-vous à la même periode il y a un an?
[OPÉRATEUR/OPÉRATRICE: SAISIR LE NOMBRE D'ANIMAUX. ENTREZ 88888 POUR «NE SAIT PAS» ET 99999 POUR «REFUSÉ».]</t>
        </is>
      </c>
      <c r="G114" s="27">
        <f>LEN(F114)</f>
        <v/>
      </c>
      <c r="H114" s="82" t="inlineStr">
        <is>
          <t xml:space="preserve">{ls_main} den joli de tun b’i bolo kɔrɔ ninwaati kelen na salon? 
[SƆRƆBATIGI:BƐGANW DA SƐBƐ. I KA 88888 SƐBƐ NE T’A DƆN KOO LA ANI KA 99999 SƐBƐ NE MA SƆN KOO LA] 
</t>
        </is>
      </c>
      <c r="I114" s="27">
        <f>LEN(H114)</f>
        <v/>
      </c>
      <c r="J114" s="54" t="inlineStr">
        <is>
          <t>{ls_main} aŋa ɟine be ɟĩ  gaaru ma ko dogoru nuŋo le?
[BIRƐ MA KŨ BAŊA : BE ASƐGƐ MA KŨ LUGO TƆŊƆ I. 88888 TƆ̃ŊƆ̃ I ɟUGƆ GO BÀ LEY, 99999 TƆ̃ŊƆ̃ I TEGU JƆWƆLI BÀ LEJ].</t>
        </is>
      </c>
      <c r="K114" s="27">
        <f>LEN(J114)</f>
        <v/>
      </c>
      <c r="L114" s="57" t="inlineStr">
        <is>
          <t xml:space="preserve"> I bor {ls_main} margu no er se mannan watoo ga ?
[HANKAA : ALMENEY DIIMMA SAMBU. HANTUM 88888 E SU BEY SE NDU 99999 E WINGE SE R] 
</t>
        </is>
      </c>
      <c r="M114" s="27">
        <f>LEN(L114)</f>
        <v/>
      </c>
      <c r="N114" s="82" t="inlineStr">
        <is>
          <t>Maniket nasan {ls_main} təlam ɣor azaman ən awatay okayan ?
[EMASESTƏN : ƏTKƏLAT AAJƏT ƏN IMUDARAN. AGƏ ŠAT 88888 YE IBAN AALƏMADAD 99999 YE TUNJIT].</t>
        </is>
      </c>
      <c r="O114" s="27">
        <f>LEN(N114)</f>
        <v/>
      </c>
      <c r="P114" s="54" t="inlineStr">
        <is>
          <t>Noy foti {ls_main} tawraɗon wakkati gooto o hitaande faltiinde?
[GOLLOOWO : MBINNDON ADADU DAABAAJI. NGATEE 88888 TA ANNDITEE, E 99999 SO SALAADE].</t>
        </is>
      </c>
      <c r="Q114" s="27">
        <f>LEN(P114)</f>
        <v/>
      </c>
      <c r="R114" s="63" t="inlineStr">
        <is>
          <t>Range</t>
        </is>
      </c>
      <c r="S114" s="27" t="inlineStr">
        <is>
          <t>NA</t>
        </is>
      </c>
      <c r="T114" s="27" t="inlineStr">
        <is>
          <t>NA</t>
        </is>
      </c>
      <c r="U114" s="27" t="inlineStr">
        <is>
          <t xml:space="preserve">Form Type - TextBox
</t>
        </is>
      </c>
      <c r="V114" s="40" t="inlineStr">
        <is>
          <t>NA</t>
        </is>
      </c>
      <c r="W114" s="64" t="inlineStr">
        <is>
          <t>0-10000 = ls_num_now
88888-88888 = ls_num_now
99999-99999 = ls_num_now</t>
        </is>
      </c>
      <c r="X114" s="319" t="n"/>
      <c r="Y114" s="297" t="inlineStr">
        <is>
          <t>answers can range from 0-10000; any response goes to ls_num_now</t>
        </is>
      </c>
      <c r="Z114" s="122" t="n"/>
      <c r="AA114" s="43" t="inlineStr">
        <is>
          <t>resp_age = 18-100
(hh_agricactivity = 1 | 3) | (income_main_lscheck = 1) | (income_sec_lscheck = 1) | (income_third_lscheck = 1) 
quotareached = 2
ls_main = 1-9</t>
        </is>
      </c>
      <c r="AB114" s="67" t="n"/>
      <c r="AC114" s="111" t="n">
        <v>18.53907775878906</v>
      </c>
      <c r="AD114" s="374">
        <f>#REF!</f>
        <v/>
      </c>
      <c r="AE114" s="111">
        <f>AC114*AD114</f>
        <v/>
      </c>
    </row>
    <row r="115" ht="220" customHeight="1">
      <c r="A115" s="88">
        <f>A114+1</f>
        <v/>
      </c>
      <c r="B115" s="56" t="inlineStr">
        <is>
          <t>ls_num_now</t>
        </is>
      </c>
      <c r="C115" s="48" t="inlineStr">
        <is>
          <t>ls_num_now</t>
        </is>
      </c>
      <c r="D115" s="167" t="inlineStr">
        <is>
          <t>How many {ls_main} do you have now?
[OPERATOR: RECORD THE NUMBER OF ANIMALS. ENTER 88888 FOR DON'T KNOW AND 99999 FOR REFUSED.]</t>
        </is>
      </c>
      <c r="E115" s="27">
        <f>LEN(D115)</f>
        <v/>
      </c>
      <c r="F115" s="57" t="inlineStr">
        <is>
          <t>Combien de {ls_main} avez-vous maintenant ?
[OPÉRATEUR/OPÉRATRICE: SAISIR LE NOMBRE D'ANIMAUX. ENTREZ 88888 POUR «NE SAIT PAS» ET 99999 POUR «REFUSÉ».]</t>
        </is>
      </c>
      <c r="G115" s="27">
        <f>LEN(F115)</f>
        <v/>
      </c>
      <c r="H115" s="82" t="inlineStr">
        <is>
          <t xml:space="preserve">{ls_main} den joli de b’i bolo sisan? 
[SƆRƆBATIGI:BƐGANW DA SƐBƐ. I KA 88888 SƐBƐ NE T’A DƆN KOO LA ANI KA 99999 SƐBƐ NE MA SƆN KOO LA] </t>
        </is>
      </c>
      <c r="I115" s="27">
        <f>LEN(H115)</f>
        <v/>
      </c>
      <c r="J115" s="54" t="inlineStr">
        <is>
          <t>{ls_main} aŋa ɟine be Nim?
[BIRƐ MA KŨ BAŊA : BE ASƐGƐ MA KŨ LUGO TƆŊƆ I. 88888 TƆ̃ŊƆ̃ I ɟUGƆ GO BÀ LEY, 99999 TƆ̃ŊƆ̃ I TEGU JƆWƆLI BÀ LEJ].</t>
        </is>
      </c>
      <c r="K115" s="27">
        <f>LEN(J115)</f>
        <v/>
      </c>
      <c r="L115" s="57" t="inlineStr">
        <is>
          <t xml:space="preserve">Margu {ls_main} no er se soo hiinda ?
[HANKAA : ALMENEY DIIMMA SAMBU. HANTUM 88888 E SU BEY SE NDU 99999 E WINGE SE R] </t>
        </is>
      </c>
      <c r="M115" s="27">
        <f>LEN(L115)</f>
        <v/>
      </c>
      <c r="N115" s="82" t="inlineStr">
        <is>
          <t>Maniket nasan {ls_main} təlam amaradǎɣ ?
[EMASESTƏN : ƏTKƏLAT AAJƏT ƏN IMUDARAN. AGƏ ŠAT 88888 YE IBAN AALƏMADAD 99999 YE TUNJIT].</t>
        </is>
      </c>
      <c r="O115" s="27">
        <f>LEN(N115)</f>
        <v/>
      </c>
      <c r="P115" s="54" t="inlineStr">
        <is>
          <t>Noy foti {ls_main} joogi ɗon jooni?
[GOLLOOWO : MBINNDON ADADU DAABAAJI. NGATEE 88888 TA ANNDITEE, E 99999 SO SALAADE].</t>
        </is>
      </c>
      <c r="Q115" s="27">
        <f>LEN(P115)</f>
        <v/>
      </c>
      <c r="R115" s="63" t="inlineStr">
        <is>
          <t>Range</t>
        </is>
      </c>
      <c r="S115" s="27" t="inlineStr">
        <is>
          <t>NA</t>
        </is>
      </c>
      <c r="T115" s="27" t="inlineStr">
        <is>
          <t>NA</t>
        </is>
      </c>
      <c r="U115" s="27" t="inlineStr">
        <is>
          <t xml:space="preserve">Form Type - TextBox
</t>
        </is>
      </c>
      <c r="V115" s="40" t="inlineStr">
        <is>
          <t>NA</t>
        </is>
      </c>
      <c r="W115" s="64" t="inlineStr">
        <is>
          <t>0-10000 = ls_num_change
88888-88888 = ls_num_change
99999-99999 = ls_num_change</t>
        </is>
      </c>
      <c r="X115" s="319" t="n"/>
      <c r="Y115" s="297" t="inlineStr">
        <is>
          <t>answers can range from 0-10000; any response goes to ls_num_change</t>
        </is>
      </c>
      <c r="Z115" s="122" t="n"/>
      <c r="AA115" s="43" t="inlineStr">
        <is>
          <t>resp_age = 18-100
(hh_agricactivity = 1 | 3) | (income_main_lscheck = 1) | (income_sec_lscheck = 1) | (income_third_lscheck = 1) 
quotareached = 2
ls_main = 1-9</t>
        </is>
      </c>
      <c r="AB115" s="67" t="n"/>
      <c r="AC115" s="111" t="n">
        <v>8.915891647338867</v>
      </c>
      <c r="AD115" s="374">
        <f>#REF!</f>
        <v/>
      </c>
      <c r="AE115" s="111">
        <f>AC115*AD115</f>
        <v/>
      </c>
    </row>
    <row r="116" ht="409.6" customHeight="1">
      <c r="A116" s="88">
        <f>A115+1</f>
        <v/>
      </c>
      <c r="B116" s="56" t="inlineStr">
        <is>
          <t>ls_num_change</t>
        </is>
      </c>
      <c r="C116" s="4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16" s="164"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16" s="27">
        <f>LEN(D116)</f>
        <v/>
      </c>
      <c r="F116" s="57"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11)Davantage d'animaux abattus ou donnés pour la consommation du ménage ou pour des cérémonies [mariage / funérailles / etc.]
12)Autre
13)NE SAIT PAS
14)REFUSÉ</t>
        </is>
      </c>
      <c r="G116" s="27">
        <f>LEN(F116)</f>
        <v/>
      </c>
      <c r="H116" s="82" t="inlineStr">
        <is>
          <t>Mun de kosɔn bɛganw balota da yɛlɛma na? 
[SƆRƆBATIGI:JAABI CAAMAN BE SE KA DI.]
1)Yɛlɛmali si ma kɛ baganw dama fɛ
2)Anw ma se ka caaman feere
3)Baganw caaman bangera
4)Anw ye bagan caaman san wala k’o feere aainan
5)Anw baganw sɔrɔ gansan [nilifɛn]
6)Baganw sara dumununi ko kosɔn / jalan/ dumuni ko kosɔn
7)Bagan sara fɛnx wɛrɛ kosɔn [banaw/ dumunfɛ/ joginan]
8)Anw caaman feere ka tɛmɛ waati dɔw ra I n’a fɔ o sɔngɔn tun ka di 
9)Anw caaman feere ka tɛmɛ waati dɔw ra I n’a fɔ an tun tɛ se k’o balo [anw tun tɛ se k’o balo ani anw mago bɛ wari fɛ /ka gwasomɔgɔ mago ɲɛ]
10)Baganw tun tununa wala u y’o sonya
11)Anw tun ye bagan caaman faga walima anw ye dɔ ni gwasomɔgɔw ma dumuni Kaman ɲanajɛw [furuw / jɛnɛja]
12)Fɛnw wɛrɛ
13)A M'A DƆN
14)BANNI</t>
        </is>
      </c>
      <c r="I116" s="27">
        <f>LEN(H116)</f>
        <v/>
      </c>
      <c r="J116" s="82" t="inlineStr">
        <is>
          <t>Asɛgɛ kɔ̂ ma kũ lugo iɲeɟɛ biliwɛ?
[BIRƐ MA KŨ BAŋA : KASAj DI KORU BE SAA ɟOO-I]..
1)Asɛgɛ mà kũ-lugo dii ɛnɛ kɔɔ lé go-li
2)Ko jin baa mà asɛgɛ dɔn-là
3)Asɛgɛ nara bé gaara boŋo
4)Nɔɔ asɛgɛ wòbè ɛwɛ bée bè til-lɛ bée gara boŋo
5) Asɛgɛ boŋo peere bè bɛ́rɛ́ / kado
6)Ɲewũ mɔɲu mà asɛgɛ nuwõ/ko nibãrã mɔɲu/ko kaaɲey mà kɔɔrɔ
7) Ɔru laga saaba jɛ mà asɛgɛ nuwõ [hɔnɔ/ sĩĩlɛ bé tɔɔn/cɛ mɔɲu jeju guju bɛ̀rɛ̀ kun bé tɔɔn/nurũŋu bé tɔɔn].
8) Ɛwɛ ɛju-kɔ dii wɔɔwɔ lé sigɛ dɔ̃rɔ̃
9) Dii ɛnɛ bé wɛjɛ lé sigɛ dɔ̃rɔ̃ bà dawru kɔɔrɔ jɛ may [ko asɛgɛ ɲewẽ bɛrɛ-go jɛ/ uro haja naa dime buudu mà haaja ɛ̃y yɛrɛ jɛ may/ ko dɔ̃rũ bé tɔ̃wɔ̃-la jĩĩ gaa].
10)Kòasɛgɛ jɔwaa/ mi-mal-li ley kò gi-guɲo bà
11) Dii ɛnɛ bé wɛjɛ lé sigɛ wɔɔ bà máa oo bà/ uro lé bè koo jɛ máa haaja bé jɛ [hɔnɔ ɲen jɛ-i bé tɔɔn / nuwõ-uro bé tɔɔn / ko jin jin mà haaja laga.]
12)Ɔl-laga
13)JUGƆ-GO WA
14)BE YƆWƆ-LI</t>
        </is>
      </c>
      <c r="K116" s="27">
        <f>LEN(J116)</f>
        <v/>
      </c>
      <c r="L116" s="82" t="inlineStr">
        <is>
          <t>Fo se no almeney diima barmey ?
[HANKAA : TUYONG BOOBO].
1)barmey beeri manu te jewdey dimma do hare
2)manu mba jewdi follow neere
3)jewdi boobowyoŋ hay
4)i nu jewdi boobowyoŋ neere wala i nu i barmey haraŋ jiiro wo
5)i du jewdi boobowyoŋ yaamo [tontoney / noyoŋey].
6)almeno buyoŋo faabiri se / googendo se ŋaaro jaŋ se].
7)almeno buyoŋo  hay foyoŋ se [sanda/ zaŋey/hamney ndu nooney/mareyyoŋey]
8)i nu i neere henney zama almeney hebo gu boori
9)i nu i neere henney bine harasa se [jina jaŋa kaŋ gu almeney nəayendi/ muradu nooroyoŋo kaŋ huwo fondey daabu/ mba neerow kaŋ su gey no]. 
10)jewdu zuru ku koma/ a dere wala i nu a zey
11)i nu a wi wala bine boro mu jewdi boobow ka huwo modaarey se [kubeyyoŋey / duwawey / wkc.]
12)Ifo yong
13) A CHI BEY
14)A WANDJI</t>
        </is>
      </c>
      <c r="M116" s="27">
        <f>LEN(L116)</f>
        <v/>
      </c>
      <c r="N116" s="82" t="inlineStr">
        <is>
          <t>Mafal tajute ən arəzeg ən agamar amutay ?
[EMASESTƏN: ISIDMURAN AGOTNEN ATIWADABATNEN].
1)Wartitila tamotayt tatiwasanat ən medan ən ɣafawan ən arizeg 
2)Warišinša ogdahan dǎɣ awen ən arizeg 
3)Ajen dǎɣ mudaran aqalan aywan 
4)Ad dišinša meɣ amiskalan ajen dǎɣ mudaran wən tenay 
5)Imudaran atiwagrawnen banan [asimisidiw / banan]
6)Tamatant ən amudar əditahat əs iba ən našasko/aɣašad/ iba ən ataɣam
7)Tamatant ən ən amudar ən əditahat əs iyad iɣašadan [dǎɣ sund/ torhinawen/ parazitan/ihayogan].
8)Ašiša ogaran ihadani dǎɣ salan ən asuk ahusken
9)Ašiša ogaran ihadani dǎɣ salan ən ašiš ən atqir [iba ən tadabit ən ašišk ən amudar/ tarha šikanen ən azruf fal təmɣutar atiwasanen ən amazaɣ/ indar ašiš wareqel ahigan]
10)Amudar eqal aygmadan/ eqal aba meɣ amekaran
11)Enga meɣ ifa ogaran dǎɣ mudaran ye ihadani fal tatate  tigat fal amazaɣ meɣ fal sidawaten [azli/ aman ən anametən/ iyad.]
12)Iyad
13)WARISENAƔ. 
14)UGAY</t>
        </is>
      </c>
      <c r="O116" s="27">
        <f>LEN(N116)</f>
        <v/>
      </c>
      <c r="P116" s="82" t="inlineStr">
        <is>
          <t>Saabi de limoore daabaaji mareteeɗi nde wattitii?
[GOLLOOWO : NOTAALI KEEWUƊI].
1) Walaa ko waylii sanne e no kulle ɗen putunoo 
2) Soonnaay daabaaji ko foti nii
3) Daabaaji keewɗi ndimaama 
4) Soodii maa wattitii kulle hikka 
5) Kulle kokkitiraaɗe ɓolum [ɓeydugol / hokkitirgol]. 
6) Waatugol kulle saabee mbappu / yoorngo / rafi neema. 
7) Waatugol daabaaji saabee goɗɗum [hono/ nyawu / ɓiɓɓe nyawu / barmere]. 
8) Soonnaama cooggu lobbu faa ɓuri no woowirnoo
9) Soonnaama  faa ɓuri no woowirnoo saabee rafi waawude jogaade [ rafi waawude nyaamnude daaba on / haaju ceede kenyiingu faa humta haajuuji ɓaade/ fay so coogguuji ɗin nganaa ɓooyooji].
10) Daaba on no teeti/ halku maa wujja 
11) Hirsii maa hokkitirii daabaaji faa ɓuri no woowirnoo saabee neema ɓaade maa saabee hawriindeeji [ɓamle / kuumaaje / e ko nandi e muuɗum yaade] 
12)Goddu
13)ANNDA 
14)SALAADE</t>
        </is>
      </c>
      <c r="Q116" s="27">
        <f>LEN(P116)</f>
        <v/>
      </c>
      <c r="R116" s="153" t="inlineStr">
        <is>
          <t xml:space="preserve">Select All That Apply </t>
        </is>
      </c>
      <c r="S116" s="27" t="inlineStr">
        <is>
          <t>NA</t>
        </is>
      </c>
      <c r="T116" s="27" t="inlineStr">
        <is>
          <t>NA</t>
        </is>
      </c>
      <c r="U116" s="27" t="inlineStr">
        <is>
          <t>Form Type - Checklist
1,13,14 = IsNone</t>
        </is>
      </c>
      <c r="V116" s="17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W116" s="64" t="inlineStr">
        <is>
          <t>1-14 = ls_feed</t>
        </is>
      </c>
      <c r="X116" s="327" t="n"/>
      <c r="Y116" s="308" t="inlineStr">
        <is>
          <t>If ls_num_change 1-13 = [ls_proddif_1 OR ls_food_supply]</t>
        </is>
      </c>
      <c r="Z116" s="165" t="n"/>
      <c r="AA116" s="43" t="inlineStr">
        <is>
          <t>resp_age = 18-100
(hh_agricactivity = 1 | 3) | (income_main_lscheck = 1) | (income_sec_lscheck = 1) | (income_third_lscheck = 1) 
quotareached = 2
ls_main = 1-9</t>
        </is>
      </c>
      <c r="AB116" s="67" t="n"/>
      <c r="AC116" s="111" t="n">
        <v>25.81001091003418</v>
      </c>
      <c r="AD116" s="374">
        <f>#REF!</f>
        <v/>
      </c>
      <c r="AE116" s="111">
        <f>AC116*AD116</f>
        <v/>
      </c>
    </row>
    <row r="117" ht="286.5" customHeight="1">
      <c r="A117" s="88">
        <f>A116+1</f>
        <v/>
      </c>
      <c r="B117" s="154" t="inlineStr">
        <is>
          <t>ls_feed</t>
        </is>
      </c>
      <c r="C117" s="275" t="inlineStr">
        <is>
          <t>ls_feed
1) ls_feed_open_pasture
2) ls_feed_common_pasture
3) ls_feed_self_produced
4) ls_feed_purchased
5) ls_feed_free_dist
6) ls_feed_other
7) ls_feed_dk
8) ls_feed_ref</t>
        </is>
      </c>
      <c r="D117" s="278"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17" s="156">
        <f>LEN(D117)</f>
        <v/>
      </c>
      <c r="F117" s="26"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6)Autre
7)NE SAIT PAS
8)REFUSÉ</t>
        </is>
      </c>
      <c r="G117" s="156">
        <f>LEN(F117)</f>
        <v/>
      </c>
      <c r="H117" s="28" t="inlineStr">
        <is>
          <t>Aw bɛ {ls_main} dumuni sɔrɔ min? 
[SƆRƆBATIGI: JAABILI CAMAN N'AW BƐ SE.] 
1)Foroba baganmarayɔrɔ
2)Komini mɔgɔ maralen baganmara yɔrh
3)Bagan dumuni kɛrɛ ne yɛrx foro la mɔdgg dɔ wɛrɛ foro an ye min luwanse
4)Baganbin wala bagab dumuni sanni sugufyɛ ra
5)Nilifɛn gansan
6)Fɛn wɛrɛ
7)A M'A DƆN
8)BANNI</t>
        </is>
      </c>
      <c r="I117" s="156">
        <f>LEN(H117)</f>
        <v/>
      </c>
      <c r="J117" s="28" t="inlineStr">
        <is>
          <t>Eke {ls_main} urugo yowlé jaa wɛɛjɛ bè ?
[BIRƐ BAŊA : KASARA JÓ GAMA TƐMƐWƐ̃-KƆ].
1)sam peere bé
2)Sam ana-nam hata jere bé
3) É eju máa luwasu mà eju máa asɛgɛ mà dii kaɲe-ɲey e kũ lé e kãrã
4)Kaɲey ɛw bé máa ɛwɛ lé mà ɔyɔ ɛw
5)Peere mà oy
6)cɛ laga
7)JUGƆ-GO WA
8)BÉ YƆWƆ-LI</t>
        </is>
      </c>
      <c r="K117" s="156">
        <f>LEN(J117)</f>
        <v/>
      </c>
      <c r="L117" s="28" t="inlineStr">
        <is>
          <t>Waati kulu, manu no er du ŋaaro er won {ls_main} se ?  
[HANKOYO: DJAABI BOBO]
1)hala i nu farey wala keley taŋ 
2)kura nongorey kaŋ jama borey keyendi
3)boro bumbo faro wala fari kaŋ boro hi wala bine subey kaŋ boro ka ku gisi
4)almeney ŋaarey dey hebo gayoŋo
5)wey kaŋ i gu fersi borey se yaamo
6)i foyoŋ
7)EY SU BEY
8)WENGE</t>
        </is>
      </c>
      <c r="M117" s="156">
        <f>LEN(L117)</f>
        <v/>
      </c>
      <c r="N117" s="28" t="inlineStr">
        <is>
          <t>Əndek diha əd tagašam ihadani ihinanətan fal nawan {ls_main}
 [ƏMASESTƏN : ILIƔITAN AJOTNEN ADOBEN].
1)Asamadon ameran
2)Asamadon atiwanahadan əs kal akal
3)Ašikriš atiwalan meɣ ən taɣlift meɣ alimoz nawadəm
4)Ašiš ən ašasko meɣ alimoz dǎɣ hebu
5)Tuzant ən banan
6)Iyad
7)WARISENAƔ
8)UGAY</t>
        </is>
      </c>
      <c r="O117" s="156">
        <f>LEN(N117)</f>
        <v/>
      </c>
      <c r="P117" s="28" t="inlineStr">
        <is>
          <t>Toy mboowu-ɗon heɓude {ls_main} mooɗon? 
[GOLLOOWO : JAABUUJI KEEWƊI NA MBAAWI JAƁEEDE]
1) Nokkuuje dureteeɗe 
2) Nokkuuje dureteeɗe ɗe suudu baaba hawjii 
3) Ngesa njeyaanga maa  luwaanga maa nyaamdu kulle waɗaandu 
4) Cooggu neema maa neema kulle nder luumo 
5) Hokkitirgol ɓolol 
6)Goɗɗum
7)MI ANDA
8)SALAADE</t>
        </is>
      </c>
      <c r="Q117" s="156">
        <f>LEN(P117)</f>
        <v/>
      </c>
      <c r="R117" s="158" t="inlineStr">
        <is>
          <t xml:space="preserve">Select All That Apply </t>
        </is>
      </c>
      <c r="S117" s="156" t="inlineStr">
        <is>
          <t>NA</t>
        </is>
      </c>
      <c r="T117" s="156" t="inlineStr">
        <is>
          <t>NA</t>
        </is>
      </c>
      <c r="U117" s="156" t="inlineStr">
        <is>
          <t>Form Type - Checklist
7,8 = IsNone</t>
        </is>
      </c>
      <c r="V117" s="413" t="inlineStr">
        <is>
          <t>1)ls_feed_open_pasture
2)ls_feed_common_pasture
3)ls_feed_self_produced
4)ls_feed_purchased
5)ls_feed_free_dist
6)ls_feed_other
7)ls_feed_dk
8)ls_feed_ref</t>
        </is>
      </c>
      <c r="W117" s="87" t="inlineStr">
        <is>
          <t>1-8 = ls_proddif</t>
        </is>
      </c>
      <c r="X117" s="378" t="n"/>
      <c r="Y117" s="379" t="inlineStr">
        <is>
          <t>For any response, go to ls_proddif_1</t>
        </is>
      </c>
      <c r="Z117" s="176" t="n"/>
      <c r="AA117" s="43" t="inlineStr">
        <is>
          <t>resp_age = 18-100
(hh_agricactivity = 1 | 3) | (income_main_lscheck = 1) | (income_sec_lscheck = 1) | (income_third_lscheck = 1) 
quotareached = 2
ls_main = 1-9</t>
        </is>
      </c>
      <c r="AB117" s="67" t="n"/>
      <c r="AC117" s="45" t="n">
        <v>19.55319786071777</v>
      </c>
      <c r="AD117" s="374">
        <f>#REF!</f>
        <v/>
      </c>
      <c r="AE117" s="45">
        <f>AC117*AD117</f>
        <v/>
      </c>
    </row>
    <row r="118" ht="200" customHeight="1">
      <c r="A118" s="88">
        <f>A117+1</f>
        <v/>
      </c>
      <c r="B118" s="56" t="inlineStr">
        <is>
          <t>ls_proddif</t>
        </is>
      </c>
      <c r="C118" s="48" t="inlineStr">
        <is>
          <t>ls_proddif</t>
        </is>
      </c>
      <c r="D118" s="49" t="inlineStr">
        <is>
          <t>Has your household faced any significant difficulty with livestock production over the last 3 months?
[OPERATOR: SINGLE RESPONSE.]
1)YES 
2)NO
3)DON'T KNOW
4)REFUSED</t>
        </is>
      </c>
      <c r="E118" s="27">
        <f>LEN(D118)</f>
        <v/>
      </c>
      <c r="F118" s="57" t="inlineStr">
        <is>
          <t>Votre ménage a-t-il rencontré d'importantes difficultés en matière d'élevage au cours des trois derniers mois?
[OPÉRATEUR/OPÉRATRICE: RÉPONSE UNIQUE.]
1)Oui
2)Non
3)NE SAIT PAS
4)REFUSÉ</t>
        </is>
      </c>
      <c r="G118" s="27">
        <f>LEN(F118)</f>
        <v/>
      </c>
      <c r="H118" s="82" t="inlineStr">
        <is>
          <t>Aw gwasomɔgɔw ye gwɛlɛyaba dɔ sɔrɔ baganmara sɔrɔta fan fɛ kalo 3 tɛmɛni na wa?
[NIENIGALI KÈLA: DIABI KELEN]
1)ƆWƆ 
2)AYI 
3)NE MA DON
4)A BAN NA</t>
        </is>
      </c>
      <c r="I118" s="27">
        <f>LEN(H118)</f>
        <v/>
      </c>
      <c r="J118" s="82" t="inlineStr">
        <is>
          <t>Ãkuju taan dũwõ bɛrɛ asɛgɛ mà kɔy mà ojuka nam mɔɲu e uro lé bee-sà maa ?
[BIRƐ MA KŨ BAŋA : UɟURU KƆ TURU LE BE SAA-I]
1)ÉE
2)Ɔ̃-Ɔ̃
3)ɟUGƆGO
4)JƆWƆLI</t>
        </is>
      </c>
      <c r="K118" s="27">
        <f>LEN(J118)</f>
        <v/>
      </c>
      <c r="L118" s="82" t="inlineStr">
        <is>
          <t>Handu hĩzey wey ndu cere game er huwo du sendey jawdey biiriyoŋo ga?
[HANKOYO:  MACHI TA KA HAR DJAABI FO]
1) AYYO
2) KALA
3) A CHI BEY
4) A WANDJI</t>
        </is>
      </c>
      <c r="M118" s="27">
        <f>LEN(L118)</f>
        <v/>
      </c>
      <c r="N118" s="51" t="inlineStr">
        <is>
          <t xml:space="preserve">Amazaɣ nawan eqal amuqasan ən aśahatan iknanen dǎɣ fal tabarat ən ajamar ɣur dǎɣ karad uran wi dokaynen?
[EMASESTƏN : ALƏƔI IYANDAƔ].
1)IYA 
2)BABO.
3)WARISENAƔ. 
4)UGAY </t>
        </is>
      </c>
      <c r="O118" s="27">
        <f>LEN(N118)</f>
        <v/>
      </c>
      <c r="P118" s="82" t="inlineStr">
        <is>
          <t>Ɓaade mooɗon hawrii fuh e tiiɗormaaji mawɗi banngal mardi ley lebbi tati cakitiiɗi ɗii?
[GOLLOOWO : JAWAABU GOOTO].
1)AYYO 
2)AA'A. 
3)ANNDA 
4)SALAADE</t>
        </is>
      </c>
      <c r="Q118" s="27">
        <f>LEN(P118)</f>
        <v/>
      </c>
      <c r="R118" s="63" t="inlineStr">
        <is>
          <t>Single Choice</t>
        </is>
      </c>
      <c r="S118" s="27" t="inlineStr">
        <is>
          <t>NA</t>
        </is>
      </c>
      <c r="T118" s="27" t="inlineStr">
        <is>
          <t>NA</t>
        </is>
      </c>
      <c r="U118" s="27" t="inlineStr">
        <is>
          <t>Form Type - Buttons</t>
        </is>
      </c>
      <c r="V118" s="141" t="inlineStr">
        <is>
          <t>NA</t>
        </is>
      </c>
      <c r="W118" s="432" t="inlineStr">
        <is>
          <t>1=ls_proddif_2
2-4= ls_salesmain</t>
        </is>
      </c>
      <c r="X118" s="319" t="n"/>
      <c r="Y118" s="297" t="inlineStr">
        <is>
          <t>if ls_proddif_1 = 1, go to ls_proddif_2 ; 
if ls_proddif_1 = 2-4, go to [ls_salesmainOR ls_all]</t>
        </is>
      </c>
      <c r="Z118" s="183" t="n"/>
      <c r="AA118" s="43" t="inlineStr">
        <is>
          <t>resp_age = 18-100
(hh_agricactivity = 1 | 3) | (income_main_lscheck = 1) | (income_sec_lscheck = 1) | (income_third_lscheck = 1) 
quotareached = 2</t>
        </is>
      </c>
      <c r="AB118" s="67" t="n"/>
      <c r="AC118" s="111" t="n">
        <v>13.61331653594971</v>
      </c>
      <c r="AD118" s="374">
        <f>#REF!</f>
        <v/>
      </c>
      <c r="AE118" s="111">
        <f>AC118*AD118</f>
        <v/>
      </c>
    </row>
    <row r="119" ht="409.6" customHeight="1">
      <c r="A119" s="88">
        <f>A118+1</f>
        <v/>
      </c>
      <c r="B119" s="93" t="inlineStr">
        <is>
          <t>ls_proddif_2</t>
        </is>
      </c>
      <c r="C119" s="94"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19" s="16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19" s="27">
        <f>LEN(D119)</f>
        <v/>
      </c>
      <c r="F119" s="82"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19" s="27">
        <f>LEN(F119)</f>
        <v/>
      </c>
      <c r="H119" s="82" t="inlineStr">
        <is>
          <t>Aw ka gwaso ye gwɛlɛya jumɛn de sɔrɔ bɛgan balo kosɔ kalo 3 tɛmɛnin kɔnɔ? 
[SƆRƆBATIGI:JAABI CAAMAN BE SE KA DI. SƐGƐSƐGƐLEN YE JAABI ƝUMANW DI SUGANDI YƆRƆ MINW LA WOLOMA]. 
1)Baganbin sanda gwɛlɛya hase feed [sanda yɛlɛmana]
2)Baganmarayɔrɔ gwɛlɛya
3)Jii sɔrɔ gwɛlɛya
4)Bagandɔgɔtɔrh furakɛli sɔrɔ cogogwɛlɛya [tuguci/ furakɛli/ jɛnsɛn/ laadili]
5)Bagandɔgɔtɔrh fɛnw ani minanw [bagan furaw / baganw furakɛli minanw]
6)Bagan bana
7)Bagan sonyali
8)Gwɛlɛye ka se baganfeere sugufyɛ ka bagandenw san
9)Juru sɔrɔ cogo
10)Baaradenx sɔrɔ cogogwɛlɛya
11)Dɔ wɛrɛw
12)NE MA DON
13)A BAN NA</t>
        </is>
      </c>
      <c r="I119" s="27">
        <f>LEN(H119)</f>
        <v/>
      </c>
      <c r="J119" s="82" t="inlineStr">
        <is>
          <t>Asɛgɛ maŋ ma oɟu ka nam jɔ-kɔ bee jɔ-kɔ bee, e uro ɛɛ 3 nuŋo bɛrɛ ceɟe?
[BIRƐ MA KŨ BAŋA : KASAJ DI BE O ɟOO-I. KO URO E KASAAN DI TEGE GAARA TIMESA MA MANA LƐɟƐ.
1)Asɛgɛ bé lé mà kaɲey ɛw mà nam [hɔnɔ/ dɔn máa ɛwɛ mà bɛrɛ yawa-go].
2)Am asɛgɛ-jiru mà bɛru
3)Nii mà bɛru
4)Accès aux services vétérinaires [vaccinations/traitements/ 
5)Naŋa mà dɔgɔtɔrɔ bé walla mà bɛru [sɔw bé/loy-ĩ oy bé/ loy nii bél-lé mà piu bé/tĩrũ bé/ ko jin jin mà walla laga.]
Asɛgɛ jɔ̃ŋ cɛ́ bé bɛru [asɛgɛ mà loy bé / asɛgɛ mà jam ojuka mà niɲe bé.]
6)Asɛgɛ mà sĩĩlɛ máa nuruŋu bé
7)Asɛgɛ mà gũy
8)Asɛgɛ mà ɛwɛ lé mà bɛrɛ-nu mine asɛgɛ sooro bé ɛw
9) ɲen ma bɛru
10)Birɛ-ũrũm mà bɛru
11)Léyi
12)ɟUGƆGO
13)JƆWƆLI</t>
        </is>
      </c>
      <c r="K119" s="27">
        <f>LEN(J119)</f>
        <v/>
      </c>
      <c r="L119" s="82" t="inlineStr">
        <is>
          <t>Handu 3 kan bisa, gabey fo no er boorey do almeney biro fonda ga?
[HANKAA : TUUYONG BOOBO GU HIM KU TE. SAMBU BOORA SEENE FO WAL SEENIZEY KAN GU BOORI].
1)almeney ŋaaro duuro senda animaux [sanda/  nooro duuro wala hebo ga koyyoŋo].
2)kura do koyyoŋo jaŋa
3)haro duuro jaŋa
4)witinneerey do koyyyoŋ jaŋa [censa/seferey/ pilverisateerey/yamarey/ wkc.]
5)witinneerey sefermey duuro jaŋa [sefermey almeney se/ witineerey goyjiney/wkc.]
6)almeney zaŋeyoŋey  wala mareyyoŋey
7)almeney zeyymo 
8)almeney hebo ga koy ku almen keyna deyyoŋo jaŋa
9)gara duuro jaŋa
10)goyteerey duuro jaŋa
11)Ifo yong
12) A CHI BEY
13)A WANDJI</t>
        </is>
      </c>
      <c r="M119" s="27">
        <f>LEN(L119)</f>
        <v/>
      </c>
      <c r="N119" s="82" t="inlineStr">
        <is>
          <t>Indekan asuhutan dar amoqas alɣayal nawan ad iijii ən narəzegɣ
[EMASESTƏN : ISIDMURAN AGOTNEN ATIWADABATNEN. SƏNƏFRƏNAT DIHAD IDAKALAN WI ANIMAWALNEN HULEN YE ISALAN ATIWAJANEN AS INƏSUDMORAN].
1)Aśuhu ən ašiš ən ašaško ən arizeg [dǎɣ sund/ alhak meɣ ugiš ən hebu].
2)Ugiš ən səmədan
3)Agaraw ən aman
4)Agaraw ən laətortan wi arizeg [tedik/asisifir/ asisufir əs aman/ adabaratan/ iyad.]
5)Agaraw ən sifran ən laətortan [tumaɣwanen ye mudaran/ ilalan fal aśeɣat ən arizeg/ iyad.]
6)Torhinawen meɣ ihayogan ən arizeg 
7)Amikir ən arizeg 
8)Ugiš ən hebu wan arizeg fal ašiš ən mudaran wi motkoynen
9)Agaraw ən amarwas
10)Agaraw ən mašaɣalan
11)Iyad
12)WARISENAƔ. 
13)UGAY</t>
        </is>
      </c>
      <c r="O119" s="27">
        <f>LEN(N119)</f>
        <v/>
      </c>
      <c r="P119" s="82" t="inlineStr">
        <is>
          <t>Ɗiye saɗɗaji ɓaade mon kawri e gollal daabaaji ley lebbi 3 sakitiiɗi ɗi?
[GOLLOOWO: NA WAAWI LAATAADE JAABUUJI HEWƊI. CUƁEE KO ƁURE HOLLUDE KUMPITE ƊE JAABO TOOƁE HOKKI].
1) Tiiɗormaaji soodugol neemaaji daabaaji [hono/ cooggu maa heɓugol naata luumo]. 
2) Heɓugol nokkuure dureteende 
3) Heɓugol ndiyam
4) Heɓugol cafaaje [tufooji / sawrugol / puusagol / tinndungooji/ e ko nandi e muuɗum]. 
5) Heɓugol gineeji cafaaje daabaaji [ cafaaje kulle / gineeji cawrirɗi daabaaji / e ko nandi e muuɗum.] 
6) Nyawuuji maa barmereeji daabaaji 
7) Nguyka daabaaji
8) Naatugol luuɓe na'i faa sooda daabaaji pamari 
9) Heɓugol nyamaale 
10) Heɓugol gollooɓe
11)Goddu
12)ANNDA 
13)SALAADE</t>
        </is>
      </c>
      <c r="Q119" s="27">
        <f>LEN(P119)</f>
        <v/>
      </c>
      <c r="R119" s="153" t="inlineStr">
        <is>
          <t xml:space="preserve">Open Ended-Select All That Apply </t>
        </is>
      </c>
      <c r="S119" s="27" t="inlineStr">
        <is>
          <t>NA</t>
        </is>
      </c>
      <c r="T119" s="27" t="inlineStr">
        <is>
          <t>NA</t>
        </is>
      </c>
      <c r="U119" s="27" t="inlineStr">
        <is>
          <t>Form Type - Checklist
12,13 = IsNone</t>
        </is>
      </c>
      <c r="V119" s="4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W119" s="664" t="inlineStr">
        <is>
          <t>1-13 = ls_salesmain</t>
        </is>
      </c>
      <c r="X119" s="327" t="n"/>
      <c r="Y119" s="311" t="inlineStr">
        <is>
          <t>if ls_proddif_2 = 1-13, go to ls_salesmain OR ls_all</t>
        </is>
      </c>
      <c r="Z119" s="180" t="n"/>
      <c r="AA119" s="66" t="inlineStr">
        <is>
          <t>resp_age = 18-100
(hh_agricactivity = 1 | 3) | (income_main_lscheck = 1) | (income_sec_lscheck = 1) | (income_third_lscheck = 1) 
quotareached = 2
ls_proddif = 1</t>
        </is>
      </c>
      <c r="AB119" s="67" t="n"/>
      <c r="AC119" s="111" t="n">
        <v>27.75464820861816</v>
      </c>
      <c r="AD119" s="374">
        <f>#REF!</f>
        <v/>
      </c>
      <c r="AE119" s="111">
        <f>AC119*AD119</f>
        <v/>
      </c>
    </row>
    <row r="120" ht="21.5" customFormat="1" customHeight="1" s="663" thickBot="1">
      <c r="A120" s="656">
        <f>A119+1</f>
        <v/>
      </c>
      <c r="B120" s="657" t="inlineStr">
        <is>
          <t>ls_all</t>
        </is>
      </c>
      <c r="C120" s="658" t="inlineStr">
        <is>
          <t>ls_all_
1)ls_all_cattle
2)ls_all_goats
3)ls_all_sheep
4)ls_all_swine
5)ls_all_equine
6)ls_all_smallmammals
7)ls_all_poultry
8)ls_all_camelids
9)ls_all_other
10)ls_all_none
11)ls_all_dk
12)ls_all_ref</t>
        </is>
      </c>
      <c r="D120" s="642" t="inlineStr">
        <is>
          <t>Do you own any other livestock aside from {ls_main}, and if so which ones?
[OPERATOR: "No other livestock" APPEARS AT THE END OF THE LIST OF OPTIONS. SELECT ALL ANIMALS LISTED BY THE RESPONDENT.]
1)No other livestock
2)DON'T KNOW
3)REFUSED</t>
        </is>
      </c>
      <c r="E120" s="643">
        <f>LEN(D120)</f>
        <v/>
      </c>
      <c r="F120" s="642" t="inlineStr">
        <is>
          <t>Possédez-vous d'autres animaux d'élevage en dehors de  {ls_main}, et si oui, lesquels ?
[OPÉRATEUR/OPÉRATRICE: "Pas d'autres animaux" FIGURE DANS LES DERNIÈRES OPTIONS DE RÉPONSE. SAISIR TOUS LES ANIMAUX ÉNUMÉRÉS PAR LE RÉPONDANT.]
1)Pas d'autres animaux
2)NE SAIT PAS
3)REFUSÉ</t>
        </is>
      </c>
      <c r="G120" s="643">
        <f>LEN(F120)</f>
        <v/>
      </c>
      <c r="H120" s="645" t="inlineStr">
        <is>
          <t>Bɛgan balota wɛrɛw b’aw fɛ min be dana {ls_main} taw la wa, ni ɔwɔ, jumɛw do? 
[SƆRƆBATIGI:Bɛgan wɛrɛ te yen. BE YE SUGANDILIW LABAN NA. SɛGɛSɛGɛLEN YE BɛGAN MINW Bɛɛ TɔGɔ DI SɛBɛ]. 
1)Bɛgan wɛrɛw te yen. 
2)NE MA DON
3)A BAN NA</t>
        </is>
      </c>
      <c r="I120" s="643">
        <f>LEN(H120)</f>
        <v/>
      </c>
      <c r="J120" s="646" t="inlineStr">
        <is>
          <t>{ls_main}-i la Asɛgɛ laga jɛ kɔra be?
[BIRƐ MA KŨ BANA : ASƐGƐ LAGA CE DOɟU LE KƆRƆ. KASAAN ASƐGƐ MA BON O MA DÃJ TƆ̃ŋƆ̃].
1)Asɛgɛ kɔrɔ
2)ɟUGƆGO
3)JƆWƆLI</t>
        </is>
      </c>
      <c r="K120" s="643">
        <f>LEN(J120)</f>
        <v/>
      </c>
      <c r="L120" s="646" t="inlineStr">
        <is>
          <t>Er gondu almaney fo yong kan matu wey yon {ls_main}, wey fo yong no?
[HANKAA : almene fo yong kul se . A GU FATA SUBAANEY BANDE. HANTUM ALMENEY  KUL KAN NO BOORA CE].
1)Halmeney fo yong si
2) A CHI BEY
3)A WANDJI</t>
        </is>
      </c>
      <c r="M120" s="643">
        <f>LEN(L120)</f>
        <v/>
      </c>
      <c r="N120" s="645" t="inlineStr">
        <is>
          <t xml:space="preserve">Təkrašam imudaran iyaɗ ən agamar waren amos {ls_main}, afal iya, indekan?
[EMASESTƏN: Iden arəzeg iyan. IZGARID ƔOR SAMƏNDO ƏN TAKARƊE. SANƏFRƏNAT IMUDARAN KUL ATIWAƔANEN AS ANASADMOR].
1)Iden irəzegan iyad 
2)WARISENAƔ. 
3)UGAY </t>
        </is>
      </c>
      <c r="O120" s="643">
        <f>LEN(N120)</f>
        <v/>
      </c>
      <c r="P120" s="646" t="inlineStr">
        <is>
          <t>Onna jogii daabaaji mareteeɗi goɗɗi ɗi wanaa {ls_main}, so ayyo ɗile?
[GOLLOWO : Goɗɗi wala. NA TAWEE HANTOODE LIMTOL KOLLOOWOL CUƁEE DAABAAJI ƊI JAABOTOOƊO 'O LIMTI]. 
1)Goɗɗi walaa
2)ANNDA 
3)SALAADE</t>
        </is>
      </c>
      <c r="Q120" s="643">
        <f>LEN(P120)</f>
        <v/>
      </c>
      <c r="R120" s="647" t="inlineStr">
        <is>
          <t>Select All That Apply</t>
        </is>
      </c>
      <c r="S120" s="643" t="inlineStr">
        <is>
          <t>NA</t>
        </is>
      </c>
      <c r="T120" s="643" t="inlineStr">
        <is>
          <t>Send if "ls_main" "Equals" "Cattle [cow / beef / veal / yak / buffalo]" Or "ls_main" "Equals" "Goats"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is>
      </c>
      <c r="U120" s="643" t="inlineStr">
        <is>
          <t>Form Type - Checklist
Include unselected "ls_main"
1,2,3= IsNone</t>
        </is>
      </c>
      <c r="V120" s="659" t="inlineStr">
        <is>
          <t>1)ls_all_cattle
2)ls_all_goats
3)ls_all_sheep
4)ls_all_swine
5)ls_all_equine
6)ls_all_smallmammals
7)ls_all_poultry
8)ls_all_camelids
9)ls_all_other
10)ls_all_none
11)ls_all_dk
12)ls_all_ref</t>
        </is>
      </c>
      <c r="W120" s="650" t="inlineStr">
        <is>
          <t>Dynamic = ls_salesmain
1-3 = ls_salesmain</t>
        </is>
      </c>
      <c r="X120" s="660" t="inlineStr">
        <is>
          <t>AY:  This question is not in the validated questionnaire</t>
        </is>
      </c>
      <c r="Y120" s="652" t="inlineStr">
        <is>
          <t>For any response to ls_all, go to ls_salesmain</t>
        </is>
      </c>
      <c r="Z120" s="653" t="n"/>
      <c r="AA120" s="654" t="inlineStr">
        <is>
          <t>resp_age = 18-100
(hh_agricactivity = 1 | 3) | (income_main_lscheck = 1) | (income_sec_lscheck = 1) | (income_third_lscheck = 1) 
quotareached = 2</t>
        </is>
      </c>
      <c r="AB120" s="661" t="n"/>
      <c r="AC120" s="655" t="n">
        <v>17</v>
      </c>
      <c r="AD120" s="662">
        <f>#REF!</f>
        <v/>
      </c>
      <c r="AE120" s="655">
        <f>AC120*AD120</f>
        <v/>
      </c>
    </row>
    <row r="121" ht="20" customHeight="1" thickBot="1">
      <c r="A121" s="708" t="inlineStr">
        <is>
          <t>E. LIVESTOCK MARKETING</t>
        </is>
      </c>
      <c r="B121" s="739" t="n"/>
      <c r="C121" s="739" t="n"/>
      <c r="D121" s="739" t="n"/>
      <c r="E121" s="739" t="n"/>
      <c r="F121" s="739" t="n"/>
      <c r="G121" s="739" t="n"/>
      <c r="H121" s="739" t="n"/>
      <c r="I121" s="739" t="n"/>
      <c r="J121" s="739" t="n"/>
      <c r="K121" s="739" t="n"/>
      <c r="L121" s="739" t="n"/>
      <c r="M121" s="739" t="n"/>
      <c r="N121" s="739" t="n"/>
      <c r="O121" s="739" t="n"/>
      <c r="P121" s="739" t="n"/>
      <c r="Q121" s="739" t="n"/>
      <c r="R121" s="739" t="n"/>
      <c r="S121" s="739" t="n"/>
      <c r="T121" s="739" t="n"/>
      <c r="U121" s="739" t="n"/>
      <c r="V121" s="739" t="n"/>
      <c r="W121" s="739" t="n"/>
      <c r="X121" s="739" t="n"/>
      <c r="Y121" s="739" t="n"/>
      <c r="Z121" s="739" t="n"/>
      <c r="AA121" s="740" t="n"/>
      <c r="AB121" s="67" t="n"/>
      <c r="AC121" s="45" t="n"/>
      <c r="AD121" s="374">
        <f>#REF!</f>
        <v/>
      </c>
      <c r="AE121" s="45">
        <f>AC121*AD121</f>
        <v/>
      </c>
    </row>
    <row r="122" ht="409.5" customHeight="1">
      <c r="A122" s="336">
        <f>A119+1</f>
        <v/>
      </c>
      <c r="B122" s="36" t="inlineStr">
        <is>
          <t>ls_salesmain</t>
        </is>
      </c>
      <c r="C122" s="48" t="inlineStr">
        <is>
          <t>ls_salesmain</t>
        </is>
      </c>
      <c r="D122" s="173" t="inlineStr">
        <is>
          <t>What has been the main livestock or livestock product sold by your household in the last 3 months?
[OPERATOR: SINGLE RESPONSE. INSIST ON THE MAIN PRODUCT.]
1)Cattle [cow / beef / veal / yak / buffalo]
2)Goats
3)Sheep
4)Swine  [pig / boar / hog / etc]
5)Equine [donkey / horse / etc]
6)Small domesticated mammals [rabbits / minks / guinea pigs / etc]
7)Poultry [chicken / guineafowl / duck / quail / turkey / etc]
8)Camelids
9)Eggs
10)Milk or dairy products
11)Skin or leather or wool
12)DON'T KNOW
13)REFUSED</t>
        </is>
      </c>
      <c r="E122" s="39">
        <f>LEN(D122)</f>
        <v/>
      </c>
      <c r="F122" s="53" t="inlineStr">
        <is>
          <t>Quel a été le principal animal ou produit animal vendu par votre ménage au cours des trois derniers moi 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22" s="39">
        <f>LEN(F122)</f>
        <v/>
      </c>
      <c r="H122" s="51" t="inlineStr">
        <is>
          <t>Aw ka gwaso ye bɛgan jumɛn de feere kalo 3 tɛmɛnin kɔnɔ? 
[SƆRƆBATIGI: JAABILI KELEN. AW YE LASINSIN BOLOFƐN JƆNJƆN FAN FƐ.]
1)Bɛgan [misimuso / turan / misideni / wolosow / kɔkuruw]. 
2)Baaw. 
3)Sagaw. 
4)Lɛɛw [lɛɛ musow / lɛɛ cɛmanw / lee deninw / a n’aw]. 
5)Bɛganbaw [fali / soo / a n’aw]. 
6)Sen naanimanfɛn misɛnw min be sokɔnɔ [sonsani/ vizɔnw/ ɛndi ka lɛɛdeniw/ a n’aw.] 
7)Kɔnɔw [Syɛ / kami / tɔnkɔnɔ / cɛwɔlɔnin / kulekule / a n’aw]. 
8)Kamelide.
 9)Faanw. 
10)Nɔnɔ wala min bɔra nɔnɔ la. 
11)Wolo/ golo wala kasa 
12)NE MA DON
13)A BAN NA</t>
        </is>
      </c>
      <c r="I122" s="39">
        <f>LEN(H122)</f>
        <v/>
      </c>
      <c r="J122" s="51" t="inlineStr">
        <is>
          <t>Ɛ taan dũwõ mi gara bɛrɛ, e uro asɛgɛ maa asɛgɛ maŋ niɲe jɔ-kɔ tɔn gaara dɔ̃rɔ̃?
[BIRƐ BAŊA :CƐ BE KÃRÃ-RA KU IƝEY MAA BERU UJURO SERUWE I].
1)Asɛgɛ [naŋana / naŋa ãrã/ naŋʔi/ naŋa kurɔ boŋo/eɟunaŋa]. 
2)Bɛru. 
3)Peeɟu. 
4)toru [toru ʔi / eɟu toru/ toru/ko tɔɔn ko tãŋa sa fuu]. 
5)Asɛgɛ kɔbɛgɛɟɛ turu ɟere [ɟamdru/ ʃom/ ko tɔɔn ko tãŋa sa fuu]. 
6)Asɛgɛ ɛnɛma ʔi arwakɔ daga-daga be kɔɔra be [ɟɔŋɔ̃/anaasara ɟiɟuwõ/toru/ ko tɔɔn ko tãŋa sa fuu]. 
7)Cɛ tat taru be [éɲé/ ɲaam/ tɔ̃kɔnɔɔɟɔ/ anaasara sugu/ kolokolo/ ko tɔɔn ko tãŋa sa fuu]. 
8)Anasaara bɛru be.
9)Cɛ taru be. 
10)Ɛm maa/ maa ɛm le cɛ be ceene be. 
11)Guɟu/ guɟu be ceeneti/ peeɟu kurɔ ma jiru.
12)ɟUGƆGO
13)JƆWƆLI</t>
        </is>
      </c>
      <c r="K122" s="39">
        <f>LEN(J122)</f>
        <v/>
      </c>
      <c r="L122" s="51" t="inlineStr">
        <is>
          <t>Almene beero  fo no er hu boorey biiri  wal ku neere hand hiinzo kan bis ga?
[HÃKA: BORO MU HÃ KU BOORI HALA I MU DU SENNIBONO]. 
1)Almene [almeney-hawo wey / hawo /  hawi izo / yaro /  ginju haw]. 
2)Hanciino 
3)Feego  
4)Bilkangn [koyru bilknu/ginjoo bilknangn/ifo yong).] 
5)Faarkey irey [farka/beriyo/ifo yong]
6)Almene ketiyey [tabey-bizoon-ind won bilkney]
7)Fatkoyey [gorgney/ciirey bi/kanaro/sasa/dindey/ifoyong]  
8)Yowey. 
9)Gurey.
10)Waah wal waah iizey. 
11)Kuro/ kuro kan i anse wal kuro fo yong.
12) A CHI BEY
13)A WANDJI</t>
        </is>
      </c>
      <c r="M122" s="39">
        <f>LEN(L122)</f>
        <v/>
      </c>
      <c r="N122" s="51" t="inlineStr">
        <is>
          <t xml:space="preserve">Indek amudar ogaran meɣ harat ən agamar ašəšahin alɣayal nawan ɣor 3 oran okaynen?
[ƏMASESTƏN: SISTƏNAT HULEN FAL ALIL WA ATIWASANAN].
1)Arəzeg [tast/tast/aloki/yak/tast narog]. 
2)Uliten. 
3)Tihaten. 
4)Aɣurɣuru [aɣurɣuru/akurkuru/aɣurɣuru/sikuy]
5)Imudaran win ifləšiwan [ešed/ebaje/dikuy]. 
6)Imudaran əndaratnen ən ihanan [timarwalen/ɣisons/iɣurɣurutan fin Inde/sikuy.]
7)igədaɗan [ikazan/taylalen/takənšamənt/tabadəkat /dinde/sikuy]. 
8)Imnasan. 
9)Tisadalen. 
10)Asilay meɣ harat ən asilayan. 
11)Elam/ eɣayt meɣ amzadan 
12)WARISENAƔ. 
13)UGAY </t>
        </is>
      </c>
      <c r="O122" s="39">
        <f>LEN(N122)</f>
        <v/>
      </c>
      <c r="P122" s="51" t="inlineStr">
        <is>
          <t>Ɗume wonnoo ndaaba hooreya maa fii maral ngan woru mon go sonni ley lebbi 3 sakitiiɗi?
[GOLLOOWO:  CIINANEE KO ƁE ƁURI GOLLUDE]. 
1)Daaba [nagge rewee/ngge/ɓii nagge/yak/nagge ladde] 
2)Mbeewa.
3)Mbaalu. 
4)Ngirow 
5)Ɗi kolɲi [ara/puccu leeɓi/ etc]
6)Muyninooji ɗi wuro [boje/ visons/ ngirow/ kolokolo /etc]. 
7)Piirooji [jofan/jawngal/tonkonowal/gerral/kolokolo/etc.] 
8)Walƴotooɗi. 
9)Ɓoccooɗe. 
10)Kosam maa fii kosam. 
11)Nguru nguru maa leeɓi
12)ANNDA 
13)SALAADE</t>
        </is>
      </c>
      <c r="Q122" s="39">
        <f>LEN(P122)</f>
        <v/>
      </c>
      <c r="R122" s="137" t="inlineStr">
        <is>
          <t>Single Choice</t>
        </is>
      </c>
      <c r="S122" s="39" t="inlineStr">
        <is>
          <t>NA</t>
        </is>
      </c>
      <c r="T122" s="437"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U122" s="48" t="inlineStr">
        <is>
          <t>Form Type - Buttons
IsDemographic</t>
        </is>
      </c>
      <c r="V122" s="184" t="inlineStr">
        <is>
          <t>NA</t>
        </is>
      </c>
      <c r="W122" s="41" t="inlineStr">
        <is>
          <t>1-11 = ls_salesdif
12-13 = fish_intro</t>
        </is>
      </c>
      <c r="X122" s="335" t="n"/>
      <c r="Y122" s="302" t="inlineStr">
        <is>
          <t>If either income_main or income_sec or income_third = "Production and sale of livestock and livestock products", then this section will be asked to respondents.
Otherwise, skip to fish_main.
if ls_salesmain = 1-11, go to ls_salesdif_1 ; 
if ls_salesmain = 12-13, go to fish_intro</t>
        </is>
      </c>
      <c r="Z122" s="122" t="n"/>
      <c r="AA122" s="43" t="inlineStr">
        <is>
          <t>resp_age = 18-100
hh_agricactivity = 1 | 2 | 3 | 4
(income_main = 4 | income_sec = 4 | income_third = 4)
quotareached = 2</t>
        </is>
      </c>
      <c r="AB122" s="44" t="n"/>
      <c r="AC122" s="111" t="n">
        <v>13.99939060211182</v>
      </c>
      <c r="AD122" s="374">
        <f>#REF!</f>
        <v/>
      </c>
      <c r="AE122" s="111">
        <f>AC122*AD122</f>
        <v/>
      </c>
    </row>
    <row r="123" ht="194.25" customHeight="1">
      <c r="A123" s="88">
        <f>A122+1</f>
        <v/>
      </c>
      <c r="B123" s="175" t="inlineStr">
        <is>
          <t>ls_salesdif</t>
        </is>
      </c>
      <c r="C123" s="48" t="inlineStr">
        <is>
          <t>ls_salesdif</t>
        </is>
      </c>
      <c r="D123" s="49" t="inlineStr">
        <is>
          <t>Has your household faced any significant difficulty in the last 3 months selling your {ls_salesmain}?
[OPERATOR: SINGLE RESPONSE.]
1)YES
2)NO
3)DON'T KNOW
4)REFUSED</t>
        </is>
      </c>
      <c r="E123" s="27">
        <f>LEN(D123)</f>
        <v/>
      </c>
      <c r="F123" s="57" t="inlineStr">
        <is>
          <t>Votre ménage a-t-il rencontré d'importantes difficultés pour vendre ses {ls_salesmain} au cours des trois derniers mois ?
[OPÉRATEUR/OPÉRATRICE: RÉPONSE UNIQUE.]
1)Oui
2)Non
3)NE SAIT PAS
4)REFUSÉ</t>
        </is>
      </c>
      <c r="G123" s="156">
        <f>LEN(F123)</f>
        <v/>
      </c>
      <c r="H123" s="28" t="inlineStr">
        <is>
          <t>Aw gwasomɔgɔw ye gwɛlɛyaba dɔ sɔrɔ kalo 3 tɛmɛni na k’aw {ls_salesmain} feere wa?
[NIENIGALI KÈLA: DIABI KELEN]
1)ƆWƆ 
2)AYI 
3)NE MA DON
4)A BAN NA</t>
        </is>
      </c>
      <c r="I123" s="27">
        <f>LEN(H123)</f>
        <v/>
      </c>
      <c r="J123" s="28" t="inlineStr">
        <is>
          <t>Ãkuju taan dũwõ bɛrɛ {ls_salesmain} mà dɔ̃rũ mà ojuka nam mɔɲu e uro lé bee-sà maa?
[BIRƐ MA KŨ BAŋA : UɟURU KƆ TURU LE BE SAA-I]
1)ÉE
2)Ɔ̃-Ɔ̃
3)ɟUGƆGO
4)JƆWƆLI</t>
        </is>
      </c>
      <c r="K123" s="27">
        <f>LEN(J123)</f>
        <v/>
      </c>
      <c r="L123" s="28" t="inlineStr">
        <is>
          <t>Er huwo du sendey handu hĩzey wey ndu cere game kaŋ nu a genji a mu ngu won {ls_salesmain} neere ?
[HANKOYO:  MACHI TA KA HAR DJAABI FO]
1) AYYO
2) KALA
3) A CHI BEY
4) A WANDJI</t>
        </is>
      </c>
      <c r="M123" s="156">
        <f>LEN(L123)</f>
        <v/>
      </c>
      <c r="N123" s="28" t="inlineStr">
        <is>
          <t xml:space="preserve">Amazaɣ nawan eqal amuqasan əd aśahatan iknanen ɣur dǎɣ karad uran wi dokaynen fal ašiš ən nawan {ls_salesmain}?
[EMASESTƏN : ALƏƔI IYANDAƔ].
1)IYA 
2)BABO.
3)WARISENAƔ. 
4)UGAY </t>
        </is>
      </c>
      <c r="O123" s="156">
        <f>LEN(N123)</f>
        <v/>
      </c>
      <c r="P123" s="28" t="inlineStr">
        <is>
          <t>Ɓaade mooɗon hawrii fuh e tiiɗormaaji mawɗi banngal mardi ley lebbi tati cakitiiɗi ɗii banngal soonnugol {ls_salesmain} mooɗon?
[GOLLOOWO : JAWAABU GOOTO].
1)AYYO 
2)AA'A. 
3)ANNDA 
4)SALAADE</t>
        </is>
      </c>
      <c r="Q123" s="156">
        <f>LEN(P123)</f>
        <v/>
      </c>
      <c r="R123" s="63" t="inlineStr">
        <is>
          <t>Single Choice</t>
        </is>
      </c>
      <c r="S123" s="27" t="inlineStr">
        <is>
          <t>NA</t>
        </is>
      </c>
      <c r="T123" s="27" t="inlineStr">
        <is>
          <t>NA</t>
        </is>
      </c>
      <c r="U123" s="27" t="inlineStr">
        <is>
          <t>Form Type - Buttons</t>
        </is>
      </c>
      <c r="V123" s="141" t="inlineStr">
        <is>
          <t>NA</t>
        </is>
      </c>
      <c r="W123" s="64" t="inlineStr">
        <is>
          <t>1 = ls_salesdif_2
2-4 = ls_salesprice</t>
        </is>
      </c>
      <c r="X123" s="319" t="n"/>
      <c r="Y123" s="297" t="inlineStr">
        <is>
          <t>if ls_salesdif_1 = 1, go to ls_salesdif_2 ; 
if ls_salesdif_1 = 2-4, go to ls_salesprice</t>
        </is>
      </c>
      <c r="Z123" s="87" t="n"/>
      <c r="AA123" s="66" t="inlineStr">
        <is>
          <t>resp_age = 18-100
hh_agricactivity = 1 | 2 | 3 | 4
(income_main = 4 | income_sec = 4 | income_third = 4)
quotareached = 2
ls_salesmain = 1-11</t>
        </is>
      </c>
      <c r="AB123" s="67" t="n"/>
      <c r="AC123" s="111" t="n">
        <v>10.25279426574707</v>
      </c>
      <c r="AD123" s="374">
        <f>#REF!</f>
        <v/>
      </c>
      <c r="AE123" s="111">
        <f>AC123*AD123</f>
        <v/>
      </c>
    </row>
    <row r="124" ht="380" customHeight="1">
      <c r="A124" s="88">
        <f>A123+1</f>
        <v/>
      </c>
      <c r="B124" s="56" t="inlineStr">
        <is>
          <t>ls_salesdif_2</t>
        </is>
      </c>
      <c r="C124" s="4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24" s="185" t="inlineStr">
        <is>
          <t>Which difficulties has your household faced in the last 3 months in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24" s="27">
        <f>LEN(D124)</f>
        <v/>
      </c>
      <c r="F124" s="57"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2)Dommages et pertes pendant le transport ou difficulté d'accès au marché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24" s="451">
        <f>LEN(F124)</f>
        <v/>
      </c>
      <c r="H124" s="284" t="inlineStr">
        <is>
          <t>Aw gwasomɔgɔ ye mun gwɛlɛya de sɔrɔ kalo 3 tɛmɛni n k’aw {ls_salesmain} feere? 
SƆRƆBATIGI: JAABILI CAMAN N'AW BƐ SE. AW YE ƝƐNATƆMƆLI MIN KƐƝƐNAN NI JAABILKƐLAW YE KIBARUYA MIN DIRA.]
1)Pase sungɔ wali dɔgɔ sɔngɔ sugufyɛ sɔngɔ ka ca kosɔbɛ
2)Suman cɛɲɛna ani dɔ tunununa blayɔrɔ ko kosɔn ani/wala gwɛlɛya don ka se sugufyɛ la [misaliya la terorisi kama/ sira ko/ ]
3)Fɔlɔ sannikɛlaw tɛ san tugu
4)Sannikɛlaw/feerebagaw tɛ wari sara joona
5)Feere sɔngɔ ka dɔgɔ [misaliya la Ka kɛqɛ ni sccrccta wari ani sɛnɛ sɔbgɔ]
6)Baganfagayɔrɔw datugulen don wala gwɛlɛya bɛ ka se baganfagayɔrɔw ye
7)Masiniw tɛ yen ka suman fɛnw dilan [dilan minan / masiniw]
8)Feere fɛn caaman bɛ sugufyɛ la
9)Fɛn wɛrɛ
10)A M'A DƆN
11)BANNI</t>
        </is>
      </c>
      <c r="I124" s="204">
        <f>LEN(H124)</f>
        <v/>
      </c>
      <c r="J124" s="284" t="inlineStr">
        <is>
          <t>Ãkuju taan dũwõ bɛrɛ {ls_salesmain} mà dɔ̃rũ mà ojuka nam mɔɲu iɲey eke uro lé bee-sà maa ?
[BIRƐ BAŊA : KASARA JÓ GAMA TƐMƐWƐ̃-KƆ. INEM UJURU E UJURA-RA KAAMIRẼ ERU O LÉ DII GAARA HAWRA-KƆ KUU YANA I, KÒ DÉNEE-DENEE YANA BE BƐ̀RƐ̀].
1) Tarampɔɔru máa dɔn-dɔ̃rũ ojukaa laga dɔn bonŋo lɔgɔ gay yɛ
2) Ko wayasu bɛrɛ ɲɔwɔ̃ tɛwa-ra bée/ pɛrtu bee-ra bée/ máa ɛwɛ lé bɛrɛ nuwo-go
3) Dɔn ɛwɛ wɛɛjɛm màa ãgoro yaŋa wɛɛjɛm mà wɔɔrɔ   
4) Dɔn ɛwɛm/ãgoro yaŋam mà ɔɣii mà dɔn tɔjɔ-go
5) Niɲe bé dɔn bè ɛwa-ra tɛ̃ɲ-kɔ [gama/ cɛ kuno mine kò bè cenaa-ra/niɲe bé dɔn dãy bara-ra lé wata-ti bà ley].
6) Abatuwaru bé pin-i bà màa abatuwaru bɛrɛ mà bɛrɛ-nuy nam-kɔ
7) Abatuwaru bé pin mà ni goyɛ ley/ cɛ e bɛrɛ biliwɛ mine kaaɲey máa cɛ́ dɔ̃rɔ̃ mà tanuŋu nam-kɔ [cɛ kuno ko niɲe bè birɛ kũ bé bɛru nam-kɔ/niɲe birɛ-biru béne bɛruwɛ-go/ ko jin ko jin mà cɛ.]
8)ɛwɛ bɛ̀rɛ̀ niɲe bé jo-lɔgaa
9) Ojuka laga bé
10)JUGƆ-GO WA
11) YƆWƆ-LI</t>
        </is>
      </c>
      <c r="K124" s="204">
        <f>LEN(J124)</f>
        <v/>
      </c>
      <c r="L124" s="284" t="inlineStr">
        <is>
          <t>Handu hĩzey wey ndu cere game sendey foyoŋ no er huwo du er won {ls_salesmain} neera ga ?
[HÃKA: ZAABEY GU BA KAŊ I GU HINI KU NO. ER MU SAMBU WEY KAŊYOŊ GU KOY NDU HÃYOŊO KAŊYOŊ NO BORA ZAABI]
1)mootu nooro wala neera jiney foyoŋ nangu caada 
2)jiney hasara ndu i dereyoŋo i konda hebey gayoŋ wala bine hebey ga koyŋo duuro jaŋa
3)deykow si sanda borey kaŋ gu ka herci wala bine deykow zeeney
4)hercikey ndu deykey su taru ku nooro bana
5)deymo nooro ye bande [sanda/ dumiizey serferma noora gu sendi/ jina kulu cada].
6)abatuwaarey daabuyoŋo  wala abatuwaarey do toyoŋo duuro jaŋa
7)goyey su du ku te hala abatuwaarey daabu [seferey duuro jaŋa/jiney kaŋ gu goyo te/ wkc.]
8)hebiizo ba hebey ga
9)i foyoŋ
10)EY SU BEY
11)WENGE</t>
        </is>
      </c>
      <c r="M124" s="451">
        <f>LEN(L124)</f>
        <v/>
      </c>
      <c r="N124" s="284" t="inlineStr">
        <is>
          <t>Əndek aśahat was amazaɣ nawan eqal adirimuqas ɣur dǎɣ karad uran wi dokaynen fal ašiš ən nawan {ls_salesmain}?
[ƏMASESTƏN: ILIƔITAN AJOTNEN ADOBEN. AKISAT TABARATEN TI ANIMAHALNEN HULEN YE ISALAN WI ATIWAFANEN ƏS ADINAT WI ATIWASASTANEN]. 
1)Alhak wan asikil meɣ iyad alhakan ən šišitan oftanen 
2)Aɣašad əd ibatan ugud wan asikil meɣ aśuhu ən ugiš ən hebu 
3)Iba ən asostan ən səbret ən madalan meɣ imašašan wi hadani
4)Tahagit ən təmzal tən ibret ən madalan/imašašan 
5)Alhak ən asuk ifnazan [dǎɣ sund/ ibret ən alhakan wən ilalan/ awidan].
6)Iheran ən dagan wi sanətan meɣ aśuhu ən agaraw ən dagan ən sanətan
7)Aśahatan ən səmutuyan ən ilalan iyad ye eher ən dagan wən sanətan [iba nagaraw ən abarji/ ilalan wən səmutuyan/ iyad.]
8)Hebu etqaran ilalan
9)Iyad
10)WARISENAƔ
11)UGAY</t>
        </is>
      </c>
      <c r="O124" s="451">
        <f>LEN(N124)</f>
        <v/>
      </c>
      <c r="P124" s="284" t="inlineStr">
        <is>
          <t>Tiiɗormaaji ɗiye ɓaade mooɗon hawri ley lebbi tati cakitiiɗi ɗii banngal soonnugol {ls_salesmain} mooɗon? 
[GOLLOOWO : JAABUUJI KEEWƊI NA MBAAWI JAƁEEDE. SUƁA JAABUUJI ƁURUƊI HAWRUDE E KIBAARUUJI ƊI LAMNDAAƁE ƁEN KOKKI]. 
1) Ceede taransipoor maa ceede coogguuji goɗɗi tiiɗuɗi 
2) Bononda e mursuuji saabee e tiiɗormaaji ndesaa e/maa tiiɗormaaji heɓugol jaaguuji. 
3) Rafi ƴamugol diilaaniiɓe maa soodooɓe abadaaɓe.
4) Hanndagol njoɓdi ƴuude e diilaaniiɓe/ soodooɓe 
5) Saamugol cooggu [hono/ coogguuji gineeji / ɓeydagol coogguuji]. 
6) Uddugol koosaaje maa tiiɗormaaji banngal heɓugol naata nder koosaaje 
7) Tiiɗormaaji waylitingol neemaaji ko baka uddugol koosaaje walaa [ rafi heɓugol gineeji gollitorɗi / gineeji baylitirɗi neema on/ e ko nandi e muuɗum yaade.]
8) Luumo heewu gineeji faa wittitii
9) Goɗɗum
10)ANNDA 
11)SALAADE</t>
        </is>
      </c>
      <c r="Q124" s="156">
        <f>LEN(P124)</f>
        <v/>
      </c>
      <c r="R124" s="153" t="inlineStr">
        <is>
          <t xml:space="preserve">Select All That Apply </t>
        </is>
      </c>
      <c r="S124" s="27" t="inlineStr">
        <is>
          <t>NA</t>
        </is>
      </c>
      <c r="T124" s="27" t="inlineStr">
        <is>
          <t>NA</t>
        </is>
      </c>
      <c r="U124" s="27" t="inlineStr">
        <is>
          <t>Form Type - Checklist
10,11 = IsNone</t>
        </is>
      </c>
      <c r="V124" s="4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W124" s="64" t="inlineStr">
        <is>
          <t>1-11 = ls_salesprice</t>
        </is>
      </c>
      <c r="X124" s="321" t="n"/>
      <c r="Y124" s="297" t="inlineStr">
        <is>
          <t>if ls_salesdif_2 = 1-9, go to ls_salesprice</t>
        </is>
      </c>
      <c r="Z124" s="87" t="n"/>
      <c r="AA124" s="66" t="inlineStr">
        <is>
          <t>resp_age = 18-100
hh_agricactivity = 1 | 2 | 3 | 4
(income_main = 4 | income_sec = 4 | income_third = 4)
quotareached = 2
ls_salesmain = 1-11
ls_salesdif = 1</t>
        </is>
      </c>
      <c r="AB124" s="67" t="n"/>
      <c r="AC124" s="111" t="n">
        <v>24.19434356689453</v>
      </c>
      <c r="AD124" s="374">
        <f>#REF!</f>
        <v/>
      </c>
      <c r="AE124" s="111">
        <f>AC124*AD124</f>
        <v/>
      </c>
    </row>
    <row r="125" ht="314" customHeight="1" thickBot="1">
      <c r="A125" s="92">
        <f>A124+1</f>
        <v/>
      </c>
      <c r="B125" s="93" t="inlineStr">
        <is>
          <t>ls_salesprice</t>
        </is>
      </c>
      <c r="C125" s="94" t="inlineStr">
        <is>
          <t>ls_salesprice</t>
        </is>
      </c>
      <c r="D125" s="95" t="inlineStr">
        <is>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is>
      </c>
      <c r="E125" s="96">
        <f>LEN(D125)</f>
        <v/>
      </c>
      <c r="F125" s="701" t="inlineStr">
        <is>
          <t>Comment le prix actuel des {ls_salesmain} de votre ménage se compare-t-il au prix moyen de la même période d'une annee normale?
[OPÉRATEUR/OPÉRATRICE: RÉPONSE UNIQUE. INSISTER SUR LE PRINCIPAL PRODUIT MENTIONNÉ AUPARAVANT.]
1)Très supérieur [augmentation de plus de 50%]
2)Légèrement supérieur
3)Identique
4)Légèrement inférieur
5)Très inférieur [moins de la moitié]
6)NE SAIT PAS
7)REFUSÉ</t>
        </is>
      </c>
      <c r="G125" s="702">
        <f>LEN(F125)</f>
        <v/>
      </c>
      <c r="H125" s="701" t="inlineStr">
        <is>
          <t>Aw ka gwaso sɔngɔ be di bi ka kɛɲɛ ni {ls_salesmain} ye bii n’a be suma ni saan dafalen kelen ta ye? 
[SƆRƆBATIGI: JAABI KELEN, I KA SINSIN FƐƐN JƆNJƆN MIN FƆRA KAN]. 
1)Kosɔbɛ kɛ [dɔ fara la ka ta tɛmɛ a 50% yɛrɛ kan]. 
2)Dɔɔni fara la. 
3)A bɛɛ ye kelen ye. 
4)Dɔɔni bɔra a la 
5)Caaman bɔra la [a ma se a camancɛ ma]
6)NE MA DON
7)A BAN NA</t>
        </is>
      </c>
      <c r="I125" s="703">
        <f>LEN(H125)</f>
        <v/>
      </c>
      <c r="J125" s="701" t="inlineStr">
        <is>
          <t>Jow-ɟin e uro ma {ls_salesmain} dɔn nim ƙɔ, ãrãkuɟu waɟa ma doguru nuŋo ko dɔn tuwõ kɔ?
[BIRƐ MA KŨ BAŋA : KASAJ TTURU SAJ, KO UɟURU MAKU CƐ MA MANA ƐɟII UɟURO SEREWE].
1)Boŋoo bara [50% baa barà]. 
2)Dagaa bara. 
3)Balii gamali [kɛw] 
4)Dagaa gama. 
5)Boŋoo gama [ko ɟɛrɛ-i gama].
6)ɟUGƆGO. 
7)JƆWƆLI.</t>
        </is>
      </c>
      <c r="K125" s="703">
        <f>LEN(J125)</f>
        <v/>
      </c>
      <c r="L125" s="701" t="inlineStr">
        <is>
          <t>Mate no er gu soo hindu nooro {ls_salesmain} deedindu ndu jiire hiine woono. 
 [HANKAA : TUYONG FOOLON, CEENAA MBOORI ALMENE BEERA BONG].
1)A gu bis woo lay [gooruri 50 % wal tonton].  
2)a gu bissa keyna  .  
3)I kul ifo .  
4)A su toora . 
5)A su toora lay [ciina toora]
6) A CHI BEY
7)A WANDJI</t>
        </is>
      </c>
      <c r="M125" s="702">
        <f>LEN(L125)</f>
        <v/>
      </c>
      <c r="N125" s="704" t="inlineStr">
        <is>
          <t xml:space="preserve">Indek amək ən hebu nišray {ls_salesmain} ən alɣayal nawan itamagdah ad hebu darusan ɣor alwaq iyan ən awatay iknan ?
[EMASESTƏN : ALƏƔI IYANDǍƔ, SISTIN FAL ALIL WA AZARAN ATIWAGAN].
1)Ajen ogaran [asiwid ən ogaran 50%]. 
2)Andiran ogaran. 
3)Olahnen. 
4)Andiran midriyan.                                                 
5)Ajen madriyan [amidriyan ən tizune]. 
6)WARISENAƔ. 
7)UGAY </t>
        </is>
      </c>
      <c r="O125" s="702">
        <f>LEN(N125)</f>
        <v/>
      </c>
      <c r="P125" s="704" t="inlineStr">
        <is>
          <t>Noy coggu {ls_salesmain} jooniiwu wuro mon warata e coggu fotorgu hitaande hurnde o wakati gooto ?
[GOLLOOWO : JAABU GOOTO TAN. TEEŊINII HAALA MUUƊUM DI MANGAL GOLLE] 
1)No ɓuri no woowirnoo non sanne [ɓeydagol ceede coogguuji faa hewti 50%]
2)No ɓuri no woowirnoo non seeɗa. 
3)yo foodu. 
4)Ñakii no woowirnoo non seeɗa. 
5)Ñakii no woowirnoo non sanne [Hewtaay fay feccere no woowirnoo].
6)MI ANDA
7)SALAADE</t>
        </is>
      </c>
      <c r="Q125" s="272">
        <f>LEN(P125)</f>
        <v/>
      </c>
      <c r="R125" s="98" t="inlineStr">
        <is>
          <t>Single Choice</t>
        </is>
      </c>
      <c r="S125" s="96" t="inlineStr">
        <is>
          <t>NA</t>
        </is>
      </c>
      <c r="T125" s="96" t="inlineStr">
        <is>
          <t>NA</t>
        </is>
      </c>
      <c r="U125" s="96" t="inlineStr">
        <is>
          <t>Form Type - Buttons</t>
        </is>
      </c>
      <c r="V125" s="388" t="inlineStr">
        <is>
          <t>NA</t>
        </is>
      </c>
      <c r="W125" s="383" t="inlineStr">
        <is>
          <t>1-7 = fish_intro</t>
        </is>
      </c>
      <c r="X125" s="384" t="n"/>
      <c r="Y125" s="389" t="inlineStr">
        <is>
          <t>For options #1-7, go to fish_intro</t>
        </is>
      </c>
      <c r="Z125" s="390" t="n"/>
      <c r="AA125" s="148" t="inlineStr">
        <is>
          <t>resp_age = 18-100
hh_agricactivity = 1 | 2 | 3 | 4
(income_main = 4 | income_sec = 4 | income_third = 4)
quotareached = 2
ls_salesmain = 1-11</t>
        </is>
      </c>
      <c r="AB125" s="67" t="n"/>
      <c r="AC125" s="111" t="n">
        <v>19.32173728942871</v>
      </c>
      <c r="AD125" s="374">
        <f>#REF!</f>
        <v/>
      </c>
      <c r="AE125" s="111">
        <f>AC125*AD125</f>
        <v/>
      </c>
    </row>
    <row r="126" ht="20" customHeight="1" thickBot="1">
      <c r="A126" s="708" t="inlineStr">
        <is>
          <t>F. FISHERIES PRODUCTION</t>
        </is>
      </c>
      <c r="B126" s="739" t="n"/>
      <c r="C126" s="739" t="n"/>
      <c r="D126" s="739" t="n"/>
      <c r="E126" s="739" t="n"/>
      <c r="F126" s="739" t="n"/>
      <c r="G126" s="739" t="n"/>
      <c r="H126" s="739" t="n"/>
      <c r="I126" s="739" t="n"/>
      <c r="J126" s="739" t="n"/>
      <c r="K126" s="739" t="n"/>
      <c r="L126" s="739" t="n"/>
      <c r="M126" s="739" t="n"/>
      <c r="N126" s="739" t="n"/>
      <c r="O126" s="739" t="n"/>
      <c r="P126" s="739" t="n"/>
      <c r="Q126" s="739" t="n"/>
      <c r="R126" s="739" t="n"/>
      <c r="S126" s="739" t="n"/>
      <c r="T126" s="739" t="n"/>
      <c r="U126" s="739" t="n"/>
      <c r="V126" s="739" t="n"/>
      <c r="W126" s="739" t="n"/>
      <c r="X126" s="739" t="n"/>
      <c r="Y126" s="739" t="n"/>
      <c r="Z126" s="739" t="n"/>
      <c r="AA126" s="740" t="n"/>
      <c r="AC126" s="45" t="n"/>
      <c r="AD126" s="280" t="n"/>
      <c r="AE126" s="45" t="n"/>
    </row>
    <row r="127" ht="150" customHeight="1">
      <c r="A127" s="336">
        <f>A125+1</f>
        <v/>
      </c>
      <c r="B127" s="36" t="inlineStr">
        <is>
          <t>fish_intro</t>
        </is>
      </c>
      <c r="C127" s="48" t="inlineStr">
        <is>
          <t>fish_intro</t>
        </is>
      </c>
      <c r="D127" s="444" t="inlineStr">
        <is>
          <t>We will now ask you some questions about fishing and aquaculture production which apply to you and anyone in your household that is involved in the capture, culture, or harvest of fish and aquatic products.
1)CONTINUE</t>
        </is>
      </c>
      <c r="E127" s="39">
        <f>LEN(D127)</f>
        <v/>
      </c>
      <c r="F127" s="665" t="inlineStr">
        <is>
          <t>Nous allons maintenant vous poser quelques questions sur la pêche et la production aquacole. Ces questions s'appliquent à vous et à toute personne de votre foyer impliquée dans la capture, l'élevage, la transformation ou la vente de poisson.
1)CONTINUER</t>
        </is>
      </c>
      <c r="G127" s="39">
        <f>LEN(F127)</f>
        <v/>
      </c>
      <c r="H127" s="51" t="inlineStr">
        <is>
          <t xml:space="preserve">Sisan n bɛna ɲinankali dɔ ɲinqnka I fɛ I n’a fɔ jɛgɛ mɔnni ani jɛgɛ mara sɔrɔta ka kɛɲɛ n’I ma ani gwasomɔgɔ kelen kelen min bɛ jɛgɛ mɔ, ka jɛgɛ mara, ani jɛgɛ dilan wala k’a feere. 
1)NƆCƐ </t>
        </is>
      </c>
      <c r="I127" s="39">
        <f>LEN(H127)</f>
        <v/>
      </c>
      <c r="J127" s="51" t="inlineStr">
        <is>
          <t xml:space="preserve">Nim ge iiju-ay bee ko dɔ̃rũ bee ojukaa mà mana, uɟuru daga eru uɟuro-i, kono ée, é uro inen, a-aa-i kãrã, iiju ay, ko kɔy, ko biliwɛ kaaɲey laga mà tãnuŋuu màa ko dɔrũ lé kunin cɛw, koujuru ko baŋa mana wɔkɔ.
1)ɟIɟƐ GARA </t>
        </is>
      </c>
      <c r="K127" s="39">
        <f>LEN(J127)</f>
        <v/>
      </c>
      <c r="L127" s="51" t="inlineStr">
        <is>
          <t xml:space="preserve">Hino wo ir su er hã ndu kala tamo ndu hay kaŋ go haro ga boŋ, er ndu er huwo borey goyey fonda ga kaŋ gu koy hamiisa diiyoŋo miso a biiriyoŋo miso, a bere ku te hay foyoŋo wala a neera.
1)KOY JIINE
</t>
        </is>
      </c>
      <c r="M127" s="39">
        <f>LEN(L127)</f>
        <v/>
      </c>
      <c r="N127" s="51" t="inlineStr">
        <is>
          <t xml:space="preserve">Anaku amara akawan nəsistin əd asostan iyad fal ukis ən manan əd ajamar ən arizeg, wi tagam kawaned əd awadəm dǎɣ ən amazaɣ nawan ihan dǎɣ adakal, asidwal, asəmutiy meɣ ašiš ən manan.
1)AKIYAT </t>
        </is>
      </c>
      <c r="O127" s="39">
        <f>LEN(N127)</f>
        <v/>
      </c>
      <c r="P127" s="51" t="inlineStr">
        <is>
          <t>Joonin men lamndoto-ɗon seeɗa ko haɓɓodii e liƴƴagol e marugol liƴƴi mooɗon anon e kala ngonuɗo nder ɓaade mooɗon fuh kawtuɗo e nanngugol maa marugol, waylitingol maa soonnugol liƴƴi ɗin.
1)YEESO</t>
        </is>
      </c>
      <c r="Q127" s="39">
        <f>LEN(P127)</f>
        <v/>
      </c>
      <c r="R127" s="39" t="inlineStr">
        <is>
          <t>Single Choice</t>
        </is>
      </c>
      <c r="S127" s="39" t="inlineStr">
        <is>
          <t>NA</t>
        </is>
      </c>
      <c r="T127" s="437" t="inlineStr">
        <is>
          <t>Send if "hh_fish" "Equals" "YES" Or "income_main_fish_check" "Equals" "YES" Or "income_sec_fish_check" "Equals" "YES" Or "income_third_fish_check" "Equals" "YES" if not satisfied go to "fies_intro"</t>
        </is>
      </c>
      <c r="U127" s="39" t="inlineStr">
        <is>
          <t>Form Type - Buttons</t>
        </is>
      </c>
      <c r="V127" s="40" t="inlineStr">
        <is>
          <t>NA</t>
        </is>
      </c>
      <c r="W127" s="41" t="inlineStr">
        <is>
          <t>1 = fish_main</t>
        </is>
      </c>
      <c r="X127" s="666" t="n"/>
      <c r="Y127" s="308" t="inlineStr">
        <is>
          <t>If the respondent reported production and sales of fish in one of the three main income sources and confirmed that they are involved in production, then this section will be administered to respondents. Otherwise, skip to fies</t>
        </is>
      </c>
      <c r="Z127" s="174" t="n"/>
      <c r="AA127" s="43" t="inlineStr">
        <is>
          <t>resp_age = 18-100
hh_agricactivity = 1| 2 | 3 | 4
(income_main_fishcheck = 1) | (income_sec_fishcheck = 1) | (income_third_fishcheck = 1) 
quotareached = 2</t>
        </is>
      </c>
      <c r="AB127" s="44" t="n"/>
      <c r="AC127" s="111" t="n">
        <v>7.5</v>
      </c>
      <c r="AD127" s="374">
        <f>#REF!</f>
        <v/>
      </c>
      <c r="AE127" s="111">
        <f>AC127*AD127</f>
        <v/>
      </c>
    </row>
    <row r="128" ht="250.5" customHeight="1">
      <c r="A128" s="88">
        <f>A127+1</f>
        <v/>
      </c>
      <c r="B128" s="36" t="inlineStr">
        <is>
          <t>fish_main</t>
        </is>
      </c>
      <c r="C128" s="279" t="inlineStr">
        <is>
          <t>fish_main_
1) fish_main_coastal
2) fish_main_offshore_sea
3) fish_main_freshwater
4) fish_main_aquaculture
5) fish_main_dk
6) fish_main_ref</t>
        </is>
      </c>
      <c r="D128" s="3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28" s="39">
        <f>LEN(D128)</f>
        <v/>
      </c>
      <c r="F128" s="5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28" s="39">
        <f>LEN(F128)</f>
        <v/>
      </c>
      <c r="H128" s="371" t="inlineStr">
        <is>
          <t>Monni baara sougou djoumè be kè aw ka goua fè ka tiaya?
[NIENIGALIKÈLA: DIABI TIAMA]
1)Kɔgɔji da /delta/wala kɔba jɛgɛ mɔ yɔrɔ kɛrɛfɛ
2)Kɔgɔjiba kɔnɔ jɛgɛ mɔnni
3)Jiiyɔrɔ sumani [kɔw kɔnɔ / jiiblayɔrɔ/ baw/ yɔrɔ ɲjiginin]
4)Jɛgɛ mara 
5)NE MA DON
6)A BAN NA</t>
        </is>
      </c>
      <c r="I128" s="39">
        <f>LEN(H128)</f>
        <v/>
      </c>
      <c r="J128" s="365" t="inlineStr">
        <is>
          <t>Pôrô ba é idji yôgô gô aah djèye?
[SEROUMOU SEROUMOUNE: YABIRIYEYE DJOYI]
1)Niigoro bée búró mà kaa sòró lé mà iiju ay
2)Niibaa-ná bɛ̀rɛ̀ mà iiju ay
3)Nii nɛm kuno  [buro-ná bɛ̀rɛ̀/ réservoirs/ buro-ĩ bɛ̀rɛ̀/ góró máa dii nii-seɲu bé bɛ̀rɛ̀].
4)Nii ĩ mà kɔy.
5)INE
6)YABIRIYERE</t>
        </is>
      </c>
      <c r="K128" s="39">
        <f>LEN(J128)</f>
        <v/>
      </c>
      <c r="L128" s="366" t="inlineStr">
        <is>
          <t>Sorko tarey fo doumi no war ga bobo ka té?
[HANKOYO: DJAABI BOBO]
1)isey ndu bangu beerey miyey ga tamo
2)teego gamo ga tamoyoŋo
3)goorey haro ga tamyoŋo [gooro beerey/ nongorey kaŋ i cin ku haro daŋ / teekey jebey ga/ haruzurey ndu nongorey kaŋ gu yey].
4)Haro ga haye biiriyoŋo
5)A CHI BEY
6)A WANDJI</t>
        </is>
      </c>
      <c r="M128" s="118">
        <f>LEN(L128)</f>
        <v/>
      </c>
      <c r="N128" s="366" t="inlineStr">
        <is>
          <t>Indeke ichagual wane ahouyou tadjame?
[AMASSASTAN: ALWAJAB EDJENE]
1)Ukis ən manan dǎɣ ahazan ən silman/ dǎɣ egarew əd baqgan
2)Ukis ən manan hulen dǎɣ egarew
3)Ukis ən manan dǎɣ aman wi ahuskatnen [dǎɣ baqgan/ tigašiwen/ tibagawen/ išušal meɣ idagan ibdagnen].
4)Ajamar
5)WARISSÉNÉGUE
6)OUNDJAYAGUE</t>
        </is>
      </c>
      <c r="O128" s="118">
        <f>LEN(N128)</f>
        <v/>
      </c>
      <c r="P128" s="366" t="inlineStr">
        <is>
          <t>Awgal sii hoddun galle watta?
[LANDOTOODO: JAABUU KEWDI]
1) Liƴƴagol hunnduko ndiyeele/ ley jaaye e pete 
2) Liƴƴagol nder maayooji 
3) liƴƴagol nder ndiyeele ɗe lamsaa [ baraasiiji / lugge / pete maa nukkuuje gonduɗe ndiyam. 
4) Marugol liƴƴi 
5)MO ANDA   
6)SALAADE</t>
        </is>
      </c>
      <c r="Q128" s="39">
        <f>LEN(P128)</f>
        <v/>
      </c>
      <c r="R128" s="48" t="inlineStr">
        <is>
          <t>Select All That Apply</t>
        </is>
      </c>
      <c r="S128" s="39" t="inlineStr">
        <is>
          <t>NA</t>
        </is>
      </c>
      <c r="T128" s="39" t="inlineStr">
        <is>
          <t>NA</t>
        </is>
      </c>
      <c r="U128" s="39" t="inlineStr">
        <is>
          <t>Form Type - Checklist
5,6 = IsNone</t>
        </is>
      </c>
      <c r="V128" s="42" t="inlineStr">
        <is>
          <t>1)fish_main_coastal
2)fish_main_offshore_sea
3)fish_main_freshwater
4)fish_main_aquaculture
5)fish_main_dk
6)fish_main_ref</t>
        </is>
      </c>
      <c r="W128" s="41" t="inlineStr">
        <is>
          <t>1-6 = fish_change</t>
        </is>
      </c>
      <c r="X128" s="319" t="n"/>
      <c r="Y128" s="302" t="inlineStr">
        <is>
          <t>if fish_main = 1-6, go to fish_change</t>
        </is>
      </c>
      <c r="Z128" s="122" t="n"/>
      <c r="AA128" s="43" t="inlineStr">
        <is>
          <t>resp_age = 18-100
hh_agricactivity = 1| 2 | 3 | 4
(income_main_fishcheck = 1) | (income_sec_fishcheck = 1) | (income_third_fishcheck = 1) 
quotareached = 2</t>
        </is>
      </c>
      <c r="AB128" s="55" t="n"/>
      <c r="AC128" s="111" t="n">
        <v>19.09011650085449</v>
      </c>
      <c r="AD128" s="374">
        <f>#REF!</f>
        <v/>
      </c>
      <c r="AE128" s="111">
        <f>AC128*AD128</f>
        <v/>
      </c>
    </row>
    <row r="129" ht="240" customHeight="1">
      <c r="A129" s="88">
        <f>A128+1</f>
        <v/>
      </c>
      <c r="B129" s="667" t="inlineStr">
        <is>
          <t>fish_change</t>
        </is>
      </c>
      <c r="C129" s="668" t="inlineStr">
        <is>
          <t>fish_change</t>
        </is>
      </c>
      <c r="D129" s="442"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29" s="39">
        <f>LEN(D129)</f>
        <v/>
      </c>
      <c r="F129" s="51" t="inlineStr">
        <is>
          <t>Comment évaluez-vous votre capture de poissons [prises] au cours des trois derniers mois [ou de la dernière récolte] par rapport à la même période [récolte] de l'année dernière?
[OPÉRATEUR/OPÉRATRICE: RÉPONSE UNIQUE]
1)Très supérieure [augmentation de plus de 50%]
2)Légèrement supérieure
3)Identique
4)Légèrement inférieure
5)Très inférieure [moins de la moitié]
6)NE SAIT PAS
7)REFUSÉ</t>
        </is>
      </c>
      <c r="G129" s="39">
        <f>LEN(F129)</f>
        <v/>
      </c>
      <c r="H129" s="82" t="inlineStr">
        <is>
          <t>Aw ka jɛgɛ mɔnni [jɛgɛ minx baaraa] min kɛra kalo 3 tɛmɛni na [mɔnni fɔlɔ nin] ka kɛɲɛ ni nin waati [mɔnni] ɲɔgɔn salon?
[NIENIGALIKÈLA: DIABI TIAMA]
1)Kosɔbɛ kɛ [dɔ fara la ka ta tɛmɛ a 50% yɛrɛ kan]. 
2)Dɔɔni fara la. 
3)A bɛɛ ye kelen ye. 
4)Dɔɔni bɔra a la 
5)Caaman bɔra la [a ma se a camancɛ ma]
6)NE MA DON
7)A BAN NA</t>
        </is>
      </c>
      <c r="I129" s="39">
        <f>LEN(H129)</f>
        <v/>
      </c>
      <c r="J129" s="82" t="inlineStr">
        <is>
          <t>Ɛɛ taan dũwõ mi gàrà bé bɛ̀rɛ̀ [máa é iiju ay dũwõ] mà é iiju bɛruu [iiju ay ce], gaaru mà ko kũũ doguru [iiju ay] bɛ̀rɛ̀ é ma e iiju bɛru jowjin tɔɔn lé kawa màa jowjin lé tɔɔn time-sà?
[BIRƐ MA KŨ BAŋA : UɟURU KƆ TURU LE BE SAA-I]
1)Boŋoo bara [50% baa barà]. 
2)Dagaa bara. 
3)Balii gamali [kɛw] 
4)Dagaa gama. 
5)Boŋoo gama [ko ɟɛrɛ-i gama].
6)ɟUGƆGO. 
7)JƆWƆLI.</t>
        </is>
      </c>
      <c r="K129" s="39">
        <f>LEN(J129)</f>
        <v/>
      </c>
      <c r="L129" s="82" t="inlineStr">
        <is>
          <t>Mate no er haraŋ hamiisa tamo [hamiisey diyoŋo] handu hĩzey wey ndu cere game [wala er tamyoŋ kora] ndu mannaŋ mansancine wono go ndu?
[HANKOYO: DJAABI FO]
1)A gu bis woo lay [gooruri 50 % wal tonton].  
2)a gu bissa keyna  .  
3)I kul ifo .  
4)A su toora . 
5)A su toora lay [ciina toora]
6) A CHI BEY
7)A WANDJI</t>
        </is>
      </c>
      <c r="M129" s="39">
        <f>LEN(L129)</f>
        <v/>
      </c>
      <c r="N129" s="28" t="inlineStr">
        <is>
          <t xml:space="preserve">Əndek ukis nawan ən manan [ukis wan aramas] ɣur dǎɣ karad uran wi dokaynen [meɣ ukis nawan wa ilkaman] atimuzuɣnat dǎɣ alwaq wendǎɣ [asidiw] ən awatay wa dokayan?
[EMASESTƏN : ALƏƔI IYANDAƔ].
1)Ajen ogaran [asiwid ən ogaran 50%]. 
2)Andiran ogaran. 
3)Olahnen. 
4)Andiran midriyan.                                                 
5)Ajen madriyan [amidriyan ən tizune]. 
6)WARISENAƔ. 
7)UGAY </t>
        </is>
      </c>
      <c r="O129" s="39">
        <f>LEN(N129)</f>
        <v/>
      </c>
      <c r="P129" s="28" t="inlineStr">
        <is>
          <t>Noy nanngugol liƴƴi mooɗon [liƴƴagol] ngol woorri ley lebbi tati cakitiiɗi ɗii [maa liƴƴagol mooɗon cakitiingol ngol] so fonndaama e rawanen e oo wakkati [liƴƴagol]?
[LANDOTOODO : DJABOU GOTO TAN]
1)No ɓuri no woowirnoo non sanne [ɓeydagol ceede coogguuji faa hewti 50%]
2)No ɓuri no woowirnoo non seeɗa. 
3)yo foodu. 
4)Ñakii no woowirnoo non seeɗa. 
5)Ñakii no woowirnoo non sanne [Hewtaay fay feccere no woowirnoo].
6)MI ANDA
7)SALAADE</t>
        </is>
      </c>
      <c r="Q129" s="39">
        <f>LEN(P129)</f>
        <v/>
      </c>
      <c r="R129" s="668" t="inlineStr">
        <is>
          <t>Single Choice</t>
        </is>
      </c>
      <c r="S129" s="668" t="inlineStr">
        <is>
          <t>NA</t>
        </is>
      </c>
      <c r="T129" s="668" t="inlineStr">
        <is>
          <t>NA</t>
        </is>
      </c>
      <c r="U129" s="668" t="inlineStr">
        <is>
          <t>Form Type - Buttons</t>
        </is>
      </c>
      <c r="V129" s="669" t="inlineStr">
        <is>
          <t>NA</t>
        </is>
      </c>
      <c r="W129" s="670" t="inlineStr">
        <is>
          <t>1-7 = fish_proddif</t>
        </is>
      </c>
      <c r="X129" s="671" t="n"/>
      <c r="Y129" s="672" t="inlineStr">
        <is>
          <t>if fish_change = 1-7, go to fish_proddif_1</t>
        </is>
      </c>
      <c r="Z129" s="673" t="n"/>
      <c r="AA129" s="43" t="inlineStr">
        <is>
          <t>resp_age = 18-100
hh_agricactivity = 1| 2 | 3 | 4
(income_main_fishcheck = 1) | (income_sec_fishcheck = 1) | (income_third_fishcheck = 1) 
quotareached = 2</t>
        </is>
      </c>
      <c r="AB129" s="67" t="n"/>
      <c r="AC129" s="111" t="n">
        <v>17.6569766998291</v>
      </c>
      <c r="AD129" s="374">
        <f>#REF!</f>
        <v/>
      </c>
      <c r="AE129" s="111">
        <f>AC129*AD129</f>
        <v/>
      </c>
    </row>
    <row r="130" ht="200" customHeight="1">
      <c r="A130" s="88">
        <f>A129+1</f>
        <v/>
      </c>
      <c r="B130" s="36" t="inlineStr">
        <is>
          <t>fish_proddif</t>
        </is>
      </c>
      <c r="C130" s="48" t="inlineStr">
        <is>
          <t>fish_proddif</t>
        </is>
      </c>
      <c r="D130" s="436" t="inlineStr">
        <is>
          <t>Has your household faced any significant difficulty with fish catch / harvest / farming in the last 3 months?
[OPERATOR: SINGLE RESPONSE.]
1)YES
2)NO
3)DON'T KNOW
4)REFUSED</t>
        </is>
      </c>
      <c r="E130" s="39">
        <f>LEN(D130)</f>
        <v/>
      </c>
      <c r="F130" s="51" t="inlineStr">
        <is>
          <t>Votre ménage a-t-il rencontré d'importantes difficultés dans la capture ou la récolte de poisson au cours des trois derniers mois?
[OPÉRATEUR/OPÉRATRICE: RÉPONSE UNIQUE.]
1)Oui
2)Non
3)NE SAIT PAS
4)REFUSÉ</t>
        </is>
      </c>
      <c r="G130" s="39">
        <f>LEN(F130)</f>
        <v/>
      </c>
      <c r="H130" s="28" t="inlineStr">
        <is>
          <t>Aw gwasomɔgɔw ye gwɛlɛyaba dɔ sɔrɔ kalo 3 tɛmɛni na ka jɛgɛ mɔ wala k’a sama wa wa?
[NIENIGALI KÈLA: DIABI KELEN]
1)ƆWƆ 
2)AYI 
3)NE MA DON
4)A BAN NA</t>
        </is>
      </c>
      <c r="I130" s="39">
        <f>LEN(H130)</f>
        <v/>
      </c>
      <c r="J130" s="51" t="inlineStr">
        <is>
          <t>Ɛɛ taan dũwõ mi gàrà bé bɛ̀rɛ̀, iiju ay mà birɛ máa, iiju gɔy bɛ̀rɛ̀, é uro lé ojukaa-nam bê-sà maa?
[BIRƐ MA KŨ BAŋA : UɟURU KƆ TURU LE BE SAA-I]
1)ÉE
2)Ɔ̃-Ɔ̃
3)ɟUGƆGO
4)JƆWƆLI</t>
        </is>
      </c>
      <c r="K130" s="39">
        <f>LEN(J130)</f>
        <v/>
      </c>
      <c r="L130" s="51" t="inlineStr">
        <is>
          <t>Handu hĩzey wey ndu cere game er huwo manu du sendey tamo fonda ga wala hegeyyoŋo fonda ga?
[HANKOYO:  MACHI TA KA HAR DJAABI FO]
1) AYYO
2) KALA
3) A CHI BEY
4) A WANDJI</t>
        </is>
      </c>
      <c r="M130" s="39">
        <f>LEN(L130)</f>
        <v/>
      </c>
      <c r="N130" s="51" t="inlineStr">
        <is>
          <t xml:space="preserve">Amazaɣ nawan eqal amuqasan ən aśahatan iknanen fal ibret ən ukis ən manan əd/ meɣ asidiw ɣur dǎɣ karad uran wi dokaynen?
[EMASESTƏN : ALƏƔI IYANDAƔ].
1)IYA 
2)BABO.
3)WARISENAƔ. 
4)UGAY </t>
        </is>
      </c>
      <c r="O130" s="39">
        <f>LEN(N130)</f>
        <v/>
      </c>
      <c r="P130" s="82" t="inlineStr">
        <is>
          <t>Ɓaade mooɗon hawrii fuh e tiiɗormaaji mawɗi banngal liƴƴagol ley lebbi tati cakitiiɗi ɗii?
[GOLLOOWO : JAWAABU GOOTO].
1)AYYO 
2)AA'A. 
3)ANNDA 
4)SALAADE</t>
        </is>
      </c>
      <c r="Q130" s="39">
        <f>LEN(P130)</f>
        <v/>
      </c>
      <c r="R130" s="137" t="inlineStr">
        <is>
          <t>Single Choice</t>
        </is>
      </c>
      <c r="S130" s="39" t="inlineStr">
        <is>
          <t>NA</t>
        </is>
      </c>
      <c r="T130" s="39" t="inlineStr">
        <is>
          <t>NA</t>
        </is>
      </c>
      <c r="U130" s="39" t="inlineStr">
        <is>
          <t>Form Type - Buttons</t>
        </is>
      </c>
      <c r="V130" s="669" t="inlineStr">
        <is>
          <t>NA</t>
        </is>
      </c>
      <c r="W130" s="41" t="inlineStr">
        <is>
          <t>1=fish_proddif_2
2-4= fish_salesmain</t>
        </is>
      </c>
      <c r="X130" s="671" t="n"/>
      <c r="Y130" s="297" t="inlineStr">
        <is>
          <t>if fish_proddif_1 = 1, go to fish_proddif_2 ; 
if fish_proddif_1 = 2-4, go to fish_salesmain OR optional question</t>
        </is>
      </c>
      <c r="Z130" s="122" t="n"/>
      <c r="AA130" s="43" t="inlineStr">
        <is>
          <t>resp_age = 18-100
hh_agricactivity = 1| 2 | 3 | 4
(income_main_fishcheck = 1) | (income_sec_fishcheck = 1) | (income_third_fishcheck = 1) 
quotareached = 2</t>
        </is>
      </c>
      <c r="AB130" s="67" t="n"/>
      <c r="AC130" s="111" t="n">
        <v>8.764705657958984</v>
      </c>
      <c r="AD130" s="374">
        <f>#REF!</f>
        <v/>
      </c>
      <c r="AE130" s="111">
        <f>AC130*AD130</f>
        <v/>
      </c>
    </row>
    <row r="131" ht="408.75" customHeight="1" thickBot="1">
      <c r="A131" s="92">
        <f>A130+1</f>
        <v/>
      </c>
      <c r="B131" s="208" t="inlineStr">
        <is>
          <t>fish_proddif_2</t>
        </is>
      </c>
      <c r="C131" s="94"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31" s="445" t="inlineStr">
        <is>
          <t>Which difficulties has your household faced with fish catch/ harvest/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31" s="96">
        <f>LEN(D131)</f>
        <v/>
      </c>
      <c r="F131" s="145" t="inlineStr">
        <is>
          <t>Quelles difficultés votre ménage a-t-il rencontrées dans la capture ou la récolte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31" s="96">
        <f>LEN(F131)</f>
        <v/>
      </c>
      <c r="H131" s="674" t="inlineStr">
        <is>
          <t>Gwɛlɛya suguya juman don aw gwasomɔgɔ tun sɔrɔla jɛgɛ mccnni /jɛgɛ sama fan fɛ kalo 3 tɛmɛni na? 
[SƆRƆBATIGI: JAABILI CAMAN N'AW BƐ SE. AW YE ƝƐNATƆMƆLI MIN KƐƝƐNAN NI JAABILKƐLAW YE KIBARUYA MIN DIRA.]
1)Jɛgɛ mɔnni gwɛlɛyara ɲinan a sɔrɔ man di ka tɛmɛ saan tɛmɛni na [mɔnn] 
2)Jɛgɛ masuba ani jɛgɛ [jɛgɛ mara baara]
3)Gwɛlɛya ye ka se Jɛgɛ mara yɔrɔ [terosist ko]
4)Esansi sɔrɔ cogo gwɛlɛya [a sɔngɔ yɛlɛla walima a tɛ yen]
5)Gwɛlɛya ye ka jɛgɛ mara dumuni [sarada ka gwɛlɛ wala a tɛ yen]
6)Baaradenw sɔrɔ cogo gwɛlɛya [u sarada ka ca walima u tɛ yen]
7)Yɔrɔw caman tiɲɛna [kɔw/ jɛgɛ bonw/ pɔɔriw/ awiyccn gigi yɔrɔw]
8)Kurunw ani zilew tiɲɛna
9)Fɛn wɛrɛ
10)A M'A DƆN
11)BANNI</t>
        </is>
      </c>
      <c r="I131" s="96">
        <f>LEN(H131)</f>
        <v/>
      </c>
      <c r="J131" s="674" t="inlineStr">
        <is>
          <t>Ɛɛ taan dũwõ mi gàrà bé bɛ̀rɛ̀, iiju ay mà birɛ máa, iiju gɔy bɛ̀rɛ̀ mà ojuka-nam iɲe-i é uro lé bèe wà ?
[BIRƐ BAŊA : KASARA JÓ GAMA TƐMƐWƐ̃-KƆ. INEM UJURU E UJURA-RA KAAMIRẼ ERU O LÉ DII GAARA HAWRA-KƆ KUU YANA I, KÒ DÉNEE-DENEE YANA BE BƐ̀RƐ̀].
1) ko iiju nim gaara ko ɛy nam/ gaaru mà ko doguru nuŋo kũũ sogo [iiju ay].
2) cɛ ney-nɔy jeju-guju bɛ̀rɛ̀ kun bée iiju mà sĩĩlɛ bée [nii ĩ mà kɔy].
3) iiju ay mà dii máa nii ĩ dii kɔɔ mà bɛru [hɔnɔ/ doguru mɔɲu jɛ máa jam mà ojukaa jɛ̀].
4) esãsu mà bɛru [ko dɔn lɔga máa kɔrɔ mà].
5) cɛ iiju ay ojukaa lé mɔ̃rɔ̃ laga bé bɛru [ko dɔn lɔga máa kɔrɔ bà mà].
6) birɛ-ũrũm máa birɛ-niɲe numo bè bɛ̀rɛ́-nam mà bɛru [bé dɔn lɔga máa bé bɛruwɛ-go bà mà].
7) ko danuŋu mà ojuka mà sogotu maa ko ɲɔwɔ [buro bé/ uro bé/ bato mà garasu bé/ nii-kĩrẽ dii bato bè nuu-rã].
8) bato bé sogotu maa bato bé ɲɔwna komaa cɛ urɔ mine iiju bè aa-ra bé
9)cɛ laga bé
10)JUGƆ-GO WA
11)BÈ YƆWƆ-LI</t>
        </is>
      </c>
      <c r="K131" s="96">
        <f>LEN(J131)</f>
        <v/>
      </c>
      <c r="L131" s="674" t="inlineStr">
        <is>
          <t>Sendey foyoŋ no er huwo du handu hĩzey wey ndu cere game ga tamo wala hega fonda ga ?
[HÃKA: ZAABEY GU BA KAŊ I GU HINI KU NO . ER MU SAMBU WEY KAŊYOŊ GU KOY NDU HÃYOŊO KAŊYOŊ NO BORA ZAABI].
1)haraŋ hamiisa duuro gu sendi ku bisa jiirey kaŋ bisa mansancine [tamo]. 
2)nooney ndu hiisa zaŋey [haro ga hay biiriyoŋo] 
3)tamo wala haro ga hay biiriyoŋ nongoro do toyoŋ duuro jaŋa [sanda/ hewey ndu harey misey wala lakkalkena]
4)asanso duuro jaŋa [a nooro tonton wala a si]
5)tamo ndu hamiisa biiriyoŋo won goyjiney won duuro jaŋa [jiney nooro ba i caada wala bine boro duwey].
6)goyteerey wala goyjiney teekey duuro jaŋa [jiney nooro ba i caada wala bine boro duwey]
7)Goyo nongoro hasara wala a seyyono tankey/ biiriyono huwey/ poorey/ nongorey kan borey ka ku zumbu].
8)tamo hiyey ndu a goyjiney hasarayoŋo
9)i foyoŋ
10)EY SU BEY
11)WENGE</t>
        </is>
      </c>
      <c r="M131" s="96">
        <f>LEN(L131)</f>
        <v/>
      </c>
      <c r="N131" s="674" t="inlineStr">
        <is>
          <t>Əndekan aśahatan widar amuqas amazaɣ nawan ɣur ugud wan aramas əd/ meɣ ɣur asidiw ən manan ɣur dǎɣ karad uran wi dokaynen ?
 [ƏMASESTƏN : ILIƔITAN AJOTNEN ADOBEN. AKISAT TABARATEN TI ANIMAHALNEN HULEN YE ISALAN WI ATIWAFANEN ƏS ADINAT WI ATIWASASTANEN].
1)Eman eqal ogaran aśihu ye atwigraw dǎɣ elan wihin okaynen dǎɣ alwaq wadǎɣ [ukis ən manan]
2)Parazitan əd torhinawen tən manan [ajamar].
3)Ugiš ən edag wan ukis ən manan meɣ ajamar [dǎɣ sund/ fal salan almaɣnatan wən alwaq meɣ iba ən alɣafiyat].
4)Agaraw ən karbura [alhak ogaran aśihu meɣ winan tila]
5)Agaraw ən ilalan iyad ən ukis ən manan meɣ ən sigyak [alhak ogaran aśihu meɣ winan tila].
6)Agaraw ən mašaɣalan meɣ ən ilalan ən mašaɣalan [alhak ogaran aśihu meɣ winan tila].
7)Aɣašad meɣ teraze ən dagan [tibagawen/ iɣalan/ isilman/ idagan wən simisidiwan] 
8)Aɣašad meɣ teraze ən batotan meɣ haratan wi nukis ən manan
9)Iyad
10)WARISENAƔ
11)UGAY</t>
        </is>
      </c>
      <c r="O131" s="96">
        <f>LEN(N131)</f>
        <v/>
      </c>
      <c r="P131" s="674" t="inlineStr">
        <is>
          <t>Tiiɗormaaji oye ɓaade mooɗon hawri ley lebbi tati cakitiiɗi ɗii banngal nanngugol liƴƴi e/maa loomtagol liƴƴi ley lebbi cakitiiɗi ɗii? 
[GOLLOOWO : JAABUUJI KEEWƊI NA MBAAWI JAƁEEDE. SUƁA JAABUUJI ƁURUƊI HAWRUDE E KIBAARUUJI ƊI LAMNDAAƁE ƁEN KOKKI]. 
1) Linngu na tiiɗi heɓugol sanne diina e duuɓi bittiiɗi ɗii e oo wakkati [liƴƴagol]. 
2) Ɓiɓɓe nyawu e nyawuuji liƴƴi [banngal marugol liƴƴi] 
3) Heɓugol naata nokkuuje liƴƴagol maa ɗo liƴƴi maretee [hono/ saabee no wakkatiiji ngoorri maa ndeenaagu]. 
4) Heɓugol esansi [ceede coogguuji tiiɗuɗe maa walaa]. 
5) Heɓugol gineeji liƴƴorɗi goɗɗi maa demal ceede coogguuji tiiɗuɗe maa walaa].
6) Heɓugol gollooɓe maa gollooɓe tiiɗuɓe njoɓdi [ceede tiiɗuɗe maa walaa]. 
7) Bononda maa saamugol nyiɓngooji [ pete / taaraaji / hunnduko maayooji / nokkuuje ɗo daretee honnduko ndiyam]. 
8) Bononda maa bonningol laanaaji ndiyam maa masinaaji liƴƴorɗi.
9)Goɗɗum
10)ANNDA 
11)SALAADE</t>
        </is>
      </c>
      <c r="Q131" s="96">
        <f>LEN(P131)</f>
        <v/>
      </c>
      <c r="R131" s="181" t="inlineStr">
        <is>
          <t>Select All That Apply</t>
        </is>
      </c>
      <c r="S131" s="96" t="inlineStr">
        <is>
          <t>NA</t>
        </is>
      </c>
      <c r="T131" s="96" t="inlineStr">
        <is>
          <t>NA</t>
        </is>
      </c>
      <c r="U131" s="96" t="inlineStr">
        <is>
          <t>Form Type - Checklist
10,11 = IsNone</t>
        </is>
      </c>
      <c r="V131" s="675" t="inlineStr">
        <is>
          <t>1)fish_proddif_find_fish
2)fish_proddif_pests
3)fish_proddif_access_area
4)fish_proddif_fuel
5)fish_proddif_input_access
6)fish_proddif_labour
7)fish_proddif_infrastructure
8)fish_proddif_damage_equip
9)fish_proddif_other
10)fish_proddif_dk
11)fish_proddif_ref</t>
        </is>
      </c>
      <c r="W131" s="99" t="inlineStr">
        <is>
          <t>1-11 = fish_salesmain</t>
        </is>
      </c>
      <c r="X131" s="431" t="n"/>
      <c r="Y131" s="313" t="inlineStr">
        <is>
          <t>If fish_proddif_1 = 1-8, go to fish_salesmain OR optional question</t>
        </is>
      </c>
      <c r="Z131" s="188" t="n"/>
      <c r="AA131" s="148" t="inlineStr">
        <is>
          <t>resp_age = 18-100
hh_agricactivity = 1| 2 | 3 | 4
(income_main_fishcheck = 1) | (income_sec_fishcheck = 1) | (income_third_fishcheck = 1) 
quotareached = 2
fish_proddif_1 = 1</t>
        </is>
      </c>
      <c r="AB131" s="67" t="n"/>
      <c r="AC131" s="111" t="n">
        <v>27.9538459777832</v>
      </c>
      <c r="AD131" s="374">
        <f>#REF!</f>
        <v/>
      </c>
      <c r="AE131" s="111">
        <f>AC131*AD131</f>
        <v/>
      </c>
    </row>
    <row r="132" ht="20" customHeight="1" thickBot="1">
      <c r="A132" s="708" t="inlineStr">
        <is>
          <t>F. FISHERIES MARKETING</t>
        </is>
      </c>
      <c r="B132" s="739" t="n"/>
      <c r="C132" s="739" t="n"/>
      <c r="D132" s="739" t="n"/>
      <c r="E132" s="739" t="n"/>
      <c r="F132" s="739" t="n"/>
      <c r="G132" s="739" t="n"/>
      <c r="H132" s="739" t="n"/>
      <c r="I132" s="739" t="n"/>
      <c r="J132" s="739" t="n"/>
      <c r="K132" s="739" t="n"/>
      <c r="L132" s="739" t="n"/>
      <c r="M132" s="739" t="n"/>
      <c r="N132" s="739" t="n"/>
      <c r="O132" s="739" t="n"/>
      <c r="P132" s="739" t="n"/>
      <c r="Q132" s="739" t="n"/>
      <c r="R132" s="739" t="n"/>
      <c r="S132" s="739" t="n"/>
      <c r="T132" s="739" t="n"/>
      <c r="U132" s="739" t="n"/>
      <c r="V132" s="739" t="n"/>
      <c r="W132" s="739" t="n"/>
      <c r="X132" s="739" t="n"/>
      <c r="Y132" s="739" t="n"/>
      <c r="Z132" s="739" t="n"/>
      <c r="AA132" s="740" t="n"/>
      <c r="AB132" s="55" t="n"/>
      <c r="AC132" s="45" t="n"/>
      <c r="AD132" s="374">
        <f>#REF!</f>
        <v/>
      </c>
      <c r="AE132" s="45">
        <f>AC132*AD132</f>
        <v/>
      </c>
    </row>
    <row r="133" ht="282" customHeight="1">
      <c r="A133" s="336">
        <f>A131+1</f>
        <v/>
      </c>
      <c r="B133" s="36" t="inlineStr">
        <is>
          <t>fish_salesmain</t>
        </is>
      </c>
      <c r="C133" s="48" t="inlineStr">
        <is>
          <t>fish_salesmain</t>
        </is>
      </c>
      <c r="D133" s="676" t="inlineStr">
        <is>
          <t>What was the main fish or aquatic product sold by your household in the last 3 months?
[OPERATOR: SINGLE RESPONSE.]
1)Fresh product [any kind/ including invertebrates]
2)Preserved product [including dry fish/ smoked fish/ fermented fish/ salt fish]
3)Frozen product
4)Canned product
5)Other [specify]
6)DON'T KNOW
7)REFUSED</t>
        </is>
      </c>
      <c r="E133" s="39">
        <f>LEN(D133)</f>
        <v/>
      </c>
      <c r="F133" s="51" t="inlineStr">
        <is>
          <t>Quel était le principal produit piscicole vendu par votre ménage au cours des trois derniers mois?
[OPÉRATEUR/OPÉRATRICE: RÉPONSE UNIQUE.]
1)Poisson frais [toutes sortes/ y compris invertébrés]
2)Poisson conservé [y compris poisson séché/ poisson fumé/ poisson fermenté/ poisson salé]
3)Poisson congelé
4)Conserves de poisson
5)Autre [préciser]
6)NE SAIT PAS
7)REFUSÉ</t>
        </is>
      </c>
      <c r="G133" s="39">
        <f>LEN(F133)</f>
        <v/>
      </c>
      <c r="H133" s="51" t="inlineStr">
        <is>
          <t>Aw gwasomɔgɔw bɛ jɛgɛ suguya juman feere kalo 3 tɛmɛni na? 
[SƆRƆBATIGI: JAABILI KELEN.]
1)Jɛgɛ kɛnɛ [suguya bɛɛ/ ani jii kɔnɔ fɛnw wɛrww]
2)Jɛgɛ min blanin bɛ so [jɛgɛ jalan/ jɛgɛ wusunin/ jɛgɛ kumunin/ kɔgɔ blanin jɛgɛ]
3)Suma kɔnh blanin jɛgɛ
4)Lasagolen jɛgɛ (jɛgɛ min blannin bɛ boati kɔnɔ)
5)Fɛn wɛrx [A fɔ ka jira]
6)A M’A DɔN
7)BANNI</t>
        </is>
      </c>
      <c r="I133" s="39">
        <f>LEN(H133)</f>
        <v/>
      </c>
      <c r="J133" s="51" t="inlineStr">
        <is>
          <t>Ɛɛ taan dũwõ mi gàrà bé bɛ̀rɛ̀, iiju mà ojukaa lé cɛɛ e bɛ́rɛ́ bé bɛ̀rɛ̀, eru-nam cɛɛ yɔkɔ gaara dɔ̃rɔ̃ bà ?
[BIRƐ BAŊA : KASSARA TURU SAY].
1) iiju ɔru [ko taŋa-sà cɛw/ ko cɛ cirẽ saara bé kãrã jɛ kun bà].
2) iiju dã̂ [iiju may yaŋa-sà ley/ iiju bé ugo-sà/ iiju ko ɔyɔ mà loy bé kuno-sà/ iiju nɛm lé bè bigé-sà]
3)iiju pɔrmu
4)iiju bé deenè jèrè
5)laga [wotégém].
6)JUGƆ-GO WA
7)BÈ YƆWƆ-LI</t>
        </is>
      </c>
      <c r="K133" s="39">
        <f>LEN(J133)</f>
        <v/>
      </c>
      <c r="L133" s="51" t="inlineStr">
        <is>
          <t>Tamo won goy fo ga no er huwo du neera henney handu hĩsey wey ndu cere game ga?
[HÃKA : ZAABUYON FOLLON].
1)hamiisu teya [dumey dumey kulu/ mba hariizey]
2)hamiisa kaŋ i hãse [i kooga/ tonanta/ daabanta/ hamiisa kaŋ ga i nu ciiro daŋ]
3)hamiisa kaŋ i daŋ firga ga ku yeynendi
4)konka ga hamiisa
5)i foyoŋ [boro mu i ci]
6)EY SU BEY
7)WENGE</t>
        </is>
      </c>
      <c r="M133" s="39">
        <f>LEN(L133)</f>
        <v/>
      </c>
      <c r="N133" s="51" t="inlineStr">
        <is>
          <t>Əndek wa atiwasanan alil ən ukis ən manan afin ašiša amazaɣ nawan ɣur dǎɣ karad uran wi dokaynen ?
[ƏMASESTƏN : ALIƔI IYANDǍƔ].
1)Imanan šagaɣnen [dak nasan/ dǎɣ ahan winan ila iɣasan]
2)Imanan itwarnen [dǎɣ ahan manan wi aqurnen/ Imanan wi əganen/ imanan wi aqundatnen/ imanan wi taha tesəmt]
3)Imanan wi aqurnen dǎɣ tisəmde
4)Imanan wi atwarnen
5)Iyad [laɣatatan]
6)DON'T KNOW
7)REFUSED</t>
        </is>
      </c>
      <c r="O133" s="39">
        <f>LEN(N133)</f>
        <v/>
      </c>
      <c r="P133" s="51" t="inlineStr">
        <is>
          <t>Ɗume woni ko ɓuru-ɗon soonnugol nder liƴƴagol ɓaade mooɗon ley lebbi tati cakitiiɗi ɗii? 
[GOLLOOWO : JAABU GOOTO]. 
1) Liƴƴi kecci [laatiingu fuh / tawti kulle ndiyam ɗe ngalaa ƴi'e nder terɗe muuɗum]. 
2) Liƴƴi desaaɗi [faa tawti e joorɗi / kobaaɗi / lemminaaɗi / lamsinaaɗi]. 
3) Liƴƴi gattaaɗiɗi nder konjelateere 
4) Liƴƴi desaaɗi e paali
5) Goɗɗum [ɗum hollee]. 
6)ANNDA 
7)SALAADE</t>
        </is>
      </c>
      <c r="Q133" s="39">
        <f>LEN(P133)</f>
        <v/>
      </c>
      <c r="R133" s="137" t="inlineStr">
        <is>
          <t>Open Ended-Single Choice</t>
        </is>
      </c>
      <c r="S133" s="39" t="inlineStr">
        <is>
          <t>NA</t>
        </is>
      </c>
      <c r="T133" s="39" t="inlineStr">
        <is>
          <t>NA</t>
        </is>
      </c>
      <c r="U133" s="39" t="inlineStr">
        <is>
          <t>Form Type - RadioList
IsDemographic</t>
        </is>
      </c>
      <c r="V133" s="40" t="inlineStr">
        <is>
          <t>NA</t>
        </is>
      </c>
      <c r="W133" s="592" t="inlineStr">
        <is>
          <t>1-5 = fish_salesdif
6-7 = fies_intro</t>
        </is>
      </c>
      <c r="X133" s="677" t="n"/>
      <c r="Y133" s="302" t="inlineStr">
        <is>
          <t>if fish_salesmain = 1-5, go to fish_salesdif_1
if fish_salesmain = 6-7, go to fies</t>
        </is>
      </c>
      <c r="Z133" s="531" t="n"/>
      <c r="AA133" s="678" t="inlineStr">
        <is>
          <t>resp_age = 18-100
hh_agricactivity = 1 | 2 | 3 | 4
quotareached = 2
(income_main = 5 | income_sec = 5 | income_third = 5)</t>
        </is>
      </c>
      <c r="AB133" s="44" t="n"/>
      <c r="AC133" s="111" t="n">
        <v>14.38495540618896</v>
      </c>
      <c r="AD133" s="374">
        <f>#REF!</f>
        <v/>
      </c>
      <c r="AE133" s="111">
        <f>AC133*AD133</f>
        <v/>
      </c>
    </row>
    <row r="134" ht="218.25" customHeight="1">
      <c r="A134" s="88">
        <f>A133+1</f>
        <v/>
      </c>
      <c r="B134" s="175" t="inlineStr">
        <is>
          <t>fish_salesdif</t>
        </is>
      </c>
      <c r="C134" s="27" t="inlineStr">
        <is>
          <t>fish_salesdif</t>
        </is>
      </c>
      <c r="D134" s="49" t="inlineStr">
        <is>
          <t>Has your household faced any significant difficulty marketing / selling your {fish_salesmain} in the last 3 months?
[OPERATOR: SINGLE RESPONSE]
1)YES
2)NO
3)DON'T KNOW
4)REFUSED</t>
        </is>
      </c>
      <c r="E134" s="27">
        <f>LEN(D134)</f>
        <v/>
      </c>
      <c r="F134" s="57" t="inlineStr">
        <is>
          <t>Votre ménage a-t-il rencontré d'importantes difficultés pour commercialiser / vendre ses {fish_salesmain} au cours des trois derniers mois?
[OPÉRATEUR/OPÉRATRICE: RÉPONSE UNIQUE.]
1)Oui
2)Non
3)NE SAIT PAS
4)REFUSÉ</t>
        </is>
      </c>
      <c r="G134" s="27">
        <f>LEN(F134)</f>
        <v/>
      </c>
      <c r="H134" s="82" t="inlineStr">
        <is>
          <t>Aw gwasomɔgɔw ye gwɛlɛyaba dɔ sɔrɔ kalo 3 tɛmɛni na k’aw {fish_salesmain} feere wa?
[NIENIGALI KÈLA: DIABI KELEN]
1)ƆWƆ 
2)AYI 
3)NE MA DON
4)A BAN NA</t>
        </is>
      </c>
      <c r="I134" s="27">
        <f>LEN(H134)</f>
        <v/>
      </c>
      <c r="J134" s="82" t="inlineStr">
        <is>
          <t>Ɛɛ taan dũwõ mi gàrà bé bɛ̀rɛ̀, eke {fish_salesmain} para bè jɛ máa màa kò dɔ̃rɔ̃ bè jɛ, é uro lé ojukaa-nam bê-sà maa?
[BIRƐ MA KŨ BAŋA : UɟURU KƆ TURU LE BE SAA-I]
1)ÉE
2)Ɔ̃-Ɔ̃
3)ɟUGƆGO
4)JƆWƆLI</t>
        </is>
      </c>
      <c r="K134" s="27">
        <f>LEN(J134)</f>
        <v/>
      </c>
      <c r="L134" s="82" t="inlineStr">
        <is>
          <t>Er huwo du sendey {fish_salesmain} fotooco/neera ga kokorubanda handu hĩzey wey ndu cere game ga ?
[HANKOYO:  MACHI TA KA HAR DJAABI FO]
1) AYYO
2) KALA
3) A CHI BEY
4) A WANDJI</t>
        </is>
      </c>
      <c r="M134" s="27">
        <f>LEN(L134)</f>
        <v/>
      </c>
      <c r="N134" s="82" t="inlineStr">
        <is>
          <t xml:space="preserve">Amazaɣ nawan eqal amuqasan əd aśahatan iknanen fal šišitan/ ašiš ən nawan {fish_salesmai} ɣur dǎɣ karad uran wi dokaynen?
[EMASESTƏN : ALƏƔI IYANDAƔ].
1)IYA 
2)BABO.
3)WARISENAƔ. 
4)UGAY </t>
        </is>
      </c>
      <c r="O134" s="27">
        <f>LEN(N134)</f>
        <v/>
      </c>
      <c r="P134" s="82" t="inlineStr">
        <is>
          <t>Ɓaade mooɗon hawrii fuh e tiiɗormaaji mawɗi banngal soonnugol {fish_salemain} ley lebbi tati cakitiiɗi ɗii?
[GOLLOOWO : JAWAABU GOOTO].
1)AYYO 
2)AA'A. 
3)ANNDA 
4)SALAADE</t>
        </is>
      </c>
      <c r="Q134" s="27">
        <f>LEN(P134)</f>
        <v/>
      </c>
      <c r="R134" s="63" t="inlineStr">
        <is>
          <t>Single Choice</t>
        </is>
      </c>
      <c r="S134" s="27" t="inlineStr">
        <is>
          <t>NA</t>
        </is>
      </c>
      <c r="T134" s="27" t="inlineStr">
        <is>
          <t>NA</t>
        </is>
      </c>
      <c r="U134" s="27" t="inlineStr">
        <is>
          <t>Form Type - Buttons</t>
        </is>
      </c>
      <c r="V134" s="141" t="inlineStr">
        <is>
          <t>NA</t>
        </is>
      </c>
      <c r="W134" s="64" t="inlineStr">
        <is>
          <t>1 = fish_salesdif_2
2-4 = fish_salesprice</t>
        </is>
      </c>
      <c r="X134" s="319" t="n"/>
      <c r="Y134" s="312" t="inlineStr">
        <is>
          <t>if fish_salesdif_1 = 1, go to fish_salesdif ;
if fish_salesdif_1 = 2-4, go to fish_salesprice</t>
        </is>
      </c>
      <c r="Z134" s="187" t="n"/>
      <c r="AA134" s="186" t="inlineStr">
        <is>
          <t>resp_age = 18-100
hh_agricactivity = 1 | 2 | 3 | 4
quotareached = 2
(income_main = 5 | income_sec = 5 | income_third = 5)</t>
        </is>
      </c>
      <c r="AB134" s="67" t="n"/>
      <c r="AC134" s="111" t="n">
        <v>9.438053131103516</v>
      </c>
      <c r="AD134" s="374">
        <f>#REF!</f>
        <v/>
      </c>
      <c r="AE134" s="111">
        <f>AC134*AD134</f>
        <v/>
      </c>
    </row>
    <row r="135" ht="380" customHeight="1">
      <c r="A135" s="88">
        <f>A134+1</f>
        <v/>
      </c>
      <c r="B135" s="56" t="inlineStr">
        <is>
          <t>fish_salesdif_2</t>
        </is>
      </c>
      <c r="C135" s="4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35" s="164" t="inlineStr">
        <is>
          <t>Which difficulties has your household faced in the last 3 months in selling your {fish_salesmain} ?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35" s="27">
        <f>LEN(D135)</f>
        <v/>
      </c>
      <c r="F135" s="57" t="inlineStr">
        <is>
          <t>Quelles difficultés votre ménage a-t-il rencontrées au cours des trois derniers mois pour vendre le {fish_salesmain} ?
[OPÉRATEUR/OPÉRATRICE: PLUSIEURS RÉPONSES POSSIBLES. SÉLECTIONNEZ LA OU LES OPTIONS QUI CORRESPONDENT LE MIEUX AUX INFORMATIONS FOURNIES PAR LES PERSONNES INTERROGÉES.]
1)Coûts de transport ou autres coûts de commercialisation élevés
2)Dommages et pertes dues à des difficultés ou des retards de stockage ou à l'impossibilité d'accéder physiquement aux marchés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35" s="27">
        <f>LEN(F135)</f>
        <v/>
      </c>
      <c r="H135" s="82" t="inlineStr">
        <is>
          <t>Aw ka gwaso ye gwɛlɛya jumɛw de kunbɛn walisa ka {fish_salesmain} feere kalo 3 tɛmɛnin kɔnɔ? 
[SƆRƆBATIGI:JAABI CAAMAN BE SE KA DI. SƐGƐSƐGƐLEN YE JAABI ƝUMANW DI SUGANDI YƆRƆ MINW LA WOLOMA]. 
1)Pase sungɔ wali dɔgɔ sɔngɔ sugufyɛ sɔngɔ ka ca kosɔbɛ
2)Suman cɛɲɛna ani dɔ tunununa blayɔrɔ ko kosɔn ani/wala gwɛlɛya don ka se sugufyɛ la [misaliya la terorisi kama/ sira ko/ ]
3)Fɔlɔ sannikɛlaw tɛ san tugu 
4)Sannikɛlaw/feerebagaw tɛ wari sara joona 
5)Feere sɔngɔ ka dɔgɔ [misaliya la Ka kɛqɛ ni sccrccta wari ani sɛnɛ sɔbgɔ]
6)Masiniw tɛ yen ka suman fɛnw dilan [dilan minan / masiniw]
7)Feere fɛn caaman bɛ sugufyɛ la
8)Fɛn wɛrɛ
9)A M’A DɔN
10)BANNI</t>
        </is>
      </c>
      <c r="I135" s="27">
        <f>LEN(H135)</f>
        <v/>
      </c>
      <c r="J135" s="82" t="inlineStr">
        <is>
          <t>Ɛ taan dũwõ mi gara bɛrɛ, e uro, oɟu-ka-nam jɔ-kɔ tɔn be-i ɟugɔ kɔ e {fish_salesmain} dɔ̃rũ ɟɛ?
[BIRƐ MA KŨ BAŋA : KASAJ DI BE O ɟOO-I. KO URO E KASAAN DI TEGE GAARA TIMESA MA MANA LƐɟƐ.
1) tarampɔɔru máa dɔn-dɔ̃rũ ojukaa laga dɔn bonŋo lɔgɔ gay yɛ
2)deen mà nal máa ɔgu bɛ́rɛ́ deeni bè saaba jɛ kò cɛɛ pɛ̃ɛ̃ mine ɲɔ̃wɔ-kɔɔ/ pɛritu bée
3) dɔn ɛwɛ wɛɛjɛm bée/ãgoro yaŋa wɛɛjɛm bée mà wɔɔrɔ
4) ãgoro yaŋam bée/dɔn ɛwɛm bée mà ɔɣii mà dɔn tɔjɔ-go
5) Niɲe bé dɔn bè ɛwa-ra tɛ̃ɲ-kɔ [gama/ cɛ kuno mine kò bè cenaa-ra/niɲe bé dɔn dãy bara-ra lé wata-ti bà ley].
6)Cɛ e bɛrɛ bilwɛ mine kaaɲey máa cɛ́ dɔ̃rɔ̃ mà tanuŋu nam-kɔ [cɛ kuno ko niɲe bè birɛ/niɲe birɛ-biru bée/ ko jin ko jin mà cɛ.]
7) Ɛwɛ bɛ̀rɛ̀ niɲe bé jo-lɔgaa
8)Ojukaa laga
9)JUGƆ-GO WA
10)BÈ YƆWƆ-LI</t>
        </is>
      </c>
      <c r="K135" s="27">
        <f>LEN(J135)</f>
        <v/>
      </c>
      <c r="L135" s="82" t="inlineStr">
        <is>
          <t>Handu 3 kan bisa, gabey fo no er boorey do er won {fish_salesmain} neera ga?
[HANKAA : TUUYONG BOOBO GU HIM KU TE. SAMBU BOORA SEENE FO WAL SEENIZEY KAN GU BOORI].
1)taranspooro nooro wala fotooco ce dira miso tonton henney
2)jiney hasara wala dera irkoy ndu gisirey su taru ku ka wala bine hebey ga koyyoŋ duura jaŋa se.
3)deykey/ hercikey kaŋ doonu ku ka si ku kayoŋo
4)deykey/hercikey su taru bana
5)neera nooru sumbu [sanda/ i nooro su to serfey nooro/ hala nooro tonton].
6)hamiisa goy ku bere ku te hayyoŋo gu sendi [goyjiney suba i duuro gu gaabu / hamiisa beryoŋo goyjiney siyoŋo].
7)jina ba hebey ga
8)I FOYoŋ 
9)EY SU BEY
10)WENGE</t>
        </is>
      </c>
      <c r="M135" s="27">
        <f>LEN(L135)</f>
        <v/>
      </c>
      <c r="N135" s="82" t="inlineStr">
        <is>
          <t>Indekan dar amoqas alɣayal nawan ɣor 3 oran ye ašəš nawan {fish_salesmain} ?
[EMASESTƏN : ISIDMURAN AGOTNEN ATIWADABATNEN. SƏNƏFRƏNAT DIHAD IDAKALAN WI ANIMAWALNEN HULEN YE ISALAN ATIWAJANEN AS INƏSUDMORAN].
1)Alhak wan asikil meɣ iyad alhakan ən šišitan oftanen 
2)Iɣašadan əd ibatan iganen dǎɣ aśahatan meɣ tahagit ən atawar meɣ iba nagaraw ən ugišawan tawanhaynen ən hebutan. 
3)Iba ən asostan ən sibret ən manšašan / imadalan wən hadanidǎɣ 
4)Tahagit ən təmzal tən ibret ən madalan/imašašan 
5)Alhak wan asuk əfnazan [dǎɣ sund/ ibret ən alhakan wən ilalan/ oftanen].
6)Aśahatan ən səmutuyan ən siduma [iba nagaraw ən abarji/ ilalan wən səmutuyan/iyad]
7)Hebu etqaran ilalan
8)Iyad
9)WARISENAƔ
10)UGAY</t>
        </is>
      </c>
      <c r="O135" s="27">
        <f>LEN(N135)</f>
        <v/>
      </c>
      <c r="P135" s="82" t="inlineStr">
        <is>
          <t>Tiiɗormaaji ɗiye ngoni ɗi ɓaade mooɗon hawri e nder soonugol {fish_salesmain} mooɗon  ?
[GOLLOOWO: JAABUUJI KEEWƊI NA MBAAWI JAƁEEDE. SUƁA JAABU MAA JAABUUJI KAWROOJI E KO ƳAMAAƁE ƁEN  NJAABII]. 
1)Ceede taransipoor maa ceede coogguuji goɗɗi tiiɗuɗi 
2) Bononda e mursuuji saabee e tiiɗormaaji ndesaa e/maa tiiɗormaaji heɓugol jaaguuji. 
3) Rafi ƴamugol diilaaniiɓe maa soodooɓe abadaaɓe.
4) Hanndagol njoɓdi ƴuuwde e diilaaniiɓe/ soodooɓe 
5) Saamugol cooggu [hono/ coogguuji gineeji / ɓeydagol coogguuji].  
6) Tiiɗormaaji waylitingol neemaaji [rafi heɓugol gineeji gollitorɗi / gineeji baylitirɗi neema on/ e ko nandi e muuɗum yaade.]
7) Luumo heewu gineeji faa wittitii
8)Goɗɗum
9)ANNDA 
10)SALAADE</t>
        </is>
      </c>
      <c r="Q135" s="27">
        <f>LEN(P135)</f>
        <v/>
      </c>
      <c r="R135" s="153" t="inlineStr">
        <is>
          <t xml:space="preserve">Open Ended-Select All That Apply </t>
        </is>
      </c>
      <c r="S135" s="27" t="inlineStr">
        <is>
          <t>NA</t>
        </is>
      </c>
      <c r="T135" s="27" t="inlineStr">
        <is>
          <t>NA</t>
        </is>
      </c>
      <c r="U135" s="27" t="inlineStr">
        <is>
          <t>Form Type - Checklist
9,10 = IsNone</t>
        </is>
      </c>
      <c r="V135" s="42" t="inlineStr">
        <is>
          <t>1)fish_saledif_marketing_cost
2)fish_saledif_damage_losses
3)fish_saledif_low_demand
4)fish_saledif_pay_delay
5)fish_saledif_low_prices
6)fish_saledif_processing
7)fish_saledif_competition
8)fish_saledif_other
9)fish_saledif_dk
10)fish_saledif_ref</t>
        </is>
      </c>
      <c r="W135" s="64" t="inlineStr">
        <is>
          <t>1-10 = fish_salesprice</t>
        </is>
      </c>
      <c r="X135" s="319" t="n"/>
      <c r="Y135" s="313" t="inlineStr">
        <is>
          <t>if fish_salesdif = 1-8, go to fish_salesprice</t>
        </is>
      </c>
      <c r="Z135" s="188" t="n"/>
      <c r="AA135" s="66" t="inlineStr">
        <is>
          <t>resp_age = 18-100
hh_agricactivity = 1 | 2 | 3 | 4
quotareached = 2
(income_main = 5 | income_sec = 5 | income_third = 5)
fish_salesdif_1 = 1</t>
        </is>
      </c>
      <c r="AB135" s="67" t="n"/>
      <c r="AC135" s="111" t="n">
        <v>27.76699066162109</v>
      </c>
      <c r="AD135" s="374">
        <f>#REF!</f>
        <v/>
      </c>
      <c r="AE135" s="111">
        <f>AC135*AD135</f>
        <v/>
      </c>
    </row>
    <row r="136" ht="303.75" customHeight="1" thickBot="1">
      <c r="A136" s="92">
        <f>A135+1</f>
        <v/>
      </c>
      <c r="B136" s="93" t="inlineStr">
        <is>
          <t>fish_salesprice</t>
        </is>
      </c>
      <c r="C136" s="181" t="inlineStr">
        <is>
          <t>fish_salesprice</t>
        </is>
      </c>
      <c r="D136" s="95" t="inlineStr">
        <is>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is>
      </c>
      <c r="E136" s="96">
        <f>LEN(D136)</f>
        <v/>
      </c>
      <c r="F136" s="145" t="inlineStr">
        <is>
          <t>Comment évaluez-vous le prix actuel de {fish_salesmain} vendus par votre ménage par rapport au prix moyen sur la même période/récolte de une année normale?
[OPÉRATEUR/OPÉRATRICE: RÉPONSE UNIQUE. INSISTER SUR LE PRINCIPAL PRODUIT MENTIONNÉ AUPARAVANT.]
1)Très supérieur [augmentation de plus de 50%]
2)Légèrement supérieur
3)Identique
4)Inférieur
5)Très inférieur [moins de la moitié]
6)NE SAIT PAS
7)REFUSÉ</t>
        </is>
      </c>
      <c r="G136" s="96">
        <f>LEN(F136)</f>
        <v/>
      </c>
      <c r="H136" s="145" t="inlineStr">
        <is>
          <t>Aw gwasomɔgɔ ka {fish_salesmain} sɔngɔ bɛ cogo di I n’a fɔ k’a sanga/suman n’a ɲɔgɔna salon saan dafanin waati?
[SƆRƆBATIGI: JAABI KELEN, I KA SINSIN FƐƐN JƆNJƆN MIN FƆRA KAN]. 
1)Kosɔbɛ kɛ [dɔ fara la ka ta tɛmɛ a 50% yɛrɛ kan]. 
2)Dɔɔni fara la. 
3)A bɛɛ ye kelen ye. 
4)Dɔɔni bɔra a la 
5)Caaman bɔra la [a ma se a camancɛ ma]
6)NE MA DON
7)A BAN NA</t>
        </is>
      </c>
      <c r="I136" s="96">
        <f>LEN(H136)</f>
        <v/>
      </c>
      <c r="J136" s="145" t="inlineStr">
        <is>
          <t>Nim é uro-nam {fish_salesmain} dɔ̃rã-ã dɔnn ãrãkuju sélée nuŋo tɔɔn mà kò dɔn, yowjin tɔɔn lè kɔ̀ bà wa?
[BIRƐ MA KŨ BAŋA : KASAJ TTURU SAJ, KO UɟURU MAKU CƐ MA MANA ƐɟII UɟURO SEREWE].
1)Boŋoo bara [50% baa barà]. 
2)Dagaa bara. 
3)Balii gamali [kɛw] 
4)Dagaa gama. 
5)Boŋoo gama [ko ɟɛrɛ-i gama].
6)ɟUGƆGO. 
7)JƆWƆLI.</t>
        </is>
      </c>
      <c r="K136" s="96">
        <f>LEN(J136)</f>
        <v/>
      </c>
      <c r="L136" s="145" t="inlineStr">
        <is>
          <t>Mate no er huwo hino wo{fish_salesmain} neera go ndu manaŋ mansancine jiiri kulu keydiya hega miso ga?
 [HANKAA : TUYONG FOOLON, CEENAA MBOORI ALMENE BEERA BONG].
1)A gu bis woo lay [gooruri 50 % wal tonton].  
2)a gu bissa keyna  .  
3)I kul ifo .  
4)A su toora . 
5)A su toora lay [ciina toora]
6) A CHI BEY
7)A WANDJI</t>
        </is>
      </c>
      <c r="M136" s="96">
        <f>LEN(L136)</f>
        <v/>
      </c>
      <c r="N136" s="145" t="inlineStr">
        <is>
          <t xml:space="preserve">Mamos alhak wan amaradǎɣ ən {fish_salesmain} ahin ašinša amazaɣ nawan amozaɣan əd alhak ogdahan ɣur dǎɣ alwaq wendǎɣ/ awatay oɣadan?
[EMASESTƏN : ALƏƔI IYANDǍƔ, SISTIN FAL ALIL WA AZARAN ATIWAGAN].
1)Ajen ogaran [asiwid ən ogaran 50%]. 
2)Andiran ogaran. 
3)Olahnen. 
4)Andiran midriyan.                                                 
5)Ajen madriyan [amidriyan ən tizune]. 
6)WARISENAƔ. 
7)UGAY </t>
        </is>
      </c>
      <c r="O136" s="96">
        <f>LEN(N136)</f>
        <v/>
      </c>
      <c r="P136" s="145" t="inlineStr">
        <is>
          <t>Noy coogguuji mooɗon {fish_salesmain} hanndeeji ɗin ngoorri so ndaaraama no woorrunoo rawanen e oo wakkati / hitaande hiɓɓunde?
[GOLLOOWO : JAABU GOOTO TAN. TEEŊINII HAALA MUUƊUM DI MANGAL GOLLE] 
1)No ɓuri no woowirnoo non sanne [ɓeydagol ceede coogguuji faa hewti 50%]
2)No ɓuri no woowirnoo non seeɗa. 
3)yo foodu. 
4)Ñakii no woowirnoo non seeɗa. 
5)Ñakii no woowirnoo non sanne [Hewtaay fay feccere no woowirnoo].
6)MI ANDA
7)SALAADE</t>
        </is>
      </c>
      <c r="Q136" s="96">
        <f>LEN(P136)</f>
        <v/>
      </c>
      <c r="R136" s="98" t="inlineStr">
        <is>
          <t>Single Choice</t>
        </is>
      </c>
      <c r="S136" s="96" t="inlineStr">
        <is>
          <t>NA</t>
        </is>
      </c>
      <c r="T136" s="96" t="inlineStr">
        <is>
          <t>NA</t>
        </is>
      </c>
      <c r="U136" s="96" t="inlineStr">
        <is>
          <t>Form Type - Buttons</t>
        </is>
      </c>
      <c r="V136" s="388" t="inlineStr">
        <is>
          <t>NA</t>
        </is>
      </c>
      <c r="W136" s="99" t="inlineStr">
        <is>
          <t>1-7 = fies_intro</t>
        </is>
      </c>
      <c r="X136" s="329" t="n"/>
      <c r="Y136" s="313" t="inlineStr">
        <is>
          <t>if fish_salesprice = 1-7, go to fies</t>
        </is>
      </c>
      <c r="Z136" s="188" t="n"/>
      <c r="AA136" s="186" t="inlineStr">
        <is>
          <t>resp_age = 18-100
hh_agricactivity = 1 | 2 | 3 | 4
quotareached = 2
(income_main = 5 | income_sec = 5 | income_third = 5)</t>
        </is>
      </c>
      <c r="AB136" s="67" t="n"/>
      <c r="AC136" s="111" t="n">
        <v>13.7057523727417</v>
      </c>
      <c r="AD136" s="374">
        <f>#REF!</f>
        <v/>
      </c>
      <c r="AE136" s="111">
        <f>AC136*AD136</f>
        <v/>
      </c>
    </row>
    <row r="137" ht="20" customHeight="1" thickBot="1">
      <c r="A137" s="712" t="inlineStr">
        <is>
          <t>G. FOOD SECURITY AND CONSUMPTION</t>
        </is>
      </c>
      <c r="B137" s="739" t="n"/>
      <c r="C137" s="739" t="n"/>
      <c r="D137" s="739" t="n"/>
      <c r="E137" s="739" t="n"/>
      <c r="F137" s="739" t="n"/>
      <c r="G137" s="739" t="n"/>
      <c r="H137" s="739" t="n"/>
      <c r="I137" s="739" t="n"/>
      <c r="J137" s="739" t="n"/>
      <c r="K137" s="739" t="n"/>
      <c r="L137" s="739" t="n"/>
      <c r="M137" s="739" t="n"/>
      <c r="N137" s="739" t="n"/>
      <c r="O137" s="739" t="n"/>
      <c r="P137" s="739" t="n"/>
      <c r="Q137" s="739" t="n"/>
      <c r="R137" s="739" t="n"/>
      <c r="S137" s="739" t="n"/>
      <c r="T137" s="739" t="n"/>
      <c r="U137" s="739" t="n"/>
      <c r="V137" s="739" t="n"/>
      <c r="W137" s="739" t="n"/>
      <c r="X137" s="741" t="n"/>
      <c r="Y137" s="709" t="n"/>
      <c r="Z137" s="709" t="n"/>
      <c r="AA137" s="711" t="n"/>
      <c r="AB137" s="711" t="n"/>
      <c r="AC137" s="45" t="n"/>
      <c r="AD137" s="280" t="n"/>
      <c r="AE137" s="45" t="n"/>
    </row>
    <row r="138" ht="238.5" customHeight="1">
      <c r="A138" s="334">
        <f>A136+1</f>
        <v/>
      </c>
      <c r="B138" s="36" t="inlineStr">
        <is>
          <t>fies_intro</t>
        </is>
      </c>
      <c r="C138" s="37" t="inlineStr">
        <is>
          <t>fies_intro</t>
        </is>
      </c>
      <c r="D138" s="38"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38" s="39">
        <f>LEN(D138)</f>
        <v/>
      </c>
      <c r="F138" s="38"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38" s="39">
        <f>LEN(F138)</f>
        <v/>
      </c>
      <c r="H138" s="119" t="inlineStr">
        <is>
          <t>Sisan, ne tun b’a fɛ ka ɲiningali damani lase i ma balo koo, baara be kɛ ni balo ye cogo min na ani u dakɛɲɛ fɛɛrɛw. i ka banba k’i hakili to waati ɲuman koo la ɲiningali kulu kelen kelen bɛɛ ta faan fɛ. ɲiningali kulu fɔlɔ be ɲasin wa wala aw ka gwaso mɔgɔ dɔ ye min kunbɛn ka tɛmɛ tile 30 tɛmɛninw kɔnɔ.
[NIENIGALIKÈLA: DIABI KELEN.]
1)AN KA TA NIEFÈ</t>
        </is>
      </c>
      <c r="I138" s="39">
        <f>LEN(H138)</f>
        <v/>
      </c>
      <c r="J138" s="119" t="inlineStr">
        <is>
          <t>Nej ge e bee, e euro nam bee kaɲej e ɲeraa dãj koru e kãntɔgɔɔm mana, uɟuru daga ma eru uɟuru dene-m ɟĩ. Ko uɟuru pono kãã ma kasaj ônlej doguru tɛm ɛɟu le ɟata i. ko uɟuru pono pɔɔrɔ e maa uronam maa nǐ 30 dũwõ mi gara bɛrɛ ɟugɔ e ɛ̂ ma mana-i.
[SEROU SEROUMOUNE: YABIRIYEYE TOUROU]
1)GARA</t>
        </is>
      </c>
      <c r="K138" s="39">
        <f>LEN(J138)</f>
        <v/>
      </c>
      <c r="L138" s="58" t="inlineStr">
        <is>
          <t xml:space="preserve">Hiinno wo eggu ba  eyy muu ayy muu hann yonn taii hanrro misso kan, awonnuu djogola ndu a wonn nuu doonney doo. kokkari kun boonn matendi waatou heyyna hanngnon bandeyy kuul saii .  Hannn gnon bandeyy jiina kuu se leyy gnoun cerrmey  kal er wal er huwwo borru foo dan kuu kubeyy jiirbuu waranza kokoruubantey bonnn.
[HANKOYO: DJAABI FO]
1) KOYE A GA </t>
        </is>
      </c>
      <c r="M138" s="60">
        <f>LEN(L138)</f>
        <v/>
      </c>
      <c r="N138" s="59" t="inlineStr">
        <is>
          <t xml:space="preserve">Arheɣ amaradəɣ akawan akfaɣ harat ən asestanan fal tetate ən amənsi, adakal ən amənsi ad imokənan ən aləmadat. Sədutətat ye atarəkam as asaɣat tahusket ye tagabayt ən asestanan kul. Tagabayt tazarat ən asestanan təle fal timusnawen tidar koned meɣ adinat ən alɣayal nawan tamoqasam ɣor 30 išilan okaynen. 
[AMASSASTAN: ALWAJAB IYANE]
1)NADOBE ANISSANTE </t>
        </is>
      </c>
      <c r="O138" s="60">
        <f>LEN(N138)</f>
        <v/>
      </c>
      <c r="P138" s="59" t="inlineStr">
        <is>
          <t>Jooni kay miɗo muuya lamndaade-ɗon ke haɓɓodii e no neemorto-ɗon, no njogori-ɗon naama e e no ngatton ko na ɗum foti e mooɗon. Laamnon keh jaabuuji moɗon na kawri e wakkati mo ko njaabo-ɗon ɗum waɗi. ƴamɗe go’aɓe ɗen na kaɓɓodii e ko mboowu-ɗon anon maa ko woowi hewtaade yoga e koreeji mooɗon nder ñalaaɗe 30 cakitiiɗe ɗee.
[LANDOTOODO:  JAABUU GOOTO]
1)JOKKINNDE</t>
        </is>
      </c>
      <c r="Q138" s="39">
        <f>LEN(P138)</f>
        <v/>
      </c>
      <c r="R138" s="137" t="inlineStr">
        <is>
          <t>Single Choice</t>
        </is>
      </c>
      <c r="S138" s="39" t="inlineStr">
        <is>
          <t>NA</t>
        </is>
      </c>
      <c r="T138" s="39" t="inlineStr">
        <is>
          <t>NA</t>
        </is>
      </c>
      <c r="U138" s="39" t="inlineStr">
        <is>
          <t>Form Type - Buttons</t>
        </is>
      </c>
      <c r="V138" s="40" t="inlineStr">
        <is>
          <t>NA</t>
        </is>
      </c>
      <c r="W138" s="41" t="inlineStr">
        <is>
          <t>1 = fies_worried</t>
        </is>
      </c>
      <c r="X138" s="335" t="n"/>
      <c r="Y138" s="302" t="inlineStr">
        <is>
          <t>if fies = 1, go to fies_worried</t>
        </is>
      </c>
      <c r="Z138" s="122" t="n"/>
      <c r="AA138" s="43" t="inlineStr">
        <is>
          <t>resp_age = 18-100
hh_agricactivity = 1 | 2 | 3 | 4
quotareached = 2</t>
        </is>
      </c>
      <c r="AB138" s="189" t="inlineStr">
        <is>
          <t>Check if the ESS team has an official translation.
Vérifiez si l'équipe ESS dispose d'une traduction officielle.</t>
        </is>
      </c>
      <c r="AC138" s="111" t="n">
        <v>12.77690315246582</v>
      </c>
      <c r="AD138" s="374" t="n">
        <v>1</v>
      </c>
      <c r="AE138" s="111">
        <f>AC138*AD138</f>
        <v/>
      </c>
    </row>
    <row r="139" ht="200" customHeight="1">
      <c r="A139" s="92">
        <f>A138+1</f>
        <v/>
      </c>
      <c r="B139" s="56" t="inlineStr">
        <is>
          <t>fies_worried</t>
        </is>
      </c>
      <c r="C139" s="48" t="inlineStr">
        <is>
          <t>fies_worried</t>
        </is>
      </c>
      <c r="D139" s="167" t="inlineStr">
        <is>
          <t>During the last 30 days, was there a time when you or others in your household were worried about not having enough food to eat because of lack of money or other resources?
[OPERATOR: SINGLE RESPONSE]
1)YES
2)NO
3)DON'T KNOW
4)REFUSED</t>
        </is>
      </c>
      <c r="E139" s="27">
        <f>LEN(D139)</f>
        <v/>
      </c>
      <c r="F139" s="145" t="inlineStr">
        <is>
          <t>Au cours de ces 30 derniers jours, vous ou un membre de votre ménage avez-vous été inquiets de ne pas avoir suffisamment de nourriture par manque d’argent ou d’autres ressources ?
[OPÉRATEUR/OPÉRATRICE: RÉPONSE UNIQUE.]
1)Oui
2)Non
3)NE SAIT PAS
4)REFUSÉ</t>
        </is>
      </c>
      <c r="G139" s="27">
        <f>LEN(F139)</f>
        <v/>
      </c>
      <c r="H139" s="91" t="inlineStr">
        <is>
          <t>Ni tile bisaba laban na, yala wati do E Walima douden do, djorole doumouni fitini soroli la ka sabou ke wari ko gèlèya ye walima do wèrè?
[NIENIGALIKÈLA: DIABI KELEN.]
1)AWO
2)AYI
3)NE MA DON
4)A BAN NA</t>
        </is>
      </c>
      <c r="I139" s="27">
        <f>LEN(H139)</f>
        <v/>
      </c>
      <c r="J139" s="391" t="inlineStr">
        <is>
          <t>Baye 30 oungarou onne ou ma guinrou ébé inè tourou, pana gaahyi wôrô nè liliyé biya béyi nè kèlè sèrèye ma odiou lé bègne sèrèye ma?
[SEROU SEROUMOUNE: YABIRIYEYE TOUROU]
1)ÉE
2)Ɔ̃-Ɔ̃
3)ɟUGƆGO. 
4)JƆWƆLI.</t>
        </is>
      </c>
      <c r="K139" s="27">
        <f>LEN(J139)</f>
        <v/>
      </c>
      <c r="L139" s="392" t="inlineStr">
        <is>
          <t>Nourou djangey wala hayafo tana sé, djirbi waranza (30) kan bissara, wati té kalla, ni wala ni alayaney borfo hambour war ma djiagn haya kan war ga gna?
[HANKOYO: DJABI FO]
1) AYYO
2) KALA
3) A CHI BEY
4) A WANDJI</t>
        </is>
      </c>
      <c r="M139" s="393">
        <f>LEN(L139)</f>
        <v/>
      </c>
      <c r="N139" s="392" t="inlineStr">
        <is>
          <t>Ayore wadague okayant kala tarmagade dibane ichikcha awasse watilede azourfe?
[AMASSASTAN: ALWAJAB IYANE]
1)IYA
2)ABO
3)WARISSÉNÉGUE
4)OUNDJAYAGUE</t>
        </is>
      </c>
      <c r="O139" s="393">
        <f>LEN(N139)</f>
        <v/>
      </c>
      <c r="P139" s="392" t="inlineStr">
        <is>
          <t>Won nde waddi  ley balde capantati cakkitiidi an naa neddo gallema mbami sukkulla wasude hebude jnamdu kewdo saabi a wala kalasi naa a wala noo kebira?
[LANDOTOODO:  JAABUU GOOTO]
1)AYYO 
2)AA'A. 
3)MO ANDA
4)SALAADE</t>
        </is>
      </c>
      <c r="Q139" s="27">
        <f>LEN(P139)</f>
        <v/>
      </c>
      <c r="R139" s="63" t="inlineStr">
        <is>
          <t>Single Choice</t>
        </is>
      </c>
      <c r="S139" s="27" t="inlineStr">
        <is>
          <t>NA</t>
        </is>
      </c>
      <c r="T139" s="27" t="inlineStr">
        <is>
          <t>NA</t>
        </is>
      </c>
      <c r="U139" s="27" t="inlineStr">
        <is>
          <t>Form Type - Buttons</t>
        </is>
      </c>
      <c r="V139" s="40" t="inlineStr">
        <is>
          <t>NA</t>
        </is>
      </c>
      <c r="W139" s="64" t="inlineStr">
        <is>
          <t>1-4 = fies_healthy</t>
        </is>
      </c>
      <c r="X139" s="319" t="n"/>
      <c r="Y139" s="394" t="inlineStr">
        <is>
          <t>if fies_worried = 1-4, go to fies_healthy</t>
        </is>
      </c>
      <c r="Z139" s="395" t="n"/>
      <c r="AA139" s="66" t="inlineStr">
        <is>
          <t>resp_age = 18-100
hh_agricactivity = 1 | 2 | 3 | 4
quotareached = 2</t>
        </is>
      </c>
      <c r="AB139" s="67" t="n"/>
      <c r="AC139" s="111" t="n">
        <v>21.39860534667969</v>
      </c>
      <c r="AD139" s="374" t="n">
        <v>1</v>
      </c>
      <c r="AE139" s="111">
        <f>AC139*AD139</f>
        <v/>
      </c>
    </row>
    <row r="140" ht="211.5" customHeight="1">
      <c r="A140" s="92">
        <f>A139+1</f>
        <v/>
      </c>
      <c r="B140" s="56" t="inlineStr">
        <is>
          <t>fies_healthy</t>
        </is>
      </c>
      <c r="C140" s="48" t="inlineStr">
        <is>
          <t>fies_healthy</t>
        </is>
      </c>
      <c r="D140" s="167" t="inlineStr">
        <is>
          <t>During the last 30 days, was there a time when you or others in your household were unable to eat healthy and nutritious food because of lack of money or other resources?
[OPERATOR: SINGLE RESPONSE]
1)YES
2)NO
3)DON'T KNOW
4)REFUSED</t>
        </is>
      </c>
      <c r="E140" s="27">
        <f>LEN(D140)</f>
        <v/>
      </c>
      <c r="F140" s="145" t="inlineStr">
        <is>
          <t>Au cours des 30 derniers jours, vous ou un autre membre de votre ménage n'avez-vous pas pu manger une nourriture saine et nutritive par manque d’argent ou d’autres ressources ?
[OPÉRATEUR/OPÉRATRICE: RÉPONSE UNIQUE.]
1)Oui
2)Non
3)NE SAIT PAS
4)REFUSÉ</t>
        </is>
      </c>
      <c r="G140" s="27">
        <f>LEN(F140)</f>
        <v/>
      </c>
      <c r="H140" s="91" t="inlineStr">
        <is>
          <t>Ni tile bisaba laban na, yala wati do E Walima douden do, ma se ka doumouni niouma kè ka sabou kè wari ko ye walima fin wèrè?
[NIENIGALIKÈLA: DIABI KELEN.]
1)AWO
2)AYI
3)NE MA DON
4)A BAN NA</t>
        </is>
      </c>
      <c r="I140" s="27">
        <f>LEN(H140)</f>
        <v/>
      </c>
      <c r="J140" s="391" t="inlineStr">
        <is>
          <t>Iyèlé baye 30 oungarou onne kèlè sèrèye kanran ma odiou lé bègne sèrèye kanran, ouye ma guinrou gono inè lé pana èdiou bèri kanran béyi ma?
[SEROU SEROUMOUNE: YABIRIYEYE TOUROU]
1)ÉE
2)Ɔ̃-Ɔ̃
3)ɟUGƆGO. 
4)JƆWƆLI.</t>
        </is>
      </c>
      <c r="K140" s="27">
        <f>LEN(J140)</f>
        <v/>
      </c>
      <c r="L140" s="392" t="inlineStr">
        <is>
          <t>Djirbi waranza (30) wo ra, waati té kan la, ni wla ni alayaney mana hine ga gnari henenanté ka ga nafa gna, norou djagney ché wala haya fo tana ché?
[HANKOYO: DJAABI FO]
1) AYYO
2) KALA
3) A CHI BEY
4) A WANDJI</t>
        </is>
      </c>
      <c r="M140" s="393">
        <f>LEN(L140)</f>
        <v/>
      </c>
      <c r="N140" s="392" t="inlineStr">
        <is>
          <t>Ayore wadague okayant kala timal alwake isse awadoum iyene dague ehanake waricheka olagnéne awasse warila azourfe?
[AMASSASTAN: ALWAJAB IYANE]
1)IYA
2)ABO
3)WARISSÉNÉGUE
4)OUNDJAYAGUE</t>
        </is>
      </c>
      <c r="O140" s="393">
        <f>LEN(N140)</f>
        <v/>
      </c>
      <c r="P140" s="392" t="inlineStr">
        <is>
          <t xml:space="preserve"> Fay  jooni ley balde capantai cakkitiidi, won nde waddi an naa neddo galle ma jnamay jnamndu laabudi e nafooji saabi a wala kalasi naa ndatol gonngol?
[LANDOTOODO:  JAABUU GOOTO]
1)AYYO 
2)AA'A. 
3)MO ANDA
4)SALAADE</t>
        </is>
      </c>
      <c r="Q140" s="27">
        <f>LEN(P140)</f>
        <v/>
      </c>
      <c r="R140" s="63" t="inlineStr">
        <is>
          <t>Single Choice</t>
        </is>
      </c>
      <c r="S140" s="27" t="inlineStr">
        <is>
          <t>NA</t>
        </is>
      </c>
      <c r="T140" s="27" t="inlineStr">
        <is>
          <t>NA</t>
        </is>
      </c>
      <c r="U140" s="27" t="inlineStr">
        <is>
          <t>Form Type - Buttons</t>
        </is>
      </c>
      <c r="V140" s="40" t="inlineStr">
        <is>
          <t>NA</t>
        </is>
      </c>
      <c r="W140" s="64" t="inlineStr">
        <is>
          <t>1-4 = fies_fewfoods</t>
        </is>
      </c>
      <c r="X140" s="319" t="n"/>
      <c r="Y140" s="394" t="inlineStr">
        <is>
          <t>if fies_healthy = 1-4, go to fies_fewfoods</t>
        </is>
      </c>
      <c r="Z140" s="395" t="n"/>
      <c r="AA140" s="66" t="inlineStr">
        <is>
          <t>resp_age = 18-100
hh_agricactivity = 1 | 2 | 3 | 4
quotareached = 2</t>
        </is>
      </c>
      <c r="AB140" s="67" t="n"/>
      <c r="AC140" s="111" t="n">
        <v>14.98074054718018</v>
      </c>
      <c r="AD140" s="374" t="n">
        <v>1</v>
      </c>
      <c r="AE140" s="111">
        <f>AC140*AD140</f>
        <v/>
      </c>
    </row>
    <row r="141" ht="180" customHeight="1">
      <c r="A141" s="92">
        <f>A140+1</f>
        <v/>
      </c>
      <c r="B141" s="56" t="inlineStr">
        <is>
          <t>fies_fewfoods</t>
        </is>
      </c>
      <c r="C141" s="48" t="inlineStr">
        <is>
          <t>fies_fewfoods</t>
        </is>
      </c>
      <c r="D141" s="167" t="inlineStr">
        <is>
          <t>During the last 30 days, was there a time when you or others in your household ate only a few kinds of foods because of lack of money or other resources?
[OPERATOR: SINGLE RESPONSE]
1)YES
2)NO
3)DON'T KNOW
4)REFUSED</t>
        </is>
      </c>
      <c r="E141" s="27">
        <f>LEN(D141)</f>
        <v/>
      </c>
      <c r="F141" s="145" t="inlineStr">
        <is>
          <t>Au cours des 30 derniers jours, vous ou un autre membre de votre ménage avez-vous mangé une nourriture peu variée par manque d’argent ou d’autres ressources ?
[OPÉRATEUR/OPÉRATRICE: RÉPONSE UNIQUE.]
1)Oui
2)Non
3)NE SAIT PAS
4)REFUSÉ</t>
        </is>
      </c>
      <c r="G141" s="27">
        <f>LEN(F141)</f>
        <v/>
      </c>
      <c r="H141" s="91" t="inlineStr">
        <is>
          <t>yala wati do E Walima douden do, ka doumouni kè ye doumouni damado ye ka sabou kè wari ko ye walima do wèrè?
[NIENIGALIKÈLA: DIABI KELEN.]
1)AWO
2)AYI
3)NE MA DON
4)A BAN NA</t>
        </is>
      </c>
      <c r="I141" s="27">
        <f>LEN(H141)</f>
        <v/>
      </c>
      <c r="J141" s="391" t="inlineStr">
        <is>
          <t>Kèlè sènèye kanran ma odiou lé bèyi sèrèye kanran é pana tôgou dinye dinye kaya bèri kanran bé ma?
[SEROU SEROUMOUNE: YABIRIYEYE TOUROU]
1)ÉE
2)Ɔ̃-Ɔ̃
3)ɟUGƆGO. 
4)JƆWƆLI.</t>
        </is>
      </c>
      <c r="K141" s="27">
        <f>LEN(J141)</f>
        <v/>
      </c>
      <c r="L141" s="392" t="inlineStr">
        <is>
          <t>Wati té kan la ni wla ni alayaney borfo chi gna de kala gnari bouno yan, norou djagney ché wala haya fo tana sé?
[HANKOYO: DJAABI FO]
1) AYYO
2) KALA
3) A CHI BEY
4) A WANDJI</t>
        </is>
      </c>
      <c r="M141" s="393">
        <f>LEN(L141)</f>
        <v/>
      </c>
      <c r="N141" s="392" t="inlineStr">
        <is>
          <t>Adjim idja alwake isse tichkame ahawane warane idjerese awasse watileme azourfe?
[AMASSASTAN: ALWAJAB IYANE]
1)IYA
2)ABO
3)WARISSÉNÉGUE
4)OUNDJAYAGUE</t>
        </is>
      </c>
      <c r="O141" s="393">
        <f>LEN(N141)</f>
        <v/>
      </c>
      <c r="P141" s="392" t="inlineStr">
        <is>
          <t>Won nde waddi an naa neddo galle ma jnamay sii jnamndu tawaado fuu  saabi a wala kalasi naa ndatol gonngol?
[LANDOTOODO:  JAABUU GOOTO]
1)AYYO 
2)AA'A. 
3)MO ANDA
4)SALAADE</t>
        </is>
      </c>
      <c r="Q141" s="27">
        <f>LEN(P141)</f>
        <v/>
      </c>
      <c r="R141" s="63" t="inlineStr">
        <is>
          <t>Single Choice</t>
        </is>
      </c>
      <c r="S141" s="27" t="inlineStr">
        <is>
          <t>NA</t>
        </is>
      </c>
      <c r="T141" s="27" t="inlineStr">
        <is>
          <t>NA</t>
        </is>
      </c>
      <c r="U141" s="27" t="inlineStr">
        <is>
          <t>Form Type - Buttons</t>
        </is>
      </c>
      <c r="V141" s="40" t="inlineStr">
        <is>
          <t>NA</t>
        </is>
      </c>
      <c r="W141" s="64" t="inlineStr">
        <is>
          <t>1-4 = fies_skipped</t>
        </is>
      </c>
      <c r="X141" s="319" t="n"/>
      <c r="Y141" s="394" t="inlineStr">
        <is>
          <t>if fies_fewfoods = 1-4, go to fies_skipped</t>
        </is>
      </c>
      <c r="Z141" s="395" t="n"/>
      <c r="AA141" s="66" t="inlineStr">
        <is>
          <t>resp_age = 18-100
hh_agricactivity = 1 | 2 | 3 | 4
quotareached = 2</t>
        </is>
      </c>
      <c r="AB141" s="67" t="n"/>
      <c r="AC141" s="111" t="n">
        <v>13.72302150726318</v>
      </c>
      <c r="AD141" s="374" t="n">
        <v>1</v>
      </c>
      <c r="AE141" s="111">
        <f>AC141*AD141</f>
        <v/>
      </c>
    </row>
    <row r="142" ht="200" customHeight="1">
      <c r="A142" s="92">
        <f>A141+1</f>
        <v/>
      </c>
      <c r="B142" s="56" t="inlineStr">
        <is>
          <t>fies_skipped</t>
        </is>
      </c>
      <c r="C142" s="48" t="inlineStr">
        <is>
          <t>fies_skipped</t>
        </is>
      </c>
      <c r="D142" s="167" t="inlineStr">
        <is>
          <t>During the last 30 days, was there a time when you or others in your household had to skip a meal because of lack of money or other resources to get food?
[OPERATOR: SINGLE RESPONSE]
1)YES
2)NO
3)DON'T KNOW
4)REFUSED</t>
        </is>
      </c>
      <c r="E142" s="27">
        <f>LEN(D142)</f>
        <v/>
      </c>
      <c r="F142" s="145" t="inlineStr">
        <is>
          <t>Au cours des 30 derniers jours, vous ou un autre membre de votre ménage avez-vous dû sauter un repas parce que vous n’aviez pas assez d’argent ou d’autres ressources pour vous procurer à manger ?
[OPÉRATEUR/OPÉRATRICE: RÉPONSE UNIQUE.]
1)Oui
2)Non
3)NE SAIT PAS
4)REFUSÉ</t>
        </is>
      </c>
      <c r="G142" s="27">
        <f>LEN(F142)</f>
        <v/>
      </c>
      <c r="H142" s="91" t="inlineStr">
        <is>
          <t>yala wati do E Walima douden do, ma doumouni kè wati do tèmè na a kan ka sabou kè wari ko ye walima do wèrè?
[NIENIGALIKÈLA: DIABI KELEN.]
1)AWO
2)AYI
3)NE MA DON
4)A BAN NA</t>
        </is>
      </c>
      <c r="I142" s="27">
        <f>LEN(H142)</f>
        <v/>
      </c>
      <c r="J142" s="391" t="inlineStr">
        <is>
          <t>Kèlè sènèye kanran ma odiou lé bèyi sèrèye kanran ouye ma guinrou gono ébé inè lé beyi ma dinrou nè pana kayi wagadou douwa biya tôgou kayari kanran bé ma?
[SEROU SEROUMOUNE: YABIRIYEYE TOUROU]
1)ÉE
2)Ɔ̃-Ɔ̃
3)ɟUGƆGO. 
4)JƆWƆLI.</t>
        </is>
      </c>
      <c r="K142" s="27">
        <f>LEN(J142)</f>
        <v/>
      </c>
      <c r="L142" s="392" t="inlineStr">
        <is>
          <t>Wati té kan la ni wala ni alayaney borfo chi na gna yan adadou sar, norou djagney ché wala dabari djagney ka ga no gnayan sé?
[HANKOYO: DJAABI FO]
1) AYYO
2) KALA
3) A CHI BEY
4) A WANDJI</t>
        </is>
      </c>
      <c r="M142" s="393">
        <f>LEN(L142)</f>
        <v/>
      </c>
      <c r="N142" s="392" t="inlineStr">
        <is>
          <t>Adjim idjé alwake isse watidjerawame ichickcha fal ibane nazourfe maigue ibane haratane iyade?
[AMASSASTAN: ALWAJAB IYANE]
1)IYA
2)ABO
3)WARISSÉNÉGUE
4)OUNDJAYAGUE</t>
        </is>
      </c>
      <c r="O142" s="393">
        <f>LEN(N142)</f>
        <v/>
      </c>
      <c r="P142" s="392" t="inlineStr">
        <is>
          <t>Won nde waddi an naa neddo galle ma diwi wakkati  gooto  saabi a wala kalasi naa ndatol gonngol?
[LANDOTOODO:  JAABUU GOOTO]
1)AYYO 
2)AA'A. 
3)MO ANDA
4)SALAADE</t>
        </is>
      </c>
      <c r="Q142" s="27">
        <f>LEN(P142)</f>
        <v/>
      </c>
      <c r="R142" s="63" t="inlineStr">
        <is>
          <t>Single Choice</t>
        </is>
      </c>
      <c r="S142" s="27" t="inlineStr">
        <is>
          <t>NA</t>
        </is>
      </c>
      <c r="T142" s="27" t="inlineStr">
        <is>
          <t>NA</t>
        </is>
      </c>
      <c r="U142" s="27" t="inlineStr">
        <is>
          <t>Form Type - Buttons</t>
        </is>
      </c>
      <c r="V142" s="40" t="inlineStr">
        <is>
          <t>NA</t>
        </is>
      </c>
      <c r="W142" s="64" t="inlineStr">
        <is>
          <t>1-4 = fies_ateless</t>
        </is>
      </c>
      <c r="X142" s="319" t="n"/>
      <c r="Y142" s="297" t="inlineStr">
        <is>
          <t>if fies_skipped = 1-4, go to fies_ateless</t>
        </is>
      </c>
      <c r="Z142" s="87" t="n"/>
      <c r="AA142" s="66" t="inlineStr">
        <is>
          <t>resp_age = 18-100
hh_agricactivity = 1 | 2 | 3 | 4
quotareached = 2</t>
        </is>
      </c>
      <c r="AB142" s="67" t="n"/>
      <c r="AC142" s="111" t="n">
        <v>13.06220054626465</v>
      </c>
      <c r="AD142" s="374" t="n">
        <v>1</v>
      </c>
      <c r="AE142" s="111">
        <f>AC142*AD142</f>
        <v/>
      </c>
    </row>
    <row r="143" ht="200" customHeight="1">
      <c r="A143" s="92">
        <f>A142+1</f>
        <v/>
      </c>
      <c r="B143" s="56" t="inlineStr">
        <is>
          <t>fies_ateless</t>
        </is>
      </c>
      <c r="C143" s="48" t="inlineStr">
        <is>
          <t>fies_ateless</t>
        </is>
      </c>
      <c r="D143" s="167" t="inlineStr">
        <is>
          <t>During the last 30 days, was there a time when you or others in your household ate less than you thought you should because of lack of money or other resources?
[OPERATOR: SINGLE RESPONSE]
1)YES
2)NO
3)DON'T KNOW
4)REFUSED</t>
        </is>
      </c>
      <c r="E143" s="27">
        <f>LEN(D143)</f>
        <v/>
      </c>
      <c r="F143" s="145" t="inlineStr">
        <is>
          <t>Au cours des 30 derniers jours, y-a-t-il eu des moments lors desquels vous ou d'autre membre de votre ménage avez mangé moins que ce que vous pensiez que auriez dû manger à cause d'un manque d'argent ou d'autres ressources ?
[OPÉRATEUR/OPÉRATRICE: RÉPONSE UNIQUE.]
1)Oui
2)Non
3)NE SAIT PAS
4)REFUSÉ</t>
        </is>
      </c>
      <c r="G143" s="27">
        <f>LEN(F143)</f>
        <v/>
      </c>
      <c r="H143" s="91" t="inlineStr">
        <is>
          <t>Ni tile bisaba laban na, yala wati do E Walima douden do, ka doumouni kè ta ka dogon ka sabou kè wari ko ye walima fin wèrè?
[NIENIGALIKÈLA: DIABI KELEN.]
1)AWO
2)AYI
3)NE MA DON
4)A BAN NA</t>
        </is>
      </c>
      <c r="I143" s="27">
        <f>LEN(H143)</f>
        <v/>
      </c>
      <c r="J143" s="391" t="inlineStr">
        <is>
          <t>Iyèlé baye 30 oungarou onne kèlè sèrèye kanran ma odiou lé bègne sèrèye kanran, ouye ma guinrou gono inè lé pana kayé ou mannou bèri kanran béyi ma?
[SEROU SEROUMOUNE: YABIRIYEYE TOUROU]
1)ÉE
2)Ɔ̃-Ɔ̃
3)ɟUGƆGO. 
4)JƆWƆLI.</t>
        </is>
      </c>
      <c r="K143" s="27">
        <f>LEN(J143)</f>
        <v/>
      </c>
      <c r="L143" s="392" t="inlineStr">
        <is>
          <t>Hala hon djirbi waranza dara, wati té kan la ni wala ni alayaney bor fo ka nga gna yano ra, norou djagneye ché wala dabari djagney ka ga katé gnayan sé?
[HANKOYO: DJAABI FO]
1) AYYO
2) KALA
3) A CHI BEY
4) A WANDJI</t>
        </is>
      </c>
      <c r="M143" s="393">
        <f>LEN(L143)</f>
        <v/>
      </c>
      <c r="N143" s="392" t="inlineStr">
        <is>
          <t>Adjim idjé alwake isse watitime  ichickcha kabori fal ibane nazourfe maigue ibane haratane iyade?
[AMASSASTAN: ALWAJAB IYANE]
1)IYA
2)ABO
3)WARISSÉNÉGUE
4)OUNDJAYAGUE</t>
        </is>
      </c>
      <c r="O143" s="393">
        <f>LEN(N143)</f>
        <v/>
      </c>
      <c r="P143" s="392" t="inlineStr">
        <is>
          <t>Fay  jooni ley balde capantai cakkitiidi, won nde waddi an naa neddo galle ma hebay jnamude ko wowinoo saabi a wala kalasi naa ndatol gonngol?
[LANDOTOODO:  JAABUU GOOTO]
1)AYYO 
2)AA'A. 
3)MO ANDA
4)SALAADE</t>
        </is>
      </c>
      <c r="Q143" s="27">
        <f>LEN(P143)</f>
        <v/>
      </c>
      <c r="R143" s="63" t="inlineStr">
        <is>
          <t>Single Choice</t>
        </is>
      </c>
      <c r="S143" s="27" t="inlineStr">
        <is>
          <t>NA</t>
        </is>
      </c>
      <c r="T143" s="27" t="inlineStr">
        <is>
          <t>NA</t>
        </is>
      </c>
      <c r="U143" s="27" t="inlineStr">
        <is>
          <t>Form Type - Buttons</t>
        </is>
      </c>
      <c r="V143" s="40" t="inlineStr">
        <is>
          <t>NA</t>
        </is>
      </c>
      <c r="W143" s="64" t="inlineStr">
        <is>
          <t>1-4 = fies_ranout</t>
        </is>
      </c>
      <c r="X143" s="319" t="n"/>
      <c r="Y143" s="297" t="inlineStr">
        <is>
          <t>if fies_ateless = 1-4, go to fies_ranout</t>
        </is>
      </c>
      <c r="Z143" s="87" t="n"/>
      <c r="AA143" s="66" t="inlineStr">
        <is>
          <t>resp_age = 18-100
hh_agricactivity = 1 | 2 | 3 | 4
quotareached = 2</t>
        </is>
      </c>
      <c r="AB143" s="67" t="n"/>
      <c r="AC143" s="111" t="n">
        <v>13.09532356262207</v>
      </c>
      <c r="AD143" s="374" t="n">
        <v>1</v>
      </c>
      <c r="AE143" s="111">
        <f>AC143*AD143</f>
        <v/>
      </c>
    </row>
    <row r="144" ht="200" customHeight="1">
      <c r="A144" s="92">
        <f>A143+1</f>
        <v/>
      </c>
      <c r="B144" s="56" t="inlineStr">
        <is>
          <t>fies_ranout</t>
        </is>
      </c>
      <c r="C144" s="380" t="inlineStr">
        <is>
          <t>fies_ranout</t>
        </is>
      </c>
      <c r="D144" s="166" t="inlineStr">
        <is>
          <t>In the past 30 days, was there ever no food to eat of any kind in your house because of lack of resources to get food?
[OPERATOR: SINGLE RESPONSE]
1)YES
2)NO
3)DON'T KNOW
4)REFUSED</t>
        </is>
      </c>
      <c r="E144" s="27">
        <f>LEN(D144)</f>
        <v/>
      </c>
      <c r="F144" s="166" t="inlineStr">
        <is>
          <t>Au cours des 30 derniers jours, y a-t-il parfois eu plus aucune nourriture à manger, de quelque nature que ce soit, dans votre foyer, en raison du manque de ressources pour se procurer de la nourriture ?
[OPÉRATEUR/OPÉRATRICE: RÉPONSE UNIQUE.]
1)Oui
2)Non
3)NE SAIT PAS
4)REFUSÉ</t>
        </is>
      </c>
      <c r="G144" s="27">
        <f>LEN(F144)</f>
        <v/>
      </c>
      <c r="H144" s="91" t="inlineStr">
        <is>
          <t>Tile 30 minw tɛmɛna sisan, dumuni foyi ma sɔrɔ ka kɛ balo ye, a ma na sugu wo sugu ye, aw ka gwaso kɔnɔ, dɛsɛ kosɔn walisa ka dumuni saan wa? 
[NIENIGALIKÈLA: DIABI KELEN.]
1)AWO
2)AYI
3)NE MA DON
4)A BAN NA</t>
        </is>
      </c>
      <c r="I144" s="27">
        <f>LEN(H144)</f>
        <v/>
      </c>
      <c r="J144" s="391" t="inlineStr">
        <is>
          <t>Nǐ 30 dũwõ mi gara bɛrɛ, e uro bɛrɛ, kaɲey be ɲee fuu kɔrɔ taŋa ṭɛ lii, cɛ kɔrɔ ɟɛ-mine sabaabu ko taŋa fuu, kaɲej dãjkãrã mine bɛrɛ e ɛwɛ?
[SEROU SEROUMOUNE: YABIRIYEYE TOUROU]
1)ÉE
2)Ɔ̃-Ɔ̃
3)ɟUGƆGO. 
4)JƆWƆLI.</t>
        </is>
      </c>
      <c r="K144" s="27">
        <f>LEN(J144)</f>
        <v/>
      </c>
      <c r="L144" s="392" t="inlineStr">
        <is>
          <t>Jiirbu 30 kan bisa, er huwo boorey mane do kgnanru fo kul kan gu kgan jaam deeber fo kul si?
[HANKOYO: DJAABI FO]
1) AYYO
2) KALA
3) A CHI BEY
4) A WANDJI</t>
        </is>
      </c>
      <c r="M144" s="27">
        <f>LEN(L144)</f>
        <v/>
      </c>
      <c r="N144" s="392" t="inlineStr">
        <is>
          <t>Ɣor 30 ən išilan okaynen, war kala tila amənsi imaren amaška,as harat ən iri adarolah, dǎɣ alɣayal nawan, as iban təlaten ye agaraw ən amənsi ?
[AMASSASTAN: ALWAJAB IYANE]
1)IYA
2)ABO
3)WARISSÉNÉGUE
4)OUNDJAYAGUE</t>
        </is>
      </c>
      <c r="O144" s="27">
        <f>LEN(N144)</f>
        <v/>
      </c>
      <c r="P144" s="392" t="inlineStr">
        <is>
          <t>Ley ñalaaɗe 30 cakitiiɗe ɗee, waɗaay fuh nde neema laatiiɗo fuh hunngii heɓeede nder ɓaade mooɗon saabee rafi baawɗe faa neema soodee ?
[LANDOTOODO:  JAABUU GOOTO]
1)AYYO 
2)AA'A. 
3)MO ANDA
4)SALAADE</t>
        </is>
      </c>
      <c r="Q144" s="27">
        <f>LEN(P144)</f>
        <v/>
      </c>
      <c r="R144" s="63" t="inlineStr">
        <is>
          <t>Single Choice</t>
        </is>
      </c>
      <c r="S144" s="27" t="inlineStr">
        <is>
          <t>NA</t>
        </is>
      </c>
      <c r="T144" s="27" t="inlineStr">
        <is>
          <t>NA</t>
        </is>
      </c>
      <c r="U144" s="27" t="inlineStr">
        <is>
          <t>Form Type - Buttons</t>
        </is>
      </c>
      <c r="V144" s="40" t="inlineStr">
        <is>
          <t>NA</t>
        </is>
      </c>
      <c r="W144" s="64" t="inlineStr">
        <is>
          <t>1=fies_ranout_hhs
2-4 = fies_hungry</t>
        </is>
      </c>
      <c r="X144" s="319" t="n"/>
      <c r="Y144" s="394" t="inlineStr">
        <is>
          <t>if fies_ranout = 1, go to fies_ranout_hhs. Otherwise, go to fies_hungry</t>
        </is>
      </c>
      <c r="Z144" s="395" t="n"/>
      <c r="AA144" s="66" t="inlineStr">
        <is>
          <t>resp_age = 18-100
hh_agricactivity = 1 | 2 | 3 | 4
quotareached = 2</t>
        </is>
      </c>
      <c r="AB144" s="67" t="n"/>
      <c r="AC144" s="111" t="n">
        <v>16.10101918465228</v>
      </c>
      <c r="AD144" s="374" t="n">
        <v>1</v>
      </c>
      <c r="AE144" s="111">
        <f>AC144*AD144</f>
        <v/>
      </c>
    </row>
    <row r="145" ht="259.5" customHeight="1">
      <c r="A145" s="92">
        <f>A144+1</f>
        <v/>
      </c>
      <c r="B145" s="56" t="inlineStr">
        <is>
          <t>fies_ranout_hhs</t>
        </is>
      </c>
      <c r="C145" s="380" t="inlineStr">
        <is>
          <t>fies_ranout_hhs</t>
        </is>
      </c>
      <c r="D145" s="396" t="inlineStr">
        <is>
          <t>How often did this happen?
[OPERATOR: SINGLE RESPONSE]
1)Rarely [1-2 times in the past 30 days]
2)Sometimes [3-10 times in the past 30 days]
3)Often [more than 10 times in the last 30 days]
4)DON'T KNOW
5)REFUSED</t>
        </is>
      </c>
      <c r="E145" s="27">
        <f>LEN(D145)</f>
        <v/>
      </c>
      <c r="F145" s="82" t="inlineStr">
        <is>
          <t>Combien de fois cela s'est-il produit ?
[OPÉRATEUR/OPÉRATRICE: RÉPONSE UNIQUE]
1)Rarement [1 ou 2 fois au cours des 30 derniers jours]
2)Parfois [entre 3 et 10 fois au cours des 30 derniers jours]
3)Souvent [plus de 10 fois au cours des 30 derniers jours]
4)NE SAIT PAS
5)REFUSÉ</t>
        </is>
      </c>
      <c r="G145" s="27">
        <f>LEN(F145)</f>
        <v/>
      </c>
      <c r="H145" s="91" t="inlineStr">
        <is>
          <t>A nana na togo djoumè na?
[NIENIGALIKÈLA: DIABI KELEN.]
1)O kɛ mandi [siɲɛ 1 ka se 2 ma tile 30 tɛmɛnin kɔnɔ]. 
2)Tuma dɔw la [siɲɛ 3 ka se 10 ma tile 30 tɛmɛnin kɔnɔ]. 
3)Tuma caaman [a ka ca siɲɛ 10 tile 30 tɛmɛnin kɔnɔ].
4)NE MA DON
5)A BAN NA</t>
        </is>
      </c>
      <c r="I145" s="27">
        <f>LEN(H145)</f>
        <v/>
      </c>
      <c r="J145" s="391" t="inlineStr">
        <is>
          <t>Wagadou yôgô bélé éyi béyi?
[SEROU SEROUMOUNE: YABIRIYEYE TOUROU]
1)ɟoola [kɔɔ 1 ɲaŋa 2 dɔɔ nǐ 30 dũwõ mi gara bɛrɛ]. 
2)Doguru gama-i [kɔɔ 3 ɲaŋa 10 dɔɔ nǐ 30 dũwõ mi gara bɛrɛ]. 
3)Doguru boŋo [kɔɔ 10 le ire nǐ 30 dũwõ mi gara bɛrɛ].
4)INE
5)YABIRIYERE</t>
        </is>
      </c>
      <c r="K145" s="27">
        <f>LEN(J145)</f>
        <v/>
      </c>
      <c r="L145" s="392" t="inlineStr">
        <is>
          <t>Takafo nda tendi?
[HANKOYO: DJAABI FO]
1)Watu ku koy watu [cee 1 wal 2 jiirbu 30 kan bisa ga]
2)Wattufo [cee 3 ku koy 10 jiirbu 30 kan bisa ga]
3)Wattufo yong [a gu bisa ce 10  jiirbu 10 kan bisa ga]
4)A CHI BEY
5)A WANDJI</t>
        </is>
      </c>
      <c r="M145" s="393">
        <f>LEN(L145)</f>
        <v/>
      </c>
      <c r="N145" s="392" t="inlineStr">
        <is>
          <t>Indeke diha iwade?
[AMASSASTAN: ALWAJAB IYANE]
1)Iban aɣalak [1 as 2 dagan ɣor 30 ən išilan okaynen].
2)Agud iyan [3 as 10 dagan ɣor 30 ən išilan okaynen].
3)Agud [okayan 10 dagan ɣor 30 ən išilan okaynen]. 
4)WARISSENAGUE
5)OUNDJAYAGUE</t>
        </is>
      </c>
      <c r="O145" s="393">
        <f>LEN(N145)</f>
        <v/>
      </c>
      <c r="P145" s="392" t="inlineStr">
        <is>
          <t>Honno ndu wadorii?
[LANDOTOODO:  JAABUU GOOTO]
1)Na tiiɗi [kilal 1 yaade 2 ley ñalaaɗe 30 cakitiiɗe ɗee]. 
2)Wakkati-wakkati [kile 3 -10 ley ñalaaɗe 30 cakitiiɗe ɗee]. 
3)Wakkati sanne [ko ɓuri kile 10 ley ñalaaɗe 30 cakitiiɗe ɗee].
4)MO ANDA
5)SALAADE</t>
        </is>
      </c>
      <c r="Q145" s="27">
        <f>LEN(P145)</f>
        <v/>
      </c>
      <c r="R145" s="63" t="inlineStr">
        <is>
          <t>Single Choice</t>
        </is>
      </c>
      <c r="S145" s="27" t="inlineStr">
        <is>
          <t>NA</t>
        </is>
      </c>
      <c r="T145" s="27" t="inlineStr">
        <is>
          <t>NA</t>
        </is>
      </c>
      <c r="U145" s="27" t="inlineStr">
        <is>
          <t>Form Type - Buttons</t>
        </is>
      </c>
      <c r="V145" s="40" t="inlineStr">
        <is>
          <t>NA</t>
        </is>
      </c>
      <c r="W145" s="64" t="inlineStr">
        <is>
          <t xml:space="preserve">1-5 = fies_hungry </t>
        </is>
      </c>
      <c r="X145" s="319" t="n"/>
      <c r="Y145" s="297" t="inlineStr">
        <is>
          <t>if fies_ranout_hhs = 1-5, go to fies_hungry</t>
        </is>
      </c>
      <c r="Z145" s="87" t="n"/>
      <c r="AA145" s="66" t="inlineStr">
        <is>
          <t xml:space="preserve">resp_age = 18-100
hh_agricactivity = 1 | 2 | 3 | 4
quotareached = 2
fies_ranout = 1 </t>
        </is>
      </c>
      <c r="AB145" s="67" t="n"/>
      <c r="AC145" s="111" t="n">
        <v>11.76504325866699</v>
      </c>
      <c r="AD145" s="374" t="n">
        <v>1</v>
      </c>
      <c r="AE145" s="111">
        <f>AC145*AD145</f>
        <v/>
      </c>
    </row>
    <row r="146" ht="180" customHeight="1">
      <c r="A146" s="92">
        <f>A145+1</f>
        <v/>
      </c>
      <c r="B146" s="56" t="inlineStr">
        <is>
          <t>fies_hungry</t>
        </is>
      </c>
      <c r="C146" s="48" t="inlineStr">
        <is>
          <t>fies_hungry</t>
        </is>
      </c>
      <c r="D146" s="166" t="inlineStr">
        <is>
          <t>In the past 30 days, did you or any household member ever go to sleep at night hungry because there was not enough food?
[OPERATOR: SINGLE RESPONSE]
1)YES
2)NO
3)DON'T KNOW
4)REFUSED</t>
        </is>
      </c>
      <c r="E146" s="27">
        <f>LEN(D146)</f>
        <v/>
      </c>
      <c r="F146" s="166" t="inlineStr">
        <is>
          <t>Au cours des 30 derniers jours, êtiez-vous ou tout membre de votre ménage obligé de dormir affamé le soir parce qu'il n'y avait pas assez de nourriture ?
[OPÉRATEUR/OPÉRATRICE: RÉPONSE UNIQUE.]
1)Oui
2)Non
3)NE SAIT PAS
4)REFUSÉ</t>
        </is>
      </c>
      <c r="G146" s="27">
        <f>LEN(F146)</f>
        <v/>
      </c>
      <c r="H146" s="82" t="inlineStr">
        <is>
          <t>Tile 30 tɛmɛn kɔnɔ, aw wala aw ka gwaso mɔgɔ dɔ deli la ka da wula fɛ katuguni kɔngɔ taw la k’a sababu kɛ dumuni cayabaliya ye wa? 
[NIENIGALIKÈLA: DIABI KELEN.]
1)AWO
2)AYI
3)NE MA DON
4)A BAN NA</t>
        </is>
      </c>
      <c r="I146" s="27">
        <f>LEN(H146)</f>
        <v/>
      </c>
      <c r="J146" s="391" t="inlineStr">
        <is>
          <t>Nǐ 30 dũwõ mi gara bɛrɛ, e maa e uro ma inen maa ɟɛ̂ le iɲenâ ṭɛ lii, kaɲey ma kɔrɔ sogo ɟɛ?
[SEROU SEROUMOUNE: YABIRIYEYE TOUROU]
1)ÉE
2)Ɔ̃-Ɔ̃
3)ɟUGƆGO. 
4)JƆWƆLI.</t>
        </is>
      </c>
      <c r="K146" s="27">
        <f>LEN(J146)</f>
        <v/>
      </c>
      <c r="L146" s="392" t="inlineStr">
        <is>
          <t>Jiirbuu 30 wattai, er huuwo gaa er wal buuru foo danku jiirbi kinignon ndu hairra zam saii hanro bobbo siinon ?
[HANKOYO: DJAABI FO]
1) AYYO
2) KALA
3) A CHI BEY
4) A WANDJI</t>
        </is>
      </c>
      <c r="M146" s="27">
        <f>LEN(L146)</f>
        <v/>
      </c>
      <c r="N146" s="82" t="inlineStr">
        <is>
          <t>Ɣur dǎɣ 30 našal ti dilkamnen, yala kawaned meɣ awadəm ən alɣayal yala kala etas əs ƭakist dǎɣ aluz falas Wartitila ajen dǎɣ aminsi ?
[AMASSASTAN: ALWAJAB IYANE]
1)IYA
2)ABO
3)WARISSÉNÉGUE
4)OUNDJAYAGUE</t>
        </is>
      </c>
      <c r="O146" s="27">
        <f>LEN(N146)</f>
        <v/>
      </c>
      <c r="P146" s="392" t="inlineStr">
        <is>
          <t>Ley ñalaaɗe 30 cakitiiɗe ɗee, waɗii fuh nde anon maa yoga e koreeji mooɗon waaldi saabee neema heƴaay ?
[LANDOTOODO:  JAABUU GOOTO]
1)AYYO 
2)AA'A. 
3)MO ANDA
4)SALAADE</t>
        </is>
      </c>
      <c r="Q146" s="27">
        <f>LEN(P146)</f>
        <v/>
      </c>
      <c r="R146" s="63" t="inlineStr">
        <is>
          <t>Single Choice</t>
        </is>
      </c>
      <c r="S146" s="27" t="inlineStr">
        <is>
          <t>NA</t>
        </is>
      </c>
      <c r="T146" s="27" t="inlineStr">
        <is>
          <t>NA</t>
        </is>
      </c>
      <c r="U146" s="27" t="inlineStr">
        <is>
          <t>Form Type - Buttons</t>
        </is>
      </c>
      <c r="V146" s="40" t="inlineStr">
        <is>
          <t>NA</t>
        </is>
      </c>
      <c r="W146" s="64" t="inlineStr">
        <is>
          <t>1=fies_hungry_hhs
2-4 = fies_whlday</t>
        </is>
      </c>
      <c r="X146" s="319" t="n"/>
      <c r="Y146" s="394" t="inlineStr">
        <is>
          <t>if fies_hungry = 1, go to fies_hungry_hhs. Otherwise, go to fies_whlday</t>
        </is>
      </c>
      <c r="Z146" s="395" t="n"/>
      <c r="AA146" s="66" t="inlineStr">
        <is>
          <t>resp_age = 18-100
hh_agricactivity = 1 | 2 | 3 | 4
quotareached = 2</t>
        </is>
      </c>
      <c r="AB146" s="67" t="n"/>
      <c r="AC146" s="111" t="n">
        <v>12.43247890472412</v>
      </c>
      <c r="AD146" s="374" t="n">
        <v>1</v>
      </c>
      <c r="AE146" s="111">
        <f>AC146*AD146</f>
        <v/>
      </c>
    </row>
    <row r="147" ht="180" customHeight="1">
      <c r="A147" s="92">
        <f>A146+1</f>
        <v/>
      </c>
      <c r="B147" s="56" t="inlineStr">
        <is>
          <t>fies_hungry_hhs</t>
        </is>
      </c>
      <c r="C147" s="380" t="inlineStr">
        <is>
          <t>fies_hungry_hhs</t>
        </is>
      </c>
      <c r="D147" s="396" t="inlineStr">
        <is>
          <t>How often did this happen?
[OPERATOR: SINGLE RESPONSE]
1)Rarely [1-2 times in the past 30 days]
2)Sometimes [3-10 times in the past 30 days]
3)Often [more than 10 times in the last 30 days]
4)DON'T KNOW
5)REFUSED</t>
        </is>
      </c>
      <c r="E147" s="27">
        <f>LEN(D147)</f>
        <v/>
      </c>
      <c r="F147" s="82" t="inlineStr">
        <is>
          <t>Combien de fois cela s'est-il produit ?
[OPÉRATEUR/OPÉRATRICE: RÉPONSE UNIQUE]
1)Rarement [1 ou 2 fois au cours des 30 derniers jours]
2)Parfois [entre 3 et 10 fois au cours des 30 derniers jours]
3)Souvent [plus de 10 fois au cours des 30 derniers jours]
4)NE SAIT PAS
5)REFUSÉ</t>
        </is>
      </c>
      <c r="G147" s="27">
        <f>LEN(F147)</f>
        <v/>
      </c>
      <c r="H147" s="91" t="inlineStr">
        <is>
          <t>A nana na togo djoumè na?
[NIENIGALIKÈLA: DIABI KELEN.]
1)O kɛ mandi [siɲɛ 1 ka se 2 ma tile 30 tɛmɛnin kɔnɔ]. 
2)Tuma dɔw la [siɲɛ 3 ka se 10 ma tile 30 tɛmɛnin kɔnɔ]. 
3)Tuma caaman [a ka ca siɲɛ 10 tile 30 tɛmɛnin kɔnɔ].
4)NE MA DON
5)A BAN NA</t>
        </is>
      </c>
      <c r="I147" s="27">
        <f>LEN(H147)</f>
        <v/>
      </c>
      <c r="J147" s="391" t="inlineStr">
        <is>
          <t>Wagadou yôgô bélé éyi béyi?
[SEROU SEROUMOUNE: YABIRIYEYE TOUROU]
1)ɟoola [kɔɔ 1 ɲaŋa 2 dɔɔ nǐ 30 dũwõ mi gara bɛrɛ]. 
2)Doguru gama-i [kɔɔ 3 ɲaŋa 10 dɔɔ nǐ 30 dũwõ mi gara bɛrɛ]. 
3)Doguru boŋo [kɔɔ 10 le ire nǐ 30 dũwõ mi gara bɛrɛ].
4)INE
5)YABIRIYERE</t>
        </is>
      </c>
      <c r="K147" s="27">
        <f>LEN(J147)</f>
        <v/>
      </c>
      <c r="L147" s="392" t="inlineStr">
        <is>
          <t>Takafo nda tendi?
[HANKOYO: DJAABI FO]
1)Watu ku koy watu [cee 1 wal 2 jiirbu 30 kan bisa ga]
2)Wattufo [cee 3 ku koy 10 jiirbu 30 kan bisa ga]
3)Wattufo yong [a gu bisa ce 10  jiirbu 10 kan bisa ga]
4)A CHI BEY
5)A WANDJI</t>
        </is>
      </c>
      <c r="M147" s="27">
        <f>LEN(L147)</f>
        <v/>
      </c>
      <c r="N147" s="392" t="inlineStr">
        <is>
          <t>Indeke diha iwade?
[AMASSASTAN: ALWAJAB IYANE]
1)Iban aɣalak [1 as 2 dagan ɣor 30 ən išilan okaynen].
2)Agud iyan [3 as 10 dagan ɣor 30 ən išilan okaynen].
3)Agud [okayan 10 dagan ɣor 30 ən išilan okaynen]. 
4)WARISSENAGUE
5)OUNDJAYAGUE</t>
        </is>
      </c>
      <c r="O147" s="27">
        <f>LEN(N147)</f>
        <v/>
      </c>
      <c r="P147" s="392" t="inlineStr">
        <is>
          <t>Honno ndu wadorii?
[LANDOTOODO:  JAABUU GOOTO]
1)Na tiiɗi [kilal 1 yaade 2 ley ñalaaɗe 30 cakitiiɗe ɗee]. 
2)Wakkati-wakkati [kile 3 -10 ley ñalaaɗe 30 cakitiiɗe ɗee]. 
3)Wakkati sanne [ko ɓuri kile 10 ley ñalaaɗe 30 cakitiiɗe ɗee].
4)MO ANDA
5)SALAADE</t>
        </is>
      </c>
      <c r="Q147" s="27">
        <f>LEN(P147)</f>
        <v/>
      </c>
      <c r="R147" s="63" t="inlineStr">
        <is>
          <t>Single Choice</t>
        </is>
      </c>
      <c r="S147" s="27" t="inlineStr">
        <is>
          <t>NA</t>
        </is>
      </c>
      <c r="T147" s="27" t="inlineStr">
        <is>
          <t>NA</t>
        </is>
      </c>
      <c r="U147" s="27" t="inlineStr">
        <is>
          <t>Form Type - Buttons</t>
        </is>
      </c>
      <c r="V147" s="40" t="inlineStr">
        <is>
          <t>NA</t>
        </is>
      </c>
      <c r="W147" s="64" t="inlineStr">
        <is>
          <t>1-5 = fies_whlday</t>
        </is>
      </c>
      <c r="X147" s="319" t="n"/>
      <c r="Y147" s="297" t="inlineStr">
        <is>
          <t>if fies_hungry_hhs = 1-5, go to fies_whlday</t>
        </is>
      </c>
      <c r="Z147" s="87" t="n"/>
      <c r="AA147" s="66" t="inlineStr">
        <is>
          <t xml:space="preserve">resp_age = 18-100
hh_agricactivity = 1 | 2 | 3 | 4
quotareached = 2
fies_hungry = 1 </t>
        </is>
      </c>
      <c r="AB147" s="67" t="n"/>
      <c r="AC147" s="111" t="n">
        <v>8.980183601379395</v>
      </c>
      <c r="AD147" s="374" t="n">
        <v>1</v>
      </c>
      <c r="AE147" s="111">
        <f>AC147*AD147</f>
        <v/>
      </c>
    </row>
    <row r="148" ht="200" customHeight="1">
      <c r="A148" s="92">
        <f>A147+1</f>
        <v/>
      </c>
      <c r="B148" s="56" t="inlineStr">
        <is>
          <t>fies_whlday</t>
        </is>
      </c>
      <c r="C148" s="48" t="inlineStr">
        <is>
          <t>fies_whlday</t>
        </is>
      </c>
      <c r="D148" s="166" t="inlineStr">
        <is>
          <t>In the past 30 days, did you or any household member ever go a whole day and night without eating anything at all because there was not enough food?
[OPERATOR: SINGLE RESPONSE]
1)YES
2)NO
3)DON'T KNOW
4)REFUSED</t>
        </is>
      </c>
      <c r="E148" s="27">
        <f>LEN(D148)</f>
        <v/>
      </c>
      <c r="F148" s="166" t="inlineStr">
        <is>
          <t>Au cours des 30 derniers jours, avez-vous ou tout membre de votre ménage passé une journée et une nuit entières sans rien manger parce qu'il n'y avait pas assez de nourriture ?
[OPÉRATEUR/OPÉRATRICE: RÉPONSE UNIQUE.]
1)Oui
2)Non
3)NE SAIT PAS
4)REFUSÉ</t>
        </is>
      </c>
      <c r="G148" s="27">
        <f>LEN(F148)</f>
        <v/>
      </c>
      <c r="H148" s="82" t="inlineStr">
        <is>
          <t>Tile 30 tɛmɛnin kɔnɔ, aw wala wa ka gwaso mɔgɔ dɔ deli la ka tile kelen ni suu kelen kuturu kɛ n’aw ma foyi dumu k’a sababu kɛ dumuni cayabaliya ye wa? 
[NIENIGALIKÈLA: DIABI KELEN.]
1)AWO
2)AYI
3)NE MA DON
4)A BAN NA</t>
        </is>
      </c>
      <c r="I148" s="27">
        <f>LEN(H148)</f>
        <v/>
      </c>
      <c r="J148" s="391" t="inlineStr">
        <is>
          <t>Nǐ 30 dũwõ mi gara bɛrɛ, e maa e uro ma inen maa, nǐnuwõ, daagpâ cɛ-kã ɲe li-be kãrã tɛ sǎ, kaɲey ma kɔrɔ sogo ɟɛ? 
[SEROU SEROUMOUNE: YABIRIYEYE TOUROU]
1)ÉE
2)Ɔ̃-Ɔ̃
3)ɟUGƆGO. 
4)JƆWƆLI.</t>
        </is>
      </c>
      <c r="K148" s="27">
        <f>LEN(J148)</f>
        <v/>
      </c>
      <c r="L148" s="392" t="inlineStr">
        <is>
          <t>Jiirbuu 30 wattai, er huuwo gaa er wal buuru foo danku goro zarignon ndu jiinignon kuuluu aman hayy kuul gnan  zam saii hanrru bobbo siinon?
[HANKOYO: DJAABI FO]
1) AYYO
2) KALA
3) A CHI BEY
4) A WANDJI</t>
        </is>
      </c>
      <c r="M148" s="27">
        <f>LEN(L148)</f>
        <v/>
      </c>
      <c r="N148" s="82" t="inlineStr">
        <is>
          <t>Ɣur dǎɣ 30 našal ti dilkamnen, yala kawaned meɣ awadəm ən amazaɣ kala okay ašal əd dahad əmdanen wariška wala falas Wartitila ajen dǎɣ aminsi ?
[AMASSASTAN: ALWAJAB IYANE]
1)IYA
2)ABO
3)WARISSÉNÉGUE
4)OUNDJAYAGUE</t>
        </is>
      </c>
      <c r="O148" s="27">
        <f>LEN(N148)</f>
        <v/>
      </c>
      <c r="P148" s="392" t="inlineStr">
        <is>
          <t>Ley ñalaaɗe 30 cakitiiɗe ɗee, waɗii fuh nde anon maa yoga e koreeji mooɗon ñalli waali tawee ñaamaay faay gootum saabee neema heƴaay ?
[LANDOTOODO:  JAABUU GOOTO]
1)AYYO 
2)AA'A. 
3)MO ANDA
4)SALAADE</t>
        </is>
      </c>
      <c r="Q148" s="27">
        <f>LEN(P148)</f>
        <v/>
      </c>
      <c r="R148" s="63" t="inlineStr">
        <is>
          <t>Single Choice</t>
        </is>
      </c>
      <c r="S148" s="27" t="inlineStr">
        <is>
          <t>NA</t>
        </is>
      </c>
      <c r="T148" s="27" t="inlineStr">
        <is>
          <t>NA</t>
        </is>
      </c>
      <c r="U148" s="27" t="inlineStr">
        <is>
          <t>Form Type - Buttons</t>
        </is>
      </c>
      <c r="V148" s="40" t="inlineStr">
        <is>
          <t>NA</t>
        </is>
      </c>
      <c r="W148" s="64" t="inlineStr">
        <is>
          <t>1=fies_whlday_hhs
2-4 = lcsi_intro</t>
        </is>
      </c>
      <c r="X148" s="319" t="n"/>
      <c r="Y148" s="394" t="inlineStr">
        <is>
          <t>if fies_whlday = 1, go to fies_whlday_hhs. Otherwise, go to copingstrategies OR hdds</t>
        </is>
      </c>
      <c r="Z148" s="395" t="n"/>
      <c r="AA148" s="66" t="inlineStr">
        <is>
          <t>resp_age = 18-100
hh_agricactivity = 1 | 2 | 3 | 4
quotareached = 2</t>
        </is>
      </c>
      <c r="AB148" s="67" t="n"/>
      <c r="AC148" s="111" t="n">
        <v>11.08932876586914</v>
      </c>
      <c r="AD148" s="374" t="n">
        <v>1</v>
      </c>
      <c r="AE148" s="111">
        <f>AC148*AD148</f>
        <v/>
      </c>
    </row>
    <row r="149" ht="180" customHeight="1">
      <c r="A149" s="92">
        <f>A148+1</f>
        <v/>
      </c>
      <c r="B149" s="56" t="inlineStr">
        <is>
          <t>fies_whlday_hhs</t>
        </is>
      </c>
      <c r="C149" s="380" t="inlineStr">
        <is>
          <t>fies_whlday_hhs</t>
        </is>
      </c>
      <c r="D149" s="396" t="inlineStr">
        <is>
          <t>How often did this happen?
[OPERATOR: SINGLE RESPONSE]
1)Rarely [1-2 times in the past 30 days]
2)Sometimes [3-10 times in the past 30 days]
3)Often [more than 10 times in the last 30 days]
4)DON'T KNOW
5)REFUSED</t>
        </is>
      </c>
      <c r="E149" s="27">
        <f>LEN(D149)</f>
        <v/>
      </c>
      <c r="F149" s="82" t="inlineStr">
        <is>
          <t>Combien de fois cela s'est-il produit ?
[OPÉRATEUR/OPÉRATRICE: RÉPONSE UNIQUE]
1)Rarement [1 ou 2 fois au cours des 30 derniers jours]
2)Parfois [entre 3 et 10 fois au cours des 30 derniers jours]
3)Souvent [plus de 10 fois au cours des 30 derniers jours]
4)NE SAIT PAS
5)REFUSÉ</t>
        </is>
      </c>
      <c r="G149" s="27">
        <f>LEN(F149)</f>
        <v/>
      </c>
      <c r="H149" s="91" t="inlineStr">
        <is>
          <t>A nana na togo djoumè na?
[NIENIGALIKÈLA: DIABI KELEN.]
1)O kɛ mandi [siɲɛ 1 ka se 2 ma tile 30 tɛmɛnin kɔnɔ]. 
2)Tuma dɔw la [siɲɛ 3 ka se 10 ma tile 30 tɛmɛnin kɔnɔ]. 
3)Tuma caaman [a ka ca siɲɛ 10 tile 30 tɛmɛnin kɔnɔ].
4)NE MA DON
5)A BAN NA</t>
        </is>
      </c>
      <c r="I149" s="27">
        <f>LEN(H149)</f>
        <v/>
      </c>
      <c r="J149" s="391" t="inlineStr">
        <is>
          <t>Wagadou yôgô bélé éyi béyi?
[SEROU SEROUMOUNE: YABIRIYEYE TOUROU]
1)ɟoola [kɔɔ 1 ɲaŋa 2 dɔɔ nǐ 30 dũwõ mi gara bɛrɛ]. 
2)Doguru gama-i [kɔɔ 3 ɲaŋa 10 dɔɔ nǐ 30 dũwõ mi gara bɛrɛ]. 
3)Doguru boŋo [kɔɔ 10 le ire nǐ 30 dũwõ mi gara bɛrɛ].
4)INE
5)YABIRIYERE</t>
        </is>
      </c>
      <c r="K149" s="27">
        <f>LEN(J149)</f>
        <v/>
      </c>
      <c r="L149" s="392" t="inlineStr">
        <is>
          <t>Takafo nda tendi?
[HANKOYO: DJAABI FO]
1)Watu ku koy watu [cee 1 wal 2 jiirbu 30 kan bisa ga]
2)Wattufo [cee 3 ku koy 10 jiirbu 30 kan bisa ga]
3)Wattufo yong [a gu bisa ce 10  jiirbu 10 kan bisa ga]
4)A CHI BEY
5)A WANDJI</t>
        </is>
      </c>
      <c r="M149" s="27">
        <f>LEN(L149)</f>
        <v/>
      </c>
      <c r="N149" s="392" t="inlineStr">
        <is>
          <t>Indeke diha iwade?
[AMASSASTAN: ALWAJAB IYANE]
1)Iban aɣalak [1 as 2 dagan ɣor 30 ən išilan okaynen].
2)Agud iyan [3 as 10 dagan ɣor 30 ən išilan okaynen].
3)Agud [okayan 10 dagan ɣor 30 ən išilan okaynen]. 
4)WARISSENAGUE
5)OUNDJAYAGUE</t>
        </is>
      </c>
      <c r="O149" s="27">
        <f>LEN(N149)</f>
        <v/>
      </c>
      <c r="P149" s="392" t="inlineStr">
        <is>
          <t>Honno ndu wadorii?
[LANDOTOODO:  JAABUU GOOTO]
1)Na tiiɗi [kilal 1 yaade 2 ley ñalaaɗe 30 cakitiiɗe ɗee]. 
2)Wakkati-wakkati [kile 3 -10 ley ñalaaɗe 30 cakitiiɗe ɗee]. 
3)Wakkati sanne [ko ɓuri kile 10 ley ñalaaɗe 30 cakitiiɗe ɗee].
4)MO ANDA
5)SALAADE</t>
        </is>
      </c>
      <c r="Q149" s="27">
        <f>LEN(P149)</f>
        <v/>
      </c>
      <c r="R149" s="63" t="inlineStr">
        <is>
          <t>Single Choice</t>
        </is>
      </c>
      <c r="S149" s="27" t="inlineStr">
        <is>
          <t>NA</t>
        </is>
      </c>
      <c r="T149" s="27" t="inlineStr">
        <is>
          <t>NA</t>
        </is>
      </c>
      <c r="U149" s="27" t="inlineStr">
        <is>
          <t>Form Type - Buttons</t>
        </is>
      </c>
      <c r="V149" s="40" t="inlineStr">
        <is>
          <t>NA</t>
        </is>
      </c>
      <c r="W149" s="64" t="inlineStr">
        <is>
          <t>1-5 = lcsi_intro</t>
        </is>
      </c>
      <c r="X149" s="319" t="n"/>
      <c r="Y149" s="394" t="inlineStr">
        <is>
          <t>if fies_whlday_hhs = 1-5, go to copingstrategies OR hdds</t>
        </is>
      </c>
      <c r="Z149" s="395" t="n"/>
      <c r="AA149" s="66" t="inlineStr">
        <is>
          <t xml:space="preserve">resp_age = 18-100
hh_agricactivity = 1 | 2 | 3 | 4
quotareached = 2
fies_whlday = 1 </t>
        </is>
      </c>
      <c r="AB149" s="67" t="n"/>
      <c r="AC149" s="111" t="n">
        <v>8.06833553314209</v>
      </c>
      <c r="AD149" s="374" t="n">
        <v>1</v>
      </c>
      <c r="AE149" s="111">
        <f>AC149*AD149</f>
        <v/>
      </c>
    </row>
    <row r="150" ht="175.5" customHeight="1">
      <c r="A150" s="92">
        <f>A149+1</f>
        <v/>
      </c>
      <c r="B150" s="154" t="inlineStr">
        <is>
          <t>lcsi_intro</t>
        </is>
      </c>
      <c r="C150" s="275" t="inlineStr">
        <is>
          <t>lcsi_intro</t>
        </is>
      </c>
      <c r="D150" s="159" t="inlineStr">
        <is>
          <t>Now I would like to ask you another set of questions on coping strategies, referring to the past 30 days.
[OPERATOR: SINGLE RESPONSE]
1)NEXT</t>
        </is>
      </c>
      <c r="E150" s="156">
        <f>LEN(D150)</f>
        <v/>
      </c>
      <c r="F150" s="28" t="inlineStr">
        <is>
          <t>Je voudrais maintenant vous poser une autre série de questions sur les stratégies d'adaptation que vous avez mises en place au cours des 30 derniers jours.
[OPÉRATEUR/OPÉRATRICE: RÉPONSE UNIQUE]
1)CONTINUER</t>
        </is>
      </c>
      <c r="G150" s="156">
        <f>LEN(F150)</f>
        <v/>
      </c>
      <c r="H150" s="365" t="inlineStr">
        <is>
          <t>Sisan n b’a fɛ ka ɲinankali wɛrɛw ɲinanka I ma, I n’a fɔ aw kologwɛlɛnya tile 30 tɛmɛni na.
[NIENIGALIKÈLA: DIABI KELEN.]
1)AN KA TA NIÈ FÈ</t>
        </is>
      </c>
      <c r="I150" s="156">
        <f>LEN(H150)</f>
        <v/>
      </c>
      <c r="J150" s="365" t="inlineStr">
        <is>
          <t>Nim ge ujuru mà bɔnɔ lagay eru ujuro dene-m jĩĩ, birɛ dãy gaara hawra-kɔ mà e jugɔ bé mana, kono, nii pɛt-taan dũwõ lé ayka mine-i.
[SEROUMOU SEROUMOUNE: YABIRIYEYE KO TOUROU]
1)GARA</t>
        </is>
      </c>
      <c r="K150" s="156">
        <f>LEN(J150)</f>
        <v/>
      </c>
      <c r="L150" s="366" t="inlineStr">
        <is>
          <t>Ey su ba kala ey mu hãyoŋ te er se sanda fondey kaŋyoŋ er sambu boŋ, hala ey sambu jirbu 30 korey wey boŋ.
[HANKOYO: DJAABI FO] 
1)KOYE A GA</t>
        </is>
      </c>
      <c r="M150" s="118">
        <f>LEN(L150)</f>
        <v/>
      </c>
      <c r="N150" s="367" t="inlineStr">
        <is>
          <t xml:space="preserve">Arheɣ amara akawan sistinaɣ fal iyad asostan anilkamnen fal əmik wan almaɣna ən alamad, dǎɣ asisunahagaɣ dǎɣ 30 našal ti dokaynen.
[AMASSASTAN: ALWAJAB IYANE]
1)NADOBE ANISSANTE </t>
        </is>
      </c>
      <c r="O150" s="118">
        <f>LEN(N150)</f>
        <v/>
      </c>
      <c r="P150" s="367" t="inlineStr">
        <is>
          <t>Joonin kay miɗo yiɗi mi lamnde ƴamɗe dow laabi mooɗon keƴirɗi, so en adii ley nyaalaaɗe 30 cakitiiɗi ɗee.
[LANDOTOODO:  JAABUU GOOTO]
1)JOKKINNDE</t>
        </is>
      </c>
      <c r="Q150" s="156">
        <f>LEN(P150)</f>
        <v/>
      </c>
      <c r="R150" s="397" t="inlineStr">
        <is>
          <t>Single Choice</t>
        </is>
      </c>
      <c r="S150" s="156" t="inlineStr">
        <is>
          <t>NA</t>
        </is>
      </c>
      <c r="T150" s="156" t="inlineStr">
        <is>
          <t>NA</t>
        </is>
      </c>
      <c r="U150" s="156" t="inlineStr">
        <is>
          <t>Form Type - Buttons</t>
        </is>
      </c>
      <c r="V150" s="40" t="inlineStr">
        <is>
          <t>NA</t>
        </is>
      </c>
      <c r="W150" s="87" t="inlineStr">
        <is>
          <t>1 = cs_stress_hh_assets</t>
        </is>
      </c>
      <c r="X150" s="325" t="n"/>
      <c r="Y150" s="398" t="n"/>
      <c r="Z150" s="399" t="n"/>
      <c r="AA150" s="66" t="inlineStr">
        <is>
          <t>resp_age = 18-100
hh_agricactivity = 1 | 2 | 3 | 4
quotareached = 2</t>
        </is>
      </c>
      <c r="AB150" s="400" t="inlineStr">
        <is>
          <t xml:space="preserve">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
Les stratégies d'adaptation doivent être sélectionnées en fonction du contexte local. Dix (10) stratégies d'adaptation doivent être sélectionnées: 4 en situation de stress, 3 en situation de crise et 3 en situation d'urgence. 
Supprimer les stratégies d'adaptation non utilisées dans l'enquête ou proposer des modifications pour la colonne "English" (c'est-à-dire dansle texte), dans la colonne "Additional notes".
</t>
        </is>
      </c>
      <c r="AC150" s="45" t="n">
        <v>5.711253643035889</v>
      </c>
      <c r="AD150" s="280" t="n">
        <v>1</v>
      </c>
      <c r="AE150" s="45">
        <f>AC150*AD150</f>
        <v/>
      </c>
    </row>
    <row r="151" ht="260" customHeight="1">
      <c r="A151" s="92">
        <f>A150+1</f>
        <v/>
      </c>
      <c r="B151" s="401" t="inlineStr">
        <is>
          <t>cs_stress_hh_assets</t>
        </is>
      </c>
      <c r="C151" s="275" t="inlineStr">
        <is>
          <t xml:space="preserve"> cs_stress_hh_assets</t>
        </is>
      </c>
      <c r="D151" s="278"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51" s="156">
        <f>LEN(D151)</f>
        <v/>
      </c>
      <c r="F151" s="278"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1" s="156">
        <f>LEN(F151)</f>
        <v/>
      </c>
      <c r="H151" s="28" t="inlineStr">
        <is>
          <t xml:space="preserve">Tile 30 tɛmɛni na aw gwasomɔgɔ tun wajibiyalen k’a gwaso fɛnw/minanw feere [arajo, duminanw ko tabali, sigilanw, telew, masirifɛnw] kamasɔrh dumuni ko wala waridɛsɛ tun b’u ra.
[SƆRƆBATIGI:JAABI KELEN] 
1)ƆWƆ. 
2)Ayi – sabu kuun tun t’a la. 
3)Ayi – sabu aw y’o fɛɛnw feere ka ban wala k’o kokɛta nin kɛ ka ban kalo 12 tɛmɛnin kɔnɔ a n’aw te se ka to k’o kɛ tuma bɛɛ. 
4)Kuun t’a la. 
5)NE T’A DƆN. 
6)NE MA SƆN 
</t>
        </is>
      </c>
      <c r="I151" s="156">
        <f>LEN(H151)</f>
        <v/>
      </c>
      <c r="J151" s="28" t="inlineStr">
        <is>
          <t xml:space="preserve">Nii pɛt-taan dũwõ nuŋo bɛ̀rɛ̀ e uro inen lé ɛnɛ mà niɲe [arujo, uro-saŋa, télé, dugɔ, ko jin mà niɲe laga.]  dɔ̃-sà maa, kaaɲey máa buudu tɔɔn mà saara jɛ?
[BIRƐ MA KŨ BANA : KASARA TUNO-I].
1)EE 
2)Ɔ̃-ɔ̃ – sabu lej tilɛj sara ɟĩ
3)ɔ̃-ɔ̃ – sabu lej tilɛj cɛ hoow baa e dɔ̃nti be maa birɛ ɛɛ 12 dũwõ mi gara bɛrɛ e biɟɛ be iɟina dɔmkãrã ko-i birara be 
4)Cɛkã kɔɔrɔ
5)ɟUGƆGOM
6)JƆWƆLI
</t>
        </is>
      </c>
      <c r="K151" s="156">
        <f>LEN(J151)</f>
        <v/>
      </c>
      <c r="L151" s="28" t="inlineStr">
        <is>
          <t xml:space="preserve">Jirbu 30 ndu cere game er huwo boro fo kulu manu hay fo neere [aradiya, konjey, telwisiyoŋo, kabuguurey ndu jinduhiirey, wkc.] zama ŋaari wala nooru si ?
[HANKAA : TUYONG FOOLON]
1)Ayyo 
2)Han han – zamssai a suu naafa
3)Han han -  zamsai er dan kuu aa jinney heyney wal taii goyyo woo hannduu weyy jinnu hiin kan woo kan bissa ndu er suu hinnuu a taii 
4)ENNI YAA FOO KUUL SII
5)AY SUU BEY
6)AY WINGEY
</t>
        </is>
      </c>
      <c r="M151" s="156">
        <f>LEN(L151)</f>
        <v/>
      </c>
      <c r="N151" s="28" t="inlineStr">
        <is>
          <t>Ɣur dǎɣ 30 našal ti dokaynen, awadəm ən amazaɣ nawan yala ašinšahin ahusken [arajo, təsiquyma, téléɣision,  išigban, iyad] fal salan niba nataɣam meɣ azruf ?
[EMASESTƏN : ALƏƔI IYANDAƔ].
1)Iya. 
2)Few – falas war eqel tahašilt 
3)Few-falas tašinšamin aru haratan meɣ təgam ašəɣəl wen ɣor 12 ən oran izar war tadobem atitaləsam iji.
4)War itətwəji.
5)WARISENAƔ. 
6)UGAY</t>
        </is>
      </c>
      <c r="O151" s="156">
        <f>LEN(N151)</f>
        <v/>
      </c>
      <c r="P151" s="28" t="inlineStr">
        <is>
          <t>Ley nyalaaɗe 30 cakitiiɗe ɗee, won fuh neɗɗo nder ɓaade mooɗon coonnuɗo geneeji muuɗum [rajooru, jooɗorɗe, tele, kootane, e ko nandi e muuɗum yaade] saabee rafi neema maa ceede?
[ETOOWO : JAWAABU GOOTO].
1)Ayyo. 
2)Aa’a – sabu tilsaay. 
3)Aa’a – sabu on coonnii ɗii ɗoo geniiji maa on ngaɗii hono ɗum ɗon ley lebbi 12 cakitiiɗi deh tawi on mbaawaa heddaade na waɗa non. 
4)Aa’a ɗum  waawaa waɗude.
5)ANNDA
6)SALAADE</t>
        </is>
      </c>
      <c r="Q151" s="156">
        <f>LEN(P151)</f>
        <v/>
      </c>
      <c r="R151" s="397" t="inlineStr">
        <is>
          <t>Single Choice</t>
        </is>
      </c>
      <c r="S151" s="156" t="inlineStr">
        <is>
          <t>NA</t>
        </is>
      </c>
      <c r="T151" s="156" t="inlineStr">
        <is>
          <t>NA</t>
        </is>
      </c>
      <c r="U151" s="156" t="inlineStr">
        <is>
          <t>Form Type - Buttons</t>
        </is>
      </c>
      <c r="V151" s="40" t="inlineStr">
        <is>
          <t>NA</t>
        </is>
      </c>
      <c r="W151" s="87" t="inlineStr">
        <is>
          <t>1-6 = cs_stress_spent_savings</t>
        </is>
      </c>
      <c r="X151" s="325" t="n"/>
      <c r="Y151" s="402" t="n"/>
      <c r="Z151" s="188" t="n"/>
      <c r="AA151" s="66" t="inlineStr">
        <is>
          <t>resp_age = 18-100
hh_agricactivity = 1 | 2 | 3 | 4
quotareached = 2</t>
        </is>
      </c>
      <c r="AB151" s="67" t="n"/>
      <c r="AC151" s="45" t="n">
        <v>19.85153007507324</v>
      </c>
      <c r="AD151" s="280" t="n">
        <v>1</v>
      </c>
      <c r="AE151" s="45">
        <f>AC151*AD151</f>
        <v/>
      </c>
    </row>
    <row r="152" ht="260" customHeight="1">
      <c r="A152" s="92">
        <f>A151+1</f>
        <v/>
      </c>
      <c r="B152" s="401" t="inlineStr">
        <is>
          <t>cs_stress_spent_savings</t>
        </is>
      </c>
      <c r="C152" s="275" t="inlineStr">
        <is>
          <t xml:space="preserve"> cs_stress_spent_savings</t>
        </is>
      </c>
      <c r="D152" s="278"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52" s="156">
        <f>LEN(D152)</f>
        <v/>
      </c>
      <c r="F152" s="278"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2" s="156">
        <f>LEN(F152)</f>
        <v/>
      </c>
      <c r="H152" s="28" t="inlineStr">
        <is>
          <t xml:space="preserve">Tile 30 tɛmɛni na aw gwasomɔgɔ tun wajibiyalen don ka sɔrɔ bɔ kamasɔrh dumuni ko wala waridɛsɛ tun bɛ yen.
[SƆRƆBATIGI:JAABI KELEN] 
1)ƆWƆ. 
2)Ayi – sabu kuun tun t’a la. 
3)Ayi – sabu aw y’o fɛɛnw feere ka ban wala k’o kokɛta nin kɛ ka ban kalo 12 tɛmɛnin kɔnɔ a n’aw te se ka to k’o kɛ tuma bɛɛ. 
4)Kuun t’a la. 
5)NE T’A DƆN. 
6)NE MA SƆN </t>
        </is>
      </c>
      <c r="I152" s="156">
        <f>LEN(H152)</f>
        <v/>
      </c>
      <c r="J152" s="28" t="inlineStr">
        <is>
          <t>Nii pɛt-taan dũwõ nuŋo bɛ̀rɛ̀ e uro inen lé ɛnɛ mà niɲe tee-sà maa, kaaɲey máa buudu máa tɔɔn mà kɔɔrɔ jɛ?
[BIRƐ MA KŨ BANA : KASARA TUNO-I].
1)EE 
2)Ɔ̃-ɔ̃ – sabu lej tilɛj sara ɟĩ
3)ɔ̃-ɔ̃ – sabu lej tilɛj cɛ hoow baa e dɔ̃nti be maa birɛ ɛɛ 12 dũwõ mi gara bɛrɛ e biɟɛ be iɟina dɔmkãrã ko-i birara be 
4)Cɛkã kɔɔrɔ
5)ɟUGƆGOM
6)JƆWƆLI</t>
        </is>
      </c>
      <c r="K152" s="156">
        <f>LEN(J152)</f>
        <v/>
      </c>
      <c r="L152" s="28" t="inlineStr">
        <is>
          <t>Jirbu 30 ndu cere game er huwo boro fo kulu manu hay fo kulu manu gisirey te zama ŋaari wala nooru si?
[HANKAA : TUYONG FOOLON]
1)Ayyo 
2)Han han – zamssai a suu naafa
3)Han han -  zamsai er dan kuu aa jinney heyney wal taii goyyo woo hannduu weyy jinnu hiin kan woo kan bissa ndu er suu hinnuu a taii 
4)ENNI YAA FOO KUUL SII
5)AY SUU BEY
6)AY WINGEY</t>
        </is>
      </c>
      <c r="M152" s="156">
        <f>LEN(L152)</f>
        <v/>
      </c>
      <c r="N152" s="28" t="inlineStr">
        <is>
          <t>Ɣur dǎɣ 30 našal ti dokaynen, awadəm ən amazaɣ nawan yala asdaw harat dǎɣ iba ən ataɣam meɣ azruf?
[EMASESTƏN : ALƏƔI IYANDAƔ].
1)Iya. 
2)Few – falas war eqel tahašilt 
3)Few-falas tašinšamin aru haratan meɣ təgam ašəɣəl wen ɣor 12 ən oran izar war tadobem atitaləsam iji.
4)War itətwəji.
5)WARISENAƔ. 
6)UGAY</t>
        </is>
      </c>
      <c r="O152" s="156">
        <f>LEN(N152)</f>
        <v/>
      </c>
      <c r="P152" s="28" t="inlineStr">
        <is>
          <t xml:space="preserve">Ley nyalaaɗe 30 cakitiiɗe ɗee, won fuh neɗɗo nder ɓaade mooɗon ɓuytii nyaamɗe ceede muuɗum saabee rafi neema maa ceede?
[ETOOWO : JAWAABU GOOTO].
1)Ayyo. 
2)Aa’a – sabu tilsaay. 
3)Aa’a – sabu on coonnii ɗii ɗoo geniiji maa on ngaɗii hono ɗum ɗon ley lebbi 12 cakitiiɗi deh tawi on mbaawaa heddaade na waɗa non. 
4)Aa’a ɗum  waawaa waɗude.
5)ANNDA
6)SALAADE
</t>
        </is>
      </c>
      <c r="Q152" s="156">
        <f>LEN(P152)</f>
        <v/>
      </c>
      <c r="R152" s="397" t="inlineStr">
        <is>
          <t>Single Choice</t>
        </is>
      </c>
      <c r="S152" s="156" t="inlineStr">
        <is>
          <t>NA</t>
        </is>
      </c>
      <c r="T152" s="156" t="inlineStr">
        <is>
          <t>NA</t>
        </is>
      </c>
      <c r="U152" s="156" t="inlineStr">
        <is>
          <t>Form Type - Buttons</t>
        </is>
      </c>
      <c r="V152" s="40" t="inlineStr">
        <is>
          <t>NA</t>
        </is>
      </c>
      <c r="W152" s="87" t="inlineStr">
        <is>
          <t>1-6 = cs_stress_sold_more_animals</t>
        </is>
      </c>
      <c r="X152" s="325" t="n"/>
      <c r="Y152" s="402" t="n"/>
      <c r="Z152" s="188" t="n"/>
      <c r="AA152" s="66" t="inlineStr">
        <is>
          <t>resp_age = 18-100
hh_agricactivity = 1 | 2 | 3 | 4
quotareached = 2</t>
        </is>
      </c>
      <c r="AB152" s="67" t="n"/>
      <c r="AC152" s="45" t="n">
        <v>15.43667125701904</v>
      </c>
      <c r="AD152" s="280" t="n">
        <v>1</v>
      </c>
      <c r="AE152" s="45">
        <f>AC152*AD152</f>
        <v/>
      </c>
    </row>
    <row r="153" ht="260" customHeight="1">
      <c r="A153" s="92">
        <f>A152+1</f>
        <v/>
      </c>
      <c r="B153" s="401" t="inlineStr">
        <is>
          <t>cs_stress_sold_more_animals</t>
        </is>
      </c>
      <c r="C153" s="275" t="inlineStr">
        <is>
          <t>cs_stress_sold_more_animals</t>
        </is>
      </c>
      <c r="D153" s="278"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53" s="156">
        <f>LEN(D153)</f>
        <v/>
      </c>
      <c r="F153" s="278"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3" s="156">
        <f>LEN(F153)</f>
        <v/>
      </c>
      <c r="H153" s="28" t="inlineStr">
        <is>
          <t xml:space="preserve">Over the past 30 days, did anyone in your household have to sell more animals [non-reproductive] than usual because of lack of food or money? 
[SƆRƆBATIGI:JAABI KELEN] 
1)ƆWƆ. 
2)Ayi – sabu kuun tun t’a la. 
3)Ayi – sabu aw y’o fɛɛnw feere ka ban wala k’o kokɛta nin kɛ ka ban kalo 12 tɛmɛnin kɔnɔ a n’aw te se ka to k’o kɛ tuma bɛɛ. 
4)Kuun t’a la. 
5)NE T’A DƆN. 
6)NE MA SƆN </t>
        </is>
      </c>
      <c r="I153" s="156">
        <f>LEN(H153)</f>
        <v/>
      </c>
      <c r="J153" s="403" t="inlineStr">
        <is>
          <t>Nǐ 30 dũwõ mi gara bɛrɛ, e uro ma inen, asɛgɛ ɲej di ɛnɛ wɔwɔ li ɟin dɔ̃rɔ̃ maj kaɲej ɛwɛ sa, buudu maa kaɲej maa ma kɔrɔ ɟɛ? 
[BIRƐ MA KŨ BANA : KASARA TUNO-I].
1)EE 
2)Ɔ̃-ɔ̃ – sabu lej tilɛj sara ɟĩ
3)ɔ̃-ɔ̃ – sabu lej tilɛj cɛ hoow baa e dɔ̃nti be maa birɛ ɛɛ 12 dũwõ mi gara bɛrɛ e biɟɛ be iɟina dɔmkãrã ko-i birara be 
4)Cɛkã kɔɔrɔ
5)ɟUGƆGOM
6)JƆWƆLI</t>
        </is>
      </c>
      <c r="K153" s="156">
        <f>LEN(J153)</f>
        <v/>
      </c>
      <c r="L153" s="28" t="inlineStr">
        <is>
          <t>Jiirbu 30 wattai, booru fo er wan huwo ga dan kuu nerra al menuu bobbo kuu bissa wantukulu  hanrro wal norro djan gnan saii kan guu deyy hanrro ?
[HANKAA : TUYONG FOOLON]
1)Ayyo 
2)Han han – zamssai a suu naafa
3)Han han -  zamsai er dan kuu aa jinney heyney wal taii goyyo woo hannduu weyy jinnu hiin kan woo kan bissa ndu er suu hinnuu a taii 
4)ENNI YAA FOO KUUL SII
5)AY SUU BEY
6)AY WINGEY</t>
        </is>
      </c>
      <c r="M153" s="156">
        <f>LEN(L153)</f>
        <v/>
      </c>
      <c r="N153" s="28" t="inlineStr">
        <is>
          <t>Ɣur dǎɣ 30 našal ti dilkamnen, awadəm dǎɣ alɣayal nawan yala ašinša ogaran dǎɣ arizeg [winan ijimir] ye hadani fal salan ən iba ən ataɣam meɣ azruf fal ašinš ən ataɣam ?
[EMASESTƏN : ALƏƔI IYANDAƔ].
1)Iya. 
2)Few – falas war eqel tahašilt 
3)Few-falas tašinšamin aru haratan meɣ təgam ašəɣəl wen ɣor 12 ən oran izar war tadobem atitaləsam iji.
4)War itətwəji.
5)WARISENAƔ. 
6)UGAY</t>
        </is>
      </c>
      <c r="O153" s="156">
        <f>LEN(N153)</f>
        <v/>
      </c>
      <c r="P153" s="403" t="inlineStr">
        <is>
          <t xml:space="preserve">Ley ñalaaɗe 30 cakitiiɗe ɗee, waɗii fuh nde yoga e koreeji mooɗon coonni daabaaji [ɗi ndimataa] faa ɓuri no woowirnoo  saabee rafi neema maa ceede faa sooda neema?
[ETOOWO : JAWAABU GOOTO].
1)Ayyo. 
2)Aa’a – sabu tilsaay. 
3)Aa’a – sabu on coonnii ɗii ɗoo geniiji maa on ngaɗii hono ɗum ɗon ley lebbi 12 cakitiiɗi deh tawi on mbaawaa heddaade na waɗa non. 
4)Aa’a ɗum  waawaa waɗude.
5)ANNDA
6)SALAADE
</t>
        </is>
      </c>
      <c r="Q153" s="156">
        <f>LEN(P153)</f>
        <v/>
      </c>
      <c r="R153" s="397" t="inlineStr">
        <is>
          <t>Single Choice</t>
        </is>
      </c>
      <c r="S153" s="156" t="inlineStr">
        <is>
          <t>NA</t>
        </is>
      </c>
      <c r="T153" s="156" t="inlineStr">
        <is>
          <t>NA</t>
        </is>
      </c>
      <c r="U153" s="156" t="inlineStr">
        <is>
          <t>Form Type - Buttons</t>
        </is>
      </c>
      <c r="V153" s="40" t="inlineStr">
        <is>
          <t>NA</t>
        </is>
      </c>
      <c r="W153" s="87" t="inlineStr">
        <is>
          <t>1-6 =cs_stress_borrowed_or_helped</t>
        </is>
      </c>
      <c r="X153" s="325" t="n"/>
      <c r="Y153" s="402" t="n"/>
      <c r="Z153" s="188" t="n"/>
      <c r="AA153" s="66" t="inlineStr">
        <is>
          <t>resp_age = 18-100
hh_agricactivity = 1 | 2 | 3 | 4
quotareached = 2</t>
        </is>
      </c>
      <c r="AB153" s="67" t="n"/>
      <c r="AC153" s="45" t="n">
        <v>13.39993858337402</v>
      </c>
      <c r="AD153" s="280" t="n">
        <v>1</v>
      </c>
      <c r="AE153" s="45">
        <f>AC153*AD153</f>
        <v/>
      </c>
    </row>
    <row r="154" ht="260" customHeight="1">
      <c r="A154" s="92">
        <f>A153+1</f>
        <v/>
      </c>
      <c r="B154" s="401" t="inlineStr">
        <is>
          <t>cs_stress_borrowed_or_helped</t>
        </is>
      </c>
      <c r="C154" s="275" t="inlineStr">
        <is>
          <t>cs_stress_borrowed_or_helped</t>
        </is>
      </c>
      <c r="D154" s="278"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54" s="156">
        <f>LEN(D154)</f>
        <v/>
      </c>
      <c r="F154" s="278"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4" s="156">
        <f>LEN(F154)</f>
        <v/>
      </c>
      <c r="H154" s="28" t="inlineStr">
        <is>
          <t xml:space="preserve">Tile 30 tɛmɛni na aw gwasomɔgɔ tun wajibiyalen don ka dumuni juru ta wala k’a jigi la a teriw walima a siya mɔgɔw la dumuni ko wala waridɛsɛ tun bɛ yen.
[SƆRƆBATIGI:JAABI KELEN] 
1)ƆWƆ. 
2)Ayi – sabu kuun tun t’a la. 
3)Ayi – sabu aw y’o fɛɛnw feere ka ban wala k’o kokɛta nin kɛ ka ban kalo 12 tɛmɛnin kɔnɔ a n’aw te se ka to k’o kɛ tuma bɛɛ. 
4)Kuun t’a la. 
5)NE T’A DƆN. 
6)NE MA SƆN  </t>
        </is>
      </c>
      <c r="I154" s="156">
        <f>LEN(H154)</f>
        <v/>
      </c>
      <c r="J154" s="28" t="inlineStr">
        <is>
          <t>Nii pɛt-taan dũwõ nuŋo bɛ̀rɛ̀ e uro inen lé ɛnɛ tɛn bél-lè kaaɲey yeneŋe-sà máa walla-i beru jaŋa, kaaɲey máa buudu tɔɔn mà kɔɔrɔ jɛ?
[BIRƐ MA KŨ BANA : KASARA TUNO-I].
1)EE 
2)Ɔ̃-ɔ̃ – sabu lej tilɛj sara ɟĩ
3)ɔ̃-ɔ̃ – sabu lej tilɛj cɛ hoow baa e dɔ̃nti be maa birɛ ɛɛ 12 dũwõ mi gara bɛrɛ e biɟɛ be iɟina dɔmkãrã ko-i birara be 
4)Cɛkã kɔɔrɔ
5)ɟUGƆGOM
6)JƆWƆLI</t>
        </is>
      </c>
      <c r="K154" s="156">
        <f>LEN(J154)</f>
        <v/>
      </c>
      <c r="L154" s="28" t="inlineStr">
        <is>
          <t>Jirbu 30 ndu cere game er huwo boro fo kulu manu hay fo kulu manu ŋaari garow wala bine  a mu ne ngu cere fo wala boro fo mu ngu gaakusiney zama ŋaari wala nooru siyoŋo se?
[HANKAA : TUYONG FOOLON]
1)Ayyo 
2)Han han – zamssai a suu naafa
3)Han han -  zamsai er dan kuu aa jinney heyney wal taii goyyo woo hannduu weyy jinnu hiin kan woo kan bissa ndu er suu hinnuu a taii 
4)ENNI YAA FOO KUUL SII
5)AY SUU BEY
6)AY WINGEY</t>
        </is>
      </c>
      <c r="M154" s="156">
        <f>LEN(L154)</f>
        <v/>
      </c>
      <c r="N154" s="28" t="inlineStr">
        <is>
          <t>Ɣur dǎɣ 30 našal ti dokaynen, awadəm ən amazaɣ nawan aslarwasid ataɣam leɣ idaləd tadhil dǎɣ midawanes meɣ dǎɣ šaqaɣan nes fal salan niba nataɣam meɣ azruf?
[EMASESTƏN : ALƏƔI IYANDAƔ].
1)Iya. 
2)Few – falas war eqel tahašilt 
3)Few-falas tašinšamin aru haratan meɣ təgam ašəɣəl wen ɣor 12 ən oran izar war tadobem atitaləsam iji.
4)War itətwəji.
5)WARISENAƔ. 
6)UGAY</t>
        </is>
      </c>
      <c r="O154" s="156">
        <f>LEN(N154)</f>
        <v/>
      </c>
      <c r="P154" s="28" t="inlineStr">
        <is>
          <t xml:space="preserve">Ley nyalaaɗe 30 cakitiiɗe ɗee, won fuh neɗɗo nder ɓaade mooɗon nyalmii neema maa ƴami mballa banndiraaɓe muuɗum maa koreeji saabee rafi neema maa ceede?
[ETOOWO : JAWAABU GOOTO].
1)Ayyo. 
2)Aa’a – sabu tilsaay. 
3)Aa’a – sabu on coonnii ɗii ɗoo geniiji maa on ngaɗii hono ɗum ɗon ley lebbi 12 cakitiiɗi deh tawi on mbaawaa heddaade na waɗa non. 
4)Aa’a ɗum  waawaa waɗude.
5)ANNDA
6)SALAADE
</t>
        </is>
      </c>
      <c r="Q154" s="156">
        <f>LEN(P154)</f>
        <v/>
      </c>
      <c r="R154" s="397" t="inlineStr">
        <is>
          <t>Single Choice</t>
        </is>
      </c>
      <c r="S154" s="156" t="inlineStr">
        <is>
          <t>NA</t>
        </is>
      </c>
      <c r="T154" s="156" t="inlineStr">
        <is>
          <t>NA</t>
        </is>
      </c>
      <c r="U154" s="156" t="inlineStr">
        <is>
          <t>Form Type - Buttons</t>
        </is>
      </c>
      <c r="V154" s="40" t="inlineStr">
        <is>
          <t>NA</t>
        </is>
      </c>
      <c r="W154" s="87" t="inlineStr">
        <is>
          <t>1-6 = cs_crisis_sold_prod_assets</t>
        </is>
      </c>
      <c r="X154" s="325" t="n"/>
      <c r="Y154" s="402" t="n"/>
      <c r="Z154" s="188" t="n"/>
      <c r="AA154" s="66" t="n"/>
      <c r="AB154" s="67" t="n"/>
      <c r="AC154" s="45" t="n"/>
      <c r="AD154" s="280" t="n"/>
      <c r="AE154" s="45" t="n"/>
    </row>
    <row r="155" ht="280" customHeight="1">
      <c r="A155" s="92">
        <f>A154+1</f>
        <v/>
      </c>
      <c r="B155" s="401" t="inlineStr">
        <is>
          <t>cs_crisis_sold_prod_assets</t>
        </is>
      </c>
      <c r="C155" s="275" t="inlineStr">
        <is>
          <t>cs_crisis_sold_prod_assets</t>
        </is>
      </c>
      <c r="D155" s="278"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55" s="156">
        <f>LEN(D155)</f>
        <v/>
      </c>
      <c r="F155" s="278"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biens ou fait cette activité au cours des 12 derniers mois et que vous ne pouvez pas continuer à le faire
4)Sans objet
5)NE SAIT PAS 
6)REFUSÉ</t>
        </is>
      </c>
      <c r="G155" s="156">
        <f>LEN(F155)</f>
        <v/>
      </c>
      <c r="H155" s="28" t="inlineStr">
        <is>
          <t xml:space="preserve">Tile 30 tɛmɛni na aw gwasomɔgɔ dɔ tun wajibiyalen don k’a ka baara minanw wala sɔrɔda, bolifɛnw [kalalikɛlan, buruwɛti, nɛgɛso, mubili, etc] feere dumuni ko wala waridɛsɛ kosɔn wa?
[SƆRƆBATIGI:JAABI KELEN] 
1)ƆWƆ. 
2)Ayi – sabu kuun tun t’a la. 
3)Ayi – sabu aw y’o fɛɛnw feere ka ban wala k’o kokɛta nin kɛ ka ban kalo 12 tɛmɛnin kɔnɔ a n’aw te se ka to k’o kɛ tuma bɛɛ. 
4)Kuun t’a la. 
5)NE T’A DƆN. 
6)NE MA SƆN </t>
        </is>
      </c>
      <c r="I155" s="156">
        <f>LEN(H155)</f>
        <v/>
      </c>
      <c r="J155" s="28" t="inlineStr">
        <is>
          <t>Nii pɛt-taan dũwõ nuŋo bɛ̀rɛ̀ e uro inen lé ɛnɛ mà niɲe birɛ biru máa cɛɛ yey-yay [masĩ yiru-ajuru, buruwɛtu, ceecee, mabil, kò jin mà cɛɛ laga.] dɔ̃-sà maa, kaaɲey máa buudu tɔɔn mà kɔɔrɔ jɛ?
[BIRƐ MA KŨ BANA : KASARA TUNO-I].
1)EE 
2)Ɔ̃-ɔ̃ – sabu lej tilɛj sara ɟĩ
3)ɔ̃-ɔ̃ – sabu lej tilɛj cɛ hoow baa e dɔ̃nti be maa birɛ ɛɛ 12 dũwõ mi gara bɛrɛ e biɟɛ be iɟina dɔmkãrã ko-i birara be 
4)Cɛkã kɔɔrɔ
5)ɟUGƆGOM
6)JƆWƆLI</t>
        </is>
      </c>
      <c r="K155" s="156">
        <f>LEN(J155)</f>
        <v/>
      </c>
      <c r="L155" s="28" t="inlineStr">
        <is>
          <t>Jirbu 30 ndu cere game er huwo boro fo kulu manu hay fo manu huwo goyjiney wala jeeja jiney foyoŋ neereŋ neere [teela, buruwetto, guruberiyo, mooto, wkc]  zama nəaro wala nooru siyoŋo se?
[HANKAA : TUYONG FOOLON]
1)Ayyo 
2)Han han – zamssai a suu naafa
3)Han han -  zamsai er dan kuu aa jinney heyney wal taii goyyo woo hannduu weyy jinnu hiin kan woo kan bissa ndu er suu hinnuu a taii 
4)ENNI YAA FOO KUUL SII
5)AY SUU BEY
6)AY WINGEY</t>
        </is>
      </c>
      <c r="M155" s="156">
        <f>LEN(L155)</f>
        <v/>
      </c>
      <c r="N155" s="28" t="inlineStr">
        <is>
          <t>Ɣur dǎɣ 30 našal ti dokaynen, awadəm ən amazaɣ nawan ašinšahin ahusken ən siduma meɣ ən ilalan wən asikil (mašin wan azamay, bruwet, tasarayrayt, turaft, iyad.)fal salan niba nataɣam meɣ azruf?
[EMASESTƏN : ALƏƔI IYANDAƔ].
1)Iya. 
2)Few – falas war eqel tahašilt 
3)Few-falas tašinšamin aru haratan meɣ təgam ašəɣəl wen ɣor 12 ən oran izar war tadobem atitaləsam iji.
4)War itətwəji.
5)WARISENAƔ. 
6)UGAY</t>
        </is>
      </c>
      <c r="O155" s="156">
        <f>LEN(N155)</f>
        <v/>
      </c>
      <c r="P155" s="28" t="inlineStr">
        <is>
          <t xml:space="preserve">Ley nyalaaɗe 30 cakitiiɗe ɗee, won fuh neɗɗo nder ɓaade mooɗon coonnuɗo geneeji muuɗum gollitorɗi maa mbaɗɗuuji [teela , burwetti, pucci , mobel, e ko nandi e muuɗum yaade] saabee rafi neema maa ceede?
[ETOOWO : JAWAABU GOOTO].
1)Ayyo. 
2)Aa’a – sabu tilsaay. 
3)Aa’a – sabu on coonnii ɗii ɗoo geniiji maa on ngaɗii hono ɗum ɗon ley lebbi 12 cakitiiɗi deh tawi on mbaawaa heddaade na waɗa non. 
4)Aa’a ɗum  waawaa waɗude.
5)ANNDA
6)SALAADE
</t>
        </is>
      </c>
      <c r="Q155" s="156">
        <f>LEN(P155)</f>
        <v/>
      </c>
      <c r="R155" s="397" t="inlineStr">
        <is>
          <t>Single Choice</t>
        </is>
      </c>
      <c r="S155" s="156" t="inlineStr">
        <is>
          <t>NA</t>
        </is>
      </c>
      <c r="T155" s="156" t="inlineStr">
        <is>
          <t>NA</t>
        </is>
      </c>
      <c r="U155" s="156" t="inlineStr">
        <is>
          <t>Form Type - Buttons</t>
        </is>
      </c>
      <c r="V155" s="40" t="inlineStr">
        <is>
          <t>NA</t>
        </is>
      </c>
      <c r="W155" s="87" t="inlineStr">
        <is>
          <t>1-6 = cs_crisis_no_school</t>
        </is>
      </c>
      <c r="X155" s="325" t="n"/>
      <c r="Y155" s="402" t="n"/>
      <c r="Z155" s="188" t="n"/>
      <c r="AA155" s="66" t="inlineStr">
        <is>
          <t>resp_age = 18-100
hh_agricactivity = 1 | 2 | 3 | 4
quotareached = 2</t>
        </is>
      </c>
      <c r="AB155" s="67" t="n"/>
      <c r="AC155" s="45" t="n">
        <v>14.41095890410959</v>
      </c>
      <c r="AD155" s="280" t="n">
        <v>1</v>
      </c>
      <c r="AE155" s="45">
        <f>AC155*AD155</f>
        <v/>
      </c>
    </row>
    <row r="156" ht="260" customHeight="1">
      <c r="A156" s="92">
        <f>A155+1</f>
        <v/>
      </c>
      <c r="B156" s="401" t="inlineStr">
        <is>
          <t>cs_crisis_no_school</t>
        </is>
      </c>
      <c r="C156" s="275" t="inlineStr">
        <is>
          <t>cs_crisis_no_school</t>
        </is>
      </c>
      <c r="D156" s="278"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56" s="156">
        <f>LEN(D156)</f>
        <v/>
      </c>
      <c r="F156" s="278" t="inlineStr">
        <is>
          <t>Au cours des 30 derniers jours, est-ce que quelqu'un dans votre ménage a dû retirer les enfants de l'école en raison du manque de nourriture ou d'argent pour acheter de la nourriture ?
[OPÉRATEUR/OPÉRATRICE: RÉPONSE UNIQUE]
1)Oui
2)Non - parce que ce n'était pas nécessaire
3)Non - parce que vous avez déjà vendu ces biens ou fait cette activité au cours des 12 derniers mois et que vous ne pouvez pas continuer à le faire
4)Sans objet
5)NE SAIT PAS 
6)REFUSÉ</t>
        </is>
      </c>
      <c r="G156" s="156">
        <f>LEN(F156)</f>
        <v/>
      </c>
      <c r="H156" s="28" t="inlineStr">
        <is>
          <t xml:space="preserve">Tile 30 tɛmɛnin kɔnɔ, aw ka gwaso kɔnɔ mɔgɔ dɔ y’a ka denmisɛnw bɔ kalan na balo dɛsɛ wala wari dɛsɛ kosɔn wa? 
[SƆRƆBATIGI:JAABI KELEN] 
1)ƆWƆ. 
2)Ayi – sabu kuun tun t’a la. 
3)Ayi – sabu aw y’o fɛɛnw feere ka ban wala k’o kokɛta nin kɛ ka ban kalo 12 tɛmɛnin kɔnɔ a n’aw te se ka to k’o kɛ tuma bɛɛ. 
4)Kuun t’a la. 
5)NE T’A DƆN. 
6)NE MA SƆN </t>
        </is>
      </c>
      <c r="I156" s="156">
        <f>LEN(H156)</f>
        <v/>
      </c>
      <c r="J156" s="28" t="inlineStr">
        <is>
          <t>Nǐ 30 dũwõ mi gara bɛrɛ, e uro ma inen, ɛnɛ ma in lekɔl gɔ̃ sa, kaɲej maa buudu maa ma kɔrɔ ɟɛ? 
[BIRƐ MA KŨ BANA : KASARA TUNO-I].
1)EE 
2)Ɔ̃-ɔ̃ – sabu lej tilɛj sara ɟĩ
3)ɔ̃-ɔ̃ – sabu lej tilɛj cɛ hoow baa e dɔ̃nti be maa birɛ ɛɛ 12 dũwõ mi gara bɛrɛ e biɟɛ be iɟina dɔmkãrã ko-i birara be 
4)Cɛkã kɔɔrɔ
5)ɟUGƆGOM
6)JƆWƆLI</t>
        </is>
      </c>
      <c r="K156" s="156">
        <f>LEN(J156)</f>
        <v/>
      </c>
      <c r="L156" s="28" t="inlineStr">
        <is>
          <t>Jiirbu 30, booru fo er wan huwo ga dan kuu zankey kaa cewendo gaa hanrro djan gan saii ?
[HANKAA : TUYONG FOOLON]
1)Ayyo 
2)Han han – zamssai a suu naafa
3)Han han -  zamsai er dan kuu aa jinney heyney wal taii goyyo woo hannduu weyy jinnu hiin kan woo kan bissa ndu er suu hinnuu a taii 
4)ENNI YAA FOO KUUL SII
5)AY SUU BEY
6)AY WINGEY</t>
        </is>
      </c>
      <c r="M156" s="156">
        <f>LEN(L156)</f>
        <v/>
      </c>
      <c r="N156" s="28" t="inlineStr">
        <is>
          <t>Ɣur dǎɣ 30 našal ti dilkamnen, awadəm dǎɣ alɣayal nawan yala ikas aratan nes dǎɣ likoy fal iba nataɣam meɣ azruf ?
[EMASESTƏN : ALƏƔI IYANDAƔ].
1)Iya. 
2)Few – falas war eqel tahašilt 
3)Few-falas tašinšamin aru haratan meɣ təgam ašəɣəl wen ɣor 12 ən oran izar war tadobem atitaləsam iji.
4)War itətwəji.
5)WARISENAƔ. 
6)UGAY</t>
        </is>
      </c>
      <c r="O156" s="156">
        <f>LEN(N156)</f>
        <v/>
      </c>
      <c r="P156" s="28" t="inlineStr">
        <is>
          <t xml:space="preserve">Ley ñalaaɗe 30 cakitiiɗe ɗee, waɗii fuh nde yoga e koreeji mooɗon yaaltini suka maaɗum jannde ekkol  saabee rafi neema maa ceede ?
[ETOOWO : JAWAABU GOOTO].
1)Ayyo. 
2)Aa’a – sabu tilsaay. 
3)Aa’a – sabu on coonnii ɗii ɗoo geniiji maa on ngaɗii hono ɗum ɗon ley lebbi 12 cakitiiɗi deh tawi on mbaawaa heddaade na waɗa non. 
4)Aa’a ɗum  waawaa waɗude.
5)ANNDA
6)SALAADE
</t>
        </is>
      </c>
      <c r="Q156" s="156">
        <f>LEN(P156)</f>
        <v/>
      </c>
      <c r="R156" s="397" t="inlineStr">
        <is>
          <t>Single Choice</t>
        </is>
      </c>
      <c r="S156" s="156" t="inlineStr">
        <is>
          <t>NA</t>
        </is>
      </c>
      <c r="T156" s="156" t="inlineStr">
        <is>
          <t>NA</t>
        </is>
      </c>
      <c r="U156" s="156" t="inlineStr">
        <is>
          <t>Form Type - Buttons</t>
        </is>
      </c>
      <c r="V156" s="40" t="inlineStr">
        <is>
          <t>NA</t>
        </is>
      </c>
      <c r="W156" s="87" t="inlineStr">
        <is>
          <t>1-6 = cs_crisis_reduced_health_exp</t>
        </is>
      </c>
      <c r="X156" s="325" t="n"/>
      <c r="Y156" s="381" t="n"/>
      <c r="Z156" s="87" t="n"/>
      <c r="AA156" s="66" t="inlineStr">
        <is>
          <t>resp_age = 18-100
hh_agricactivity = 1 | 2 | 3 | 4
quotareached = 2</t>
        </is>
      </c>
      <c r="AB156" s="67" t="n"/>
      <c r="AC156" s="45" t="n">
        <v>15.40838527679443</v>
      </c>
      <c r="AD156" s="280" t="n">
        <v>1</v>
      </c>
      <c r="AE156" s="45">
        <f>AC156*AD156</f>
        <v/>
      </c>
    </row>
    <row r="157" ht="270.75" customHeight="1">
      <c r="A157" s="92">
        <f>A156+1</f>
        <v/>
      </c>
      <c r="B157" s="401" t="inlineStr">
        <is>
          <t>cs_crisis_reduced_health_exp</t>
        </is>
      </c>
      <c r="C157" s="275" t="inlineStr">
        <is>
          <t>cs_crisis_reduced_health_exp</t>
        </is>
      </c>
      <c r="D157" s="278"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57" s="156">
        <f>LEN(D157)</f>
        <v/>
      </c>
      <c r="F157" s="278"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7" s="156">
        <f>LEN(F157)</f>
        <v/>
      </c>
      <c r="H157" s="28" t="inlineStr">
        <is>
          <t xml:space="preserve">Tile 30 tɛmɛni na aw gwasomɔgɔ dɔ tun wajibiyalen don k’a dɔ bɔ a furakɛli sanni sekoya fan fɛ [furaw] dumuni ko wala waridɛsɛ kosɔn wa?
[SƆRƆBATIGI:JAABI KELEN] 
1)ƆWƆ. 
2)Ayi – sabu kuun tun t’a la. 
3)Ayi – sabu aw y’o fɛɛnw feere ka ban wala k’o kokɛta nin kɛ ka ban kalo 12 tɛmɛnin kɔnɔ a n’aw te se ka to k’o kɛ tuma bɛɛ. 
4)Kuun t’a la. 
5)NE T’A DƆN. 
6)NE MA SƆN </t>
        </is>
      </c>
      <c r="I157" s="156">
        <f>LEN(H157)</f>
        <v/>
      </c>
      <c r="J157" s="28" t="inlineStr">
        <is>
          <t>Nii pɛt-taan dũwõ nuŋo bɛ̀rɛ̀ e uro inen lé ɛnɛ mà kũ ɛnɛ jɔŋã-rã [hal loy ĩ lé yɛrɛ] mà dépãsu gàmà-sà maa, kaaɲey máa buudu tɔɔn mà kɔɔrɔ jɛ ?
[BIRƐ MA KŨ BANA : KASARA TUNO-I].
1)EE 
2)Ɔ̃-ɔ̃ – sabu lej tilɛj sara ɟĩ
3)ɔ̃-ɔ̃ – sabu lej tilɛj cɛ hoow baa e dɔ̃nti be maa birɛ ɛɛ 12 dũwõ mi gara bɛrɛ e biɟɛ be iɟina dɔmkãrã ko-i birara be 
4)Cɛkã kɔɔrɔ
5)ɟUGƆGOM
6)JƆWƆLI</t>
        </is>
      </c>
      <c r="K157" s="156">
        <f>LEN(J157)</f>
        <v/>
      </c>
      <c r="L157" s="28" t="inlineStr">
        <is>
          <t>Jirbu 30 ndu cere game er huwo boro fo kulu manu ngu baano dapansey zebu [sefermey mey go]  zama ŋaari wala nooru siyoŋo se?
[HANKAA : TUYONG FOOLON]
1)Ayyo 
2)Han han – zamssai a suu naafa
3)Han han -  zamsai er dan kuu aa jinney heyney wal taii goyyo woo hannduu weyy jinnu hiin kan woo kan bissa ndu er suu hinnuu a taii 
4)ENNI YAA FOO KUUL SII
5)AY SUU BEY
6)AY WINGEY</t>
        </is>
      </c>
      <c r="M157" s="156">
        <f>LEN(L157)</f>
        <v/>
      </c>
      <c r="N157" s="28" t="inlineStr">
        <is>
          <t>Ɣur dǎɣ 30 našal ti dokaynen, awadəm ən amazaɣ nawan ifnaz isifran wi naśaɣat ənes [dǎɣ ahanat timaɣwanen]  fal salan niba nataɣam meɣ azruf?
[EMASESTƏN : ALƏƔI IYANDAƔ].
1)Iya. 
2)Few – falas war eqel tahašilt 
3)Few-falas tašinšamin aru haratan meɣ təgam ašəɣəl wen ɣor 12 ən oran izar war tadobem atitaləsam iji.
4)War itətwəji.
5)WARISENAƔ. 
6)UGAY</t>
        </is>
      </c>
      <c r="O157" s="156">
        <f>LEN(N157)</f>
        <v/>
      </c>
      <c r="P157" s="28" t="inlineStr">
        <is>
          <t xml:space="preserve">Ley nyalaaɗe 30 cakitiiɗe ɗee, won fuh neɗɗo nder ɓaade mooɗon ɓuytii nyaamɗe ceede muuɗum njamu [tawti e cafaaje] saabee rafi neema maa ceede?
[ETOOWO : JAWAABU GOOTO].
1)Ayyo. 
2)Aa’a – sabu tilsaay. 
3)Aa’a – sabu on coonnii ɗii ɗoo geniiji maa on ngaɗii hono ɗum ɗon ley lebbi 12 cakitiiɗi deh tawi on mbaawaa heddaade na waɗa non. 
4)Aa’a ɗum  waawaa waɗude.
5)ANNDA
6)SALAADE
</t>
        </is>
      </c>
      <c r="Q157" s="156">
        <f>LEN(P157)</f>
        <v/>
      </c>
      <c r="R157" s="397" t="inlineStr">
        <is>
          <t>Single Choice</t>
        </is>
      </c>
      <c r="S157" s="156" t="inlineStr">
        <is>
          <t>NA</t>
        </is>
      </c>
      <c r="T157" s="156" t="inlineStr">
        <is>
          <t>NA</t>
        </is>
      </c>
      <c r="U157" s="156" t="inlineStr">
        <is>
          <t>Form Type - Buttons</t>
        </is>
      </c>
      <c r="V157" s="40" t="inlineStr">
        <is>
          <t>NA</t>
        </is>
      </c>
      <c r="W157" s="87" t="inlineStr">
        <is>
          <t>1-6 = cs_emergency_sold_house</t>
        </is>
      </c>
      <c r="X157" s="325" t="n"/>
      <c r="Y157" s="404" t="n"/>
      <c r="Z157" s="405" t="n"/>
      <c r="AA157" s="66" t="inlineStr">
        <is>
          <t>resp_age = 18-100
hh_agricactivity = 1 | 2 | 3 | 4
quotareached = 2</t>
        </is>
      </c>
      <c r="AB157" s="67" t="n"/>
      <c r="AC157" s="45" t="n">
        <v>15.54398632049561</v>
      </c>
      <c r="AD157" s="280" t="n">
        <v>1</v>
      </c>
      <c r="AE157" s="45">
        <f>AC157*AD157</f>
        <v/>
      </c>
    </row>
    <row r="158" ht="260" customHeight="1">
      <c r="A158" s="92">
        <f>A157+1</f>
        <v/>
      </c>
      <c r="B158" s="401" t="inlineStr">
        <is>
          <t>cs_emergency_sold_house</t>
        </is>
      </c>
      <c r="C158" s="275" t="inlineStr">
        <is>
          <t>cs_emergency_sold_house</t>
        </is>
      </c>
      <c r="D158" s="278"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58" s="156">
        <f>LEN(D158)</f>
        <v/>
      </c>
      <c r="F158" s="278" t="inlineStr">
        <is>
          <t>Au cours des 30 derniers jours, est-ce que quelqu'un dans votre ménage a dû vendre sa maison ou ses terres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8" s="156">
        <f>LEN(F158)</f>
        <v/>
      </c>
      <c r="H158" s="28" t="inlineStr">
        <is>
          <t xml:space="preserve">Tile 30 tɛmɛni na aw gwasomɔgɔ dɔ tun wajibiyalen don k’a bon wala a parsɛli feere dumuni ko wala waridɛsɛ kosɔn wa?
[SƆRƆBATIGI:JAABI KELEN] 
1)ƆWƆ. 
2)Ayi – sabu kuun tun t’a la. 
3)Ayi – sabu aw y’o fɛɛnw feere ka ban wala k’o kokɛta nin kɛ ka ban kalo 12 tɛmɛnin kɔnɔ a n’aw te se ka to k’o kɛ tuma bɛɛ. 
4)Kuun t’a la. 
5)NE T’A DƆN. 
6)NE MA SƆN </t>
        </is>
      </c>
      <c r="I158" s="156">
        <f>LEN(H158)</f>
        <v/>
      </c>
      <c r="J158" s="28" t="inlineStr">
        <is>
          <t>Nii pɛt-taan dũwõ nuŋo bɛ̀rɛ̀ e uro inen uro máa tɛ̃ɛ̃rɛ̃ máa dɔ̃-sà maa, kaaɲey máa buudu tɔɔn mà kɔɔrɔ jɛ?
[BIRƐ MA KŨ BANA : KASARA TUNO-I].
1)EE 
2)Ɔ̃-ɔ̃ – sabu lej tilɛj sara ɟĩ
3)ɔ̃-ɔ̃ – sabu lej tilɛj cɛ hoow baa e dɔ̃nti be maa birɛ ɛɛ 12 dũwõ mi gara bɛrɛ e biɟɛ be iɟina dɔmkãrã ko-i birara be 
4)Cɛkã kɔɔrɔ
5)ɟUGƆGOM
6)JƆWƆLI</t>
        </is>
      </c>
      <c r="K158" s="156">
        <f>LEN(J158)</f>
        <v/>
      </c>
      <c r="L158" s="28" t="inlineStr">
        <is>
          <t>Jirbu 30 ndu cere game er huwo boro fo kulu manu ngu huwo wala windi neere zama ŋaari wala nooru siyoŋo se?
[HANKAA : TUYONG FOOLON]
1)Ayyo 
2)Han han – zamssai a suu naafa
3)Han han -  zamsai er dan kuu aa jinney heyney wal taii goyyo woo hannduu weyy jinnu hiin kan woo kan bissa ndu er suu hinnuu a taii 
4)ENNI YAA FOO KUUL SII
5)AY SUU BEY
6)AY WINGEY</t>
        </is>
      </c>
      <c r="M158" s="156">
        <f>LEN(L158)</f>
        <v/>
      </c>
      <c r="N158" s="28" t="inlineStr">
        <is>
          <t>Ɣur dǎɣ 30 našal ti dokaynen, awadəm ən amazaɣ nawan ašinšahin ehan meɣ edag fal iba nataɣam meɣ azruf?
[EMASESTƏN : ALƏƔI IYANDAƔ].
1)Iya. 
2)Few – falas war eqel tahašilt 
3)Few-falas tašinšamin aru haratan meɣ təgam ašəɣəl wen ɣor 12 ən oran izar war tadobem atitaləsam iji.
4)War itətwəji.
5)WARISENAƔ. 
6)UGAY</t>
        </is>
      </c>
      <c r="O158" s="156">
        <f>LEN(N158)</f>
        <v/>
      </c>
      <c r="P158" s="28" t="inlineStr">
        <is>
          <t xml:space="preserve">Ley nyalaaɗe 30 cakitiiɗe ɗee, won fuh neɗɗo nder ɓaade mooɗon soonni ɓaade maa nokku muuɗum saabee rafi neema maa ceede?
[ETOOWO : JAWAABU GOOTO].
1)Ayyo. 
2)Aa’a – sabu tilsaay. 
3)Aa’a – sabu on coonnii ɗii ɗoo geniiji maa on ngaɗii hono ɗum ɗon ley lebbi 12 cakitiiɗi deh tawi on mbaawaa heddaade na waɗa non. 
4)Aa’a ɗum  waawaa waɗude.
5)ANNDA
6)SALAADE
</t>
        </is>
      </c>
      <c r="Q158" s="156">
        <f>LEN(P158)</f>
        <v/>
      </c>
      <c r="R158" s="397" t="inlineStr">
        <is>
          <t>Single Choice</t>
        </is>
      </c>
      <c r="S158" s="156" t="inlineStr">
        <is>
          <t>NA</t>
        </is>
      </c>
      <c r="T158" s="156" t="inlineStr">
        <is>
          <t>NA</t>
        </is>
      </c>
      <c r="U158" s="156" t="inlineStr">
        <is>
          <t>Form Type - Buttons</t>
        </is>
      </c>
      <c r="V158" s="40" t="inlineStr">
        <is>
          <t>NA</t>
        </is>
      </c>
      <c r="W158" s="87" t="inlineStr">
        <is>
          <t>1-6 = cs_emergency_begged</t>
        </is>
      </c>
      <c r="X158" s="325" t="n"/>
      <c r="Y158" s="406" t="n"/>
      <c r="Z158" s="407" t="n"/>
      <c r="AA158" s="66" t="inlineStr">
        <is>
          <t>resp_age = 18-100
hh_agricactivity = 1 | 2 | 3 | 4
quotareached = 2</t>
        </is>
      </c>
      <c r="AB158" s="67" t="n"/>
      <c r="AC158" s="45" t="n">
        <v>10.66811275482178</v>
      </c>
      <c r="AD158" s="280" t="n">
        <v>1</v>
      </c>
      <c r="AE158" s="45">
        <f>AC158*AD158</f>
        <v/>
      </c>
    </row>
    <row r="159" ht="260" customHeight="1">
      <c r="A159" s="92">
        <f>A158+1</f>
        <v/>
      </c>
      <c r="B159" s="401" t="inlineStr">
        <is>
          <t>cs_emergency_begged</t>
        </is>
      </c>
      <c r="C159" s="275" t="inlineStr">
        <is>
          <t>cs_emergency_begged</t>
        </is>
      </c>
      <c r="D159" s="278"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59" s="156">
        <f>LEN(D159)</f>
        <v/>
      </c>
      <c r="F159" s="278"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9" s="156">
        <f>LEN(F159)</f>
        <v/>
      </c>
      <c r="H159" s="28" t="inlineStr">
        <is>
          <t xml:space="preserve">Tile 30 tɛmɛni na aw gwasomɔgɔ dɔ tun wajibiyalen don k’a dumuni deli dumuni ko wala waridɛsɛ kosɔn wa?
[SƆRƆBATIGI:JAABI KELEN] 
1)ƆWƆ. 
2)Ayi – sabu kuun tun t’a la. 
3)Ayi – sabu aw y’o fɛɛnw feere ka ban wala k’o kokɛta nin kɛ ka ban kalo 12 tɛmɛnin kɔnɔ a n’aw te se ka to k’o kɛ tuma bɛɛ. 
4)Kuun t’a la. 
5)NE T’A DƆN. 
6)NE MA SƆN </t>
        </is>
      </c>
      <c r="I159" s="156">
        <f>LEN(H159)</f>
        <v/>
      </c>
      <c r="J159" s="28" t="inlineStr">
        <is>
          <t>Nii pɛt-taan dũwõ nuŋo bɛ̀rɛ̀ e uro inen gariibu kuno-sà maa, kaaɲey máa buudu tɔɔn mà kɔɔrɔ jɛ ?
[BIRƐ MA KŨ BANA : KASARA TUNO-I].
1)EE 
2)Ɔ̃-ɔ̃ – sabu lej tilɛj sara ɟĩ
3)ɔ̃-ɔ̃ – sabu lej tilɛj cɛ hoow baa e dɔ̃nti be maa birɛ ɛɛ 12 dũwõ mi gara bɛrɛ e biɟɛ be iɟina dɔmkãrã ko-i birara be 
4)Cɛkã kɔɔrɔ
5)ɟUGƆGOM
6)JƆWƆLI</t>
        </is>
      </c>
      <c r="K159" s="156">
        <f>LEN(J159)</f>
        <v/>
      </c>
      <c r="L159" s="28" t="inlineStr">
        <is>
          <t>Jirbu 30 ndu cere game er huwo boro fo kulu manu danku gariibey zama ŋaari wala nooru siyoŋo se ?
[HANKAA : TUYONG FOOLON]
1)Ayyo 
2)Han han – zamssai a suu naafa
3)Han han -  zamsai er dan kuu aa jinney heyney wal taii goyyo woo hannduu weyy jinnu hiin kan woo kan bissa ndu er suu hinnuu a taii 
4)ENNI YAA FOO KUUL SII
5)AY SUU BEY
6)AY WINGEY</t>
        </is>
      </c>
      <c r="M159" s="156">
        <f>LEN(L159)</f>
        <v/>
      </c>
      <c r="N159" s="28" t="inlineStr">
        <is>
          <t>Ɣur dǎɣ 30 našal ti dokaynen, awadəm ən amazaɣ nawan idaləd fal iba  nataɣam meɣ azruf?
[EMASESTƏN : ALƏƔI IYANDAƔ].
1)Iya. 
2)Few – falas war eqel tahašilt 
3)Few-falas tašinšamin aru haratan meɣ təgam ašəɣəl wen ɣor 12 ən oran izar war tadobem atitaləsam iji.
4)War itətwəji.
5)WARISENAƔ. 
6)UGAY</t>
        </is>
      </c>
      <c r="O159" s="156">
        <f>LEN(N159)</f>
        <v/>
      </c>
      <c r="P159" s="28" t="inlineStr">
        <is>
          <t xml:space="preserve">Ley nyalaaɗe 30 cakitiiɗe ɗee, won fuh neɗɗo nder ɓaade mooɗon garbini saabee rafi neema maa ceede?
[ETOOWO : JAWAABU GOOTO].
1)Ayyo. 
2)Aa’a – sabu tilsaay. 
3)Aa’a – sabu on coonnii ɗii ɗoo geniiji maa on ngaɗii hono ɗum ɗon ley lebbi 12 cakitiiɗi deh tawi on mbaawaa heddaade na waɗa non. 
4)Aa’a ɗum  waawaa waɗude.
5)ANNDA
6)SALAADE
</t>
        </is>
      </c>
      <c r="Q159" s="156">
        <f>LEN(P159)</f>
        <v/>
      </c>
      <c r="R159" s="397" t="inlineStr">
        <is>
          <t>Single Choice</t>
        </is>
      </c>
      <c r="S159" s="156" t="inlineStr">
        <is>
          <t>NA</t>
        </is>
      </c>
      <c r="T159" s="156" t="inlineStr">
        <is>
          <t>NA</t>
        </is>
      </c>
      <c r="U159" s="156" t="inlineStr">
        <is>
          <t>Form Type - Buttons</t>
        </is>
      </c>
      <c r="V159" s="40" t="inlineStr">
        <is>
          <t>NA</t>
        </is>
      </c>
      <c r="W159" s="87" t="inlineStr">
        <is>
          <t>1-6 = cs_emergency_sold_last_female</t>
        </is>
      </c>
      <c r="X159" s="325" t="n"/>
      <c r="Y159" s="406" t="n"/>
      <c r="Z159" s="407" t="n"/>
      <c r="AA159" s="66" t="inlineStr">
        <is>
          <t>resp_age = 18-100
hh_agricactivity = 1 | 2 | 3 | 4
quotareached = 2</t>
        </is>
      </c>
      <c r="AB159" s="67" t="n"/>
      <c r="AC159" s="45" t="n">
        <v>9.716710090637207</v>
      </c>
      <c r="AD159" s="280" t="n">
        <v>1</v>
      </c>
      <c r="AE159" s="45">
        <f>AC159*AD159</f>
        <v/>
      </c>
    </row>
    <row r="160" ht="260" customHeight="1">
      <c r="A160" s="92">
        <f>A159+1</f>
        <v/>
      </c>
      <c r="B160" s="401" t="inlineStr">
        <is>
          <t>cs_emergency_sold_last_female</t>
        </is>
      </c>
      <c r="C160" s="275" t="inlineStr">
        <is>
          <t>cs_emergency_sold_last_female</t>
        </is>
      </c>
      <c r="D160" s="278"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60" s="156">
        <f>LEN(D160)</f>
        <v/>
      </c>
      <c r="F160" s="278" t="inlineStr">
        <is>
          <t>Au cours des 30 derniers jours, est-ce que quelqu'un dans votre ménage a dû vendre votre dernières femelles animales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0" s="156">
        <f>LEN(F160)</f>
        <v/>
      </c>
      <c r="H160" s="28" t="inlineStr">
        <is>
          <t xml:space="preserve">Tile 30 tɛmɛni na aw gwasomɔgɔ dɔ tun wajibiyalen don k’a laban bagan musoma feere dumuni ko wala waridɛsɛ kosɔn wa?
[SƆRƆBATIGI:JAABI KELEN] 
1)ƆWƆ. 
2)Ayi – sabu kuun tun t’a la. 
3)Ayi – sabu aw y’o fɛɛnw feere ka ban wala k’o kokɛta nin kɛ ka ban kalo 12 tɛmɛnin kɔnɔ a n’aw te se ka to k’o kɛ tuma bɛɛ. 
4)Kuun t’a la. 
5)NE T’A DƆN. 
6)NE MA SƆN </t>
        </is>
      </c>
      <c r="I160" s="156">
        <f>LEN(H160)</f>
        <v/>
      </c>
      <c r="J160" s="28" t="inlineStr">
        <is>
          <t>Nii pɛt-taan dũwõ nuŋo bɛ̀rɛ̀ e uro bɛ̀rɛ̀ inen turu ɛnɛ mà asɛgɛya dumbo bé dɔ̃-sà maa, kaaɲey máa buudu tɔɔn mà kɔɔrɔ jɛ?
[BIRƐ MA KŨ BANA : KASARA TUNO-I].
1)EE 
2)Ɔ̃-ɔ̃ – sabu lej tilɛj sara ɟĩ
3)ɔ̃-ɔ̃ – sabu lej tilɛj cɛ hoow baa e dɔ̃nti be maa birɛ ɛɛ 12 dũwõ mi gara bɛrɛ e biɟɛ be iɟina dɔmkãrã ko-i birara be 
4)Cɛkã kɔɔrɔ
5)ɟUGƆGOM
6)JƆWƆLI</t>
        </is>
      </c>
      <c r="K160" s="156">
        <f>LEN(J160)</f>
        <v/>
      </c>
      <c r="L160" s="28" t="inlineStr">
        <is>
          <t>Jirbu 30 ndu cere game er huwo boro fo kulu manu danku almen weyey di ku neere zama ŋaari wala nooru siyoŋo se ?
[HANKAA : TUYONG FOOLON]
1)Ayyo 
2)Han han – zamssai a suu naafa
3)Han han -  zamsai er dan kuu aa jinney heyney wal taii goyyo woo hannduu weyy jinnu hiin kan woo kan bissa ndu er suu hinnuu a taii 
4)ENNI YAA FOO KUUL SII
5)AY SUU BEY
6)AY WINGEY</t>
        </is>
      </c>
      <c r="M160" s="156">
        <f>LEN(L160)</f>
        <v/>
      </c>
      <c r="N160" s="28" t="inlineStr">
        <is>
          <t>Ɣur dǎɣ 30 našal ti dokaynen, awadəm ən amazaɣ nawan ašinšahin haratanes wi samando fal iba nataɣam meɣ azruf?
[EMASESTƏN : ALƏƔI IYANDAƔ].
1)Iya. 
2)Few – falas war eqel tahašilt 
3)Few-falas tašinšamin aru haratan meɣ təgam ašəɣəl wen ɣor 12 ən oran izar war tadobem atitaləsam iji.
4)War itətwəji.
5)WARISENAƔ. 
6)UGAY</t>
        </is>
      </c>
      <c r="O160" s="156">
        <f>LEN(N160)</f>
        <v/>
      </c>
      <c r="P160" s="28" t="inlineStr">
        <is>
          <t xml:space="preserve">Ley nyalaaɗe 30 cakitiiɗe ɗee, won fuh neɗɗo nder ɓaade mooɗon soonni ɓireteeɗi muuɗum saabee rafi neema maa ceede?
[ETOOWO : JAWAABU GOOTO].
1)Ayyo. 
2)Aa’a – sabu tilsaay. 
3)Aa’a – sabu on coonnii ɗii ɗoo geniiji maa on ngaɗii hono ɗum ɗon ley lebbi 12 cakitiiɗi deh tawi on mbaawaa heddaade na waɗa non. 
4)Aa’a ɗum  waawaa waɗude.
5)ANNDA
6)SALAADE
</t>
        </is>
      </c>
      <c r="Q160" s="156">
        <f>LEN(P160)</f>
        <v/>
      </c>
      <c r="R160" s="397" t="inlineStr">
        <is>
          <t>Single Choice</t>
        </is>
      </c>
      <c r="S160" s="156" t="inlineStr">
        <is>
          <t>NA</t>
        </is>
      </c>
      <c r="T160" s="156" t="inlineStr">
        <is>
          <t>NA</t>
        </is>
      </c>
      <c r="U160" s="156" t="inlineStr">
        <is>
          <t>Form Type - Buttons</t>
        </is>
      </c>
      <c r="V160" s="40" t="inlineStr">
        <is>
          <t>NA</t>
        </is>
      </c>
      <c r="W160" s="87" t="inlineStr">
        <is>
          <t>1-6 = cs_emergency_hh_migration</t>
        </is>
      </c>
      <c r="X160" s="325" t="n"/>
      <c r="Y160" s="406" t="n"/>
      <c r="Z160" s="407" t="n"/>
      <c r="AA160" s="66" t="inlineStr">
        <is>
          <t>resp_age = 18-100
hh_agricactivity = 1 | 2 | 3 | 4
quotareached = 2</t>
        </is>
      </c>
      <c r="AB160" s="67" t="n"/>
      <c r="AC160" s="45" t="n">
        <v>10.11413192749023</v>
      </c>
      <c r="AD160" s="280" t="n">
        <v>1</v>
      </c>
      <c r="AE160" s="45">
        <f>AC160*AD160</f>
        <v/>
      </c>
    </row>
    <row r="161" ht="260" customHeight="1">
      <c r="A161" s="92">
        <f>A160+1</f>
        <v/>
      </c>
      <c r="B161" s="401" t="inlineStr">
        <is>
          <t>cs_emergency_hh_migration</t>
        </is>
      </c>
      <c r="C161" s="275" t="inlineStr">
        <is>
          <t>cs_emergency_hh_migration</t>
        </is>
      </c>
      <c r="D161" s="278"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61" s="156">
        <f>LEN(D161)</f>
        <v/>
      </c>
      <c r="F161" s="278"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1" s="156">
        <f>LEN(F161)</f>
        <v/>
      </c>
      <c r="H161" s="28" t="inlineStr">
        <is>
          <t xml:space="preserve">Tile 30 tɛmɛni na aw gwasomɔgɔ bɛ tun wajibiyalen don k’a yɛlɛma ka taga dugu wɛrɛ dumuni ko wala waridɛsɛ kosɔn wa?
[SƆRƆBATIGI:JAABI KELEN] 
1)ƆWƆ. 
2)Ayi – sabu kuun tun t’a la. 
3)Ayi – sabu aw y’o fɛɛnw feere ka ban wala k’o kokɛta nin kɛ ka ban kalo 12 tɛmɛnin kɔnɔ a n’aw te se ka to k’o kɛ tuma bɛɛ. 
4)Kuun t’a la. 
5)NE T’A DƆN. 
6)NE MA SƆN </t>
        </is>
      </c>
      <c r="I161" s="156">
        <f>LEN(H161)</f>
        <v/>
      </c>
      <c r="J161" s="28" t="inlineStr">
        <is>
          <t>Nii pɛt-taan dũwõ nuŋo bɛ̀rɛ̀ eke uro inem puu ana yaa-sà bà maa, kaaɲey máa buudu tɔɔn mà kɔɔrɔ jɛ?
[BIRƐ MA KŨ BANA : KASARA TUNO-I].
1)EE 
2)Ɔ̃-ɔ̃ – sabu lej tilɛj sara ɟĩ
3)ɔ̃-ɔ̃ – sabu lej tilɛj cɛ hoow baa e dɔ̃nti be maa birɛ ɛɛ 12 dũwõ mi gara bɛrɛ e biɟɛ be iɟina dɔmkãrã ko-i birara be 
4)Cɛkã kɔɔrɔ
5)ɟUGƆGOM
6)JƆWƆLI</t>
        </is>
      </c>
      <c r="K161" s="156">
        <f>LEN(J161)</f>
        <v/>
      </c>
      <c r="L161" s="28" t="inlineStr">
        <is>
          <t>Jirbu 30 ndu cere game er huwo borey kulu manu gana ku koy nongori fo zama ŋaariwala nooru siyoŋo se ?
[HANKAA : TUYONG FOOLON]
1)Ayyo 
2)Han han – zamssai a suu naafa
3)Han han -  zamsai er dan kuu aa jinney heyney wal taii goyyo woo hannduu weyy jinnu hiin kan woo kan bissa ndu er suu hinnuu a taii 
4)ENNI YAA FOO KUUL SII
5)AY SUU BEY
6)AY WINGEY</t>
        </is>
      </c>
      <c r="M161" s="156">
        <f>LEN(L161)</f>
        <v/>
      </c>
      <c r="N161" s="28" t="inlineStr">
        <is>
          <t>Ɣur dǎɣ 30 našal ti dokaynen, amazaɣ nawan dak ahona fal salan niba nataɣam meɣ azruf?
[EMASESTƏN : ALƏƔI IYANDAƔ].
1)Iya. 
2)Few – falas war eqel tahašilt 
3)Few-falas tašinšamin aru haratan meɣ təgam ašəɣəl wen ɣor 12 ən oran izar war tadobem atitaləsam iji.
4)War itətwəji.
5)WARISENAƔ. 
6)UGAY</t>
        </is>
      </c>
      <c r="O161" s="156">
        <f>LEN(N161)</f>
        <v/>
      </c>
      <c r="P161" s="28" t="inlineStr">
        <is>
          <t xml:space="preserve">Ley nyalaaɗe 30 cakitiiɗe ɗee, won fuh neɗɗo nder ɓaade mooɗon eggi saabee rafi neema maa ceede?
[ETOOWO : JAWAABU GOOTO].
1)Ayyo. 
2)Aa’a – sabu tilsaay. 
3)Aa’a – sabu on coonnii ɗii ɗoo geniiji maa on ngaɗii hono ɗum ɗon ley lebbi 12 cakitiiɗi deh tawi on mbaawaa heddaade na waɗa non. 
4)Aa’a ɗum  waawaa waɗude.
5)ANNDA
6)SALAADE
</t>
        </is>
      </c>
      <c r="Q161" s="156">
        <f>LEN(P161)</f>
        <v/>
      </c>
      <c r="R161" s="397" t="inlineStr">
        <is>
          <t>Single Choice</t>
        </is>
      </c>
      <c r="S161" s="156" t="inlineStr">
        <is>
          <t>NA</t>
        </is>
      </c>
      <c r="T161" s="156" t="inlineStr">
        <is>
          <t>NA</t>
        </is>
      </c>
      <c r="U161" s="156" t="inlineStr">
        <is>
          <t>Form Type - Buttons</t>
        </is>
      </c>
      <c r="V161" s="40" t="inlineStr">
        <is>
          <t>NA</t>
        </is>
      </c>
      <c r="W161" s="87" t="inlineStr">
        <is>
          <t>1-6 = hdds</t>
        </is>
      </c>
      <c r="X161" s="325" t="n"/>
      <c r="Y161" s="406" t="n"/>
      <c r="Z161" s="407" t="n"/>
      <c r="AA161" s="66" t="inlineStr">
        <is>
          <t>resp_age = 18-100
hh_agricactivity = 1 | 2 | 3 | 4
quotareached = 2</t>
        </is>
      </c>
      <c r="AB161" s="67" t="n"/>
      <c r="AC161" s="45" t="n">
        <v>10.11413192749023</v>
      </c>
      <c r="AD161" s="280" t="n">
        <v>1</v>
      </c>
      <c r="AE161" s="45">
        <f>AC161*AD161</f>
        <v/>
      </c>
    </row>
    <row r="162" ht="409.6" customHeight="1">
      <c r="A162" s="92">
        <f>A161+1</f>
        <v/>
      </c>
      <c r="B162" s="56" t="inlineStr">
        <is>
          <t>hdds</t>
        </is>
      </c>
      <c r="C162" s="48" t="inlineStr">
        <is>
          <t>hdds
1) hdds_cereals
2) hdds_rootstubers
3) hdds_vegetables
4) hdds_fruits
5) hdds_meat
6) hdds_eggs
7) hdds_fish
8) hdds_legumes
9) hdds_milkdairy
10) hdds_oils
11)hdds_sugar
12) hdds_condiments</t>
        </is>
      </c>
      <c r="D162" s="169"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4)Fruits [all]
5)Meat/ poultry and offal [beef / pork / lamb / goat / rabbit / wild game / chicken / duck / liver / kidney / heart / or other organ meats]
6)Eggs
7)Fish or shellfish [fresh or dried fish / shellfish]
8)Legumes/nuts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62" s="27">
        <f>LEN(D162)</f>
        <v/>
      </c>
      <c r="F162" s="82"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62" s="27">
        <f>LEN(F162)</f>
        <v/>
      </c>
      <c r="H162" s="82" t="inlineStr">
        <is>
          <t xml:space="preserve">Sisan ne b’a fɛ ka aw ɲinankali ɲinankali dɔ ye dumuni ko fan fɛ, fo kunu lɛɛrɛ 24 ye ka se bi. Aw ye sabari ka dumuni [sɔgɔma dumuni ani darakaw] aw yɛrɛ walima aw ka gwasomɔgɔw dɔ y’o du, wala o y’o min kunu [lɛɛrɛ 24 fo kunu: daraka, tile fɛ dumuni, wula fɛ wala dumuni misɛnw] fɔ ka jiri.
[SƆRƆBATIGI:DUMUNI KULUW BƐƐ WOLOMA MINW DUNNA LƐƐRI 24 TƐMƐNIN KƆNƆ KUNU SƐGƐSƐGƐLEN KA JAABIW KƆNƆ. JAABI CAAMAN BE SE KA DI]. 
1)Suman kisɛw [binbiri / ɲɔɔ / kaba / alikama / malo / makɔrɔni / buuru wala dugu kɔnɔ balofɛɛn wɛrɛ]. 
2)Diliw fɛɛn belegetaw [masaku jɛman / kɔmitɛri / kuu / banaku wala dumunin fɛɛn wɛrɛw]. 
3)Nanfɛnw [bɛɛ]. 
4)yiridenw [yiridenw bɛɛ]. 
5)Sogo / kɔnɔw ni kɔnɔnafɛnw [faan / lɛɛ / sagaden / baa / sonsan / kongosogo / syɛ / tɔnkɔnɔ / biɲɛ / kɔkili / dusukun / wala kɔnɔna fɛɛn wɛrɛw]. 
6)Faanw. 
7)Jɛgɛ wala kɔrɔjifɛnɲanaman faraman [Jɛgɛ wala kɔrɔjifɛnɲanaman faraman kɛnɛ wala jalan]. 
8)kongofɛnw / kolo wala kisɛw [sɔsɔ / tigɛnankuru / baribatigɛ / tubabu sɔsɔ / sɔmɔkolo / kolo wɛrɛw]. 
9)Nɔnɔ ni fɛɛn minw be bɔ nɔnɔ la [nɔnɔ kɛnɛ / nɔnɔkumu / yawuri / naare / fɛɛn wɛrɛ minw be bɔ nɔnɔ la]. 
10)Tuluji ni tulusiminin [gwakɛ ta / tulusiminnin / marigarini / kɛɛn / tuluji / tulu wɛrɛw]
11)Sukaro ni fɛɛn timimanw [dii / kɔnfitiri / tomuso / bɔnbɔnw / sokola / bisikiri / fɛnyirantaw / gato ni fɛɛntimiman wɛrɛw]. 
12)Nanfɛnw [kakawo / kɔgɔ / layi / foronto / funufɛn / tubabu funufɛn / tomati wala tomati naan / sogo wala jɛgɛ ka kɛ nanfɛn ye] ani kafe / tee. 
</t>
        </is>
      </c>
      <c r="I162" s="27">
        <f>LEN(H162)</f>
        <v/>
      </c>
      <c r="J162" s="82" t="inlineStr">
        <is>
          <t xml:space="preserve">Nim ge ujuru mà bɔnɔ lagay eru ujuro dene-m jĩĩ, e kaaɲey ɲey mà mana, kono, yá mà lɛɛrɛ pɛl-lɛy nay saga nuŋo lé ayka mine-i. ʃipɛ yagam, kaaɲey [kaaɲey ná máa kaa-kun] e máa e uro inen turu má́a yá [lɛɛrɛ pɛl-lɛy nay saga nuŋo bɛ̀rɛ̀ : yeeje-ɲá, nɔɔkaa, pana màa kaa-kun].
[BIRƐ MA KŨ BANA : JÁ LƐRƐ 24 DUWO MI GARA MA BƐRƐ KAƝEJ TƆGU E BE ƝE, E KASAAN TEGE TƆ̃NƆ I. KO KASAARA ɟO-I].  
1)Cɛ ko ʔi be kaɲej biru jɔwɔkɔ [ɛmɛ/ ɲú/ poroɲú/ alkama/ ará/ ɛspagati/ buru maa koɟin ma kaɲej kɔɔ fuu].
2)Tĩwẽ ma bɔrɔceeŋ bee tĩwẽ bɔrɔsɔu bee [woso/ pɔmdetɛru/ ku/ banaku maa tĩwẽ bɔrɔsɔu be]. 
3)Tĩwẽ kurɔ sɔmɔj [soj]. 
4)Tĩwẽ ʔi be [tĩwẽ ʔi be fuu]. 
5)Nɔwɔ̃ɔ̃ cɛ tárútàrú bee bɛrɛ-niɲe bee [naŋa/ toru/naŋ-ʔi / bɛru/ ɟɔŋɔ̃/ eɟupeeɟu/ éɲé/ tɔ̃kkɔnɔɔɟɔ/ cɛnɛ/ nar-ʔi/ ɟɛ̃̂/maa bɛruniɲe laga bee]. 
6)Cɛ taru bé. 
7)Iiɟu be maa kyrsitase [iiɟu maa kyrsitase ɔru be maa maj be ma].
8)Sɔmɔj ɟere bé/ tĩwẽ ʔi bɛrɛ ʔi sa bee tĩwẽ ʔi sɛ̃j bee [nim be/ anaasara ɛ̀ɛrɛ́/ ɛrɛ/ lãntij/ amade/ tĩwẽ ʔi bɛrɛ ʔi laga bee]. 
9)Ɛmm/ ɛm le cɛ cenesǎ [ɛm kóró/ ɛm írɛ́/ jawuru/ ɛm gagɟu/ɛm ma kaɲej laga bee]. 
10)Nuŋ bee sé bee [kaɲej biru/ muɲu nuŋ/ maRgarin/ sé/ nuŋ/nuŋ be tɔgu laga be]
11)Sukɔrɔ maa cɛ sukɔrɔle be ceene bee [juŋ/ kɔ̃fityry/ sam-sa/ bɔm-bɔm/ sokolâ / biski be / patiseeri/ gatô bee sukɔrɔ maa kaɲej laga bee].
12)Niŋe ma sɔmɔ̃j [kakau / nɛm/ laj/ episi/ leebRu/ leebRu simiki / tamatu maa tamatu niŋe / nɔwɔ̃ maa iiɟu sɔmɔ̃j ma kaale] iɟina kapaa / atej.
</t>
        </is>
      </c>
      <c r="K162" s="27">
        <f>LEN(J162)</f>
        <v/>
      </c>
      <c r="L162" s="82" t="inlineStr">
        <is>
          <t xml:space="preserve">Ey su ba kala ey mu er hã er huwo ŋaaro miso boŋ, hala ir sambu bj ku ka ku daŋ sohõ guuru 24 ndu cere game. Er mu ŋaarey ira irey haru [ŋaarey ndu wey kaŋ boro du] kaŋ er wala er huwo borey ŋa bi [bi guuru 24 du cere game: alcirkaara, cirgosa, hawra hala boro du].
[HANKAA: HANTUM IREY KNANGREY KUL KAN NO BOORA KNANG BI ZAARIKGNON EREY 24 GA .. TU YONG BOOBO HIM KU TE].
1)Dumizey [hommo / hayni / masara / alkama / ŋaari / spagetti / buuru wal dumizey  kan gu gnan].
2)Guurey wal linjey [kudaku karay / konbitar / ku / bananku wal guurey fo yong]. 
3)Dumaray-ize [mee-a-mee]. 
4)Tuuri-izey [Tuuri-izey kul].
5)Hammo / jiira kan guu dessi ndu [ hawo / koyru / feego / Hanciino / tabey / hooga hammo / gorgo/ kolgay / tasa / dumay-ɲaa-guur / binne /wal hammo fo yong].  
6)Guuri
7)Hamisa wal hamisa fonbu [yayno hamiso]
8)Tuurey [guuro /gurizzo/dunguri/suma/sunkaami/diji/ baali/ baali fo yong …].
 9)Wayya ndu izzey kan gonndu wayya [waa yeynna/ waa hoota/ yawouro / wayya djiiyo/ ndu duu  iizey foo yoon kan gon duu waaya]..
10)Jiiyo ndu maano [gnan djiio / maano / buulanga dan guu/ touro djiio / palmier djio /demsso djiio / malgarino/ maanuu foo yong ]..
11)Sukaro wal izeey kan ney [gnan sucaro / sucaro kanrey dan guu sucarro /Yuuwo / confituro / gaata / bombogney / bisculo / gaata huwey/ sukrerie ndu haar kan nuu foo yoon].
12)Hoydjiney [jiiro / aiyo / khoydjina kopto/ levuuro / levuro / tomanto wal  tomanto honyon  / hammo wal hamissa  sindey houydjiney] ndu kafa wal atay].
</t>
        </is>
      </c>
      <c r="M162" s="27">
        <f>LEN(L162)</f>
        <v/>
      </c>
      <c r="N162" s="82" t="inlineStr">
        <is>
          <t>Arheɣ amara akawan sistinaɣ fal asostan wi adanilkamnen fal tetate nataɣam, dǎɣ asisinahagaɣ ɣur dǎɣ 24 ən ler wən adišel. Anihaga atalaɣem išiska [aminsi əd dǎɣ arhet] wəs kawaned meɣ iyan dǎɣ adinat ən amazaɣ nawan amos atiškam meɣ atiswam ɣur ehan andišel [ɣur dǎɣ 24 ən ler tan andišel : asijimjim, tarhut, ehad əd dǎɣ arhet].
 [EMASESTƏN : SƏNƏFRƏNAT GRUƊTAN KUL ƏN IMƏSIWAN AMƏŠKANEN ƔOR 24 ƏN ASAƔATEN TIN ƏNDIŠEL DǍƔ ISIDMURAN WIN INƏSUDMORAN].
1)Inalawan[ abora/enale/kamanari/blé/tafeɣat/sɗagheƭi/buru meɣ enale kul tilan dǎɣ akal]. 
2)Azaran ad tuberəulten [talatay malat tazedat/kombiter/kudako/manioə meɣ tuberəulten tiyad]. 
3)Legumtan [ Kul]. 
4)Fruitan [ kul].
5)Isan/igdaɗ ad timataten[tast/aɣurɣuru/akərwat/taɣat/temarwalt/amudar/ekaz/ekak/awisa/tagəzelt/ulh meɣ haratan iyad kul]. 
6)Tisadalen 
7)Imanan meɣ ərustastan [imanan meɣ ərustastan samednen meɣ aqornen]. 
8)Legumatan ad fruitan win tafrənket [tanzanen/anšanan/kakahuèten/tadəlaq/karitetan/fruitan iyad ən tafərkit]. 
9)Asilay ad haratan iyad ən asilay [asilay samedan/asilay akiren/yaourt/fromage/ad haratan iyad ən asilay].
10)Udiyawan ad tidhonen [Asiwis/beure/margarine/tadhont/udi/udiuawan iyad]
11)Asokar meɣ haratan iha asokar [torawt/konfiture/beiyetan/bonbontan/socolat/biskuitan/patiseritan/gâto ad haratən iyan iha asokar ].
12)Kondimatan [ Kakao/tesimt/ail/épicetan/levure/levure əhimique/tamati meɣ hoy ən tamati/isan meɣ imanan amosnen kondimatan] ad kafi/atay</t>
        </is>
      </c>
      <c r="O162" s="27">
        <f>LEN(N162)</f>
        <v/>
      </c>
      <c r="P162" s="82" t="inlineStr">
        <is>
          <t>Joonin kay miɗo muuya lamndaade maa ƴamɗe banngal neema, so mi adii ley leeraaji 24 keeŋaaji. Miɗo yiɗi cifo-ɗaa neemaaji [neema e neema kuyfuɗo] mo aan maa yoga e koreeji mooɗon nyaami maa yari nder ɓaade keeŋan [ ley leeraaji 24 keeŋaaji : taƴe-kooƴol, mbottaari, hiraanden e neema kuyfuɗo].
[GOLLOOWO: SUƁA SIIJI NEEMAAJI ÑAAMAAƊI NDER LEERAAJI 24 KEEŊAAJI LEY JAABUUJI JAABOTOOƊO ON. JAABUUJI KEEWƊI NA MBAAWI JAƁEEDE].
1)Gafe [mbayeeri/ muutiri/mbammbaari / Alkama / maaro / makorooni / duppe maa gawri keɓeteendi e nder nden nokkuure fuh]. 
2)Ɗaɗi ñaameteeɗi [mbelkoy / pom de teere / Dundu / Roogo maa Ɗaɗi ñaameteeɗi goɗɗi]. 
3)Lu’ooji sardiŋe [fuh]. 
4)Ɓiɓɓe leɗɗe [fuh]. 
5)Teew / ndiwri e teew hoosaare [nagge / ngireewu / jawgel / mbeewa / wojere / daaba ladde / cofal / tonkonoowal / heyre / ɓooƴe / ɓeernde / maa tergal laatiingal fuh]. 
6)Ɓoccooɗe
7)Liƴƴi maa kulle ndiyam [liƴƴi maa kulle ndiyam keccoy maa njoorkoy]. 
8)Fuɗngooji kokkooji lu’ooji e ɓiɓɓe leɗɗe joorɗe [ñebbe / giriije joorɗe / giriije / ñebbe tuubaaku / geeƴi / ɓiɓɓe leɗɗe joorɗe goɗɗe].
9)Kosam e ko ƴuwi e muuɗum [ɓiraaɗam / lammuɗam / yawuuru / nebam na’i / e goɗɗum ƴuwi e kosam].
10)Nebam e ɓelle [neema / nebam tekkuɗam / ɓellere / ɓellere / nebam / nebeele goɗɗe]
11)Sukkara e neemaaji gooduɗi sukkara [ njuumndi / konfitiiri / samsa / bonbonrooje / sokola / biskuwi / gattooje / gattoo e neemaaji goɗɗi sukkaraaji].
12)Lu’ooji [kakawo / lamɗam / layi / coni gatteteeɗe e nder lu’o / dorobi / dorbi simikki / tamaati maa lu’o tamaati / teewu maa liƴƴi gattaaɗi nder lu’o ] e kafe / atte</t>
        </is>
      </c>
      <c r="Q162" s="27">
        <f>LEN(P162)</f>
        <v/>
      </c>
      <c r="R162" s="63" t="inlineStr">
        <is>
          <t>Select All That Apply</t>
        </is>
      </c>
      <c r="S162" s="27" t="inlineStr">
        <is>
          <t>NA</t>
        </is>
      </c>
      <c r="T162" s="27" t="inlineStr">
        <is>
          <t>NA</t>
        </is>
      </c>
      <c r="U162" s="27" t="inlineStr">
        <is>
          <t>Form Type - Checklist</t>
        </is>
      </c>
      <c r="V162" s="42" t="inlineStr">
        <is>
          <t>1)hdds_cereals
2)hdds_rootstubers
3)hdds_vegetables
4)hdds_fruits
5)hdds_meat
6)hdds_eggs
7)hdds_fish
8)hdds_legumes
9)hdds_milkdairy
10)hdds_oils
11)hdds_sugar
12)hdds_condiments</t>
        </is>
      </c>
      <c r="W162" s="64" t="inlineStr">
        <is>
          <t>1-12 = hdds_confirmation</t>
        </is>
      </c>
      <c r="X162" s="319" t="n"/>
      <c r="Y162" s="297" t="inlineStr">
        <is>
          <t>if hdds = 1-12, go to hdds_confirmation</t>
        </is>
      </c>
      <c r="Z162" s="87" t="n"/>
      <c r="AA162" s="66" t="inlineStr">
        <is>
          <t>resp_age = 18-100
hh_agricactivity = 1 | 2 | 3 | 4
quotareached = 2</t>
        </is>
      </c>
      <c r="AB162" s="408" t="n"/>
      <c r="AC162" s="111" t="n">
        <v>72.29513549804688</v>
      </c>
      <c r="AD162" s="374" t="n">
        <v>1</v>
      </c>
      <c r="AE162" s="111">
        <f>AC162*AD162</f>
        <v/>
      </c>
    </row>
    <row r="163" ht="276" customHeight="1">
      <c r="A163" s="92">
        <f>A162+1</f>
        <v/>
      </c>
      <c r="B163" s="93" t="inlineStr">
        <is>
          <t>hdds_confirmation</t>
        </is>
      </c>
      <c r="C163" s="380" t="inlineStr">
        <is>
          <t>hdds_confirmation</t>
        </is>
      </c>
      <c r="D163" s="95"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63" s="96">
        <f>LEN(D163)</f>
        <v/>
      </c>
      <c r="F163" s="51" t="inlineStr">
        <is>
          <t>[OPÉRATEUR/OPÉRATRICE :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ÉTÉ SÉLECTIONNÉS.]
1)CONTINUER</t>
        </is>
      </c>
      <c r="G163" s="96">
        <f>LEN(F163)</f>
        <v/>
      </c>
      <c r="H163" s="409" t="inlineStr">
        <is>
          <t xml:space="preserve">[SƆRƆBATIGI:AW KANA ƝINA KA DUMUNI FIƝƐMANW SƐGƐSƐGƐ, DAMANA BOLOFƐN MINW BE DI DENMISƐNW MA WALA MUSOKƆNƆMANW MA, FƐƐN MIW BE DON DUMUNI UAGAMULENW NA. A LABAN NA, DUMUNI KULU MINW TOGO MA FƆ ƝINI]. 
[NI AW YE SƐGƐSƐGƐLI KƐ KA BA, AW KA NƆCƐ DIGI. N’O TƐ, AW KA LASƆMULI DI KƆFƐ WALISA K4A SƐMƐNTIYA KO BALO DUNTA MINW KOO FƆRA KUNU KA LƐƐRI 24 KƆNƆ BƐƐ SUGANDI LA]. 
1)NƆCƐ </t>
        </is>
      </c>
      <c r="I163" s="96">
        <f>LEN(H163)</f>
        <v/>
      </c>
      <c r="J163" s="409" t="inlineStr">
        <is>
          <t xml:space="preserve">
[BIRƐ MA KŨ BAŋA : KAƝEJ KƐRƐ BE NANA I LA I, URUM (BE)LE KAƝEJ BE ORA, ƝEM BƐRƐGIM LE ORA. KO DUMBO LE KAƝEJ KASAAN BON ɟELI BEJ TƆ̃́ŋƆ́ BA].
[SOJ LUGO ɟƐBE LEJ, KO URO SARA-GARA BE ɟƐ MA MAN LƐɟƐ. GUN PILWE MINE KO LƐRƐ 24 MA GAN KAƝEJ BE ƝE FUU TƆ̃́NƆ SA BE MÀA TAJKAJ JANA].
1)ɟIɟƐ GARA</t>
        </is>
      </c>
      <c r="K163" s="96">
        <f>LEN(J163)</f>
        <v/>
      </c>
      <c r="L163" s="409" t="inlineStr">
        <is>
          <t xml:space="preserve">[HANKAA : ERMU SU DIRGANE KU HANG KGNANRE KETTIEY . KOTIEY NDU WEY BOOREY KANGU YAARI KGANREY , HONKGNEY MAFIIZEY. SEENEY BANDE, CEECU KU BEY IREY KGANREY KAN I MANE CI. 
[AL ER NU BOORA HAN, KARU KOY JIINE BON. AL MATE WO DIINNO KA BANDE KU CEECI KUTABATI KAL IN IREY KGANREY KUL KAN BOORA KGNAN JAARINKYONG GA TUM.].
1)SKOY JIINAA  </t>
        </is>
      </c>
      <c r="M163" s="96">
        <f>LEN(L163)</f>
        <v/>
      </c>
      <c r="N163" s="409" t="inlineStr">
        <is>
          <t>"[EMASESTƏN : WAR HITATIWAM IKETAN ƏN ƏOLLATION, IMƏSIWAN IKNANEN ATIWAFANEN YE ARATAN MEƔ YE DEDEN ASƏMRAWNEN, IZƏDRAZ ƏN AMƏRTAYNEN. ƔOR SAMƏNDO, AMAƔAT GROUƊTAN ƏN IMƏSIWAN WAREN ATIWARƔA. 
AS ARU KATAM, DIYAQITAT FAL AKIYAT. MEƔ, AQƏLATID DǍƔ ASDARAT YE ASƏDƏTUM AS GROUƊTAN KUL ƏN IMƏSIWAN AMƏŠKANEN DǍƔ 24 ƏN ASAƔAT WAN ƏNDIŠEL ATIWƏTKALAN].
1)AKIYAT</t>
        </is>
      </c>
      <c r="O163" s="96">
        <f>LEN(N163)</f>
        <v/>
      </c>
      <c r="P163" s="82" t="inlineStr">
        <is>
          <t>[GOLLOOWO : TAA YEGGITIN HIISAADE NEEMAAJI KUYFUƊI E NEEMAAJI FEEREEJI KOKKETEEƊI SUKAAƁE MAA REWƁE DEBEREEDUƁE, MAAFE NEEMAAJI KAWRITINƊI. E KANTORƊE TON, FILA SIIJI NEEMAAJI ƊI INNDAAKA].
[SONI TAWII ON KIISAKE DUH, NDUƁƁEE DOW YEESO. SO WANAA NOON DUH NDUUƊEE CAGGAL FAA LAAƁNON KEH SIIJI NEEMAAJI ÑAAMAAƊI NDER LEERAAJI 24 KEEŊAAJI ƊIN FUH CUƁAAMA].
1)YEESO</t>
        </is>
      </c>
      <c r="Q163" s="96">
        <f>LEN(P163)</f>
        <v/>
      </c>
      <c r="R163" s="410" t="inlineStr">
        <is>
          <t>Single Choice</t>
        </is>
      </c>
      <c r="S163" s="190" t="inlineStr">
        <is>
          <t>NA</t>
        </is>
      </c>
      <c r="T163" s="190" t="inlineStr">
        <is>
          <t>NA</t>
        </is>
      </c>
      <c r="U163" s="190" t="inlineStr">
        <is>
          <t>Form Type - Buttons</t>
        </is>
      </c>
      <c r="V163" s="191" t="inlineStr">
        <is>
          <t>NA</t>
        </is>
      </c>
      <c r="W163" s="146" t="inlineStr">
        <is>
          <t>1 = fcs_intro</t>
        </is>
      </c>
      <c r="X163" s="319" t="n"/>
      <c r="Y163" s="281" t="inlineStr">
        <is>
          <t>if hdds_confirmation = 1, go to need_1 or other option if other questions are added</t>
        </is>
      </c>
      <c r="Z163" s="147" t="n"/>
      <c r="AA163" s="148" t="inlineStr">
        <is>
          <t>NA</t>
        </is>
      </c>
      <c r="AB163" s="411" t="n"/>
      <c r="AC163" s="111" t="n">
        <v>3.705221891403198</v>
      </c>
      <c r="AD163" s="374" t="n">
        <v>1</v>
      </c>
      <c r="AE163" s="111">
        <f>AC163*AD163</f>
        <v/>
      </c>
    </row>
    <row r="164" ht="120" customHeight="1">
      <c r="A164" s="92">
        <f>A163+1</f>
        <v/>
      </c>
      <c r="B164" s="154" t="inlineStr">
        <is>
          <t>fcs_intro</t>
        </is>
      </c>
      <c r="C164" s="155" t="inlineStr">
        <is>
          <t>fcs_intro</t>
        </is>
      </c>
      <c r="D164" s="412" t="inlineStr">
        <is>
          <t xml:space="preserve">Now I would like to ask you about the foods and drinks your household ate or drank in the last 7 days during the day and at night [breakfast, lunch, dinner, snacks]
1)CONTINUE
</t>
        </is>
      </c>
      <c r="E164" s="156">
        <f>LEN(D164)</f>
        <v/>
      </c>
      <c r="F164" s="412" t="inlineStr">
        <is>
          <t>Je voudrais maintenant vous interroger sur les aliments et les boissons consommés dans votre ménage au cours des 7 derniers jours pendant la journée et la nuit [petit-déjeuner, déjeuner, dîner, collation].
1)CONTINUER</t>
        </is>
      </c>
      <c r="G164" s="156">
        <f>LEN(F164)</f>
        <v/>
      </c>
      <c r="H164" s="28" t="inlineStr">
        <is>
          <t xml:space="preserve">Sisan, ne b’a fɛ k’aw ɲininga aw ka gwaso ka balofɛn ni minifɛn juma de dun wala min tile 7 tɛmɛnin tile fɛ ni suu fɛ [daraka, tilerafana, surafana, dumuni fiɲɛmanw]. 
1)NƆCƐ 
</t>
        </is>
      </c>
      <c r="I164" s="156">
        <f>LEN(H164)</f>
        <v/>
      </c>
      <c r="J164" s="28" t="inlineStr">
        <is>
          <t xml:space="preserve">Ney ge, nǐ 7 dũwõ mi gara bɛrɛ, ninuwõ-i daaga-i kɛw, euro nam kaɲej tɔgu be ɲéra bwʒɔ̃ tɔgu be nɔra ko-i eru uɟuru denem. [ɲeɟe ɲǎ, ninuwo ɲǎ, daaga pana. Iɟi doguru dalawa bee].
1)ɟIɟƐ GARA
</t>
        </is>
      </c>
      <c r="K164" s="156">
        <f>LEN(J164)</f>
        <v/>
      </c>
      <c r="L164" s="28" t="inlineStr">
        <is>
          <t xml:space="preserve">Hinno woo ,  egu baa emhan ,  jirrbuu 7 kan bissa  kanrru ndu haro fo noon er huuwo gnan wal hann ?
1)KOY JIINAA  
</t>
        </is>
      </c>
      <c r="M164" s="156">
        <f>LEN(L164)</f>
        <v/>
      </c>
      <c r="N164" s="28" t="inlineStr">
        <is>
          <t>Amaradǎɣ, arheɣ akawan səstinaɣ indekan išiška ən boisontan wəs alɣayal nawan itatu meɣ isasu ɣur 7 šilan wi dokaynen dǎɣ ašal əd dǎɣ ehad [asijimjim, tarhut, ehad, asidiw].
1)AKIYAT</t>
        </is>
      </c>
      <c r="O164" s="156">
        <f>LEN(N164)</f>
        <v/>
      </c>
      <c r="P164" s="28" t="inlineStr">
        <is>
          <t xml:space="preserve">Jooni miɗo muuya lamndaade-ɗon ɗiye ngoni neemaaji e njaramuuji, ɗi ɓaade mooɗon ñaami maa njari ley ñalaaɗe jeɗɗi cakitiiɗe ɗee nder ñalooma e jemma fuh (ittaari hoyre, pummaari, mbottaari e hiraande).
1)YEESO
</t>
        </is>
      </c>
      <c r="Q164" s="156">
        <f>LEN(P164)</f>
        <v/>
      </c>
      <c r="R164" s="397" t="inlineStr">
        <is>
          <t>Single Choice</t>
        </is>
      </c>
      <c r="S164" s="156" t="inlineStr">
        <is>
          <t>NA</t>
        </is>
      </c>
      <c r="T164" s="156" t="inlineStr">
        <is>
          <t>NA</t>
        </is>
      </c>
      <c r="U164" s="156" t="inlineStr">
        <is>
          <t>Form Type - Buttons</t>
        </is>
      </c>
      <c r="V164" s="413" t="inlineStr">
        <is>
          <t>NA</t>
        </is>
      </c>
      <c r="W164" s="87" t="inlineStr">
        <is>
          <t>1 = fcs_staple_days</t>
        </is>
      </c>
      <c r="X164" s="325" t="n"/>
      <c r="Y164" s="138" t="inlineStr">
        <is>
          <t>if fcs_intro = 1, go to fcs_staple_days</t>
        </is>
      </c>
      <c r="Z164" s="87" t="n"/>
      <c r="AA164" s="66" t="inlineStr">
        <is>
          <t>resp_age = 18-100
hh_agricactivity = 1 | 2 | 3 | 4
quotareached = 2</t>
        </is>
      </c>
      <c r="AB164" s="414" t="n"/>
      <c r="AC164" s="45" t="n"/>
      <c r="AD164" s="280" t="n">
        <v>1</v>
      </c>
      <c r="AE164" s="45">
        <f>AC164*AD164</f>
        <v/>
      </c>
    </row>
    <row r="165" ht="151.5" customHeight="1">
      <c r="A165" s="92">
        <f>A164+1</f>
        <v/>
      </c>
      <c r="B165" s="154" t="inlineStr">
        <is>
          <t>fcs_staple_days</t>
        </is>
      </c>
      <c r="C165" s="155" t="inlineStr">
        <is>
          <t>fcs_staple_days</t>
        </is>
      </c>
      <c r="D165" s="412"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65" s="156">
        <f>LEN(D165)</f>
        <v/>
      </c>
      <c r="F165" s="412" t="inlineStr">
        <is>
          <t>Combien de fois [en nombre de jours] au cours des 7 derniers jours, les membres de votre foyer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65" s="156">
        <f>LEN(F165)</f>
        <v/>
      </c>
      <c r="H165" s="28" t="inlineStr">
        <is>
          <t>Tile joli tile 7 nin kɔnɔ, aw ka gwaso mɔgɔw ye balofɛn, dili wala fɛɛnbeleketaw dun i n’a fɔ malo, kaba, buuru, bibbiri, komitɛri, ɲɔɔ, kuu, banaku, masaku jɛman? . 
[SƆRƆBATIGI:LOONDAW SɛBɛ 0 - 7] 
[LAADILI: N’U YE MIN DUN MAN CA DON, KANA U FARA U KAN.]</t>
        </is>
      </c>
      <c r="I165" s="156">
        <f>LEN(H165)</f>
        <v/>
      </c>
      <c r="J165" s="28" t="inlineStr">
        <is>
          <t>Nǐ 7 dũwõ mi gara bɛrɛ, nǐ aaŋa uro nam (be), kaɲey nuŋo be ɟin ɲé ba, ara, porowo-ɲǔ espagati, buru, ɛ̀mɛ́, ɲǔ, póm-d-tɛ́rû, kû, bánákû, wósô?
[BIRƐ MA KŨ BANA : KO NILUGO TƆ̃NƆ̃ 0- 7] 
[SƐƐRƐ : KÒ KAAƝEY BÈ ƝÉ TƐ̃Y-KƆ LEY, TƆNƆ̃Y LAY].</t>
        </is>
      </c>
      <c r="K165" s="156">
        <f>LEN(J165)</f>
        <v/>
      </c>
      <c r="L165" s="28" t="inlineStr">
        <is>
          <t xml:space="preserve">Jiirbuu 7 woo kan bissa , dJiirbuu mardjaii noo er huu woo borey gnan hamnow, linnto sindey mua, kolgoto, patto, buuro, heyno, pomm d teero, duundo, rokkga, koudakka 
[HANKAA : HANTUM JAARIGNEY DIMMA 0-7 ]
[DEEDENDIYONO : HALA NAARO SU BA HENNEY, BOR MU SU A DAN]. </t>
        </is>
      </c>
      <c r="M165" s="156">
        <f>LEN(L165)</f>
        <v/>
      </c>
      <c r="N165" s="28" t="inlineStr">
        <is>
          <t>Maniket išilan ɣur dǎɣ 7 hadan wi dokaynen, adinat ən alɣayal nawan samos iškanti ən feəulentan, ən azaran ən tuberəuletan atamosan tafaɣat, kamanari, buru, aboraɣ, enale, ɗomme de ter, takindid, rogo, kidako?. 
[AMASESTƏN: SAQAYMU HADI ƏN SHILAN ƔUR 0-7]
[ASINIMIHIL : AFAL AWA AMIŠKAN EQAL ANTIKAN, WARTITIGEM].</t>
        </is>
      </c>
      <c r="O165" s="156">
        <f>LEN(N165)</f>
        <v/>
      </c>
      <c r="P165" s="28" t="inlineStr">
        <is>
          <t>Ñalaaɗe foti ley ñalaaɗe 7 cakitiiɗe ɗee, yimɓe ɓaade mooɗon ñaami conndi, ɗaɗi, maaro, mbammbaari, ñiiri, duppe, mbayeeri, muutiri, pom de teere, dunndu, roogo, mbelkoy ?
[GOLLOOWO : WINNDU AYKA ÑALAAƊE ƊEN 0-7]
[TAYKA : SO NYAAMDU NDUN NA FAMƊI FUH, TAA WINNDEE].</t>
        </is>
      </c>
      <c r="Q165" s="156">
        <f>LEN(P165)</f>
        <v/>
      </c>
      <c r="R165" s="397" t="inlineStr">
        <is>
          <t>Range</t>
        </is>
      </c>
      <c r="S165" s="156" t="inlineStr">
        <is>
          <t>NA</t>
        </is>
      </c>
      <c r="T165" s="156" t="inlineStr">
        <is>
          <t>NA</t>
        </is>
      </c>
      <c r="U165" s="156" t="inlineStr">
        <is>
          <t>Form Type - TextBox</t>
        </is>
      </c>
      <c r="V165" s="413" t="inlineStr">
        <is>
          <t>NA</t>
        </is>
      </c>
      <c r="W165" s="87" t="inlineStr">
        <is>
          <t>0-7 = fcs_pulses_days</t>
        </is>
      </c>
      <c r="X165" s="325" t="n"/>
      <c r="Y165" s="138" t="inlineStr">
        <is>
          <t>For any response, go to fcs_pulses_days</t>
        </is>
      </c>
      <c r="Z165" s="87" t="n"/>
      <c r="AA165" s="66" t="inlineStr">
        <is>
          <t>resp_age = 18-100
hh_agricactivity = 1 | 2 | 3 | 4
quotareached = 2</t>
        </is>
      </c>
      <c r="AB165" s="718" t="n"/>
      <c r="AC165" s="45" t="n">
        <v>17</v>
      </c>
      <c r="AD165" s="280" t="n">
        <v>1</v>
      </c>
      <c r="AE165" s="45">
        <f>AC165*AD165</f>
        <v/>
      </c>
    </row>
    <row r="166" ht="148.5" customHeight="1">
      <c r="A166" s="92">
        <f>A165+1</f>
        <v/>
      </c>
      <c r="B166" s="154" t="inlineStr">
        <is>
          <t>fcs_pulses_days</t>
        </is>
      </c>
      <c r="C166" s="155" t="inlineStr">
        <is>
          <t>fcs_pulses_days</t>
        </is>
      </c>
      <c r="D166" s="412" t="inlineStr">
        <is>
          <t>How many days over the last 7 days, did members of your household eat pulses and nuts such as beans, lentils, cowpeas, soybean, pigeon peas and peanuts or other nuts?
[OPERATOR: RECORD NUMBER OF DAYS 0 - 7]
[HINT: IF CONSUMED ONLY IN SMALL QUANTITY, DO NOT INCLUDE.]</t>
        </is>
      </c>
      <c r="E166" s="156">
        <f>LEN(D166)</f>
        <v/>
      </c>
      <c r="F166" s="412" t="inlineStr">
        <is>
          <t>Combien de fois [en nombre de jours] au cours des 7 derniers jours, les membres de votre foyer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66" s="156">
        <f>LEN(F166)</f>
        <v/>
      </c>
      <c r="H166" s="28" t="inlineStr">
        <is>
          <t>Tile joli tile 7 nin kɔnɔ,aw ka gwaso mɔgɔw ye yiridenw dun ani kisɛman fɛɛnw i n’a fɔ sɔsɔ, tubabu sɔsɔ, sɔsɔjɛ, soza, puwadangɔli ni tiga wala yiriden wɛrɛw faralaman? 
[SƆRƆBATIGI:LOONDAW SɛBɛ 0 - 7] 
[LAADILI: N’U YE MIN DUN MAN CA DON, KANA U FARA U KAN.]</t>
        </is>
      </c>
      <c r="I166" s="156">
        <f>LEN(H166)</f>
        <v/>
      </c>
      <c r="J166" s="28" t="inlineStr">
        <is>
          <t>Nǐ 7 dũwõ mi gara bɛrɛ, nǐ aaŋa uro nam (be), tĩwẽ bɔrɔ bee tĩwẽ ʔi kow sâ bee ɲé bà, nîm, lantij, ɲebe, soʒa, ɛ̀ɛrɛ́, ɟuwõ-ɛ́rɛ̂, maa tĩwẽ ʔi kow sâ laga bee?
[BIRƐ MA KŨ BANA : KO NILUGO TƆ̃NƆ̃ 0- 7] 
[SƐƐRƐ : KÒ KAAƝEY BÈ ƝÉ TƐ̃Y-KƆ LEY, TƆNƆ̃Y LAY].</t>
        </is>
      </c>
      <c r="K166" s="156">
        <f>LEN(J166)</f>
        <v/>
      </c>
      <c r="L166" s="28" t="inlineStr">
        <is>
          <t xml:space="preserve">Jiirbu  i7 woo kan bissa, dJiirbuu mardjaii noo er huu woo borey gnan kanroo tourey izzey ndu tourizey sindey, dunguro, lentillo, niebbe, sooja, tuuzun niebbe ndu sunkaami wal albina fo yong. 
[HANKAA : HANTUM JAARIGNEY DIMMA 0-7 ]
[DEEDENDIYONO : HALA NAARO SU BA HENNEY, BOR MU SU A DAN]. </t>
        </is>
      </c>
      <c r="M166" s="156">
        <f>LEN(L166)</f>
        <v/>
      </c>
      <c r="N166" s="28" t="inlineStr">
        <is>
          <t>Maniket šilan ɣur dǎɣ 7 šilan wi dokaynen, adinat ən amazaɣ  nawan aškan dǎɣ legumeusetan əd samban ən tifrinke atamosan tanzant. Lentilletan, niebetan, soja, anšanan wi Angola əd sunkam meɣ iyad isamban ən tinfrinkawen?
[AMASESTƏN: SAQAYMU HADI ƏN SHILAN ƔUR 0-7]
[ASINIMIHIL : AFAL AWA AMIŠKAN EQAL ANTIKAN, WARTITIGEM].</t>
        </is>
      </c>
      <c r="O166" s="156">
        <f>LEN(N166)</f>
        <v/>
      </c>
      <c r="P166" s="28" t="inlineStr">
        <is>
          <t>Ñalaaɗe foti ley ñalaaɗe 7 cakitiiɗe ɗee, yimɓe ɓaade mooɗon ñaami fuɗngooji kokkooji lu’ooji e ɓiɓɓe leɗɗe joorɗe hono ñebbe, ñebboy tuubaaku, ñebbe, sooja, powa Danngole e giriije maa ɓiɓɓe joorɗe goɗɗe ?
[GOLLOOWO : WINNDU AYKA ÑALAAƊE ƊEN 0-7]
[TAYKA : SO NYAAMDU NDUN NA FAMƊI FUH, TAA WINNDEE].</t>
        </is>
      </c>
      <c r="Q166" s="156">
        <f>LEN(P166)</f>
        <v/>
      </c>
      <c r="R166" s="397" t="inlineStr">
        <is>
          <t>Range</t>
        </is>
      </c>
      <c r="S166" s="156" t="inlineStr">
        <is>
          <t>NA</t>
        </is>
      </c>
      <c r="T166" s="156" t="inlineStr">
        <is>
          <t>NA</t>
        </is>
      </c>
      <c r="U166" s="156" t="inlineStr">
        <is>
          <t>Form Type - TextBox</t>
        </is>
      </c>
      <c r="V166" s="413" t="inlineStr">
        <is>
          <t>NA</t>
        </is>
      </c>
      <c r="W166" s="87" t="inlineStr">
        <is>
          <t>0-7 = fcs_vegetables_days</t>
        </is>
      </c>
      <c r="X166" s="325" t="n"/>
      <c r="Y166" s="138" t="inlineStr">
        <is>
          <t>For any response, go to fcs_veg_days</t>
        </is>
      </c>
      <c r="Z166" s="87" t="n"/>
      <c r="AA166" s="66" t="inlineStr">
        <is>
          <t>resp_age = 18-100
hh_agricactivity = 1 | 2 | 3 | 4
quotareached = 2</t>
        </is>
      </c>
      <c r="AB166" s="718" t="n"/>
      <c r="AC166" s="45" t="n">
        <v>17</v>
      </c>
      <c r="AD166" s="280" t="n">
        <v>1</v>
      </c>
      <c r="AE166" s="45">
        <f>AC166*AD166</f>
        <v/>
      </c>
    </row>
    <row r="167" ht="182.25" customHeight="1">
      <c r="A167" s="92">
        <f>A166+1</f>
        <v/>
      </c>
      <c r="B167" s="154" t="inlineStr">
        <is>
          <t>fcs_vegetables_days</t>
        </is>
      </c>
      <c r="C167" s="155" t="inlineStr">
        <is>
          <t>fcs_vegetables_days</t>
        </is>
      </c>
      <c r="D167" s="446" t="inlineStr">
        <is>
          <t>How many days over the last 7 days, did members of your household eat vegetables or leaves such as Tomates, Concombre, Poivron and/or other leaves/vegetables?
[OPERATOR: RECORD NUMBER OF DAYS 0 - 7] 
[HINT: IF CONSUMED ONLY IN SMALL QUANTITY, DO NOT INCLUDE.]</t>
        </is>
      </c>
      <c r="E167" s="156">
        <f>LEN(D167)</f>
        <v/>
      </c>
      <c r="F167" s="412" t="inlineStr">
        <is>
          <t>Combien de fois [en nombre de jours] au cours des 7 derniers jours, les membres de votre foyer ont-ils mangé des légumes ou des feuilles tels que des Laitue, tomate, echalotte, choux-fleur et/ou d'autres feuilles/légumes?
[OPÉRATEUR/OPÉRATRICE: SAISIR LE NOMBRE DE JOURS DE 0 À 7.]
[CONSEIL : SI CONSOMMÉ UNIQUEMENT EN PETITE QUANTITÉ, NE PAS INCLURE.]</t>
        </is>
      </c>
      <c r="G167" s="156">
        <f>LEN(F167)</f>
        <v/>
      </c>
      <c r="H167" s="159" t="inlineStr">
        <is>
          <t>Tile 7 tɛmɛni kɔ, tile joli lo aw gwasomɔgɔ ye nankɔfɛn wala bulu ko salati, tomato, esaloti, su-filɛri ani/wala bulu wɛrɛ/nankɔfɛn wɛrɛ?
[SƆRƆBATIGI:LOONDAW SɛBɛ 0 - 7]
[LAADILI: N’U YE MIN DUN MAN CA DON, KANA U FARA U KAN.]</t>
        </is>
      </c>
      <c r="I167" s="156">
        <f>LEN(H167)</f>
        <v/>
      </c>
      <c r="J167" s="159" t="inlineStr">
        <is>
          <t>Nii sũy dũwõ nuŋo bɛ̀rɛ̀, nii aaŋa kò uro-nam tĩwẽ bɔrɔ mà kaaɲey máa tĩwẽ kurɔ hɔnɔ salaatu tɔɔn, tamaatu tɔɔn, lay tɔɔn, sú-pɛlɛru màa tĩwẽ kurɔ/tĩwẽ bɔrɔ mà kaaɲey laga bé?
[SƆRƆBATIGI:LOONDAW SɛBɛ 0 - 7]
[SƐƐRƐ: KÒ KAAƝEY BÈ ƝÉ TƐ̃Y-KƆ LEY, TƆNƆ̃Y LAY].</t>
        </is>
      </c>
      <c r="K167" s="156">
        <f>LEN(J167)</f>
        <v/>
      </c>
      <c r="L167" s="159" t="inlineStr">
        <is>
          <t xml:space="preserve">Jirbu iyya ga jirbu ce marje er huborey nu kelo dumiizey ŋa wala bine koptey sanda salaaduyoŋ, tamantuyoŋ, esalottey, sufuleerey ndu/ wala koptey/ keldumiize foyoŋ?
[SƆRƆBATIGI:LOONDAW SɛBɛ 0 - 7]
[DEEDENDIYONO : HALA NAARO SU BA HENNEY, BOR MU SU A DAN]. </t>
        </is>
      </c>
      <c r="M167" s="156">
        <f>LEN(L167)</f>
        <v/>
      </c>
      <c r="N167" s="159" t="inlineStr">
        <is>
          <t>Maniket šilan, ɣur dǎɣ 7 šilan wi dokaynen, adinat ən amazaɣ nawan ad iškan dǎɣ legumtan meɣ ilatan atamosan salad, tomati, ešalote, əhu əd/ meɣ iyad ilatan/legumtan?
[SƆRƆBATIGI:LOONDAW SɛBɛ 0 - 7]
[ASINIMIHIL : AFAL AWA AMIŠKAN EQAL ANTIKAN, WARTITIGEM].</t>
        </is>
      </c>
      <c r="O167" s="156">
        <f>LEN(N167)</f>
        <v/>
      </c>
      <c r="P167" s="159" t="inlineStr">
        <is>
          <t>Nyalaaɗe foti ley jeɗɗiire sakitiinde ndee yimɓe ɓaade mooɗon nyaami leɗɗe sardiŋe maa haakooji hono letti, tamaati, esalot e/maa haakooji goɗɗi /haakooji sardiŋe? 
[SƆRƆBATIGI:LOONDAW SɛBɛ 0 - 7]
[TAYKA : SO NYAAMDU NDUN NA FAMƊI FUH, TAA WINNDEE].</t>
        </is>
      </c>
      <c r="Q167" s="156">
        <f>LEN(P167)</f>
        <v/>
      </c>
      <c r="R167" s="397" t="inlineStr">
        <is>
          <t>Range</t>
        </is>
      </c>
      <c r="S167" s="156" t="inlineStr">
        <is>
          <t>NA</t>
        </is>
      </c>
      <c r="T167" s="156" t="inlineStr">
        <is>
          <t>NA</t>
        </is>
      </c>
      <c r="U167" s="156" t="inlineStr">
        <is>
          <t>Form Type - TextBox</t>
        </is>
      </c>
      <c r="V167" s="413" t="inlineStr">
        <is>
          <t>NA</t>
        </is>
      </c>
      <c r="W167" s="87" t="inlineStr">
        <is>
          <t>0-7 = fcs_fruit_days</t>
        </is>
      </c>
      <c r="X167" s="544" t="n"/>
      <c r="Y167" s="138" t="inlineStr">
        <is>
          <t>For any response, go to fcs_fruit_days</t>
        </is>
      </c>
      <c r="Z167" s="87" t="n"/>
      <c r="AA167" s="66" t="inlineStr">
        <is>
          <t>resp_age = 18-100
hh_agricactivity = 1 | 2 | 3 | 4
quotareached = 2</t>
        </is>
      </c>
      <c r="AB167" s="718" t="n"/>
      <c r="AC167" s="45" t="n">
        <v>17</v>
      </c>
      <c r="AD167" s="280" t="n">
        <v>1</v>
      </c>
      <c r="AE167" s="45">
        <f>AC167*AD167</f>
        <v/>
      </c>
    </row>
    <row r="168" ht="132.75" customHeight="1">
      <c r="A168" s="92">
        <f>A167+1</f>
        <v/>
      </c>
      <c r="B168" s="154" t="inlineStr">
        <is>
          <t>fcs_fruit_days</t>
        </is>
      </c>
      <c r="C168" s="155" t="inlineStr">
        <is>
          <t>fcs_fruit_days</t>
        </is>
      </c>
      <c r="D168" s="412" t="inlineStr">
        <is>
          <t>How many days over the last 7 days, did members of your household eat fruits such as Oranges, mangoes, bananas and/or other fruits?
[OPERATOR: RECORD NUMBER OF DAYS 0 - 7]
[HINT: IF CONSUMED ONLY IN SMALL QUANTITY, DO NOT INCLUDE.]</t>
        </is>
      </c>
      <c r="E168" s="156">
        <f>LEN(D168)</f>
        <v/>
      </c>
      <c r="F168" s="412" t="inlineStr">
        <is>
          <t>Combien de fois [en nombre de jours] au cours des 7 derniers jours, les membres de votre foyer ont-ils mangé des fruits tels que des Oranges, mangoes, bananas et/ou d'autres fruits?
[OPÉRATEUR/OPÉRATRICE: SAISIR LE NOMBRE DE JOURS DE 0 À 7.]
[CONSEIL : SI CONSOMMÉ UNIQUEMENT EN PETITE QUANTITÉ, NE PAS INCLURE.]</t>
        </is>
      </c>
      <c r="G168" s="156">
        <f>LEN(F168)</f>
        <v/>
      </c>
      <c r="H168" s="28" t="inlineStr">
        <is>
          <t>Tile joli tile 7 nin kɔnɔ, aw ka gwaso mɔgɔw ye ye yiridenw dun i n’a fɔ lɛmuruba, mangoro, namasa ni/ wala yiriden wɛrɛw? 
[SƆRƆBATIGI:LOONDAW SɛBɛ 0 - 7] 
[LAADILI: N’U YE MIN DUN MAN CA DON, KANA U FARA U KAN.]</t>
        </is>
      </c>
      <c r="I168" s="156">
        <f>LEN(H168)</f>
        <v/>
      </c>
      <c r="J168" s="28" t="inlineStr">
        <is>
          <t>Nǐ 7 dũwõ mi gara bɛrɛ, nǐ aaŋa uro nam (be), tĩwẽ ʔi ɲé bà, ɔ̃rɔ̃su, mãŋgóró, banan maa maa ko tɔɔ laga bee?
[BIRƐ MA KŨ BANA : KO NILUGO TƆ̃NƆ̃ 0- 7] 
[SƐƐRƐ : KÒ KAAƝEY BÈ ƝÉ TƐ̃Y-KƆ LEY, TƆNƆ̃Y LAY].</t>
        </is>
      </c>
      <c r="K168" s="156">
        <f>LEN(J168)</f>
        <v/>
      </c>
      <c r="L168" s="28" t="inlineStr">
        <is>
          <t xml:space="preserve">Jiirbu 7 woo kan bissa , dJiirbuu mardjaii noo er huu woo borey gnan tuuro izey sindey oranzo, manga, banano ndu / wal tuuro izzuu foo yoon ?
[HANKAA : HANTUM JAARIGNEY DIMMA 0-7 ]
[DEEDENDIYONO : HALA NAARO SU BA HENNEY, BOR MU SU A DAN]. </t>
        </is>
      </c>
      <c r="M168" s="156">
        <f>LEN(L168)</f>
        <v/>
      </c>
      <c r="N168" s="28" t="inlineStr">
        <is>
          <t>Maniket šilan ɣur dǎɣ 7 šilan wi dokaynen, adinat ən amazaɣ nawan aškan dǎɣ samban atamosnen organetan, mangorotan, banantan əd/meɣ iyad isamban ?
[AMASESTƏN: SAQAYMU HADI ƏN SHILAN ƔUR 0-7]
[ASINIMIHIL : AFAL AWA AMIŠKAN EQAL ANTIKAN, WARTITIGEM].</t>
        </is>
      </c>
      <c r="O168" s="156">
        <f>LEN(N168)</f>
        <v/>
      </c>
      <c r="P168" s="28" t="inlineStr">
        <is>
          <t>Ñalaaɗe foti ley ñalaaɗe 7 cakitiiɗe ɗee, yimɓe ɓaade mooɗon ñaami ɓiɓɓe leɗɗe hono oransi, manngoro, banaana e/maa ɓiɓɓe leɗɗe goɗɗe ?
[GOLLOOWO : WINNDU AYKA ÑALAAƊE ƊEN 0-7]
[TAYKA : SO NYAAMDU NDUN NA FAMƊI FUH, TAA WINNDEE].</t>
        </is>
      </c>
      <c r="Q168" s="156">
        <f>LEN(P168)</f>
        <v/>
      </c>
      <c r="R168" s="397" t="inlineStr">
        <is>
          <t>Range</t>
        </is>
      </c>
      <c r="S168" s="156" t="inlineStr">
        <is>
          <t>NA</t>
        </is>
      </c>
      <c r="T168" s="156" t="inlineStr">
        <is>
          <t>NA</t>
        </is>
      </c>
      <c r="U168" s="156" t="inlineStr">
        <is>
          <t>Form Type - TextBox</t>
        </is>
      </c>
      <c r="V168" s="413" t="inlineStr">
        <is>
          <t>NA</t>
        </is>
      </c>
      <c r="W168" s="87" t="inlineStr">
        <is>
          <t>0-7 = fcs_meat_fish_days</t>
        </is>
      </c>
      <c r="X168" s="325" t="n"/>
      <c r="Y168" s="138" t="inlineStr">
        <is>
          <t>For any response, go to fcs_meat_fish_days</t>
        </is>
      </c>
      <c r="Z168" s="87" t="n"/>
      <c r="AA168" s="66" t="inlineStr">
        <is>
          <t>resp_age = 18-100
hh_agricactivity = 1 | 2 | 3 | 4
quotareached = 2</t>
        </is>
      </c>
      <c r="AB168" s="718" t="n"/>
      <c r="AC168" s="45" t="n">
        <v>17</v>
      </c>
      <c r="AD168" s="280" t="n">
        <v>1</v>
      </c>
      <c r="AE168" s="45">
        <f>AC168*AD168</f>
        <v/>
      </c>
    </row>
    <row r="169" ht="157.5" customHeight="1">
      <c r="A169" s="92">
        <f>A168+1</f>
        <v/>
      </c>
      <c r="B169" s="154" t="inlineStr">
        <is>
          <t>fcs_meat_fish_days</t>
        </is>
      </c>
      <c r="C169" s="155" t="inlineStr">
        <is>
          <t>fcs_meat_fish_days</t>
        </is>
      </c>
      <c r="D169" s="412"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69" s="156">
        <f>LEN(D169)</f>
        <v/>
      </c>
      <c r="F169" s="412" t="inlineStr">
        <is>
          <t>Combien de fois [en nombre de jours] au cours des 7 derniers jours, les membres de votre foyer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69" s="156">
        <f>LEN(F169)</f>
        <v/>
      </c>
      <c r="H169" s="28" t="inlineStr">
        <is>
          <t xml:space="preserve"> Tile joli tile 7 nin kɔnɔ,aw ka gwaso mɔgɔw ye sogo dun ni faan wala jɛgɛ [sogo wala jɛgɛ sugu bɛɛ, ka suruntuw far’a kan, kɔnɔw, kongosogo, jikɔnɔfɛnw wala kɔnɔnafɛnw]? 
[SƆRƆBATIGI:LOONDAW SɛBɛ 0 - 7] 
[LAADILI: N’U YE MIN DUN MAN CA DON, KANA U FARA U KAN.]</t>
        </is>
      </c>
      <c r="I169" s="156">
        <f>LEN(H169)</f>
        <v/>
      </c>
      <c r="J169" s="28" t="inlineStr">
        <is>
          <t>Nǐ 7 dũwõ mi gara bɛrɛ, nǐ aaŋa uro nam (be), nɔwɔ̃, cɛ̀-tárú, iiɟu, kǒ bà [nɔwɔ̃ maa iiɟu ma tɔguu fuu jɛ kun, hal cicɛ bee saaɟĩ, eɟu nɔwɔ̃ nibaa bɛrɛ ma tĩwẽ ʔi maa asɛgɛ dɔrɔ be]?
[BIRƐ MA KŨ BANA : KO NILUGO TƆ̃NƆ̃ 0- 7] 
[SƐƐRƐ : KÒ KAAƝEY BÈ ƝÉ TƐ̃Y-KƆ LEY, TƆNƆ̃Y LAY].</t>
        </is>
      </c>
      <c r="K169" s="156">
        <f>LEN(J169)</f>
        <v/>
      </c>
      <c r="L169" s="28" t="inlineStr">
        <is>
          <t xml:space="preserve">Jiirbu 7 woo kan bissa, Jiirbuu mardjaii noo er huu woo borey gnan hammo, guuro wal hamiisa [basi kul wal hamiisa kul, gangam, cirawey ganji basi, albaharu haya]?
[HANKAA : HANTUM JAARIGNEY DIMMA 0-7 ]
[DEEDENDIYONO : HALA NAARO SU BA HENNEY, BOR MU SU A DAN]. </t>
        </is>
      </c>
      <c r="M169" s="156">
        <f>LEN(L169)</f>
        <v/>
      </c>
      <c r="N169" s="28" t="inlineStr">
        <is>
          <t>Maniket šilan ɣur dǎɣ 7 šilan wi dokaynen, adinat ən amazaɣ nawan aškan dǎɣ isan, ən təsadalen meɣ imanan [hadi ən isan dak meɣ imanan, dǎɣ ahan ɣišiširan, igdad, isan win finta, isamban wi eganš meɣ ən təɣiswen] ?
[AMASESTƏN: SAQAYMU HADI ƏN SHILAN ƔUR 0-7]
[ASINIMIHIL : AFAL AWA AMIŠKAN EQAL ANTIKAN, WARTITIGEM].</t>
        </is>
      </c>
      <c r="O169" s="156">
        <f>LEN(N169)</f>
        <v/>
      </c>
      <c r="P169" s="28" t="inlineStr">
        <is>
          <t>Ñalaaɗe foti ley ñalaaɗe 7 cakitiiɗe ɗee, yimɓe ɓaade mooɗon ñaami teewu, boppaaɗe maa liƴƴi [ faa tawti e kuukoy piirohoy, pooli, teewu kuukoy ladde, ɓiɓɓe leɗɗe maayo, maa terɗe] ?
[GOLLOOWO : WINNDU AYKA ÑALAAƊE ƊEN 0-7]
[TAYKA : SO NYAAMDU NDUN NA FAMƊI FUH, TAA WINNDEE].</t>
        </is>
      </c>
      <c r="Q169" s="156">
        <f>LEN(P169)</f>
        <v/>
      </c>
      <c r="R169" s="397" t="inlineStr">
        <is>
          <t>Range</t>
        </is>
      </c>
      <c r="S169" s="156" t="inlineStr">
        <is>
          <t>NA</t>
        </is>
      </c>
      <c r="T169" s="156" t="inlineStr">
        <is>
          <t>NA</t>
        </is>
      </c>
      <c r="U169" s="156" t="inlineStr">
        <is>
          <t>Form Type - TextBox</t>
        </is>
      </c>
      <c r="V169" s="413" t="inlineStr">
        <is>
          <t>NA</t>
        </is>
      </c>
      <c r="W169" s="87" t="inlineStr">
        <is>
          <t>0-7 = fcs_dairy_days</t>
        </is>
      </c>
      <c r="X169" s="325" t="n"/>
      <c r="Y169" s="138" t="inlineStr">
        <is>
          <t>For any response, go to fcs_dairy_days</t>
        </is>
      </c>
      <c r="Z169" s="87" t="n"/>
      <c r="AA169" s="66" t="inlineStr">
        <is>
          <t>resp_age = 18-100
hh_agricactivity = 1 | 2 | 3 | 4
quotareached = 2</t>
        </is>
      </c>
      <c r="AB169" s="718" t="n"/>
      <c r="AC169" s="45" t="n">
        <v>17</v>
      </c>
      <c r="AD169" s="280" t="n">
        <v>1</v>
      </c>
      <c r="AE169" s="45">
        <f>AC169*AD169</f>
        <v/>
      </c>
    </row>
    <row r="170" ht="140" customHeight="1">
      <c r="A170" s="92">
        <f>A169+1</f>
        <v/>
      </c>
      <c r="B170" s="154" t="inlineStr">
        <is>
          <t>fcs_dairy_days</t>
        </is>
      </c>
      <c r="C170" s="155" t="inlineStr">
        <is>
          <t>fcs_dairy_days</t>
        </is>
      </c>
      <c r="D170" s="412"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70" s="156">
        <f>LEN(D170)</f>
        <v/>
      </c>
      <c r="F170" s="412"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70" s="156">
        <f>LEN(F170)</f>
        <v/>
      </c>
      <c r="H170" s="28" t="inlineStr">
        <is>
          <t>Tile joli tile 7 nin kɔnɔ, aw ka gwaso mɔgɔw ye nɔnɔ kɛnɛ min, nɔnɔ kumu, yawuri, naare wala fɛɛn wɛrɛ min bɔra nɔnɔ la? [ka marigarini senbɔ la/ tulugiliman ani nɔnɔ fitinin tee/ kafe kama]. 
[SƆRƆBATIGI:LOONDAW SɛBɛ 0 - 7] 
[LAADILI: N’U YE MIN DUN MAN CA DON, KANA U FARA U KAN.]</t>
        </is>
      </c>
      <c r="I170" s="156">
        <f>LEN(H170)</f>
        <v/>
      </c>
      <c r="J170" s="28" t="inlineStr">
        <is>
          <t xml:space="preserve">
Nǐ 7 dũwõ mi gara bɛrɛ, nǐ aaŋa uro nam (be), ɛ̂m kóró, ɛ̂m irɛ, jáwúrù, ɛ̂m le kaɲej be céenè ɲé bà, maa ɛ̂m ma kaɲej ko tãŋã sa kɛw?  Cɛ sěgù/naŋa naaru, maa ɛ̂m daga-daga kafa bee tej bee be kunara be kuno bà.
[BIRƐ MA KŨ BANA : KO NILUGO TƆ̃NƆ̃ 0- 7] 
[SƐƐRƐ : KÒ KAAƝEY BÈ ƝÉ TƐ̃Y-KƆ LEY, TƆNƆ̃Y LAY].</t>
        </is>
      </c>
      <c r="K170" s="156">
        <f>LEN(J170)</f>
        <v/>
      </c>
      <c r="L170" s="28" t="inlineStr">
        <is>
          <t xml:space="preserve">Jiirbu 7 woo kan bissa, dJiirbuu mardjaii noo er huu woo borey gnan waa yeynna, waa hoota, yawouro, fromaajo, wayya [djiiyo ndu duu iizey foo yong kan gon duu waaya wal atay/ kafaa].. 
[HANKAA : HANTUM JAARIGNEY DIMMA 0-7 ]
[DEEDENDIYONO : HALA NAARO SU BA HENNEY, BOR MU SU A DAN]. </t>
        </is>
      </c>
      <c r="M170" s="156">
        <f>LEN(L170)</f>
        <v/>
      </c>
      <c r="N170" s="28" t="inlineStr">
        <is>
          <t>Maniket šilan ɣur dǎɣ 7 šilan wi dokaynen, adinat ən amazaɣ nawan tatan dǎɣ aɣ, dǎɣ asilay, dǎɣ yaourt, dǎɣ fromage meɣ dǎɣ iyad harata ən aɣ ? [Dǎɣ warahen margarinetan/udi meɣ iɣawan wi andiratnen ye atay/kafi].
[AMASESTƏN: SAQAYMU HADI ƏN SHILAN ƔUR 0-7]
[ASINIMIHIL : AFAL AWA AMIŠKAN EQAL ANTIKAN, WARTITIGEM].</t>
        </is>
      </c>
      <c r="O170" s="156">
        <f>LEN(N170)</f>
        <v/>
      </c>
      <c r="P170" s="28" t="inlineStr">
        <is>
          <t>Ñalaaɗe foti ley ñalaaɗe 7 cakitiiɗe ɗee, yimɓe ɓaade mooɗon ñaami ɓiraaɗam, ɗaaniiɗam, yawuuru, nebam maa goɗɗum ko ƴuwi e kosam ? [Ko baka ɓellere/nebam tekkuɗam maa kosam seeɗa ngatteteeɗam atte/kafe walaa].
[GOLLOOWO : WINNDU AYKA ÑALAAƊE ƊEN 0-7]
[TAYKA : SO NYAAMDU NDUN NA FAMƊI FUH, TAA WINNDEE].</t>
        </is>
      </c>
      <c r="Q170" s="156">
        <f>LEN(P170)</f>
        <v/>
      </c>
      <c r="R170" s="397" t="inlineStr">
        <is>
          <t>Range</t>
        </is>
      </c>
      <c r="S170" s="156" t="inlineStr">
        <is>
          <t>NA</t>
        </is>
      </c>
      <c r="T170" s="156" t="inlineStr">
        <is>
          <t>NA</t>
        </is>
      </c>
      <c r="U170" s="156" t="inlineStr">
        <is>
          <t>Form Type - TextBox</t>
        </is>
      </c>
      <c r="V170" s="413" t="inlineStr">
        <is>
          <t>NA</t>
        </is>
      </c>
      <c r="W170" s="87" t="inlineStr">
        <is>
          <t>0-7 = fcs_sugar_days</t>
        </is>
      </c>
      <c r="X170" s="325" t="n"/>
      <c r="Y170" s="138" t="inlineStr">
        <is>
          <t>For any response, go to fcs_sugar_days</t>
        </is>
      </c>
      <c r="Z170" s="87" t="n"/>
      <c r="AA170" s="66" t="inlineStr">
        <is>
          <t>resp_age = 18-100
hh_agricactivity = 1 | 2 | 3 | 4
quotareached = 2</t>
        </is>
      </c>
      <c r="AB170" s="718" t="n"/>
      <c r="AC170" s="45" t="n">
        <v>17</v>
      </c>
      <c r="AD170" s="280" t="n">
        <v>1</v>
      </c>
      <c r="AE170" s="45">
        <f>AC170*AD170</f>
        <v/>
      </c>
    </row>
    <row r="171" ht="144" customHeight="1">
      <c r="A171" s="92">
        <f>A170+1</f>
        <v/>
      </c>
      <c r="B171" s="154" t="inlineStr">
        <is>
          <t>fcs_sugar_days</t>
        </is>
      </c>
      <c r="C171" s="155" t="inlineStr">
        <is>
          <t>fcs_sugar_days</t>
        </is>
      </c>
      <c r="D171" s="412" t="inlineStr">
        <is>
          <t>How many days over the last 7 days, did members of your household consume sugar or sweet such as sugar, honey, jam, cakes, candy, cookies, pastries, cakes and other sweets and sugary drinks?
[OPERATOR: RECORD NUMBER OF DAYS 0 - 7]
[HINT: IF CONSUMED ONLY IN SMALL QUANTITY, DO NOT INCLUDE.]</t>
        </is>
      </c>
      <c r="E171" s="156">
        <f>LEN(D171)</f>
        <v/>
      </c>
      <c r="F171" s="412"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71" s="156">
        <f>LEN(F171)</f>
        <v/>
      </c>
      <c r="H171" s="28" t="inlineStr">
        <is>
          <t>Tile joli tile 7 nin kɔnɔ,aw ka gwaso mɔgɔw ye sukaro wala fɛɛntimimanw dun i n’a fɔ sukaro, dii, kɔnfitiri, gato, bɔnbɔn, bisiki, fɛɛnyiranta timimanw ni minnifɛn timimanw? 
[SƆRƆBATIGI:LOONDAW SɛBɛ 0 - 7] 
[LAADILI: N’U YE MIN DUN MAN CA DON, KANA U FARA U KAN.]</t>
        </is>
      </c>
      <c r="I171" s="156">
        <f>LEN(H171)</f>
        <v/>
      </c>
      <c r="J171" s="28" t="inlineStr">
        <is>
          <t>Nǐ 7 dũwõ mi gara bɛrɛ, nǐ aaŋa uro nam (be), kaɲey eru ɲé bà, sukɔrɔ, jũŋ, tĩwẽ ʔi sukɔrɔ le be ceene, gatô, bɔmɔm, biski, sukɔrɔ kuno maj ce be sa, maa ce ko eru be fuu bee bwʒɔ̃ bee?
[BIRƐ MA KŨ BANA : KO NILUGO TƆ̃NƆ̃ 0- 7] 
[SƐƐRƐ : KÒ KAAƝEY BÈ ƝÉ TƐ̃Y-KƆ LEY, TƆNƆ̃Y LAY].</t>
        </is>
      </c>
      <c r="K171" s="156">
        <f>LEN(J171)</f>
        <v/>
      </c>
      <c r="L171" s="28" t="inlineStr">
        <is>
          <t xml:space="preserve">Jiirbu 7 woo kan bissa, dJiirbuu mardjaii noo er huu woo borey gnan sucaro wal sucaro kanrey dan guu sucarro, Yuuwo, konfituro, gaata, bombogney, biskulo, gaata huwey en duu sukreri en duu haar kan nuu foo yoon. 
[HANKAA : HANTUM JAARIGNEY DIMMA 0-7 ]
[DEEDENDIYONO : HALA NAARO SU BA HENNEY, BOR MU SU A DAN]. </t>
        </is>
      </c>
      <c r="M171" s="156">
        <f>LEN(L171)</f>
        <v/>
      </c>
      <c r="N171" s="28" t="inlineStr">
        <is>
          <t>Maniket šilan ɣur dǎɣ 7 šilan wi dokaynen, adinat ən amazaɣ nawan aškan dǎɣ asukar meɣ haratan iha asukar atamosnen asukar, turawat, əonfiture, gatotan, bombomnan, bisəuitan, burutan, əd iyad asukaran əd boissontan nasukar?
[AMASESTƏN: SAQAYMU HADI ƏN SHILAN ƔUR 0-7]
[ASINIMIHIL : AFAL AWA AMIŠKAN EQAL ANTIKAN, WARTITIGEM].</t>
        </is>
      </c>
      <c r="O171" s="156">
        <f>LEN(N171)</f>
        <v/>
      </c>
      <c r="P171" s="28" t="inlineStr">
        <is>
          <t>Ñalaaɗe foti ley ñalaaɗe 7 cakitiiɗe ɗee, yimɓe ɓaade mooɗon ñaami neemaaji gooduɗi sukkara hono sukkara, njuumndi, konfitiiri, bonbonrooje, biskuwi / gattooje e neemaaji goɗɗi maa njaramuuji sukkaraaji ?
[GOLLOOWO : WINNDU AYKA ÑALAAƊE ƊEN 0-7]
[TAYKA : SO NYAAMDU NDUN NA FAMƊI FUH, TAA WINNDEE].</t>
        </is>
      </c>
      <c r="Q171" s="156">
        <f>LEN(P171)</f>
        <v/>
      </c>
      <c r="R171" s="397" t="inlineStr">
        <is>
          <t>Range</t>
        </is>
      </c>
      <c r="S171" s="156" t="inlineStr">
        <is>
          <t>NA</t>
        </is>
      </c>
      <c r="T171" s="156" t="inlineStr">
        <is>
          <t>NA</t>
        </is>
      </c>
      <c r="U171" s="156" t="inlineStr">
        <is>
          <t>Form Type - TextBox</t>
        </is>
      </c>
      <c r="V171" s="413" t="inlineStr">
        <is>
          <t>NA</t>
        </is>
      </c>
      <c r="W171" s="87" t="inlineStr">
        <is>
          <t>0-7 = fcs_oil_days</t>
        </is>
      </c>
      <c r="X171" s="325" t="n"/>
      <c r="Y171" s="138" t="inlineStr">
        <is>
          <t>For any response, go to fcs_oil_days</t>
        </is>
      </c>
      <c r="Z171" s="87" t="n"/>
      <c r="AA171" s="66" t="inlineStr">
        <is>
          <t>resp_age = 18-100
hh_agricactivity = 1 | 2 | 3 | 4
quotareached = 2</t>
        </is>
      </c>
      <c r="AB171" s="718" t="n"/>
      <c r="AC171" s="45" t="n">
        <v>17</v>
      </c>
      <c r="AD171" s="280" t="n">
        <v>1</v>
      </c>
      <c r="AE171" s="45">
        <f>AC171*AD171</f>
        <v/>
      </c>
    </row>
    <row r="172" ht="144" customHeight="1">
      <c r="A172" s="92">
        <f>A171+1</f>
        <v/>
      </c>
      <c r="B172" s="154" t="inlineStr">
        <is>
          <t>fcs_oil_days</t>
        </is>
      </c>
      <c r="C172" s="155" t="inlineStr">
        <is>
          <t>fcs_oil_days</t>
        </is>
      </c>
      <c r="D172" s="159" t="inlineStr">
        <is>
          <t>How many days over the last 7 days, did members of your household eat oil/fat/butter such as vegetable oil, palm oil, groundnut oil, margarine, other fats / oil?
[OPERATOR: RECORD NUMBER OF DAYS 0 - 7]
[HINT: IF CONSUMED ONLY IN SMALL QUANTITY, DO NOT INCLUDE.]</t>
        </is>
      </c>
      <c r="E172" s="156">
        <f>LEN(D172)</f>
        <v/>
      </c>
      <c r="F172" s="412" t="inlineStr">
        <is>
          <t>Combien de fois [en nombre de jours] au cours des 7 derniers jours, les membres de votre foyer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72" s="156">
        <f>LEN(F172)</f>
        <v/>
      </c>
      <c r="H172" s="28" t="inlineStr">
        <is>
          <t>Tile joli tile 7 nin kɔnɔ,aw ka gwaso mɔgɔw ye tulu dun/ tulu siminin/ tulu guliman i n’a fɔ yiridenw ta, tentulu, tigatulu, marigarini, tuluguliman wɛrɛ/ min bɔra tulu la? 
[SƆRƆBATIGI:LOONDAW SɛBɛ 0 - 7] 
[LAADILI: N’U YE MIN DUN MAN CA DON, KANA U FARA U KAN.]</t>
        </is>
      </c>
      <c r="I172" s="156">
        <f>LEN(H172)</f>
        <v/>
      </c>
      <c r="J172" s="28" t="inlineStr">
        <is>
          <t>Nǐ 7 dũwõ mi gara bɛrɛ, nǐ aaŋa ko uro nam (be), nuŋ ɲé bà/ sě/ naŋa-naarũ/dulwil/ɛ́rɛ́-nuŋ/ kaɲej-sěgu/ sě /maa nuŋ ma tɔgu ko tãŋã sa kɛw?
[BIRƐ MA KŨ BANA : KO NILUGO TƆ̃NƆ̃ 0- 7] 
[SƐƐRƐ : KÒ KAAƝEY BÈ ƝÉ TƐ̃Y-KƆ LEY, TƆNƆ̃Y LAY].</t>
        </is>
      </c>
      <c r="K172" s="156">
        <f>LEN(J172)</f>
        <v/>
      </c>
      <c r="L172" s="28" t="inlineStr">
        <is>
          <t xml:space="preserve">Jiirbu  7 woo kan bissa, dJiirbuu mardjaii noo er huu woo borey gnan djio / maano / buulanga dan guu touro djiio  palmier djio, demsso djiio , malgarino , maanuu foo gnon ?
[HANKAA : HANTUM JAARIGNEY DIMMA 0-7 ]
[DEEDENDIYONO : HALA NAARO SU BA HENNEY, BOR MU SU A DAN]. </t>
        </is>
      </c>
      <c r="M172" s="156">
        <f>LEN(L172)</f>
        <v/>
      </c>
      <c r="N172" s="28" t="inlineStr">
        <is>
          <t>ManiketŠilan ɣur dǎɣ 7 šilan wi dokaynen, adinat ən amazaɣ nawan aškan dǎɣ udi/ dǎɣ tadhunt/ dǎɣ udi ən sund dǎɣ udi ən hiškan, dǎɣ udi wan ɗalme, dǎɣ udi wan sunkam, dǎɣ margarinetan, tiyad tidhunen/udi ?
[AMASESTƏN: SAQAYMU HADI ƏN SHILAN ƔUR 0-7]
[ASINIMIHIL : AFAL AWA AMIŠKAN EQAL ANTIKAN, WARTITIGEM].</t>
        </is>
      </c>
      <c r="O172" s="156">
        <f>LEN(N172)</f>
        <v/>
      </c>
      <c r="P172" s="28" t="inlineStr">
        <is>
          <t>Ñalaaɗe foti ley ñalaaɗe 7 cakitiiɗe ɗee, yimɓe ɓaade mooɗon ñaami nebam / ɓellere/ nebam tekkuɗam hono nebam leɗɗe, nebam palm, nebam giriije, ɓellere, ɓelle goɗɗe/nebam ?
[GOLLOOWO : WINNDU AYKA ÑALAAƊE ƊEN 0-7]
[TAYKA : SO NYAAMDU NDUN NA FAMƊI FUH, TAA WINNDEE].</t>
        </is>
      </c>
      <c r="Q172" s="156">
        <f>LEN(P172)</f>
        <v/>
      </c>
      <c r="R172" s="397" t="inlineStr">
        <is>
          <t>Range</t>
        </is>
      </c>
      <c r="S172" s="156" t="inlineStr">
        <is>
          <t>NA</t>
        </is>
      </c>
      <c r="T172" s="156" t="inlineStr">
        <is>
          <t>NA</t>
        </is>
      </c>
      <c r="U172" s="156" t="inlineStr">
        <is>
          <t>Form Type - TextBox</t>
        </is>
      </c>
      <c r="V172" s="413" t="inlineStr">
        <is>
          <t>NA</t>
        </is>
      </c>
      <c r="W172" s="87" t="inlineStr">
        <is>
          <t>0-7 = fcs_condiments_days</t>
        </is>
      </c>
      <c r="X172" s="325" t="n"/>
      <c r="Y172" s="138" t="inlineStr">
        <is>
          <t>For any response, go to fcs_condiments_days</t>
        </is>
      </c>
      <c r="Z172" s="87" t="n"/>
      <c r="AA172" s="66" t="inlineStr">
        <is>
          <t>resp_age = 18-100
hh_agricactivity = 1 | 2 | 3 | 4
quotareached = 2</t>
        </is>
      </c>
      <c r="AB172" s="718" t="n"/>
      <c r="AC172" s="45" t="n">
        <v>17</v>
      </c>
      <c r="AD172" s="280" t="n">
        <v>1</v>
      </c>
      <c r="AE172" s="45">
        <f>AC172*AD172</f>
        <v/>
      </c>
    </row>
    <row r="173" ht="120" customHeight="1">
      <c r="A173" s="92">
        <f>A172+1</f>
        <v/>
      </c>
      <c r="B173" s="154" t="inlineStr">
        <is>
          <t>fcs_condiments_days</t>
        </is>
      </c>
      <c r="C173" s="155" t="inlineStr">
        <is>
          <t>fcs_condiments_days</t>
        </is>
      </c>
      <c r="D173" s="159" t="inlineStr">
        <is>
          <t>How many days over the last 7 days, did members of your household eat spices or condiments such as tea, coffee, cocoa, salt, garlic, spices, yeast, meat fish as a condiment or small amounts of milk for tea or coffee?
[OPERATOR: RECORD NUMBER OF DAYS 0 - 7]</t>
        </is>
      </c>
      <c r="E173" s="156">
        <f>LEN(D173)</f>
        <v/>
      </c>
      <c r="F173" s="412"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73" s="156">
        <f>LEN(F173)</f>
        <v/>
      </c>
      <c r="H173" s="28" t="inlineStr">
        <is>
          <t xml:space="preserve">Tile joli tile 7 nin kɔnɔ,aw ka gwaso mɔgɔw ye timyadonnaw dun i n’a fɔ tee, kafe, kakawo, kɔgɔ, layi, foronto, funufɛn, sogo ni jɛgɛ i n’a fɛ nanfɛn wala nɔnɔ fitini kafe wala tee kosɔn? 
[SƆRƆBATIGI:LOONDAW SɛBɛ 0 - 7] </t>
        </is>
      </c>
      <c r="I173" s="156">
        <f>LEN(H173)</f>
        <v/>
      </c>
      <c r="J173" s="28" t="inlineStr">
        <is>
          <t xml:space="preserve">Nǐ 7dũwõ mi gara bɛrɛ, nǐ aaŋa uro nam (be), sɔmɔy ɲé bà, atey, kapa, cacaw, nɛm, lay, tĩwẽ-kurɔ ɟiɲu eru bee, lěbru, nɔwɔ̃, iiɟu sɔmɔj mɔrɔ̃, maa ɛ̂m dga-daga kapâ atey bɛrɛ be kunara
[BIRƐ MA KŨ BANA : KO NILUGO TƆ̃NƆ̃ 0- 7] </t>
        </is>
      </c>
      <c r="K173" s="156">
        <f>LEN(J173)</f>
        <v/>
      </c>
      <c r="L173" s="28" t="inlineStr">
        <is>
          <t>Jiirbu 7 woo kan bissa, dJiirbuu mardjaii noo er huu woo borey gnan kooptey wal hoydjiney  dan guu aatayoo, caafa, kakawo, ciirroo, aiyo, kooptey, levuro, hamissa hamoo  dan guu hoydjiney wal waayya keyna aatayoo wal kaafa saii ?
[HANKAA : HANTUM JAARIGNEY DIMMA 0-7 ]</t>
        </is>
      </c>
      <c r="M173" s="156">
        <f>LEN(L173)</f>
        <v/>
      </c>
      <c r="N173" s="28" t="inlineStr">
        <is>
          <t>Maniket šilan ɣur dǎɣ 7 šilan wi dokaynen, adinat ən amazaɣ nawan aškan dǎɣ izad meɣ hoytan atamosnen atay, əafi, dǎɣ əaəao, dǎɣ tesimt, dǎɣ lay, dǎɣ izizad, dǎɣ leɣure, dǎɣ isan ən manan sund hoytan meɣ andiran dǎɣ hadi naɣ fal atay meɣ əafi ?
[AMASESTƏN: SAQAYMU HADI ƏN SHILAN ƔUR 0-7]</t>
        </is>
      </c>
      <c r="O173" s="156">
        <f>LEN(N173)</f>
        <v/>
      </c>
      <c r="P173" s="28" t="inlineStr">
        <is>
          <t>Ñalaaɗe foti ley ñalaaɗe 7 cakitiiɗe ɗee, yimɓe ɓaade mooɗon ñaamii cone gatteteeɗe e nder lu’o ma lu’ooji hono atte, kakawo, lamɗam, layi, coni gatteteeɗe e nder lu’o, dorobi, teewu,  liƴƴi gattaaɗi nder lu’o maa kosam seeɗa ngatteteeɗam atte maa kafe ? 
[GOLLOOWO : WINNDU AYKA ÑALAAƊE ƊEN 0-7]</t>
        </is>
      </c>
      <c r="Q173" s="156">
        <f>LEN(P173)</f>
        <v/>
      </c>
      <c r="R173" s="397" t="inlineStr">
        <is>
          <t>Range</t>
        </is>
      </c>
      <c r="S173" s="156" t="inlineStr">
        <is>
          <t>NA</t>
        </is>
      </c>
      <c r="T173" s="156" t="inlineStr">
        <is>
          <t>NA</t>
        </is>
      </c>
      <c r="U173" s="156" t="inlineStr">
        <is>
          <t>Form Type - TextBox</t>
        </is>
      </c>
      <c r="V173" s="413" t="inlineStr">
        <is>
          <t>NA</t>
        </is>
      </c>
      <c r="W173" s="87" t="inlineStr">
        <is>
          <t>0-7 = rcsi_intro</t>
        </is>
      </c>
      <c r="X173" s="325" t="n"/>
      <c r="Y173" s="138" t="inlineStr">
        <is>
          <t>For any response, go to rcsi</t>
        </is>
      </c>
      <c r="Z173" s="87" t="n"/>
      <c r="AA173" s="66" t="inlineStr">
        <is>
          <t>resp_age = 18-100
hh_agricactivity = 1 | 2 | 3 | 4
quotareached = 2</t>
        </is>
      </c>
      <c r="AB173" s="718" t="n"/>
      <c r="AC173" s="45" t="n">
        <v>17</v>
      </c>
      <c r="AD173" s="280" t="n">
        <v>1</v>
      </c>
      <c r="AE173" s="45">
        <f>AC173*AD173</f>
        <v/>
      </c>
    </row>
    <row r="174" ht="100" customHeight="1">
      <c r="A174" s="92">
        <f>A173+1</f>
        <v/>
      </c>
      <c r="B174" s="154" t="inlineStr">
        <is>
          <t>rcsi_intro</t>
        </is>
      </c>
      <c r="C174" s="155" t="inlineStr">
        <is>
          <t>rcsi_intro</t>
        </is>
      </c>
      <c r="D174" s="159" t="inlineStr">
        <is>
          <t>Now I will ask you about the number of days, in the last 7 days, during which the household has done some of the actions that I will mention to cope with the lack of food or money to buy food.
1)CONTINUE</t>
        </is>
      </c>
      <c r="E174" s="156">
        <f>LEN(D174)</f>
        <v/>
      </c>
      <c r="F174" s="159" t="inlineStr">
        <is>
          <t>Je vais maintenant vous demander combien de fois (en nombre de jours), au cours des 7 derniers jours, votre ménage a du recourir à certaines mesures pour faire face au manque de nourriture ou d'argent pour acheter de la nourriture.
1)CONTINUER</t>
        </is>
      </c>
      <c r="G174" s="156">
        <f>LEN(F174)</f>
        <v/>
      </c>
      <c r="H174" s="28" t="inlineStr">
        <is>
          <t xml:space="preserve">Sisan ne ne baw ɲininga loon da la, tile 7 nin kɔnɔ, gwaso ye kokɛta dɔw kɛ ne bɛna min yira walisa ka dumuni dɛsɛ wala wari dɛsɛ kunbɛn walisa ka balo saan. 
1)NƆCƐ 
</t>
        </is>
      </c>
      <c r="I174" s="156">
        <f>LEN(H174)</f>
        <v/>
      </c>
      <c r="J174" s="28" t="inlineStr">
        <is>
          <t xml:space="preserve">Ney ge, nǐ 7 dũwõ mi gara bɛrɛ, e euro ɛnɛ ma kaɲej maa buudu maa ma saara le di, iniwe e ɟere ma mana-i eru uɟuru uɟurom.
1)ɟIɟƐ GARA
</t>
        </is>
      </c>
      <c r="K174" s="156">
        <f>LEN(J174)</f>
        <v/>
      </c>
      <c r="L174" s="28" t="inlineStr">
        <is>
          <t xml:space="preserve">Yerro woo key, ayy nan guu er haan, dJiirbuu 7 woo kan biissa kal er huu woo tai gooy fooyon, soo duu mardjaii kal noo er dii gaabey kanroo djan gnan misso gaa wal noruu djan gnan kan guu dey kanroo ?
1)KOY JIINAA  
</t>
        </is>
      </c>
      <c r="M174" s="156">
        <f>LEN(L174)</f>
        <v/>
      </c>
      <c r="N174" s="28" t="inlineStr">
        <is>
          <t>Amaradǎɣ akawan səstinaɣ əd hadi in šilan, ɣur dǎɣ 7 šilan wi dokaynen, ugud was intaned alɣayal iga ašiɣilan iyad samos atan agaɣ fal adihiyaɣ iba ən ataɣam meɣ azruf fal ašinš ən ataɣam.
1)AKIYAT</t>
        </is>
      </c>
      <c r="O174" s="156">
        <f>LEN(N174)</f>
        <v/>
      </c>
      <c r="P174" s="28" t="inlineStr">
        <is>
          <t>Joonin miɗo muuya ƴamude-ɗon ayka ñalaaɗe, ley ñalaaɗe 7 cakitiiɗe ɗee, nde ɓaade mooɗon waɗi ɗeeɗoo golle, ɗe garam-mi limtude saabee e rafi neema maa ceede faa heɓa sooda neema.
1)YEESO</t>
        </is>
      </c>
      <c r="Q174" s="156">
        <f>LEN(P174)</f>
        <v/>
      </c>
      <c r="R174" s="397" t="inlineStr">
        <is>
          <t>Single Choice</t>
        </is>
      </c>
      <c r="S174" s="156" t="inlineStr">
        <is>
          <t>NA</t>
        </is>
      </c>
      <c r="T174" s="156" t="inlineStr">
        <is>
          <t>NA</t>
        </is>
      </c>
      <c r="U174" s="156" t="inlineStr">
        <is>
          <t>Form Type - Buttons</t>
        </is>
      </c>
      <c r="V174" s="413" t="inlineStr">
        <is>
          <t>NA</t>
        </is>
      </c>
      <c r="W174" s="87" t="inlineStr">
        <is>
          <t>1 = rcsi_less_preferred_foods</t>
        </is>
      </c>
      <c r="X174" s="325" t="n"/>
      <c r="Y174" s="138" t="inlineStr">
        <is>
          <t>For any response, go to rcsi_less_preferred_foods</t>
        </is>
      </c>
      <c r="Z174" s="87" t="n"/>
      <c r="AA174" s="66" t="inlineStr">
        <is>
          <t>resp_age = 18-100
hh_agricactivity = 1 | 2 | 3 | 4
quotareached = 2</t>
        </is>
      </c>
      <c r="AB174" s="718" t="n"/>
      <c r="AC174" s="45" t="n"/>
      <c r="AD174" s="280" t="n">
        <v>1</v>
      </c>
      <c r="AE174" s="45">
        <f>AC174*AD174</f>
        <v/>
      </c>
    </row>
    <row r="175" ht="100" customHeight="1">
      <c r="A175" s="92">
        <f>A174+1</f>
        <v/>
      </c>
      <c r="B175" s="154" t="inlineStr">
        <is>
          <t>rcsi_less_preferred_foods</t>
        </is>
      </c>
      <c r="C175" s="155" t="inlineStr">
        <is>
          <t>rcsi_less_preferred_foods</t>
        </is>
      </c>
      <c r="D175" s="412" t="inlineStr">
        <is>
          <t>In the past 7 days, how many days did your household rely on less preferred or less expensive food due to lack of food/money?
[OPERATOR: RECORD NUMBER OF DAYS 0 - 7 ]</t>
        </is>
      </c>
      <c r="E175" s="156">
        <f>LEN(D175)</f>
        <v/>
      </c>
      <c r="F175" s="412" t="inlineStr">
        <is>
          <t>Au cours des 7 derniers jours, combien de fois [en nombre de jours] votre ménage s'est-il rabattu sur des aliments qu'il aime moins ou moins chers par manque de nourriture/argent ?  
[OPÉRATEUR/OPÉRATRICE: SAISIR LE NOMBRE DE JOURS DE 0 À 7]</t>
        </is>
      </c>
      <c r="G175" s="156">
        <f>LEN(F175)</f>
        <v/>
      </c>
      <c r="H175" s="28" t="inlineStr">
        <is>
          <t xml:space="preserve">Tile 7 tɛmɛni kɔ, tile joli lo aw gwasomɔgɔ ye dumuni nɔgɔmani walima min tɛ u wasa nin dun kamashɛrɔ dumuni/wari tun tɛ o bolo?
[SƆRƆBATIGI:LOONDAW SɛBɛ 0 - 7] </t>
        </is>
      </c>
      <c r="I175" s="156">
        <f>LEN(H175)</f>
        <v/>
      </c>
      <c r="J175" s="28" t="inlineStr">
        <is>
          <t xml:space="preserve">Nii sũy dũwõ nuŋo bɛ̀rɛ̀, nii aaŋa kò uro-nam kaaɲey kò déné inem lé gara-là máa kaaɲey dɔn tɛ̃y lé ɛnɛ bè kũ gaana bà kaaɲey/buudu mà kɔɔrɔ jɛ  
[BIRƐ MA KŨ BANA : KO NILUGO TƆ̃NƆ̃ 0- 7] </t>
        </is>
      </c>
      <c r="K175" s="156">
        <f>LEN(J175)</f>
        <v/>
      </c>
      <c r="L175" s="28" t="inlineStr">
        <is>
          <t>Jirbu iyya ga jirbu ce marje er huborey nu ŋaarey bunbuney kaŋ su kaanu ŋa zama ŋaari fo  wala nooru siyoŋo se ?
[HANKAA : HANTUM JAARIGNEY DIMMA 0-7 ]</t>
        </is>
      </c>
      <c r="M175" s="156">
        <f>LEN(L175)</f>
        <v/>
      </c>
      <c r="N175" s="28" t="inlineStr">
        <is>
          <t>Ɣur dǎɣ 7 šilan wi dokaynen, maniket šilan amazaɣ nawan adǎɣ igraw išiska winan atwarha meɣ ifnaznen hulen fal salan niba nataɣam/ azruf?
[AMASESTƏN: SAQAYMU HADI ƏN SHILAN ƔUR 0-7]</t>
        </is>
      </c>
      <c r="O175" s="156">
        <f>LEN(N175)</f>
        <v/>
      </c>
      <c r="P175" s="28" t="inlineStr">
        <is>
          <t>Nyalaaɗe foti ley jeɗɗiire sakitiinde ndee, yimɓe ɓaade mooɗon nyaamiri ɗi teddaa maa ɗi tiiɗaa saabee rafi neema / ceede?
[GOLLOOWO : WINNDU AYKA ÑALAAƊE ƊEN 0-7]</t>
        </is>
      </c>
      <c r="Q175" s="156">
        <f>LEN(P175)</f>
        <v/>
      </c>
      <c r="R175" s="158" t="inlineStr">
        <is>
          <t>Range</t>
        </is>
      </c>
      <c r="S175" s="156" t="inlineStr">
        <is>
          <t>NA</t>
        </is>
      </c>
      <c r="T175" s="156" t="inlineStr">
        <is>
          <t>NA</t>
        </is>
      </c>
      <c r="U175" s="156" t="inlineStr">
        <is>
          <t>Form Type - TextBox</t>
        </is>
      </c>
      <c r="V175" s="413" t="inlineStr">
        <is>
          <t>NA</t>
        </is>
      </c>
      <c r="W175" s="87" t="inlineStr">
        <is>
          <t>0-7 = rcsi_borrowed_food</t>
        </is>
      </c>
      <c r="X175" s="325" t="n"/>
      <c r="Y175" s="138" t="inlineStr">
        <is>
          <t>For any response, go to rcsi_borrowed_food</t>
        </is>
      </c>
      <c r="Z175" s="87" t="n"/>
      <c r="AA175" s="66" t="inlineStr">
        <is>
          <t>resp_age = 18-100
hh_agricactivity = 1 | 2 | 3 | 4
quotareached = 2</t>
        </is>
      </c>
      <c r="AB175" s="718" t="n"/>
      <c r="AC175" s="45" t="n">
        <v>17</v>
      </c>
      <c r="AD175" s="280" t="n">
        <v>1</v>
      </c>
      <c r="AE175" s="45">
        <f>AC175*AD175</f>
        <v/>
      </c>
    </row>
    <row r="176" ht="100" customHeight="1">
      <c r="A176" s="92">
        <f>A175+1</f>
        <v/>
      </c>
      <c r="B176" s="154" t="inlineStr">
        <is>
          <t>rcsi_borrowed_food</t>
        </is>
      </c>
      <c r="C176" s="155" t="inlineStr">
        <is>
          <t>rcsi_borrowed_food</t>
        </is>
      </c>
      <c r="D176" s="159" t="inlineStr">
        <is>
          <t>In the past 7 days, how many days did your household borrow food, or rely on help from a friend or relative due to lack of food or money to buy food? 
[OPERATOR: RECORD NUMBER OF DAYS 0 - 7 ]</t>
        </is>
      </c>
      <c r="E176" s="156">
        <f>LEN(D176)</f>
        <v/>
      </c>
      <c r="F176" s="159" t="inlineStr">
        <is>
          <t>Au cours des 7 derniers jours, combien de fois (en nombre de jours) votre ménage a-t-il dû emprunter de la nourriture ou compter sur  l'aide d'un ami ou d'un parent en raison du manque de nourriture ou d'argent pour acheter de la nourriture ?
[OPÉRATEUR/OPÉRATRICE: SAISIR LE NOMBRE DE JOURS DE 0 À 7]</t>
        </is>
      </c>
      <c r="G176" s="156">
        <f>LEN(F176)</f>
        <v/>
      </c>
      <c r="H176" s="28" t="inlineStr">
        <is>
          <t xml:space="preserve">Tile joli tile 7 nin kɔnɔ,tile joli kɔnɔ aw ka gwaso mɔgɔw ye balo dɔndɔn wala ye dɛmɛli ɲini teri dɔ wala baliman dɔ fɛ balo dɛsɛ wala wari dɛsɛ kosɔn walisa ka dumuni saan? 
[SƆRƆBATIGI:LOONDAW SɛBɛ 0 - 7] </t>
        </is>
      </c>
      <c r="I176" s="156">
        <f>LEN(H176)</f>
        <v/>
      </c>
      <c r="J176" s="403" t="inlineStr">
        <is>
          <t xml:space="preserve">Nǐ 7 dũwõ mi gara bɛrɛ, nǐ aaŋa e uro kaɲey jeneŋe, maa e tɛnɛ maa e tɔgu be maa bãku maa ma walla ɟaŋa maj kaɲej be kaɲej maa buudu maa ma kɔrɔ ɟɛ dii bɛrɛ e ɛwɛ ɟɛ maj?
[BIRƐ MA KŨ BANA : KO NILUGO TƆ̃NƆ̃ 0- 7] </t>
        </is>
      </c>
      <c r="K176" s="156">
        <f>LEN(J176)</f>
        <v/>
      </c>
      <c r="L176" s="28" t="inlineStr">
        <is>
          <t>Jiirbu iiyai woo kan bissa, djiir buu mardjaii noon er huuwo dan kuu gaaro kanroo wal cecuu gakkusiney cerru boruu foodo wal heyyrey foodo kannro djan gnan saii wal norru kan guu deyy kanroo djan gan saii?
[HANKAA : HANTUM JAARIGNEY DIMMA 0-7 ]</t>
        </is>
      </c>
      <c r="M176" s="156">
        <f>LEN(L176)</f>
        <v/>
      </c>
      <c r="N176" s="28" t="inlineStr">
        <is>
          <t>Ɣur dǎɣ 7 šilan wi dokaynen, maniket šilan alɣayal nawan ad asmarwas ataɣam meɣ asistan əd tadhil ən amidi meɣ amaraw fal salan niba nataɣam meɣ azruf fal ašinš ən ataɣam ?
[AMASESTƏN: SAQAYMU HADI ƏN SHILAN ƔUR 0-7]</t>
        </is>
      </c>
      <c r="O176" s="156">
        <f>LEN(N176)</f>
        <v/>
      </c>
      <c r="P176" s="403" t="inlineStr">
        <is>
          <t>Ley ñalaaɗe 7 jeɗɗi cakitiiɗe ɗee, ñalaaɗe foti ɓaade mooɗon ñalmorii neema maa ñaagii mballa yigoowo muɓɓen maa jeydaaɗo muɓɓen, saabee rafi neema maa ceede faa cooda neema ?  
[GOLLOOWO : WINNDU AYKA ÑALAAƊE ƊEN 0-7]</t>
        </is>
      </c>
      <c r="Q176" s="156">
        <f>LEN(P176)</f>
        <v/>
      </c>
      <c r="R176" s="158" t="inlineStr">
        <is>
          <t>Range</t>
        </is>
      </c>
      <c r="S176" s="156" t="inlineStr">
        <is>
          <t>NA</t>
        </is>
      </c>
      <c r="T176" s="156" t="inlineStr">
        <is>
          <t>NA</t>
        </is>
      </c>
      <c r="U176" s="156" t="inlineStr">
        <is>
          <t>Form Type - TextBox</t>
        </is>
      </c>
      <c r="V176" s="413" t="inlineStr">
        <is>
          <t>NA</t>
        </is>
      </c>
      <c r="W176" s="87" t="inlineStr">
        <is>
          <t>0-7 = rcsi_reduce_number_meals</t>
        </is>
      </c>
      <c r="X176" s="325" t="n"/>
      <c r="Y176" s="138" t="inlineStr">
        <is>
          <t>For any response, go to rcsi_reduce_number_meals</t>
        </is>
      </c>
      <c r="Z176" s="87" t="n"/>
      <c r="AA176" s="66" t="inlineStr">
        <is>
          <t>resp_age = 18-100
hh_agricactivity = 1 | 2 | 3 | 4
quotareached = 2</t>
        </is>
      </c>
      <c r="AB176" s="718" t="n"/>
      <c r="AC176" s="45" t="n">
        <v>17</v>
      </c>
      <c r="AD176" s="280" t="n">
        <v>1</v>
      </c>
      <c r="AE176" s="45">
        <f>AC176*AD176</f>
        <v/>
      </c>
    </row>
    <row r="177" ht="100" customHeight="1">
      <c r="A177" s="92">
        <f>A176+1</f>
        <v/>
      </c>
      <c r="B177" s="269" t="inlineStr">
        <is>
          <t>rcsi_reduce_number_meals</t>
        </is>
      </c>
      <c r="C177" s="270" t="inlineStr">
        <is>
          <t>rcsi_reduce_number_meals</t>
        </is>
      </c>
      <c r="D177" s="159" t="inlineStr">
        <is>
          <t>In the past 7 days, how many days did your household reduce the number of meals eaten in a day due to lack of food or money to buy food?
[OPERATOR: RECORD NUMBER OF DAYS 0 - 7 ]</t>
        </is>
      </c>
      <c r="E177" s="156">
        <f>LEN(D177)</f>
        <v/>
      </c>
      <c r="F177" s="159" t="inlineStr">
        <is>
          <t>Au cours des 7 derniers jours, combien de fois (en nombre de jours) votre ménage a-t-il dû : Diminuer le nombre de repas par jour par manque de nourriture ou d'argent pour acheter de la nourriture ?
[OPÉRATEUR/OPÉRATRICE: SAISIR LE NOMBRE DE JOURS DE 0 À 7]</t>
        </is>
      </c>
      <c r="G177" s="156">
        <f>LEN(F177)</f>
        <v/>
      </c>
      <c r="H177" s="28" t="inlineStr">
        <is>
          <t xml:space="preserve">Tile joli tile 7 nin kɔnɔ, tile joli bɔ u ka tile kelen dumuni kɛ daw la uni kɛ daw la balo dɛsɛ wala wari dɛsɛ kosɔn walisa ka dumuni saan? 
[SƆRƆBATIGI:LOONDAW SɛBɛ 0 - 7] </t>
        </is>
      </c>
      <c r="I177" s="156">
        <f>LEN(H177)</f>
        <v/>
      </c>
      <c r="J177" s="403" t="inlineStr">
        <is>
          <t xml:space="preserve">Nǐ 7 dũwõ mi gara bɛrɛ, nǐ aaŋa e uro ninuwõ le kaɲej dãj e birara gama ti maj kaɲej ɛwɛ be kaɲej maa buudu maa ma kɔrɔ ɟɛ?
[BIRƐ MA KŨ BANA : KO NILUGO TƆ̃NƆ̃ 0- 7] </t>
        </is>
      </c>
      <c r="K177" s="156">
        <f>LEN(J177)</f>
        <v/>
      </c>
      <c r="L177" s="28" t="inlineStr">
        <is>
          <t>Jiirbu 7 woo kan bissa, djiir buu mardjaii noon er huuwo nuu kanroo zebuu zarikon kaan zam sai kanroo siino wal noruu kan dey kanroo kuu siino ?
[HANKAA : HANTUM JAARIGNEY DIMMA 0-7 ]</t>
        </is>
      </c>
      <c r="M177" s="156">
        <f>LEN(L177)</f>
        <v/>
      </c>
      <c r="N177" s="28" t="inlineStr">
        <is>
          <t>Ɣur dǎɣ 7 šilan wi dokaynen, maniket šilan alɣayal nawan ad ifnaz isikidiwan dǎɣ ašal fal salan niba nataɣam meɣ azruf fal ašinš ən ataɣam?
[AMASESTƏN: SAQAYMU HADI ƏN SHILAN ƔUR 0-7]</t>
        </is>
      </c>
      <c r="O177" s="156">
        <f>LEN(N177)</f>
        <v/>
      </c>
      <c r="P177" s="403" t="inlineStr">
        <is>
          <t xml:space="preserve">Ley ñalaaɗe 7 jeɗɗi cakitiiɗe ɗee, ñalaaɗe foti ɓaade mooɗon ɓuytiri ñaamɗe ley ñalooma, saabee rafi neema maa ceede faa cooda neema ?
[GOLLOOWO : WINNDU AYKA ÑALAAƊE ƊEN 0-7]  </t>
        </is>
      </c>
      <c r="Q177" s="156">
        <f>LEN(P177)</f>
        <v/>
      </c>
      <c r="R177" s="158" t="inlineStr">
        <is>
          <t>Range</t>
        </is>
      </c>
      <c r="S177" s="156" t="inlineStr">
        <is>
          <t>NA</t>
        </is>
      </c>
      <c r="T177" s="156" t="inlineStr">
        <is>
          <t>NA</t>
        </is>
      </c>
      <c r="U177" s="156" t="inlineStr">
        <is>
          <t>Form Type - TextBox</t>
        </is>
      </c>
      <c r="V177" s="413" t="inlineStr">
        <is>
          <t>NA</t>
        </is>
      </c>
      <c r="W177" s="87" t="inlineStr">
        <is>
          <t>0-7 = rcsi_limit_portions</t>
        </is>
      </c>
      <c r="X177" s="325" t="n"/>
      <c r="Y177" s="138" t="inlineStr">
        <is>
          <t>For any response, go to rcsi_limit_portions</t>
        </is>
      </c>
      <c r="Z177" s="87" t="n"/>
      <c r="AA177" s="66" t="inlineStr">
        <is>
          <t>resp_age = 18-100
hh_agricactivity = 1 | 2 | 3 | 4
quotareached = 2</t>
        </is>
      </c>
      <c r="AB177" s="718" t="n"/>
      <c r="AC177" s="45" t="n">
        <v>17</v>
      </c>
      <c r="AD177" s="280" t="n">
        <v>1</v>
      </c>
      <c r="AE177" s="45">
        <f>AC177*AD177</f>
        <v/>
      </c>
    </row>
    <row r="178" ht="100" customHeight="1">
      <c r="A178" s="92">
        <f>A177+1</f>
        <v/>
      </c>
      <c r="B178" s="154" t="inlineStr">
        <is>
          <t>rcsi_limit_portions</t>
        </is>
      </c>
      <c r="C178" s="155" t="inlineStr">
        <is>
          <t>rcsi_limit_portions</t>
        </is>
      </c>
      <c r="D178" s="159" t="inlineStr">
        <is>
          <t>In the past 7 days, how many days did your household limit portion sizes at mealtime due to lack of food or money to buy food? 
[OPERATOR: RECORD NUMBER OF DAYS 0 - 7 ]</t>
        </is>
      </c>
      <c r="E178" s="156">
        <f>LEN(D178)</f>
        <v/>
      </c>
      <c r="F178" s="159" t="inlineStr">
        <is>
          <t>Au cours des 7 derniers jours, combien de fois (en nombre de jours) votre ménage a-t-il dû diminuer la quantité consommée pendant les repas en raison du manque de nourriture ou d'argent pour acheter de la nourriture ?
[OPÉRATEUR/OPÉRATRICE: SAISIR LE NOMBRE DE JOURS DE 0 À 7]</t>
        </is>
      </c>
      <c r="G178" s="156">
        <f>LEN(F178)</f>
        <v/>
      </c>
      <c r="H178" s="28" t="inlineStr">
        <is>
          <t xml:space="preserve">Tile joli tile 7 nin kɔnɔ, tile joli kɔnɔ aw ka gwaso mɔgɔw ye danfali don u ka balo la k’a sababu kɛ balo dɛsɛ wala wari dɛsɛ ye walisa ka dumuni saan? 
[SƆRƆBATIGI:LOONDAW SɛBɛ 0 - 7] </t>
        </is>
      </c>
      <c r="I178" s="156">
        <f>LEN(H178)</f>
        <v/>
      </c>
      <c r="J178" s="403" t="inlineStr">
        <is>
          <t xml:space="preserve">Nǐ 7 dũwõ mi gara bɛrɛ, e uro nǐ aaŋa e baɲa gama, kaɲej maa buudu maa ma kɔrɔ ɟɛ dii bɛrɛ e ɛwɛ ɟɛ maj?
[BIRƐ MA KŨ BANA : KO NILUGO TƆ̃NƆ̃ 0- 7] </t>
        </is>
      </c>
      <c r="K178" s="156">
        <f>LEN(J178)</f>
        <v/>
      </c>
      <c r="L178" s="28" t="inlineStr">
        <is>
          <t>Jiirbu 7 woo kan bissa, sooduu marcaii noon er huuwo nuu kanroo zebuu zamsai kannro  siino  wal norruu siino kan guu dey kanrro siino ?
[HANKAA : HANTUM JAARIGNEY DIMMA 0-7 ]</t>
        </is>
      </c>
      <c r="M178" s="156">
        <f>LEN(L178)</f>
        <v/>
      </c>
      <c r="N178" s="28" t="inlineStr">
        <is>
          <t>Ɣur dǎɣ 7 šilan wi dokaynen, maniket šilan alɣayal nawan adifnaz təšigrit ən zaboten ən aminsi fal iba ən ataɣam meɣ azruf fal ašinš ən ataɣam?
[AMASESTƏN: SAQAYMU HADI ƏN SHILAN ƔUR 0-7]</t>
        </is>
      </c>
      <c r="O178" s="156">
        <f>LEN(N178)</f>
        <v/>
      </c>
      <c r="P178" s="403" t="inlineStr">
        <is>
          <t>Ley ñalaaɗe 7 jeɗɗi cakitiiɗe ɗee, ñalaaɗe foti ɓaade mooɗon ɓuytiri ñaamɗe, saabee rafi neema maa ceede faa cooda neema ?  
[GOLLOOWO : WINNDU AYKA ÑALAAƊE ƊEN 0-7]</t>
        </is>
      </c>
      <c r="Q178" s="156">
        <f>LEN(P178)</f>
        <v/>
      </c>
      <c r="R178" s="158" t="inlineStr">
        <is>
          <t>Range</t>
        </is>
      </c>
      <c r="S178" s="156" t="inlineStr">
        <is>
          <t>NA</t>
        </is>
      </c>
      <c r="T178" s="156" t="inlineStr">
        <is>
          <t>NA</t>
        </is>
      </c>
      <c r="U178" s="156" t="inlineStr">
        <is>
          <t>Form Type - TextBox</t>
        </is>
      </c>
      <c r="V178" s="413" t="inlineStr">
        <is>
          <t>NA</t>
        </is>
      </c>
      <c r="W178" s="87" t="inlineStr">
        <is>
          <t>0-7 = rcsi_restrict_adult_consumpt</t>
        </is>
      </c>
      <c r="X178" s="325" t="n"/>
      <c r="Y178" s="138" t="inlineStr">
        <is>
          <t>For any response, go to  rcsi_restrict_adult_consumption</t>
        </is>
      </c>
      <c r="Z178" s="87" t="n"/>
      <c r="AA178" s="66" t="inlineStr">
        <is>
          <t>resp_age = 18-100
hh_agricactivity = 1 | 2 | 3 | 4
quotareached = 2</t>
        </is>
      </c>
      <c r="AB178" s="414" t="n"/>
      <c r="AC178" s="45" t="n">
        <v>17</v>
      </c>
      <c r="AD178" s="280" t="n">
        <v>1</v>
      </c>
      <c r="AE178" s="45">
        <f>AC178*AD178</f>
        <v/>
      </c>
    </row>
    <row r="179" ht="101" customHeight="1" thickBot="1">
      <c r="A179" s="92">
        <f>A178+1</f>
        <v/>
      </c>
      <c r="B179" s="269" t="inlineStr">
        <is>
          <t>rcsi_restrict_adult_consumpt</t>
        </is>
      </c>
      <c r="C179" s="270" t="inlineStr">
        <is>
          <t>rcsi_restrict_adult_consumpt</t>
        </is>
      </c>
      <c r="D179" s="415" t="inlineStr">
        <is>
          <t>In the past 7 days, how many days did your household restrict consumption by adults so children could eat, due to lack of food or money to buy food?
[OPERATOR: RECORD NUMBER OF DAYS 0 - 7 ]</t>
        </is>
      </c>
      <c r="E179" s="272">
        <f>LEN(D179)</f>
        <v/>
      </c>
      <c r="F179" s="415" t="inlineStr">
        <is>
          <t>Au cours des 7 derniers jours, combien de fois (en nombre de jours) votre ménage a-t-il dû restreindre la consommation des adultes pour nourrir les enfants, par manque de nourriture ou d'argent pour acheter de la nourriture ?
[OPÉRATEUR/OPÉRATRICE: SAISIR LE NOMBRE DE JOURS DE 0 À 7]</t>
        </is>
      </c>
      <c r="G179" s="272">
        <f>LEN(F179)</f>
        <v/>
      </c>
      <c r="H179" s="282" t="inlineStr">
        <is>
          <t xml:space="preserve">Tile joli tile 7 nin kɔnɔ,tile joli kɔnɔ aw ka gwaso mɔgɔw ye danfarali don balikuw ka balo koo la walisa denmisɛnw ka se ka dumuni kɛ, balo dɛsɛ wala wari dɛsɛ kosɔn walisa ka dumuni saan? 
[SƆRƆBATIGI:LOONDAW SɛBɛ 0 - 7] </t>
        </is>
      </c>
      <c r="I179" s="272">
        <f>LEN(H179)</f>
        <v/>
      </c>
      <c r="J179" s="346" t="inlineStr">
        <is>
          <t xml:space="preserve">Nǐ 7 dũwõ mi gara bɛrɛ, e uro nǐ aaŋa e ine garum be kaɲej gama ti maj ũrũm ɟewe be, kaɲej maa buudu maa ma kɔrɔ ɟɛ dii bɛrɛ e ɛwɛ ɟɛ maj? 
[BIRƐ MA KŨ BANA : KO NILUGO TƆ̃NƆ̃ 0- 7] </t>
        </is>
      </c>
      <c r="K179" s="272">
        <f>LEN(J179)</f>
        <v/>
      </c>
      <c r="L179" s="282" t="inlineStr">
        <is>
          <t>Jiirbu 7 woo kan bissa, djiir buu mardjaii noon er huuwo nuu  kanro djindjuu al beerai saai al zankey muu duu kuu kann, kannro djakan saii wal noruu djankan kan guu deyy kanro saii?
[HANKAA : HANTUM JAARIGNEY DIMMA 0-7 ]</t>
        </is>
      </c>
      <c r="M179" s="272">
        <f>LEN(L179)</f>
        <v/>
      </c>
      <c r="N179" s="282" t="inlineStr">
        <is>
          <t>Ɣur dǎɣ 7 šilan wi dokaynen, maniket šilan alɣayal nawan ad ifnaz tetatenes ən nimɣaran ye as aratan adudaben tetate, fal salan ən iba ən ataɣam meɣ azruf fal ašinš ən ataɣam?
[AMASESTƏN: SAQAYMU HADI ƏN SHILAN ƔUR 0-7]</t>
        </is>
      </c>
      <c r="O179" s="272">
        <f>LEN(N179)</f>
        <v/>
      </c>
      <c r="P179" s="346" t="inlineStr">
        <is>
          <t>Ley ñalaaɗe 7 jeɗɗi cakitiiɗe ɗee, ñalaaɗe foti ɓaade mooɗon ɓuytiri ñaamɗe yimɓe baaligiiɓe faa sukaaɓe keɓa ñaama, saabee rafi neema maa ceede faa cooda neema ?  
[GOLLOOWO : WINNDU AYKA ÑALAAƊE ƊEN 0-7]</t>
        </is>
      </c>
      <c r="Q179" s="272">
        <f>LEN(P179)</f>
        <v/>
      </c>
      <c r="R179" s="347" t="inlineStr">
        <is>
          <t>Range</t>
        </is>
      </c>
      <c r="S179" s="344" t="inlineStr">
        <is>
          <t>NA</t>
        </is>
      </c>
      <c r="T179" s="344" t="inlineStr">
        <is>
          <t>NA</t>
        </is>
      </c>
      <c r="U179" s="272" t="inlineStr">
        <is>
          <t>Form Type - TextBox</t>
        </is>
      </c>
      <c r="V179" s="416" t="inlineStr">
        <is>
          <t>NA</t>
        </is>
      </c>
      <c r="W179" s="147" t="inlineStr">
        <is>
          <t>0-7 = need</t>
        </is>
      </c>
      <c r="X179" s="348" t="n"/>
      <c r="Y179" s="417" t="inlineStr">
        <is>
          <t>For any response, go to need_1</t>
        </is>
      </c>
      <c r="Z179" s="147" t="n"/>
      <c r="AA179" s="148" t="inlineStr">
        <is>
          <t>resp_age = 18-100
hh_agricactivity = 1 | 2 | 3 | 4
quotareached = 2</t>
        </is>
      </c>
      <c r="AB179" s="414" t="n"/>
      <c r="AC179" s="45" t="n">
        <v>17</v>
      </c>
      <c r="AD179" s="280" t="n">
        <v>1</v>
      </c>
      <c r="AE179" s="45">
        <f>AC179*AD179</f>
        <v/>
      </c>
    </row>
    <row r="180" ht="20" customHeight="1" thickBot="1">
      <c r="A180" s="708" t="inlineStr">
        <is>
          <t>H. NEEDS ASSISTANCE</t>
        </is>
      </c>
      <c r="B180" s="739" t="n"/>
      <c r="C180" s="739" t="n"/>
      <c r="D180" s="739" t="n"/>
      <c r="E180" s="739" t="n"/>
      <c r="F180" s="739" t="n"/>
      <c r="G180" s="739" t="n"/>
      <c r="H180" s="739" t="n"/>
      <c r="I180" s="739" t="n"/>
      <c r="J180" s="739" t="n"/>
      <c r="K180" s="739" t="n"/>
      <c r="L180" s="739" t="n"/>
      <c r="M180" s="739" t="n"/>
      <c r="N180" s="739" t="n"/>
      <c r="O180" s="739" t="n"/>
      <c r="P180" s="739" t="n"/>
      <c r="Q180" s="739" t="n"/>
      <c r="R180" s="739" t="n"/>
      <c r="S180" s="739" t="n"/>
      <c r="T180" s="739" t="n"/>
      <c r="U180" s="739" t="n"/>
      <c r="V180" s="739" t="n"/>
      <c r="W180" s="739" t="n"/>
      <c r="X180" s="739" t="n"/>
      <c r="Y180" s="739" t="n"/>
      <c r="Z180" s="739" t="n"/>
      <c r="AA180" s="740" t="n"/>
      <c r="AC180" s="45" t="n"/>
      <c r="AD180" s="280" t="n"/>
      <c r="AE180" s="45" t="n"/>
    </row>
    <row r="181" ht="229.5" customHeight="1">
      <c r="A181" s="334">
        <f>A179+1</f>
        <v/>
      </c>
      <c r="B181" s="36" t="inlineStr">
        <is>
          <t>need</t>
        </is>
      </c>
      <c r="C181" s="48" t="inlineStr">
        <is>
          <t>need</t>
        </is>
      </c>
      <c r="D181" s="38" t="inlineStr">
        <is>
          <t>Does your household need assistance for agricultural activities [including crop, livestock and fisheries/aquaculture activities] over the next 3 to 6 months?
[OPERATOR: SINGLE RESPONSE.]
1)YES
2)NO
3)DON'T KNOW
4)REFUSED</t>
        </is>
      </c>
      <c r="E181" s="39">
        <f>LEN(D181)</f>
        <v/>
      </c>
      <c r="F181" s="51" t="inlineStr">
        <is>
          <t>Votre ménage aura-t-il besoin d'aide pour soutenir son activité agricole [cultures, élevage et pêche/aquaculture] au cours des 3 à 6 prochains mois ?  
[OPÉRATEUR/OPÉRATRICE: RÉPONSE UNIQUE.]
1)OUI
2)NON
3)NE SAIT PAS
4)REFUSÉ</t>
        </is>
      </c>
      <c r="G181" s="39">
        <f>LEN(F181)</f>
        <v/>
      </c>
      <c r="H181" s="51" t="inlineStr">
        <is>
          <t>Aw gwasomɔgɔ mago bɛ sɛnɛbaara dɛmɛni na [kamasɔrɔ suman, bɛgɛnw, jɛgɛ mɔni/jɛgɛ mara baara] kala 3 ka taga 6 fan fɛ?
[NIENIGALIKÈLA: DIABI KELEN.]
1)AWO
2)AYI
3)NE MA DON
4)A BAN NA</t>
        </is>
      </c>
      <c r="I181" s="39">
        <f>LEN(H181)</f>
        <v/>
      </c>
      <c r="J181" s="51" t="inlineStr">
        <is>
          <t>Nim ɛɛ taan ɲaŋa ɛɛ kuroy ni yɛrɛ-kɔ bɛ̀rɛ̀ e uro waru là ojukaa mà walla dene-kɔ maa [dɛ̃rɛ̃ bé,  asɛgɛ maŋŋ,  iiju birɛ bée/nii ĩ mà kɔy kãrã kuno-sà]?
[BIRƐ MA KŨ BAŋA : UɟURU KƆ TURU LE BE SAA-I]
1)ÉE
2)Ɔ̃-Ɔ̃
3)ɟUGƆGO
4)JƆWƆLI</t>
        </is>
      </c>
      <c r="K181" s="39">
        <f>LEN(J181)</f>
        <v/>
      </c>
      <c r="L181" s="51" t="inlineStr">
        <is>
          <t>Fo no er huwo boreyboŋhaw beera farey ndu keley goyey do hare [dummizey, biiriyoŋo wala tamo / hariizey biiriyoŋ goyey] handu hĩza wala handu idduwa kaŋ gu ka ga?
[HANKOYO: DJAABI FO]
1) AYYO
2) KALA
3) A CHI BEY
4) A WANDJI</t>
        </is>
      </c>
      <c r="M181" s="39">
        <f>LEN(L181)</f>
        <v/>
      </c>
      <c r="N181" s="51" t="inlineStr">
        <is>
          <t>Amazaɣ nawan yala erha tadhil fal ashiɣil ən sigyak [ dǎɣ ahan ashiɣilan wən asigyik, ən ajamar əd ukis ən manan/ asidwal ən manan ] ɣur dǎɣ karad uran (3)har (6)uran wi dimalanen?
[AMASSASTAN: ALWAJAB IYANE]
1)IYA
2)ABO
3)WARISSÉNÉGUE
4)OUNDJAYAGUE</t>
        </is>
      </c>
      <c r="O181" s="39">
        <f>LEN(N181)</f>
        <v/>
      </c>
      <c r="P181" s="382" t="inlineStr">
        <is>
          <t xml:space="preserve">Waɗii fuh nde ɓaade mooɗon muuyi banngal demal [tawti e ndemri, mardi e  e liƴƴagol /mardi liƴƴi] ley lebbi tati yaade jeegom garooji?
[LANDOTOODO:  JAABUU GOOTO]
1)AYYO 
2)AA'A. 
3)MO ANDA
4)SALAADE </t>
        </is>
      </c>
      <c r="Q181" s="39">
        <f>LEN(P181)</f>
        <v/>
      </c>
      <c r="R181" s="137" t="inlineStr">
        <is>
          <t>Single Choice</t>
        </is>
      </c>
      <c r="S181" s="39" t="inlineStr">
        <is>
          <t>NA</t>
        </is>
      </c>
      <c r="T181" s="48" t="inlineStr">
        <is>
          <t>NA</t>
        </is>
      </c>
      <c r="U181" s="39" t="inlineStr">
        <is>
          <t>Form Type - Buttons</t>
        </is>
      </c>
      <c r="V181" s="40" t="inlineStr">
        <is>
          <t>NA</t>
        </is>
      </c>
      <c r="W181" s="41" t="inlineStr">
        <is>
          <t>1 = need_2
2-4= need_received</t>
        </is>
      </c>
      <c r="X181" s="335" t="n"/>
      <c r="Y181" s="302" t="inlineStr">
        <is>
          <t>if need_1 = 1, go to need_2
if need_1 = 2-4, go to need_received OR callback</t>
        </is>
      </c>
      <c r="Z181" s="122" t="n"/>
      <c r="AA181" s="43" t="inlineStr">
        <is>
          <t>resp_age = 18-100
hh_agricactivity = 1 | 2 | 3 | 4
quotareached = 2</t>
        </is>
      </c>
      <c r="AB181" s="44" t="n"/>
      <c r="AC181" s="418" t="n">
        <v>19.82824516296387</v>
      </c>
      <c r="AD181" s="374" t="n">
        <v>1</v>
      </c>
      <c r="AE181" s="111">
        <f>AC181*AD181</f>
        <v/>
      </c>
    </row>
    <row r="182" ht="409.6" customHeight="1">
      <c r="A182" s="92">
        <f>A181+1</f>
        <v/>
      </c>
      <c r="B182" s="36" t="inlineStr">
        <is>
          <t>need_2</t>
        </is>
      </c>
      <c r="C182" s="419"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182" s="185"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182" s="27">
        <f>LEN(D182)</f>
        <v/>
      </c>
      <c r="F182" s="82"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182" s="27">
        <f>LEN(F182)</f>
        <v/>
      </c>
      <c r="H182" s="185" t="inlineStr">
        <is>
          <t>Aw gwasomɔgɔ mago belebeleba bɛ sɛnɛbaara dɛmɛni juman na [kamasɔrɔ suman, bɛgɛnw, jɛgɛ mɔni/jɛgɛ mara baara] kala 3 ka taga 6 fan fɛ?
[SƆRƆBATIGI: JAABILI CAMAN N’A BƐ SE. AW YE JAABILI ƝƐNATƆMƆLI KALAN.]
1)Dumuni
2)Warijɛ
3)Bɔnw /Feere walima dɔgɔw
4)Sɛnɛ kɛ minanw walima / nankɔfɛn sɔrɔta [misaliya la si/ angɛrɛ/ sɛnɛ baara minanw]
5)Baara minanw ye ka bɔnsɔn kɛ/walima ka nankɔfɛn sɛnɛ [misaliya la bajalan ye ja jii bɔn sɛnɛ kɛyɔrɔ/pɔnpis]
6)Dɔnniya wala dɔncogo kalan ka sɛnɛ kɛ/ walima ladiliw ye ka bɔsɔn sɔrɔta
7)Bɛgɛnw kadumunu [Bɛgɛnbalobin walima Bɛgɛnbalo dumuni]
8)Bagandɔgɔtɔrɔ sara [Sɔgɔli/ su/ ntumu fura]
9)Baganmara yɔrɔw[jii yɔrɔ/ bagan taga yɔrɔ / bagan layɔrɔ/ bagan furukɛ yɔrɔ]
10)Training &amp; technical knowledge/advice for livestock production
11)Inputs for fishing or aquaculture production
12)Infrastructure for fisheries or aquaculture production [e.g. rehabilitation of port/ repair of ponds]
13)Ɲɔgɔnkalan &amp; baaradegi/laadilikan mɔni ani jɛgɛ mara fan fɛ
14)Sigiyɔrɔ n'a lamini dilanin wala sarwisi baarakɛyɔrɔ dilani [[Komini kɔnɔ]]
15)Yɔrɔ sumalen dilan cogo
16)Sannifeere walima feereli dɛmɛ [misaliya forobafeere]
17)Fɛn wɛrɛ [Fɔ ka jira]
18)A M'A DƆN
19)BANNI</t>
        </is>
      </c>
      <c r="I182" s="27">
        <f>LEN(H182)</f>
        <v/>
      </c>
      <c r="J182" s="185" t="inlineStr">
        <is>
          <t>Dɛ̃rɛ̃-birɛ [dɛ̃rɛ̃ bée, asɛgɛ maŋ iiju ay mà birɛ bée/màa nii ĩ bé kɔy bé kãrã nuno-sà m] mà ojukaa yɔkɔ bel-lè gaara e uro kũũ walla déné-kɔ̀ nim ɛɛ taan máa ɛɛ kuroy yɛrɛ-kɔ kũũ brɛ̀rɛ̀ ?
[BIRƐ BAŊA : KÁSAA BONO GAMA TƐMƐWƐ̃-KƆ. DÉNEE-DÉNEE CƐƐ KŨŨ BÉ JÃŊGA I LA I].
1) Kaaɲey
2) Buudu piru
3)Tike cɛ dɔrɔ lé bè tillɛ̂ máa niɲe duju bé ɛwɛ na gara
4) Dɛ̃rɛ̃ bée sɔmɔy bée ceene jɛ cɛ bè kunaa-ra bé [hɔnɔ/ cɛ-toy bé/ɛ̃gɛrɛ bé/niɲe birɛ-biru bé].
5) Dɛ̃rɛ̃biru bée sɔmɔy ceenu bée mà ojukaa mà danuŋu [hɔnɔ/ nii sɔru ojukaa/nii-goru bé binere ceenu/pompu bé].
6)Fɔrmɔsɔ̃ɔ̃/ jugɔ bèe/tĩwẽ-maŋ mà ojukaa mà tĩrĩwũ nafée-sà bé
7)Asɛgɛ mà kaaɲey bé [ɔyɔ máa kaaɲey bitamin saa bé].
8)Asɛgɛ mà jɔŋ mà ojukaa bé [hɔnɔ/ sɔw/ paŋa mà cɛm-kaa kò loy/ bɛrɛ lɔgɔ mà sum ].
9)Asɛ-maŋ mà ojukaa mà danuŋu [hɔnɔ/ nii mà dii bé/asɛgɛ mà jiru bé/hogo bé/dii asɛgɛ bé jɔŋɔ̃ bé].
10)Fɔrmɔsɔ̃ɔ̃/ jugɔ bèe/asɛgɛ-maŋ mà ojukaa mà tĩrĩwũ nafée-sà bé
11) Iiju ay máa ní ĩ mà kɔy  mà ojukaa bée ceene jɛ cɛ bè kunaa-ra bé
12)  Iiju ay máa ní ĩ mà kɔy  mà ojukaa mà danuŋu bé [hɔnɔ/ nii sɔru ojukaa/bato mà Garasu mà binere ceenu/buro bé céen].
13)Fɔrmɔsɔ̃ɔ̃/ jugɔ bèe/  iiju ay máa ní ĩ mà kɔy mà ojukaa mà tĩrĩwũ nafée-sà bé
14) Bomo máa birɛ ojukaa mɔɔn bé yɛgɛrɛ céenu [ana-nam dagu lè].
15) Firigo bɛ̀rɛ̀ deenu
16) Ɛwɛ dãy bɛruwɛ-kɔ mà hakilɛ máa dɔn dɔ̃ru bé [hɔnɔ/ cɛ gaara inem kò denê beé].
17) Walla laga [wo tégém]
18) JUGƆ-GO WA
19) BÈ YƆWƆ-LI</t>
        </is>
      </c>
      <c r="K182" s="27">
        <f>LEN(J182)</f>
        <v/>
      </c>
      <c r="L182" s="185" t="inlineStr">
        <is>
          <t>Fo no er huwo boreyboŋhaw beera farey ndu keley goyey do hare [dummizey, biiriyoŋo wala tamo / hariizey biiriyoŋ goyey] handu hĩza wala handu idduwa kaŋ gu ka ga ?
[HÃKA : ZAABEY GU BA. ER MU SU SENNEY CEW]
1)ŋaaro
2)nooru kaariizo
3)boŋey wala goyjiney hebo kaŋ se i gu ne fuwaro
4)dumiizey sefermey ndu/wala kelo ga koptey  [sanda/ dumiizey / angerey/ goyjiney].
5)cinarey dumiizye daŋyoŋo se ndu/wala kelo dumiizey [sanda/ gordey kaŋ ga haro gu hure ku dumiizey hãŋendi/ gordu beerey hãseyoŋo/ pompey].
6)formasiyoŋey ndu goyey beyra/ dumiizey goyo teeyoŋ misey 
7)almeney ŋaaro [subey ndu kaarey wala ŋaari foyoŋ.
8)witinnerey goyey [sanda/ censa/ i teyendiyoŋo/ sufuyoŋ nooneey wiyoŋo].
9)almey se cinarey [sanda harukeyey nongorey/ butteley/huwey/ baano nongorey].
10)formasiyoŋo ndu beyrey/ almeney goyo teeyoŋo yaamarey
11)tamo ndu hamiisey biiryoŋo won goyjiney
12)cinarey tamo ndu haro ga baahuney biiryoŋo se [sanda/ nongorey hanseyoŋo/ nongorey kaŋ tamo wala biriiyoŋo gu te hãseyoŋo].
13)formasiyoŋey ndu beyrey tontonyoŋo /yaamarey/ tamo ndu haro ga hayey biiriyoŋo boŋ
14)nongorey windiku bera hãseyoŋo wala cinarey hanseyo [jama borey goyo ].
15)jiney gisi firigowey gayoŋo
16)neera wala neera fondey feryoŋo [sanda/ jama hebu kaŋ se i gun ne marse pipilik].
17)ifoyoŋ [er mu I ci]
18)EY SU BEY
19)WENGE</t>
        </is>
      </c>
      <c r="M182" s="27">
        <f>LEN(L182)</f>
        <v/>
      </c>
      <c r="N182" s="185" t="inlineStr">
        <is>
          <t>Əndekanat təmɣutar ti ogarnen tanfo dǎɣ amazaɣ nawan dǎɣ fal salan ən tadhil ye ašiɣilan wən sigyak [dǎɣ ahan sigyak, asidwal meɣ ašiɣilan wən ukis ən manan/ ajamar] ɣur dǎɣ 3 har 6 uran wi dimalanen?
[ƏMASESTƏN: ILIƔITAN AJOTNEN. WAR TAƔRED TABARATEN]
1)Aminsi
2)Azruf wa itawanhayan
3)Ahusken meɣ edagan wən ilalan 
4)Ilalan ye igitan ən sigyak əd/meɣ ən legumetan [dǎɣ sund/  isiduma/ibarjitan/ ilalan].
5)Idagan fal igitan ən sigyak əd/meɣ ən legumetan [dǎɣ sund/  isiswitan/ ikanan ən tabaraten/pompitan].
6)Asilmad əd təmusne/ adabaratan amutaynen fal igitan ən hiskan 
7)Išiska wən arizeg [alimoz meɣ Išiska əd diwədnen].
8)Ašiɣil wan laktor wan arizeg [dǎɣ sund/ tedek/ asibdag/ ukis ən tiwikawen].
9)Idagan wən arizeg [dǎɣ sund/ edag naman/edag wan asamadon/aɣala/ edag wan asafar].
10)Asilmad əd təmusne/ adabaratan amutaynen fal igitan ən arizeg 
11)Ilalan wən ukis ən manan meɣ ajamar 
12)Idagan wən ukis ən manan meɣ igitan ən ajamar [dǎɣ sund/  ikanan ən silman/ ikanan ən tigašiwen].
13)Asilmad əd təmusne/adabaratan amutaynen fal ukis ən manan meɣ ajamar 
14)Ikanan ən hanzazaɣan meɣ ən dagan [ dǎɣ tebade ən aljamaɣat].
15)Asins ən frigotan 
16)Tilalt ən wi saknen meɣ dǎɣ ašiš [ dǎɣ sund/ hebutan wi nədinat dak].
17)Iyad [laɣatatan]
18)WARISSÉNAGUE
19)OUDIAYAGUE</t>
        </is>
      </c>
      <c r="O182" s="27">
        <f>LEN(N182)</f>
        <v/>
      </c>
      <c r="P182" s="185" t="inlineStr">
        <is>
          <t>Haajuuji ɗiye woni ɓuriɗi waannude nder ɓaade mooɗon banngal demal [tawti e ndemri, mardi e  e liƴƴagol /mardi liƴƴi] ley lebbi tati yaade jeegom garooji? 
[GOLLOOWO : JAABUUJI KEEWƊI NA MBAAWI JAƁEEDE. TAA JANNGU JAABUUJI ƊIN]. 
1) Neema 
2) Ceede meemotooɗe 
3) Talkuru hokkooru neɗɗo laawol no soodira ko haajaa maa luumo birgiiji demal
4) Mballa banngal gineeji demal e /maa lu'ooji [hono/ awdiiriiji / birgiiji / gineeji gollitorɗi]
5) Nyiɓngo banngal gineeji demal e /maa lu'ooji [hono/ laabi biccirɗi ndiyam / moƴƴingol bubbinirɗi / pompiiji]
6) Jannde e annde / tinndungooji banngal aawugol leɗɗe
7) Neemaaji daabaaji [nyaamdu huɗo maa neemaaji goɗɗi]
8) Nokkuuje cafaaje daabaaji [hono/ tufo/ lootugol ɗi cafaaje/ wurtingol gilƴi e nder teketti]
9) Nyiɓngooji daabaaji [hono/ nokkuuje ndiyam / guurti eggirɗi / nokkuuje ɗo ɗi mbaalata /nokkuuje njamu majji]
10) Jannde e annde / tinndungooji banngal marugol daabaaji
 11) Gineeji liƴƴorɗi maa marugol liƴƴi
12) Nyiɓngooji liƴƴorɗi maa marugol liƴƴi [hono/ moƴƴingol hunnduko maayooji / moƴƴingol pete]
13) Jannde e annde / tinndungooji banngal liƴƴagol maa mardi liƴƴi
14) Ummintingol piilki maa nyiɓngooji [ley wuro]
15) Ndesaa nder firgo
16) Mballa banngal jaagu maa coogguuji [hono/ luumo wuro]
17) Goɗɗum [ɗum hollee]
18)ANNDA 
19)SALAADE</t>
        </is>
      </c>
      <c r="Q182" s="27">
        <f>LEN(P182)</f>
        <v/>
      </c>
      <c r="R182" s="153" t="inlineStr">
        <is>
          <t xml:space="preserve">Open Ended-Select All That Apply </t>
        </is>
      </c>
      <c r="S182" s="27" t="inlineStr">
        <is>
          <t>NA</t>
        </is>
      </c>
      <c r="T182" s="27" t="inlineStr">
        <is>
          <t>NA</t>
        </is>
      </c>
      <c r="U182" s="27" t="inlineStr">
        <is>
          <t>Form Type - Checklist
18,19 = IsNone</t>
        </is>
      </c>
      <c r="V182" s="4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W182" s="64" t="inlineStr">
        <is>
          <t>1-19 = need_received</t>
        </is>
      </c>
      <c r="X182" s="319" t="n"/>
      <c r="Y182" s="308" t="inlineStr">
        <is>
          <t>if need_2 = 1-25, go to need_received OR callback</t>
        </is>
      </c>
      <c r="Z182" s="174" t="n"/>
      <c r="AA182" s="43" t="inlineStr">
        <is>
          <t>resp_age = 18-100
hh_agricactivity = 1 | 2 | 3 | 4
quotareached = 2
need = 1</t>
        </is>
      </c>
      <c r="AB182" s="67" t="n"/>
      <c r="AC182" s="111" t="n">
        <v>49.52969360351562</v>
      </c>
      <c r="AD182" s="374" t="n">
        <v>1</v>
      </c>
      <c r="AE182" s="111">
        <f>AC182*AD182</f>
        <v/>
      </c>
    </row>
    <row r="183" ht="360" customHeight="1">
      <c r="A183" s="92">
        <f>A182+1</f>
        <v/>
      </c>
      <c r="B183" s="154" t="inlineStr">
        <is>
          <t>need_received</t>
        </is>
      </c>
      <c r="C183" s="158"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83" s="415"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83" s="272">
        <f>LEN(D183)</f>
        <v/>
      </c>
      <c r="F183" s="282"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183" s="272">
        <f>LEN(F183)</f>
        <v/>
      </c>
      <c r="H183" s="420" t="inlineStr">
        <is>
          <t>Aw gwasomɔgɔ ye dɛmɛ dɔ sɔrɔ kalo 3 tɛmɛnin na wa, no o dɛmɛ suguya juman?
[SƆRƆBATIGI: JAABILI CAMAN N’A BƐ SE. AW YE JAABILI ƝƐNATƆMƆLI KALAN.]
1)Dumuni
2)Warijɛ
3)Bɔnw /Feere walima dɔgɔw
4)Suman/walima nafɛnkɛnɛ feere
5)Bɛgɛn feereli
6)Jɛgɛ mɔni /jɛgɛ mara baara
7)Forobayɔrɔ dilanin wala sarwisi baarakɛyɔrɔ dilani [Komini kɔnɔ]
8)Sannifeere walima feereli dɛmɛ [misaliya forobafeere]
9)Fɛn wɛrɛ [Fɔ ka jira]
10)Dɛmɛ si ma sɔrɔ
11)A M'A DƆN
12)BANNI</t>
        </is>
      </c>
      <c r="I183" s="272">
        <f>LEN(H183)</f>
        <v/>
      </c>
      <c r="J183" s="420" t="inlineStr">
        <is>
          <t xml:space="preserve">
E uro ɛɛ taan dũwõ mi gàrà bè bɛ̀rɛ̀ walla bɛs-sà máa, kin-ii bɛs-sà leyna, bɛy iɲe mà walla-i?
[BIRƐ BAŊA : KÁSAA BONO GAMA TƐMƐWƐ̃-KƆ. DENEE-DÉNEE CƐƐ KUU BE JÃNGA I].
1)Kaaɲey
2)Buudu piru
3)Tike cɛ dɔrɔ lé bè tillɛ̂/niɲe duju bé ɛwɛ na gara
4)Dɛ̃rɛ̃-birɛ máa sɔmɔ̃ keen mà ojuka lé mà walla
5)Asɛgɛ-maŋ mà walla
6)Iiju ay máa nii ĩ mà kɔy lé mà walla
7)Bomo máa birɛ ojukaa mɔɔn bé óy [ana-nam dagu jin lè].
8)Dɔn-paaru máa dɔn-dɔ̃rũ mà walla [hɔnɔ/ marchés publics].
9)Walla laga [wo tégém]
10)Baru[walla] kãã bɛl-li
11)JUGƆ-GO WA 
12) BÈ YƆWƆ-LI</t>
        </is>
      </c>
      <c r="K183" s="272">
        <f>LEN(J183)</f>
        <v/>
      </c>
      <c r="L183" s="420" t="inlineStr">
        <is>
          <t>Hãdu hĩzey wey ndu cere game er huwo du gakusiney? hala a te wo fo no?
[HÃKA : ZAABEY GU BA. ER MU SENNEY CEW].
1)Naaro
2)nooru kaariizo
3)deyyoŋ boŋey/ jiney neera hebo kaŋ se i gu ne fuwaaro
4)dumiizey ndu kelo dumiizey teeyoŋo gaakusina
5)almeney biiriyo
6)tamo ndu /wala haro ga hayey biiriyoŋo gaakusina
7)cinarey ndu windikubera nongorey hãseyoŋo [jama borey do]. 
8)fotooco ndu neera ga gaakusina [sanda/ jama hebo kaŋ se i gu ne marse pibilik]
9)Ifoyoŋ [er mu i ci] 
10)Manu du gaakusiney kulu
11)EY SU BEY
12)WENGE</t>
        </is>
      </c>
      <c r="M183" s="272">
        <f>LEN(L183)</f>
        <v/>
      </c>
      <c r="N183" s="420" t="inlineStr">
        <is>
          <t>Amazaɣ nawan yala igraw tadhil ɣur dǎɣ karad uran wi dokaynen, əd afal iya, matador?
[ƏMASESTƏN : ILIƔITAN AJOTNEN ADOBEN. AƔRAT TABARATEN].
1)Aminsi
2)Azruf wa itawanhayan 
3)Ahusken ən asuk/ idagan wən ilalan 
4)Tadhil ən igitan ən sigyak əd/meɣ ən legumetan 
5)Tadhil ən ajamar 
6)Tadhil ən ukis manan əd/meɣ ən ajamar 
7)Asimusuɣil ən hunzuzaɣ meɣ ən dagan [ dǎɣ tebade ən aljamaɣat] 
8)Tadhil ən šišitan meɣ ən ašiš [dǎɣ sund/  hebutan wi nədinat dak].
9)Iyad [laɣatatan]
10)Wala iyat tadhil tatiwagrawat
11)WARISSÉNAGUE
12)OUDIAYAGUE</t>
        </is>
      </c>
      <c r="O183" s="272">
        <f>LEN(N183)</f>
        <v/>
      </c>
      <c r="P183" s="420" t="inlineStr">
        <is>
          <t>Ɓaade mooɗon heɓii fuh mballa nder lebbi tati cakitiiɗi ɗii, so heɓii, yo ɗum woni ko heɓi? 
[GOLLOOWO : JAABUUJI KEEWƊI NA MBAAWI JAƁEEDE. JANNGU KO WAAWI JAABEEDE]. 
1) Neema
2) Ceede meemotooɗe
3) Talkuru hokkooru neɗɗo laawol no soodira ko haajaa / luumo birgiiji demal
4) Mballa demal e /maa lu'ooji
5) Mballa banngal mardi
6) Mballa banngal liƴƴagol e /maa mardi liƴƴi
7) Moƴƴintingol leydi maa nyiɓngo [nder wuro]
8) Mballa banngal jaagu maa soonnugol [hono/ luumo wuro]
9) Goɗɗum [ɗum hollee]
10) Mballa fuh heɓaaka
11)ANNDA 
12)SALAADE</t>
        </is>
      </c>
      <c r="Q183" s="272">
        <f>LEN(P183)</f>
        <v/>
      </c>
      <c r="R183" s="347" t="inlineStr">
        <is>
          <t xml:space="preserve">Open Ended-Select All That Apply </t>
        </is>
      </c>
      <c r="S183" s="272" t="inlineStr">
        <is>
          <t>NA</t>
        </is>
      </c>
      <c r="T183" s="272" t="inlineStr">
        <is>
          <t>NA</t>
        </is>
      </c>
      <c r="U183" s="272" t="inlineStr">
        <is>
          <t>Form Type - Checklist
Randomize
9,10,11,12 = IsAnchored
10,11,12 = IsNone</t>
        </is>
      </c>
      <c r="V183" s="4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W183" s="188" t="inlineStr">
        <is>
          <t>1-9 = assistance_quality
10-12 = callback</t>
        </is>
      </c>
      <c r="X183" s="325" t="n"/>
      <c r="Y183" s="402" t="inlineStr">
        <is>
          <t>if need_received = 1-9, go to assistance_timeliness OR callback</t>
        </is>
      </c>
      <c r="Z183" s="188" t="n"/>
      <c r="AA183" s="148" t="inlineStr">
        <is>
          <t>resp_age = 18-100
hh_agricactivity = 1 | 2 | 3 | 4
quotareached = 2</t>
        </is>
      </c>
      <c r="AB183" s="67" t="n"/>
      <c r="AC183" s="45" t="n">
        <v>22.02975082397461</v>
      </c>
      <c r="AD183" s="280" t="n">
        <v>1</v>
      </c>
      <c r="AE183" s="45">
        <f>AC183*AD183</f>
        <v/>
      </c>
    </row>
    <row r="184" ht="331.5" customHeight="1" thickBot="1">
      <c r="A184" s="92">
        <f>A183+1</f>
        <v/>
      </c>
      <c r="B184" s="421" t="inlineStr">
        <is>
          <t>assistance_quality</t>
        </is>
      </c>
      <c r="C184" s="158" t="inlineStr">
        <is>
          <t>assistance_quality</t>
        </is>
      </c>
      <c r="D184" s="185"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184" s="96">
        <f>LEN(D184)</f>
        <v/>
      </c>
      <c r="F184" s="145" t="inlineStr">
        <is>
          <t>Avez-vous été satisfait de la qualité de l'assistance reçue?
[OPÉRATEUR/OPÉRATRICE: RÉPONSE UNIQUE. QUALITÉ DE L'ASSISTANCE EN TERMES D'AIDE SUFFISANTE POUR SURMONTER LES DIFFICULTÉS DE PRODUCTION OU DE VENTE.]
1)Oui
2)Non - pas reçue à temps
3)Non - n'a pas répondu à mes besoins
4)Non - la quantité n'était pas suffisante
5)Non - il y avait un problème avec le fournisseur
6)Non - il y a eu un dysfonctionnement de l'aide en nature fournie [par exemple/ des outils de mauvaise qualité]
7)NE SAIT PAS
8)REFUSÉ</t>
        </is>
      </c>
      <c r="G184" s="272">
        <f>LEN(F184)</f>
        <v/>
      </c>
      <c r="H184" s="185" t="inlineStr">
        <is>
          <t>Aw wasanin don ni don nin dɛmɛnin nin wala aw ma wasa? 
[SƆRƆBATIGI: JAABILI KELEN. DƐMƐ ƝUMAN DON MIN BƐ U TIGI NAFA NI U SƆRƆDA WALIMA GWƐLƐYA MIN B’U SIRA KAN A NI U BƐNA SE O MA]
1)ɔwwɔ
2)Ayi – an m’a sɔrɔ joona
3)Ayi – an mago tun t’o la
4)Ayi – a tun man ca
5)Ayi – dibaga tun ye kunbalan sɔrɔ
6)Ayi – Minanw tun cɛnan ani dɛmɛ tun ma dafa [misaliya la o suguya tun cɛɛna]
7)A M'A DƆN
8)BANNI</t>
        </is>
      </c>
      <c r="I184" s="96">
        <f>LEN(H184)</f>
        <v/>
      </c>
      <c r="J184" s="185" t="inlineStr">
        <is>
          <t>Walla eru bè oo mà ɛju mana-sà bè maa ?
[BIRƐ BAŊA : KÁSAARA TUMNO-I. BARU OJUKAA LÉ BARU DƆƆ-SÀ DÃY KÃRÃ MINE CƐƐ BIRU MÁA KÒ DƆ̃RŨ MÀ OJUKAA-NAM BÉ KÒ DOGO-KƆ]
1)eê
2)ɔ̃-ɔ̃ɔ̃ - ɔgu bɛl-li
3) ɔ̃-ɔ̃ɔ̃ – mà kaa saa-li bà
4) ɔ̃-ɔ̃ɔ̃ – ko lugo tɛ̃y-kɔ jĩĩ
5) ɔ̃-ɔ̃ɔ̃ – ine ama baran amaa mà gan porobolɛm daga-i bé
6) ɔ̃-ɔ̃ɔ̃ – ko cɛ bé oo kũũ hawra-li [hɔnɔ/ niɲe mɔɲu pãŋa tɛ̃y].
7) jugɔ-go wa
8) YƆWƆ-LI</t>
        </is>
      </c>
      <c r="K184" s="96">
        <f>LEN(J184)</f>
        <v/>
      </c>
      <c r="L184" s="185" t="inlineStr">
        <is>
          <t>Gaakusina kaŋ i go kande er se, ago ku te er se wala ?
[HÃKA : ZAABU FFOLON. GAAKUSINA KAN DUMO GU WASA KAN GU HINI KU ER SENDEY BEN GOYEYTEYON WALA NEERA MISO BON].
1)ayyo
2)hãha – a manu taru ku ka
3)hãha – a manu wasa ey se
4)hãha – a su boori
5)hãha – ir du sendey bora kaŋ gu kanda do
6)hãha – gaagusina kaŋ i no goyo manu te a mu boori [sanda/ goyjiney kaŋ su boori]
7)SU BEY
8)WENGE</t>
        </is>
      </c>
      <c r="M184" s="272">
        <f>LEN(L184)</f>
        <v/>
      </c>
      <c r="N184" s="185" t="inlineStr">
        <is>
          <t>Tasgadaham dǎɣ almaɣna ən tadhil ta tigrawam ?
 [ƏMASESTƏN : ILIƔI IYANDǍƔ. ALMAƔNA WAN TADHIL DǍƔ SALAN ƏN TADHIL GADAHAT FAL ASIDUBU ƏN AŚAHATAN ƏN IGITAN MEƔ ƏN AŠIŠ].
1)Iya
2)Babo – wadatwagraw salwaq
3)Babo – warasidmar ye timɣutarin
4)Babo – awa igrawaɣ warigdeh
5)Babo – imalti muškila gari wa ihakan
6)Babo – imalti aɣašad ən tadhil dǎɣ əmik was titiwafa [dǎɣ sund/ ilalan winan ahuskat].
7)WARISSÉNAGUE
8)OUDIAYAGUE</t>
        </is>
      </c>
      <c r="O184" s="272">
        <f>LEN(N184)</f>
        <v/>
      </c>
      <c r="P184" s="185" t="inlineStr">
        <is>
          <t>Mballaa mo keɓuɗon oon hawranii ɗon naa noy? 
[GOLLOOWO : JAABU GOOTO. TEDDEENGAL MBALLA ƁANNGAL KO HEƳATA JOOMUM EN FAA KEƁA PEƳƳA WAKKATIIJI TIIƊUƊI ƁANNGAL GOLLALMAA SOONNUGOL. 
1) Ayyo
2) Aa'a - Waraay law
3) Aa'a - humtaay haajuuji am
4) Aa'a - ɗum ɗuuɗaay faa wooɗi
5) Aa'a - tiiɗorma tawaama hakkunde amen e gadduɗo ɗum on
6) Aa'a - mballa on wariraay no haaniri [hono/ gineeji ɗi mbooɗaa ngaddaa]
7)ANNDA 
8)SALAADE</t>
        </is>
      </c>
      <c r="Q184" s="272">
        <f>LEN(P184)</f>
        <v/>
      </c>
      <c r="R184" s="347" t="inlineStr">
        <is>
          <t>Single Choice</t>
        </is>
      </c>
      <c r="S184" s="272" t="inlineStr">
        <is>
          <t>NA</t>
        </is>
      </c>
      <c r="T184" s="272" t="inlineStr">
        <is>
          <t>NA</t>
        </is>
      </c>
      <c r="U184" s="272" t="inlineStr">
        <is>
          <t>Form Type - Buttons</t>
        </is>
      </c>
      <c r="V184" s="156" t="inlineStr">
        <is>
          <t>NA</t>
        </is>
      </c>
      <c r="W184" s="188" t="inlineStr">
        <is>
          <t>1-8 = assistance_provider</t>
        </is>
      </c>
      <c r="X184" s="325" t="n"/>
      <c r="Y184" s="138" t="inlineStr">
        <is>
          <t>If options #1-6 were selected in need_received, this question will be asked Otherwise go to callback.
if need_received = 1-9, go to callback</t>
        </is>
      </c>
      <c r="Z184" s="278" t="n"/>
      <c r="AA184" s="66" t="inlineStr">
        <is>
          <t>resp_age = 18-100
hh_agricactivity = 1 | 2 | 3 | 4
quotareached = 2</t>
        </is>
      </c>
      <c r="AB184" s="422" t="n"/>
      <c r="AC184" s="45" t="n">
        <v>17</v>
      </c>
      <c r="AD184" s="280" t="n">
        <v>1</v>
      </c>
      <c r="AE184" s="45">
        <f>AC184*AD184</f>
        <v/>
      </c>
    </row>
    <row r="185" ht="246" customHeight="1" thickBot="1">
      <c r="A185" s="92">
        <f>A184+1</f>
        <v/>
      </c>
      <c r="B185" s="423" t="inlineStr">
        <is>
          <t>assistance_provider</t>
        </is>
      </c>
      <c r="C185" s="424" t="inlineStr">
        <is>
          <t>assistance_provider
1) assistance_fao
2) assistance_wfp
3) assistance_otherun
4) assistance_gov
5) assistance_ngo
6) assistance_dk
7) assistance_ref</t>
        </is>
      </c>
      <c r="D185" s="425" t="inlineStr">
        <is>
          <t>Who provided your household with this assistance?
[OPERATOR: MULTIPLE RESPONSE.]
1)FAO
2)WFP
3)Other UN agencies
4)Government
5)Non-governmental/local organization
6)DON'T KNOW
7)REFUSED</t>
        </is>
      </c>
      <c r="E185" s="272">
        <f>LEN(D185)</f>
        <v/>
      </c>
      <c r="F185" s="282" t="inlineStr">
        <is>
          <t>Qui a fourni cette aide à votre ménage?
[OPÉRATEUR/OPÉRATRICE: RÉPONSE MULTIPLE.]
1)FAO
2)PAM
3)Autres agences des Nations Unies
4)Gouvernment
5)Organisation non-gouvernmentale/locale
6)NE SAIT PAS
7)REFUSÉ</t>
        </is>
      </c>
      <c r="G185" s="272">
        <f>LEN(F185)</f>
        <v/>
      </c>
      <c r="H185" s="426" t="inlineStr">
        <is>
          <t>Jon don y'i dɛmɛni kɛ i gwaso mɔgɔw ma?
[SƆRƆBATIGI: JAABILI CAMAN.]
1)FAO
2)WFP
3)ONU ka baarabolo wɛrɛ
4)Gofɛrnɛma 
5)kɛnyɛrɛyenjɛkulu
6)A M'A DƆN
7)BANNI</t>
        </is>
      </c>
      <c r="I185" s="272">
        <f>LEN(H185)</f>
        <v/>
      </c>
      <c r="J185" s="426" t="inlineStr">
        <is>
          <t>Aa-i ko kũũ mà wállá e uro wállà ?
[BIRƐ BAŊA : KASAARA BOŊO-I].
1)PAO
2)PAM
3)Nasɔ̃ʒini mà mɔɔn-uro laga 
4)Gɔbɔnɛɛru
5)Poroʒe gɔbɔnɛɛru lé mɔrɔ̃-la/poroʒe daga
6)REFUS
7) YƆWƆ-LI</t>
        </is>
      </c>
      <c r="K185" s="272">
        <f>LEN(J185)</f>
        <v/>
      </c>
      <c r="L185" s="426" t="inlineStr">
        <is>
          <t>Mey no ku kande er huwo won gaakusina?
[HÃKA : ZAABEY KOON].
1)FAO
2)WEP
3)Nasiyoŋ ini won azans foyoŋ
4)gofonduma
5)ONGey kaŋ go nongoro ga
6)EY SU BEY
7)WENGE</t>
        </is>
      </c>
      <c r="M185" s="272">
        <f>LEN(L185)</f>
        <v/>
      </c>
      <c r="N185" s="426" t="inlineStr">
        <is>
          <t>Əndek wa ifan tadhil ten amazaɣ nawan?
[ƏMASESTƏN : ILIƔITAN AJOTNEN].
1)FAO
2)WFP
3)Iyad idagan ən Nations Unies 
4)Inamokalan
5)Tartiət wid tila tinimukila/ən kal akal
6)WARISSÉNAGUE
7)OUDIAYAGUE</t>
        </is>
      </c>
      <c r="O185" s="272">
        <f>LEN(N185)</f>
        <v/>
      </c>
      <c r="P185" s="282" t="inlineStr">
        <is>
          <t>Moy waɗani ɓaade mooɗon nden moƴƴere? 
[GOLLOOWO : JAABUUJI KEEWƊI NA MBAAWI JAƁEEDE.]
1)FAO
2)WFP
3)Waalde Nason Jini
4)Gofernama 
5)Waalde nden waldaa e laamu/ jeyaande e nder leydi mooɗon. 
6)ANNDA. 
7)SALAADE</t>
        </is>
      </c>
      <c r="Q185" s="272">
        <f>LEN(P185)</f>
        <v/>
      </c>
      <c r="R185" s="347" t="inlineStr">
        <is>
          <t>Select All That Apply</t>
        </is>
      </c>
      <c r="S185" s="272" t="inlineStr">
        <is>
          <t>NA</t>
        </is>
      </c>
      <c r="T185" s="272" t="inlineStr">
        <is>
          <t>NA</t>
        </is>
      </c>
      <c r="U185" s="272" t="inlineStr">
        <is>
          <t>Form Type - Checklist
6,7 = IsNone</t>
        </is>
      </c>
      <c r="V185" s="213" t="inlineStr">
        <is>
          <t>1)assistance_fao
2)assistance_wfp
3)assistance_otherun
4)assistance_gov
5)assistance_ngo
6)assistance_dk
7)assistance_ref</t>
        </is>
      </c>
      <c r="W185" s="188" t="inlineStr">
        <is>
          <t>1-7 = callback</t>
        </is>
      </c>
      <c r="X185" s="348" t="n"/>
      <c r="Y185" s="402" t="inlineStr">
        <is>
          <t>if need_received = 1-9, go to assistance_timeliness OR callback</t>
        </is>
      </c>
      <c r="Z185" s="188" t="n"/>
      <c r="AA185" s="148" t="inlineStr">
        <is>
          <t>resp_age = 18-100
hh_agricactivity = 1 | 2 | 3 | 4
quotareached = 2</t>
        </is>
      </c>
      <c r="AB185" s="67" t="n"/>
      <c r="AC185" s="45" t="n">
        <v>22.02975082397461</v>
      </c>
      <c r="AD185" s="280" t="n">
        <v>1</v>
      </c>
      <c r="AE185" s="45">
        <f>AC185*AD185</f>
        <v/>
      </c>
    </row>
    <row r="186" ht="20" customHeight="1" thickBot="1">
      <c r="A186" s="708" t="inlineStr">
        <is>
          <t>I. CLOSING</t>
        </is>
      </c>
      <c r="B186" s="739" t="n"/>
      <c r="C186" s="739" t="n"/>
      <c r="D186" s="739" t="n"/>
      <c r="E186" s="739" t="n"/>
      <c r="F186" s="739" t="n"/>
      <c r="G186" s="739" t="n"/>
      <c r="H186" s="739" t="n"/>
      <c r="I186" s="739" t="n"/>
      <c r="J186" s="739" t="n"/>
      <c r="K186" s="739" t="n"/>
      <c r="L186" s="739" t="n"/>
      <c r="M186" s="739" t="n"/>
      <c r="N186" s="739" t="n"/>
      <c r="O186" s="739" t="n"/>
      <c r="P186" s="739" t="n"/>
      <c r="Q186" s="739" t="n"/>
      <c r="R186" s="739" t="n"/>
      <c r="S186" s="739" t="n"/>
      <c r="T186" s="739" t="n"/>
      <c r="U186" s="739" t="n"/>
      <c r="V186" s="739" t="n"/>
      <c r="W186" s="739" t="n"/>
      <c r="X186" s="739" t="n"/>
      <c r="Y186" s="739" t="n"/>
      <c r="Z186" s="739" t="n"/>
      <c r="AA186" s="740" t="n"/>
      <c r="AC186" s="45" t="n"/>
      <c r="AD186" s="280" t="n"/>
      <c r="AE186" s="45" t="n"/>
    </row>
    <row r="187" ht="140" customHeight="1">
      <c r="A187" s="334">
        <f>A185+1</f>
        <v/>
      </c>
      <c r="B187" s="36" t="inlineStr">
        <is>
          <t>callback</t>
        </is>
      </c>
      <c r="C187" s="48" t="inlineStr">
        <is>
          <t>callback</t>
        </is>
      </c>
      <c r="D187" s="38" t="inlineStr">
        <is>
          <t>Your answers will help us to understand and respond to your community needs. May we call you back again in a few months?
[OPERATOR: SINGLE RESPONSE.]
1)YES
2)NO</t>
        </is>
      </c>
      <c r="E187" s="39">
        <f>LEN(D187)</f>
        <v/>
      </c>
      <c r="F187" s="53" t="inlineStr">
        <is>
          <t>Vos réponses nous aideront à comprendre les besoins de votre communauté et à y répondre. Pouvons-nous vous rappeler dans quelques mois ?
[OPÉRATEUR/OPÉRATRICE: RÉPONSE UNIQUE.]
1)Oui
2)Non</t>
        </is>
      </c>
      <c r="G187" s="39">
        <f>LEN(F187)</f>
        <v/>
      </c>
      <c r="H187" s="119" t="inlineStr">
        <is>
          <t>I ka diabi be an dèmè ka famouyali kè walasa kaw ka denkou diabi. An be se kaw wele nienigali wèrè la wa?
[NIENIGALIKÈLA: DIABI KELEN. KANA  BO SIRAW KALAN]
1)AWO
2)AYI</t>
        </is>
      </c>
      <c r="I187" s="39">
        <f>LEN(H187)</f>
        <v/>
      </c>
      <c r="J187" s="119" t="inlineStr">
        <is>
          <t>Yabiriye ébé gô bé sababou lé kidiè é nanwa diougô déyi, Baye lé seroumou dèye éyi bonou bèbè gonyi?
[SEROUMOU SEROUMOUNE: YABIRIYEYE TOUROU]
1)EH
2)AYI</t>
        </is>
      </c>
      <c r="K187" s="39">
        <f>LEN(J187)</f>
        <v/>
      </c>
      <c r="L187" s="58" t="inlineStr">
        <is>
          <t>War dajbey ga hansa ka irga ka faham nda hayeye kan war ga mouradey war labora. Yalla ir ga hine ka ni tja koyené han yan fotan yan'ra?
[HANKOYO: A CHI HINE SOUBA. IFFO DE SOUBA]
1)AYYO
2)KALA</t>
        </is>
      </c>
      <c r="M187" s="60">
        <f>LEN(L187)</f>
        <v/>
      </c>
      <c r="N187" s="59" t="inlineStr">
        <is>
          <t>Issalanes hanague tifames hanague ilalanes dague almoud nakal nawane ide awah samigatar akal nawane, adjim nadobe darate awah akawane naguire yé issalanes iyade?
[AMASSASTAN : WATEGREDE AKAL ASSOUDMARE IYENE]
1)IYA
2)ABO</t>
        </is>
      </c>
      <c r="O187" s="60">
        <f>LEN(N187)</f>
        <v/>
      </c>
      <c r="P187" s="59" t="inlineStr">
        <is>
          <t>Jaabuuji dii hallan mi faamude sanne e naotude gidali geeenndikobe mon.Min don waawi noddude ley humpitagol ngaroodi na ?
[LANNDOTOODO : PATTI JANNGU JAABUU. SUUBU JAABUU GOOTO TAN]
1)AYYO
2)A'AA</t>
        </is>
      </c>
      <c r="Q187" s="39">
        <f>LEN(P187)</f>
        <v/>
      </c>
      <c r="R187" s="39" t="inlineStr">
        <is>
          <t>Single Choice</t>
        </is>
      </c>
      <c r="S187" s="39" t="inlineStr">
        <is>
          <t>NA</t>
        </is>
      </c>
      <c r="T187" s="39" t="inlineStr">
        <is>
          <t>NA</t>
        </is>
      </c>
      <c r="U187" s="39" t="inlineStr">
        <is>
          <t>Form Type - Buttons</t>
        </is>
      </c>
      <c r="V187" s="40" t="inlineStr">
        <is>
          <t>NA</t>
        </is>
      </c>
      <c r="W187" s="697" t="inlineStr">
        <is>
          <t>1-2 = future_int_day</t>
        </is>
      </c>
      <c r="X187" s="335" t="n"/>
      <c r="Y187" s="302" t="inlineStr">
        <is>
          <t>if callback = 1
if 2, go to language2</t>
        </is>
      </c>
      <c r="Z187" s="122" t="n"/>
      <c r="AA187" s="43" t="inlineStr">
        <is>
          <t>resp_age = 18-100
hh_agricactivity = 1 | 2 | 3 | 4
quotareached = 2</t>
        </is>
      </c>
      <c r="AB187" s="44" t="n"/>
      <c r="AC187" s="111" t="n">
        <v>36.78304672241211</v>
      </c>
      <c r="AD187" s="374" t="n">
        <v>1</v>
      </c>
      <c r="AE187" s="111">
        <f>AC187*AD187</f>
        <v/>
      </c>
    </row>
    <row r="188" ht="28.25" customFormat="1" customHeight="1" s="616">
      <c r="A188" s="679">
        <f>A187+1</f>
        <v/>
      </c>
      <c r="B188" s="680" t="inlineStr">
        <is>
          <t>leader_contact</t>
        </is>
      </c>
      <c r="C188" s="607" t="inlineStr">
        <is>
          <t>phone_number_leader_yn</t>
        </is>
      </c>
      <c r="D188" s="681" t="inlineStr">
        <is>
          <t>Can you provide me with the contact information of a leader in your community?
[OPERATOR: SINGLE RESPONSE.]
1)YES 
2)NO
3)DON'T KNOW
4)REFUSED</t>
        </is>
      </c>
      <c r="E188" s="682">
        <f>LEN(D188)</f>
        <v/>
      </c>
      <c r="F188" s="681" t="inlineStr">
        <is>
          <t>Pouvez-vous me donner les coordonnées d'une personnalité influente de votre communauté ?
[OPÉRATEUR/OPÉRATRICE: RÉPONSE UNIQUE.]
1)Oui
2)Non
3)NE SAIT PAS
4)REFUSÉ</t>
        </is>
      </c>
      <c r="G188" s="682">
        <f>LEN(F188)</f>
        <v/>
      </c>
      <c r="H188" s="683" t="inlineStr">
        <is>
          <t>Aw bu se k’a ka jɛnkulu ɲɛmɔgɔ dɔ ka nigɛjuru sira di ne ma wa? 
[NIENIGALIKÈLA: DIABI KELEN.]
1)AWO
2)AYI
3)NE MA DON
4)A BAN NA</t>
        </is>
      </c>
      <c r="I188" s="682">
        <f>LEN(H188)</f>
        <v/>
      </c>
      <c r="J188" s="683" t="inlineStr">
        <is>
          <t>E iɟubay ɟire nam le mi ɟɔnɔ bɛrɛ go bee?
[BIRƐ MA KŨ BAŋA : UɟURU KƆ TURU LE BE SAA-I]
1)ÉE
2)Ɔ̃-Ɔ̃
3)ɟUGƆGO
4)JƆWƆLI</t>
        </is>
      </c>
      <c r="K188" s="682">
        <f>LEN(J188)</f>
        <v/>
      </c>
      <c r="L188" s="626" t="inlineStr">
        <is>
          <t>Ergu hinnu kuu er wonuu al beera silman keyney ne cee?
[HANKOYO: DJAABI FO]
1) AYYO
2) KALA
3) A CHI BEY
4) A WANDJI</t>
        </is>
      </c>
      <c r="M188" s="682">
        <f>LEN(L188)</f>
        <v/>
      </c>
      <c r="N188" s="581" t="inlineStr">
        <is>
          <t>Tadobem atifamahi ismawan ən amanokal ən tamite tartit?
[AMASSASTAN: ALWAJAB IYANE]
1)IYA
2)ABO
3)WARISSÉNÉGUE
4)OUNDJAYAGUE</t>
        </is>
      </c>
      <c r="O188" s="682">
        <f>LEN(N188)</f>
        <v/>
      </c>
      <c r="P188" s="626" t="inlineStr">
        <is>
          <t>Oɗon mbaawi hokkude kam lamba ardo wuro mooɗon ?
[LANDOTOODO:  JAABUU GOOTO]
1)AYYO 
2)AA'A. 
3)MO ANDA
4)SALAADE</t>
        </is>
      </c>
      <c r="Q188" s="682">
        <f>LEN(P188)</f>
        <v/>
      </c>
      <c r="R188" s="682" t="inlineStr">
        <is>
          <t>Single Choice</t>
        </is>
      </c>
      <c r="S188" s="682" t="inlineStr">
        <is>
          <t>NA</t>
        </is>
      </c>
      <c r="T188" s="682" t="inlineStr">
        <is>
          <t>NA</t>
        </is>
      </c>
      <c r="U188" s="682" t="inlineStr">
        <is>
          <t>Form Type - Buttons</t>
        </is>
      </c>
      <c r="V188" s="575" t="inlineStr">
        <is>
          <t>NA</t>
        </is>
      </c>
      <c r="W188" s="684" t="inlineStr">
        <is>
          <t>1 = leader_type
2-4 = future_int_day</t>
        </is>
      </c>
      <c r="X188" s="634" t="inlineStr">
        <is>
          <t>AY: This question is not in the validated questionnaire hence has been removed</t>
        </is>
      </c>
      <c r="Y188" s="685" t="inlineStr">
        <is>
          <t>if leader_contact = 1, go to leader_type;
if leader_contact = 2-4, go to future_int_day</t>
        </is>
      </c>
      <c r="Z188" s="576" t="n"/>
      <c r="AA188" s="686" t="inlineStr">
        <is>
          <t>resp_age = 18-100
hh_agricactivity = 1 | 2 | 3 | 4
quotareached = 2</t>
        </is>
      </c>
      <c r="AB188" s="687" t="n"/>
      <c r="AC188" s="688" t="n">
        <v>10</v>
      </c>
      <c r="AD188" s="689" t="n">
        <v>1</v>
      </c>
      <c r="AE188" s="690">
        <f>AC188*AD188</f>
        <v/>
      </c>
    </row>
    <row r="189" ht="28.25" customFormat="1" customHeight="1" s="616">
      <c r="A189" s="679">
        <f>A188+1</f>
        <v/>
      </c>
      <c r="B189" s="680" t="inlineStr">
        <is>
          <t>leader_type</t>
        </is>
      </c>
      <c r="C189" s="607" t="inlineStr">
        <is>
          <t>leader_type</t>
        </is>
      </c>
      <c r="D189" s="681" t="inlineStr">
        <is>
          <t>What type of community leader can you provide information for?
[OPERATOR: SINGLE RESPONSE.]
1)Village/ town administrator
2)Agricultural extension officer
3)Health extension officer
4)Teacher
5)Other [specify]
6)DON'T KNOW
7)REFUSED</t>
        </is>
      </c>
      <c r="E189" s="682">
        <f>LEN(D189)</f>
        <v/>
      </c>
      <c r="F189" s="681" t="inlineStr">
        <is>
          <t>Pour quel type de personnalité influente pouvez-vous fournir des informations ?
[OPÉRATEUR/OPÉRATRICE: RÉPONSE UNIQUE.]
1)Administrateur du village/de la ville
2)Agent de vulgarisation agricole
3)Agent de vulgarisation sanitaire
4)Enseignant
5)Autre [préciser]
6)NE SAIT PAS
7)REFUSÉ</t>
        </is>
      </c>
      <c r="G189" s="682">
        <f>LEN(F189)</f>
        <v/>
      </c>
      <c r="H189" s="683" t="inlineStr">
        <is>
          <t>Aw bɛ se ka kunafoni di jɛnkulu ɲɛmɔgɔ  sugu jumɛn le koo la? 
[NIENIGALIKÈLA: DIABI KELEN.]
1)Dugu koɲanabɔbaa/duguba ta. 
2)Sɛnɛ dilanni baaraso. 
3)Kɛnɛya baaraso. 
4)Lakɔli karamɔgɔ 
5)Dɔ wɛrɛw [u perepere]
6)NE MA DON
7)A BAN NA</t>
        </is>
      </c>
      <c r="I189" s="682">
        <f>LEN(H189)</f>
        <v/>
      </c>
      <c r="J189" s="683" t="inlineStr">
        <is>
          <t>Cɛ iɲe kũ baŋa min le sifɛ togo bɛrɛ be?
[BIRƐ MA KŨ BAŋA : UɟURU KƆ TURU LE BE SAA-I]
1)Ana ma administrastɛru/ana. 
2)Waru ma oɟuka le hakillɛ teren.
3)Sĩĩlɛ be ɟɔŋ oɟuka le hakillɛ teren. 
4)Inen ɟãgan
5)Léyi [indjèye]
6)ɟUGƆGO
7)JƆWƆLI</t>
        </is>
      </c>
      <c r="K189" s="682">
        <f>LEN(J189)</f>
        <v/>
      </c>
      <c r="L189" s="683" t="inlineStr">
        <is>
          <t>Djama al beera fo cenu erguun al habarre noo  ?
[HANKOYO: DJAABI FO]
1)Kuura djin nuu burra .                         
2)Kuura kan guu ceebee  farimoo misso 
3)Boora kan guu ceebee banu misso . 
4)Cewendu kaa 
5)Ifo yong [laabudda]
6) A CHI BEY
7)A WANDJI</t>
        </is>
      </c>
      <c r="M189" s="682">
        <f>LEN(L189)</f>
        <v/>
      </c>
      <c r="N189" s="683" t="inlineStr">
        <is>
          <t xml:space="preserve">Indek iri ən amanokal ən tartit astadobem ihuk ən isalan ?
[AMASSASTAN: ALWAJAB IYANE]
1)Emanahad ən akal/ən taɣrimt . 
2)Masis ən isiknitan nagayak. 
3)Masis ən isiknitan win asisifar.  
4)Emasaɣar
5)Iyad [laɣatatan]. 
6)WARISENAƔ. 
7)UGAY </t>
        </is>
      </c>
      <c r="O189" s="682">
        <f>LEN(N189)</f>
        <v/>
      </c>
      <c r="P189" s="626" t="inlineStr">
        <is>
          <t>Hono ardo ɗumeeniijo kokkataa kam lamba muuɗum ?
[LANDOTOODO:  JAABUU GOOTO]
1)Dariiɗo dow innde laamu leydi nder saare/wuro ngon. 
2)Ekkitoowo yimɓe annde banngal demal. 
3)Ekkitoowo yimɓe annde banngal njamu.
4)Museli
5)Goddu [sifaade]  
6)ANNDA 
7)SALAADE</t>
        </is>
      </c>
      <c r="Q189" s="682">
        <f>LEN(P189)</f>
        <v/>
      </c>
      <c r="R189" s="682" t="inlineStr">
        <is>
          <t>Open Ended-Single Choice</t>
        </is>
      </c>
      <c r="S189" s="682" t="inlineStr">
        <is>
          <t>NA</t>
        </is>
      </c>
      <c r="T189" s="682" t="inlineStr">
        <is>
          <t>NA</t>
        </is>
      </c>
      <c r="U189" s="682" t="inlineStr">
        <is>
          <t>Form Type - RadioList</t>
        </is>
      </c>
      <c r="V189" s="575" t="inlineStr">
        <is>
          <t>NA</t>
        </is>
      </c>
      <c r="W189" s="684" t="inlineStr">
        <is>
          <t>1-7 = phone_number_leader</t>
        </is>
      </c>
      <c r="X189" s="634" t="inlineStr">
        <is>
          <t>AY: This question is not in the validated questionnaire hence has been removed</t>
        </is>
      </c>
      <c r="Y189" s="685" t="inlineStr">
        <is>
          <t>if leader_type = 1-7, go to phone_number_leader</t>
        </is>
      </c>
      <c r="Z189" s="576" t="n"/>
      <c r="AA189" s="686" t="inlineStr">
        <is>
          <t>resp_age = 18-100
hh_agricactivity = 1 | 2 | 3 | 4
quotareached = 2
phone_number_leader_yn = 1</t>
        </is>
      </c>
      <c r="AB189" s="687" t="n"/>
      <c r="AC189" s="688" t="n">
        <v>10</v>
      </c>
      <c r="AD189" s="689" t="n">
        <v>1</v>
      </c>
      <c r="AE189" s="690">
        <f>AC189*AD189</f>
        <v/>
      </c>
    </row>
    <row r="190" ht="28.25" customFormat="1" customHeight="1" s="616">
      <c r="A190" s="679">
        <f>A189+1</f>
        <v/>
      </c>
      <c r="B190" s="680" t="inlineStr">
        <is>
          <t>phone_number_leader</t>
        </is>
      </c>
      <c r="C190" s="607" t="inlineStr">
        <is>
          <t>phone_number_leader</t>
        </is>
      </c>
      <c r="D190" s="681" t="inlineStr">
        <is>
          <t>What is the leader's phone number?
[OPERATOR: RECORD THE NUMBER GIVEN]</t>
        </is>
      </c>
      <c r="E190" s="682">
        <f>LEN(D190)</f>
        <v/>
      </c>
      <c r="F190" s="681" t="inlineStr">
        <is>
          <t>Quel est le numéro de téléphone de cette personnalité influente ?
[OPÉRATEUR : ENREGISTRER LE NUMÉRO DE TÉLÉPHONE DONNÉ]</t>
        </is>
      </c>
      <c r="G190" s="682">
        <f>LEN(F190)</f>
        <v/>
      </c>
      <c r="H190" s="683" t="inlineStr">
        <is>
          <t xml:space="preserve">Jɛnkulu ɲɛmɔgɔ ka nigɛjuru sira ye jumɛn de ye? 
[SƆRƆBATIGI: NIGƐJURU SIRA MIN DIRA SƐBƐ] </t>
        </is>
      </c>
      <c r="I190" s="682">
        <f>LEN(H190)</f>
        <v/>
      </c>
      <c r="J190" s="683" t="inlineStr">
        <is>
          <t>Wo limɔrɔ̃ jɔkɔ-i?
[BIRƐ MA KŨ BAŋA : LIMƆRÕ ERU BE Ô TƆ̃ŊƆ̃ I]</t>
        </is>
      </c>
      <c r="K190" s="682">
        <f>LEN(J190)</f>
        <v/>
      </c>
      <c r="L190" s="683" t="inlineStr">
        <is>
          <t>Ar beera lambaa?
[HANKAA : TELEFONO LAMBAA HANTUM]</t>
        </is>
      </c>
      <c r="M190" s="682">
        <f>LEN(L190)</f>
        <v/>
      </c>
      <c r="N190" s="683" t="inlineStr">
        <is>
          <t>Indek numoro wan téléfone tan amanokal ?
[EMASESTƏN : SAQAYMU NUMORO ƏN TELEFONE WA TIWAFAN]</t>
        </is>
      </c>
      <c r="O190" s="682">
        <f>LEN(N190)</f>
        <v/>
      </c>
      <c r="P190" s="626" t="inlineStr">
        <is>
          <t>Foti woni lamba ardo on ?
[GOLLOOWO : MBINNDON CALLALOL KOKKAANGOL]</t>
        </is>
      </c>
      <c r="Q190" s="682">
        <f>LEN(P190)</f>
        <v/>
      </c>
      <c r="R190" s="682" t="inlineStr">
        <is>
          <t>Range</t>
        </is>
      </c>
      <c r="S190" s="604" t="inlineStr">
        <is>
          <t>NA</t>
        </is>
      </c>
      <c r="T190" s="604" t="inlineStr">
        <is>
          <t>NA</t>
        </is>
      </c>
      <c r="U190" s="604" t="inlineStr">
        <is>
          <t>Form Type - TextBox</t>
        </is>
      </c>
      <c r="V190" s="575" t="inlineStr">
        <is>
          <t>NA</t>
        </is>
      </c>
      <c r="W190" s="684" t="inlineStr">
        <is>
          <t>1000000-9999999999999 = leader_name</t>
        </is>
      </c>
      <c r="X190" s="691" t="inlineStr">
        <is>
          <t>AY: This question is not in the validated questionnaire hence has been removed</t>
        </is>
      </c>
      <c r="Y190" s="685" t="inlineStr">
        <is>
          <t>For any response, go to leader_name</t>
        </is>
      </c>
      <c r="Z190" s="576" t="n"/>
      <c r="AA190" s="686" t="inlineStr">
        <is>
          <t>resp_age = 18-100
hh_agricactivity = 1 | 2 | 3 | 4
quotareached = 2
phone_number_leader_yn = 1</t>
        </is>
      </c>
      <c r="AB190" s="687" t="n"/>
      <c r="AC190" s="688" t="n">
        <v>10</v>
      </c>
      <c r="AD190" s="689" t="n">
        <v>1</v>
      </c>
      <c r="AE190" s="690">
        <f>AC190*AD190</f>
        <v/>
      </c>
    </row>
    <row r="191" ht="28.25" customFormat="1" customHeight="1" s="616">
      <c r="A191" s="679">
        <f>A190+1</f>
        <v/>
      </c>
      <c r="B191" s="680" t="inlineStr">
        <is>
          <t>leader_name</t>
        </is>
      </c>
      <c r="C191" s="607" t="inlineStr">
        <is>
          <t>leader_name</t>
        </is>
      </c>
      <c r="D191" s="692" t="inlineStr">
        <is>
          <t>What is the leader's name?
[OPERATOR: RECORD THE NAME OF THE CONTACT FOR THE PHONE NUMBER.]</t>
        </is>
      </c>
      <c r="E191" s="693">
        <f>LEN(D191)</f>
        <v/>
      </c>
      <c r="F191" s="681" t="inlineStr">
        <is>
          <t>Quel est le nom de cette personnalité influente?
[OPÉRATEUR/OPÉRATRICE: SAISIR LE NOM ASSOCIÉ AU NUMÉRO.]</t>
        </is>
      </c>
      <c r="G191" s="682">
        <f>LEN(F191)</f>
        <v/>
      </c>
      <c r="H191" s="683" t="inlineStr">
        <is>
          <t>Jɛnkulu ɲɛmɔgɔ tɔgɔ ko di? 
[SƆRƆBATIGI: AW YE TAALIKƐLA TƆGƆ SƐBƐN ANI A LIMCCRCC SƐBƐN]</t>
        </is>
      </c>
      <c r="I191" s="693">
        <f>LEN(H191)</f>
        <v/>
      </c>
      <c r="J191" s="683" t="inlineStr">
        <is>
          <t>Wo bon jow-ɟin gaba ?
[BIRƐ BAŊA : KÒ TÉLPƆN MÀ LIMƆRƆ̃ LÉ KÒ INEN BÈ BƆ̃RƆ̃N MÀ BON TƆ̃NƆ̃ KUNO].</t>
        </is>
      </c>
      <c r="K191" s="693">
        <f>LEN(J191)</f>
        <v/>
      </c>
      <c r="L191" s="683" t="inlineStr">
        <is>
          <t>Ar beera mayoo? 
[HÃKA : ER MU BORA MAAYO, NDU A TELFONO LAMBA ANTUM].</t>
        </is>
      </c>
      <c r="M191" s="682">
        <f>LEN(L191)</f>
        <v/>
      </c>
      <c r="N191" s="683" t="inlineStr">
        <is>
          <t>Indek isim ən amanokal ?
[ƏMASESTƏN : ILIƔITAN ƏSIM ƏN AWADƏM WA MANAN ATWIƔIR FAL LIMARO ƏN TELEFONE].</t>
        </is>
      </c>
      <c r="O191" s="682">
        <f>LEN(N191)</f>
        <v/>
      </c>
      <c r="P191" s="626" t="inlineStr">
        <is>
          <t>Noy woni innde ardo on?
[GOLLOOWO : WINNDU INNDE ƁAAWƊO NODDEDE E LAMBA MUUƊUM].</t>
        </is>
      </c>
      <c r="Q191" s="682">
        <f>LEN(P191)</f>
        <v/>
      </c>
      <c r="R191" s="682" t="inlineStr">
        <is>
          <t>Open Ended</t>
        </is>
      </c>
      <c r="S191" s="682" t="inlineStr">
        <is>
          <t>NA</t>
        </is>
      </c>
      <c r="T191" s="682" t="inlineStr">
        <is>
          <t>NA</t>
        </is>
      </c>
      <c r="U191" s="604" t="inlineStr">
        <is>
          <t>Form Type - TextBox</t>
        </is>
      </c>
      <c r="V191" s="575" t="inlineStr">
        <is>
          <t>NA</t>
        </is>
      </c>
      <c r="W191" s="684" t="inlineStr">
        <is>
          <t>Any Response = future_int_day</t>
        </is>
      </c>
      <c r="X191" s="691" t="inlineStr">
        <is>
          <t>AY: This question is not in the validated questionnaire hence has been removed</t>
        </is>
      </c>
      <c r="Y191" s="685" t="inlineStr">
        <is>
          <t>For any response, go to future_int_day</t>
        </is>
      </c>
      <c r="Z191" s="576" t="n"/>
      <c r="AA191" s="686" t="n"/>
      <c r="AB191" s="687" t="n"/>
      <c r="AC191" s="694" t="n">
        <v>10</v>
      </c>
      <c r="AD191" s="695" t="n">
        <v>1</v>
      </c>
      <c r="AE191" s="696">
        <f>AC191*AD191</f>
        <v/>
      </c>
    </row>
    <row r="192" ht="274.5" customFormat="1" customHeight="1" s="203">
      <c r="A192" s="192">
        <f>A191+1</f>
        <v/>
      </c>
      <c r="B192" s="193" t="inlineStr">
        <is>
          <t>future_int_day</t>
        </is>
      </c>
      <c r="C192" s="194" t="inlineStr">
        <is>
          <t>future_int_day_
1) future_int_day_mon
2) future_int_day_tues
3) future_int_day_wed
4) future_int_day_thurs
5) future_int_day_fri
6) future_int_day_sat
7) future_int_day_sun</t>
        </is>
      </c>
      <c r="D192" s="195" t="inlineStr">
        <is>
          <t>For future interviews, in which day(s) can I call you?
[OPERATOR: MULTIPLE ANSWERS POSSIBLE.]
1)Monday
2)Tuesday
3)Wednesday
4)Thursday
5)Friday
6)Saturday
7)Sunday</t>
        </is>
      </c>
      <c r="E192" s="196">
        <f>LEN(D192)</f>
        <v/>
      </c>
      <c r="F192" s="195" t="inlineStr">
        <is>
          <t>Pour les prochains entretiens, quel(s) jour(s) puis-je vous appeler ?
[OPÉRATEUR/OPÉRATRICE: PLUSIEURS RÉPONSES POSSIBLES.]
1)Lundi
2)Mardi
3)Mercredi
4)Jeudi
5)Vendredi
6)Samedi
7)Dimanche</t>
        </is>
      </c>
      <c r="G192" s="196">
        <f>LEN(F192)</f>
        <v/>
      </c>
      <c r="H192" s="53" t="inlineStr">
        <is>
          <t xml:space="preserve">Loon nata ka hakilifalen kama, ne bɛ se k’aw weele loon jumɛw de la? 
[SƆRƆBATIGI:JAABI CAAMAN BE SE KA DI]. 
1)Tɛnɛ. 
2)Tarata. 
3)Araba. 
4)Lamusa. 
5)Juma. 
6)Sibiri. 
7)Kari 
</t>
        </is>
      </c>
      <c r="I192" s="196">
        <f>LEN(H192)</f>
        <v/>
      </c>
      <c r="J192" s="52" t="inlineStr">
        <is>
          <t xml:space="preserve">Nǐ laga nuŋo tɔɔn ɟɛ jey jɛm lej, nǐ iɲe nĩŋẽ e bɔ̃rɔ̃ bɛr(ɛ)wɛ kɔ ?
[BIRƐ MA KŨ BANA : KASARA BONO JƆKƆ].
1)Atine. 
2)Talata. 
3)Alarba. 
4)Alkamiisa. 
5)Aɟuwõ. 
6)Ase. 
7)Allal
</t>
        </is>
      </c>
      <c r="K192" s="196">
        <f>LEN(J192)</f>
        <v/>
      </c>
      <c r="L192" s="53" t="inlineStr">
        <is>
          <t xml:space="preserve">Faakara kan goo bandeh, hann fu nnu ir gu hinnu kun er ceeh.
[HANKAA :TUYONG BOOBO GU HIIM KU TE ].
1)Atino.
 2)Atalata. 
3)Alarba .  
4)Alamissa  
5)Alzuma  
6)Assimptu 
7)Alhadu
</t>
        </is>
      </c>
      <c r="M192" s="196">
        <f>LEN(L192)</f>
        <v/>
      </c>
      <c r="N192" s="53" t="inlineStr">
        <is>
          <t>Ye batutan dimalanen, sašal adobeɣ teɣare nawan?
[EMASESTƏN : ISIDMURAN AGOTNEN ILANTI]. 
1)Alitni. 
2)Atalata. 
3)Anarba. 
4)Alxamis. 
5)Alzumaxat. 
6)Asibit. 
7)Alhad.</t>
        </is>
      </c>
      <c r="O192" s="196">
        <f>LEN(N192)</f>
        <v/>
      </c>
      <c r="P192" s="54" t="inlineStr">
        <is>
          <t xml:space="preserve">E yeewtereeji garooji, ñalaande ndeye non mbaawu-mi noddude maa ?
[GOLLOOWO : JAABUUJI KEEWƊI NA MBAAWI JAƁEEDE].
1)Altineere. 
2)Talaataare. 
3)Alarbaare. 
4)Alkamiisaare. 
5)Aljumaare. 
6)Asayre.
 7)Alal
</t>
        </is>
      </c>
      <c r="Q192" s="196">
        <f>LEN(P192)</f>
        <v/>
      </c>
      <c r="R192" s="196" t="inlineStr">
        <is>
          <t>Select All That Apply</t>
        </is>
      </c>
      <c r="S192" s="196" t="inlineStr">
        <is>
          <t>NA</t>
        </is>
      </c>
      <c r="T192" s="196" t="inlineStr">
        <is>
          <t>NA</t>
        </is>
      </c>
      <c r="U192" s="196" t="inlineStr">
        <is>
          <t>Form Type - Checklist</t>
        </is>
      </c>
      <c r="V192" s="194" t="inlineStr">
        <is>
          <t>1) future_int_day_mon
2) future_int_day_tues
3) future_int_day_wed
4) future_int_day_thurs
5) future_int_day_fri
6) future_int_day_sat
7) future_int_day_sun</t>
        </is>
      </c>
      <c r="W192" s="205" t="inlineStr">
        <is>
          <t>1-7 = future_int_time</t>
        </is>
      </c>
      <c r="X192" s="328" t="n"/>
      <c r="Y192" s="314" t="inlineStr">
        <is>
          <t>if l_future_int_day = 1-7, go to future_int_time</t>
        </is>
      </c>
      <c r="Z192" s="199" t="n"/>
      <c r="AA192" s="206" t="inlineStr">
        <is>
          <t>resp_age = 18-100
hh_agricactivity = 1 | 2 | 3 | 4
quotareached = 2</t>
        </is>
      </c>
      <c r="AB192" s="207" t="n"/>
      <c r="AC192" s="200" t="n">
        <v>10</v>
      </c>
      <c r="AD192" s="201" t="n">
        <v>1</v>
      </c>
      <c r="AE192" s="202">
        <f>AC192*AD192</f>
        <v/>
      </c>
    </row>
    <row r="193" ht="217.5" customFormat="1" customHeight="1" s="203">
      <c r="A193" s="192">
        <f>A192+1</f>
        <v/>
      </c>
      <c r="B193" s="193" t="inlineStr">
        <is>
          <t>future_int_time</t>
        </is>
      </c>
      <c r="C193" s="194" t="inlineStr">
        <is>
          <t>future_int_time_ 
1) future_int_time_morn
2) future_int_time_aft
3) future_int_time_eve</t>
        </is>
      </c>
      <c r="D193" s="195" t="inlineStr">
        <is>
          <t>For future interviews, at what time(s) can I call you?
[OPERATOR: MULTIPLE ANSWERS POSSIBLE.]
1)Mornings
2)Afternoons
3)Evenings</t>
        </is>
      </c>
      <c r="E193" s="196">
        <f>LEN(D193)</f>
        <v/>
      </c>
      <c r="F193" s="195" t="inlineStr">
        <is>
          <t>Pour les prochains entretiens, à quel(s) moment(s) de la journée puis-je vous appeler ?
[OPÉRATEUR/OPÉRATRICE: PLUSIEURS RÉPONSES POSSIBLES.]
1)Le matin
2)L'après-midi
3)Le soir</t>
        </is>
      </c>
      <c r="G193" s="196">
        <f>LEN(F193)</f>
        <v/>
      </c>
      <c r="H193" s="53" t="inlineStr">
        <is>
          <t xml:space="preserve">Loon nataw ka hakilifalen kama, ne be se k’aw weele lɛɛri jumaw de la? 
[SƆRƆBATIGI:JAABI CAAMAN BE SE KA DI]. 
1)Sɔgɔma.
2)Tilefɛ.
3)Wulafɛ 
</t>
        </is>
      </c>
      <c r="I193" s="196">
        <f>LEN(H193)</f>
        <v/>
      </c>
      <c r="J193" s="52" t="inlineStr">
        <is>
          <t xml:space="preserve">Ama birɛ gun jɛrɛ be ɟɛ, lɛrɛ jɔ-kɔ ɟin e bɔ̃rɔ̃ bɛr(ɛ)wɛ kɔ ?
[BIRƐ MA KŨ BANA : KASARA BONO JƆKƆ].
1)Jeɟee.  
2)Ninuwo. 
3)Daagani
</t>
        </is>
      </c>
      <c r="K193" s="196">
        <f>LEN(J193)</f>
        <v/>
      </c>
      <c r="L193" s="53" t="inlineStr">
        <is>
          <t xml:space="preserve">Faakara kan goo bandeh, gurru mardje nnu ir gu hinnu kun er ceeh 
[HANKAA :TUYONG BOOBO GU HIIM KU TE ].
1)Susuba . 
2)A laasaru. 
3)Cinihun 
</t>
        </is>
      </c>
      <c r="M193" s="196">
        <f>LEN(L193)</f>
        <v/>
      </c>
      <c r="N193" s="53" t="inlineStr">
        <is>
          <t xml:space="preserve">Ye batutan dimalanen, indek salwaq adobeɣ teɣare nawan?
[EMASESTƏN : ISIDMURAN AGOTNEN ILANTI]. 
1)Tifawt. 
2)Darat tarhut. 
3)Ehad </t>
        </is>
      </c>
      <c r="O193" s="196">
        <f>LEN(N193)</f>
        <v/>
      </c>
      <c r="P193" s="54" t="inlineStr">
        <is>
          <t xml:space="preserve">E yeewtereeji garooji, wakkati oye non mbaawu-mi noddude maa?
[GOLLOOWO : JAABUUJI KEEWƊI NA MBAAWI JAƁEEDE].
1)Subaka. 
2)Sallifana. 
3)Kiikiiɗe.
</t>
        </is>
      </c>
      <c r="Q193" s="196">
        <f>LEN(P193)</f>
        <v/>
      </c>
      <c r="R193" s="196" t="inlineStr">
        <is>
          <t>Select All That Apply</t>
        </is>
      </c>
      <c r="S193" s="196" t="inlineStr">
        <is>
          <t>NA</t>
        </is>
      </c>
      <c r="T193" s="196" t="inlineStr">
        <is>
          <t>NA</t>
        </is>
      </c>
      <c r="U193" s="196" t="inlineStr">
        <is>
          <t>Form Type - Checklist</t>
        </is>
      </c>
      <c r="V193" s="194" t="inlineStr">
        <is>
          <t>1) future_int_time_morn
2) future_int_time_aft
3) future_int_time_eve</t>
        </is>
      </c>
      <c r="W193" s="205" t="inlineStr">
        <is>
          <t>1-3 = language2</t>
        </is>
      </c>
      <c r="X193" s="328" t="n"/>
      <c r="Y193" s="314" t="inlineStr">
        <is>
          <t>if future_int_time = 1-3, go to language2</t>
        </is>
      </c>
      <c r="Z193" s="199" t="n"/>
      <c r="AA193" s="206" t="inlineStr">
        <is>
          <t>resp_age = 18-100
hh_agricactivity = 1 | 2 | 3 | 4
quotareached = 2</t>
        </is>
      </c>
      <c r="AB193" s="207" t="n"/>
      <c r="AC193" s="200" t="n">
        <v>10</v>
      </c>
      <c r="AD193" s="201" t="n">
        <v>1</v>
      </c>
      <c r="AE193" s="202">
        <f>AC193*AD193</f>
        <v/>
      </c>
    </row>
    <row r="194" ht="272" customHeight="1" thickBot="1">
      <c r="A194" s="192">
        <f>A193+1</f>
        <v/>
      </c>
      <c r="B194" s="208" t="inlineStr">
        <is>
          <t>language2</t>
        </is>
      </c>
      <c r="C194" s="94" t="inlineStr">
        <is>
          <t>language2</t>
        </is>
      </c>
      <c r="D194" s="283" t="inlineStr">
        <is>
          <t xml:space="preserve">Select the language that was mostly used to complete the interview.
[OPERATOR: SINGLE RESPONSE.]
1)FRENCH
2)BAMBARA
3)DOGON
4)SORNHAI
5)TAMACHEK
6)PEULH
</t>
        </is>
      </c>
      <c r="E194" s="190">
        <f>LEN(D194)</f>
        <v/>
      </c>
      <c r="F194" s="284" t="inlineStr">
        <is>
          <t>Sélectionner la langue qui a été principalement utilisée pour réaliser l'entretien.
[OPÉRATEUR/OPÉRATRICE: RÉPONSE UNIQUE.]
1)FRANÇAIS
2)BAMBARA
3)DOGON
4)SORNHAI
5)TAMACHEK
6)PEULH</t>
        </is>
      </c>
      <c r="G194" s="190">
        <f>LEN(F195)</f>
        <v/>
      </c>
      <c r="H194" s="209" t="inlineStr">
        <is>
          <t>Kan sougati nienigali kèra ni kan mou ye
[NIENIGALI KÈLA: I KANA KOUMA KAN TIAMA TA. DIABI KELEN]
1)Toubabou kan
2)BAMANA KAN
3)DOGONO KAN
4)KOROBORO KAN
5)TAMACHEK KAN
6)FILA KAN</t>
        </is>
      </c>
      <c r="I194" s="190">
        <f>LEN(H194)</f>
        <v/>
      </c>
      <c r="J194" s="209" t="inlineStr">
        <is>
          <t>Sô lé séroumou gô séroumouyi gô djégné,
[SEROUMOU SEROUMOUNE DJANGANWOU, YABIRIYEYE TOUROU DJEGNE]
1)ANDIARA SO
2)BAMBARA
3)DOGON
4)SORNHAI
5)TAMACHEK
6)PEULH</t>
        </is>
      </c>
      <c r="K194" s="190">
        <f>LEN(J194)</f>
        <v/>
      </c>
      <c r="L194" s="211" t="inlineStr">
        <is>
          <t>Shenno kan nda na hayanney té tjiébe.
[HANKOYO: MA CHI TJAW. A TJIEBE.]
1)ANNASSARA CHENNE
2)BAMBARA CHENNE
3)KAADA CHENNE
4)SONGHOI BORO CHENNE
5)BELLE CHENNE
6)FOULAN CHENNE</t>
        </is>
      </c>
      <c r="M194" s="210">
        <f>LEN(L194)</f>
        <v/>
      </c>
      <c r="N194" s="212" t="inlineStr">
        <is>
          <t>Indeke madjerade wafal nidjah issalanes
[AMASSASTAN : WATEGREDE AKAL ASSOUDMARE IYENE]
1)TAKAFARTE
2)BAMBARA
3)DOGON
4)SORNHAI
5)TAMACHEK
6)PEULH</t>
        </is>
      </c>
      <c r="O194" s="210">
        <f>LEN(N194)</f>
        <v/>
      </c>
      <c r="P194" s="212" t="inlineStr">
        <is>
          <t xml:space="preserve"> Ban haala golliraado ley humpitagol ngol.
[LANDOTOODO: PATTI JANNGU JAABUU]
1)Faransikoro
2)BAMANANKORE
3)KADONKORE
4)KOROBORONKORE
5)BOURDAME
6)FULFULDE</t>
        </is>
      </c>
      <c r="Q194" s="190">
        <f>LEN(P195)</f>
        <v/>
      </c>
      <c r="R194" s="190" t="inlineStr">
        <is>
          <t>Single Choice</t>
        </is>
      </c>
      <c r="S194" s="190" t="inlineStr">
        <is>
          <t>NA</t>
        </is>
      </c>
      <c r="T194" s="190" t="inlineStr">
        <is>
          <t>NA</t>
        </is>
      </c>
      <c r="U194" s="190" t="inlineStr">
        <is>
          <t>Form Type - Buttons</t>
        </is>
      </c>
      <c r="V194" s="191" t="inlineStr">
        <is>
          <t>NA</t>
        </is>
      </c>
      <c r="W194" s="146" t="inlineStr">
        <is>
          <t>1-6 = closeout</t>
        </is>
      </c>
      <c r="X194" s="431" t="n"/>
      <c r="Y194" s="315" t="inlineStr">
        <is>
          <t>NA</t>
        </is>
      </c>
      <c r="Z194" s="213" t="n"/>
      <c r="AA194" s="214" t="inlineStr">
        <is>
          <t>resp_age = 18-100
hh_agricactivity = 1 | 2 | 3 | 4
quotareached = 2</t>
        </is>
      </c>
      <c r="AB194" s="215" t="n"/>
      <c r="AC194" s="111" t="n">
        <v>3</v>
      </c>
      <c r="AD194" s="374" t="n">
        <v>1</v>
      </c>
      <c r="AE194" s="111">
        <f>AC194*AD194</f>
        <v/>
      </c>
    </row>
    <row r="195" ht="39.5" customHeight="1" thickBot="1">
      <c r="A195" s="216" t="inlineStr">
        <is>
          <t>NA</t>
        </is>
      </c>
      <c r="B195" s="217" t="inlineStr">
        <is>
          <t>closeout</t>
        </is>
      </c>
      <c r="C195" s="218" t="inlineStr">
        <is>
          <t>closeout</t>
        </is>
      </c>
      <c r="D195" s="219" t="inlineStr">
        <is>
          <t>Thank you for your time. The interview has come to an end. You will receive your #TOPUP# airtime credit on this phone within the next 2 days.</t>
        </is>
      </c>
      <c r="E195" s="220">
        <f>LEN(D195)</f>
        <v/>
      </c>
      <c r="F195" s="221" t="inlineStr">
        <is>
          <t>Merci de nous avoir accordé votre temps. L'entretien est terminé. Vous recevrez votre crédit téléphonique #TOPUP# sur ce téléphone dans les deux prochains jours.</t>
        </is>
      </c>
      <c r="G195" s="220">
        <f>LEN(F195)</f>
        <v/>
      </c>
      <c r="H195" s="222" t="inlineStr">
        <is>
          <t xml:space="preserve"> Aw ni cee aw ka waati koo la. Hakilifalen bana. Aw ben’aw ka weeleli sara sɔrɔ #TOPUP# aw ka telefɔni kɔnɔ yani tile 2 nata kɔnɔ. </t>
        </is>
      </c>
      <c r="I195" s="220">
        <f>LEN(H195)</f>
        <v/>
      </c>
      <c r="J195" s="223" t="inlineStr">
        <is>
          <t>Birɛ poo i, ko uɟuru doga. Ko uɟuru ma e temps #TOPUP# ko jen limɔrɔ̃ nuŋo mana jaŋa nǐ 2 dɔɔ ko bɛrɛ be.</t>
        </is>
      </c>
      <c r="K195" s="220">
        <f>LEN(J195)</f>
        <v/>
      </c>
      <c r="L195" s="224" t="inlineStr">
        <is>
          <t xml:space="preserve">Foonida ndu waato kan hangane ir se . han yong been. Er gu du cee yong nooro
#TOPUP#nwone telfone ga  ne ku koy jiirbi 2.
</t>
        </is>
      </c>
      <c r="M195" s="220">
        <f>LEN(L195)</f>
        <v/>
      </c>
      <c r="N195" s="222" t="inlineStr">
        <is>
          <t>Alɣer ajen ye alwaq wa hitifam. Asostan aminda. Atigriwam alhak nawan ən alwaq ən antenne #TOPUP# dǎɣ telefone dǎɣ 2 šilan wwi dokaynen.</t>
        </is>
      </c>
      <c r="O195" s="220">
        <f>LEN(N195)</f>
        <v/>
      </c>
      <c r="P195" s="223" t="inlineStr">
        <is>
          <t>Foofoo mooɗon e adude wakkati mooɗon faa njaabo-ɗon. Yeewtere nden timmii. On keɓowan unitteeji noddirɗi #TOPUP# e oo telfon ley ñalaaɗe ɗiɗi garooje ɗee.</t>
        </is>
      </c>
      <c r="Q195" s="220">
        <f>LEN(P195)</f>
        <v/>
      </c>
      <c r="R195" s="220" t="inlineStr">
        <is>
          <t>NA</t>
        </is>
      </c>
      <c r="S195" s="220" t="inlineStr">
        <is>
          <t>NA</t>
        </is>
      </c>
      <c r="T195" s="220" t="inlineStr">
        <is>
          <t>NA</t>
        </is>
      </c>
      <c r="U195" s="220" t="inlineStr">
        <is>
          <t>NA</t>
        </is>
      </c>
      <c r="V195" s="225" t="inlineStr">
        <is>
          <t>NA</t>
        </is>
      </c>
      <c r="W195" s="226" t="inlineStr">
        <is>
          <t>NA</t>
        </is>
      </c>
      <c r="X195" s="331" t="n"/>
      <c r="Y195" s="316" t="inlineStr">
        <is>
          <t>NA</t>
        </is>
      </c>
      <c r="Z195" s="227" t="n"/>
      <c r="AA195" s="228" t="inlineStr">
        <is>
          <t>resp_age = 18-100
hh_agricactivity = 1 | 2 | 3 | 4
quotareached = 2</t>
        </is>
      </c>
      <c r="AB195" s="229" t="n"/>
      <c r="AC195" s="230" t="n"/>
      <c r="AD195" s="374" t="n">
        <v>1</v>
      </c>
      <c r="AE195" s="111">
        <f>AC195*AD195</f>
        <v/>
      </c>
    </row>
    <row r="196" ht="27" customFormat="1" customHeight="1" s="233">
      <c r="A196" s="285" t="inlineStr">
        <is>
          <t>NA</t>
        </is>
      </c>
      <c r="B196" s="56" t="inlineStr">
        <is>
          <t>End poll callback</t>
        </is>
      </c>
      <c r="C196" s="27" t="inlineStr">
        <is>
          <t>NA</t>
        </is>
      </c>
      <c r="D196" s="231" t="inlineStr">
        <is>
          <t>Call back set</t>
        </is>
      </c>
      <c r="E196" s="27">
        <f>LEN(D196)</f>
        <v/>
      </c>
      <c r="F196" s="286" t="inlineStr">
        <is>
          <t>Call back set</t>
        </is>
      </c>
      <c r="G196" s="27">
        <f>LEN(F196)</f>
        <v/>
      </c>
      <c r="H196" s="231" t="inlineStr">
        <is>
          <t>Call back set</t>
        </is>
      </c>
      <c r="I196" s="27">
        <f>LEN(H196)</f>
        <v/>
      </c>
      <c r="J196" s="231" t="inlineStr">
        <is>
          <t>Call back set</t>
        </is>
      </c>
      <c r="K196" s="27">
        <f>LEN(J196)</f>
        <v/>
      </c>
      <c r="L196" s="231" t="inlineStr">
        <is>
          <t>Call back set</t>
        </is>
      </c>
      <c r="M196" s="27">
        <f>LEN(L196)</f>
        <v/>
      </c>
      <c r="N196" s="231" t="inlineStr">
        <is>
          <t>Call back set</t>
        </is>
      </c>
      <c r="O196" s="27">
        <f>LEN(N196)</f>
        <v/>
      </c>
      <c r="P196" s="360" t="inlineStr">
        <is>
          <t>Call back set</t>
        </is>
      </c>
      <c r="Q196" s="27">
        <f>LEN(P196)</f>
        <v/>
      </c>
      <c r="R196" s="153" t="inlineStr">
        <is>
          <t>NA</t>
        </is>
      </c>
      <c r="S196" s="153" t="inlineStr">
        <is>
          <t>NA</t>
        </is>
      </c>
      <c r="T196" s="153" t="inlineStr">
        <is>
          <t>NA</t>
        </is>
      </c>
      <c r="U196" s="153" t="inlineStr">
        <is>
          <t>NA</t>
        </is>
      </c>
      <c r="V196" s="153" t="inlineStr">
        <is>
          <t>NA</t>
        </is>
      </c>
      <c r="W196" s="292" t="inlineStr">
        <is>
          <t>NA</t>
        </is>
      </c>
      <c r="X196" s="330" t="n"/>
      <c r="Y196" s="317" t="n"/>
      <c r="AA196" s="234" t="n"/>
    </row>
    <row r="197" ht="29.25" customFormat="1" customHeight="1" s="233">
      <c r="A197" s="285" t="inlineStr">
        <is>
          <t>NA</t>
        </is>
      </c>
      <c r="B197" s="56" t="inlineStr">
        <is>
          <t>CallBack-Introduction</t>
        </is>
      </c>
      <c r="C197" s="27" t="inlineStr">
        <is>
          <t>NA</t>
        </is>
      </c>
      <c r="D197" s="231" t="inlineStr">
        <is>
          <t>Introduction</t>
        </is>
      </c>
      <c r="E197" s="27">
        <f>LEN(D197)</f>
        <v/>
      </c>
      <c r="F197" s="286" t="inlineStr">
        <is>
          <t>Introduction</t>
        </is>
      </c>
      <c r="G197" s="27">
        <f>LEN(F197)</f>
        <v/>
      </c>
      <c r="H197" s="231" t="inlineStr">
        <is>
          <t>Introduction</t>
        </is>
      </c>
      <c r="I197" s="27">
        <f>LEN(H197)</f>
        <v/>
      </c>
      <c r="J197" s="231" t="inlineStr">
        <is>
          <t>Introduction</t>
        </is>
      </c>
      <c r="K197" s="27">
        <f>LEN(J197)</f>
        <v/>
      </c>
      <c r="L197" s="231" t="inlineStr">
        <is>
          <t>Introduction</t>
        </is>
      </c>
      <c r="M197" s="27">
        <f>LEN(L197)</f>
        <v/>
      </c>
      <c r="N197" s="231" t="inlineStr">
        <is>
          <t>Introduction</t>
        </is>
      </c>
      <c r="O197" s="27">
        <f>LEN(N197)</f>
        <v/>
      </c>
      <c r="P197" s="231" t="inlineStr">
        <is>
          <t>Introduction</t>
        </is>
      </c>
      <c r="Q197" s="27">
        <f>LEN(P197)</f>
        <v/>
      </c>
      <c r="R197" s="153" t="inlineStr">
        <is>
          <t>NA</t>
        </is>
      </c>
      <c r="S197" s="153" t="inlineStr">
        <is>
          <t>NA</t>
        </is>
      </c>
      <c r="T197" s="153" t="inlineStr">
        <is>
          <t>NA</t>
        </is>
      </c>
      <c r="U197" s="153" t="inlineStr">
        <is>
          <t>NA</t>
        </is>
      </c>
      <c r="V197" s="153" t="inlineStr">
        <is>
          <t>NA</t>
        </is>
      </c>
      <c r="W197" s="292" t="inlineStr">
        <is>
          <t>NA</t>
        </is>
      </c>
      <c r="X197" s="232" t="n"/>
      <c r="Y197" s="317" t="n"/>
      <c r="AA197" s="234" t="n"/>
    </row>
    <row r="198" ht="32.25" customFormat="1" customHeight="1" s="233" thickBot="1">
      <c r="A198" s="287" t="inlineStr">
        <is>
          <t>NA</t>
        </is>
      </c>
      <c r="B198" s="267" t="inlineStr">
        <is>
          <t>CallBack-Confirmation</t>
        </is>
      </c>
      <c r="C198" s="268" t="inlineStr">
        <is>
          <t>NA</t>
        </is>
      </c>
      <c r="D198" s="235" t="inlineStr">
        <is>
          <t>Confirmation</t>
        </is>
      </c>
      <c r="E198" s="268">
        <f>LEN(D198)</f>
        <v/>
      </c>
      <c r="F198" s="288" t="inlineStr">
        <is>
          <t>Confirmation</t>
        </is>
      </c>
      <c r="G198" s="268">
        <f>LEN(F198)</f>
        <v/>
      </c>
      <c r="H198" s="235" t="inlineStr">
        <is>
          <t>Confirmation</t>
        </is>
      </c>
      <c r="I198" s="268">
        <f>LEN(H198)</f>
        <v/>
      </c>
      <c r="J198" s="235" t="inlineStr">
        <is>
          <t>Confirmation</t>
        </is>
      </c>
      <c r="K198" s="268">
        <f>LEN(J198)</f>
        <v/>
      </c>
      <c r="L198" s="235" t="inlineStr">
        <is>
          <t>Confirmation</t>
        </is>
      </c>
      <c r="M198" s="268">
        <f>LEN(L198)</f>
        <v/>
      </c>
      <c r="N198" s="235" t="inlineStr">
        <is>
          <t>Confirmation</t>
        </is>
      </c>
      <c r="O198" s="268">
        <f>LEN(N198)</f>
        <v/>
      </c>
      <c r="P198" s="235" t="inlineStr">
        <is>
          <t>Confirmation</t>
        </is>
      </c>
      <c r="Q198" s="268">
        <f>LEN(P198)</f>
        <v/>
      </c>
      <c r="R198" s="289" t="inlineStr">
        <is>
          <t>NA</t>
        </is>
      </c>
      <c r="S198" s="289" t="inlineStr">
        <is>
          <t>NA</t>
        </is>
      </c>
      <c r="T198" s="289" t="inlineStr">
        <is>
          <t>NA</t>
        </is>
      </c>
      <c r="U198" s="289" t="inlineStr">
        <is>
          <t>NA</t>
        </is>
      </c>
      <c r="V198" s="289" t="inlineStr">
        <is>
          <t>NA</t>
        </is>
      </c>
      <c r="W198" s="293" t="inlineStr">
        <is>
          <t>NA</t>
        </is>
      </c>
      <c r="X198" s="236" t="n"/>
      <c r="Y198" s="318" t="n"/>
      <c r="Z198" s="237" t="n"/>
      <c r="AA198" s="238" t="n"/>
    </row>
    <row r="199" ht="20" customHeight="1" thickBot="1">
      <c r="A199" s="239" t="n"/>
      <c r="B199" s="240" t="n"/>
      <c r="C199" s="241" t="n"/>
      <c r="D199" s="242" t="n"/>
      <c r="E199" s="243" t="n"/>
      <c r="F199" s="244" t="n"/>
      <c r="G199" s="243" t="n"/>
      <c r="H199" s="243" t="n"/>
      <c r="I199" s="243" t="n"/>
      <c r="J199" s="243" t="n"/>
      <c r="K199" s="243" t="n"/>
      <c r="L199" s="243" t="n"/>
      <c r="M199" s="243" t="n"/>
      <c r="N199" s="243" t="n"/>
      <c r="O199" s="243" t="n"/>
      <c r="P199" s="243" t="n"/>
      <c r="Q199" s="243" t="n"/>
      <c r="R199" s="243" t="n"/>
      <c r="S199" s="243" t="n"/>
      <c r="T199" s="243" t="n"/>
      <c r="U199" s="243" t="n"/>
      <c r="V199" s="243" t="n"/>
      <c r="W199" s="243" t="n"/>
      <c r="X199" s="243" t="n"/>
      <c r="Y199" s="243" t="n"/>
      <c r="Z199" s="243" t="n"/>
      <c r="AA199" s="243" t="n"/>
      <c r="AB199" s="243" t="n"/>
      <c r="AC199" s="245" t="n"/>
      <c r="AD199" s="246" t="n"/>
      <c r="AE199" s="245" t="n"/>
    </row>
    <row r="200" ht="21" customHeight="1" thickBot="1">
      <c r="A200" s="239" t="n"/>
      <c r="B200" s="240" t="n"/>
      <c r="C200" s="241" t="n"/>
      <c r="D200" s="247" t="inlineStr">
        <is>
          <t>AVERAGE ESTIMATED DURATION (with fisheries section)</t>
        </is>
      </c>
      <c r="E200" s="248" t="n"/>
      <c r="F200" s="249" t="n"/>
      <c r="G200" s="248" t="n"/>
      <c r="H200" s="248" t="n"/>
      <c r="I200" s="248" t="n"/>
      <c r="J200" s="248" t="n"/>
      <c r="K200" s="248" t="n"/>
      <c r="L200" s="248" t="n"/>
      <c r="M200" s="248" t="n"/>
      <c r="N200" s="248" t="n"/>
      <c r="O200" s="248" t="n"/>
      <c r="P200" s="248" t="n"/>
      <c r="Q200" s="248" t="n"/>
      <c r="R200" s="248" t="n"/>
      <c r="S200" s="248" t="n"/>
      <c r="T200" s="248" t="n"/>
      <c r="U200" s="248" t="n"/>
      <c r="V200" s="248" t="n"/>
      <c r="W200" s="248" t="n"/>
      <c r="X200" s="332" t="n"/>
      <c r="Y200" s="248" t="n"/>
      <c r="Z200" s="248" t="n"/>
      <c r="AA200" s="248" t="n"/>
      <c r="AB200" s="248" t="n"/>
      <c r="AC200" s="250" t="n"/>
      <c r="AD200" s="251" t="n"/>
      <c r="AE200" s="252">
        <f>(SUM(AE4:AE198))/60</f>
        <v/>
      </c>
    </row>
    <row r="201" ht="21" customHeight="1" thickBot="1">
      <c r="A201" s="239" t="n"/>
      <c r="B201" s="240" t="n"/>
      <c r="C201" s="241" t="n"/>
      <c r="D201" s="253" t="inlineStr">
        <is>
          <t>AVERAGE ESTIMATED DURATION (without fisheries section)</t>
        </is>
      </c>
      <c r="E201" s="254" t="n"/>
      <c r="F201" s="255" t="n"/>
      <c r="G201" s="254" t="n"/>
      <c r="H201" s="254" t="n"/>
      <c r="I201" s="254" t="n"/>
      <c r="J201" s="254" t="n"/>
      <c r="K201" s="254" t="n"/>
      <c r="L201" s="254" t="n"/>
      <c r="M201" s="254" t="n"/>
      <c r="N201" s="254" t="n"/>
      <c r="O201" s="254" t="n"/>
      <c r="P201" s="254" t="n"/>
      <c r="Q201" s="254" t="n"/>
      <c r="R201" s="254" t="n"/>
      <c r="S201" s="254" t="n"/>
      <c r="T201" s="254" t="n"/>
      <c r="U201" s="254" t="n"/>
      <c r="V201" s="254" t="n"/>
      <c r="W201" s="254" t="n"/>
      <c r="X201" s="333" t="n"/>
      <c r="Y201" s="254" t="n"/>
      <c r="Z201" s="254" t="n"/>
      <c r="AA201" s="254" t="n"/>
      <c r="AB201" s="254" t="n"/>
      <c r="AC201" s="256" t="n"/>
      <c r="AD201" s="257" t="n"/>
      <c r="AE201" s="258">
        <f>(SUM(AE5:AE125)+SUM(AE138:AE198))/60</f>
        <v/>
      </c>
    </row>
    <row r="202" ht="21" customHeight="1" thickBot="1">
      <c r="A202" s="239" t="n"/>
      <c r="B202" s="240" t="n"/>
      <c r="C202" s="241" t="n"/>
      <c r="D202" s="247" t="inlineStr">
        <is>
          <t>AVERAGE ESTIMATED DURATION (without fisheries section or panel)</t>
        </is>
      </c>
      <c r="E202" s="248" t="n"/>
      <c r="F202" s="259" t="n"/>
      <c r="G202" s="248" t="n"/>
      <c r="H202" s="248" t="n"/>
      <c r="I202" s="248" t="n"/>
      <c r="J202" s="248" t="n"/>
      <c r="K202" s="248" t="n"/>
      <c r="L202" s="248" t="n"/>
      <c r="M202" s="248" t="n"/>
      <c r="N202" s="248" t="n"/>
      <c r="O202" s="248" t="n"/>
      <c r="P202" s="248" t="n"/>
      <c r="Q202" s="248" t="n"/>
      <c r="R202" s="248" t="n"/>
      <c r="S202" s="248" t="n"/>
      <c r="T202" s="248" t="n"/>
      <c r="U202" s="248" t="n"/>
      <c r="V202" s="248" t="n"/>
      <c r="W202" s="248" t="n"/>
      <c r="X202" s="332" t="n"/>
      <c r="Y202" s="248" t="n"/>
      <c r="Z202" s="248" t="n"/>
      <c r="AA202" s="248" t="n"/>
      <c r="AB202" s="248" t="n"/>
      <c r="AC202" s="250" t="n"/>
      <c r="AD202" s="251" t="n"/>
      <c r="AE202" s="260">
        <f>(SUM(AE5:AE24)+SUM(AE33:AE125)+SUM(AE137:AE187)+SUM(AE194:AE198))/60</f>
        <v/>
      </c>
    </row>
  </sheetData>
  <mergeCells count="20">
    <mergeCell ref="A1:Y1"/>
    <mergeCell ref="A2:Y2"/>
    <mergeCell ref="A20:Y20"/>
    <mergeCell ref="X28:X29"/>
    <mergeCell ref="Y33:Y35"/>
    <mergeCell ref="Z34:Z35"/>
    <mergeCell ref="AB34:AB35"/>
    <mergeCell ref="A47:AA47"/>
    <mergeCell ref="AB51:AB53"/>
    <mergeCell ref="A60:AA60"/>
    <mergeCell ref="X34:X43"/>
    <mergeCell ref="A132:AA132"/>
    <mergeCell ref="A137:X137"/>
    <mergeCell ref="A180:AA180"/>
    <mergeCell ref="A186:AA186"/>
    <mergeCell ref="A86:AA86"/>
    <mergeCell ref="A106:AA106"/>
    <mergeCell ref="A111:AA111"/>
    <mergeCell ref="A121:AA121"/>
    <mergeCell ref="A126:AA126"/>
  </mergeCells>
  <conditionalFormatting sqref="B2:B3">
    <cfRule type="duplicateValues" priority="352" dxfId="0"/>
  </conditionalFormatting>
  <conditionalFormatting sqref="B13 B15:B18">
    <cfRule type="duplicateValues" priority="317" dxfId="0"/>
  </conditionalFormatting>
  <conditionalFormatting sqref="B14">
    <cfRule type="duplicateValues" priority="15" dxfId="0"/>
    <cfRule type="duplicateValues" priority="14" dxfId="0"/>
  </conditionalFormatting>
  <conditionalFormatting sqref="B19">
    <cfRule type="duplicateValues" priority="316" dxfId="0"/>
  </conditionalFormatting>
  <conditionalFormatting sqref="B26">
    <cfRule type="duplicateValues" priority="226" dxfId="0"/>
  </conditionalFormatting>
  <conditionalFormatting sqref="B32">
    <cfRule type="duplicateValues" priority="223" dxfId="0"/>
  </conditionalFormatting>
  <conditionalFormatting sqref="B46">
    <cfRule type="duplicateValues" priority="13" dxfId="0"/>
  </conditionalFormatting>
  <conditionalFormatting sqref="B48:B50 B4 B6:B13 B15:B19 B23:B25 B27:B31 B54:B55 B61:B64 B69:B70 B78:B79 B83:B85 B90:B91 B102 B108:B110 B113:B116 B118:B119 B122:B123 B125 B129:B131 B133 B139:B143 B146 B148 B150 B162 B181:B183 B187 B194:B195 B199:B201 B33:B45 B59 B67">
    <cfRule type="duplicateValues" priority="323" dxfId="0"/>
  </conditionalFormatting>
  <conditionalFormatting sqref="B51">
    <cfRule type="duplicateValues" priority="328" dxfId="0"/>
  </conditionalFormatting>
  <conditionalFormatting sqref="B52">
    <cfRule type="duplicateValues" priority="330" dxfId="0"/>
  </conditionalFormatting>
  <conditionalFormatting sqref="B53">
    <cfRule type="duplicateValues" priority="334" dxfId="0"/>
  </conditionalFormatting>
  <conditionalFormatting sqref="B56">
    <cfRule type="duplicateValues" priority="11" dxfId="0"/>
  </conditionalFormatting>
  <conditionalFormatting sqref="B57">
    <cfRule type="duplicateValues" priority="9" dxfId="0"/>
  </conditionalFormatting>
  <conditionalFormatting sqref="B58">
    <cfRule type="duplicateValues" priority="7" dxfId="0"/>
  </conditionalFormatting>
  <conditionalFormatting sqref="B65">
    <cfRule type="duplicateValues" priority="6" dxfId="0"/>
  </conditionalFormatting>
  <conditionalFormatting sqref="B66">
    <cfRule type="duplicateValues" priority="4" dxfId="0"/>
  </conditionalFormatting>
  <conditionalFormatting sqref="B68">
    <cfRule type="duplicateValues" priority="92" dxfId="0"/>
  </conditionalFormatting>
  <conditionalFormatting sqref="B71:B74">
    <cfRule type="duplicateValues" priority="338" dxfId="0"/>
  </conditionalFormatting>
  <conditionalFormatting sqref="B75">
    <cfRule type="duplicateValues" priority="88" dxfId="0"/>
  </conditionalFormatting>
  <conditionalFormatting sqref="B76">
    <cfRule type="duplicateValues" priority="1" dxfId="0"/>
  </conditionalFormatting>
  <conditionalFormatting sqref="B77">
    <cfRule type="duplicateValues" priority="2" dxfId="0"/>
  </conditionalFormatting>
  <conditionalFormatting sqref="B80:B82">
    <cfRule type="duplicateValues" priority="342" dxfId="0"/>
  </conditionalFormatting>
  <conditionalFormatting sqref="B96:B97">
    <cfRule type="duplicateValues" priority="346" dxfId="0"/>
  </conditionalFormatting>
  <conditionalFormatting sqref="B103">
    <cfRule type="duplicateValues" priority="320" dxfId="0"/>
  </conditionalFormatting>
  <conditionalFormatting sqref="B104">
    <cfRule type="duplicateValues" priority="299" dxfId="0"/>
  </conditionalFormatting>
  <conditionalFormatting sqref="B105">
    <cfRule type="duplicateValues" priority="325" dxfId="0"/>
  </conditionalFormatting>
  <conditionalFormatting sqref="B107">
    <cfRule type="duplicateValues" priority="348" dxfId="0"/>
  </conditionalFormatting>
  <conditionalFormatting sqref="B117">
    <cfRule type="duplicateValues" priority="80" dxfId="0"/>
  </conditionalFormatting>
  <conditionalFormatting sqref="B119">
    <cfRule type="duplicateValues" priority="318" dxfId="0"/>
    <cfRule type="duplicateValues" priority="319" dxfId="0"/>
  </conditionalFormatting>
  <conditionalFormatting sqref="B120">
    <cfRule type="duplicateValues" priority="324" dxfId="0"/>
  </conditionalFormatting>
  <conditionalFormatting sqref="B124">
    <cfRule type="duplicateValues" priority="349" dxfId="0"/>
  </conditionalFormatting>
  <conditionalFormatting sqref="B127">
    <cfRule type="duplicateValues" priority="297" dxfId="0"/>
  </conditionalFormatting>
  <conditionalFormatting sqref="B128">
    <cfRule type="duplicateValues" priority="350" dxfId="0"/>
  </conditionalFormatting>
  <conditionalFormatting sqref="B134:B136">
    <cfRule type="duplicateValues" priority="351" dxfId="0"/>
  </conditionalFormatting>
  <conditionalFormatting sqref="B138">
    <cfRule type="duplicateValues" priority="79" dxfId="0"/>
  </conditionalFormatting>
  <conditionalFormatting sqref="B144">
    <cfRule type="duplicateValues" priority="313" dxfId="0"/>
  </conditionalFormatting>
  <conditionalFormatting sqref="B145">
    <cfRule type="duplicateValues" priority="311" dxfId="0"/>
  </conditionalFormatting>
  <conditionalFormatting sqref="B147">
    <cfRule type="duplicateValues" priority="309" dxfId="0"/>
  </conditionalFormatting>
  <conditionalFormatting sqref="B149">
    <cfRule type="duplicateValues" priority="307" dxfId="0"/>
  </conditionalFormatting>
  <conditionalFormatting sqref="B163">
    <cfRule type="duplicateValues" priority="305" dxfId="0"/>
  </conditionalFormatting>
  <conditionalFormatting sqref="B164:B166 B168:B172 B174:B176">
    <cfRule type="duplicateValues" priority="326" dxfId="0"/>
  </conditionalFormatting>
  <conditionalFormatting sqref="B167">
    <cfRule type="duplicateValues" priority="76" dxfId="0"/>
  </conditionalFormatting>
  <conditionalFormatting sqref="B173">
    <cfRule type="duplicateValues" priority="233" dxfId="0"/>
  </conditionalFormatting>
  <conditionalFormatting sqref="B177">
    <cfRule type="duplicateValues" priority="231" dxfId="0"/>
  </conditionalFormatting>
  <conditionalFormatting sqref="B178 C164:C166 C168:C172 C174:C176">
    <cfRule type="duplicateValues" priority="322" dxfId="0"/>
  </conditionalFormatting>
  <conditionalFormatting sqref="B179">
    <cfRule type="duplicateValues" priority="232" dxfId="0"/>
  </conditionalFormatting>
  <conditionalFormatting sqref="B196">
    <cfRule type="duplicateValues" priority="188" dxfId="0"/>
    <cfRule type="duplicateValues" priority="187" dxfId="0"/>
    <cfRule type="duplicateValues" priority="186" dxfId="0"/>
    <cfRule type="duplicateValues" priority="189" dxfId="0"/>
  </conditionalFormatting>
  <conditionalFormatting sqref="B197">
    <cfRule type="duplicateValues" priority="185" dxfId="0"/>
    <cfRule type="duplicateValues" priority="184" dxfId="0"/>
    <cfRule type="duplicateValues" priority="183" dxfId="0"/>
    <cfRule type="duplicateValues" priority="182" dxfId="0"/>
  </conditionalFormatting>
  <conditionalFormatting sqref="B198">
    <cfRule type="duplicateValues" priority="178" dxfId="0"/>
    <cfRule type="duplicateValues" priority="181" dxfId="0"/>
    <cfRule type="duplicateValues" priority="180" dxfId="0"/>
    <cfRule type="duplicateValues" priority="179" dxfId="0"/>
  </conditionalFormatting>
  <conditionalFormatting sqref="B202">
    <cfRule type="duplicateValues" priority="220" dxfId="0"/>
  </conditionalFormatting>
  <conditionalFormatting sqref="C25">
    <cfRule type="duplicateValues" priority="227" dxfId="0"/>
  </conditionalFormatting>
  <conditionalFormatting sqref="C26">
    <cfRule type="duplicateValues" priority="225" dxfId="0"/>
  </conditionalFormatting>
  <conditionalFormatting sqref="C27:C28 C30:C31">
    <cfRule type="duplicateValues" priority="224" dxfId="0"/>
  </conditionalFormatting>
  <conditionalFormatting sqref="C29">
    <cfRule type="duplicateValues" priority="221" dxfId="0"/>
  </conditionalFormatting>
  <conditionalFormatting sqref="C32">
    <cfRule type="duplicateValues" priority="222" dxfId="0"/>
  </conditionalFormatting>
  <conditionalFormatting sqref="C45">
    <cfRule type="duplicateValues" priority="332" dxfId="0"/>
  </conditionalFormatting>
  <conditionalFormatting sqref="C48">
    <cfRule type="duplicateValues" priority="123" dxfId="0"/>
  </conditionalFormatting>
  <conditionalFormatting sqref="C51">
    <cfRule type="duplicateValues" priority="327" dxfId="0"/>
  </conditionalFormatting>
  <conditionalFormatting sqref="C52">
    <cfRule type="duplicateValues" priority="329" dxfId="0"/>
  </conditionalFormatting>
  <conditionalFormatting sqref="C53">
    <cfRule type="duplicateValues" priority="333" dxfId="0"/>
  </conditionalFormatting>
  <conditionalFormatting sqref="C56">
    <cfRule type="duplicateValues" priority="12" dxfId="0"/>
  </conditionalFormatting>
  <conditionalFormatting sqref="C57">
    <cfRule type="duplicateValues" priority="10" dxfId="0"/>
  </conditionalFormatting>
  <conditionalFormatting sqref="C58">
    <cfRule type="duplicateValues" priority="8" dxfId="0"/>
  </conditionalFormatting>
  <conditionalFormatting sqref="C59">
    <cfRule type="duplicateValues" priority="302" dxfId="0"/>
  </conditionalFormatting>
  <conditionalFormatting sqref="C62:C64 C67">
    <cfRule type="duplicateValues" priority="335" dxfId="0"/>
  </conditionalFormatting>
  <conditionalFormatting sqref="C66">
    <cfRule type="duplicateValues" priority="5" dxfId="0"/>
  </conditionalFormatting>
  <conditionalFormatting sqref="C68">
    <cfRule type="duplicateValues" priority="93" dxfId="0"/>
  </conditionalFormatting>
  <conditionalFormatting sqref="C71:C74">
    <cfRule type="duplicateValues" priority="339" dxfId="0"/>
  </conditionalFormatting>
  <conditionalFormatting sqref="C75">
    <cfRule type="duplicateValues" priority="89" dxfId="0"/>
  </conditionalFormatting>
  <conditionalFormatting sqref="C77">
    <cfRule type="duplicateValues" priority="3" dxfId="0"/>
  </conditionalFormatting>
  <conditionalFormatting sqref="C80:C82">
    <cfRule type="duplicateValues" priority="343" dxfId="0"/>
  </conditionalFormatting>
  <conditionalFormatting sqref="C85">
    <cfRule type="duplicateValues" priority="315" dxfId="0"/>
  </conditionalFormatting>
  <conditionalFormatting sqref="C91">
    <cfRule type="duplicateValues" priority="83" dxfId="0"/>
  </conditionalFormatting>
  <conditionalFormatting sqref="C96:C97">
    <cfRule type="duplicateValues" priority="347" dxfId="0"/>
  </conditionalFormatting>
  <conditionalFormatting sqref="C104">
    <cfRule type="duplicateValues" priority="298" dxfId="0"/>
  </conditionalFormatting>
  <conditionalFormatting sqref="C105">
    <cfRule type="duplicateValues" priority="235" dxfId="0"/>
  </conditionalFormatting>
  <conditionalFormatting sqref="C107">
    <cfRule type="duplicateValues" priority="331" dxfId="0"/>
  </conditionalFormatting>
  <conditionalFormatting sqref="C120">
    <cfRule type="duplicateValues" priority="236" dxfId="0"/>
  </conditionalFormatting>
  <conditionalFormatting sqref="C134">
    <cfRule type="duplicateValues" priority="314" dxfId="0"/>
  </conditionalFormatting>
  <conditionalFormatting sqref="C138">
    <cfRule type="duplicateValues" priority="78" dxfId="0"/>
  </conditionalFormatting>
  <conditionalFormatting sqref="C144">
    <cfRule type="duplicateValues" priority="312" dxfId="0"/>
  </conditionalFormatting>
  <conditionalFormatting sqref="C145">
    <cfRule type="duplicateValues" priority="310" dxfId="0"/>
  </conditionalFormatting>
  <conditionalFormatting sqref="C147">
    <cfRule type="duplicateValues" priority="308" dxfId="0"/>
  </conditionalFormatting>
  <conditionalFormatting sqref="C149">
    <cfRule type="duplicateValues" priority="306" dxfId="0"/>
  </conditionalFormatting>
  <conditionalFormatting sqref="C163">
    <cfRule type="duplicateValues" priority="304" dxfId="0"/>
  </conditionalFormatting>
  <conditionalFormatting sqref="C167">
    <cfRule type="duplicateValues" priority="77" dxfId="0"/>
  </conditionalFormatting>
  <conditionalFormatting sqref="C173">
    <cfRule type="duplicateValues" priority="234" dxfId="0"/>
  </conditionalFormatting>
  <conditionalFormatting sqref="C177">
    <cfRule type="duplicateValues" priority="228" dxfId="0"/>
  </conditionalFormatting>
  <conditionalFormatting sqref="C178">
    <cfRule type="duplicateValues" priority="230" dxfId="0"/>
  </conditionalFormatting>
  <conditionalFormatting sqref="C179">
    <cfRule type="duplicateValues" priority="229" dxfId="0"/>
  </conditionalFormatting>
  <conditionalFormatting sqref="D25:D31">
    <cfRule type="expression" priority="190" dxfId="31" stopIfTrue="1">
      <formula>OR($B25="audio", $B25="video")</formula>
    </cfRule>
    <cfRule type="expression" priority="207" dxfId="32" stopIfTrue="1">
      <formula>$B25="decimal"</formula>
    </cfRule>
    <cfRule type="expression" priority="206" dxfId="33" stopIfTrue="1">
      <formula>OR(AND(LEFT($B25, 16)="select_multiple ", LEN($B25)&gt;16, NOT(ISNUMBER(SEARCH(" ", $B25, 17)))), AND(LEFT($B25, 11)="select_one ", LEN($B25)&gt;11, NOT(ISNUMBER(SEARCH(" ", $B25, 12)))))</formula>
    </cfRule>
    <cfRule type="expression" priority="205" dxfId="34" stopIfTrue="1">
      <formula>OR(AND(LEFT($B25, 16)="select_multiple ", LEN($B25)&gt;16, NOT(ISNUMBER(SEARCH(" ", $B25, 17)))), AND(LEFT($B25, 11)="select_one ", LEN($B25)&gt;11, NOT(ISNUMBER(SEARCH(" ", $B25, 12)))))</formula>
    </cfRule>
    <cfRule type="expression" priority="204" dxfId="35" stopIfTrue="1">
      <formula>OR($B25="username", $B25="phonenumber", $B25="start", $B25="end", $B25="deviceid", $B25="subscriberid", $B25="simserial")</formula>
    </cfRule>
    <cfRule type="expression" priority="203" dxfId="36" stopIfTrue="1">
      <formula>OR($B25="audio audit", $B25="text audit")</formula>
    </cfRule>
    <cfRule type="expression" priority="202" dxfId="37" stopIfTrue="1">
      <formula>$B25="geopoint"</formula>
    </cfRule>
    <cfRule type="expression" priority="201" dxfId="38" stopIfTrue="1">
      <formula>$B25="geopoint"</formula>
    </cfRule>
    <cfRule type="expression" priority="200" dxfId="39" stopIfTrue="1">
      <formula>$B25="barcode"</formula>
    </cfRule>
    <cfRule type="expression" priority="199" dxfId="41" stopIfTrue="1">
      <formula>$B25="barcode"</formula>
    </cfRule>
    <cfRule type="expression" priority="198" dxfId="42" stopIfTrue="1">
      <formula>$B25="note"</formula>
    </cfRule>
    <cfRule type="expression" priority="197" dxfId="44" stopIfTrue="1">
      <formula>$B25="note"</formula>
    </cfRule>
    <cfRule type="expression" priority="196" dxfId="46" stopIfTrue="1">
      <formula>OR($B25="calculate", $B25="calculate_here")</formula>
    </cfRule>
    <cfRule type="expression" priority="195" dxfId="45" stopIfTrue="1">
      <formula>OR($B25="date", $B25="datetime")</formula>
    </cfRule>
    <cfRule type="expression" priority="194" dxfId="25" stopIfTrue="1">
      <formula>OR($B25="date", $B25="datetime")</formula>
    </cfRule>
    <cfRule type="expression" priority="193" dxfId="26" stopIfTrue="1">
      <formula>$B25="image"</formula>
    </cfRule>
    <cfRule type="expression" priority="192" dxfId="40" stopIfTrue="1">
      <formula>$B25="image"</formula>
    </cfRule>
    <cfRule type="expression" priority="191" dxfId="43" stopIfTrue="1">
      <formula>OR($B25="audio", $B25="video")</formula>
    </cfRule>
    <cfRule type="expression" priority="218" dxfId="22" stopIfTrue="1">
      <formula>$B25="begin group"</formula>
    </cfRule>
    <cfRule type="expression" priority="217" dxfId="23" stopIfTrue="1">
      <formula>$B25="begin group"</formula>
    </cfRule>
    <cfRule type="expression" priority="216" dxfId="22" stopIfTrue="1">
      <formula>$B25="end group"</formula>
    </cfRule>
    <cfRule type="expression" priority="215" dxfId="19" stopIfTrue="1">
      <formula>$B25="begin repeat"</formula>
    </cfRule>
    <cfRule type="expression" priority="214" dxfId="20" stopIfTrue="1">
      <formula>$B25="begin repeat"</formula>
    </cfRule>
    <cfRule type="expression" priority="213" dxfId="19" stopIfTrue="1">
      <formula>$B25="end repeat"</formula>
    </cfRule>
    <cfRule type="expression" priority="212" dxfId="18" stopIfTrue="1">
      <formula>$B25="text"</formula>
    </cfRule>
    <cfRule type="expression" priority="211" dxfId="27" stopIfTrue="1">
      <formula>$B25="text"</formula>
    </cfRule>
    <cfRule type="expression" priority="210" dxfId="28" stopIfTrue="1">
      <formula>$B25="integer"</formula>
    </cfRule>
    <cfRule type="expression" priority="209" dxfId="29" stopIfTrue="1">
      <formula>$B25="integer"</formula>
    </cfRule>
    <cfRule type="expression" priority="208" dxfId="30" stopIfTrue="1">
      <formula>$B25="decimal"</formula>
    </cfRule>
  </conditionalFormatting>
  <conditionalFormatting sqref="D32">
    <cfRule type="expression" priority="142" dxfId="30" stopIfTrue="1">
      <formula>$A32="decimal"</formula>
    </cfRule>
    <cfRule type="expression" priority="140" dxfId="33" stopIfTrue="1">
      <formula>OR(AND(LEFT($A32, 16)="select_multiple ", LEN($A32)&gt;16, NOT(ISNUMBER(SEARCH(" ", $A32, 17)))), AND(LEFT($A32, 11)="select_one ", LEN($A32)&gt;11, NOT(ISNUMBER(SEARCH(" ", $A32, 12)))))</formula>
    </cfRule>
    <cfRule type="expression" priority="138" dxfId="35" stopIfTrue="1">
      <formula>OR($A32="username", $A32="phonenumber", $A32="start", $A32="end", $A32="deviceid", $A32="subscriberid", $A32="simserial")</formula>
    </cfRule>
    <cfRule type="expression" priority="137" dxfId="36" stopIfTrue="1">
      <formula>OR($A32="audio audit", $A32="text audit")</formula>
    </cfRule>
    <cfRule type="expression" priority="136" dxfId="37" stopIfTrue="1">
      <formula>$A32="geopoint"</formula>
    </cfRule>
    <cfRule type="expression" priority="135" dxfId="38" stopIfTrue="1">
      <formula>$A32="geopoint"</formula>
    </cfRule>
    <cfRule type="expression" priority="134" dxfId="39" stopIfTrue="1">
      <formula>$A32="barcode"</formula>
    </cfRule>
    <cfRule type="expression" priority="133" dxfId="41" stopIfTrue="1">
      <formula>$A32="barcode"</formula>
    </cfRule>
    <cfRule type="expression" priority="132" dxfId="42" stopIfTrue="1">
      <formula>$A32="note"</formula>
    </cfRule>
    <cfRule type="expression" priority="131" dxfId="44" stopIfTrue="1">
      <formula>$A32="note"</formula>
    </cfRule>
    <cfRule type="expression" priority="130" dxfId="46" stopIfTrue="1">
      <formula>OR($A32="calculate", $A32="calculate_here")</formula>
    </cfRule>
    <cfRule type="expression" priority="141" dxfId="32" stopIfTrue="1">
      <formula>$A32="decimal"</formula>
    </cfRule>
    <cfRule type="expression" priority="129" dxfId="45" stopIfTrue="1">
      <formula>OR($A32="date", $A32="datetime")</formula>
    </cfRule>
    <cfRule type="expression" priority="128" dxfId="25" stopIfTrue="1">
      <formula>OR($A32="date", $A32="datetime")</formula>
    </cfRule>
    <cfRule type="expression" priority="127" dxfId="26" stopIfTrue="1">
      <formula>$A32="image"</formula>
    </cfRule>
    <cfRule type="expression" priority="126" dxfId="40" stopIfTrue="1">
      <formula>$A32="image"</formula>
    </cfRule>
    <cfRule type="expression" priority="125" dxfId="43" stopIfTrue="1">
      <formula>OR($A32="audio", $A32="video")</formula>
    </cfRule>
    <cfRule type="expression" priority="124" dxfId="31" stopIfTrue="1">
      <formula>OR($A32="audio", $A32="video")</formula>
    </cfRule>
    <cfRule type="expression" priority="152" dxfId="22" stopIfTrue="1">
      <formula>$A32="begin group"</formula>
    </cfRule>
    <cfRule type="expression" priority="151" dxfId="23" stopIfTrue="1">
      <formula>$A32="begin group"</formula>
    </cfRule>
    <cfRule type="expression" priority="150" dxfId="22" stopIfTrue="1">
      <formula>$A32="end group"</formula>
    </cfRule>
    <cfRule type="expression" priority="149" dxfId="19" stopIfTrue="1">
      <formula>$A32="begin repeat"</formula>
    </cfRule>
    <cfRule type="expression" priority="148" dxfId="20" stopIfTrue="1">
      <formula>$A32="begin repeat"</formula>
    </cfRule>
    <cfRule type="expression" priority="147" dxfId="19" stopIfTrue="1">
      <formula>$A32="end repeat"</formula>
    </cfRule>
    <cfRule type="expression" priority="146" dxfId="18" stopIfTrue="1">
      <formula>$A32="text"</formula>
    </cfRule>
    <cfRule type="expression" priority="145" dxfId="27" stopIfTrue="1">
      <formula>$A32="text"</formula>
    </cfRule>
    <cfRule type="expression" priority="144" dxfId="28" stopIfTrue="1">
      <formula>$A32="integer"</formula>
    </cfRule>
    <cfRule type="expression" priority="143" dxfId="29" stopIfTrue="1">
      <formula>$A32="integer"</formula>
    </cfRule>
    <cfRule type="expression" priority="139" dxfId="34" stopIfTrue="1">
      <formula>OR(AND(LEFT($A32, 16)="select_multiple ", LEN($A32)&gt;16, NOT(ISNUMBER(SEARCH(" ", $A32, 17)))), AND(LEFT($A32, 11)="select_one ", LEN($A32)&gt;11, NOT(ISNUMBER(SEARCH(" ", $A32, 12)))))</formula>
    </cfRule>
  </conditionalFormatting>
  <conditionalFormatting sqref="D48">
    <cfRule type="expression" priority="118" dxfId="20" stopIfTrue="1">
      <formula>$B48="begin repeat"</formula>
    </cfRule>
    <cfRule type="expression" priority="113" dxfId="29" stopIfTrue="1">
      <formula>$B48="integer"</formula>
    </cfRule>
    <cfRule type="expression" priority="94" dxfId="31" stopIfTrue="1">
      <formula>OR($B48="audio", $B48="video")</formula>
    </cfRule>
    <cfRule type="expression" priority="95" dxfId="43" stopIfTrue="1">
      <formula>OR($B48="audio", $B48="video")</formula>
    </cfRule>
    <cfRule type="expression" priority="96" dxfId="40" stopIfTrue="1">
      <formula>$B48="image"</formula>
    </cfRule>
    <cfRule type="expression" priority="97" dxfId="26" stopIfTrue="1">
      <formula>$B48="image"</formula>
    </cfRule>
    <cfRule type="expression" priority="98" dxfId="25" stopIfTrue="1">
      <formula>OR($B48="date", $B48="datetime")</formula>
    </cfRule>
    <cfRule type="expression" priority="99" dxfId="45" stopIfTrue="1">
      <formula>OR($B48="date", $B48="datetime")</formula>
    </cfRule>
    <cfRule type="expression" priority="100" dxfId="46" stopIfTrue="1">
      <formula>OR($B48="calculate", $B48="calculate_here")</formula>
    </cfRule>
    <cfRule type="expression" priority="101" dxfId="44" stopIfTrue="1">
      <formula>$B48="note"</formula>
    </cfRule>
    <cfRule type="expression" priority="102" dxfId="42" stopIfTrue="1">
      <formula>$B48="note"</formula>
    </cfRule>
    <cfRule type="expression" priority="103" dxfId="41" stopIfTrue="1">
      <formula>$B48="barcode"</formula>
    </cfRule>
    <cfRule type="expression" priority="104" dxfId="39" stopIfTrue="1">
      <formula>$B48="barcode"</formula>
    </cfRule>
    <cfRule type="expression" priority="105" dxfId="38" stopIfTrue="1">
      <formula>$B48="geopoint"</formula>
    </cfRule>
    <cfRule type="expression" priority="106" dxfId="37" stopIfTrue="1">
      <formula>$B48="geopoint"</formula>
    </cfRule>
    <cfRule type="expression" priority="107" dxfId="36" stopIfTrue="1">
      <formula>OR($B48="audio audit", $B48="text audit")</formula>
    </cfRule>
    <cfRule type="expression" priority="108" dxfId="35" stopIfTrue="1">
      <formula>OR($B48="username", $B48="phonenumber", $B48="start", $B48="end", $B48="deviceid", $B48="subscriberid", $B48="simserial")</formula>
    </cfRule>
    <cfRule type="expression" priority="109" dxfId="34" stopIfTrue="1">
      <formula>OR(AND(LEFT($B48, 16)="select_multiple ", LEN($B48)&gt;16, NOT(ISNUMBER(SEARCH(" ", $B48, 17)))), AND(LEFT($B48, 11)="select_one ", LEN($B48)&gt;11, NOT(ISNUMBER(SEARCH(" ", $B48, 12)))))</formula>
    </cfRule>
    <cfRule type="expression" priority="110" dxfId="33" stopIfTrue="1">
      <formula>OR(AND(LEFT($B48, 16)="select_multiple ", LEN($B48)&gt;16, NOT(ISNUMBER(SEARCH(" ", $B48, 17)))), AND(LEFT($B48, 11)="select_one ", LEN($B48)&gt;11, NOT(ISNUMBER(SEARCH(" ", $B48, 12)))))</formula>
    </cfRule>
    <cfRule type="expression" priority="122" dxfId="22" stopIfTrue="1">
      <formula>$B48="begin group"</formula>
    </cfRule>
    <cfRule type="expression" priority="121" dxfId="23" stopIfTrue="1">
      <formula>$B48="begin group"</formula>
    </cfRule>
    <cfRule type="expression" priority="120" dxfId="22" stopIfTrue="1">
      <formula>$B48="end group"</formula>
    </cfRule>
    <cfRule type="expression" priority="119" dxfId="19" stopIfTrue="1">
      <formula>$B48="begin repeat"</formula>
    </cfRule>
    <cfRule type="expression" priority="111" dxfId="32" stopIfTrue="1">
      <formula>$B48="decimal"</formula>
    </cfRule>
    <cfRule type="expression" priority="117" dxfId="19" stopIfTrue="1">
      <formula>$B48="end repeat"</formula>
    </cfRule>
    <cfRule type="expression" priority="116" dxfId="18" stopIfTrue="1">
      <formula>$B48="text"</formula>
    </cfRule>
    <cfRule type="expression" priority="115" dxfId="27" stopIfTrue="1">
      <formula>$B48="text"</formula>
    </cfRule>
    <cfRule type="expression" priority="114" dxfId="28" stopIfTrue="1">
      <formula>$B48="integer"</formula>
    </cfRule>
    <cfRule type="expression" priority="112" dxfId="30" stopIfTrue="1">
      <formula>$B48="decimal"</formula>
    </cfRule>
  </conditionalFormatting>
  <conditionalFormatting sqref="D188:D190 D192:D193">
    <cfRule type="expression" priority="290" dxfId="20" stopIfTrue="1">
      <formula>$B188="begin repeat"</formula>
    </cfRule>
    <cfRule type="expression" priority="268" dxfId="40" stopIfTrue="1">
      <formula>$B188="image"</formula>
    </cfRule>
    <cfRule type="expression" priority="269" dxfId="26" stopIfTrue="1">
      <formula>$B188="image"</formula>
    </cfRule>
    <cfRule type="expression" priority="270" dxfId="25" stopIfTrue="1">
      <formula>OR($B188="date", $B188="datetime")</formula>
    </cfRule>
    <cfRule type="expression" priority="271" dxfId="45" stopIfTrue="1">
      <formula>OR($B188="date", $B188="datetime")</formula>
    </cfRule>
    <cfRule type="expression" priority="272" dxfId="46" stopIfTrue="1">
      <formula>OR($B188="calculate", $B188="calculate_here")</formula>
    </cfRule>
    <cfRule type="expression" priority="273" dxfId="44" stopIfTrue="1">
      <formula>$B188="note"</formula>
    </cfRule>
    <cfRule type="expression" priority="274" dxfId="42" stopIfTrue="1">
      <formula>$B188="note"</formula>
    </cfRule>
    <cfRule type="expression" priority="275" dxfId="41" stopIfTrue="1">
      <formula>$B188="barcode"</formula>
    </cfRule>
    <cfRule type="expression" priority="276" dxfId="39" stopIfTrue="1">
      <formula>$B188="barcode"</formula>
    </cfRule>
    <cfRule type="expression" priority="277" dxfId="38" stopIfTrue="1">
      <formula>$B188="geopoint"</formula>
    </cfRule>
    <cfRule type="expression" priority="278" dxfId="37" stopIfTrue="1">
      <formula>$B188="geopoint"</formula>
    </cfRule>
    <cfRule type="expression" priority="279" dxfId="36" stopIfTrue="1">
      <formula>OR($B188="audio audit", $B188="text audit")</formula>
    </cfRule>
    <cfRule type="expression" priority="280" dxfId="35" stopIfTrue="1">
      <formula>OR($B188="username", $B188="phonenumber", $B188="start", $B188="end", $B188="deviceid", $B188="subscriberid", $B188="simserial")</formula>
    </cfRule>
    <cfRule type="expression" priority="281" dxfId="34" stopIfTrue="1">
      <formula>OR(AND(LEFT($B188, 16)="select_multiple ", LEN($B188)&gt;16, NOT(ISNUMBER(SEARCH(" ", $B188, 17)))), AND(LEFT($B188, 11)="select_one ", LEN($B188)&gt;11, NOT(ISNUMBER(SEARCH(" ", $B188, 12)))))</formula>
    </cfRule>
    <cfRule type="expression" priority="282" dxfId="33" stopIfTrue="1">
      <formula>OR(AND(LEFT($B188, 16)="select_multiple ", LEN($B188)&gt;16, NOT(ISNUMBER(SEARCH(" ", $B188, 17)))), AND(LEFT($B188, 11)="select_one ", LEN($B188)&gt;11, NOT(ISNUMBER(SEARCH(" ", $B188, 12)))))</formula>
    </cfRule>
    <cfRule type="expression" priority="283" dxfId="32" stopIfTrue="1">
      <formula>$B188="decimal"</formula>
    </cfRule>
    <cfRule type="expression" priority="284" dxfId="30" stopIfTrue="1">
      <formula>$B188="decimal"</formula>
    </cfRule>
    <cfRule type="expression" priority="285" dxfId="29" stopIfTrue="1">
      <formula>$B188="integer"</formula>
    </cfRule>
    <cfRule type="expression" priority="286" dxfId="28" stopIfTrue="1">
      <formula>$B188="integer"</formula>
    </cfRule>
    <cfRule type="expression" priority="287" dxfId="27" stopIfTrue="1">
      <formula>$B188="text"</formula>
    </cfRule>
    <cfRule type="expression" priority="288" dxfId="18" stopIfTrue="1">
      <formula>$B188="text"</formula>
    </cfRule>
    <cfRule type="expression" priority="289" dxfId="19" stopIfTrue="1">
      <formula>$B188="end repeat"</formula>
    </cfRule>
    <cfRule type="expression" priority="266" dxfId="31" stopIfTrue="1">
      <formula>OR($B188="audio", $B188="video")</formula>
    </cfRule>
    <cfRule type="expression" priority="291" dxfId="19" stopIfTrue="1">
      <formula>$B188="begin repeat"</formula>
    </cfRule>
    <cfRule type="expression" priority="292" dxfId="22" stopIfTrue="1">
      <formula>$B188="end group"</formula>
    </cfRule>
    <cfRule type="expression" priority="293" dxfId="23" stopIfTrue="1">
      <formula>$B188="begin group"</formula>
    </cfRule>
    <cfRule type="expression" priority="294" dxfId="22" stopIfTrue="1">
      <formula>$B188="begin group"</formula>
    </cfRule>
    <cfRule type="expression" priority="267" dxfId="43" stopIfTrue="1">
      <formula>OR($B188="audio", $B188="video")</formula>
    </cfRule>
  </conditionalFormatting>
  <conditionalFormatting sqref="D191">
    <cfRule type="expression" priority="52" dxfId="46" stopIfTrue="1">
      <formula>OR($A191="calculate", $A191="calculate_here")</formula>
    </cfRule>
    <cfRule type="expression" priority="51" dxfId="45" stopIfTrue="1">
      <formula>OR($A191="date", $A191="datetime")</formula>
    </cfRule>
    <cfRule type="expression" priority="53" dxfId="44" stopIfTrue="1">
      <formula>$A191="note"</formula>
    </cfRule>
    <cfRule type="expression" priority="47" dxfId="43" stopIfTrue="1">
      <formula>OR($A191="audio", $A191="video")</formula>
    </cfRule>
    <cfRule type="expression" priority="54" dxfId="42" stopIfTrue="1">
      <formula>$A191="note"</formula>
    </cfRule>
    <cfRule type="expression" priority="55" dxfId="41" stopIfTrue="1">
      <formula>$A191="barcode"</formula>
    </cfRule>
    <cfRule type="expression" priority="48" dxfId="40" stopIfTrue="1">
      <formula>$A191="image"</formula>
    </cfRule>
    <cfRule type="expression" priority="56" dxfId="39" stopIfTrue="1">
      <formula>$A191="barcode"</formula>
    </cfRule>
    <cfRule type="expression" priority="57" dxfId="38" stopIfTrue="1">
      <formula>$A191="geopoint"</formula>
    </cfRule>
    <cfRule type="expression" priority="58" dxfId="37" stopIfTrue="1">
      <formula>$A191="geopoint"</formula>
    </cfRule>
    <cfRule type="expression" priority="59" dxfId="36" stopIfTrue="1">
      <formula>OR($A191="audio audit", $A191="text audit")</formula>
    </cfRule>
    <cfRule type="expression" priority="60" dxfId="35" stopIfTrue="1">
      <formula>OR($A191="username", $A191="phonenumber", $A191="start", $A191="end", $A191="deviceid", $A191="subscriberid", $A191="simserial")</formula>
    </cfRule>
    <cfRule type="expression" priority="61" dxfId="34" stopIfTrue="1">
      <formula>OR(AND(LEFT($A191, 16)="select_multiple ", LEN($A191)&gt;16, NOT(ISNUMBER(SEARCH(" ", $A191, 17)))), AND(LEFT($A191, 11)="select_one ", LEN($A191)&gt;11, NOT(ISNUMBER(SEARCH(" ", $A191, 12)))))</formula>
    </cfRule>
    <cfRule type="expression" priority="62" dxfId="33" stopIfTrue="1">
      <formula>OR(AND(LEFT($A191, 16)="select_multiple ", LEN($A191)&gt;16, NOT(ISNUMBER(SEARCH(" ", $A191, 17)))), AND(LEFT($A191, 11)="select_one ", LEN($A191)&gt;11, NOT(ISNUMBER(SEARCH(" ", $A191, 12)))))</formula>
    </cfRule>
    <cfRule type="expression" priority="63" dxfId="32" stopIfTrue="1">
      <formula>$A191="decimal"</formula>
    </cfRule>
    <cfRule type="expression" priority="46" dxfId="31" stopIfTrue="1">
      <formula>OR($A191="audio", $A191="video")</formula>
    </cfRule>
    <cfRule type="expression" priority="64" dxfId="30" stopIfTrue="1">
      <formula>$A191="decimal"</formula>
    </cfRule>
    <cfRule type="expression" priority="65" dxfId="29" stopIfTrue="1">
      <formula>$A191="integer"</formula>
    </cfRule>
    <cfRule type="expression" priority="66" dxfId="28" stopIfTrue="1">
      <formula>$A191="integer"</formula>
    </cfRule>
    <cfRule type="expression" priority="67" dxfId="27" stopIfTrue="1">
      <formula>$A191="text"</formula>
    </cfRule>
    <cfRule type="expression" priority="49" dxfId="26" stopIfTrue="1">
      <formula>$A191="image"</formula>
    </cfRule>
    <cfRule type="expression" priority="50" dxfId="25" stopIfTrue="1">
      <formula>OR($A191="date", $A191="datetime")</formula>
    </cfRule>
    <cfRule type="expression" priority="74" dxfId="22" stopIfTrue="1">
      <formula>$A191="begin group"</formula>
    </cfRule>
    <cfRule type="expression" priority="73" dxfId="23" stopIfTrue="1">
      <formula>$A191="begin group"</formula>
    </cfRule>
    <cfRule type="expression" priority="72" dxfId="22" stopIfTrue="1">
      <formula>$A191="end group"</formula>
    </cfRule>
    <cfRule type="expression" priority="71" dxfId="19" stopIfTrue="1">
      <formula>$A191="begin repeat"</formula>
    </cfRule>
    <cfRule type="expression" priority="70" dxfId="20" stopIfTrue="1">
      <formula>$A191="begin repeat"</formula>
    </cfRule>
    <cfRule type="expression" priority="69" dxfId="19" stopIfTrue="1">
      <formula>$A191="end repeat"</formula>
    </cfRule>
    <cfRule type="expression" priority="68" dxfId="18" stopIfTrue="1">
      <formula>$A191="text"</formula>
    </cfRule>
  </conditionalFormatting>
  <conditionalFormatting sqref="H128">
    <cfRule type="duplicateValues" priority="177" dxfId="3"/>
  </conditionalFormatting>
  <conditionalFormatting sqref="H138">
    <cfRule type="duplicateValues" priority="163" dxfId="3"/>
  </conditionalFormatting>
  <conditionalFormatting sqref="J128">
    <cfRule type="duplicateValues" priority="171" dxfId="3"/>
  </conditionalFormatting>
  <conditionalFormatting sqref="J138">
    <cfRule type="duplicateValues" priority="157" dxfId="3"/>
  </conditionalFormatting>
  <conditionalFormatting sqref="L128">
    <cfRule type="duplicateValues" priority="174" dxfId="0"/>
  </conditionalFormatting>
  <conditionalFormatting sqref="L138">
    <cfRule type="duplicateValues" priority="160" dxfId="0"/>
  </conditionalFormatting>
  <conditionalFormatting sqref="N128">
    <cfRule type="duplicateValues" priority="173" dxfId="0"/>
    <cfRule type="duplicateValues" priority="172" dxfId="0"/>
  </conditionalFormatting>
  <conditionalFormatting sqref="N138">
    <cfRule type="duplicateValues" priority="158" dxfId="0"/>
    <cfRule type="duplicateValues" priority="159" dxfId="0"/>
  </conditionalFormatting>
  <conditionalFormatting sqref="N150">
    <cfRule type="duplicateValues" priority="155" dxfId="0"/>
    <cfRule type="duplicateValues" priority="156" dxfId="0"/>
  </conditionalFormatting>
  <conditionalFormatting sqref="P128">
    <cfRule type="duplicateValues" priority="176" dxfId="3"/>
    <cfRule type="duplicateValues" priority="175" dxfId="0"/>
  </conditionalFormatting>
  <conditionalFormatting sqref="P138">
    <cfRule type="duplicateValues" priority="162" dxfId="3"/>
    <cfRule type="duplicateValues" priority="161" dxfId="0"/>
  </conditionalFormatting>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G94"/>
  <sheetViews>
    <sheetView workbookViewId="0">
      <selection activeCell="A1" sqref="A1:XFD1048576"/>
    </sheetView>
  </sheetViews>
  <sheetFormatPr baseColWidth="10" defaultColWidth="10.83203125" defaultRowHeight="15"/>
  <cols>
    <col width="10.83203125" customWidth="1" style="1" min="1" max="2"/>
    <col width="15.1640625" customWidth="1" style="4" min="3" max="3"/>
    <col hidden="1" width="10.83203125" customWidth="1" style="3" min="4" max="4"/>
    <col width="10.83203125" customWidth="1" style="3" min="5" max="5"/>
    <col width="41.5" customWidth="1" style="1" min="6" max="6"/>
    <col width="46.5" customWidth="1" style="2" min="7" max="7"/>
    <col width="10.83203125" customWidth="1" style="1" min="8" max="16384"/>
  </cols>
  <sheetData>
    <row r="2">
      <c r="C2" s="22" t="n"/>
      <c r="D2" s="21" t="n"/>
      <c r="E2" s="21" t="n"/>
      <c r="F2" s="17" t="n"/>
      <c r="G2" s="20" t="n"/>
    </row>
    <row r="3" ht="30" customHeight="1">
      <c r="B3" s="14" t="n"/>
      <c r="C3" s="18" t="inlineStr">
        <is>
          <t xml:space="preserve">Select top 10 crops </t>
        </is>
      </c>
      <c r="D3" s="19" t="inlineStr">
        <is>
          <t>GeoPoll code</t>
        </is>
      </c>
      <c r="E3" s="19" t="inlineStr">
        <is>
          <t>Dataset code</t>
        </is>
      </c>
      <c r="F3" s="19" t="inlineStr">
        <is>
          <t>Label (EN)</t>
        </is>
      </c>
      <c r="G3" s="18" t="inlineStr">
        <is>
          <t>Label (FR)</t>
        </is>
      </c>
    </row>
    <row r="4" ht="15.75" customHeight="1">
      <c r="B4" s="14" t="n"/>
      <c r="C4" s="16" t="inlineStr">
        <is>
          <t>x</t>
        </is>
      </c>
      <c r="D4" s="12">
        <f t="array" ref="D4:D93">_xlfn.SEQUENCE(90,1,1,1)</f>
        <v/>
      </c>
      <c r="E4" s="11" t="inlineStr">
        <is>
          <t>1.1</t>
        </is>
      </c>
      <c r="F4" s="12" t="inlineStr">
        <is>
          <t>Rice</t>
        </is>
      </c>
      <c r="G4" s="15" t="inlineStr">
        <is>
          <t>Riz</t>
        </is>
      </c>
    </row>
    <row r="5" ht="15.75" customHeight="1">
      <c r="B5" s="14" t="n"/>
      <c r="C5" s="16" t="inlineStr">
        <is>
          <t>x</t>
        </is>
      </c>
      <c r="D5" s="12" t="n">
        <v>2</v>
      </c>
      <c r="E5" s="11" t="inlineStr">
        <is>
          <t>1.2</t>
        </is>
      </c>
      <c r="F5" s="12" t="inlineStr">
        <is>
          <t>Wheat</t>
        </is>
      </c>
      <c r="G5" s="15" t="inlineStr">
        <is>
          <t>Blé</t>
        </is>
      </c>
    </row>
    <row r="6" ht="15.75" customHeight="1">
      <c r="B6" s="14" t="n"/>
      <c r="C6" s="16" t="inlineStr">
        <is>
          <t>x</t>
        </is>
      </c>
      <c r="D6" s="12" t="n">
        <v>3</v>
      </c>
      <c r="E6" s="11" t="inlineStr">
        <is>
          <t>1.3</t>
        </is>
      </c>
      <c r="F6" s="12" t="inlineStr">
        <is>
          <t>Millet</t>
        </is>
      </c>
      <c r="G6" s="15" t="inlineStr">
        <is>
          <t>Mil</t>
        </is>
      </c>
    </row>
    <row r="7" ht="15.75" customHeight="1">
      <c r="B7" s="14" t="n"/>
      <c r="C7" s="16" t="inlineStr">
        <is>
          <t>x</t>
        </is>
      </c>
      <c r="D7" s="12" t="n">
        <v>4</v>
      </c>
      <c r="E7" s="11" t="inlineStr">
        <is>
          <t>1.4</t>
        </is>
      </c>
      <c r="F7" s="12" t="inlineStr">
        <is>
          <t>Sorghum</t>
        </is>
      </c>
      <c r="G7" s="15" t="inlineStr">
        <is>
          <t>Sorgho</t>
        </is>
      </c>
    </row>
    <row r="8" ht="15.75" customHeight="1">
      <c r="B8" s="14" t="n"/>
      <c r="C8" s="16" t="inlineStr">
        <is>
          <t>x</t>
        </is>
      </c>
      <c r="D8" s="12" t="n">
        <v>5</v>
      </c>
      <c r="E8" s="11" t="inlineStr">
        <is>
          <t>1.5</t>
        </is>
      </c>
      <c r="F8" s="12" t="inlineStr">
        <is>
          <t>Maize</t>
        </is>
      </c>
      <c r="G8" s="15" t="inlineStr">
        <is>
          <t>Maïs</t>
        </is>
      </c>
    </row>
    <row r="9" ht="15.75" customHeight="1">
      <c r="B9" s="14" t="n"/>
      <c r="C9" s="16" t="n"/>
      <c r="D9" s="12" t="n">
        <v>6</v>
      </c>
      <c r="E9" s="11" t="inlineStr">
        <is>
          <t>1.6</t>
        </is>
      </c>
      <c r="F9" s="12" t="inlineStr">
        <is>
          <t>Barley</t>
        </is>
      </c>
      <c r="G9" s="15" t="inlineStr">
        <is>
          <t>Orge</t>
        </is>
      </c>
    </row>
    <row r="10" ht="15.75" customHeight="1">
      <c r="B10" s="14" t="n"/>
      <c r="C10" s="13" t="n"/>
      <c r="D10" s="12" t="n">
        <v>7</v>
      </c>
      <c r="E10" s="11" t="inlineStr">
        <is>
          <t>1.99</t>
        </is>
      </c>
      <c r="F10" s="10" t="inlineStr">
        <is>
          <t>Other Cereal</t>
        </is>
      </c>
      <c r="G10" s="9" t="inlineStr">
        <is>
          <t>Autres céréales</t>
        </is>
      </c>
    </row>
    <row r="11" ht="15.75" customHeight="1">
      <c r="B11" s="14" t="n"/>
      <c r="C11" s="16" t="n"/>
      <c r="D11" s="12" t="n">
        <v>8</v>
      </c>
      <c r="E11" s="11" t="inlineStr">
        <is>
          <t>2.1</t>
        </is>
      </c>
      <c r="F11" s="12" t="inlineStr">
        <is>
          <t>Cassava</t>
        </is>
      </c>
      <c r="G11" s="15" t="inlineStr">
        <is>
          <t>Manioc</t>
        </is>
      </c>
    </row>
    <row r="12" ht="15.75" customHeight="1">
      <c r="B12" s="14" t="n"/>
      <c r="C12" s="16" t="inlineStr">
        <is>
          <t>x</t>
        </is>
      </c>
      <c r="D12" s="12" t="n">
        <v>9</v>
      </c>
      <c r="E12" s="11" t="inlineStr">
        <is>
          <t>2.2</t>
        </is>
      </c>
      <c r="F12" s="12" t="inlineStr">
        <is>
          <t>Potatoe</t>
        </is>
      </c>
      <c r="G12" s="15" t="inlineStr">
        <is>
          <t>Pommes de terre</t>
        </is>
      </c>
    </row>
    <row r="13" ht="15.75" customHeight="1">
      <c r="B13" s="14" t="n"/>
      <c r="C13" s="16" t="n"/>
      <c r="D13" s="12" t="n">
        <v>10</v>
      </c>
      <c r="E13" s="11" t="inlineStr">
        <is>
          <t>2.3</t>
        </is>
      </c>
      <c r="F13" s="12" t="inlineStr">
        <is>
          <t>Sweet Potatoes</t>
        </is>
      </c>
      <c r="G13" s="15" t="inlineStr">
        <is>
          <t>Patates douces</t>
        </is>
      </c>
    </row>
    <row r="14" ht="15.75" customHeight="1">
      <c r="B14" s="14" t="n"/>
      <c r="C14" s="16" t="n"/>
      <c r="D14" s="12" t="n">
        <v>11</v>
      </c>
      <c r="E14" s="11" t="inlineStr">
        <is>
          <t>2.4</t>
        </is>
      </c>
      <c r="F14" s="12" t="inlineStr">
        <is>
          <t>Yams</t>
        </is>
      </c>
      <c r="G14" s="15" t="inlineStr">
        <is>
          <t>Ignames</t>
        </is>
      </c>
    </row>
    <row r="15" ht="15.75" customHeight="1">
      <c r="B15" s="14" t="n"/>
      <c r="C15" s="16" t="n"/>
      <c r="D15" s="12" t="n">
        <v>12</v>
      </c>
      <c r="E15" s="11" t="inlineStr">
        <is>
          <t>2.5</t>
        </is>
      </c>
      <c r="F15" s="12" t="inlineStr">
        <is>
          <t>Carrots</t>
        </is>
      </c>
      <c r="G15" s="15" t="inlineStr">
        <is>
          <t>Carottes</t>
        </is>
      </c>
    </row>
    <row r="16" ht="15.75" customHeight="1">
      <c r="B16" s="14" t="n"/>
      <c r="C16" s="16" t="n"/>
      <c r="D16" s="12" t="n">
        <v>13</v>
      </c>
      <c r="E16" s="11" t="inlineStr">
        <is>
          <t>2.6</t>
        </is>
      </c>
      <c r="F16" s="12" t="inlineStr">
        <is>
          <t>Cocoyam</t>
        </is>
      </c>
      <c r="G16" s="15" t="inlineStr">
        <is>
          <t>Chou caraïbe</t>
        </is>
      </c>
    </row>
    <row r="17" ht="15.75" customHeight="1">
      <c r="B17" s="14" t="n"/>
      <c r="C17" s="13" t="n"/>
      <c r="D17" s="12" t="n">
        <v>14</v>
      </c>
      <c r="E17" s="11" t="inlineStr">
        <is>
          <t>2.99</t>
        </is>
      </c>
      <c r="F17" s="10" t="inlineStr">
        <is>
          <t>Other tubers</t>
        </is>
      </c>
      <c r="G17" s="9" t="inlineStr">
        <is>
          <t>Autres tubercules</t>
        </is>
      </c>
    </row>
    <row r="18" ht="15.75" customHeight="1">
      <c r="B18" s="14" t="n"/>
      <c r="C18" s="16" t="n"/>
      <c r="D18" s="12" t="n">
        <v>15</v>
      </c>
      <c r="E18" s="11" t="inlineStr">
        <is>
          <t>3.1</t>
        </is>
      </c>
      <c r="F18" s="12" t="inlineStr">
        <is>
          <t>Beans</t>
        </is>
      </c>
      <c r="G18" s="15" t="inlineStr">
        <is>
          <t>Haricots</t>
        </is>
      </c>
    </row>
    <row r="19" ht="15.75" customHeight="1">
      <c r="B19" s="14" t="n"/>
      <c r="C19" s="16" t="n"/>
      <c r="D19" s="12" t="n">
        <v>16</v>
      </c>
      <c r="E19" s="11" t="inlineStr">
        <is>
          <t>3.2</t>
        </is>
      </c>
      <c r="F19" s="12" t="inlineStr">
        <is>
          <t>Lentils</t>
        </is>
      </c>
      <c r="G19" s="15" t="inlineStr">
        <is>
          <t>Lentilles</t>
        </is>
      </c>
    </row>
    <row r="20" ht="15.75" customHeight="1">
      <c r="B20" s="14" t="n"/>
      <c r="C20" s="16" t="n"/>
      <c r="D20" s="12" t="n">
        <v>17</v>
      </c>
      <c r="E20" s="11" t="inlineStr">
        <is>
          <t>3.3</t>
        </is>
      </c>
      <c r="F20" s="12" t="inlineStr">
        <is>
          <t>Peas</t>
        </is>
      </c>
      <c r="G20" s="15" t="inlineStr">
        <is>
          <t>Pois</t>
        </is>
      </c>
    </row>
    <row r="21" ht="15.75" customHeight="1">
      <c r="B21" s="14" t="n"/>
      <c r="C21" s="16" t="n"/>
      <c r="D21" s="12" t="n">
        <v>18</v>
      </c>
      <c r="E21" s="11" t="inlineStr">
        <is>
          <t>3.4</t>
        </is>
      </c>
      <c r="F21" s="12" t="inlineStr">
        <is>
          <t>Soybeans</t>
        </is>
      </c>
      <c r="G21" s="15" t="inlineStr">
        <is>
          <t>Soja</t>
        </is>
      </c>
    </row>
    <row r="22" ht="15.75" customHeight="1">
      <c r="B22" s="14" t="n"/>
      <c r="C22" s="16" t="n"/>
      <c r="D22" s="12" t="n">
        <v>19</v>
      </c>
      <c r="E22" s="11" t="inlineStr">
        <is>
          <t>3.5</t>
        </is>
      </c>
      <c r="F22" s="12" t="inlineStr">
        <is>
          <t>Chickpeas</t>
        </is>
      </c>
      <c r="G22" s="15" t="inlineStr">
        <is>
          <t>Pois chiches</t>
        </is>
      </c>
    </row>
    <row r="23" ht="15.75" customHeight="1">
      <c r="B23" s="14" t="n"/>
      <c r="C23" s="16" t="n"/>
      <c r="D23" s="12" t="n">
        <v>20</v>
      </c>
      <c r="E23" s="11" t="inlineStr">
        <is>
          <t>3.6</t>
        </is>
      </c>
      <c r="F23" s="12" t="inlineStr">
        <is>
          <t>Fava beans</t>
        </is>
      </c>
      <c r="G23" s="15" t="inlineStr">
        <is>
          <t>Fève</t>
        </is>
      </c>
    </row>
    <row r="24" ht="15.75" customHeight="1">
      <c r="B24" s="14" t="n"/>
      <c r="C24" s="16" t="n"/>
      <c r="D24" s="12" t="n">
        <v>21</v>
      </c>
      <c r="E24" s="11" t="inlineStr">
        <is>
          <t>3.7</t>
        </is>
      </c>
      <c r="F24" s="12" t="inlineStr">
        <is>
          <t>Broad beans</t>
        </is>
      </c>
      <c r="G24" s="15" t="inlineStr">
        <is>
          <t>Fève large</t>
        </is>
      </c>
    </row>
    <row r="25" ht="15.75" customHeight="1">
      <c r="B25" s="14" t="n"/>
      <c r="C25" s="13" t="n"/>
      <c r="D25" s="12" t="n">
        <v>22</v>
      </c>
      <c r="E25" s="11" t="inlineStr">
        <is>
          <t>3.99</t>
        </is>
      </c>
      <c r="F25" s="10" t="inlineStr">
        <is>
          <t>Other pulses</t>
        </is>
      </c>
      <c r="G25" s="9" t="inlineStr">
        <is>
          <t>Autres légumineuses</t>
        </is>
      </c>
    </row>
    <row r="26" ht="15.75" customHeight="1">
      <c r="B26" s="14" t="n"/>
      <c r="C26" s="16" t="n"/>
      <c r="D26" s="12" t="n">
        <v>23</v>
      </c>
      <c r="E26" s="11" t="inlineStr">
        <is>
          <t>4.1</t>
        </is>
      </c>
      <c r="F26" s="12" t="inlineStr">
        <is>
          <t>Cabbage</t>
        </is>
      </c>
      <c r="G26" s="15" t="inlineStr">
        <is>
          <t>Choux</t>
        </is>
      </c>
    </row>
    <row r="27" ht="15.75" customHeight="1">
      <c r="B27" s="14" t="n"/>
      <c r="C27" s="16" t="n"/>
      <c r="D27" s="12" t="n">
        <v>24</v>
      </c>
      <c r="E27" s="11" t="inlineStr">
        <is>
          <t>4.2</t>
        </is>
      </c>
      <c r="F27" s="12" t="inlineStr">
        <is>
          <t>Lettuce</t>
        </is>
      </c>
      <c r="G27" s="15" t="inlineStr">
        <is>
          <t>Laitue</t>
        </is>
      </c>
    </row>
    <row r="28" ht="15.75" customHeight="1">
      <c r="B28" s="14" t="n"/>
      <c r="C28" s="16" t="n"/>
      <c r="D28" s="12" t="n">
        <v>25</v>
      </c>
      <c r="E28" s="11" t="inlineStr">
        <is>
          <t>4.3</t>
        </is>
      </c>
      <c r="F28" s="12" t="inlineStr">
        <is>
          <t>Spinach-Amaranth</t>
        </is>
      </c>
      <c r="G28" s="15" t="inlineStr">
        <is>
          <t>Epinards-Amaranthe</t>
        </is>
      </c>
    </row>
    <row r="29" ht="15.75" customHeight="1">
      <c r="B29" s="14" t="n"/>
      <c r="C29" s="16" t="n"/>
      <c r="D29" s="12" t="n">
        <v>26</v>
      </c>
      <c r="E29" s="11" t="inlineStr">
        <is>
          <t>4.4</t>
        </is>
      </c>
      <c r="F29" s="12" t="inlineStr">
        <is>
          <t>Cassava leaves</t>
        </is>
      </c>
      <c r="G29" s="15" t="inlineStr">
        <is>
          <t>Feuilles de manioc</t>
        </is>
      </c>
    </row>
    <row r="30" ht="15.75" customHeight="1">
      <c r="B30" s="14" t="n"/>
      <c r="C30" s="16" t="n"/>
      <c r="D30" s="12" t="n">
        <v>27</v>
      </c>
      <c r="E30" s="11" t="inlineStr">
        <is>
          <t>4.5</t>
        </is>
      </c>
      <c r="F30" s="12" t="inlineStr">
        <is>
          <t>Potatoe leaves</t>
        </is>
      </c>
      <c r="G30" s="15" t="inlineStr">
        <is>
          <t>Feuilles de pomme de terre</t>
        </is>
      </c>
    </row>
    <row r="31" ht="15.75" customHeight="1">
      <c r="B31" s="14" t="n"/>
      <c r="C31" s="16" t="n"/>
      <c r="D31" s="12" t="n">
        <v>28</v>
      </c>
      <c r="E31" s="11" t="inlineStr">
        <is>
          <t>4.6</t>
        </is>
      </c>
      <c r="F31" s="12" t="inlineStr">
        <is>
          <t>Moringa</t>
        </is>
      </c>
      <c r="G31" s="15" t="inlineStr">
        <is>
          <t>Moringa</t>
        </is>
      </c>
    </row>
    <row r="32" ht="15.75" customHeight="1">
      <c r="B32" s="14" t="n"/>
      <c r="C32" s="16" t="n"/>
      <c r="D32" s="12" t="n">
        <v>29</v>
      </c>
      <c r="E32" s="11" t="inlineStr">
        <is>
          <t>4.7</t>
        </is>
      </c>
      <c r="F32" s="12" t="inlineStr">
        <is>
          <t>Sorrel Hibiscus / Rosselle</t>
        </is>
      </c>
      <c r="G32" s="15" t="inlineStr">
        <is>
          <t>Oseille Hibiscus / Rosselle</t>
        </is>
      </c>
    </row>
    <row r="33" ht="30" customHeight="1">
      <c r="B33" s="14" t="n"/>
      <c r="C33" s="16" t="n"/>
      <c r="D33" s="12" t="n">
        <v>30</v>
      </c>
      <c r="E33" s="11" t="inlineStr">
        <is>
          <t>4.9</t>
        </is>
      </c>
      <c r="F33" s="12" t="inlineStr">
        <is>
          <t>Green salad herbs [thyme, parsley, mint, rocca, other]</t>
        </is>
      </c>
      <c r="G33" s="15" t="inlineStr">
        <is>
          <t>Herbes aromatiques [thym, persil, menthe, rocca, autres]</t>
        </is>
      </c>
    </row>
    <row r="34" ht="15.75" customHeight="1">
      <c r="B34" s="14" t="n"/>
      <c r="C34" s="16" t="n"/>
      <c r="D34" s="12" t="n">
        <v>31</v>
      </c>
      <c r="E34" s="11" t="inlineStr">
        <is>
          <t>4.101</t>
        </is>
      </c>
      <c r="F34" s="12" t="inlineStr">
        <is>
          <t>Cauliflower</t>
        </is>
      </c>
      <c r="G34" s="15" t="inlineStr">
        <is>
          <t>Choux-fleur</t>
        </is>
      </c>
    </row>
    <row r="35" ht="15.75" customHeight="1">
      <c r="B35" s="14" t="n"/>
      <c r="C35" s="13" t="n"/>
      <c r="D35" s="12" t="n">
        <v>32</v>
      </c>
      <c r="E35" s="11" t="inlineStr">
        <is>
          <t>4.99</t>
        </is>
      </c>
      <c r="F35" s="10" t="inlineStr">
        <is>
          <t>Other leafy vegetables</t>
        </is>
      </c>
      <c r="G35" s="9" t="inlineStr">
        <is>
          <t>Autres légumes à feuilles</t>
        </is>
      </c>
    </row>
    <row r="36" ht="15.75" customHeight="1">
      <c r="B36" s="14" t="n"/>
      <c r="C36" s="16" t="inlineStr">
        <is>
          <t>x</t>
        </is>
      </c>
      <c r="D36" s="12" t="n">
        <v>33</v>
      </c>
      <c r="E36" s="11" t="inlineStr">
        <is>
          <t>5.1</t>
        </is>
      </c>
      <c r="F36" s="12" t="inlineStr">
        <is>
          <t>Tomatoes</t>
        </is>
      </c>
      <c r="G36" s="15" t="inlineStr">
        <is>
          <t>Tomates</t>
        </is>
      </c>
    </row>
    <row r="37" ht="15.75" customHeight="1">
      <c r="B37" s="14" t="n"/>
      <c r="C37" s="16" t="n"/>
      <c r="D37" s="12" t="n">
        <v>34</v>
      </c>
      <c r="E37" s="11" t="inlineStr">
        <is>
          <t>5.2</t>
        </is>
      </c>
      <c r="F37" s="12" t="inlineStr">
        <is>
          <t>Cucumber</t>
        </is>
      </c>
      <c r="G37" s="15" t="inlineStr">
        <is>
          <t>Concombre</t>
        </is>
      </c>
    </row>
    <row r="38" ht="15.75" customHeight="1">
      <c r="B38" s="14" t="n"/>
      <c r="C38" s="16" t="n"/>
      <c r="D38" s="12" t="n">
        <v>35</v>
      </c>
      <c r="E38" s="11" t="inlineStr">
        <is>
          <t>5.3</t>
        </is>
      </c>
      <c r="F38" s="12" t="inlineStr">
        <is>
          <t>Pumpkin</t>
        </is>
      </c>
      <c r="G38" s="15" t="inlineStr">
        <is>
          <t>Citrouille</t>
        </is>
      </c>
    </row>
    <row r="39" ht="15.75" customHeight="1">
      <c r="B39" s="14" t="n"/>
      <c r="C39" s="16" t="n"/>
      <c r="D39" s="12" t="n">
        <v>36</v>
      </c>
      <c r="E39" s="11" t="inlineStr">
        <is>
          <t>5.4</t>
        </is>
      </c>
      <c r="F39" s="12" t="inlineStr">
        <is>
          <t>Eggplant/aubergine</t>
        </is>
      </c>
      <c r="G39" s="15" t="inlineStr">
        <is>
          <t>Aubergines/aubergines</t>
        </is>
      </c>
    </row>
    <row r="40" ht="15.75" customHeight="1">
      <c r="B40" s="14" t="n"/>
      <c r="C40" s="16" t="n"/>
      <c r="D40" s="12" t="n">
        <v>37</v>
      </c>
      <c r="E40" s="11" t="inlineStr">
        <is>
          <t>5.5</t>
        </is>
      </c>
      <c r="F40" s="12" t="inlineStr">
        <is>
          <t>Zucchini</t>
        </is>
      </c>
      <c r="G40" s="15" t="inlineStr">
        <is>
          <t>Courgettes</t>
        </is>
      </c>
    </row>
    <row r="41" ht="15.75" customHeight="1">
      <c r="B41" s="14" t="n"/>
      <c r="C41" s="16" t="n"/>
      <c r="D41" s="12" t="n">
        <v>38</v>
      </c>
      <c r="E41" s="11" t="inlineStr">
        <is>
          <t>5.6</t>
        </is>
      </c>
      <c r="F41" s="12" t="inlineStr">
        <is>
          <t>Okra</t>
        </is>
      </c>
      <c r="G41" s="15" t="inlineStr">
        <is>
          <t>Okra</t>
        </is>
      </c>
    </row>
    <row r="42" ht="15.75" customHeight="1">
      <c r="B42" s="14" t="n"/>
      <c r="C42" s="16" t="n"/>
      <c r="D42" s="12" t="n">
        <v>39</v>
      </c>
      <c r="E42" s="11" t="inlineStr">
        <is>
          <t>5.7</t>
        </is>
      </c>
      <c r="F42" s="12" t="inlineStr">
        <is>
          <t>Bell pepper</t>
        </is>
      </c>
      <c r="G42" s="15" t="inlineStr">
        <is>
          <t>Poivrons</t>
        </is>
      </c>
    </row>
    <row r="43" ht="15.75" customHeight="1">
      <c r="B43" s="14" t="n"/>
      <c r="C43" s="16" t="n"/>
      <c r="D43" s="12" t="n">
        <v>40</v>
      </c>
      <c r="E43" s="11" t="inlineStr">
        <is>
          <t>5.8</t>
        </is>
      </c>
      <c r="F43" s="12" t="inlineStr">
        <is>
          <t>Onions</t>
        </is>
      </c>
      <c r="G43" s="15" t="inlineStr">
        <is>
          <t>Oignons</t>
        </is>
      </c>
    </row>
    <row r="44" ht="15.75" customHeight="1">
      <c r="B44" s="14" t="n"/>
      <c r="C44" s="16" t="inlineStr">
        <is>
          <t>x</t>
        </is>
      </c>
      <c r="D44" s="12" t="n">
        <v>41</v>
      </c>
      <c r="E44" s="11" t="inlineStr">
        <is>
          <t>5.9</t>
        </is>
      </c>
      <c r="F44" s="12" t="inlineStr">
        <is>
          <t>Haricot</t>
        </is>
      </c>
      <c r="G44" s="15" t="inlineStr">
        <is>
          <t xml:space="preserve">Haricot </t>
        </is>
      </c>
    </row>
    <row r="45" ht="15.75" customHeight="1">
      <c r="B45" s="14" t="n"/>
      <c r="C45" s="16" t="n"/>
      <c r="D45" s="12" t="n">
        <v>42</v>
      </c>
      <c r="E45" s="11" t="inlineStr">
        <is>
          <t>5.101</t>
        </is>
      </c>
      <c r="F45" s="12" t="inlineStr">
        <is>
          <t>Green peas</t>
        </is>
      </c>
      <c r="G45" s="15" t="inlineStr">
        <is>
          <t>Petit pois</t>
        </is>
      </c>
    </row>
    <row r="46" ht="15.75" customHeight="1">
      <c r="B46" s="14" t="n"/>
      <c r="C46" s="16" t="n"/>
      <c r="D46" s="12" t="n">
        <v>43</v>
      </c>
      <c r="E46" s="11" t="inlineStr">
        <is>
          <t>5.11</t>
        </is>
      </c>
      <c r="F46" s="12" t="inlineStr">
        <is>
          <t>Fava beans green</t>
        </is>
      </c>
      <c r="G46" s="15" t="inlineStr">
        <is>
          <t>Pois fève</t>
        </is>
      </c>
    </row>
    <row r="47" ht="15.75" customHeight="1">
      <c r="B47" s="14" t="n"/>
      <c r="C47" s="13" t="n"/>
      <c r="D47" s="12" t="n">
        <v>44</v>
      </c>
      <c r="E47" s="11" t="inlineStr">
        <is>
          <t>5.99</t>
        </is>
      </c>
      <c r="F47" s="10" t="inlineStr">
        <is>
          <t>Other non leafy vegs</t>
        </is>
      </c>
      <c r="G47" s="9" t="inlineStr">
        <is>
          <t>Autres légumes non feuillus</t>
        </is>
      </c>
    </row>
    <row r="48" ht="15.75" customHeight="1">
      <c r="B48" s="14" t="n"/>
      <c r="C48" s="16" t="n"/>
      <c r="D48" s="12" t="n">
        <v>45</v>
      </c>
      <c r="E48" s="11" t="inlineStr">
        <is>
          <t>6.1</t>
        </is>
      </c>
      <c r="F48" s="12" t="inlineStr">
        <is>
          <t>Orange</t>
        </is>
      </c>
      <c r="G48" s="15" t="inlineStr">
        <is>
          <t>Orange</t>
        </is>
      </c>
    </row>
    <row r="49" ht="15.75" customHeight="1">
      <c r="B49" s="14" t="n"/>
      <c r="C49" s="16" t="n"/>
      <c r="D49" s="12" t="n">
        <v>46</v>
      </c>
      <c r="E49" s="11" t="inlineStr">
        <is>
          <t>6.2</t>
        </is>
      </c>
      <c r="F49" s="12" t="inlineStr">
        <is>
          <t>Lemon</t>
        </is>
      </c>
      <c r="G49" s="15" t="inlineStr">
        <is>
          <t>Citron</t>
        </is>
      </c>
    </row>
    <row r="50" ht="15.75" customHeight="1">
      <c r="B50" s="14" t="n"/>
      <c r="C50" s="16" t="n"/>
      <c r="D50" s="12" t="n">
        <v>47</v>
      </c>
      <c r="E50" s="11" t="inlineStr">
        <is>
          <t>6.3</t>
        </is>
      </c>
      <c r="F50" s="12" t="inlineStr">
        <is>
          <t>Grapefruit</t>
        </is>
      </c>
      <c r="G50" s="15" t="inlineStr">
        <is>
          <t>Pamplemousse</t>
        </is>
      </c>
    </row>
    <row r="51" ht="15.75" customHeight="1">
      <c r="B51" s="14" t="n"/>
      <c r="C51" s="16" t="n"/>
      <c r="D51" s="12" t="n">
        <v>48</v>
      </c>
      <c r="E51" s="11" t="inlineStr">
        <is>
          <t>6.4</t>
        </is>
      </c>
      <c r="F51" s="12" t="inlineStr">
        <is>
          <t>Mandarins/clementines</t>
        </is>
      </c>
      <c r="G51" s="15" t="inlineStr">
        <is>
          <t>Tangerine/clémentine</t>
        </is>
      </c>
    </row>
    <row r="52" ht="15.75" customHeight="1">
      <c r="B52" s="14" t="n"/>
      <c r="C52" s="13" t="n"/>
      <c r="D52" s="12" t="n">
        <v>49</v>
      </c>
      <c r="E52" s="11" t="inlineStr">
        <is>
          <t>6.99</t>
        </is>
      </c>
      <c r="F52" s="10" t="inlineStr">
        <is>
          <t>Other citrus fruit</t>
        </is>
      </c>
      <c r="G52" s="9" t="inlineStr">
        <is>
          <t>Autres agrumes</t>
        </is>
      </c>
    </row>
    <row r="53" ht="15.75" customHeight="1">
      <c r="B53" s="14" t="n"/>
      <c r="C53" s="16" t="n"/>
      <c r="D53" s="12" t="n">
        <v>50</v>
      </c>
      <c r="E53" s="11" t="inlineStr">
        <is>
          <t>7.1</t>
        </is>
      </c>
      <c r="F53" s="12" t="inlineStr">
        <is>
          <t>Sweet Banana</t>
        </is>
      </c>
      <c r="G53" s="15" t="inlineStr">
        <is>
          <t>Banane douce</t>
        </is>
      </c>
    </row>
    <row r="54" ht="15.75" customHeight="1">
      <c r="B54" s="14" t="n"/>
      <c r="C54" s="16" t="n"/>
      <c r="D54" s="12" t="n">
        <v>51</v>
      </c>
      <c r="E54" s="11" t="inlineStr">
        <is>
          <t>7.2</t>
        </is>
      </c>
      <c r="F54" s="12" t="inlineStr">
        <is>
          <t>Plantains</t>
        </is>
      </c>
      <c r="G54" s="15" t="inlineStr">
        <is>
          <t>Banane plantain</t>
        </is>
      </c>
    </row>
    <row r="55" ht="15.75" customHeight="1">
      <c r="B55" s="14" t="n"/>
      <c r="C55" s="16" t="n"/>
      <c r="D55" s="12" t="n">
        <v>52</v>
      </c>
      <c r="E55" s="11" t="inlineStr">
        <is>
          <t>7.3</t>
        </is>
      </c>
      <c r="F55" s="12" t="inlineStr">
        <is>
          <t>Papaya</t>
        </is>
      </c>
      <c r="G55" s="15" t="inlineStr">
        <is>
          <t>Papaye</t>
        </is>
      </c>
    </row>
    <row r="56" ht="15.75" customHeight="1">
      <c r="B56" s="14" t="n"/>
      <c r="C56" s="16" t="n"/>
      <c r="D56" s="12" t="n">
        <v>53</v>
      </c>
      <c r="E56" s="11" t="inlineStr">
        <is>
          <t>7.4</t>
        </is>
      </c>
      <c r="F56" s="12" t="inlineStr">
        <is>
          <t>Mango</t>
        </is>
      </c>
      <c r="G56" s="15" t="inlineStr">
        <is>
          <t>Mangue</t>
        </is>
      </c>
    </row>
    <row r="57" ht="15.75" customHeight="1">
      <c r="B57" s="14" t="n"/>
      <c r="C57" s="16" t="n"/>
      <c r="D57" s="12" t="n">
        <v>54</v>
      </c>
      <c r="E57" s="11" t="inlineStr">
        <is>
          <t>7.5</t>
        </is>
      </c>
      <c r="F57" s="12" t="inlineStr">
        <is>
          <t>Guava</t>
        </is>
      </c>
      <c r="G57" s="15" t="inlineStr">
        <is>
          <t>Goyave</t>
        </is>
      </c>
    </row>
    <row r="58" ht="15.75" customHeight="1">
      <c r="B58" s="14" t="n"/>
      <c r="C58" s="16" t="n"/>
      <c r="D58" s="12" t="n">
        <v>55</v>
      </c>
      <c r="E58" s="11" t="inlineStr">
        <is>
          <t>7.6</t>
        </is>
      </c>
      <c r="F58" s="12" t="inlineStr">
        <is>
          <t>Pineapple</t>
        </is>
      </c>
      <c r="G58" s="15" t="inlineStr">
        <is>
          <t>Ananas</t>
        </is>
      </c>
    </row>
    <row r="59" ht="15.75" customHeight="1">
      <c r="B59" s="14" t="n"/>
      <c r="C59" s="16" t="n"/>
      <c r="D59" s="12" t="n">
        <v>56</v>
      </c>
      <c r="E59" s="11" t="inlineStr">
        <is>
          <t>7.7</t>
        </is>
      </c>
      <c r="F59" s="12" t="inlineStr">
        <is>
          <t>Avocado</t>
        </is>
      </c>
      <c r="G59" s="15" t="inlineStr">
        <is>
          <t>Avocat</t>
        </is>
      </c>
    </row>
    <row r="60" ht="15.75" customHeight="1">
      <c r="B60" s="14" t="n"/>
      <c r="C60" s="16" t="n"/>
      <c r="D60" s="12" t="n">
        <v>57</v>
      </c>
      <c r="E60" s="11" t="inlineStr">
        <is>
          <t>7.8</t>
        </is>
      </c>
      <c r="F60" s="12" t="inlineStr">
        <is>
          <t>Water Melon</t>
        </is>
      </c>
      <c r="G60" s="15" t="inlineStr">
        <is>
          <t>Pastèques</t>
        </is>
      </c>
    </row>
    <row r="61" ht="15.75" customHeight="1">
      <c r="B61" s="14" t="n"/>
      <c r="C61" s="16" t="n"/>
      <c r="D61" s="12" t="n">
        <v>58</v>
      </c>
      <c r="E61" s="11" t="inlineStr">
        <is>
          <t>7.9</t>
        </is>
      </c>
      <c r="F61" s="12" t="inlineStr">
        <is>
          <t>Dates</t>
        </is>
      </c>
      <c r="G61" s="15" t="inlineStr">
        <is>
          <t>Dattes</t>
        </is>
      </c>
    </row>
    <row r="62" ht="15.75" customHeight="1">
      <c r="B62" s="14" t="n"/>
      <c r="C62" s="16" t="n"/>
      <c r="D62" s="12" t="n">
        <v>59</v>
      </c>
      <c r="E62" s="11" t="inlineStr">
        <is>
          <t>7.101</t>
        </is>
      </c>
      <c r="F62" s="12" t="inlineStr">
        <is>
          <t>Figs</t>
        </is>
      </c>
      <c r="G62" s="15" t="inlineStr">
        <is>
          <t>Figues</t>
        </is>
      </c>
    </row>
    <row r="63" ht="15.75" customHeight="1">
      <c r="B63" s="14" t="n"/>
      <c r="C63" s="16" t="n"/>
      <c r="D63" s="12" t="n">
        <v>60</v>
      </c>
      <c r="E63" s="11" t="inlineStr">
        <is>
          <t>7.11</t>
        </is>
      </c>
      <c r="F63" s="12" t="inlineStr">
        <is>
          <t>Grapes</t>
        </is>
      </c>
      <c r="G63" s="15" t="inlineStr">
        <is>
          <t>Raisins</t>
        </is>
      </c>
    </row>
    <row r="64" ht="15.75" customHeight="1">
      <c r="B64" s="14" t="n"/>
      <c r="C64" s="16" t="n"/>
      <c r="D64" s="12" t="n">
        <v>61</v>
      </c>
      <c r="E64" s="11" t="inlineStr">
        <is>
          <t>7.12</t>
        </is>
      </c>
      <c r="F64" s="12" t="inlineStr">
        <is>
          <t>Olives</t>
        </is>
      </c>
      <c r="G64" s="15" t="inlineStr">
        <is>
          <t>Olives</t>
        </is>
      </c>
    </row>
    <row r="65" ht="15.75" customHeight="1">
      <c r="B65" s="14" t="n"/>
      <c r="C65" s="16" t="n"/>
      <c r="D65" s="12" t="n">
        <v>62</v>
      </c>
      <c r="E65" s="11" t="inlineStr">
        <is>
          <t>7.13</t>
        </is>
      </c>
      <c r="F65" s="12" t="inlineStr">
        <is>
          <t>Apple</t>
        </is>
      </c>
      <c r="G65" s="15" t="inlineStr">
        <is>
          <t>Pomme</t>
        </is>
      </c>
    </row>
    <row r="66" ht="15.75" customHeight="1">
      <c r="B66" s="14" t="n"/>
      <c r="C66" s="16" t="n"/>
      <c r="D66" s="12" t="n">
        <v>63</v>
      </c>
      <c r="E66" s="11" t="inlineStr">
        <is>
          <t>7.14</t>
        </is>
      </c>
      <c r="F66" s="12" t="inlineStr">
        <is>
          <t>Apricot</t>
        </is>
      </c>
      <c r="G66" s="15" t="inlineStr">
        <is>
          <t>Abricot</t>
        </is>
      </c>
    </row>
    <row r="67" ht="15.75" customHeight="1">
      <c r="B67" s="14" t="n"/>
      <c r="C67" s="16" t="n"/>
      <c r="D67" s="12" t="n">
        <v>64</v>
      </c>
      <c r="E67" s="11" t="inlineStr">
        <is>
          <t>7.15</t>
        </is>
      </c>
      <c r="F67" s="12" t="inlineStr">
        <is>
          <t>Cherries</t>
        </is>
      </c>
      <c r="G67" s="15" t="inlineStr">
        <is>
          <t>Cerises</t>
        </is>
      </c>
    </row>
    <row r="68" ht="15.75" customHeight="1">
      <c r="B68" s="14" t="n"/>
      <c r="C68" s="16" t="n"/>
      <c r="D68" s="12" t="n">
        <v>65</v>
      </c>
      <c r="E68" s="11" t="inlineStr">
        <is>
          <t>7.16</t>
        </is>
      </c>
      <c r="F68" s="12" t="inlineStr">
        <is>
          <t>Peach/nectarine</t>
        </is>
      </c>
      <c r="G68" s="15" t="inlineStr">
        <is>
          <t>Pêche/nectarine</t>
        </is>
      </c>
    </row>
    <row r="69" ht="15.75" customHeight="1">
      <c r="B69" s="14" t="n"/>
      <c r="C69" s="16" t="n"/>
      <c r="D69" s="12" t="n">
        <v>66</v>
      </c>
      <c r="E69" s="11" t="inlineStr">
        <is>
          <t>7.17</t>
        </is>
      </c>
      <c r="F69" s="12" t="inlineStr">
        <is>
          <t>Strawberries</t>
        </is>
      </c>
      <c r="G69" s="15" t="inlineStr">
        <is>
          <t>Fraises</t>
        </is>
      </c>
    </row>
    <row r="70" ht="15.75" customHeight="1">
      <c r="B70" s="14" t="n"/>
      <c r="C70" s="16" t="n"/>
      <c r="D70" s="12" t="n">
        <v>67</v>
      </c>
      <c r="E70" s="11" t="inlineStr">
        <is>
          <t>7.18</t>
        </is>
      </c>
      <c r="F70" s="12" t="inlineStr">
        <is>
          <t>Melon [Cantaloupe]</t>
        </is>
      </c>
      <c r="G70" s="15" t="inlineStr">
        <is>
          <t>Melon</t>
        </is>
      </c>
    </row>
    <row r="71" ht="15.75" customHeight="1">
      <c r="B71" s="14" t="n"/>
      <c r="C71" s="13" t="n"/>
      <c r="D71" s="12" t="n">
        <v>68</v>
      </c>
      <c r="E71" s="11" t="inlineStr">
        <is>
          <t>7.99</t>
        </is>
      </c>
      <c r="F71" s="10" t="inlineStr">
        <is>
          <t>Other fruit</t>
        </is>
      </c>
      <c r="G71" s="9" t="inlineStr">
        <is>
          <t>Autres fruits</t>
        </is>
      </c>
    </row>
    <row r="72" ht="15.75" customHeight="1">
      <c r="B72" s="14" t="n"/>
      <c r="C72" s="16" t="n"/>
      <c r="D72" s="12" t="n">
        <v>69</v>
      </c>
      <c r="E72" s="11" t="inlineStr">
        <is>
          <t>8.1</t>
        </is>
      </c>
      <c r="F72" s="12" t="inlineStr">
        <is>
          <t>Coconuts</t>
        </is>
      </c>
      <c r="G72" s="15" t="inlineStr">
        <is>
          <t>Noix de coco</t>
        </is>
      </c>
    </row>
    <row r="73" ht="15.75" customHeight="1">
      <c r="B73" s="14" t="n"/>
      <c r="C73" s="16" t="inlineStr">
        <is>
          <t>x</t>
        </is>
      </c>
      <c r="D73" s="12" t="n">
        <v>70</v>
      </c>
      <c r="E73" s="11" t="inlineStr">
        <is>
          <t>8.2</t>
        </is>
      </c>
      <c r="F73" s="12" t="inlineStr">
        <is>
          <t>Groundnut/peanut</t>
        </is>
      </c>
      <c r="G73" s="15" t="inlineStr">
        <is>
          <t>Arachide / cacahuète</t>
        </is>
      </c>
    </row>
    <row r="74" ht="15.75" customHeight="1">
      <c r="B74" s="14" t="n"/>
      <c r="C74" s="16" t="n"/>
      <c r="D74" s="12" t="n">
        <v>71</v>
      </c>
      <c r="E74" s="11" t="inlineStr">
        <is>
          <t>8.3</t>
        </is>
      </c>
      <c r="F74" s="12" t="inlineStr">
        <is>
          <t>Cashew Nut</t>
        </is>
      </c>
      <c r="G74" s="15" t="inlineStr">
        <is>
          <t>Noix de cajou</t>
        </is>
      </c>
    </row>
    <row r="75" ht="15.75" customHeight="1">
      <c r="B75" s="14" t="n"/>
      <c r="C75" s="16" t="n"/>
      <c r="D75" s="12" t="n">
        <v>72</v>
      </c>
      <c r="E75" s="11" t="inlineStr">
        <is>
          <t>8.4</t>
        </is>
      </c>
      <c r="F75" s="12" t="inlineStr">
        <is>
          <t>Kola Nut</t>
        </is>
      </c>
      <c r="G75" s="15" t="inlineStr">
        <is>
          <t>Noix de kola</t>
        </is>
      </c>
    </row>
    <row r="76" ht="15.75" customHeight="1">
      <c r="B76" s="14" t="n"/>
      <c r="C76" s="16" t="n"/>
      <c r="D76" s="12" t="n">
        <v>73</v>
      </c>
      <c r="E76" s="11" t="inlineStr">
        <is>
          <t>8.5</t>
        </is>
      </c>
      <c r="F76" s="12" t="inlineStr">
        <is>
          <t>Sesame</t>
        </is>
      </c>
      <c r="G76" s="15" t="inlineStr">
        <is>
          <t>Sésame</t>
        </is>
      </c>
    </row>
    <row r="77" ht="15.75" customHeight="1">
      <c r="B77" s="14" t="n"/>
      <c r="C77" s="16" t="n"/>
      <c r="D77" s="12" t="n">
        <v>74</v>
      </c>
      <c r="E77" s="11" t="inlineStr">
        <is>
          <t>8.6</t>
        </is>
      </c>
      <c r="F77" s="12" t="inlineStr">
        <is>
          <t>Bambara nut</t>
        </is>
      </c>
      <c r="G77" s="15" t="inlineStr">
        <is>
          <t>Noix de bambara</t>
        </is>
      </c>
    </row>
    <row r="78" ht="15.75" customHeight="1">
      <c r="B78" s="14" t="n"/>
      <c r="C78" s="16" t="n"/>
      <c r="D78" s="12" t="n">
        <v>75</v>
      </c>
      <c r="E78" s="11" t="inlineStr">
        <is>
          <t>8.7</t>
        </is>
      </c>
      <c r="F78" s="12" t="inlineStr">
        <is>
          <t>Almond</t>
        </is>
      </c>
      <c r="G78" s="15" t="inlineStr">
        <is>
          <t>Amande</t>
        </is>
      </c>
    </row>
    <row r="79" ht="15.75" customHeight="1">
      <c r="B79" s="14" t="n"/>
      <c r="C79" s="16" t="n"/>
      <c r="D79" s="12" t="n">
        <v>76</v>
      </c>
      <c r="E79" s="11" t="inlineStr">
        <is>
          <t>8.8</t>
        </is>
      </c>
      <c r="F79" s="12" t="inlineStr">
        <is>
          <t>Walnut</t>
        </is>
      </c>
      <c r="G79" s="15" t="inlineStr">
        <is>
          <t>Noix</t>
        </is>
      </c>
    </row>
    <row r="80" ht="15.75" customHeight="1">
      <c r="B80" s="14" t="n"/>
      <c r="C80" s="13" t="n"/>
      <c r="D80" s="12" t="n">
        <v>77</v>
      </c>
      <c r="E80" s="11" t="inlineStr">
        <is>
          <t>8.99</t>
        </is>
      </c>
      <c r="F80" s="10" t="inlineStr">
        <is>
          <t>Other nuts</t>
        </is>
      </c>
      <c r="G80" s="9" t="inlineStr">
        <is>
          <t>Autres fruits à coque</t>
        </is>
      </c>
    </row>
    <row r="81" ht="15.75" customHeight="1">
      <c r="B81" s="14" t="n"/>
      <c r="C81" s="16" t="n"/>
      <c r="D81" s="12" t="n">
        <v>78</v>
      </c>
      <c r="E81" s="11" t="inlineStr">
        <is>
          <t>9.1</t>
        </is>
      </c>
      <c r="F81" s="12" t="inlineStr">
        <is>
          <t>Cocoa</t>
        </is>
      </c>
      <c r="G81" s="15" t="inlineStr">
        <is>
          <t>Cacao</t>
        </is>
      </c>
    </row>
    <row r="82" ht="15.75" customHeight="1">
      <c r="B82" s="14" t="n"/>
      <c r="C82" s="16" t="n"/>
      <c r="D82" s="12" t="n">
        <v>79</v>
      </c>
      <c r="E82" s="11" t="inlineStr">
        <is>
          <t>9.2</t>
        </is>
      </c>
      <c r="F82" s="12" t="inlineStr">
        <is>
          <t>Coffee</t>
        </is>
      </c>
      <c r="G82" s="15" t="inlineStr">
        <is>
          <t>Café</t>
        </is>
      </c>
    </row>
    <row r="83" ht="15.75" customHeight="1">
      <c r="B83" s="14" t="n"/>
      <c r="C83" s="16" t="n"/>
      <c r="D83" s="12" t="n">
        <v>80</v>
      </c>
      <c r="E83" s="11" t="inlineStr">
        <is>
          <t>9.3</t>
        </is>
      </c>
      <c r="F83" s="12" t="inlineStr">
        <is>
          <t>Tea</t>
        </is>
      </c>
      <c r="G83" s="15" t="inlineStr">
        <is>
          <t>Thé</t>
        </is>
      </c>
    </row>
    <row r="84" ht="15.75" customHeight="1">
      <c r="B84" s="14" t="n"/>
      <c r="C84" s="16" t="n"/>
      <c r="D84" s="12" t="n">
        <v>81</v>
      </c>
      <c r="E84" s="11" t="inlineStr">
        <is>
          <t>9.4</t>
        </is>
      </c>
      <c r="F84" s="12" t="inlineStr">
        <is>
          <t>Sugarcane</t>
        </is>
      </c>
      <c r="G84" s="15" t="inlineStr">
        <is>
          <t>Canne à sucre</t>
        </is>
      </c>
    </row>
    <row r="85" ht="15.75" customHeight="1">
      <c r="B85" s="14" t="n"/>
      <c r="C85" s="16" t="n"/>
      <c r="D85" s="12" t="n">
        <v>82</v>
      </c>
      <c r="E85" s="11" t="inlineStr">
        <is>
          <t>9.5</t>
        </is>
      </c>
      <c r="F85" s="12" t="inlineStr">
        <is>
          <t>Sunflower</t>
        </is>
      </c>
      <c r="G85" s="15" t="inlineStr">
        <is>
          <t>Tournesol</t>
        </is>
      </c>
    </row>
    <row r="86" ht="15.75" customHeight="1">
      <c r="B86" s="14" t="n"/>
      <c r="C86" s="13" t="n"/>
      <c r="D86" s="12" t="n">
        <v>83</v>
      </c>
      <c r="E86" s="11" t="inlineStr">
        <is>
          <t>9.99</t>
        </is>
      </c>
      <c r="F86" s="10" t="inlineStr">
        <is>
          <t>Other food cash crop</t>
        </is>
      </c>
      <c r="G86" s="9" t="inlineStr">
        <is>
          <t>Autres cultures vivrières de rente</t>
        </is>
      </c>
    </row>
    <row r="87" ht="15.75" customHeight="1">
      <c r="B87" s="14" t="n"/>
      <c r="C87" s="16" t="inlineStr">
        <is>
          <t>x</t>
        </is>
      </c>
      <c r="D87" s="12" t="n">
        <v>84</v>
      </c>
      <c r="E87" s="11" t="inlineStr">
        <is>
          <t>10.1</t>
        </is>
      </c>
      <c r="F87" s="12" t="inlineStr">
        <is>
          <t>Cotton</t>
        </is>
      </c>
      <c r="G87" s="15" t="inlineStr">
        <is>
          <t>Coton</t>
        </is>
      </c>
    </row>
    <row r="88" ht="15.75" customHeight="1">
      <c r="B88" s="14" t="n"/>
      <c r="C88" s="16" t="n"/>
      <c r="D88" s="12" t="n">
        <v>85</v>
      </c>
      <c r="E88" s="11" t="inlineStr">
        <is>
          <t>10.2</t>
        </is>
      </c>
      <c r="F88" s="12" t="inlineStr">
        <is>
          <t>Rubber</t>
        </is>
      </c>
      <c r="G88" s="15" t="inlineStr">
        <is>
          <t>Caoutchouc</t>
        </is>
      </c>
    </row>
    <row r="89" ht="15.75" customHeight="1">
      <c r="B89" s="14" t="n"/>
      <c r="C89" s="16" t="n"/>
      <c r="D89" s="12" t="n">
        <v>86</v>
      </c>
      <c r="E89" s="11" t="inlineStr">
        <is>
          <t>10.3</t>
        </is>
      </c>
      <c r="F89" s="12" t="inlineStr">
        <is>
          <t>Jute</t>
        </is>
      </c>
      <c r="G89" s="15" t="inlineStr">
        <is>
          <t>Jute</t>
        </is>
      </c>
    </row>
    <row r="90" ht="15.75" customHeight="1">
      <c r="B90" s="14" t="n"/>
      <c r="C90" s="16" t="n"/>
      <c r="D90" s="12" t="n">
        <v>87</v>
      </c>
      <c r="E90" s="11" t="inlineStr">
        <is>
          <t>10.4</t>
        </is>
      </c>
      <c r="F90" s="12" t="inlineStr">
        <is>
          <t>Fodder</t>
        </is>
      </c>
      <c r="G90" s="15" t="inlineStr">
        <is>
          <t>Fourrage</t>
        </is>
      </c>
    </row>
    <row r="91" ht="15.75" customHeight="1">
      <c r="B91" s="14" t="n"/>
      <c r="C91" s="16" t="n"/>
      <c r="D91" s="12" t="n">
        <v>88</v>
      </c>
      <c r="E91" s="11" t="inlineStr">
        <is>
          <t>10.5</t>
        </is>
      </c>
      <c r="F91" s="12" t="inlineStr">
        <is>
          <t>Tobacco</t>
        </is>
      </c>
      <c r="G91" s="15" t="inlineStr">
        <is>
          <t>Tabac</t>
        </is>
      </c>
    </row>
    <row r="92" ht="15.75" customHeight="1">
      <c r="B92" s="14" t="n"/>
      <c r="C92" s="16" t="n"/>
      <c r="D92" s="12" t="n">
        <v>89</v>
      </c>
      <c r="E92" s="11" t="inlineStr">
        <is>
          <t>10.6</t>
        </is>
      </c>
      <c r="F92" s="12" t="inlineStr">
        <is>
          <t>Qat</t>
        </is>
      </c>
      <c r="G92" s="15" t="inlineStr">
        <is>
          <t>Qat</t>
        </is>
      </c>
    </row>
    <row r="93" ht="15.75" customHeight="1">
      <c r="B93" s="14" t="n"/>
      <c r="C93" s="13" t="n"/>
      <c r="D93" s="12" t="n">
        <v>90</v>
      </c>
      <c r="E93" s="11" t="inlineStr">
        <is>
          <t>10.99</t>
        </is>
      </c>
      <c r="F93" s="10" t="inlineStr">
        <is>
          <t>Other non-food cash crop</t>
        </is>
      </c>
      <c r="G93" s="9" t="inlineStr">
        <is>
          <t>Autre culture de rente non alimentaire</t>
        </is>
      </c>
    </row>
    <row r="94">
      <c r="C94" s="8" t="n"/>
      <c r="D94" s="7" t="n"/>
      <c r="E94" s="7" t="n"/>
      <c r="F94" s="6" t="n"/>
      <c r="G94" s="5" t="n"/>
    </row>
  </sheetData>
  <conditionalFormatting sqref="D1:D84 D86:D1048576">
    <cfRule type="duplicateValues" priority="2" dxfId="0"/>
  </conditionalFormatting>
  <conditionalFormatting sqref="D85">
    <cfRule type="duplicateValues" priority="1" dxfId="0"/>
  </conditionalFormatting>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XFD1048576"/>
    </sheetView>
  </sheetViews>
  <sheetFormatPr baseColWidth="10" defaultColWidth="8.83203125" defaultRowHeight="15"/>
  <cols>
    <col width="15.6640625" customWidth="1" min="1" max="1"/>
  </cols>
  <sheetData>
    <row r="1">
      <c r="A1" s="23" t="inlineStr">
        <is>
          <t>adm1_name</t>
        </is>
      </c>
      <c r="B1" s="23" t="inlineStr">
        <is>
          <t>adm1_name_local</t>
        </is>
      </c>
      <c r="C1" s="23" t="inlineStr">
        <is>
          <t>adm1_pcode</t>
        </is>
      </c>
      <c r="D1" s="23" t="inlineStr">
        <is>
          <t>adm0_name</t>
        </is>
      </c>
      <c r="E1" s="23" t="inlineStr">
        <is>
          <t>adm0_ISO3</t>
        </is>
      </c>
    </row>
    <row r="2">
      <c r="A2" t="inlineStr">
        <is>
          <t>Kayes</t>
        </is>
      </c>
      <c r="B2" t="inlineStr">
        <is>
          <t>Kayes</t>
        </is>
      </c>
      <c r="C2" t="inlineStr">
        <is>
          <t>ML01</t>
        </is>
      </c>
      <c r="D2" t="inlineStr">
        <is>
          <t>Mali</t>
        </is>
      </c>
      <c r="E2" t="inlineStr">
        <is>
          <t>MLI</t>
        </is>
      </c>
    </row>
    <row r="3">
      <c r="A3" t="inlineStr">
        <is>
          <t>Koulikoro</t>
        </is>
      </c>
      <c r="B3" t="inlineStr">
        <is>
          <t>Koulikoro</t>
        </is>
      </c>
      <c r="C3" t="inlineStr">
        <is>
          <t>ML02</t>
        </is>
      </c>
      <c r="D3" t="inlineStr">
        <is>
          <t>Mali</t>
        </is>
      </c>
      <c r="E3" t="inlineStr">
        <is>
          <t>MLI</t>
        </is>
      </c>
    </row>
    <row r="4">
      <c r="A4" t="inlineStr">
        <is>
          <t>Sikasso</t>
        </is>
      </c>
      <c r="B4" t="inlineStr">
        <is>
          <t>Sikasso</t>
        </is>
      </c>
      <c r="C4" t="inlineStr">
        <is>
          <t>ML03</t>
        </is>
      </c>
      <c r="D4" t="inlineStr">
        <is>
          <t>Mali</t>
        </is>
      </c>
      <c r="E4" t="inlineStr">
        <is>
          <t>MLI</t>
        </is>
      </c>
    </row>
    <row r="5">
      <c r="A5" t="inlineStr">
        <is>
          <t>Ségou</t>
        </is>
      </c>
      <c r="B5" t="inlineStr">
        <is>
          <t>Ségou</t>
        </is>
      </c>
      <c r="C5" t="inlineStr">
        <is>
          <t>ML04</t>
        </is>
      </c>
      <c r="D5" t="inlineStr">
        <is>
          <t>Mali</t>
        </is>
      </c>
      <c r="E5" t="inlineStr">
        <is>
          <t>MLI</t>
        </is>
      </c>
    </row>
    <row r="6">
      <c r="A6" t="inlineStr">
        <is>
          <t>Mopti</t>
        </is>
      </c>
      <c r="B6" t="inlineStr">
        <is>
          <t>Mopti</t>
        </is>
      </c>
      <c r="C6" t="inlineStr">
        <is>
          <t>ML05</t>
        </is>
      </c>
      <c r="D6" t="inlineStr">
        <is>
          <t>Mali</t>
        </is>
      </c>
      <c r="E6" t="inlineStr">
        <is>
          <t>MLI</t>
        </is>
      </c>
    </row>
    <row r="7">
      <c r="A7" t="inlineStr">
        <is>
          <t>Tombouctou</t>
        </is>
      </c>
      <c r="B7" t="inlineStr">
        <is>
          <t>Tombouctou</t>
        </is>
      </c>
      <c r="C7" t="inlineStr">
        <is>
          <t>ML06</t>
        </is>
      </c>
      <c r="D7" t="inlineStr">
        <is>
          <t>Mali</t>
        </is>
      </c>
      <c r="E7" t="inlineStr">
        <is>
          <t>MLI</t>
        </is>
      </c>
    </row>
    <row r="8">
      <c r="A8" t="inlineStr">
        <is>
          <t>Gao</t>
        </is>
      </c>
      <c r="B8" t="inlineStr">
        <is>
          <t>Gao</t>
        </is>
      </c>
      <c r="C8" t="inlineStr">
        <is>
          <t>ML07</t>
        </is>
      </c>
      <c r="D8" t="inlineStr">
        <is>
          <t>Mali</t>
        </is>
      </c>
      <c r="E8" t="inlineStr">
        <is>
          <t>MLI</t>
        </is>
      </c>
    </row>
    <row r="9">
      <c r="A9" t="inlineStr">
        <is>
          <t>Kidal</t>
        </is>
      </c>
      <c r="B9" t="inlineStr">
        <is>
          <t>Kidal</t>
        </is>
      </c>
      <c r="C9" t="inlineStr">
        <is>
          <t>ML08</t>
        </is>
      </c>
      <c r="D9" t="inlineStr">
        <is>
          <t>Mali</t>
        </is>
      </c>
      <c r="E9" t="inlineStr">
        <is>
          <t>MLI</t>
        </is>
      </c>
    </row>
    <row r="10">
      <c r="A10" t="inlineStr">
        <is>
          <t>Bamako</t>
        </is>
      </c>
      <c r="B10" t="inlineStr">
        <is>
          <t>Bamako</t>
        </is>
      </c>
      <c r="C10" t="inlineStr">
        <is>
          <t>ML09</t>
        </is>
      </c>
      <c r="D10" t="inlineStr">
        <is>
          <t>Mali</t>
        </is>
      </c>
      <c r="E10" t="inlineStr">
        <is>
          <t>MLI</t>
        </is>
      </c>
    </row>
    <row r="11">
      <c r="A11" t="inlineStr">
        <is>
          <t>Menaka</t>
        </is>
      </c>
      <c r="B11" t="inlineStr">
        <is>
          <t>Menaka</t>
        </is>
      </c>
      <c r="C11" t="inlineStr">
        <is>
          <t>ML10</t>
        </is>
      </c>
      <c r="D11" t="inlineStr">
        <is>
          <t>Mali</t>
        </is>
      </c>
      <c r="E11" t="inlineStr">
        <is>
          <t>MLI</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749" t="inlineStr">
        <is>
          <t>adm2_name</t>
        </is>
      </c>
      <c r="B1" s="749" t="inlineStr">
        <is>
          <t>adm2_name_local</t>
        </is>
      </c>
      <c r="C1" s="749" t="inlineStr">
        <is>
          <t>adm2_pcode</t>
        </is>
      </c>
      <c r="D1" s="749" t="inlineStr">
        <is>
          <t>adm1_name</t>
        </is>
      </c>
      <c r="E1" s="749" t="inlineStr">
        <is>
          <t>adm1_pcode</t>
        </is>
      </c>
      <c r="F1" s="749" t="inlineStr">
        <is>
          <t>adm0_name</t>
        </is>
      </c>
      <c r="G1" s="749" t="inlineStr">
        <is>
          <t>adm0_ISO3</t>
        </is>
      </c>
    </row>
    <row r="2">
      <c r="A2" t="inlineStr">
        <is>
          <t>Tidermene</t>
        </is>
      </c>
      <c r="B2" t="inlineStr">
        <is>
          <t>Tidermene</t>
        </is>
      </c>
      <c r="C2" t="inlineStr">
        <is>
          <t>ML1004</t>
        </is>
      </c>
      <c r="D2" t="inlineStr">
        <is>
          <t>Menaka</t>
        </is>
      </c>
      <c r="E2" t="inlineStr">
        <is>
          <t>ML10</t>
        </is>
      </c>
      <c r="F2" t="inlineStr">
        <is>
          <t>Mali</t>
        </is>
      </c>
      <c r="G2" t="inlineStr">
        <is>
          <t>MLI</t>
        </is>
      </c>
    </row>
    <row r="3">
      <c r="A3" t="inlineStr">
        <is>
          <t>Inekar</t>
        </is>
      </c>
      <c r="B3" t="inlineStr">
        <is>
          <t>Inekar</t>
        </is>
      </c>
      <c r="C3" t="inlineStr">
        <is>
          <t>ML1003</t>
        </is>
      </c>
      <c r="D3" t="inlineStr">
        <is>
          <t>Menaka</t>
        </is>
      </c>
      <c r="E3" t="inlineStr">
        <is>
          <t>ML10</t>
        </is>
      </c>
      <c r="F3" t="inlineStr">
        <is>
          <t>Mali</t>
        </is>
      </c>
      <c r="G3" t="inlineStr">
        <is>
          <t>MLI</t>
        </is>
      </c>
    </row>
    <row r="4">
      <c r="A4" t="inlineStr">
        <is>
          <t>Anderamboukane</t>
        </is>
      </c>
      <c r="B4" t="inlineStr">
        <is>
          <t>Anderamboukane</t>
        </is>
      </c>
      <c r="C4" t="inlineStr">
        <is>
          <t>ML1002</t>
        </is>
      </c>
      <c r="D4" t="inlineStr">
        <is>
          <t>Menaka</t>
        </is>
      </c>
      <c r="E4" t="inlineStr">
        <is>
          <t>ML10</t>
        </is>
      </c>
      <c r="F4" t="inlineStr">
        <is>
          <t>Mali</t>
        </is>
      </c>
      <c r="G4" t="inlineStr">
        <is>
          <t>MLI</t>
        </is>
      </c>
    </row>
    <row r="5">
      <c r="A5" t="inlineStr">
        <is>
          <t>Ménaka</t>
        </is>
      </c>
      <c r="B5" t="inlineStr">
        <is>
          <t>Ménaka</t>
        </is>
      </c>
      <c r="C5" t="inlineStr">
        <is>
          <t>ML1001</t>
        </is>
      </c>
      <c r="D5" t="inlineStr">
        <is>
          <t>Menaka</t>
        </is>
      </c>
      <c r="E5" t="inlineStr">
        <is>
          <t>ML10</t>
        </is>
      </c>
      <c r="F5" t="inlineStr">
        <is>
          <t>Mali</t>
        </is>
      </c>
      <c r="G5" t="inlineStr">
        <is>
          <t>MLI</t>
        </is>
      </c>
    </row>
    <row r="6">
      <c r="A6" t="inlineStr">
        <is>
          <t>Bamako</t>
        </is>
      </c>
      <c r="B6" t="inlineStr">
        <is>
          <t>Bamako</t>
        </is>
      </c>
      <c r="C6" t="inlineStr">
        <is>
          <t>ML0901</t>
        </is>
      </c>
      <c r="D6" t="inlineStr">
        <is>
          <t>Bamako</t>
        </is>
      </c>
      <c r="E6" t="inlineStr">
        <is>
          <t>ML09</t>
        </is>
      </c>
      <c r="F6" t="inlineStr">
        <is>
          <t>Mali</t>
        </is>
      </c>
      <c r="G6" t="inlineStr">
        <is>
          <t>MLI</t>
        </is>
      </c>
    </row>
    <row r="7">
      <c r="A7" t="inlineStr">
        <is>
          <t>Tin-Essako</t>
        </is>
      </c>
      <c r="B7" t="inlineStr">
        <is>
          <t>Tin-Essako</t>
        </is>
      </c>
      <c r="C7" t="inlineStr">
        <is>
          <t>ML0804</t>
        </is>
      </c>
      <c r="D7" t="inlineStr">
        <is>
          <t>Kidal</t>
        </is>
      </c>
      <c r="E7" t="inlineStr">
        <is>
          <t>ML08</t>
        </is>
      </c>
      <c r="F7" t="inlineStr">
        <is>
          <t>Mali</t>
        </is>
      </c>
      <c r="G7" t="inlineStr">
        <is>
          <t>MLI</t>
        </is>
      </c>
    </row>
    <row r="8">
      <c r="A8" t="inlineStr">
        <is>
          <t>Tessalit</t>
        </is>
      </c>
      <c r="B8" t="inlineStr">
        <is>
          <t>Tessalit</t>
        </is>
      </c>
      <c r="C8" t="inlineStr">
        <is>
          <t>ML0803</t>
        </is>
      </c>
      <c r="D8" t="inlineStr">
        <is>
          <t>Kidal</t>
        </is>
      </c>
      <c r="E8" t="inlineStr">
        <is>
          <t>ML08</t>
        </is>
      </c>
      <c r="F8" t="inlineStr">
        <is>
          <t>Mali</t>
        </is>
      </c>
      <c r="G8" t="inlineStr">
        <is>
          <t>MLI</t>
        </is>
      </c>
    </row>
    <row r="9">
      <c r="A9" t="inlineStr">
        <is>
          <t>Kidal</t>
        </is>
      </c>
      <c r="B9" t="inlineStr">
        <is>
          <t>Kidal</t>
        </is>
      </c>
      <c r="C9" t="inlineStr">
        <is>
          <t>ML0802</t>
        </is>
      </c>
      <c r="D9" t="inlineStr">
        <is>
          <t>Kidal</t>
        </is>
      </c>
      <c r="E9" t="inlineStr">
        <is>
          <t>ML08</t>
        </is>
      </c>
      <c r="F9" t="inlineStr">
        <is>
          <t>Mali</t>
        </is>
      </c>
      <c r="G9" t="inlineStr">
        <is>
          <t>MLI</t>
        </is>
      </c>
    </row>
    <row r="10">
      <c r="A10" t="inlineStr">
        <is>
          <t>Abeibara</t>
        </is>
      </c>
      <c r="B10" t="inlineStr">
        <is>
          <t>Abeibara</t>
        </is>
      </c>
      <c r="C10" t="inlineStr">
        <is>
          <t>ML0801</t>
        </is>
      </c>
      <c r="D10" t="inlineStr">
        <is>
          <t>Kidal</t>
        </is>
      </c>
      <c r="E10" t="inlineStr">
        <is>
          <t>ML08</t>
        </is>
      </c>
      <c r="F10" t="inlineStr">
        <is>
          <t>Mali</t>
        </is>
      </c>
      <c r="G10" t="inlineStr">
        <is>
          <t>MLI</t>
        </is>
      </c>
    </row>
    <row r="11">
      <c r="A11" t="inlineStr">
        <is>
          <t>Gao</t>
        </is>
      </c>
      <c r="B11" t="inlineStr">
        <is>
          <t>Gao</t>
        </is>
      </c>
      <c r="C11" t="inlineStr">
        <is>
          <t>ML0703</t>
        </is>
      </c>
      <c r="D11" t="inlineStr">
        <is>
          <t>Gao</t>
        </is>
      </c>
      <c r="E11" t="inlineStr">
        <is>
          <t>ML07</t>
        </is>
      </c>
      <c r="F11" t="inlineStr">
        <is>
          <t>Mali</t>
        </is>
      </c>
      <c r="G11" t="inlineStr">
        <is>
          <t>MLI</t>
        </is>
      </c>
    </row>
    <row r="12">
      <c r="A12" t="inlineStr">
        <is>
          <t>Bourem</t>
        </is>
      </c>
      <c r="B12" t="inlineStr">
        <is>
          <t>Bourem</t>
        </is>
      </c>
      <c r="C12" t="inlineStr">
        <is>
          <t>ML0702</t>
        </is>
      </c>
      <c r="D12" t="inlineStr">
        <is>
          <t>Gao</t>
        </is>
      </c>
      <c r="E12" t="inlineStr">
        <is>
          <t>ML07</t>
        </is>
      </c>
      <c r="F12" t="inlineStr">
        <is>
          <t>Mali</t>
        </is>
      </c>
      <c r="G12" t="inlineStr">
        <is>
          <t>MLI</t>
        </is>
      </c>
    </row>
    <row r="13">
      <c r="A13" t="inlineStr">
        <is>
          <t>Ansongo</t>
        </is>
      </c>
      <c r="B13" t="inlineStr">
        <is>
          <t>Ansongo</t>
        </is>
      </c>
      <c r="C13" t="inlineStr">
        <is>
          <t>ML0701</t>
        </is>
      </c>
      <c r="D13" t="inlineStr">
        <is>
          <t>Gao</t>
        </is>
      </c>
      <c r="E13" t="inlineStr">
        <is>
          <t>ML07</t>
        </is>
      </c>
      <c r="F13" t="inlineStr">
        <is>
          <t>Mali</t>
        </is>
      </c>
      <c r="G13" t="inlineStr">
        <is>
          <t>MLI</t>
        </is>
      </c>
    </row>
    <row r="14">
      <c r="A14" t="inlineStr">
        <is>
          <t>Tombouctou</t>
        </is>
      </c>
      <c r="B14" t="inlineStr">
        <is>
          <t>Tombouctou</t>
        </is>
      </c>
      <c r="C14" t="inlineStr">
        <is>
          <t>ML0605</t>
        </is>
      </c>
      <c r="D14" t="inlineStr">
        <is>
          <t>Tombouctou</t>
        </is>
      </c>
      <c r="E14" t="inlineStr">
        <is>
          <t>ML06</t>
        </is>
      </c>
      <c r="F14" t="inlineStr">
        <is>
          <t>Mali</t>
        </is>
      </c>
      <c r="G14" t="inlineStr">
        <is>
          <t>MLI</t>
        </is>
      </c>
    </row>
    <row r="15">
      <c r="A15" t="inlineStr">
        <is>
          <t>Niafunké</t>
        </is>
      </c>
      <c r="B15" t="inlineStr">
        <is>
          <t>Niafunké</t>
        </is>
      </c>
      <c r="C15" t="inlineStr">
        <is>
          <t>ML0604</t>
        </is>
      </c>
      <c r="D15" t="inlineStr">
        <is>
          <t>Tombouctou</t>
        </is>
      </c>
      <c r="E15" t="inlineStr">
        <is>
          <t>ML06</t>
        </is>
      </c>
      <c r="F15" t="inlineStr">
        <is>
          <t>Mali</t>
        </is>
      </c>
      <c r="G15" t="inlineStr">
        <is>
          <t>MLI</t>
        </is>
      </c>
    </row>
    <row r="16">
      <c r="A16" t="inlineStr">
        <is>
          <t>Gourma-Rharous</t>
        </is>
      </c>
      <c r="B16" t="inlineStr">
        <is>
          <t>Gourma-Rharous</t>
        </is>
      </c>
      <c r="C16" t="inlineStr">
        <is>
          <t>ML0603</t>
        </is>
      </c>
      <c r="D16" t="inlineStr">
        <is>
          <t>Tombouctou</t>
        </is>
      </c>
      <c r="E16" t="inlineStr">
        <is>
          <t>ML06</t>
        </is>
      </c>
      <c r="F16" t="inlineStr">
        <is>
          <t>Mali</t>
        </is>
      </c>
      <c r="G16" t="inlineStr">
        <is>
          <t>MLI</t>
        </is>
      </c>
    </row>
    <row r="17">
      <c r="A17" t="inlineStr">
        <is>
          <t>Goundam</t>
        </is>
      </c>
      <c r="B17" t="inlineStr">
        <is>
          <t>Goundam</t>
        </is>
      </c>
      <c r="C17" t="inlineStr">
        <is>
          <t>ML0602</t>
        </is>
      </c>
      <c r="D17" t="inlineStr">
        <is>
          <t>Tombouctou</t>
        </is>
      </c>
      <c r="E17" t="inlineStr">
        <is>
          <t>ML06</t>
        </is>
      </c>
      <c r="F17" t="inlineStr">
        <is>
          <t>Mali</t>
        </is>
      </c>
      <c r="G17" t="inlineStr">
        <is>
          <t>MLI</t>
        </is>
      </c>
    </row>
    <row r="18">
      <c r="A18" t="inlineStr">
        <is>
          <t>Diré</t>
        </is>
      </c>
      <c r="B18" t="inlineStr">
        <is>
          <t>Diré</t>
        </is>
      </c>
      <c r="C18" t="inlineStr">
        <is>
          <t>ML0601</t>
        </is>
      </c>
      <c r="D18" t="inlineStr">
        <is>
          <t>Tombouctou</t>
        </is>
      </c>
      <c r="E18" t="inlineStr">
        <is>
          <t>ML06</t>
        </is>
      </c>
      <c r="F18" t="inlineStr">
        <is>
          <t>Mali</t>
        </is>
      </c>
      <c r="G18" t="inlineStr">
        <is>
          <t>MLI</t>
        </is>
      </c>
    </row>
    <row r="19">
      <c r="A19" t="inlineStr">
        <is>
          <t>Youwarou</t>
        </is>
      </c>
      <c r="B19" t="inlineStr">
        <is>
          <t>Youwarou</t>
        </is>
      </c>
      <c r="C19" t="inlineStr">
        <is>
          <t>ML0508</t>
        </is>
      </c>
      <c r="D19" t="inlineStr">
        <is>
          <t>Mopti</t>
        </is>
      </c>
      <c r="E19" t="inlineStr">
        <is>
          <t>ML05</t>
        </is>
      </c>
      <c r="F19" t="inlineStr">
        <is>
          <t>Mali</t>
        </is>
      </c>
      <c r="G19" t="inlineStr">
        <is>
          <t>MLI</t>
        </is>
      </c>
    </row>
    <row r="20">
      <c r="A20" t="inlineStr">
        <is>
          <t>Ténenkou</t>
        </is>
      </c>
      <c r="B20" t="inlineStr">
        <is>
          <t>Ténenkou</t>
        </is>
      </c>
      <c r="C20" t="inlineStr">
        <is>
          <t>ML0507</t>
        </is>
      </c>
      <c r="D20" t="inlineStr">
        <is>
          <t>Mopti</t>
        </is>
      </c>
      <c r="E20" t="inlineStr">
        <is>
          <t>ML05</t>
        </is>
      </c>
      <c r="F20" t="inlineStr">
        <is>
          <t>Mali</t>
        </is>
      </c>
      <c r="G20" t="inlineStr">
        <is>
          <t>MLI</t>
        </is>
      </c>
    </row>
    <row r="21">
      <c r="A21" t="inlineStr">
        <is>
          <t>Mopti</t>
        </is>
      </c>
      <c r="B21" t="inlineStr">
        <is>
          <t>Mopti</t>
        </is>
      </c>
      <c r="C21" t="inlineStr">
        <is>
          <t>ML0506</t>
        </is>
      </c>
      <c r="D21" t="inlineStr">
        <is>
          <t>Mopti</t>
        </is>
      </c>
      <c r="E21" t="inlineStr">
        <is>
          <t>ML05</t>
        </is>
      </c>
      <c r="F21" t="inlineStr">
        <is>
          <t>Mali</t>
        </is>
      </c>
      <c r="G21" t="inlineStr">
        <is>
          <t>MLI</t>
        </is>
      </c>
    </row>
    <row r="22">
      <c r="A22" t="inlineStr">
        <is>
          <t>Koro</t>
        </is>
      </c>
      <c r="B22" t="inlineStr">
        <is>
          <t>Koro</t>
        </is>
      </c>
      <c r="C22" t="inlineStr">
        <is>
          <t>ML0505</t>
        </is>
      </c>
      <c r="D22" t="inlineStr">
        <is>
          <t>Mopti</t>
        </is>
      </c>
      <c r="E22" t="inlineStr">
        <is>
          <t>ML05</t>
        </is>
      </c>
      <c r="F22" t="inlineStr">
        <is>
          <t>Mali</t>
        </is>
      </c>
      <c r="G22" t="inlineStr">
        <is>
          <t>MLI</t>
        </is>
      </c>
    </row>
    <row r="23">
      <c r="A23" t="inlineStr">
        <is>
          <t>Douentza</t>
        </is>
      </c>
      <c r="B23" t="inlineStr">
        <is>
          <t>Douentza</t>
        </is>
      </c>
      <c r="C23" t="inlineStr">
        <is>
          <t>ML0504</t>
        </is>
      </c>
      <c r="D23" t="inlineStr">
        <is>
          <t>Mopti</t>
        </is>
      </c>
      <c r="E23" t="inlineStr">
        <is>
          <t>ML05</t>
        </is>
      </c>
      <c r="F23" t="inlineStr">
        <is>
          <t>Mali</t>
        </is>
      </c>
      <c r="G23" t="inlineStr">
        <is>
          <t>MLI</t>
        </is>
      </c>
    </row>
    <row r="24">
      <c r="A24" t="inlineStr">
        <is>
          <t>Djenné</t>
        </is>
      </c>
      <c r="B24" t="inlineStr">
        <is>
          <t>Djenné</t>
        </is>
      </c>
      <c r="C24" t="inlineStr">
        <is>
          <t>ML0503</t>
        </is>
      </c>
      <c r="D24" t="inlineStr">
        <is>
          <t>Mopti</t>
        </is>
      </c>
      <c r="E24" t="inlineStr">
        <is>
          <t>ML05</t>
        </is>
      </c>
      <c r="F24" t="inlineStr">
        <is>
          <t>Mali</t>
        </is>
      </c>
      <c r="G24" t="inlineStr">
        <is>
          <t>MLI</t>
        </is>
      </c>
    </row>
    <row r="25">
      <c r="A25" t="inlineStr">
        <is>
          <t>Bankass</t>
        </is>
      </c>
      <c r="B25" t="inlineStr">
        <is>
          <t>Bankass</t>
        </is>
      </c>
      <c r="C25" t="inlineStr">
        <is>
          <t>ML0502</t>
        </is>
      </c>
      <c r="D25" t="inlineStr">
        <is>
          <t>Mopti</t>
        </is>
      </c>
      <c r="E25" t="inlineStr">
        <is>
          <t>ML05</t>
        </is>
      </c>
      <c r="F25" t="inlineStr">
        <is>
          <t>Mali</t>
        </is>
      </c>
      <c r="G25" t="inlineStr">
        <is>
          <t>MLI</t>
        </is>
      </c>
    </row>
    <row r="26">
      <c r="A26" t="inlineStr">
        <is>
          <t>Bandiagara</t>
        </is>
      </c>
      <c r="B26" t="inlineStr">
        <is>
          <t>Bandiagara</t>
        </is>
      </c>
      <c r="C26" t="inlineStr">
        <is>
          <t>ML0501</t>
        </is>
      </c>
      <c r="D26" t="inlineStr">
        <is>
          <t>Mopti</t>
        </is>
      </c>
      <c r="E26" t="inlineStr">
        <is>
          <t>ML05</t>
        </is>
      </c>
      <c r="F26" t="inlineStr">
        <is>
          <t>Mali</t>
        </is>
      </c>
      <c r="G26" t="inlineStr">
        <is>
          <t>MLI</t>
        </is>
      </c>
    </row>
    <row r="27">
      <c r="A27" t="inlineStr">
        <is>
          <t>Tominian</t>
        </is>
      </c>
      <c r="B27" t="inlineStr">
        <is>
          <t>Tominian</t>
        </is>
      </c>
      <c r="C27" t="inlineStr">
        <is>
          <t>ML0407</t>
        </is>
      </c>
      <c r="D27" t="inlineStr">
        <is>
          <t>Ségou</t>
        </is>
      </c>
      <c r="E27" t="inlineStr">
        <is>
          <t>ML04</t>
        </is>
      </c>
      <c r="F27" t="inlineStr">
        <is>
          <t>Mali</t>
        </is>
      </c>
      <c r="G27" t="inlineStr">
        <is>
          <t>MLI</t>
        </is>
      </c>
    </row>
    <row r="28">
      <c r="A28" t="inlineStr">
        <is>
          <t>Ségou</t>
        </is>
      </c>
      <c r="B28" t="inlineStr">
        <is>
          <t>Ségou</t>
        </is>
      </c>
      <c r="C28" t="inlineStr">
        <is>
          <t>ML0406</t>
        </is>
      </c>
      <c r="D28" t="inlineStr">
        <is>
          <t>Ségou</t>
        </is>
      </c>
      <c r="E28" t="inlineStr">
        <is>
          <t>ML04</t>
        </is>
      </c>
      <c r="F28" t="inlineStr">
        <is>
          <t>Mali</t>
        </is>
      </c>
      <c r="G28" t="inlineStr">
        <is>
          <t>MLI</t>
        </is>
      </c>
    </row>
    <row r="29">
      <c r="A29" t="inlineStr">
        <is>
          <t>San</t>
        </is>
      </c>
      <c r="B29" t="inlineStr">
        <is>
          <t>San</t>
        </is>
      </c>
      <c r="C29" t="inlineStr">
        <is>
          <t>ML0405</t>
        </is>
      </c>
      <c r="D29" t="inlineStr">
        <is>
          <t>Ségou</t>
        </is>
      </c>
      <c r="E29" t="inlineStr">
        <is>
          <t>ML04</t>
        </is>
      </c>
      <c r="F29" t="inlineStr">
        <is>
          <t>Mali</t>
        </is>
      </c>
      <c r="G29" t="inlineStr">
        <is>
          <t>MLI</t>
        </is>
      </c>
    </row>
    <row r="30">
      <c r="A30" t="inlineStr">
        <is>
          <t>Niono</t>
        </is>
      </c>
      <c r="B30" t="inlineStr">
        <is>
          <t>Niono</t>
        </is>
      </c>
      <c r="C30" t="inlineStr">
        <is>
          <t>ML0404</t>
        </is>
      </c>
      <c r="D30" t="inlineStr">
        <is>
          <t>Ségou</t>
        </is>
      </c>
      <c r="E30" t="inlineStr">
        <is>
          <t>ML04</t>
        </is>
      </c>
      <c r="F30" t="inlineStr">
        <is>
          <t>Mali</t>
        </is>
      </c>
      <c r="G30" t="inlineStr">
        <is>
          <t>MLI</t>
        </is>
      </c>
    </row>
    <row r="31">
      <c r="A31" t="inlineStr">
        <is>
          <t>Macina</t>
        </is>
      </c>
      <c r="B31" t="inlineStr">
        <is>
          <t>Macina</t>
        </is>
      </c>
      <c r="C31" t="inlineStr">
        <is>
          <t>ML0403</t>
        </is>
      </c>
      <c r="D31" t="inlineStr">
        <is>
          <t>Ségou</t>
        </is>
      </c>
      <c r="E31" t="inlineStr">
        <is>
          <t>ML04</t>
        </is>
      </c>
      <c r="F31" t="inlineStr">
        <is>
          <t>Mali</t>
        </is>
      </c>
      <c r="G31" t="inlineStr">
        <is>
          <t>MLI</t>
        </is>
      </c>
    </row>
    <row r="32">
      <c r="A32" t="inlineStr">
        <is>
          <t>Bla</t>
        </is>
      </c>
      <c r="B32" t="inlineStr">
        <is>
          <t>Bla</t>
        </is>
      </c>
      <c r="C32" t="inlineStr">
        <is>
          <t>ML0402</t>
        </is>
      </c>
      <c r="D32" t="inlineStr">
        <is>
          <t>Ségou</t>
        </is>
      </c>
      <c r="E32" t="inlineStr">
        <is>
          <t>ML04</t>
        </is>
      </c>
      <c r="F32" t="inlineStr">
        <is>
          <t>Mali</t>
        </is>
      </c>
      <c r="G32" t="inlineStr">
        <is>
          <t>MLI</t>
        </is>
      </c>
    </row>
    <row r="33">
      <c r="A33" t="inlineStr">
        <is>
          <t>Baraouéli</t>
        </is>
      </c>
      <c r="B33" t="inlineStr">
        <is>
          <t>Baraouéli</t>
        </is>
      </c>
      <c r="C33" t="inlineStr">
        <is>
          <t>ML0401</t>
        </is>
      </c>
      <c r="D33" t="inlineStr">
        <is>
          <t>Ségou</t>
        </is>
      </c>
      <c r="E33" t="inlineStr">
        <is>
          <t>ML04</t>
        </is>
      </c>
      <c r="F33" t="inlineStr">
        <is>
          <t>Mali</t>
        </is>
      </c>
      <c r="G33" t="inlineStr">
        <is>
          <t>MLI</t>
        </is>
      </c>
    </row>
    <row r="34">
      <c r="A34" t="inlineStr">
        <is>
          <t>Yorosso</t>
        </is>
      </c>
      <c r="B34" t="inlineStr">
        <is>
          <t>Yorosso</t>
        </is>
      </c>
      <c r="C34" t="inlineStr">
        <is>
          <t>ML0307</t>
        </is>
      </c>
      <c r="D34" t="inlineStr">
        <is>
          <t>Sikasso</t>
        </is>
      </c>
      <c r="E34" t="inlineStr">
        <is>
          <t>ML03</t>
        </is>
      </c>
      <c r="F34" t="inlineStr">
        <is>
          <t>Mali</t>
        </is>
      </c>
      <c r="G34" t="inlineStr">
        <is>
          <t>MLI</t>
        </is>
      </c>
    </row>
    <row r="35">
      <c r="A35" t="inlineStr">
        <is>
          <t>Yanfolila</t>
        </is>
      </c>
      <c r="B35" t="inlineStr">
        <is>
          <t>Yanfolila</t>
        </is>
      </c>
      <c r="C35" t="inlineStr">
        <is>
          <t>ML0306</t>
        </is>
      </c>
      <c r="D35" t="inlineStr">
        <is>
          <t>Sikasso</t>
        </is>
      </c>
      <c r="E35" t="inlineStr">
        <is>
          <t>ML03</t>
        </is>
      </c>
      <c r="F35" t="inlineStr">
        <is>
          <t>Mali</t>
        </is>
      </c>
      <c r="G35" t="inlineStr">
        <is>
          <t>MLI</t>
        </is>
      </c>
    </row>
    <row r="36">
      <c r="A36" t="inlineStr">
        <is>
          <t>Sikasso</t>
        </is>
      </c>
      <c r="B36" t="inlineStr">
        <is>
          <t>Sikasso</t>
        </is>
      </c>
      <c r="C36" t="inlineStr">
        <is>
          <t>ML0305</t>
        </is>
      </c>
      <c r="D36" t="inlineStr">
        <is>
          <t>Sikasso</t>
        </is>
      </c>
      <c r="E36" t="inlineStr">
        <is>
          <t>ML03</t>
        </is>
      </c>
      <c r="F36" t="inlineStr">
        <is>
          <t>Mali</t>
        </is>
      </c>
      <c r="G36" t="inlineStr">
        <is>
          <t>MLI</t>
        </is>
      </c>
    </row>
    <row r="37">
      <c r="A37" t="inlineStr">
        <is>
          <t>Koutiala</t>
        </is>
      </c>
      <c r="B37" t="inlineStr">
        <is>
          <t>Koutiala</t>
        </is>
      </c>
      <c r="C37" t="inlineStr">
        <is>
          <t>ML0304</t>
        </is>
      </c>
      <c r="D37" t="inlineStr">
        <is>
          <t>Sikasso</t>
        </is>
      </c>
      <c r="E37" t="inlineStr">
        <is>
          <t>ML03</t>
        </is>
      </c>
      <c r="F37" t="inlineStr">
        <is>
          <t>Mali</t>
        </is>
      </c>
      <c r="G37" t="inlineStr">
        <is>
          <t>MLI</t>
        </is>
      </c>
    </row>
    <row r="38">
      <c r="A38" t="inlineStr">
        <is>
          <t>Kolondieba</t>
        </is>
      </c>
      <c r="B38" t="inlineStr">
        <is>
          <t>Kolondieba</t>
        </is>
      </c>
      <c r="C38" t="inlineStr">
        <is>
          <t>ML0303</t>
        </is>
      </c>
      <c r="D38" t="inlineStr">
        <is>
          <t>Sikasso</t>
        </is>
      </c>
      <c r="E38" t="inlineStr">
        <is>
          <t>ML03</t>
        </is>
      </c>
      <c r="F38" t="inlineStr">
        <is>
          <t>Mali</t>
        </is>
      </c>
      <c r="G38" t="inlineStr">
        <is>
          <t>MLI</t>
        </is>
      </c>
    </row>
    <row r="39">
      <c r="A39" t="inlineStr">
        <is>
          <t>Kadiolo</t>
        </is>
      </c>
      <c r="B39" t="inlineStr">
        <is>
          <t>Kadiolo</t>
        </is>
      </c>
      <c r="C39" t="inlineStr">
        <is>
          <t>ML0302</t>
        </is>
      </c>
      <c r="D39" t="inlineStr">
        <is>
          <t>Sikasso</t>
        </is>
      </c>
      <c r="E39" t="inlineStr">
        <is>
          <t>ML03</t>
        </is>
      </c>
      <c r="F39" t="inlineStr">
        <is>
          <t>Mali</t>
        </is>
      </c>
      <c r="G39" t="inlineStr">
        <is>
          <t>MLI</t>
        </is>
      </c>
    </row>
    <row r="40">
      <c r="A40" t="inlineStr">
        <is>
          <t>Bougouni</t>
        </is>
      </c>
      <c r="B40" t="inlineStr">
        <is>
          <t>Bougouni</t>
        </is>
      </c>
      <c r="C40" t="inlineStr">
        <is>
          <t>ML0301</t>
        </is>
      </c>
      <c r="D40" t="inlineStr">
        <is>
          <t>Sikasso</t>
        </is>
      </c>
      <c r="E40" t="inlineStr">
        <is>
          <t>ML03</t>
        </is>
      </c>
      <c r="F40" t="inlineStr">
        <is>
          <t>Mali</t>
        </is>
      </c>
      <c r="G40" t="inlineStr">
        <is>
          <t>MLI</t>
        </is>
      </c>
    </row>
    <row r="41">
      <c r="A41" t="inlineStr">
        <is>
          <t>Nara</t>
        </is>
      </c>
      <c r="B41" t="inlineStr">
        <is>
          <t>Nara</t>
        </is>
      </c>
      <c r="C41" t="inlineStr">
        <is>
          <t>ML0207</t>
        </is>
      </c>
      <c r="D41" t="inlineStr">
        <is>
          <t>Koulikoro</t>
        </is>
      </c>
      <c r="E41" t="inlineStr">
        <is>
          <t>ML02</t>
        </is>
      </c>
      <c r="F41" t="inlineStr">
        <is>
          <t>Mali</t>
        </is>
      </c>
      <c r="G41" t="inlineStr">
        <is>
          <t>MLI</t>
        </is>
      </c>
    </row>
    <row r="42">
      <c r="A42" t="inlineStr">
        <is>
          <t>Koulikoro</t>
        </is>
      </c>
      <c r="B42" t="inlineStr">
        <is>
          <t>Koulikoro</t>
        </is>
      </c>
      <c r="C42" t="inlineStr">
        <is>
          <t>ML0206</t>
        </is>
      </c>
      <c r="D42" t="inlineStr">
        <is>
          <t>Koulikoro</t>
        </is>
      </c>
      <c r="E42" t="inlineStr">
        <is>
          <t>ML02</t>
        </is>
      </c>
      <c r="F42" t="inlineStr">
        <is>
          <t>Mali</t>
        </is>
      </c>
      <c r="G42" t="inlineStr">
        <is>
          <t>MLI</t>
        </is>
      </c>
    </row>
    <row r="43">
      <c r="A43" t="inlineStr">
        <is>
          <t>Kolokani</t>
        </is>
      </c>
      <c r="B43" t="inlineStr">
        <is>
          <t>Kolokani</t>
        </is>
      </c>
      <c r="C43" t="inlineStr">
        <is>
          <t>ML0205</t>
        </is>
      </c>
      <c r="D43" t="inlineStr">
        <is>
          <t>Koulikoro</t>
        </is>
      </c>
      <c r="E43" t="inlineStr">
        <is>
          <t>ML02</t>
        </is>
      </c>
      <c r="F43" t="inlineStr">
        <is>
          <t>Mali</t>
        </is>
      </c>
      <c r="G43" t="inlineStr">
        <is>
          <t>MLI</t>
        </is>
      </c>
    </row>
    <row r="44">
      <c r="A44" t="inlineStr">
        <is>
          <t>Kati</t>
        </is>
      </c>
      <c r="B44" t="inlineStr">
        <is>
          <t>Kati</t>
        </is>
      </c>
      <c r="C44" t="inlineStr">
        <is>
          <t>ML0204</t>
        </is>
      </c>
      <c r="D44" t="inlineStr">
        <is>
          <t>Koulikoro</t>
        </is>
      </c>
      <c r="E44" t="inlineStr">
        <is>
          <t>ML02</t>
        </is>
      </c>
      <c r="F44" t="inlineStr">
        <is>
          <t>Mali</t>
        </is>
      </c>
      <c r="G44" t="inlineStr">
        <is>
          <t>MLI</t>
        </is>
      </c>
    </row>
    <row r="45">
      <c r="A45" t="inlineStr">
        <is>
          <t>Kangaba</t>
        </is>
      </c>
      <c r="B45" t="inlineStr">
        <is>
          <t>Kangaba</t>
        </is>
      </c>
      <c r="C45" t="inlineStr">
        <is>
          <t>ML0203</t>
        </is>
      </c>
      <c r="D45" t="inlineStr">
        <is>
          <t>Koulikoro</t>
        </is>
      </c>
      <c r="E45" t="inlineStr">
        <is>
          <t>ML02</t>
        </is>
      </c>
      <c r="F45" t="inlineStr">
        <is>
          <t>Mali</t>
        </is>
      </c>
      <c r="G45" t="inlineStr">
        <is>
          <t>MLI</t>
        </is>
      </c>
    </row>
    <row r="46">
      <c r="A46" t="inlineStr">
        <is>
          <t>Dioila</t>
        </is>
      </c>
      <c r="B46" t="inlineStr">
        <is>
          <t>Dioila</t>
        </is>
      </c>
      <c r="C46" t="inlineStr">
        <is>
          <t>ML0202</t>
        </is>
      </c>
      <c r="D46" t="inlineStr">
        <is>
          <t>Koulikoro</t>
        </is>
      </c>
      <c r="E46" t="inlineStr">
        <is>
          <t>ML02</t>
        </is>
      </c>
      <c r="F46" t="inlineStr">
        <is>
          <t>Mali</t>
        </is>
      </c>
      <c r="G46" t="inlineStr">
        <is>
          <t>MLI</t>
        </is>
      </c>
    </row>
    <row r="47">
      <c r="A47" t="inlineStr">
        <is>
          <t>Banamba</t>
        </is>
      </c>
      <c r="B47" t="inlineStr">
        <is>
          <t>Banamba</t>
        </is>
      </c>
      <c r="C47" t="inlineStr">
        <is>
          <t>ML0201</t>
        </is>
      </c>
      <c r="D47" t="inlineStr">
        <is>
          <t>Koulikoro</t>
        </is>
      </c>
      <c r="E47" t="inlineStr">
        <is>
          <t>ML02</t>
        </is>
      </c>
      <c r="F47" t="inlineStr">
        <is>
          <t>Mali</t>
        </is>
      </c>
      <c r="G47" t="inlineStr">
        <is>
          <t>MLI</t>
        </is>
      </c>
    </row>
    <row r="48">
      <c r="A48" t="inlineStr">
        <is>
          <t>Yélimané</t>
        </is>
      </c>
      <c r="B48" t="inlineStr">
        <is>
          <t>Yélimané</t>
        </is>
      </c>
      <c r="C48" t="inlineStr">
        <is>
          <t>ML0107</t>
        </is>
      </c>
      <c r="D48" t="inlineStr">
        <is>
          <t>Kayes</t>
        </is>
      </c>
      <c r="E48" t="inlineStr">
        <is>
          <t>ML01</t>
        </is>
      </c>
      <c r="F48" t="inlineStr">
        <is>
          <t>Mali</t>
        </is>
      </c>
      <c r="G48" t="inlineStr">
        <is>
          <t>MLI</t>
        </is>
      </c>
    </row>
    <row r="49">
      <c r="A49" t="inlineStr">
        <is>
          <t>Nioro</t>
        </is>
      </c>
      <c r="B49" t="inlineStr">
        <is>
          <t>Nioro</t>
        </is>
      </c>
      <c r="C49" t="inlineStr">
        <is>
          <t>ML0106</t>
        </is>
      </c>
      <c r="D49" t="inlineStr">
        <is>
          <t>Kayes</t>
        </is>
      </c>
      <c r="E49" t="inlineStr">
        <is>
          <t>ML01</t>
        </is>
      </c>
      <c r="F49" t="inlineStr">
        <is>
          <t>Mali</t>
        </is>
      </c>
      <c r="G49" t="inlineStr">
        <is>
          <t>MLI</t>
        </is>
      </c>
    </row>
    <row r="50">
      <c r="A50" t="inlineStr">
        <is>
          <t>Kita</t>
        </is>
      </c>
      <c r="B50" t="inlineStr">
        <is>
          <t>Kita</t>
        </is>
      </c>
      <c r="C50" t="inlineStr">
        <is>
          <t>ML0105</t>
        </is>
      </c>
      <c r="D50" t="inlineStr">
        <is>
          <t>Kayes</t>
        </is>
      </c>
      <c r="E50" t="inlineStr">
        <is>
          <t>ML01</t>
        </is>
      </c>
      <c r="F50" t="inlineStr">
        <is>
          <t>Mali</t>
        </is>
      </c>
      <c r="G50" t="inlineStr">
        <is>
          <t>MLI</t>
        </is>
      </c>
    </row>
    <row r="51">
      <c r="A51" t="inlineStr">
        <is>
          <t>Kéniéba</t>
        </is>
      </c>
      <c r="B51" t="inlineStr">
        <is>
          <t>Kéniéba</t>
        </is>
      </c>
      <c r="C51" t="inlineStr">
        <is>
          <t>ML0104</t>
        </is>
      </c>
      <c r="D51" t="inlineStr">
        <is>
          <t>Kayes</t>
        </is>
      </c>
      <c r="E51" t="inlineStr">
        <is>
          <t>ML01</t>
        </is>
      </c>
      <c r="F51" t="inlineStr">
        <is>
          <t>Mali</t>
        </is>
      </c>
      <c r="G51" t="inlineStr">
        <is>
          <t>MLI</t>
        </is>
      </c>
    </row>
    <row r="52">
      <c r="A52" t="inlineStr">
        <is>
          <t>Kayes</t>
        </is>
      </c>
      <c r="B52" t="inlineStr">
        <is>
          <t>Kayes</t>
        </is>
      </c>
      <c r="C52" t="inlineStr">
        <is>
          <t>ML0103</t>
        </is>
      </c>
      <c r="D52" t="inlineStr">
        <is>
          <t>Kayes</t>
        </is>
      </c>
      <c r="E52" t="inlineStr">
        <is>
          <t>ML01</t>
        </is>
      </c>
      <c r="F52" t="inlineStr">
        <is>
          <t>Mali</t>
        </is>
      </c>
      <c r="G52" t="inlineStr">
        <is>
          <t>MLI</t>
        </is>
      </c>
    </row>
    <row r="53">
      <c r="A53" t="inlineStr">
        <is>
          <t>Diéma</t>
        </is>
      </c>
      <c r="B53" t="inlineStr">
        <is>
          <t>Diéma</t>
        </is>
      </c>
      <c r="C53" t="inlineStr">
        <is>
          <t>ML0102</t>
        </is>
      </c>
      <c r="D53" t="inlineStr">
        <is>
          <t>Kayes</t>
        </is>
      </c>
      <c r="E53" t="inlineStr">
        <is>
          <t>ML01</t>
        </is>
      </c>
      <c r="F53" t="inlineStr">
        <is>
          <t>Mali</t>
        </is>
      </c>
      <c r="G53" t="inlineStr">
        <is>
          <t>MLI</t>
        </is>
      </c>
    </row>
    <row r="54">
      <c r="A54" t="inlineStr">
        <is>
          <t>Bafoulabe</t>
        </is>
      </c>
      <c r="B54" t="inlineStr">
        <is>
          <t>Bafoulabe</t>
        </is>
      </c>
      <c r="C54" t="inlineStr">
        <is>
          <t>ML0101</t>
        </is>
      </c>
      <c r="D54" t="inlineStr">
        <is>
          <t>Kayes</t>
        </is>
      </c>
      <c r="E54" t="inlineStr">
        <is>
          <t>ML01</t>
        </is>
      </c>
      <c r="F54" t="inlineStr">
        <is>
          <t>Mali</t>
        </is>
      </c>
      <c r="G54" t="inlineStr">
        <is>
          <t>MLI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Brian Mbaabu</dc:creator>
  <dcterms:created xmlns:dcterms="http://purl.org/dc/terms/" xmlns:xsi="http://www.w3.org/2001/XMLSchema-instance" xsi:type="dcterms:W3CDTF">2022-06-13T12:18:08Z</dcterms:created>
  <dcterms:modified xmlns:dcterms="http://purl.org/dc/terms/" xmlns:xsi="http://www.w3.org/2001/XMLSchema-instance" xsi:type="dcterms:W3CDTF">2023-09-07T11:38:37Z</dcterms:modified>
  <cp:lastModifiedBy>Microsoft Office User</cp:lastModifiedBy>
</cp:coreProperties>
</file>