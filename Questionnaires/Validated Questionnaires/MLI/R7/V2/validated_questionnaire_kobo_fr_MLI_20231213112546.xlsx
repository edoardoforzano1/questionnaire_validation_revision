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MLI/R7/V2/"/>
    </mc:Choice>
  </mc:AlternateContent>
  <xr:revisionPtr revIDLastSave="0" documentId="13_ncr:1_{8273A067-335C-2C46-8783-3AAC4030C3A1}" xr6:coauthVersionLast="47" xr6:coauthVersionMax="47" xr10:uidLastSave="{00000000-0000-0000-0000-000000000000}"/>
  <bookViews>
    <workbookView xWindow="4180" yWindow="500" windowWidth="19420" windowHeight="11500" xr2:uid="{00000000-000D-0000-FFFF-FFFF00000000}"/>
  </bookViews>
  <sheets>
    <sheet name="survey" sheetId="1" r:id="rId1"/>
    <sheet name="choices" sheetId="2" r:id="rId2"/>
    <sheet name="settings" sheetId="3" r:id="rId3"/>
    <sheet name="Crop list" sheetId="4" state="hidden" r:id="rId4"/>
    <sheet name="Additional information"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5" l="1"/>
  <c r="E19" i="5"/>
  <c r="E18" i="5"/>
  <c r="E14" i="5"/>
  <c r="E13" i="5"/>
  <c r="E12" i="5"/>
  <c r="E11" i="5"/>
  <c r="E9" i="5"/>
  <c r="E7" i="5"/>
  <c r="E6" i="5"/>
  <c r="E5" i="5"/>
  <c r="E4" i="5"/>
  <c r="E3" i="5"/>
  <c r="Z287" i="1"/>
  <c r="Z283" i="1"/>
  <c r="Y283" i="1"/>
  <c r="Z282" i="1"/>
  <c r="Y282" i="1"/>
  <c r="Z281" i="1"/>
  <c r="Y281" i="1"/>
  <c r="Z280" i="1"/>
  <c r="Y280" i="1"/>
  <c r="Z279" i="1"/>
  <c r="Y279" i="1"/>
  <c r="Z278" i="1"/>
  <c r="Y278" i="1"/>
  <c r="Z277" i="1"/>
  <c r="Y277" i="1"/>
  <c r="Z276" i="1"/>
  <c r="Y276" i="1"/>
  <c r="Z275" i="1"/>
  <c r="Y275" i="1"/>
  <c r="Z274" i="1"/>
  <c r="Y274" i="1"/>
  <c r="Z273" i="1"/>
  <c r="Y273" i="1"/>
  <c r="Z272" i="1"/>
  <c r="Y272" i="1"/>
  <c r="Z271" i="1"/>
  <c r="Y271" i="1"/>
  <c r="Z268" i="1"/>
  <c r="Y268" i="1"/>
  <c r="Z267" i="1"/>
  <c r="Y267" i="1"/>
  <c r="Z266" i="1"/>
  <c r="Y266" i="1"/>
  <c r="Z265" i="1"/>
  <c r="Y265" i="1"/>
  <c r="Z264" i="1"/>
  <c r="Y264" i="1"/>
  <c r="Z263" i="1"/>
  <c r="Y263" i="1"/>
  <c r="Z262" i="1"/>
  <c r="Y262" i="1"/>
  <c r="Z261" i="1"/>
  <c r="Y261" i="1"/>
  <c r="Z260" i="1"/>
  <c r="Y260" i="1"/>
  <c r="Z259" i="1"/>
  <c r="Y259" i="1"/>
  <c r="Z258" i="1"/>
  <c r="Y258" i="1"/>
  <c r="Z257" i="1"/>
  <c r="Y257" i="1"/>
  <c r="Z256" i="1"/>
  <c r="Y256" i="1"/>
  <c r="Z255" i="1"/>
  <c r="Y255" i="1"/>
  <c r="Z254" i="1"/>
  <c r="Y254" i="1"/>
  <c r="Z253" i="1"/>
  <c r="Y253" i="1"/>
  <c r="Z252" i="1"/>
  <c r="Y252" i="1"/>
  <c r="Z251" i="1"/>
  <c r="Y251" i="1"/>
  <c r="Z250" i="1"/>
  <c r="Y250" i="1"/>
  <c r="Z249" i="1"/>
  <c r="Y249" i="1"/>
  <c r="Z248" i="1"/>
  <c r="Y248" i="1"/>
  <c r="Z247" i="1"/>
  <c r="Y247" i="1"/>
  <c r="Z246" i="1"/>
  <c r="Y246" i="1"/>
  <c r="Z245" i="1"/>
  <c r="Y245" i="1"/>
  <c r="Z244" i="1"/>
  <c r="Y244" i="1"/>
  <c r="Z243" i="1"/>
  <c r="Y243" i="1"/>
  <c r="Z242" i="1"/>
  <c r="Y242" i="1"/>
  <c r="Z241" i="1"/>
  <c r="Y241" i="1"/>
  <c r="Z240" i="1"/>
  <c r="Y240" i="1"/>
  <c r="Z239" i="1"/>
  <c r="Y239" i="1"/>
  <c r="Z238" i="1"/>
  <c r="Y238" i="1"/>
  <c r="Z237" i="1"/>
  <c r="Y237" i="1"/>
  <c r="Z236" i="1"/>
  <c r="Y236" i="1"/>
  <c r="Z235" i="1"/>
  <c r="Y235" i="1"/>
  <c r="Z234" i="1"/>
  <c r="Y234" i="1"/>
  <c r="Z233" i="1"/>
  <c r="Y233" i="1"/>
  <c r="Z232" i="1"/>
  <c r="Y232" i="1"/>
  <c r="Z231" i="1"/>
  <c r="Y231" i="1"/>
  <c r="Z230" i="1"/>
  <c r="Y230" i="1"/>
  <c r="Z229" i="1"/>
  <c r="Y229" i="1"/>
  <c r="Z228" i="1"/>
  <c r="Y228" i="1"/>
  <c r="Z227" i="1"/>
  <c r="Y227" i="1"/>
  <c r="Z226" i="1"/>
  <c r="Y226" i="1"/>
  <c r="Z225" i="1"/>
  <c r="Y225" i="1"/>
  <c r="Z224" i="1"/>
  <c r="Y224" i="1"/>
  <c r="Z223" i="1"/>
  <c r="Y223" i="1"/>
  <c r="Z222" i="1"/>
  <c r="Y222" i="1"/>
  <c r="Z221" i="1"/>
  <c r="Y221" i="1"/>
  <c r="Z220" i="1"/>
  <c r="Y220" i="1"/>
  <c r="Z219" i="1"/>
  <c r="Y219" i="1"/>
  <c r="Z218" i="1"/>
  <c r="Y218" i="1"/>
  <c r="Z217" i="1"/>
  <c r="Y217" i="1"/>
  <c r="Z216" i="1"/>
  <c r="Y216" i="1"/>
  <c r="Z215" i="1"/>
  <c r="Y215" i="1"/>
  <c r="Z214" i="1"/>
  <c r="Y214" i="1"/>
  <c r="Z213" i="1"/>
  <c r="Y213" i="1"/>
  <c r="Z212" i="1"/>
  <c r="Y212" i="1"/>
  <c r="Z211" i="1"/>
  <c r="Y211" i="1"/>
  <c r="Z210" i="1"/>
  <c r="Y210" i="1"/>
  <c r="Z209" i="1"/>
  <c r="Y209" i="1"/>
  <c r="Z208" i="1"/>
  <c r="Y208" i="1"/>
  <c r="Z207" i="1"/>
  <c r="Y207" i="1"/>
  <c r="Z206" i="1"/>
  <c r="Y206" i="1"/>
  <c r="Z205" i="1"/>
  <c r="Y205" i="1"/>
  <c r="Z204" i="1"/>
  <c r="Y204" i="1"/>
  <c r="Z203" i="1"/>
  <c r="Y203" i="1"/>
  <c r="Z202" i="1"/>
  <c r="Y202" i="1"/>
  <c r="Z201" i="1"/>
  <c r="Y201" i="1"/>
  <c r="Z200" i="1"/>
  <c r="Y200" i="1"/>
  <c r="Z199" i="1"/>
  <c r="Y199" i="1"/>
  <c r="Z198" i="1"/>
  <c r="Y198" i="1"/>
  <c r="Z197" i="1"/>
  <c r="Y197" i="1"/>
  <c r="Z196" i="1"/>
  <c r="Y196" i="1"/>
  <c r="Z195" i="1"/>
  <c r="Y195" i="1"/>
  <c r="X195" i="1"/>
  <c r="X194" i="1"/>
  <c r="Y194" i="1" s="1"/>
  <c r="Z193" i="1"/>
  <c r="Y193" i="1"/>
  <c r="X193" i="1"/>
  <c r="Z192" i="1"/>
  <c r="Y192" i="1"/>
  <c r="X192" i="1"/>
  <c r="X191" i="1"/>
  <c r="Z191" i="1" s="1"/>
  <c r="Z190" i="1"/>
  <c r="Y190" i="1"/>
  <c r="X190" i="1"/>
  <c r="Z189" i="1"/>
  <c r="Y189" i="1"/>
  <c r="X189" i="1"/>
  <c r="Z188" i="1"/>
  <c r="Y188" i="1"/>
  <c r="X188" i="1"/>
  <c r="Z187" i="1"/>
  <c r="Y187" i="1"/>
  <c r="X187" i="1"/>
  <c r="Z186" i="1"/>
  <c r="Y186" i="1"/>
  <c r="X186" i="1"/>
  <c r="Z185" i="1"/>
  <c r="Y185" i="1"/>
  <c r="X185" i="1"/>
  <c r="Z184" i="1"/>
  <c r="Y184" i="1"/>
  <c r="Z183" i="1"/>
  <c r="Y183" i="1"/>
  <c r="Z182" i="1"/>
  <c r="Y182" i="1"/>
  <c r="X182" i="1"/>
  <c r="Z181" i="1"/>
  <c r="Y181" i="1"/>
  <c r="X181" i="1"/>
  <c r="Z180" i="1"/>
  <c r="Y180" i="1"/>
  <c r="X180" i="1"/>
  <c r="Z179" i="1"/>
  <c r="X179" i="1"/>
  <c r="Y179" i="1" s="1"/>
  <c r="Z178" i="1"/>
  <c r="Y178" i="1"/>
  <c r="X178" i="1"/>
  <c r="Y177" i="1"/>
  <c r="X177" i="1"/>
  <c r="Z177" i="1" s="1"/>
  <c r="Z176" i="1"/>
  <c r="Y176" i="1"/>
  <c r="X176" i="1"/>
  <c r="X175" i="1"/>
  <c r="Z175" i="1" s="1"/>
  <c r="Z174" i="1"/>
  <c r="Y174" i="1"/>
  <c r="X174" i="1"/>
  <c r="X173" i="1"/>
  <c r="Z173" i="1" s="1"/>
  <c r="Z172" i="1"/>
  <c r="Y172" i="1"/>
  <c r="Z171" i="1"/>
  <c r="Y171" i="1"/>
  <c r="Z170" i="1"/>
  <c r="Y170" i="1"/>
  <c r="X170" i="1"/>
  <c r="X169" i="1"/>
  <c r="Z169" i="1" s="1"/>
  <c r="Z168" i="1"/>
  <c r="Y168" i="1"/>
  <c r="X168" i="1"/>
  <c r="Z167" i="1"/>
  <c r="X167" i="1"/>
  <c r="Y167" i="1" s="1"/>
  <c r="X166" i="1"/>
  <c r="Y166" i="1" s="1"/>
  <c r="Z165" i="1"/>
  <c r="Y165" i="1"/>
  <c r="X165" i="1"/>
  <c r="Z164" i="1"/>
  <c r="Y164" i="1"/>
  <c r="X164" i="1"/>
  <c r="X163" i="1"/>
  <c r="Z163" i="1" s="1"/>
  <c r="Z162" i="1"/>
  <c r="Y162" i="1"/>
  <c r="X162" i="1"/>
  <c r="Z161" i="1"/>
  <c r="Y161" i="1"/>
  <c r="Z160" i="1"/>
  <c r="Y160" i="1"/>
  <c r="Z159" i="1"/>
  <c r="Y159" i="1"/>
  <c r="X159" i="1"/>
  <c r="Z158" i="1"/>
  <c r="Y158" i="1"/>
  <c r="X158" i="1"/>
  <c r="X157" i="1"/>
  <c r="Z157" i="1" s="1"/>
  <c r="Z156" i="1"/>
  <c r="Y156" i="1"/>
  <c r="X156" i="1"/>
  <c r="Z155" i="1"/>
  <c r="Y155" i="1"/>
  <c r="X155" i="1"/>
  <c r="Z154" i="1"/>
  <c r="Y154" i="1"/>
  <c r="X154" i="1"/>
  <c r="X153" i="1"/>
  <c r="Z153" i="1" s="1"/>
  <c r="Z152" i="1"/>
  <c r="Y152" i="1"/>
  <c r="X152" i="1"/>
  <c r="Z151" i="1"/>
  <c r="Y151" i="1"/>
  <c r="X151" i="1"/>
  <c r="Z150" i="1"/>
  <c r="Y150" i="1"/>
  <c r="X150" i="1"/>
  <c r="Y149" i="1"/>
  <c r="X149" i="1"/>
  <c r="Z149" i="1" s="1"/>
  <c r="Z148" i="1"/>
  <c r="Y148" i="1"/>
  <c r="X148" i="1"/>
  <c r="Z147" i="1"/>
  <c r="Y147" i="1"/>
  <c r="X147" i="1"/>
  <c r="Y146" i="1"/>
  <c r="X146" i="1"/>
  <c r="Z146" i="1" s="1"/>
  <c r="Z145" i="1"/>
  <c r="Y145" i="1"/>
  <c r="X145" i="1"/>
  <c r="X144" i="1"/>
  <c r="Y144" i="1" s="1"/>
  <c r="Z143" i="1"/>
  <c r="Y143" i="1"/>
  <c r="Z142" i="1"/>
  <c r="Y142" i="1"/>
  <c r="Z141" i="1"/>
  <c r="Y141" i="1"/>
  <c r="X141" i="1"/>
  <c r="Y140" i="1"/>
  <c r="X140" i="1"/>
  <c r="Z140" i="1" s="1"/>
  <c r="Z139" i="1"/>
  <c r="Y139" i="1"/>
  <c r="X139" i="1"/>
  <c r="X138" i="1"/>
  <c r="Y138" i="1" s="1"/>
  <c r="Z137" i="1"/>
  <c r="Y137" i="1"/>
  <c r="X137" i="1"/>
  <c r="X136" i="1"/>
  <c r="X135" i="1"/>
  <c r="X134" i="1"/>
  <c r="Y133" i="1"/>
  <c r="X133" i="1"/>
  <c r="Y132" i="1"/>
  <c r="X132" i="1"/>
  <c r="Z131" i="1"/>
  <c r="Y131" i="1"/>
  <c r="Z130" i="1"/>
  <c r="Y130" i="1"/>
  <c r="Z129" i="1"/>
  <c r="Y129" i="1"/>
  <c r="X129" i="1"/>
  <c r="Z128" i="1"/>
  <c r="Y128" i="1"/>
  <c r="X128" i="1"/>
  <c r="Z127" i="1"/>
  <c r="Y127" i="1"/>
  <c r="X127" i="1"/>
  <c r="Y126" i="1"/>
  <c r="X126" i="1"/>
  <c r="Z126" i="1" s="1"/>
  <c r="Z125" i="1"/>
  <c r="X125" i="1"/>
  <c r="Y125" i="1" s="1"/>
  <c r="Z124" i="1"/>
  <c r="Y124" i="1"/>
  <c r="X124" i="1"/>
  <c r="Z123" i="1"/>
  <c r="Y123" i="1"/>
  <c r="X123" i="1"/>
  <c r="Z122" i="1"/>
  <c r="X122" i="1"/>
  <c r="Y122" i="1" s="1"/>
  <c r="Z121" i="1"/>
  <c r="Y121" i="1"/>
  <c r="X121" i="1"/>
  <c r="Z120" i="1"/>
  <c r="Y120" i="1"/>
  <c r="X120" i="1"/>
  <c r="Z119" i="1"/>
  <c r="Y119" i="1"/>
  <c r="X119" i="1"/>
  <c r="Z118" i="1"/>
  <c r="X118" i="1"/>
  <c r="Y118" i="1" s="1"/>
  <c r="Z117" i="1"/>
  <c r="Y117" i="1"/>
  <c r="X117" i="1"/>
  <c r="Z116" i="1"/>
  <c r="Y116" i="1"/>
  <c r="X116" i="1"/>
  <c r="Z115" i="1"/>
  <c r="Y115" i="1"/>
  <c r="X115" i="1"/>
  <c r="Z114" i="1"/>
  <c r="Y114" i="1"/>
  <c r="X114" i="1"/>
  <c r="Z113" i="1"/>
  <c r="Y113" i="1"/>
  <c r="X113" i="1"/>
  <c r="Z112" i="1"/>
  <c r="Y112" i="1"/>
  <c r="X112" i="1"/>
  <c r="Z111" i="1"/>
  <c r="Y111" i="1"/>
  <c r="X111" i="1"/>
  <c r="Y110" i="1"/>
  <c r="X110" i="1"/>
  <c r="Z110" i="1" s="1"/>
  <c r="Z109" i="1"/>
  <c r="Y109" i="1"/>
  <c r="X109" i="1"/>
  <c r="X108" i="1"/>
  <c r="Y108" i="1" s="1"/>
  <c r="Z107" i="1"/>
  <c r="Y107" i="1"/>
  <c r="X107" i="1"/>
  <c r="X106" i="1"/>
  <c r="Y106" i="1" s="1"/>
  <c r="X105" i="1"/>
  <c r="Z105" i="1" s="1"/>
  <c r="Z104" i="1"/>
  <c r="Y104" i="1"/>
  <c r="X104" i="1"/>
  <c r="Z103" i="1"/>
  <c r="Y103" i="1"/>
  <c r="X103" i="1"/>
  <c r="Z102" i="1"/>
  <c r="Y102" i="1"/>
  <c r="Z101" i="1"/>
  <c r="Y101" i="1"/>
  <c r="Z100" i="1"/>
  <c r="Y100" i="1"/>
  <c r="X100" i="1"/>
  <c r="X99" i="1"/>
  <c r="Z99" i="1" s="1"/>
  <c r="Z98" i="1"/>
  <c r="Y98" i="1"/>
  <c r="X98" i="1"/>
  <c r="Z97" i="1"/>
  <c r="Y97" i="1"/>
  <c r="X97" i="1"/>
  <c r="Z95" i="1"/>
  <c r="Y95" i="1"/>
  <c r="X95" i="1"/>
  <c r="X94" i="1"/>
  <c r="Z94" i="1" s="1"/>
  <c r="Z93" i="1"/>
  <c r="Y93" i="1"/>
  <c r="X93" i="1"/>
  <c r="Z92" i="1"/>
  <c r="X92" i="1"/>
  <c r="Y92" i="1" s="1"/>
  <c r="Z91" i="1"/>
  <c r="Y91" i="1"/>
  <c r="X91" i="1"/>
  <c r="Y90" i="1"/>
  <c r="X90" i="1"/>
  <c r="Z90" i="1" s="1"/>
  <c r="Z89" i="1"/>
  <c r="Y89" i="1"/>
  <c r="X89" i="1"/>
  <c r="Z88" i="1"/>
  <c r="Y88" i="1"/>
  <c r="X88" i="1"/>
  <c r="Z85" i="1"/>
  <c r="Y85" i="1"/>
  <c r="X85" i="1"/>
  <c r="Z84" i="1"/>
  <c r="X84" i="1"/>
  <c r="Y84" i="1" s="1"/>
  <c r="Z83" i="1"/>
  <c r="X83" i="1"/>
  <c r="Y83" i="1" s="1"/>
  <c r="Z82" i="1"/>
  <c r="Y82" i="1"/>
  <c r="X82" i="1"/>
  <c r="X81" i="1"/>
  <c r="Z81" i="1" s="1"/>
  <c r="X80" i="1"/>
  <c r="Z80" i="1" s="1"/>
  <c r="Z79" i="1"/>
  <c r="Y79" i="1"/>
  <c r="X79" i="1"/>
  <c r="Z78" i="1"/>
  <c r="Y78" i="1"/>
  <c r="X78" i="1"/>
  <c r="Z77" i="1"/>
  <c r="Y77" i="1"/>
  <c r="X77" i="1"/>
  <c r="Z76" i="1"/>
  <c r="Y76" i="1"/>
  <c r="X76" i="1"/>
  <c r="Z75" i="1"/>
  <c r="Y75" i="1"/>
  <c r="X75" i="1"/>
  <c r="Z74" i="1"/>
  <c r="Y74" i="1"/>
  <c r="X74" i="1"/>
  <c r="Z70" i="1"/>
  <c r="Y70" i="1"/>
  <c r="X70" i="1"/>
  <c r="Z69" i="1"/>
  <c r="Y69" i="1"/>
  <c r="X69" i="1"/>
  <c r="Z68" i="1"/>
  <c r="Y68" i="1"/>
  <c r="X68" i="1"/>
  <c r="X67" i="1"/>
  <c r="Y67" i="1" s="1"/>
  <c r="Y66" i="1"/>
  <c r="X66" i="1"/>
  <c r="Z66" i="1" s="1"/>
  <c r="Z65" i="1"/>
  <c r="Y65" i="1"/>
  <c r="X65" i="1"/>
  <c r="X64" i="1"/>
  <c r="Y64" i="1" s="1"/>
  <c r="Z63" i="1"/>
  <c r="Y63" i="1"/>
  <c r="X63" i="1"/>
  <c r="Z62" i="1"/>
  <c r="Y62" i="1"/>
  <c r="X62" i="1"/>
  <c r="Z61" i="1"/>
  <c r="Y61" i="1"/>
  <c r="X61" i="1"/>
  <c r="Z60" i="1"/>
  <c r="Y60" i="1"/>
  <c r="X60" i="1"/>
  <c r="Z59" i="1"/>
  <c r="Y59" i="1"/>
  <c r="X59" i="1"/>
  <c r="Z58" i="1"/>
  <c r="Y58" i="1"/>
  <c r="X58" i="1"/>
  <c r="Z57" i="1"/>
  <c r="X57" i="1"/>
  <c r="Y57" i="1" s="1"/>
  <c r="Z56" i="1"/>
  <c r="Y56" i="1"/>
  <c r="X56" i="1"/>
  <c r="Z55" i="1"/>
  <c r="X55" i="1"/>
  <c r="Y55" i="1" s="1"/>
  <c r="Z54" i="1"/>
  <c r="Y54" i="1"/>
  <c r="X54" i="1"/>
  <c r="Z53" i="1"/>
  <c r="Y53" i="1"/>
  <c r="X53" i="1"/>
  <c r="Z52" i="1"/>
  <c r="Y52" i="1"/>
  <c r="X52" i="1"/>
  <c r="X51" i="1"/>
  <c r="Y51" i="1" s="1"/>
  <c r="Y50" i="1"/>
  <c r="X50" i="1"/>
  <c r="Z50" i="1" s="1"/>
  <c r="Z49" i="1"/>
  <c r="Y49" i="1"/>
  <c r="X49" i="1"/>
  <c r="X48" i="1"/>
  <c r="Y48" i="1" s="1"/>
  <c r="Z47" i="1"/>
  <c r="Y47" i="1"/>
  <c r="X47" i="1"/>
  <c r="X46" i="1"/>
  <c r="Z46" i="1" s="1"/>
  <c r="Z44" i="1"/>
  <c r="Y44" i="1"/>
  <c r="X44" i="1"/>
  <c r="Z43" i="1"/>
  <c r="Y43" i="1"/>
  <c r="Z42" i="1"/>
  <c r="Y42" i="1"/>
  <c r="Z41" i="1"/>
  <c r="Y41" i="1"/>
  <c r="X41" i="1"/>
  <c r="Z40" i="1"/>
  <c r="Y40" i="1"/>
  <c r="X40" i="1"/>
  <c r="Z39" i="1"/>
  <c r="Y39" i="1"/>
  <c r="X39" i="1"/>
  <c r="Z38" i="1"/>
  <c r="Y38" i="1"/>
  <c r="X38" i="1"/>
  <c r="Z37" i="1"/>
  <c r="Y37" i="1"/>
  <c r="X37" i="1"/>
  <c r="Z36" i="1"/>
  <c r="Y36" i="1"/>
  <c r="X36" i="1"/>
  <c r="Z35" i="1"/>
  <c r="X35" i="1"/>
  <c r="Y35" i="1" s="1"/>
  <c r="Z34" i="1"/>
  <c r="Y34" i="1"/>
  <c r="X34" i="1"/>
  <c r="Z33" i="1"/>
  <c r="Y33" i="1"/>
  <c r="X33" i="1"/>
  <c r="Z32" i="1"/>
  <c r="X32" i="1"/>
  <c r="Y32" i="1" s="1"/>
  <c r="Z31" i="1"/>
  <c r="Y31" i="1"/>
  <c r="X31" i="1"/>
  <c r="Z30" i="1"/>
  <c r="Y30" i="1"/>
  <c r="X30" i="1"/>
  <c r="Z29" i="1"/>
  <c r="X29" i="1"/>
  <c r="Y29" i="1" s="1"/>
  <c r="Z28" i="1"/>
  <c r="X28" i="1"/>
  <c r="Y28" i="1" s="1"/>
  <c r="Z27" i="1"/>
  <c r="Y27" i="1"/>
  <c r="X27" i="1"/>
  <c r="Z26" i="1"/>
  <c r="Y26" i="1"/>
  <c r="X26" i="1"/>
  <c r="Z25" i="1"/>
  <c r="X25" i="1"/>
  <c r="Y25" i="1" s="1"/>
  <c r="Z24" i="1"/>
  <c r="Y24" i="1"/>
  <c r="X24" i="1"/>
  <c r="X23" i="1"/>
  <c r="Y23" i="1" s="1"/>
  <c r="Z22" i="1"/>
  <c r="Y22" i="1"/>
  <c r="X22" i="1"/>
  <c r="Z21" i="1"/>
  <c r="Y21" i="1"/>
  <c r="X21" i="1"/>
  <c r="Z20" i="1"/>
  <c r="Y20" i="1"/>
  <c r="X20" i="1"/>
  <c r="Z19" i="1"/>
  <c r="Y19" i="1"/>
  <c r="Z18" i="1"/>
  <c r="Y18" i="1"/>
  <c r="Z17" i="1"/>
  <c r="Y17" i="1"/>
  <c r="Z16" i="1"/>
  <c r="Y16" i="1"/>
  <c r="Y15" i="1"/>
  <c r="X14" i="1"/>
  <c r="Z14" i="1" s="1"/>
  <c r="Z13" i="1"/>
  <c r="Y13" i="1"/>
  <c r="Z11" i="1"/>
  <c r="Y11" i="1"/>
  <c r="Z10" i="1"/>
  <c r="Y10" i="1"/>
  <c r="Z5" i="1"/>
  <c r="Y5" i="1"/>
  <c r="Z4" i="1"/>
  <c r="Y4" i="1"/>
  <c r="Z3" i="1"/>
  <c r="Y3" i="1"/>
  <c r="Z2" i="1"/>
  <c r="Y2" i="1"/>
  <c r="Z48" i="1" l="1"/>
  <c r="Z64" i="1"/>
  <c r="Z108" i="1"/>
  <c r="Z138" i="1"/>
  <c r="Z144" i="1"/>
  <c r="Z166" i="1"/>
  <c r="Z194" i="1"/>
  <c r="Y173" i="1"/>
  <c r="Y14" i="1"/>
  <c r="Y294" i="1" s="1"/>
  <c r="Y80" i="1"/>
  <c r="Y99" i="1"/>
  <c r="Y105" i="1"/>
  <c r="Y157" i="1"/>
  <c r="Y163" i="1"/>
  <c r="Y191" i="1"/>
  <c r="Y169" i="1"/>
  <c r="Y175" i="1"/>
  <c r="Z51" i="1"/>
  <c r="Y46" i="1"/>
  <c r="Y81" i="1"/>
  <c r="Z23" i="1"/>
  <c r="Z294" i="1" s="1"/>
  <c r="Y94" i="1"/>
  <c r="Z106" i="1"/>
  <c r="Y153" i="1"/>
  <c r="Z67" i="1"/>
</calcChain>
</file>

<file path=xl/sharedStrings.xml><?xml version="1.0" encoding="utf-8"?>
<sst xmlns="http://schemas.openxmlformats.org/spreadsheetml/2006/main" count="6564" uniqueCount="2200">
  <si>
    <t>type</t>
  </si>
  <si>
    <t>name</t>
  </si>
  <si>
    <t>label::English (en)</t>
  </si>
  <si>
    <t>label::French (fr)</t>
  </si>
  <si>
    <t>label::</t>
  </si>
  <si>
    <t>hint::English (en)</t>
  </si>
  <si>
    <t>hint::French (fr)</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</si>
  <si>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</si>
  <si>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</si>
  <si>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</si>
  <si>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</si>
  <si>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</si>
  <si>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</si>
  <si>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</si>
  <si>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</si>
  <si>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</si>
  <si>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</si>
  <si>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</si>
  <si>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</si>
  <si>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</si>
  <si>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</si>
  <si>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</si>
  <si>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</si>
  <si>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</si>
  <si>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</si>
  <si>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</si>
  <si>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</si>
  <si>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</si>
  <si>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</si>
  <si>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</si>
  <si>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</si>
  <si>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</si>
  <si>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</si>
  <si>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</si>
  <si>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</si>
  <si>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Numéro ou code de l'équipe d'enquêteurs</t>
  </si>
  <si>
    <t>select_one enumerator</t>
  </si>
  <si>
    <t>enumerator</t>
  </si>
  <si>
    <t>Name of enumerator</t>
  </si>
  <si>
    <t>Nom de l'énquêteur</t>
  </si>
  <si>
    <t>true</t>
  </si>
  <si>
    <t>my_filter_admin=${enum_team}</t>
  </si>
  <si>
    <t>yes</t>
  </si>
  <si>
    <t>enumerator_</t>
  </si>
  <si>
    <t>jr:choice-name(${enumerator},'${enumerator}')</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</si>
  <si>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</si>
  <si>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</si>
  <si>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</si>
  <si>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</si>
  <si>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[INSTRUCTIONS: ADDRESS QUESTIONS FROM RESPONDENT, IF ANY.]</t>
  </si>
  <si>
    <t>[OPÉRATEUR/OPÉRATRICE: LE CAS ÉCHÉANT, RÉPONDRE AUX QUESTIONS DE LA PERSONNE INTERROGÉE.]</t>
  </si>
  <si>
    <t>false</t>
  </si>
  <si>
    <t>no</t>
  </si>
  <si>
    <t>select_one yesno</t>
  </si>
  <si>
    <t>resp_agree</t>
  </si>
  <si>
    <t>Are you interested in participating in this survey?</t>
  </si>
  <si>
    <t>Souhaitez-vous participer à cette enquête?</t>
  </si>
  <si>
    <t>geopoint</t>
  </si>
  <si>
    <t>gps_1</t>
  </si>
  <si>
    <t xml:space="preserve">GPS INSTRUCTION: Take a GPS measurement. </t>
  </si>
  <si>
    <t>INSTRUCTION : Récupérer les coordonnées GPS.</t>
  </si>
  <si>
    <t>NOTE: It might take a few minutes for the tablet to register the GPS. Wait for it to load. If it takes longer than 3 minutes, skip to the next question. You can take the GPS reading at the end of the interview.</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</si>
  <si>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</si>
  <si>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${resp_agree} = '1'</t>
  </si>
  <si>
    <t>Refusal</t>
  </si>
  <si>
    <t>Thank you for your time, you will be removed from today's survey.</t>
  </si>
  <si>
    <t>Merci pour votre temps. Vous serez écarté de l'enquête d'aujourd'hui.</t>
  </si>
  <si>
    <t>${resp_agree} = '2'</t>
  </si>
  <si>
    <t>begin_group</t>
  </si>
  <si>
    <t>eligibility</t>
  </si>
  <si>
    <t>ELIGIBILITY CRITERIA</t>
  </si>
  <si>
    <t>CRITÈRES D'ÉLIGIBILITÉ</t>
  </si>
  <si>
    <t>text</t>
  </si>
  <si>
    <t>resp_firstname</t>
  </si>
  <si>
    <t>What is your first name?</t>
  </si>
  <si>
    <t>Quel est votre prénom?</t>
  </si>
  <si>
    <t>[INSTRUCTIONS: RECORD THE RESPONDENT'S FIRST NAME. ENTER 999 FOR REFUSED]</t>
  </si>
  <si>
    <t>[INSTRUCTIONS : SAISIR LE PRÉNOM DE LA PERSONNE INTÉRROGÉE. SAISIR 999 POUR REFUSÉ.]</t>
  </si>
  <si>
    <t>resp_lastname</t>
  </si>
  <si>
    <t>What is your last name?</t>
  </si>
  <si>
    <t>Quel est votre nom de famille?</t>
  </si>
  <si>
    <t>[INSTRUCTIONS: RECORD THE RESPONDENT'S LAST NAME. ENTER 999 FOR REFUSED]</t>
  </si>
  <si>
    <t>integer</t>
  </si>
  <si>
    <t>resp_age</t>
  </si>
  <si>
    <t>How old are you?</t>
  </si>
  <si>
    <t>Quel âge avez-vous (en années)?</t>
  </si>
  <si>
    <t>[INSTRUCTIONS: RECORD AGE IN NUMBER OF YEARS. ROUND UP TO NEAREST WHOLE NUMBER. IF THE RESPONDENT GIVES BIRTH YEAR, REPEAT THE QUESTION. ENTER 888 FOR DON'T KNOW.]</t>
  </si>
  <si>
    <t>[INSTRUCTIONS :  SAISIR L'ÂGE EN ANNÉES. ARRONDIR AU NOMBRE ENTIER LE PLUS PROCHE. SI LE RÉPONDANT DONNE SON ANNÉE DE NAISSANCE, RÉPÉTER LA QUESTION. SAISIR 888 POUR JE NE SAIS PAS.]</t>
  </si>
  <si>
    <t>(. &gt;= 18 and . &lt;= 100) or . = 888</t>
  </si>
  <si>
    <t>select_one gender</t>
  </si>
  <si>
    <t>resp_gender</t>
  </si>
  <si>
    <t>What is the gender of the respondent?</t>
  </si>
  <si>
    <t xml:space="preserve">Quel est le sexe du répondant?  </t>
  </si>
  <si>
    <t>[INSTRUCTIONS: DO NOT ASK THIS QUESTION OUT LOUD. SELECT THE GENDER OF THE RESPONDENT.]</t>
  </si>
  <si>
    <t>[OPÉRATEUR/OPÉRATRICE: NE PAS POSER CETTE QUESTION À VOIX HAUTE. INDIQUER LE SEXE DU RÉPONDANT.]</t>
  </si>
  <si>
    <t>phone_number_personal</t>
  </si>
  <si>
    <t>What is your phone number?</t>
  </si>
  <si>
    <t>Quel est votre numéro de téléphone ?</t>
  </si>
  <si>
    <t>numbers</t>
  </si>
  <si>
    <t>regex(.,’^[0-9]{8}$’)</t>
  </si>
  <si>
    <t>Please enter the telephone number in the correct format, e.g. 50000000</t>
  </si>
  <si>
    <t>yes - panel</t>
  </si>
  <si>
    <t>select_one contact_info</t>
  </si>
  <si>
    <t>contact_2</t>
  </si>
  <si>
    <t>Can you give me an additional phone number belonging to you, another household member or a close relation living outside of the household at which you can be reached?</t>
  </si>
  <si>
    <t>Pouvez-vous me donner un numéro de téléphone supplémentaire, le vôtre, celui d'un autre membre du ménage ou d’un proche vivant en dehors du ménage, auquel vous pouvez être joint?</t>
  </si>
  <si>
    <t>phone_number_2</t>
  </si>
  <si>
    <t>What is the additional phone number?</t>
  </si>
  <si>
    <t>Quel est cet autre numéro de téléphone ?</t>
  </si>
  <si>
    <t xml:space="preserve">${contact_2} = '1' or ${contact_2} = '2' or ${contact_2} = '3' </t>
  </si>
  <si>
    <t>contact_2_name</t>
  </si>
  <si>
    <t>What is the name of the contact?</t>
  </si>
  <si>
    <t>Quel est le nom du contact associé à ce numéro de téléphone ?</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</si>
  <si>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</si>
  <si>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</si>
  <si>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</si>
  <si>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</si>
  <si>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</si>
  <si>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</si>
  <si>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</si>
  <si>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</si>
  <si>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Region does your household reside?</t>
  </si>
  <si>
    <t>Actuellement, dans quel Region votre ménage vit-il ?</t>
  </si>
  <si>
    <t>[HINT: HOUSEHOLD CONSISTS OF ALL MEMBERS LIVING TOGETHER, SHARING RESOURCES &amp; EATING FROM THE SAME POT.]</t>
  </si>
  <si>
    <t>[NOTE : LE MÉNAGE EST COMPOSÉ DE TOUTES LES PERSONNES VIVANT ENSEMBLE, PARTAGEANT LEURS RESSOURCES ET MANGEANT DANS UNE MARMITE COMMUNE.]</t>
  </si>
  <si>
    <t>autocomplete</t>
  </si>
  <si>
    <t>adm1_name</t>
  </si>
  <si>
    <t>jr:choice-name(${adm1_pcode},'${adm1_pcode}')</t>
  </si>
  <si>
    <t>select_one admin2</t>
  </si>
  <si>
    <t xml:space="preserve">adm2_pcode </t>
  </si>
  <si>
    <t>Currently, in which cercle does your household reside?</t>
  </si>
  <si>
    <t>Actuellement, dans quel cercle votre ménage vit-il ?</t>
  </si>
  <si>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</si>
  <si>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</si>
  <si>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</si>
  <si>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</si>
  <si>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</si>
  <si>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</si>
  <si>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Est-ce que quelqu'un dans votre ménage a produit des cultures ou du bétail pour la consommation du ménage ou pour la vente au cours des 12 derniers mois, y compris des membres du ménage actuellement partis pour la transhumance ?</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</si>
  <si>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</si>
  <si>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</si>
  <si>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end_group</t>
  </si>
  <si>
    <t>generalInfo</t>
  </si>
  <si>
    <t>GENERAL INFORMATION</t>
  </si>
  <si>
    <t>INFORMATIONS GÉNÉRALES</t>
  </si>
  <si>
    <t>${resp_agree} = '1' and ${hh_agricactivity} != '5' and ${hh_agricactivity} != '6'</t>
  </si>
  <si>
    <t>select_one yes_no</t>
  </si>
  <si>
    <t>resp_id</t>
  </si>
  <si>
    <t>Are you the head of household?</t>
  </si>
  <si>
    <t>Êtes-vous le chef de ménage ?</t>
  </si>
  <si>
    <t>hh_gender</t>
  </si>
  <si>
    <t xml:space="preserve">Is the head of your household male or female? </t>
  </si>
  <si>
    <t>Le chef de votre ménage est-il un homme ou une femme ?</t>
  </si>
  <si>
    <t>${resp_id} != '1'</t>
  </si>
  <si>
    <t>select_one edu</t>
  </si>
  <si>
    <t>hh_education</t>
  </si>
  <si>
    <t xml:space="preserve">What is the educational level attained by the head of household? </t>
  </si>
  <si>
    <t>Quel est le niveau d'éducation du chef de votre ménage ?</t>
  </si>
  <si>
    <t>select_one water</t>
  </si>
  <si>
    <t>hh_wealth_water</t>
  </si>
  <si>
    <t>Where does the water that you drink at home come from?</t>
  </si>
  <si>
    <t>Où procurez-vous habituellement l'eau que vous buvez dans votre foyer ?</t>
  </si>
  <si>
    <t>select_one toilet</t>
  </si>
  <si>
    <t>hh_wealth_toilet</t>
  </si>
  <si>
    <t>Where do household members typically go to use the toilet?</t>
  </si>
  <si>
    <t>Quel genre de toilettes les membres de votre ménage utilisent-ils?</t>
  </si>
  <si>
    <t>select_one light</t>
  </si>
  <si>
    <t>hh_wealth_light</t>
  </si>
  <si>
    <t>What is the main source of light in your dwelling?</t>
  </si>
  <si>
    <t>Quelle est la principale source de lumière de votre logement ?</t>
  </si>
  <si>
    <t>select_one residence</t>
  </si>
  <si>
    <t>hh_residencetype</t>
  </si>
  <si>
    <t>Which in the following types of residence best describes your residence?</t>
  </si>
  <si>
    <t>Parmi les propositions suivantes, laquelle décrit le mieux votre résidence ?</t>
  </si>
  <si>
    <t>[INSTRUCTIONS: READ OUT THE OPTIONS.]
[HINT: IF RESPONDENT IS ONLY AWAY FROM THE HOUSEHOLD FOR SHORT SEASONAL WORK (&lt;6 MONTHS) OR TRANSHUMANCE, MAKE SURE TO REFER TO THEIR HOUSEHOLD BACK WHERE THEY TYPICALLY ARE LOCATED.]</t>
  </si>
  <si>
    <t>[OPÉRATEUR/OPÉRATRICE: LIRE LES OPTIONS, RÉPONSE UNIQUE].
[CONSEIL: SI LA PERSONNE INTERROGÉE N'EST ÉLOIGNÉE DU FOYER QUE POUR UN TRAVAIL SAISONNIER DE COURTE DURÉE (&lt;6 MOIS) OU POUR LA TRANSHUMANCE,  FAIRE RÉFÉRENCE AU FOYER DE RETOUR OÙ ELLE VIT HABITUELLEMENT].</t>
  </si>
  <si>
    <t>hh_size</t>
  </si>
  <si>
    <t>How many people are part of the household?</t>
  </si>
  <si>
    <t>De combien de personnes est composé votre ménage ?</t>
  </si>
  <si>
    <t>[INSTRUCTIONS: RECORD NUMBER OF MEMBERS IN HOUSEHOLD. ENTER 888 FOR DON'T KNOW &amp; 999 FOR REFUSED.]
[HINT: TO BE A PART OF THE SAME HOUSEHOLD, MEMBERS MUST LIVE UNDER THE SAME ROOF, SHARE THE SAME RESOURCES &amp; EAT FROM THE SAME POT.]</t>
  </si>
  <si>
    <t>[OPÉRATEUR/OPÉRATRICE: ENREGISTRER LE NOMBRE DE MEMBRES DU MÉNAGE. ENTRER 888 POUR «NE SAIT PAS» ET 999 POUR «REFUSÉ».]
[CONSEIL: POUR FAIRE PARTIE D'UN MÊME MÉNAGE, LES MEMBRES DOIVENT VIVRE ENSEMBLE, METTRE EN COMMUN LEURS RESSOURCES ET PARTAGER LEURS REPAS.]</t>
  </si>
  <si>
    <t xml:space="preserve">(. &gt;= 1 and . &lt;= 50) or . = 888 or . = 999 </t>
  </si>
  <si>
    <t>select_multiple asset_prod</t>
  </si>
  <si>
    <t>hh_asset_prod</t>
  </si>
  <si>
    <t xml:space="preserve">Does your household own any of the following productive assets? </t>
  </si>
  <si>
    <t>Votre ménage possède-t-il l'un des actifs productifs suivants ?</t>
  </si>
  <si>
    <t>[INSTRUCTIONS: MULTIPLE RESPONSES POSSIBLE. READ ANSWER OPTIONS OUT LOUD.]</t>
  </si>
  <si>
    <t>[OPÉRATEUR / OPÉRATRICE : PLUSIEURS RÉPONSES POSSIBLES. LIRE LES OPTIONS DE RÉPONSE À HAUTE VOIX.]</t>
  </si>
  <si>
    <t>if(selected(.,'none') or selected(.,'dk') or selected(.,'ref'), count-selected(.) = 1, count-selected(.) &gt;= 1)</t>
  </si>
  <si>
    <t>select_multiple asset_transp</t>
  </si>
  <si>
    <t>hh_asset_transp</t>
  </si>
  <si>
    <t xml:space="preserve">Do you or any member of household own any of the following transportation assets? </t>
  </si>
  <si>
    <t>Est-ce que vous ou un membre de votre ménage possède un des véhicules suivants ?</t>
  </si>
  <si>
    <t>select_one maritalstat</t>
  </si>
  <si>
    <t>hh_maritalstat</t>
  </si>
  <si>
    <t xml:space="preserve">What is the head of household’s current marital status? </t>
  </si>
  <si>
    <t>Quel est le status marital actuel du chef de ménage ?</t>
  </si>
  <si>
    <t>select_one agegroup</t>
  </si>
  <si>
    <t>hh_age</t>
  </si>
  <si>
    <t xml:space="preserve">How old is the head of household? </t>
  </si>
  <si>
    <t>Quel âge a le chef de famille ?</t>
  </si>
  <si>
    <t>Income_Shocks_group</t>
  </si>
  <si>
    <t>INCOME SOURCES, LIVELIHOODS AND SHOCKS</t>
  </si>
  <si>
    <t>SOURCES DE REVENUS, MOYENS DE SUBSISTANCE ET CHOCS</t>
  </si>
  <si>
    <t>select_one incomesource1</t>
  </si>
  <si>
    <t>income_main</t>
  </si>
  <si>
    <t>What was your household's main source of income in the past 3 months?</t>
  </si>
  <si>
    <t>Quelle était la principale source de revenu de votre ménage au cours des trois derniers mois ?</t>
  </si>
  <si>
    <t>[INSTRUCTIONS: REFUSED OPTIONS SHOULD BE AVOIDED AS MUCH AS POSSIBLE.]</t>
  </si>
  <si>
    <t>[INSTRUCTIONS :  L'OPTION «REFUSÉ» DOIT ÊTRE, AUTANT QUE POSSIBLE, ÉVITÉE.]</t>
  </si>
  <si>
    <t>minimal</t>
  </si>
  <si>
    <t>incomemain</t>
  </si>
  <si>
    <t>jr:choice-name(${income_main},'${income_main}')</t>
  </si>
  <si>
    <t>income_main_crop_check</t>
  </si>
  <si>
    <t>Are the crops sold also produced by you or anyone in your household?</t>
  </si>
  <si>
    <t>Les cultures vendues sont-elles également produites par vous ou quelqu'un de votre ménage?</t>
  </si>
  <si>
    <t xml:space="preserve">${income_main} = '1' or ${income_main} = '2' or ${income_main} = '3' </t>
  </si>
  <si>
    <t>income_main_ls_check</t>
  </si>
  <si>
    <t>Are the livestock or livestock products sold also produced by you or anyone in your household?</t>
  </si>
  <si>
    <t>Le bétail ou les produits du bétail vendus sont-ils également produits par vous ou quelqu'un de votre ménage?</t>
  </si>
  <si>
    <t>${income_main} = '4'</t>
  </si>
  <si>
    <t>income_main_fish_check</t>
  </si>
  <si>
    <t>Are the fish or aquatic products sold also captured/harvested by you or anyone in your household?</t>
  </si>
  <si>
    <t>Le poisson ou les produits aquatiques vendus sont-ils également capturés/récoltés par vous ou un membre de votre ménage?</t>
  </si>
  <si>
    <t>${income_main} = '6'</t>
  </si>
  <si>
    <t>decimal</t>
  </si>
  <si>
    <t>income_main_amount</t>
  </si>
  <si>
    <t>How much was earned (in CFA) from your main income source, ${incomemain}, in the past 3 months ?</t>
  </si>
  <si>
    <t>Quelle somme (en CFA a rapporté votre principale source de revenu, ${incomemain}, au cours des trois derniers mois ?</t>
  </si>
  <si>
    <t>[INSTRUCTIONS: MAKE SURE THE INFORMATION IS RECORDED IN THE CORRECT CURRENCY. ENTER 888 FOR DON'T KNOW AND 999 FOR REFUSED.]</t>
  </si>
  <si>
    <t>[INSTRUCTIONS : VÉRIFIER QUE LE MONTANT EST ENREGISTRÉ DANS LA BONNE DEVISE. SAISIR 888 POUR «NE SAIT PAS» ET 999 POUR «REFUSÉ».]</t>
  </si>
  <si>
    <t>. &gt; 5 or . = 888 or . = 999</t>
  </si>
  <si>
    <t>${income_main} != '19' and ${income_main} != '20'</t>
  </si>
  <si>
    <t>select_one gender_inc_1</t>
  </si>
  <si>
    <t>income_main_gender</t>
  </si>
  <si>
    <t xml:space="preserve">What is the gender of the household member(s) generating income from this source? </t>
  </si>
  <si>
    <t xml:space="preserve">Quel est le sexe du ou des membres qui génèrent des revenus de cette source ? </t>
  </si>
  <si>
    <t>select_one gender_inc_2</t>
  </si>
  <si>
    <t>income_main_control</t>
  </si>
  <si>
    <t xml:space="preserve">Who controls the revenue that is earned from this source? </t>
  </si>
  <si>
    <t xml:space="preserve">Qui contrôle les revenus qui proviennent de cette source? </t>
  </si>
  <si>
    <t>select_one change</t>
  </si>
  <si>
    <t>income_main_comp</t>
  </si>
  <si>
    <t>Has your household's income from ${incomemain} changed in the last 3 months compared to the same period of nan?</t>
  </si>
  <si>
    <t>Le revenu de votre ménage provenant de ${incomemain} a-t-il changé au cours des trois derniers mois par rapport à la même periode de une année normale ?</t>
  </si>
  <si>
    <t>select_one incomesource2</t>
  </si>
  <si>
    <t>income_sec</t>
  </si>
  <si>
    <t>What was your household's second most important source of income in the past 3 months?</t>
  </si>
  <si>
    <t>Quelle était la deuxième source principale de revenu de votre ménage au cours des trois derniers mois ?</t>
  </si>
  <si>
    <t>[INSTRUCTIONS: DON'T KNOW AND REFUSED OPTIONS SHOULD BE AVOIDED AS MUCH AS POSSIBLE.]</t>
  </si>
  <si>
    <t>[INSTRUCTIONS :  LES OPTIONS «NE SAIT PAS» ET «REFUSÉ» DOIVENT ÊTRE ÉVITÉES AUTANT QUE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</si>
  <si>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</si>
  <si>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</si>
  <si>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</si>
  <si>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</si>
  <si>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</si>
  <si>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</si>
  <si>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</si>
  <si>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</si>
  <si>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</si>
  <si>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income_sec_amount</t>
  </si>
  <si>
    <t>How much was earned (in CFA) from your second main income source, ${incomesec}, in the past 3 months ?</t>
  </si>
  <si>
    <t>Quelle somme (en CFA) a rapporté votre deuxième source de revenu, ${incomesec}, au cours des trois derniers mois ?</t>
  </si>
  <si>
    <t>[INSTRUCTIONS :  VÉRIFIER QUE LE MONTANT EST ENREGISTRÉ DANS LA BONNE DEVISE. SAISIR 888 POUR «NE SAIT PAS» ET 999 POUR «REFUSÉ».]</t>
  </si>
  <si>
    <t xml:space="preserve">${income_main} != '19' and ${income_main} != '20' and ${income_sec} != '19' and ${income_sec} != '20' and ${income_sec} != '21' </t>
  </si>
  <si>
    <t>select_one continue</t>
  </si>
  <si>
    <t>income_sec_amount_conf</t>
  </si>
  <si>
    <t>Can you confirm the amount of income you just stated is correct?</t>
  </si>
  <si>
    <t>Pouvez-vous confirmer que le montant que vous venez de déclarer est correct ?</t>
  </si>
  <si>
    <t>[INSTRUCTIONS: IF THE RESPONDENT CONFIRMS THAT THE INCOME AMOUNT EARNED FROM THIS INCOME SOURCE OVER THE PAST 3 MONTH IS INDEED OVER 1500000, CLICK ON CONTINUE. OTHERWISE, GO BACK AND CHANGE THE AMOUNT ENTERED.]</t>
  </si>
  <si>
    <t>[INSTRUCTIONS :  SI LE RÉPONDANT CONFIRME QUE LE MONTANT ISSU DE CETTE SOURCE DE REVENU AU COURS DES TROIS DERNIERS MOIS EST BIEN SUPÉRIEUR AU 1500000, CLIQUER SUR CONTINUER. SINON, REVENIR EN ARRIÈRE ET MODIFIER LE MONTANT SAISI.]</t>
  </si>
  <si>
    <t>${income_sec_amount} &gt; 1500000 and (${income_main} != '19' and ${income_main} != '20' and ${income_sec} != '19' and ${income_sec} != '20' and ${income_sec} != '21')</t>
  </si>
  <si>
    <t>income_sec_gender</t>
  </si>
  <si>
    <t>income_sec_control</t>
  </si>
  <si>
    <t>income_sec_comp</t>
  </si>
  <si>
    <t>Has your household's income from ${incomesec} changed in the last 3 months compared to the same period of nan?</t>
  </si>
  <si>
    <t>Le revenu de votre ménage provenant de ${incomesec} a-t-il changé au cours des trois derniers mois par rapport à la même période de une année normale ?</t>
  </si>
  <si>
    <t>select_one incomesource3</t>
  </si>
  <si>
    <t>income_third</t>
  </si>
  <si>
    <t>What was your household's third most important source of income in the past 3 months?</t>
  </si>
  <si>
    <t>Quelle était la troisième source principale de revenu de votre ménage au cours des trois derniers mois ?</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</si>
  <si>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</si>
  <si>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</si>
  <si>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</si>
  <si>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</si>
  <si>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</si>
  <si>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</si>
  <si>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</si>
  <si>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</si>
  <si>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</si>
  <si>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income_third_comp</t>
  </si>
  <si>
    <t>Has your household's income from ${incomethird} changed in the last 3 months compared to the same period of nan?</t>
  </si>
  <si>
    <t>Le revenu de votre ménage provenant de ${incomethird} a-t-il changé au cours des trois derniers mois par rapport à la même période de une année normale ?</t>
  </si>
  <si>
    <t xml:space="preserve">${income_main} != '19' and ${income_main} != '20' and ${income_sec} != '19' and ${income_sec} != '20' and ${income_sec} != '21' and ${income_third} != '19' and ${income_third} != '20' and ${income_third} != '21' </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</si>
  <si>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</si>
  <si>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</si>
  <si>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</si>
  <si>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</si>
  <si>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[INSTRUCTIONS: SELECT RELEVANT SHOCKS EXPERIENCED BY THE HOUSEHOLD. MULTIPLE RESPONSES POSSIBLE. REFER TO ECONOMIC SHOCKS, CROP AND LIVESTOCK SHOCKS, INTRA-HOUSEHOLD SHOCK, NATURAL HAZARDS AND HUMAN-INDUCED HAZARDS.]</t>
  </si>
  <si>
    <t>[INSTRUCTIONS :  SÉLECTIONNER LES CHOCS PERTINENTS SUBIS PAR LE MÉNAGE. PLUSIEURS RÉPONSES POSSIBLES. SE RÉFÉRER AUX CHOCS ÉCONOMIQUES, AUX CHOCS TOUCHANT LES RÉCOLTES ET LE BÉTAIL, AUX CHOCS INTRA-MÉNAGE, AUX RISQUES NATURELS ET AUX RISQUES D'ORIGINE HUMAINE.]</t>
  </si>
  <si>
    <t>if(selected(.,'noshock') or selected(.,'dk') or selected(.,'ref'), count-selected(.) = 1, count-selected(.) &gt;= 1)</t>
  </si>
  <si>
    <t>CropProduction_group</t>
  </si>
  <si>
    <t>CROP PRODUCTION</t>
  </si>
  <si>
    <t>PRODUCTION DE CULTURES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</si>
  <si>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</si>
  <si>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</si>
  <si>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rainy season.</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</si>
  <si>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t>
  </si>
  <si>
    <t>crp_landsize_num</t>
  </si>
  <si>
    <t>What is the total size of the land you can cultivate?</t>
  </si>
  <si>
    <t>Quelle superficie totale pouvez-vous cultiver ?</t>
  </si>
  <si>
    <t>[INSTRUCTIONS: RECORD THE TOTAL LAND SIZE PROVIDED BY THE RESPONDENT. WRITE 888 FOR DON'T KNOW AND 999 FOR REFUSED. MEASUREMENT UNIT WILL BE SPECIFIED IN THE FOLLOWING QUESTION.]</t>
  </si>
  <si>
    <t>[INSTRUCTIONS :  SAISIR LA TAILLE TOTALE DU TERRAIN ANNONCÉE PAR LE RÉPONDANT. ENTRER 888 POUR «NE SAIT PAS» ET 999 POUR «REFUSÉ» . L'UNITÉ DE MESURE SERA PRÉCISÉE À LA QUESTION SUIVANTE].</t>
  </si>
  <si>
    <t>. &gt;= 0</t>
  </si>
  <si>
    <t>select_one landsize_unit</t>
  </si>
  <si>
    <t>crp_landsize_unit</t>
  </si>
  <si>
    <t xml:space="preserve">Unit of measurement for land size: </t>
  </si>
  <si>
    <t>Unité de mesure des terrains cultivés:</t>
  </si>
  <si>
    <t>[INSTRUCTIONS: DO NOT READ QUESTION. SELECT UNIT OF MEASUREMENT IN WHICH LAND SIZE WAS PROVIDED.]</t>
  </si>
  <si>
    <t xml:space="preserve">[INSTRUCTIONS :  NE PAS LIRE LA QUESTION. SÉLECTIONNEZ L'UNITÉ DE MESURE UTILISÉE POUR LA SUPERFICIE TOTALE.] </t>
  </si>
  <si>
    <t>${crp_landsize_num} != 888 and ${crp_landsize_num} != 999</t>
  </si>
  <si>
    <t>select_one crop</t>
  </si>
  <si>
    <t>crp_main</t>
  </si>
  <si>
    <t>What is the main crop that your household grows for food or income generation in rainy season, if any?</t>
  </si>
  <si>
    <t>Quelle est la principale culture pratiquée par votre ménage pour se nourrir ou générer des revenus pendant la saison des pluies, si applicable ?</t>
  </si>
  <si>
    <t>[INSTRUCTIONS: "NO CROP PRODUCTION" APPEARS AT THE END OF THE LIST OF OPTIONS.]</t>
  </si>
  <si>
    <t>[INSTRUCTIONS :  L'OPTION « AUCUNE PRODUCTION VÉGÉTALE » SE TROUVE À LA FIN DE LA LISTE.]</t>
  </si>
  <si>
    <t>crpmain</t>
  </si>
  <si>
    <t>jr:choice-name(${crp_main},'${crp_main}')</t>
  </si>
  <si>
    <t>select_one cropcheck</t>
  </si>
  <si>
    <t>crp_main_check</t>
  </si>
  <si>
    <t>Why did you not produce any crops in rainy season?</t>
  </si>
  <si>
    <t>Pourquoi n'avez-vous pas produit de cultures pendant la saison des pluies ?</t>
  </si>
  <si>
    <t>${crp_main}='777'</t>
  </si>
  <si>
    <t>select_one irrigation</t>
  </si>
  <si>
    <t>crp_irrig_source</t>
  </si>
  <si>
    <t xml:space="preserve">Where do you normally and mainly obtain water for the production of ${crpmain}? </t>
  </si>
  <si>
    <t>Quel est normalement votre principale source d'eau pour la production de ${crpmain} ?</t>
  </si>
  <si>
    <t>${crp_main} != '777' and ${crp_main} != '888' and ${crp_main} != '999'</t>
  </si>
  <si>
    <t>crp_irrig_source_otherspecify</t>
  </si>
  <si>
    <t>If other, specify.</t>
  </si>
  <si>
    <t>Si autre, précisez.</t>
  </si>
  <si>
    <t>[INSTRUCTIONS: RECORD THE OPEN RESPONSE GIVEN IN FEW WORDS. ENTER 888 FOR DON'T KNOW AND 999 FOR REFUSED]</t>
  </si>
  <si>
    <t>[INSTRUCTIONS :  DÉCRIVEZ LA RÉPONSE DONNÉE PAR LE RÉPONDANT EN QUELQUES MOTS. ENTREZ 888 POUR NE SAIT PAS ET 999 POUR REFUS.]</t>
  </si>
  <si>
    <t>${crp_irrig_source}='6' and (${crp_main} != '777' and ${crp_main} != '888' and ${crp_main} != '999')</t>
  </si>
  <si>
    <t>crp_area_change</t>
  </si>
  <si>
    <t>How did the ***area planted*** for ${crpmain} from rainy season compare to nan?</t>
  </si>
  <si>
    <t>Comment estimez-vous la **superficie plantée** de  ${crpmain} pour la saison des pluies par rapport à une année normale ?</t>
  </si>
  <si>
    <t>crp_harv_change</t>
  </si>
  <si>
    <t xml:space="preserve">How does the  ***harvest*** of ${crpmain} in the rainy season compare to nan? </t>
  </si>
  <si>
    <t>Comment estimez-vous la **récolte**  de ${crpmain} pour la saison des pluies par rapport à une année normale ?</t>
  </si>
  <si>
    <t>crp_harv_vol</t>
  </si>
  <si>
    <t>How much (threshed) ${crpmain} did you harvest this rainy season?</t>
  </si>
  <si>
    <t>Quelle quantité (battue) de ${crpmain} avez-vous récoltée cette saison des pluies ?</t>
  </si>
  <si>
    <t>[INSTRUCTIONS: RECORD THE RESPONSE GIVEN. UNIT OF MEASUREMENT TO BE SPECIFIED IN NEXT QUESTION. ENTER 888 FOR DON'T KNOW &amp; 999 FOR REFUSED, TO BE USED RARELY - PROBE!]</t>
  </si>
  <si>
    <t>[INSTRUCTIONS :  ENREGISTRER LA RÉPONSE DONNÉE. L'UNITÉ DE MESURE DOIT ÊTRE SPÉCIFIÉE À LA QUESTION SUIVANTE. SAISIR 888 POUR «NE SAIT PAS» ET 999 POUR «REFUSÉ», À UTILISER LE MOINS POSSIBLE - DEMANDER DES PRÉCISIONS!]</t>
  </si>
  <si>
    <t>select_one harv_unit</t>
  </si>
  <si>
    <t>crp_harv_unit</t>
  </si>
  <si>
    <t>Unit of measurement for harvested ${crpmain}:</t>
  </si>
  <si>
    <t xml:space="preserve">Unité de mesure pour la/le ${crpmain} récolté(e) : </t>
  </si>
  <si>
    <t>${crp_harv_vol} != '888' and ${crp_harv_vol} != '999'</t>
  </si>
  <si>
    <t>crp_harvunit</t>
  </si>
  <si>
    <t>jr:choice-name(${crp_harv_unit},'${crp_harv_unit}')</t>
  </si>
  <si>
    <t>crp_harv_unit_kg</t>
  </si>
  <si>
    <t>How many kilograms [kgs] in each unit?</t>
  </si>
  <si>
    <t>Combien de kilogrammes [kg] chaque unité contient-elle ?</t>
  </si>
  <si>
    <t>[INSTRUCTIONS: RECORD THE RESPONSE GIVEN. ENTER 888 FOR DON'T KNOW &amp; 999 FOR REFUSED, TO BE USED RARELY - PROBE!]</t>
  </si>
  <si>
    <t>[INSTRUCTIONS :   SAISIR LA QUANTITÉ ANNONCÉE. SAISIR 888 POUR «NE SAIT PAS» ET 999 POUR «REFUSÉ».]</t>
  </si>
  <si>
    <t>(${crp_harv_vol} != '888' and ${crp_harv_vol} != '999') and (${crp_harv_unit}='5' or ${crp_harv_unit}='6' or ${crp_harv_unit}='7' or ${crp_harv_unit}='8' or ${crp_harv_unit}='9')</t>
  </si>
  <si>
    <t>crp_harv_lastyr</t>
  </si>
  <si>
    <t>How many ${crp_harvunit} of (threshed) ${crpmain} did you harvest last year during the same season?</t>
  </si>
  <si>
    <t>Combien de ${crp_harvunit} de ${crpmain} (battu) avez-vous récolté l'année dernière au cours de la même saison ?</t>
  </si>
  <si>
    <t>[INSTRUCTIONS :  SAISIR LA RÉPONSE DONNÉE. ENTRER 888 POUR «NE SAIT PAS» ET 999 POUR «REFUSÉ», À UTILISER LE MOINS POSSIBLE - DEMANDER DES PRÉCISIONS!]</t>
  </si>
  <si>
    <t>${crp_harv_vol} != '888' and ${crp_harv_vol} != '999' and (${crp_main} != '777' and ${crp_main} != '888' and ${crp_main} != '999')</t>
  </si>
  <si>
    <t>crp_proddif</t>
  </si>
  <si>
    <t>Has your household faced any significant difficulty ***in terms of crop production*** in rainy season?</t>
  </si>
  <si>
    <t>Votre ménage a-t-il rencontré des difficultés importantes en matière de **production végétale** au cours de saison des pluies ?</t>
  </si>
  <si>
    <t>${crp_main} != '888' and ${crp_main} != '999' and ${crp_main_check} != 1</t>
  </si>
  <si>
    <t>select_multiple cropproddiff</t>
  </si>
  <si>
    <t>crp_proddif_</t>
  </si>
  <si>
    <t>Which difficulties has your household faced with crop production in rainy season?</t>
  </si>
  <si>
    <t>Quelles difficultés votre ménage a-t-il rencontrées dans la production végétale au cours de saison des pluies ?</t>
  </si>
  <si>
    <t>[INSTRUCTIONS: MULTIPLE RESPONSES POSSIBLE. SELECT OPTION(S) THAT BEST FIT THE INFORMATION PROVIDED BY THE RESPONDENTS.]</t>
  </si>
  <si>
    <t>[INSTRUCTIONS :  PLUSIEURS RÉPONSES POSSIBLES. SÉLECTIONNER LES OPTIONS QUI CORRESPONDENT LE MIEUX AUX INFORMATIONS PROPOSÉES PAR LE RÉPONDANT.]</t>
  </si>
  <si>
    <t>if(selected(., 'ref') or selected(., 'dk'), count-selected(.) = 1, count-selected(.) &gt;= 1)</t>
  </si>
  <si>
    <t>${crp_proddif} = '1' and (${crp_main} != '888' and ${crp_main} != '999' and ${crp_main_check} != 1)</t>
  </si>
  <si>
    <t>select_multiple crop2</t>
  </si>
  <si>
    <t>crp_all</t>
  </si>
  <si>
    <t>Do you cultivate any other crops aside from ${crpmain}, and if so which ones?</t>
  </si>
  <si>
    <t>Pratiquez-vous d'autres cultures en dehors de ${crpmain}, et si oui, lesquelles ?</t>
  </si>
  <si>
    <t>[INSTRUCTIONS: "No other crops" APPEARS AT THE END OF THE LIST OF OPTIONS. SELECT ALL CROPS LISTED BY THE RESPONDENT.]</t>
  </si>
  <si>
    <t>[INSTRUCTIONS :  "Pas d'autre culture" FIGURE DANS LES DERNIÈRES OPTIONS DE RÉPONSE. SÉLECTIONNER TOUTES LES CULTURES LISTÉES PAR LE RÉPONDANT.]</t>
  </si>
  <si>
    <t>if(selected(., '888') or selected(., '999') or selected(.,'666'), count-selected(.) = 1, count-selected(.) &gt;= 1)</t>
  </si>
  <si>
    <t>${crp_main} != '888' and ${crp_main} != '999' and ${crp_main} != '777'</t>
  </si>
  <si>
    <t>not(selected(${crp_main}, name))</t>
  </si>
  <si>
    <t>CropSales_group</t>
  </si>
  <si>
    <t>CROP MARKETING</t>
  </si>
  <si>
    <t>VENTES DES RÉCOLTES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</si>
  <si>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</si>
  <si>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</si>
  <si>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</si>
  <si>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 xml:space="preserve">Est-ce que le/la ${crpmain} est la principale récolte que vous avez vendue au cours des *3 derniers mois* ? </t>
  </si>
  <si>
    <t>select_one crop3</t>
  </si>
  <si>
    <t>crp_sales_main_2</t>
  </si>
  <si>
    <t>What was the main crop that you sold over the *last 3 months*?</t>
  </si>
  <si>
    <t>Quelle principale récolte avez-vous vendue au cours des *3 derniers mois* ?</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</si>
  <si>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</si>
  <si>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</si>
  <si>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</si>
  <si>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</si>
  <si>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</si>
  <si>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</si>
  <si>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</si>
  <si>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Au cours des trois derniers mois, votre ménage a-t-il rencontré d'importantes difficultés pour **vendre** ses récoltes de ${crp_sales_main} ?</t>
  </si>
  <si>
    <t>select_multiple cropsalesdiff</t>
  </si>
  <si>
    <t>crp_saledif</t>
  </si>
  <si>
    <t xml:space="preserve">Which difficulties has your household faced in the last 3 months selling your ${crp_sales_main}? </t>
  </si>
  <si>
    <t>Quelles difficultés votre ménage a-t-il rencontrées au cours des trois derniers mois pour vendre ses cultures principales, ${crp_sales_main} ?</t>
  </si>
  <si>
    <t>[INSTRUCTIONS : PLUSIEURS RÉPONSES POSSIBLES. SÉLECTIONNER LA OU LES OPTIONS QUI CORRESPONDENT LE MIEUX AUX INFORMATIONS PROPOSÉES PAR LE RÉPONDANT.]</t>
  </si>
  <si>
    <t>if(selected(., 'dk') or selected(., 'ref'), count-selected(.) = 1, count-selected(.) &gt;= 1)</t>
  </si>
  <si>
    <t xml:space="preserve">${crp_salesdif} = '1' </t>
  </si>
  <si>
    <t>crp_salesprice</t>
  </si>
  <si>
    <t>How does the current price of your household's ${crp_sales_main} compare to the average price in the same period of nan?</t>
  </si>
  <si>
    <t>Comment évaluez-vous le prix actuel de ${crp_sales_main} par rapport au prix moyen de la même periode de une année normale ?</t>
  </si>
  <si>
    <t>[INSTRUCTIONS: INSIST ON THE MAIN PRODUCT MENTIONED.]</t>
  </si>
  <si>
    <t>[INSTRUCTIONS : INSISTER SUR LA PRINCIPALE CULTURE MENTIONNÉE AUPARAVANT.]</t>
  </si>
  <si>
    <t>Livestock_group</t>
  </si>
  <si>
    <t>LIVESTOCK PRODUCTION</t>
  </si>
  <si>
    <t>PRODUCTION DE BÉTAIL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</si>
  <si>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</si>
  <si>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</si>
  <si>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</si>
  <si>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Nous allons maintenant vous poser quelques questions sur la production animale. Ces questions  s'appliquent à vous et à toute personne de votre ménage impliquée dans la production ou la vente de bétail.</t>
  </si>
  <si>
    <t>select_one lsmain</t>
  </si>
  <si>
    <t>ls_main</t>
  </si>
  <si>
    <t>What was the main animal raised by your household for food or income generation in the last 12 months?</t>
  </si>
  <si>
    <t>Quel  animal votre ménage a-t-il principalement élevé pour se nourrir ou générer des revenus au cours des 12 derniers mois ?</t>
  </si>
  <si>
    <t>[INSTRUCTIONS: ASK ABOUT THE MOST IMPORTANT ANIMAL ONLY.] [HINT: DON'T FORGET TO PROBE ABOUT TRANSHUMANCE - MOVING LIVESTOCK FROM ONE GRAZING GROUND TO ANOTHER.]</t>
  </si>
  <si>
    <t>[INSTRUCTIONS : NE RETENIR QUE L'ANIMAL PRINCIPAL.]
[CONSEIL: N'OUBLIEZ PAS DE POSER DES QUESTIONS SUR LA TRANSHUMANCE - LE DÉPLACEMENT DU BÉTAIL D'UN PÂTURAGE À UN AUTRE.]</t>
  </si>
  <si>
    <t>lsmain</t>
  </si>
  <si>
    <t>jr:choice-name(${ls_main},'${ls_main}')</t>
  </si>
  <si>
    <t>ls_num_lastyr</t>
  </si>
  <si>
    <t>How many ${lsmain} did you have at the same time last year?</t>
  </si>
  <si>
    <t>Combien de ${lsmain} possédiez-vous à la même period il y a un an ?</t>
  </si>
  <si>
    <t>[INSTRUCTIONS: RECORD THE NUMBER OF ANIMALS. ENTER 888 FOR DON'T KNOW AND 999 FOR REFUSED.]</t>
  </si>
  <si>
    <t>[INSTRUCTIONS :  SAISIR LE NOMBRE D'ANIMAUX. ENTREZ 888 POUR «NE SAIT PAS» ET 999 POUR «REFUSÉ».]</t>
  </si>
  <si>
    <t xml:space="preserve">. &gt;= 0 </t>
  </si>
  <si>
    <t>${ls_main} != '10' or ${ls_main} != '11'</t>
  </si>
  <si>
    <t>ls_num_now</t>
  </si>
  <si>
    <t>How many ${lsmain} do you have now?</t>
  </si>
  <si>
    <t>Combien de ${lsmain} avez-vous maintenant ?</t>
  </si>
  <si>
    <t>ls_num_diff</t>
  </si>
  <si>
    <t xml:space="preserve">Change in ${lsmain}: </t>
  </si>
  <si>
    <t xml:space="preserve">Différence de ${lsmain}: </t>
  </si>
  <si>
    <t>(${ls_main} != '10' or ${ls_main} != '11') and (${ls_num_lastyr} != '888' and ${ls_num_lastyr} != '999' and ${ls_num_now} != '888' and ${ls_num_now} != '999')</t>
  </si>
  <si>
    <t>${ls_num_now} - ${ls_num_lastyr}</t>
  </si>
  <si>
    <t>select_multiple lsnum</t>
  </si>
  <si>
    <t>ls_num</t>
  </si>
  <si>
    <t>Why did the number of livestock change?</t>
  </si>
  <si>
    <t>Pourquoi le nombre d’animaux que vous possédez a-t-il varié ?</t>
  </si>
  <si>
    <t>[INSTRUCTIONS: MULTIPLE RESPONSES POSSIBLE.]</t>
  </si>
  <si>
    <t xml:space="preserve">[INSTRUCTIONS :  PLUSIEURS RÉPONSES POSSIBLES.] </t>
  </si>
  <si>
    <t>if(selected(., 'inc_dec_dk') or selected(., 'inc_dec_ref'), count-selected(.) = 1, count-selected(.) &gt;= 1)</t>
  </si>
  <si>
    <t>ls_proddif</t>
  </si>
  <si>
    <t>Has your household faced any significant difficulty with livestock production over the last 3 months?</t>
  </si>
  <si>
    <t>Votre ménage a-t-il rencontré d'importantes difficultés en matière d'élevage au cours des trois derniers mois ?</t>
  </si>
  <si>
    <t>select_multiple lsproddiff</t>
  </si>
  <si>
    <t>ls_proddif_</t>
  </si>
  <si>
    <t>Which difficulties has your household faced with livestock production in the last 3 months?</t>
  </si>
  <si>
    <t>Quelles difficultés votre ménage a-t-il rencontrées en matière d'élevage au cours des trois derniers mois ?</t>
  </si>
  <si>
    <t>[INSTRUCTIONS : PLUSIEURS RÉPONSES POSSIBLES. SÉLECTIONNER LA OU LES OPTIONS QUI CORRESPONDENT LE MIEUX AUX INFORMATIONS PROPOSÉES PAR LES RÉPONDANTS]</t>
  </si>
  <si>
    <t>${ls_proddif}='1'</t>
  </si>
  <si>
    <t>LivestockSales_group</t>
  </si>
  <si>
    <t xml:space="preserve">LIVESTOCK &amp; LIVESTOCK PRODUCT MARKETING </t>
  </si>
  <si>
    <t>VENTE DE BÉTAIL ET DE PRODUITS D'ÉLEVAGE</t>
  </si>
  <si>
    <t>${resp_agree} = '1' and (${income_main}='4' or ${income_sec}='4' or ${income_third}='4')</t>
  </si>
  <si>
    <t>select_one salesmain</t>
  </si>
  <si>
    <t>ls_salesmain</t>
  </si>
  <si>
    <t>What was the main livestock or livestock product sold by the household in the last 3 months?</t>
  </si>
  <si>
    <t>Quel était le principal animal ou produit animal vendu par votre ménage au cours des trois derniers mois ?</t>
  </si>
  <si>
    <t>lssalesmain</t>
  </si>
  <si>
    <t>jr:choice-name(${ls_salesmain},'${ls_salesmain}')</t>
  </si>
  <si>
    <t>ls_salesdif</t>
  </si>
  <si>
    <t>Has your household faced any significant difficulty in the last 3 months selling your ${lssalesmain}?</t>
  </si>
  <si>
    <t>Votre ménage a-t-il rencontré d'importantes difficultés pour vendre ses ${ls_salesmain} au cours des trois derniers mois ?</t>
  </si>
  <si>
    <t>select_multiple lssalesdif</t>
  </si>
  <si>
    <t>ls_salesdif_</t>
  </si>
  <si>
    <t>What difficulties has your household faced in the last 3 months selling your ${lssalesmain}?</t>
  </si>
  <si>
    <t>Quelles difficultés votre ménage a-t-il rencontrées au cours des trois derniers mois pour vendre ${lssalesmain} ?</t>
  </si>
  <si>
    <t>[INSTRUCTIONS : PLUSIEURS RÉPONSES POSSIBLES. SÉLECTIONNER LA OU LES OPTIONS QUI CORRESPONDENT LE MIEUX AUX INFORMATIONS FOURNIES PAR LES PERSONNES INTERROGÉES.]</t>
  </si>
  <si>
    <t xml:space="preserve">${ls_salesdif} = '1' </t>
  </si>
  <si>
    <t>ls_salesprice</t>
  </si>
  <si>
    <t>How does the current price of your household's ${lssalesmain} compare to the average price in the same period of nan?</t>
  </si>
  <si>
    <t>Comment évaluez-vous le prix actuel de ${lssalesmain} par rapport au prix moyen sur la même période de une année normale ?</t>
  </si>
  <si>
    <t>[INSTRUCTIONS : INSISTER SUR LE PRINCIPAL PRODUIT MENTIONNÉ AUPARAVANT.]</t>
  </si>
  <si>
    <t>Fishing_group</t>
  </si>
  <si>
    <t>FISHING / AQUACULTURE PRODUCTION</t>
  </si>
  <si>
    <t>PRODUCTION PISCICOLE / AQUACOLE</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</si>
  <si>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</si>
  <si>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</si>
  <si>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</si>
  <si>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Nous allons maintenant vous poser quelques questions sur la pêche et la production aquacole. Ces questions s'appliquent à vous et à toute personne de votre foyer impliquée dans la capture, l'élevage ou la récolte de poissons et de produits aquatiques.</t>
  </si>
  <si>
    <t>select_multiple fishactivity</t>
  </si>
  <si>
    <t>fish_main</t>
  </si>
  <si>
    <t>What type of fishing activity does your household generally practice?</t>
  </si>
  <si>
    <t>Quel type de pêche votre ménage pratique-t-il généralement ?</t>
  </si>
  <si>
    <t>[INSTRUCTIONS: MUTIPLE RESPONSES POSSIBLE.]</t>
  </si>
  <si>
    <t>fish_change</t>
  </si>
  <si>
    <t>How does your fish catch [farmed] in the last 3 months [last harvest] compare to the same period [harvest] last year?</t>
  </si>
  <si>
    <t>Comment évaluez-vous votre prise de poisson [d'élevage] au cours des 3 derniers mois [dernière récolte] par rapport à la même période [récolte] l'année dernière?</t>
  </si>
  <si>
    <t>fish_proddif</t>
  </si>
  <si>
    <t>Has your household faced any significant difficulty with fish catch / harvest / farming in the last 3 months?</t>
  </si>
  <si>
    <t>Votre ménage a-t-il rencontré d’importantes difficultés avec la pêche / la récolte / l'élevage au cours des 3 derniers mois?</t>
  </si>
  <si>
    <t>select_multiple fishproddiff</t>
  </si>
  <si>
    <t>fish_proddif_</t>
  </si>
  <si>
    <t>Which difficulties has your household faced with fish catch / harvest / farming in the last 3 months?</t>
  </si>
  <si>
    <t>Quelles difficultés votre ménage a-t-il rencontrées dans la capture/récolte/élevage de poisson au cours des trois derniers mois?</t>
  </si>
  <si>
    <t>[INSTRUCTIONS :  PLUSIEURS RÉPONSES POSSIBLES. SÉLECTIONNER LA OU LES OPTIONS QUI CORRESPONDENT LE MIEUX AUX INFORMATIONS PROPOSÉES PAR LES RÉPONDANTS].</t>
  </si>
  <si>
    <t>${fish_proddif}='1'</t>
  </si>
  <si>
    <t>fish_proddif_otherspecify</t>
  </si>
  <si>
    <t>${fish_proddif} = '1' and selected(${fish_proddif_}, 'other')</t>
  </si>
  <si>
    <t>FishSales_group</t>
  </si>
  <si>
    <t xml:space="preserve">FISHING / AQUACULTURE MARKETING </t>
  </si>
  <si>
    <t>VENTES DE POISSON</t>
  </si>
  <si>
    <t>${resp_agree} = '1' and (${income_main}='6' or ${income_sec}='6' or ${income_third}='6')</t>
  </si>
  <si>
    <t>select_one fishsales</t>
  </si>
  <si>
    <t>fish_salesmain</t>
  </si>
  <si>
    <t>What was the main fish or aquatic product sold by your household in the last 3 months?</t>
  </si>
  <si>
    <t>Quel était le principal produit piscicole ou aquatique vendu par votre ménage au cours des 3 derniers mois?</t>
  </si>
  <si>
    <t>fishsalesmain</t>
  </si>
  <si>
    <t>jr:choice-name(${fish_salesmain},'${fish_salesmain}')</t>
  </si>
  <si>
    <t>fish_salesmain_otherspecify</t>
  </si>
  <si>
    <t>[INSTRUCTIONS : DÉCRIVEZ LA RÉPONSE DONNÉE PAR LE RÉPONDANT EN QUELQUES MOTS. ENTREZ 888 POUR NE SAIT PAS ET 999 POUR REFUS.]</t>
  </si>
  <si>
    <t>selected(${fish_salesmain} , '5')</t>
  </si>
  <si>
    <t>fish_salesdif</t>
  </si>
  <si>
    <t>Has your household faced any significant difficulty marketing / selling your ${fishsalesmain} in the last 3 months?</t>
  </si>
  <si>
    <t>Votre ménage a-t-il rencontré d'importantes difficultés pour commercialiser ou vendre ses ${fishsalesmain} au cours des trois derniers mois ?</t>
  </si>
  <si>
    <t>select_multiple fishsalesdif</t>
  </si>
  <si>
    <t>fish_saledif</t>
  </si>
  <si>
    <t>What difficulties has your household faced in the last 3 months selling your ${fishsalesmain}?</t>
  </si>
  <si>
    <t>Quelles difficultés votre ménage a-t-il rencontrées au cours des trois derniers mois pour vendre ses ${fishsalesmain} ?</t>
  </si>
  <si>
    <t>[INSTRUCTIONS :  PLUSIEURS RÉPONSES POSSIBLES. SÉLECTIONNEZ LA OU LES OPTIONS QUI CORRESPONDENT LE MIEUX AUX INFORMATIONS FOURNIES PAR LES PERSONNES INTERROGÉES.]</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</si>
  <si>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</si>
  <si>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</si>
  <si>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</si>
  <si>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</si>
  <si>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nan? </t>
  </si>
  <si>
    <t xml:space="preserve">Comment évaluez-vous le prix actuel de vos ${fishsalesmain} vendus par votre ménage par rapport au prix moyen sur la même période [récolte] de une année normale ? </t>
  </si>
  <si>
    <t>FSI</t>
  </si>
  <si>
    <t>FOOD SECURITY INDICATORS</t>
  </si>
  <si>
    <t>INDICATEURS DE SÉCURITÉ ALIMENTAIRE</t>
  </si>
  <si>
    <t>intro_foodsec</t>
  </si>
  <si>
    <t>Now I would like to ask you some questions about food consumption, food utilization and coping mechanisms. Make sure to refer to the correct time period for each set of questions.</t>
  </si>
  <si>
    <t>Je vais maintenant vous poser quelques questions sur votre consommation de nourriture, l'utilisation de la nourriture et les mécanismes d'adaptation. Attention: il faut vous référer à la bonne période pour chaque série de questions.</t>
  </si>
  <si>
    <t>grp_fies</t>
  </si>
  <si>
    <t>FIES</t>
  </si>
  <si>
    <t>fies_intro</t>
  </si>
  <si>
    <t xml:space="preserve">The first set of questions refers to experiences faced by your or any of your household members over the past 30 days. </t>
  </si>
  <si>
    <t xml:space="preserve">La première série de questions concerne les expériences auxquelles vous ou les membres de votre foyer avez été confrontés au cours des 30 derniers jours. </t>
  </si>
  <si>
    <t>fies_worried</t>
  </si>
  <si>
    <t>During the *last 30 days*, was there a time when you or others in your household were **worried about not having enough food to eat** because of lack of money or other resources?</t>
  </si>
  <si>
    <t>Au cours de ces *30 derniers jours*, vous ou un autre membre de votre ménage avez-vous été **inquiet(e)s de ne pas avoir suffisamment de nourriture** par manque d’argent ou d’autres ressources ?</t>
  </si>
  <si>
    <t>fies_healthy</t>
  </si>
  <si>
    <t>During the *last 30 days*, was there a time when you or others in your household were **unable to eat healthy and nutritious food** because of lack of money or other resources?</t>
  </si>
  <si>
    <t>Au cours des *30 derniers jours*, vous ou un autre membre de votre ménage n'avez-vous **pas pu manger une nourriture saine et nutritive** par manque d’argent ou d’autres ressources ?</t>
  </si>
  <si>
    <t>fies_fewfoods</t>
  </si>
  <si>
    <t>During the *last 30 days*, was there a time when you or others in your household **ate only a few kinds of foods** because of lack of money or other resources?</t>
  </si>
  <si>
    <t>Au cours des *30 derniers jours*, vous ou un autre membre de votre ménage avez-vous **mangé une nourriture peu variée** par manque d’argent ou d’autres ressources ?</t>
  </si>
  <si>
    <t>fies_skipped</t>
  </si>
  <si>
    <t>During the *last 30 days*, was there a time when you or others in your household **had to skip a meal** because of lack of money or other resources to get food?</t>
  </si>
  <si>
    <t>Au cours des *30 derniers jours*, vous ou un autre membre de votre ménage avez-vous **dû sauter un repas** parce que vous n’aviez pas assez d’argent ou d’autres ressources pour vous procurer à manger ?</t>
  </si>
  <si>
    <t>fies_ateless</t>
  </si>
  <si>
    <t>During the *last 30 days*, was there a time when you or others in your household **ate less than you thought you should** because of lack of money or other resources?</t>
  </si>
  <si>
    <t>Au cours des *30 derniers jours*, y-a-t-il eu des moments lors desquels vous ou d'autre membre de votre ménage avez **mangé moins que ce que vous pensiez que vous auriez dû manger** à cause d'un manque d'argent ou d'autres ressources ?</t>
  </si>
  <si>
    <t>fies_ranout</t>
  </si>
  <si>
    <t>In the *past 30 days*, was there ever **no food to eat of any kind** in your house because of lack of resources to get food?</t>
  </si>
  <si>
    <t>Au cours des *30 derniers jours*, n'y avait-il **aucun aliment à manger**, de quelque nature que ce soit, dans votre foyer, en raison du manque de ressources pour se procurer de la nourriture ?</t>
  </si>
  <si>
    <t>select_one frequency</t>
  </si>
  <si>
    <t>fies_ranout_hhs</t>
  </si>
  <si>
    <t xml:space="preserve">How often did this happen? </t>
  </si>
  <si>
    <t>Combien de fois cela s'est-il produit ?</t>
  </si>
  <si>
    <t>${fies_ranout} = '1'</t>
  </si>
  <si>
    <t>fies_hungry</t>
  </si>
  <si>
    <t>In the *past 30 days*, did you or any household member ever **go to sleep at night hungry**because there was not enough food?</t>
  </si>
  <si>
    <t>Au cours des *30 derniers jours*, êtiez-vous ou tout membre de votre ménage **obligé de dormir affamé le soir** parce qu'il n'y avait pas assez de nourriture ?</t>
  </si>
  <si>
    <t>fies_hungry_hhs</t>
  </si>
  <si>
    <t>${fies_hungry} = '1'</t>
  </si>
  <si>
    <t>fies_whlday</t>
  </si>
  <si>
    <t>In the *past 30 days*, did you or any household member ever **go a whole day and night without eating anything at all** because there was not enough food?</t>
  </si>
  <si>
    <t>Au cours des *30 derniers jours*, avez-vous ou tout membre de votre ménage passé **un jour et une nuit entière sans rien manger** parce qu'il n'y avait pas assez de nourriture ?</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</si>
  <si>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</si>
  <si>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</si>
  <si>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</si>
  <si>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</si>
  <si>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</si>
  <si>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</si>
  <si>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</si>
  <si>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</si>
  <si>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select_one coping</t>
  </si>
  <si>
    <t>cs_stress_hh_assets</t>
  </si>
  <si>
    <t>**Sell household assets/goods** (radio, furniture, television, jewelry etc.)</t>
  </si>
  <si>
    <t>**Vendre des actifs/biens ménagers** (radio, meubles, télévision, bijoux, etc.)</t>
  </si>
  <si>
    <t>cs_stress_spent_savings</t>
  </si>
  <si>
    <t>**Spend savings**</t>
  </si>
  <si>
    <t>**Dépenser les économies**</t>
  </si>
  <si>
    <t>cs_stress_sold_more_animals</t>
  </si>
  <si>
    <t>**Sell more animals (non-reproductive) than usual**</t>
  </si>
  <si>
    <t>**Vendre plus d'animaux (non producteurs) que d'habitude**</t>
  </si>
  <si>
    <t>cs_stress_borrowed_or_helped</t>
  </si>
  <si>
    <t>**Borrow food or relied on help from friends or relatives **</t>
  </si>
  <si>
    <t>**Emprunter de la nourriture ou compter sur l'aide d'amis ou de parents **</t>
  </si>
  <si>
    <t>cs_crisis_sold_prod_assets</t>
  </si>
  <si>
    <t>**Sell productive assets or means of transport** (sewing machine, wheelbarrow, bicycle, car, etc.)</t>
  </si>
  <si>
    <t>**Vendre des actifs productifs ou des véhicules** (machine à coudre, charrette vélo, voiture, etc.)</t>
  </si>
  <si>
    <t>cs_crisis_no_school</t>
  </si>
  <si>
    <t>**Withdraw children from school**</t>
  </si>
  <si>
    <t>**Retirer les enfants de l'école**</t>
  </si>
  <si>
    <t>cs_crisis_reduced_health_exp</t>
  </si>
  <si>
    <t>**Reduce expenses on health** (including drugs)</t>
  </si>
  <si>
    <t xml:space="preserve">**Réduire les dépenses de santé** (dont les médicaments) </t>
  </si>
  <si>
    <t>cs_emergency_sold_house</t>
  </si>
  <si>
    <t>**Sell a house or land**</t>
  </si>
  <si>
    <t>**Vendre sa maison ou ses terres**</t>
  </si>
  <si>
    <t>cs_emergency_begged</t>
  </si>
  <si>
    <t>**Beg**</t>
  </si>
  <si>
    <t>**Mendier**</t>
  </si>
  <si>
    <t>cs_emergency_sold_last_female</t>
  </si>
  <si>
    <t>**Sell your last female animals**</t>
  </si>
  <si>
    <t>**Vendre votre dernières femelles animales**</t>
  </si>
  <si>
    <t>cs_emergency_hh_migration</t>
  </si>
  <si>
    <t>**Migrate with the entire household**</t>
  </si>
  <si>
    <t>**Migration de l'entièreté du ménage**</t>
  </si>
  <si>
    <t>grp_hdds</t>
  </si>
  <si>
    <t>HDDS</t>
  </si>
  <si>
    <t>SDAM</t>
  </si>
  <si>
    <t>hdds_intro</t>
  </si>
  <si>
    <t>Now I would like to ask you about a set of questions on food consumption, referring to the *24 hours of yesterday*.</t>
  </si>
  <si>
    <t xml:space="preserve">Je voudrais maintenant vous poser une série de questions sur votre consommation alimentaire, avec comme référence les *24 dernières heures de la journée d'hier*. </t>
  </si>
  <si>
    <t>select_multiple hdds</t>
  </si>
  <si>
    <t>hdds</t>
  </si>
  <si>
    <t>Please describe the foods (meals and snacks) that you or any household member ate or drank at home yesterday (in the *24 hours of yesterday*: breakfast, lunch, dinner and snacks).</t>
  </si>
  <si>
    <t>Veuillez décrire les aliments [repas et collations] que vous ou tout membre du ménage avez consommés ou bus à la maison au cours de la journée d’hier [dans les *24 dernières heures*: petit-déjeuner, déjeuner, dîner et collations].</t>
  </si>
  <si>
    <t>[INSTRUCTIONS: SELECT ALL FOOD GROUPS CONSUMED IN THE 24 HOURS OF YESTERDAY AS THE RESPONDENT ANSWERS. MULTIPLE RESPONSES POSSIBLE.]</t>
  </si>
  <si>
    <t>[INSTRUCTIONS :  SÉLECTIONNER TOUS LES GROUPES D'ALIMENTS CONSOMMÉS AU COURS DES 24 HEURES DE LA JOURNÉE PASSÉE DANS LES RÉPONSES DE LA PERSONNE INTERROGÉE. PLUSIEURS RÉPONSES POSSIBLES.]</t>
  </si>
  <si>
    <t>hdds_confirmation</t>
  </si>
  <si>
    <t>[INSTRUCTIONS: Remember to probe for snacks, special foods given to children or pregnant women, ingredients in mixed dishes. At the end, probe for any food groups not specified.]</t>
  </si>
  <si>
    <t>[INSTRUCTIONS : N'oubliez pas de demander des informations sur les collations, les aliments spéciaux donnés aux enfants ou aux femmes enceintes, les ingrédients contenus dans les plats composés. À la fin, renseignez-vous sur les groupes d'aliments non consommés.]</t>
  </si>
  <si>
    <t>grp_fcs</t>
  </si>
  <si>
    <t>FCS</t>
  </si>
  <si>
    <t>SCA</t>
  </si>
  <si>
    <t>fcs_intro</t>
  </si>
  <si>
    <t>Now I would like to ask you about the foods and drinks your household ate or drank in  *the last 7 days* during the day and at night [breakfast, lunch, dinner, snacks].</t>
  </si>
  <si>
    <t>Je voudrais maintenant vous interroger sur les aliments et les boissons consommés dans votre ménage au cours des *7 derniers jours* pendant la journée et la nuit [petit-déjeuner, déjeuner, dîner, collations].</t>
  </si>
  <si>
    <t>fcs_staple_days</t>
  </si>
  <si>
    <t>How many days over *the last 7 days*, did members of your household eat **starches, roots and tubers** such as rice, maize, pasta, bread, sorghum, millet, potato, yam, cassava, white sweet potato?</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</si>
  <si>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</si>
  <si>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[INSTRUCTIONS: RECORD NUMBER OF DAYS 0 - 7. IF CONSUMED ONLY IN SMALL QUANTITY, DO NOT INCLUDE.]</t>
  </si>
  <si>
    <t>[INSTRUCTIONS :  SAISIR LE NOMBRE DE JOURS DE 0 À 7. SI CONSOMMÉ UNIQUEMENT EN PETITE QUANTITÉ, NE PAS INCLURE.]</t>
  </si>
  <si>
    <t>.&gt;= 0 and .&lt;=7</t>
  </si>
  <si>
    <t>The answer must be between 0 and 7 days</t>
  </si>
  <si>
    <t>fcs_pulses_days</t>
  </si>
  <si>
    <t>How many days over *the last 7 days*, did members of your household eat** pulses and nuts such as beans, lentils, cowpeas, soybean, pigeon peas and peanuts or other nuts**?</t>
  </si>
  <si>
    <t>Combien de fois (en nombre de jours) au cours des *7 derniers jours*, les membres de votre foyer ont-ils mangé des **légumineuses et des fruits à coque** tels que des haricots, des lentilles, du niébé, du soja, des pois cajan, des cacahuètes ou d'autres fruits à coque ?</t>
  </si>
  <si>
    <t>fcs_vegetables_days</t>
  </si>
  <si>
    <t>How many days over *the last 7 days*, did members of your household eat **vegetables or leaves** such as Tomatoes, Cucumber, Pepper and/or other leaves/vegetables?</t>
  </si>
  <si>
    <t>Combien de fois (en nombre de jours) au cours des *7 derniers jours*, les membres de votre foyer ont-ils mangé des **légumes ou des feuilles** tels que des Tomates, Concombre, Poivron et/ou d'autres feuilles/légumes ?</t>
  </si>
  <si>
    <t>fcs_fruit_days</t>
  </si>
  <si>
    <t>How many days over *the last 7 days*, did members of your household eat **fruit** such as Orange, Mango and/or other fruits?</t>
  </si>
  <si>
    <t>Combien de fois (en nombre de jours) au cours des *7 derniers jours*, les membres de votre foyer ont-ils mangé des **fruits** tels que des Orange, Mangues et/ou d'autres fruits ?</t>
  </si>
  <si>
    <t>fcs_meat_fish_days</t>
  </si>
  <si>
    <t>How many days over *the last 7 days*, did members of your household eat **meat, eggs or fish** [any type of meat or fish including insects, birds, bush meat, seafood, or organs]?</t>
  </si>
  <si>
    <t>Combien de fois (en nombre de jours) au cours des *7 derniers jours*, les membres de votre foyer ont-ils mangé de** la viande, des œufs ou du poisson** [tout type de viande ou  poisson, y compris des insectes, oiseaux, viande de brousse, fruits de mer ou abats]?</t>
  </si>
  <si>
    <t>fcs_dairy_days</t>
  </si>
  <si>
    <t>How many days over *the last 7 days*, did members of your household consume fresh milk, sour milk, yogurt, cheese or other **dairy products** [excluding margarine/butter or small amounts of milk for tea/ coffee]?</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</si>
  <si>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</si>
  <si>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fcs_sugar_days</t>
  </si>
  <si>
    <t>How many days over *the last 7 days*, did members of your household consume **sugar or sweets** such as sugar, honey, jam, cakes, candy, cookies, pastries, cakes and other sweets and sugary drinks?</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</si>
  <si>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</si>
  <si>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fcs_oil_days</t>
  </si>
  <si>
    <t>How many days over *the last 7 days*, did members of your household eat **oil/fat/butter** such as vegetable oil, palm oil, groundnut oil, margarine, other fats / oil?</t>
  </si>
  <si>
    <t>Combien de fois (en nombre de jours) au cours des *7 derniers jours*, les membres de votre foyer ont-ils consommé de **l'huile/de la graisse/du beurre** tels que des huiles végétales, de l'huile de palme, de l'huile d'arachide, de la margarine, d'autres graisses/huiles ?</t>
  </si>
  <si>
    <t>fcs_condiments_days</t>
  </si>
  <si>
    <t>How many days over *the last 7 days*, did members of your household eat **spices or condiments** such as tea, coffee, cocoa, salt, garlic, spices, yeast, meat fish as a condiment or small amounts of milk for tea or coffee?</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</si>
  <si>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</si>
  <si>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grp_rcsi</t>
  </si>
  <si>
    <t>rCSI</t>
  </si>
  <si>
    <t>rcsi_intro</t>
  </si>
  <si>
    <t>Now I will ask you about the number of days, in *the last 7 days*, during which the household has done some of the actions that I will mention to cope with the lack of food or money to buy food.</t>
  </si>
  <si>
    <t>Je vais maintenant vous demander combien de fois (en nombre de jours), au cours des *7 derniers jours*, votre ménage a du recourir à certaines mesures pour faire face au manque de nourriture ou d'argent pour acheter de la nourriture.</t>
  </si>
  <si>
    <t>rcsi_less_preferred_foods</t>
  </si>
  <si>
    <t xml:space="preserve">In *the past 7 days*, how many days did your household **rely on less preferred or less expensive food** due to lack of food/money?  </t>
  </si>
  <si>
    <t>Au cours des *7 derniers jours*, combien de fois (en nombre de jours) votre ménage s'est-il **rabattu sur des aliments qu'il aime moins ou moins chers** par manque de nourriture/argent ?</t>
  </si>
  <si>
    <t>[INSTRUCTIONS: RECORD NUMBER OF DAYS 0 - 7]</t>
  </si>
  <si>
    <t>[INSTRUCTIONS :  SAISIR LE NOMBRE DE JOURS DE 0 À 7]</t>
  </si>
  <si>
    <t>rcsi_borrowed_food</t>
  </si>
  <si>
    <t xml:space="preserve">In the *past 7 days*, how many days did your household **borrow food, or rely on help from a friend or relative** due to lack of food or money to buy food? </t>
  </si>
  <si>
    <t>Au cours des *7 derniers jours*, combien de fois (en nombre de jours) votre ménage a-t-il **emprunté de la nourriture ou demandé l'aide d'un ami ou d'un parent** en raison du manque de nourriture ou d'argent pour acheter de la nourriture ?</t>
  </si>
  <si>
    <t>rcsi_reduce_number_meals</t>
  </si>
  <si>
    <t>In the past 7 days, how many days did your household **reduce the number of meals eaten in a day** due to lack of food or money to buy food?</t>
  </si>
  <si>
    <t>Au cours des *7 derniers jours*, combien de fois (en nombre de jours) votre ménage a-t-il **réduit le nombre de repas pris dans une journée** par manque de nourriture ou d'argent pour acheter de la nourriture ?</t>
  </si>
  <si>
    <t>rcsi_limit_portions</t>
  </si>
  <si>
    <t xml:space="preserve">In the *past 7 days*, how many days did your household **limit portion sizes at mealtime** due to lack of food or money to buy food? </t>
  </si>
  <si>
    <t>Au cours des *7 derniers jours*, combien de fois (en nombre de jours) votre ménage a-t-il **limité la taille des portions consommées pour le repas** en raison du manque de nourriture ou d'argent pour acheter de la nourriture ?</t>
  </si>
  <si>
    <t>rcsi_restrict_adult_consumpt</t>
  </si>
  <si>
    <t>In the *past 7 days*, how many days did your household **restrict consumption by adults so children could eat**, due to lack of food or money to buy food?</t>
  </si>
  <si>
    <t>Au cours des *7 derniers jours*, combien de fois (en nombre de jours) votre ménage a-t-il **limité les quantités consommées par les adultes pour que les enfants puissent manger**, par manque de nourriture ou d'argent pour acheter de la nourriture ?</t>
  </si>
  <si>
    <t>Assisstance_group</t>
  </si>
  <si>
    <t>NEEDS ASSISTANCE</t>
  </si>
  <si>
    <t>BESOIN D'ASSISTANCE</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</si>
  <si>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</si>
  <si>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</si>
  <si>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</si>
  <si>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 xml:space="preserve">Votre ménage aura-t-il besoin d'aide pour soutenir son activité agricole [cultures, élevage et pêche/aquaculture] au cours des 3 à 6 prochains mois ? </t>
  </si>
  <si>
    <t>select_multiple needs</t>
  </si>
  <si>
    <t>need_</t>
  </si>
  <si>
    <t>What are your household's greatest needs for assistance for your household's agricultural activities [including crop, livestock or fisheries/aquaculture production activities] over the next 3 to 6 months?</t>
  </si>
  <si>
    <t>Quels sont les principaux besoins d'assistance de votre ménage pour soutenir son activité agricole [cultures, élevage ou pêche/aquaculture] au cours des 3 à 6 prochains mois ?</t>
  </si>
  <si>
    <t>[INSTRUCTIONS: MULTIPLE RESPONSE. DO NOT READ THE OPTIONS.]</t>
  </si>
  <si>
    <t>[INSTRUCTIONS :  PLUSIEURS RÉPONSES POSSILES. NE PAS LIRE LES OPTIONS.]</t>
  </si>
  <si>
    <t>${need} = 1</t>
  </si>
  <si>
    <t>need_otherspecify</t>
  </si>
  <si>
    <t>selected(${need_}, 'other')</t>
  </si>
  <si>
    <t>select_multiple needreceived</t>
  </si>
  <si>
    <t>need_received</t>
  </si>
  <si>
    <t>Has your household received any assistance in the last 3 months, and if so, which kind?</t>
  </si>
  <si>
    <t>Votre ménage a-t-il reçu une aide au cours des 3 derniers mois, et si oui, de quel type ?</t>
  </si>
  <si>
    <t>[INSTRUCTIONS: READ OUT ANSWER OPTIONS. MULTIPLE RESPONSES POSSIBLE.]</t>
  </si>
  <si>
    <t>[INSTRUCTIONS :  PLUSIEURS RÉPONSES POSSIBLES. LIRE A VOIX HAUTE LES OPTIONS.]</t>
  </si>
  <si>
    <t>if(selected(., 'dk') or selected(., 'ref') or selected(., 'none'), count-selected(.) = 1, count-selected(.) &gt;= 1)</t>
  </si>
  <si>
    <t>need_received_otherspecify</t>
  </si>
  <si>
    <t>selected(${need_received}, 'other')</t>
  </si>
  <si>
    <t>select_multiple provider</t>
  </si>
  <si>
    <t>assistance</t>
  </si>
  <si>
    <t>Who provided your household with this assistance?</t>
  </si>
  <si>
    <t xml:space="preserve">Qui a fourni cette aide à votre ménage ? </t>
  </si>
  <si>
    <t>[INSTRUCTIONS: MULTIPLE RESPONSES.]</t>
  </si>
  <si>
    <t>[INSTRUCTIONS :  PLUSIEURS RÉPONSES POSSIBLES.]</t>
  </si>
  <si>
    <t>${need_received} != 'dk' and ${need_received} != 'ref' and ${need_received} != 'none'</t>
  </si>
  <si>
    <t>closing</t>
  </si>
  <si>
    <t>CLOSING</t>
  </si>
  <si>
    <t>FINALISATION DE L'ENTRETIEN</t>
  </si>
  <si>
    <t>callback</t>
  </si>
  <si>
    <t>Your answers will help us to understand and respond to your community needs. May we call you in a few months?</t>
  </si>
  <si>
    <t>Vos réponses nous aideront à comprendre les besoins de votre communauté et à y répondre. Pouvons-nous vous appeler dans quelques mois ?</t>
  </si>
  <si>
    <t>select_multiple week</t>
  </si>
  <si>
    <t>future_int_day</t>
  </si>
  <si>
    <t>For future interviews, in which day(s) can I call you?</t>
  </si>
  <si>
    <t>Pour les prochains entretiens, quel(s) jour(s) puis-je vous appeler ?</t>
  </si>
  <si>
    <t>[INSTRUCTIONS: MULTIPLE ANSWERS POSSIBLE.]</t>
  </si>
  <si>
    <t>${callback} = '1'</t>
  </si>
  <si>
    <t>select_multiple time</t>
  </si>
  <si>
    <t>future_int_time</t>
  </si>
  <si>
    <t>For future interviews, at what time(s) can I call you?</t>
  </si>
  <si>
    <t>Pour les prochains entretiens, à quel(s) moment(s) de la journée puis-je vous appeler ?</t>
  </si>
  <si>
    <t>select_one language</t>
  </si>
  <si>
    <t>language2</t>
  </si>
  <si>
    <t xml:space="preserve">Select the language that was mostly used to complete the interview. </t>
  </si>
  <si>
    <t>Sélectionner la langue qui a été principalement utilisée pour réaliser l'entretien.</t>
  </si>
  <si>
    <t>closeout</t>
  </si>
  <si>
    <t xml:space="preserve">Thank you for your time. The interview has come to an end. </t>
  </si>
  <si>
    <t xml:space="preserve">Merci de nous avoir accordé votre temps. L'entretien est terminé. </t>
  </si>
  <si>
    <t>time</t>
  </si>
  <si>
    <t>Interview_End_Time</t>
  </si>
  <si>
    <t>Interview End Time</t>
  </si>
  <si>
    <t>Heure de la fin de l'interview</t>
  </si>
  <si>
    <t>gps_2</t>
  </si>
  <si>
    <t>GPS INSTRUCTION: You didn't take a measurement earlier. Now walk around the household or go near the main road and try to take a GPS measurement.</t>
  </si>
  <si>
    <t>INSTRUCTION GPS : Vous n'avez pas encore enregistré les coordonnées GPS. Déplacez-vous autour de la maison ou allez proche de la route principale et essayez de récupérer les coordonnées GPS de nouveau.</t>
  </si>
  <si>
    <t xml:space="preserve">false </t>
  </si>
  <si>
    <t>${resp_agree} = '1' and ${gps_1} = ''</t>
  </si>
  <si>
    <t>enum_notes</t>
  </si>
  <si>
    <t>Enter any notes or feedback from this survey:</t>
  </si>
  <si>
    <t>Saisissez toutes les notes ou commentaires de cet entretien :</t>
  </si>
  <si>
    <t xml:space="preserve">Leave empty if there are no comments. </t>
  </si>
  <si>
    <t xml:space="preserve">Laissez vide s'il n'y a pas de commentaires. </t>
  </si>
  <si>
    <t>__version__</t>
  </si>
  <si>
    <t>'vfVbKi5bfYAnEzqoBsXTzQ'</t>
  </si>
  <si>
    <t xml:space="preserve">AVERAGE ESTIMATED DURATION </t>
  </si>
  <si>
    <t>list_name</t>
  </si>
  <si>
    <t>my_filter_admin</t>
  </si>
  <si>
    <t>enumteam</t>
  </si>
  <si>
    <t>ML01</t>
  </si>
  <si>
    <t>Kayes</t>
  </si>
  <si>
    <t>ML02</t>
  </si>
  <si>
    <t>Koulikoro</t>
  </si>
  <si>
    <t>ML03</t>
  </si>
  <si>
    <t>Sikasso</t>
  </si>
  <si>
    <t>ML04</t>
  </si>
  <si>
    <t>Ségou</t>
  </si>
  <si>
    <t>ML05</t>
  </si>
  <si>
    <t>Mopti</t>
  </si>
  <si>
    <t>ML06</t>
  </si>
  <si>
    <t>Tombouctou</t>
  </si>
  <si>
    <t>ML07</t>
  </si>
  <si>
    <t>Gao</t>
  </si>
  <si>
    <t>ML08</t>
  </si>
  <si>
    <t>Kidal</t>
  </si>
  <si>
    <t>ML09</t>
  </si>
  <si>
    <t>Bamako</t>
  </si>
  <si>
    <t>ML10</t>
  </si>
  <si>
    <t>Menaka</t>
  </si>
  <si>
    <t>Tessougué Djeneba</t>
  </si>
  <si>
    <t>Keita Alhousseiny</t>
  </si>
  <si>
    <t>Coulibaly Djadjiri</t>
  </si>
  <si>
    <t>Keita Alhassane</t>
  </si>
  <si>
    <t>Coulibaly André</t>
  </si>
  <si>
    <t>Dembele Maimouna</t>
  </si>
  <si>
    <t>Ali DOLO</t>
  </si>
  <si>
    <t>Modibo SAMAKE</t>
  </si>
  <si>
    <t>Oumata Wallet SIDIDI</t>
  </si>
  <si>
    <t>Hawa Cheick KAMATE</t>
  </si>
  <si>
    <t>Fatou Sene GUEYE</t>
  </si>
  <si>
    <t>HAMID M'Bé COULIBALY</t>
  </si>
  <si>
    <t>Adama M  COULIBALY</t>
  </si>
  <si>
    <t>Adama  COULIBALY</t>
  </si>
  <si>
    <t>Souleymane Doulaye TRAORE</t>
  </si>
  <si>
    <t>Mody SOUARE</t>
  </si>
  <si>
    <t>Mariam DIALLO</t>
  </si>
  <si>
    <t>Sidi Modibo Kane SISSOKO</t>
  </si>
  <si>
    <t>Marguerite  DAKOUO</t>
  </si>
  <si>
    <t>Bokari  TAMBOURA</t>
  </si>
  <si>
    <t>Almoustapha MENTA</t>
  </si>
  <si>
    <t>Mama TIENTA</t>
  </si>
  <si>
    <t>Fatoumata KANTE</t>
  </si>
  <si>
    <t>Korotoumou DIARRA</t>
  </si>
  <si>
    <t>Adama H TRAORE</t>
  </si>
  <si>
    <t>Baba COULIBALY</t>
  </si>
  <si>
    <t>GARBA Aliou</t>
  </si>
  <si>
    <t>ALMOUDOU Mahamane</t>
  </si>
  <si>
    <t>KALIL Abdallah</t>
  </si>
  <si>
    <t>MOSSA  Mohamed Attaher</t>
  </si>
  <si>
    <t>Mahamane Aboubacrine</t>
  </si>
  <si>
    <t>ALMAHADY Anouratou</t>
  </si>
  <si>
    <t>MAIGA Agaichatou Ibrahim</t>
  </si>
  <si>
    <t>ABDOUBACAR Aminatou</t>
  </si>
  <si>
    <t>MAHAMAR Abdoul Jabar</t>
  </si>
  <si>
    <t>ALY Abdourazack</t>
  </si>
  <si>
    <t>YATTARA Alkassoum Abdoulaye</t>
  </si>
  <si>
    <t>SIDI Moudnakata Ag</t>
  </si>
  <si>
    <t>ISMARIL Aboulmalick Ag</t>
  </si>
  <si>
    <t>MOHAMED Abdela Ag</t>
  </si>
  <si>
    <t>HAMANI Amadou</t>
  </si>
  <si>
    <t>GUINDO Issa Bourama</t>
  </si>
  <si>
    <t>TOURE Abdramane Sabane</t>
  </si>
  <si>
    <t>MAIGA Saloum</t>
  </si>
  <si>
    <t>yes_no</t>
  </si>
  <si>
    <t>Yes</t>
  </si>
  <si>
    <t>Oui</t>
  </si>
  <si>
    <t>No</t>
  </si>
  <si>
    <t>Non</t>
  </si>
  <si>
    <t>DON'T KNOW</t>
  </si>
  <si>
    <t>NE SAIT PAS</t>
  </si>
  <si>
    <t>REFUSED</t>
  </si>
  <si>
    <t>REFUSÉ</t>
  </si>
  <si>
    <t>continue</t>
  </si>
  <si>
    <t>continuez</t>
  </si>
  <si>
    <t>yesno</t>
  </si>
  <si>
    <t>language</t>
  </si>
  <si>
    <t>en</t>
  </si>
  <si>
    <t>English</t>
  </si>
  <si>
    <t>fr</t>
  </si>
  <si>
    <t>French</t>
  </si>
  <si>
    <t>Français</t>
  </si>
  <si>
    <t>…</t>
  </si>
  <si>
    <t>gender</t>
  </si>
  <si>
    <t>Male</t>
  </si>
  <si>
    <t>Homme</t>
  </si>
  <si>
    <t>Female</t>
  </si>
  <si>
    <t>Femme</t>
  </si>
  <si>
    <t>contact_info</t>
  </si>
  <si>
    <t>YES - mine</t>
  </si>
  <si>
    <t>Oui - le mien</t>
  </si>
  <si>
    <t>YES - other household member</t>
  </si>
  <si>
    <t>Oui - un autre membre du ménage</t>
  </si>
  <si>
    <t>YES - friend or relative [non household member]</t>
  </si>
  <si>
    <t>Oui - celui d'un ami ou d'un parent [non membre du ménage]</t>
  </si>
  <si>
    <t>NO</t>
  </si>
  <si>
    <t>agricactivity</t>
  </si>
  <si>
    <t xml:space="preserve">Yes - crop production </t>
  </si>
  <si>
    <t xml:space="preserve">Oui - production végétale </t>
  </si>
  <si>
    <t>Yes - livestock production</t>
  </si>
  <si>
    <t>Oui - production animale</t>
  </si>
  <si>
    <t xml:space="preserve">Yes - both crop and livestock production </t>
  </si>
  <si>
    <t xml:space="preserve">Oui - production végétale et animale </t>
  </si>
  <si>
    <t>edu</t>
  </si>
  <si>
    <t>None or did not complete primary school</t>
  </si>
  <si>
    <t>Aucun ou n'a pas terminé l'école primaire</t>
  </si>
  <si>
    <t>Completed primary school</t>
  </si>
  <si>
    <t>A terminé l'école primaire</t>
  </si>
  <si>
    <t>Completed secondary school</t>
  </si>
  <si>
    <t>A terminé l'école secondaire</t>
  </si>
  <si>
    <t>Completed higher education [University / College] degree</t>
  </si>
  <si>
    <t>Diplôme de l'enseignement supérieur [Université]</t>
  </si>
  <si>
    <t>Religious or informal education only</t>
  </si>
  <si>
    <t>Enseignement religieux ou informel uniquement</t>
  </si>
  <si>
    <t>water</t>
  </si>
  <si>
    <t>Private tap from piped water</t>
  </si>
  <si>
    <t>Robinet privé avec eau courante</t>
  </si>
  <si>
    <t>Public tap</t>
  </si>
  <si>
    <t>Robinet public</t>
  </si>
  <si>
    <t>Protected well</t>
  </si>
  <si>
    <t>Puits protégé</t>
  </si>
  <si>
    <t>Bottled water</t>
  </si>
  <si>
    <t>Eau en bouteille</t>
  </si>
  <si>
    <t>Other safe source</t>
  </si>
  <si>
    <t>Autre source sûre</t>
  </si>
  <si>
    <t>River</t>
  </si>
  <si>
    <t>Rivière</t>
  </si>
  <si>
    <t>Unprotected well</t>
  </si>
  <si>
    <t>Puits non protégé</t>
  </si>
  <si>
    <t>Spring water</t>
  </si>
  <si>
    <t>Eau de source</t>
  </si>
  <si>
    <t>Surface water [e.g. canal, ponds, dams]</t>
  </si>
  <si>
    <t>Eaux de surface (par ex. canaux, étangs, barrages)</t>
  </si>
  <si>
    <t>Other unsafe source</t>
  </si>
  <si>
    <t>toilet</t>
  </si>
  <si>
    <t>Flush latrine/toilet with water</t>
  </si>
  <si>
    <t>Latrines à chasse d'eau [toilettes avec eau]</t>
  </si>
  <si>
    <t>Traditional pit latrine [no water]</t>
  </si>
  <si>
    <t>Latrines traditionnelles à fosse [sans eau]</t>
  </si>
  <si>
    <t>Open pit [hole in the ground for excrement without water, roof or wall]</t>
  </si>
  <si>
    <t>Fosse ouverte [trou dans le sol pour les excréments, sans eau, toit ni mur]</t>
  </si>
  <si>
    <t>Communal latrine [with or without water]</t>
  </si>
  <si>
    <t>Latrines communautaires [avec ou sans eau]</t>
  </si>
  <si>
    <t>None – bush</t>
  </si>
  <si>
    <t>Aucune – brousse</t>
  </si>
  <si>
    <t>light</t>
  </si>
  <si>
    <t>Electricity [from generator or electrical grid]</t>
  </si>
  <si>
    <t>Électricité [à partir d'un générateur, du réseau électrique]</t>
  </si>
  <si>
    <t>Candle</t>
  </si>
  <si>
    <t>Bougie</t>
  </si>
  <si>
    <t>Petrol lamp</t>
  </si>
  <si>
    <t>Lampe à pétrole</t>
  </si>
  <si>
    <t>Lamp with batteries</t>
  </si>
  <si>
    <t>Lampe à piles</t>
  </si>
  <si>
    <t>Solar panel</t>
  </si>
  <si>
    <t>Panneaux solaires</t>
  </si>
  <si>
    <t>Other [no electric supply to the house]</t>
  </si>
  <si>
    <t>Autre [pas d'alimentation électrique dans la maison]</t>
  </si>
  <si>
    <t>residence</t>
  </si>
  <si>
    <t>Permanent Resident - you have been living in your village / town for longer than two years and this is what you consider your habitual residence</t>
  </si>
  <si>
    <t>Résident permanent - vous vivez dans votre village/ville depuis plus de deux ans et vous le/la considérez comme votre résidence habituelle</t>
  </si>
  <si>
    <t>Recent migrant not forcefully displaced - you have been living in your current place of residence for less than two years and you moved there voluntarily for work / family or other reasons that are not related to conflict or natural disaster</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</si>
  <si>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</si>
  <si>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Returnee - you have only come back to this residence in the last two years after having been forced to move to another location having fled conflict or natural disaster [if return was over 2 years ago the respondent is considered a permanent resident]</t>
  </si>
  <si>
    <t>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t>
  </si>
  <si>
    <t xml:space="preserve">Internally displaced person [IDP] - you were forced to flee your village or town because of conflict or natural disaster and you are now an internally displaced person in your current place of residence </t>
  </si>
  <si>
    <t>Personne déplacée à l'intérieur de son pays - vous avez été forcé de fuir votre village ou votre ville en raison d'un conflit ou d'une catastrophe naturelle et vous êtes une personne déplacée à l'intérieur de son propre pays dans votre lieu de résidence actuel</t>
  </si>
  <si>
    <t>Refugee - you were forced to flee your country because of conflict or natural disaster and you are now a refugee in your current place of residence</t>
  </si>
  <si>
    <t>Réfugié - vous avez été forcé de fuir votre pays en raison d'un conflit ou d'une catastrophe naturelle et vous êtes un réfugié dans votre lieu de résidence actuel</t>
  </si>
  <si>
    <t>asset_prod</t>
  </si>
  <si>
    <t>process</t>
  </si>
  <si>
    <t>Processing assets (e.g. grinding/crushing machine, mill, oil press, fish tanks)</t>
  </si>
  <si>
    <t>Actifs de transformation [par ex. broyeur, moulin, presse à huile, aquarium]</t>
  </si>
  <si>
    <t>farmmach</t>
  </si>
  <si>
    <t>Farm or fishing machinery (e.g. tractor, plough, sickle, boats, engines)</t>
  </si>
  <si>
    <t>Machine agricole ou de pêche [par ex. tracteur, charrue, faucille, bateaux, moteurs]</t>
  </si>
  <si>
    <t>sewing</t>
  </si>
  <si>
    <t>Sewing machine or weaving tool</t>
  </si>
  <si>
    <t>Machine à coudre ou métier à tisser</t>
  </si>
  <si>
    <t>taxi</t>
  </si>
  <si>
    <t>Taxi</t>
  </si>
  <si>
    <t>truck</t>
  </si>
  <si>
    <t>Truck</t>
  </si>
  <si>
    <t>Camion</t>
  </si>
  <si>
    <t>other</t>
  </si>
  <si>
    <t>Other productive machines or assets</t>
  </si>
  <si>
    <t>Autres machines ou actifs productifs</t>
  </si>
  <si>
    <t>none</t>
  </si>
  <si>
    <t>No productive machines or assets</t>
  </si>
  <si>
    <t>Aucune machine ou actif productif</t>
  </si>
  <si>
    <t>dk</t>
  </si>
  <si>
    <t>ref</t>
  </si>
  <si>
    <t>asset_transp</t>
  </si>
  <si>
    <t>bici</t>
  </si>
  <si>
    <t>Bicycle</t>
  </si>
  <si>
    <t>Bicyclette</t>
  </si>
  <si>
    <t>cart</t>
  </si>
  <si>
    <t>Cart (animal drawn)</t>
  </si>
  <si>
    <t>Chariot [tiré par un animal]</t>
  </si>
  <si>
    <t>boatmotor</t>
  </si>
  <si>
    <t>Boat with an engine [inboard or outboard]</t>
  </si>
  <si>
    <t>Bateau avec moteur [in-bord ou hors-bord]</t>
  </si>
  <si>
    <t>boatnomotor</t>
  </si>
  <si>
    <t>Unmotorized boat [e.g. canoe]</t>
  </si>
  <si>
    <t>Bateau non motorisé [par ex. canoë]</t>
  </si>
  <si>
    <t>motorbike</t>
  </si>
  <si>
    <t>Motorbike / scooter / auto rickshaw</t>
  </si>
  <si>
    <t>Moto/scooter/pousse-pousse</t>
  </si>
  <si>
    <t>car</t>
  </si>
  <si>
    <t>Car</t>
  </si>
  <si>
    <t>Voiture</t>
  </si>
  <si>
    <t>van</t>
  </si>
  <si>
    <t>Van or small truck</t>
  </si>
  <si>
    <t>Fourgonnette ou petit camion</t>
  </si>
  <si>
    <t>Other motor vehicle</t>
  </si>
  <si>
    <t>Autre véhicule motorisé</t>
  </si>
  <si>
    <t>None of the above</t>
  </si>
  <si>
    <t>Aucun des véhicules proposés</t>
  </si>
  <si>
    <t xml:space="preserve">  </t>
  </si>
  <si>
    <t>maritalstat</t>
  </si>
  <si>
    <t xml:space="preserve">Single / never married </t>
  </si>
  <si>
    <t xml:space="preserve">Célibataire / jamais marié </t>
  </si>
  <si>
    <t>Married</t>
  </si>
  <si>
    <t>Marié(e)</t>
  </si>
  <si>
    <t>Separated</t>
  </si>
  <si>
    <t>Séparé(e)</t>
  </si>
  <si>
    <t>Divorced</t>
  </si>
  <si>
    <t>Divorcé(e)</t>
  </si>
  <si>
    <t>Widowed</t>
  </si>
  <si>
    <t>Veuf ou veuve</t>
  </si>
  <si>
    <t>DON’T KNOW</t>
  </si>
  <si>
    <t xml:space="preserve">REFUSED </t>
  </si>
  <si>
    <t>agegroup</t>
  </si>
  <si>
    <t>Under 18</t>
  </si>
  <si>
    <t>Moins de 18 ans</t>
  </si>
  <si>
    <t>18 to 40</t>
  </si>
  <si>
    <t xml:space="preserve">18 à 40 ans </t>
  </si>
  <si>
    <t>41 to 65</t>
  </si>
  <si>
    <t>41 à 65 ans</t>
  </si>
  <si>
    <t>Over 65</t>
  </si>
  <si>
    <t>Plus de 65 ans</t>
  </si>
  <si>
    <t>incomesource1</t>
  </si>
  <si>
    <t>Production and sale of staple crops</t>
  </si>
  <si>
    <t>Production et vente de cultures vivrières</t>
  </si>
  <si>
    <t xml:space="preserve">Production and sale of vegetables or fruit </t>
  </si>
  <si>
    <t xml:space="preserve">Production et vente de légumes ou de fruits </t>
  </si>
  <si>
    <t>Production and sale of cashcrops</t>
  </si>
  <si>
    <t>Production et vente de cultures de rente</t>
  </si>
  <si>
    <t xml:space="preserve">Production and sale of livestock or livestock products </t>
  </si>
  <si>
    <t>Production et vente de bétail ou de produits animaux</t>
  </si>
  <si>
    <t>Production and sale of honey and bee products</t>
  </si>
  <si>
    <t>Production et vente de miel ou de produits apicoles</t>
  </si>
  <si>
    <t>Production and sale of fish or aquatic products</t>
  </si>
  <si>
    <t>Production et vente de poisson ou de produits aquatiques</t>
  </si>
  <si>
    <t>Collection and sale of natural resources (including forestry or bush products)</t>
  </si>
  <si>
    <t>Collecte et vente de produits forestiers ou de brousse</t>
  </si>
  <si>
    <t>Agricultural trade EXCLUDING producers (formal or informal)</t>
  </si>
  <si>
    <t>Commerce agricole EXCLUANT les producteurs [formel ou informel]</t>
  </si>
  <si>
    <t xml:space="preserve">Daily wage on farms and other casual employment in agricultural sector </t>
  </si>
  <si>
    <t>Salaire journalier dans une exploitation et autres emplois occasionnels dans le secteur agricole</t>
  </si>
  <si>
    <t xml:space="preserve">Stable employment in agricultural sector </t>
  </si>
  <si>
    <t xml:space="preserve">Emploi stable dans le secteur agricole </t>
  </si>
  <si>
    <t>Non-agricultural self-employed or liberal profession, doctor, architect, lawyer, including restaurant</t>
  </si>
  <si>
    <t>Indépendant non-agricole ou profession libérale / médecin / architecte / avocat / y compris restaurant</t>
  </si>
  <si>
    <t>Off-farm daily wages and other non-agricultural casual employment</t>
  </si>
  <si>
    <t>Salaire journalier hors exploitation et autres emplois occasionnels non agricoles</t>
  </si>
  <si>
    <t>Stable employment in non-agricultural sector</t>
  </si>
  <si>
    <t>Emploi stable dans le secteur non-agricole</t>
  </si>
  <si>
    <t xml:space="preserve">Public employment </t>
  </si>
  <si>
    <t xml:space="preserve">Emploi public </t>
  </si>
  <si>
    <t>Income not derived from work / Charity</t>
  </si>
  <si>
    <t>Revenu non tiré du travail / Charité</t>
  </si>
  <si>
    <t>Income not derived from work / Welfare transfer, pension, humanitarian aid</t>
  </si>
  <si>
    <t>Revenu non tiré du travail / Transferts sociaux, pension, aide humanitaire</t>
  </si>
  <si>
    <t>Income not derived from work / Remittances</t>
  </si>
  <si>
    <t>Revenu non tiré du travail / Envois de fonds des migrants</t>
  </si>
  <si>
    <t xml:space="preserve">Income not derived from work / Income from other rents                                                                                                                                              </t>
  </si>
  <si>
    <t>Revenu non tiré du travail / Revenu d'autres loyers</t>
  </si>
  <si>
    <t>No income source in the last 3 months and used exclusively savings / debts</t>
  </si>
  <si>
    <t>Aucune source de revenus au cours des trois derniers mois et recours exclusif à l'épargne / création de dettes</t>
  </si>
  <si>
    <t>gender_inc_1</t>
  </si>
  <si>
    <t>Joint (both male &amp; female)</t>
  </si>
  <si>
    <t>Mixte [homme et femme]</t>
  </si>
  <si>
    <t>gender_inc_2</t>
  </si>
  <si>
    <t>Male household member(s)</t>
  </si>
  <si>
    <t>Membre(s) masculin(s) du ménage</t>
  </si>
  <si>
    <t>Female household member(s)</t>
  </si>
  <si>
    <t>Membre(s) feminin(s) du ménage</t>
  </si>
  <si>
    <t>Joint household members (both female &amp; male)</t>
  </si>
  <si>
    <t>Membres du ménages conjointement (femme et homme)</t>
  </si>
  <si>
    <t>change</t>
  </si>
  <si>
    <t>A lot more [increased by more than 50%]</t>
  </si>
  <si>
    <t>Très supérieur [augmentation de plus de 50%]</t>
  </si>
  <si>
    <t>Slightly more</t>
  </si>
  <si>
    <t>Supérieur</t>
  </si>
  <si>
    <t>Same</t>
  </si>
  <si>
    <t>Identique</t>
  </si>
  <si>
    <t>Slightly less</t>
  </si>
  <si>
    <t>Inférieur</t>
  </si>
  <si>
    <t xml:space="preserve">A lot less [less than half as much] </t>
  </si>
  <si>
    <t>Très inférieur [moins de la moitié]</t>
  </si>
  <si>
    <t>incomesource2</t>
  </si>
  <si>
    <t>Production et vente de légumes ou de fruits</t>
  </si>
  <si>
    <t>Production et vente de bétail ou de produits du bétail</t>
  </si>
  <si>
    <t>Collecte et vente de ressources naturelles (y compris les produits forestiers ou de la brousse)</t>
  </si>
  <si>
    <t>Emploi stable dans le secteur agricole</t>
  </si>
  <si>
    <t>Indépendant non-agricole ou profession libérale, médecin, architecte, avocat, y compris restaurant</t>
  </si>
  <si>
    <t>Salaire journalier et autres emplois occasionnels non‑agricoles</t>
  </si>
  <si>
    <t>Emploi public</t>
  </si>
  <si>
    <t>Revenu non tiré du travail / Envoi de fonds des migrants</t>
  </si>
  <si>
    <t>Income not derived from work / Income from other rents</t>
  </si>
  <si>
    <t>No second most important source of income</t>
  </si>
  <si>
    <t xml:space="preserve">Pas de seconde source de revenu </t>
  </si>
  <si>
    <t>incomesource3</t>
  </si>
  <si>
    <t xml:space="preserve">Income not derived from work / Income from other rents                                </t>
  </si>
  <si>
    <t>No third most important source of income</t>
  </si>
  <si>
    <t>noshock</t>
  </si>
  <si>
    <t>No shock</t>
  </si>
  <si>
    <t>Aucun choc</t>
  </si>
  <si>
    <t>sicknessordeathofhh</t>
  </si>
  <si>
    <t>Sickness or accident or death of household member[s] [sickness of breadwinner / unusually high medical expenditure / funeral expenses / death of breadwinner]</t>
  </si>
  <si>
    <t>Maladie, accident ou décès d'un ou plusieurs membres du ménage [maladie du soutien de famille / dépenses médicales anormalement élevées / frais funéraires / décès du soutien de famille]</t>
  </si>
  <si>
    <t>lostemplorwork</t>
  </si>
  <si>
    <t>Lost employment or working opportunities [not due to illness/accident]</t>
  </si>
  <si>
    <t>Perte d'emploi ou d'opportunités de travail [non due à la maladie ou à un accident]</t>
  </si>
  <si>
    <t>otherintrahhshock</t>
  </si>
  <si>
    <t>Other intra-household shock</t>
  </si>
  <si>
    <t>Autre choc interne au ménage</t>
  </si>
  <si>
    <t>higherfoodprices</t>
  </si>
  <si>
    <t>Unusually high food prices</t>
  </si>
  <si>
    <t>Prix des denrées alimentaires anormalement élevés</t>
  </si>
  <si>
    <t>higherfuelprices</t>
  </si>
  <si>
    <t>Unusually high fuel prices or transport prices</t>
  </si>
  <si>
    <t>Prix des carburants ou des transports anormalement élevés</t>
  </si>
  <si>
    <t>mvtrestrict</t>
  </si>
  <si>
    <t>Population movement restrictions [e.g. due to epidemic or infrastructure damage]</t>
  </si>
  <si>
    <t>Restrictions de mouvements de population [par exemple, en raison d'une épidémie ou de dommages causés aux infrastructures]</t>
  </si>
  <si>
    <t>othereconomicshock</t>
  </si>
  <si>
    <t xml:space="preserve">Other economic shock </t>
  </si>
  <si>
    <t xml:space="preserve">Autre choc économique </t>
  </si>
  <si>
    <t>pestoutbreak</t>
  </si>
  <si>
    <t>Pest outbreak</t>
  </si>
  <si>
    <t>Invasion d'organismes nuisibles</t>
  </si>
  <si>
    <t>plantdisease</t>
  </si>
  <si>
    <t>Plant disease</t>
  </si>
  <si>
    <t>Maladie des plantes</t>
  </si>
  <si>
    <t>animaldisease</t>
  </si>
  <si>
    <t>Animal disease [affecting many animals] or death</t>
  </si>
  <si>
    <t>Maladie animale [touchant de nombreux animaux] ou mort d'animaux</t>
  </si>
  <si>
    <t>napasture</t>
  </si>
  <si>
    <t>Lack of physical access to pasture</t>
  </si>
  <si>
    <t>Accès difficile aux pâturages</t>
  </si>
  <si>
    <t>othercropandlivests</t>
  </si>
  <si>
    <t>Other crop and livestock shock</t>
  </si>
  <si>
    <t>Autre choc touchant les cultures et le bétail</t>
  </si>
  <si>
    <t>coldtemporhail</t>
  </si>
  <si>
    <t>Cold temperatures or hail</t>
  </si>
  <si>
    <t>Températures froides / grêle</t>
  </si>
  <si>
    <t>flood</t>
  </si>
  <si>
    <t>Flood / riverbank erosion</t>
  </si>
  <si>
    <t>Inondations / érosion des berges</t>
  </si>
  <si>
    <t>hurricane</t>
  </si>
  <si>
    <t>Hurricane / cyclone / tornado</t>
  </si>
  <si>
    <t>Ouragan / cyclone / tornade</t>
  </si>
  <si>
    <t>drought</t>
  </si>
  <si>
    <t>Drought / heat stress</t>
  </si>
  <si>
    <t>Sécheresse / stress dû à la chaleur</t>
  </si>
  <si>
    <t>earthquake</t>
  </si>
  <si>
    <t>Earthquake</t>
  </si>
  <si>
    <t>Tremblement de terre</t>
  </si>
  <si>
    <t>landslides</t>
  </si>
  <si>
    <t>Landslides</t>
  </si>
  <si>
    <t>Glissement de terrain</t>
  </si>
  <si>
    <t>firenatural</t>
  </si>
  <si>
    <t>Fire from natural disaster</t>
  </si>
  <si>
    <t>Incendie dû à une catastrophe naturelle</t>
  </si>
  <si>
    <t>othernathazard</t>
  </si>
  <si>
    <t>Other natural hazard</t>
  </si>
  <si>
    <t>Autre risque naturel</t>
  </si>
  <si>
    <t>violenceinsecconf</t>
  </si>
  <si>
    <t>Violence and insecurity / conflict</t>
  </si>
  <si>
    <t>Violence et insécurité / conflit</t>
  </si>
  <si>
    <t>theftofprodassets</t>
  </si>
  <si>
    <t>Theft of production assets [land / livestock / tools / etc]</t>
  </si>
  <si>
    <t>Vol d'actifs de production [terres/ bétail/ outils/ etc.]</t>
  </si>
  <si>
    <t>firemanmade</t>
  </si>
  <si>
    <t>Fire from man-made disaster</t>
  </si>
  <si>
    <t>Incendie dû à une catastrophe d'origine humaine</t>
  </si>
  <si>
    <t>othermanmadehazard</t>
  </si>
  <si>
    <t>Other human-induced hazard</t>
  </si>
  <si>
    <t>Autre risque d'origine humaine</t>
  </si>
  <si>
    <t>covidmeasures</t>
  </si>
  <si>
    <t>goodstransp</t>
  </si>
  <si>
    <t>Movement restrictions [sometimes producing product scarcity or price hikes]</t>
  </si>
  <si>
    <t>Restrictions de mouvement [entraînant parfois une raréfaction des produits ou une forte hausse des prix]</t>
  </si>
  <si>
    <t>marketclosed</t>
  </si>
  <si>
    <t>Closure of food markets or other businesses</t>
  </si>
  <si>
    <t>Fermeture des marchés alimentaires ou d'autres commerces</t>
  </si>
  <si>
    <t>borderclosed</t>
  </si>
  <si>
    <t>Closure of international borders [affecting the purchase of imported inputs or the sale of goods for export or transhumance]</t>
  </si>
  <si>
    <t>Fermeture des frontières internationales [ayant un impact sur l'achat d'intrants importés, la vente de marchandises exportées ou la transhumance]</t>
  </si>
  <si>
    <t>stayhome</t>
  </si>
  <si>
    <t>Stay at home order</t>
  </si>
  <si>
    <t>Ordre de confinement</t>
  </si>
  <si>
    <t>gatherings</t>
  </si>
  <si>
    <t>Ban on gatherings</t>
  </si>
  <si>
    <t>Interdiction des rassemblements</t>
  </si>
  <si>
    <t>processclosed</t>
  </si>
  <si>
    <t>Closure of food processors [slaughterhouse / dairy cooperatives / etc] or restaurants</t>
  </si>
  <si>
    <t>Fermeture des lieux de transformation des aliments (abattoirs, coopératives laitières, etc.) ou des restaurants</t>
  </si>
  <si>
    <t>curfew</t>
  </si>
  <si>
    <t>Curfews</t>
  </si>
  <si>
    <t>Couvre-feux</t>
  </si>
  <si>
    <t>school</t>
  </si>
  <si>
    <t>Closure of schools</t>
  </si>
  <si>
    <t>Fermeture d'écoles</t>
  </si>
  <si>
    <t>Other [specify]</t>
  </si>
  <si>
    <t>Autre [préciser]</t>
  </si>
  <si>
    <t>Not affected by restrictions</t>
  </si>
  <si>
    <t>Non touché par les restrictions</t>
  </si>
  <si>
    <t>landsize_unit</t>
  </si>
  <si>
    <t>Acres</t>
  </si>
  <si>
    <t>Hectares</t>
  </si>
  <si>
    <t>Square meters</t>
  </si>
  <si>
    <t>Mètres carrés</t>
  </si>
  <si>
    <t>Square feet</t>
  </si>
  <si>
    <t>Pieds carrés</t>
  </si>
  <si>
    <t>nan</t>
  </si>
  <si>
    <t>#local measurement units FR#</t>
  </si>
  <si>
    <t>cropcheck</t>
  </si>
  <si>
    <t xml:space="preserve">Don’t usually produce during this season </t>
  </si>
  <si>
    <t xml:space="preserve">Ne produit habituellement pas pendant cette saison </t>
  </si>
  <si>
    <t>Wasn't able to produce (e.g. due to difficulties)</t>
  </si>
  <si>
    <t>N'a pas été en mesure de produire (en raison de difficultés, par exemple)</t>
  </si>
  <si>
    <t>irrigation</t>
  </si>
  <si>
    <t>Rainfed</t>
  </si>
  <si>
    <t>Pluie</t>
  </si>
  <si>
    <t>Groundwater</t>
  </si>
  <si>
    <t>Eaux souterraines</t>
  </si>
  <si>
    <t>Natural surface water [river, lake, stream, pond, etc.]</t>
  </si>
  <si>
    <t>Eaux de surface naturelles [rivière / lac / ruisseau / étang / etc.]</t>
  </si>
  <si>
    <t>Constructed water point [canal, dam, etc.]</t>
  </si>
  <si>
    <t xml:space="preserve">Point d'eau artificiel [canal / barrage /etc.] </t>
  </si>
  <si>
    <t>Public water supply system [e.g. tap water]</t>
  </si>
  <si>
    <t>Système public d'approvisionnement en eau [par ex. eau du robinet]</t>
  </si>
  <si>
    <t>irrigpump</t>
  </si>
  <si>
    <t>No, everything works on gravity</t>
  </si>
  <si>
    <t>Non, tout fonctionne par gravité</t>
  </si>
  <si>
    <t>Yes, there is a communal diesel/gas pump</t>
  </si>
  <si>
    <t>Oui, une pompe commune diesel/gaz</t>
  </si>
  <si>
    <t>Yes, there is a communal manual pump</t>
  </si>
  <si>
    <t>Oui, une pompe manuelle commune</t>
  </si>
  <si>
    <t>Yes, there is a manual pump in my field</t>
  </si>
  <si>
    <t xml:space="preserve"> Oui, une pompe manuelle située dans mon champ</t>
  </si>
  <si>
    <t>Yes, there is a diesel pump in my field</t>
  </si>
  <si>
    <t>Oui, une pompe diesel située dans mon champ</t>
  </si>
  <si>
    <t>seedsupply</t>
  </si>
  <si>
    <t>ownprod</t>
  </si>
  <si>
    <t>Own production</t>
  </si>
  <si>
    <t>Propre production</t>
  </si>
  <si>
    <t>market</t>
  </si>
  <si>
    <t>Local market or agro-input shop / dealer</t>
  </si>
  <si>
    <t>Marché local ou magasin / négociant d'intrants agricoles</t>
  </si>
  <si>
    <t>company</t>
  </si>
  <si>
    <t>Private seed company</t>
  </si>
  <si>
    <t>Entreprises privées de semences</t>
  </si>
  <si>
    <t>ngo</t>
  </si>
  <si>
    <t>NGOs</t>
  </si>
  <si>
    <t>ONG</t>
  </si>
  <si>
    <t>organized_community</t>
  </si>
  <si>
    <t>Community seed banks / farmer networks / farmers' association / etc.</t>
  </si>
  <si>
    <t>Banques de semences communautaires / réseaux de cultivateurs / associations de cultivateurs / etc.</t>
  </si>
  <si>
    <t>gov</t>
  </si>
  <si>
    <t>Government [e.g. MoA]</t>
  </si>
  <si>
    <t>Gouvernement [par ex., ministère de l'Agriculture]</t>
  </si>
  <si>
    <t>relatives_friends</t>
  </si>
  <si>
    <t>Relatives or friends</t>
  </si>
  <si>
    <t xml:space="preserve">Famille ou amis </t>
  </si>
  <si>
    <t>Other</t>
  </si>
  <si>
    <t>Autre</t>
  </si>
  <si>
    <t>harv_unit</t>
  </si>
  <si>
    <t>Kilograms [kgs]</t>
  </si>
  <si>
    <t>Kilogrammes [kg]</t>
  </si>
  <si>
    <t>Tonnes</t>
  </si>
  <si>
    <t>Ounces</t>
  </si>
  <si>
    <t>Onces</t>
  </si>
  <si>
    <t>Pounds</t>
  </si>
  <si>
    <t>Livres</t>
  </si>
  <si>
    <t>Bags</t>
  </si>
  <si>
    <t>Sacs</t>
  </si>
  <si>
    <t>Boxes</t>
  </si>
  <si>
    <t>Boîtes</t>
  </si>
  <si>
    <t>Bundles</t>
  </si>
  <si>
    <t>Fagots</t>
  </si>
  <si>
    <t>Packets</t>
  </si>
  <si>
    <t>Paquets</t>
  </si>
  <si>
    <t>cropproddiff</t>
  </si>
  <si>
    <t>plant_disease</t>
  </si>
  <si>
    <t xml:space="preserve">Plant disease </t>
  </si>
  <si>
    <t>pest_outbreak</t>
  </si>
  <si>
    <t>Pest outbreak [including birds]</t>
  </si>
  <si>
    <t>Invasion d'organismes nuisibles [dont oiseaux]</t>
  </si>
  <si>
    <t>animal_grazing</t>
  </si>
  <si>
    <t>Uncontrolled animal grazing</t>
  </si>
  <si>
    <t>Pâturage incontrôlé d'animaux</t>
  </si>
  <si>
    <t>access_plot</t>
  </si>
  <si>
    <t>Access to plot</t>
  </si>
  <si>
    <t>Accès à la parcelle</t>
  </si>
  <si>
    <t>access_fertilize</t>
  </si>
  <si>
    <t>Access to fertilizer [not available on markets or prices too high]</t>
  </si>
  <si>
    <t>Accès aux engrais [non disponibles sur les marchés ou prix trop élevés]</t>
  </si>
  <si>
    <t>seed_quality</t>
  </si>
  <si>
    <t>Access to quality seeds</t>
  </si>
  <si>
    <t>Accès à des semences de qualité</t>
  </si>
  <si>
    <t>seed_quantity</t>
  </si>
  <si>
    <t>Access to enough seeds [not available on markets or prices too high]</t>
  </si>
  <si>
    <t>Accès à des semences en quantité suffisante [non disponibles sur les marchés ou prix trop élevés]</t>
  </si>
  <si>
    <t>access_pesticide</t>
  </si>
  <si>
    <t>Access to pesticides</t>
  </si>
  <si>
    <t>Accès aux pesticides</t>
  </si>
  <si>
    <t>access_labour</t>
  </si>
  <si>
    <t>Access to manpower labour</t>
  </si>
  <si>
    <t>Accès à la main-d'œuvre</t>
  </si>
  <si>
    <t>access_machinery</t>
  </si>
  <si>
    <t>Access to machinery, tools or animals for ploughing</t>
  </si>
  <si>
    <t>Accès aux machines, outils ou animaux pour labourer</t>
  </si>
  <si>
    <t>access_fuel</t>
  </si>
  <si>
    <t>Access to fuel or electricity to power agricultural equipment</t>
  </si>
  <si>
    <t>Accès au carburant ou à l'électricité pour alimenter les équipements agricoles</t>
  </si>
  <si>
    <t>soil_erosion</t>
  </si>
  <si>
    <t>Soil erosion</t>
  </si>
  <si>
    <t>Érosion des sols</t>
  </si>
  <si>
    <t>lack_irrigation</t>
  </si>
  <si>
    <t xml:space="preserve">Not enough irrigation or rainfall water </t>
  </si>
  <si>
    <t>Eau d'irrigation ou pluie insuffisante</t>
  </si>
  <si>
    <t>excess_water</t>
  </si>
  <si>
    <t>Too much irrigation or water</t>
  </si>
  <si>
    <t>Eau d'irrigation ou pluie trop abondante</t>
  </si>
  <si>
    <t>access_credit</t>
  </si>
  <si>
    <t>Access to credit</t>
  </si>
  <si>
    <t>Accès au crédit</t>
  </si>
  <si>
    <t>storage</t>
  </si>
  <si>
    <t>None</t>
  </si>
  <si>
    <t>Aucune</t>
  </si>
  <si>
    <t>A little</t>
  </si>
  <si>
    <t>Une petite part</t>
  </si>
  <si>
    <t>An important part of it, but less than half</t>
  </si>
  <si>
    <t>Une part importante, mais moins de la moitié</t>
  </si>
  <si>
    <t>Most of it [half or more]</t>
  </si>
  <si>
    <t>Une grande part [la moitié ou plus]</t>
  </si>
  <si>
    <t>Almost everything</t>
  </si>
  <si>
    <t>La presque totalité</t>
  </si>
  <si>
    <t>Everything</t>
  </si>
  <si>
    <t>La totalité</t>
  </si>
  <si>
    <t>cropsalesdiff</t>
  </si>
  <si>
    <t>marketing_cost</t>
  </si>
  <si>
    <t>High transportation or other marketing costs</t>
  </si>
  <si>
    <t>Coûts de transport ou autres coûts de commercialisation élevés</t>
  </si>
  <si>
    <t>damage_losses</t>
  </si>
  <si>
    <t>Damages and losses due to storage difficulties and/or difficulty accessing the market [e.g. insecurity, poor infrastructure, etc.]</t>
  </si>
  <si>
    <t>Dommages et pertes dus à des difficultés de stockage et/ou d'accès au marché [par exemple, insécurité, mauvaises infrastructures, etc.]</t>
  </si>
  <si>
    <t>low_demand</t>
  </si>
  <si>
    <t xml:space="preserve">Lack of demand from usual traders or buyers </t>
  </si>
  <si>
    <t>Baisse de la demande des commerçants ou clients habituels</t>
  </si>
  <si>
    <t>pay_delay</t>
  </si>
  <si>
    <t>Payment delays from traders / buyers</t>
  </si>
  <si>
    <t>Retards de paiement de la part des négociants/acheteurs</t>
  </si>
  <si>
    <t>low_price</t>
  </si>
  <si>
    <t>Low selling prices [e.g. compared to input prices / inflation]</t>
  </si>
  <si>
    <t xml:space="preserve">Faible prix de vente [par exemple, par rapport aux prix des intrants / inflation] </t>
  </si>
  <si>
    <t>processing</t>
  </si>
  <si>
    <t>Difficulty processing product [lack of processing inputs / equipment / etc]</t>
  </si>
  <si>
    <t>Difficulté de transformation de la production [manque d'intrants / d'équipements de transformation / etc.]</t>
  </si>
  <si>
    <t>competition</t>
  </si>
  <si>
    <t>Market flooded with products</t>
  </si>
  <si>
    <t>Marchés saturés</t>
  </si>
  <si>
    <t>Cattle [cow / beef / veal / yak / buffalo]</t>
  </si>
  <si>
    <t>Bovins [vache / bœuf / veau / yak / buffle]</t>
  </si>
  <si>
    <t>Goat</t>
  </si>
  <si>
    <t>Chèvres</t>
  </si>
  <si>
    <t>Sheep</t>
  </si>
  <si>
    <t>Moutons</t>
  </si>
  <si>
    <t>Swine [swine / boar / hog / etc]</t>
  </si>
  <si>
    <t>Porcins [cochon / sanglier / porc / etc.]</t>
  </si>
  <si>
    <t>Equine [donkey / horse / etc]</t>
  </si>
  <si>
    <t>Équidés [âne / cheval / etc]</t>
  </si>
  <si>
    <t>Small domesticated mammals [rabbits / minks / guinea pigs / etc]</t>
  </si>
  <si>
    <t>Petits mammifères domestiques [lapins / visons / cochons d'Inde / etc.]</t>
  </si>
  <si>
    <t>Poultry [chicken / guineafowl / duck / quail / turkey / etc]</t>
  </si>
  <si>
    <t>Volaille [poulets / pintades / canards / cailles / dindes / etc.]</t>
  </si>
  <si>
    <t>Camelids</t>
  </si>
  <si>
    <t>Camélidés</t>
  </si>
  <si>
    <t>lsnum</t>
  </si>
  <si>
    <t>no_change</t>
  </si>
  <si>
    <t>No significant change in livestock number</t>
  </si>
  <si>
    <t>Pas de changement significatif du nombre de têtes de bétail</t>
  </si>
  <si>
    <t>inc_less_sales</t>
  </si>
  <si>
    <t>Did not sell as many</t>
  </si>
  <si>
    <t>Diminution des ventes</t>
  </si>
  <si>
    <t>inc_more_birth</t>
  </si>
  <si>
    <t>Many more were born</t>
  </si>
  <si>
    <t>Davantage de naissances</t>
  </si>
  <si>
    <t>inc_more_acquired</t>
  </si>
  <si>
    <t>Purchased or bartered more animals this year</t>
  </si>
  <si>
    <t>Davantage d'animaux achetés ou troqués cette année</t>
  </si>
  <si>
    <t>inc_received_free</t>
  </si>
  <si>
    <t>Received animals for free [restocking, gift]</t>
  </si>
  <si>
    <t>Animaux reçus gratuitement [réapprovisionnement / cadeau]</t>
  </si>
  <si>
    <t>dec_poor_health</t>
  </si>
  <si>
    <t>Animal death due to malnutrition, drought, lack of feed</t>
  </si>
  <si>
    <t xml:space="preserve">Mort d'animaux due à la malnutrition, à la sécheresse, au manque de nourriture </t>
  </si>
  <si>
    <t>dec_death</t>
  </si>
  <si>
    <t>Animal death due to other factors [e.g. diseases, parasites, injury]</t>
  </si>
  <si>
    <t>Mort d'animaux due à d'autres facteurs [par ex. maladies, parasites, blessures]</t>
  </si>
  <si>
    <t>dec_sales_good_price</t>
  </si>
  <si>
    <t>Sold more than usual because of good prices</t>
  </si>
  <si>
    <t>Davantage de ventes en raison de bons prix</t>
  </si>
  <si>
    <t>dec_sales_distress</t>
  </si>
  <si>
    <t>Sold more than usual because of distress sales [unable to feed animal, need money urgently for household basic needs even if sales were unsustainable]</t>
  </si>
  <si>
    <t>Davantage de ventes en raison de ventes de détresse [incapacité à nourrir l'animal / besoin urgent d'argent pour les besoins de base du ménage même si les ventes ne sont pas durables]</t>
  </si>
  <si>
    <t>dec_escape_stolen</t>
  </si>
  <si>
    <t>Animal escaped or was lost or stolen</t>
  </si>
  <si>
    <t>Animaux échappés, perdus ou volés</t>
  </si>
  <si>
    <t>dec_consumed</t>
  </si>
  <si>
    <t>Killed or gave away more animals than usual for household consumption or celebrations [marriage, funerals, etc]</t>
  </si>
  <si>
    <t>Davantage d'animaux abattus ou donnés pour la consommation du ménage ou pour des cérémonies [mariage / funérailles / etc.]</t>
  </si>
  <si>
    <t>inc_dec_other</t>
  </si>
  <si>
    <t>inc_dec_dk</t>
  </si>
  <si>
    <t>inc_dec_ref</t>
  </si>
  <si>
    <t>lsfood</t>
  </si>
  <si>
    <t>open_pasture</t>
  </si>
  <si>
    <t>Open pasture</t>
  </si>
  <si>
    <t>Pâturages ouverts</t>
  </si>
  <si>
    <t>common_pasture</t>
  </si>
  <si>
    <t>Community-managed pasture land</t>
  </si>
  <si>
    <t>Pâturages gérés par la communauté</t>
  </si>
  <si>
    <t>self_produced</t>
  </si>
  <si>
    <t>Owned or rented field or self-produced fodder</t>
  </si>
  <si>
    <t>Champ possédé ou loué, ou fourrage auto-produit</t>
  </si>
  <si>
    <t>purchased</t>
  </si>
  <si>
    <t>Purchase feed or fodder at the market</t>
  </si>
  <si>
    <t>Achat d'aliments/fourrage sur les marchés</t>
  </si>
  <si>
    <t>free_dist</t>
  </si>
  <si>
    <t>Free distribution</t>
  </si>
  <si>
    <t xml:space="preserve">Distributions gratuites </t>
  </si>
  <si>
    <t xml:space="preserve">Other </t>
  </si>
  <si>
    <t>lsproddiff</t>
  </si>
  <si>
    <t>feed_purchase</t>
  </si>
  <si>
    <t>Difficulty to purchase feed [prices or access to market]</t>
  </si>
  <si>
    <t>Difficulté à acheter des aliments pour animaux [prix ou accès au marché]</t>
  </si>
  <si>
    <t>access_pasture</t>
  </si>
  <si>
    <t>Access to pasture</t>
  </si>
  <si>
    <t>Accès aux pâturages</t>
  </si>
  <si>
    <t>access_water</t>
  </si>
  <si>
    <t>Access to water</t>
  </si>
  <si>
    <t>Accès à l'eau</t>
  </si>
  <si>
    <t>vet_serv</t>
  </si>
  <si>
    <t>Access to veterinary services [vaccinations, treatments, spraying, advisory etc]</t>
  </si>
  <si>
    <t>Accès aux services vétérinaires [vaccins / traitements / pulvérisations / conseils / etc.]</t>
  </si>
  <si>
    <t>vet_input</t>
  </si>
  <si>
    <t>Access to veterinary inputs [medicine for animals / tools for animal health / etc]</t>
  </si>
  <si>
    <t>Accès aux intrants vétérinaires [médicaments pour animaux / outils pour la santé animale / etc.]</t>
  </si>
  <si>
    <t>diseases</t>
  </si>
  <si>
    <t>Livestock diseases or injury</t>
  </si>
  <si>
    <t>Maladies ou blessures du bétail</t>
  </si>
  <si>
    <t>theft</t>
  </si>
  <si>
    <t>Livestock theft</t>
  </si>
  <si>
    <t>Vol de bétail</t>
  </si>
  <si>
    <t>access_market</t>
  </si>
  <si>
    <t>Access to livestock market to buy young animals</t>
  </si>
  <si>
    <t>Accès aux marchés de bétail pour acheter de jeunes animaux</t>
  </si>
  <si>
    <t>lsmain2</t>
  </si>
  <si>
    <t>No other livestock</t>
  </si>
  <si>
    <t>Pas d'autre bétail</t>
  </si>
  <si>
    <t>salesmain</t>
  </si>
  <si>
    <t>Equine [donkey / horse / etc.]</t>
  </si>
  <si>
    <t>Poultry [chicken / guineafowl / duck / quail / turkey / etc.]</t>
  </si>
  <si>
    <t>Eggs</t>
  </si>
  <si>
    <t>Œufs</t>
  </si>
  <si>
    <t>Milk or dairy products</t>
  </si>
  <si>
    <t>Lait ou produits laitiers</t>
  </si>
  <si>
    <t>Skin or leather or wool</t>
  </si>
  <si>
    <t>Peau, cuir ou laine</t>
  </si>
  <si>
    <t>lssalesdif</t>
  </si>
  <si>
    <t xml:space="preserve">Damage and losses during transportation or difficulty accessing the market </t>
  </si>
  <si>
    <t>Dommages et pertes pendant le transport ou difficulté d'accès au marché</t>
  </si>
  <si>
    <t>Lack of demand from usual traders or buyers</t>
  </si>
  <si>
    <t>Faibles prix de vente [par exemple, par rapport aux prix des intrants / inflation]</t>
  </si>
  <si>
    <t>slaughterhouse</t>
  </si>
  <si>
    <t>Closure of slaughterhouses or difficulties accessing slaughterhouses</t>
  </si>
  <si>
    <t>Fermeture des abattoirs ou difficultés d'accès aux abattoirs</t>
  </si>
  <si>
    <t>Difficulties processing product other than closure of slaughterhouse [lack of access to processing inputs / equipment / etc]</t>
  </si>
  <si>
    <t>Difficultés de transformation du produit autres que la fermeture des abattoirs [manque d'accès aux intrants de transformation / aux équipements / etc.]</t>
  </si>
  <si>
    <t>fishactivity</t>
  </si>
  <si>
    <t>coastal</t>
  </si>
  <si>
    <t>Near coastal, delta, lagoon fishing</t>
  </si>
  <si>
    <t>Pêche côtière, dans les deltas ou les lagunes</t>
  </si>
  <si>
    <t>offshore_sea</t>
  </si>
  <si>
    <t>Offshore sea fishing</t>
  </si>
  <si>
    <t>Pêche en haute mer</t>
  </si>
  <si>
    <t>freshwater</t>
  </si>
  <si>
    <t>Freshwater fishing [in lakes, reservoirs, ponds, rivers, or wetlands]</t>
  </si>
  <si>
    <t>Pêche en eau douce [lacs, réservoirs, étangs, rivières ou zones humides]</t>
  </si>
  <si>
    <t>aquaculture</t>
  </si>
  <si>
    <t>Aquaculture</t>
  </si>
  <si>
    <t>fishproddiff</t>
  </si>
  <si>
    <t>find_fish</t>
  </si>
  <si>
    <t>Fish is more difficult to find than in previous years in the same season [fishing]</t>
  </si>
  <si>
    <t>Le poisson est plus difficile à trouver que les années précédentes à la même saison [pêche]</t>
  </si>
  <si>
    <t>pests</t>
  </si>
  <si>
    <t>Fish pests and diseases [aquaculture]</t>
  </si>
  <si>
    <t>Parasites et maladies des poissons [aquaculture]</t>
  </si>
  <si>
    <t>access_area</t>
  </si>
  <si>
    <t>Access to fishing or aquaculture area [e.g. due to weather conditions]</t>
  </si>
  <si>
    <t>Accès aux zones de pêche ou d'aquaculture [par exemple, en raison des conditions météorologiques ou sécuritaires].</t>
  </si>
  <si>
    <t>fuel</t>
  </si>
  <si>
    <t>Access to fuel [prices higher or not available]</t>
  </si>
  <si>
    <t>Accès au carburant [trop cher ou non disponible]</t>
  </si>
  <si>
    <t>input_access</t>
  </si>
  <si>
    <t>Access to other fishing or culture inputs [prices higher or not available]</t>
  </si>
  <si>
    <t>Accès à d'autres intrants de pêche ou de culture [trop chers ou non disponibles]</t>
  </si>
  <si>
    <t>labour</t>
  </si>
  <si>
    <t>Access to labour or crew labour [prices higher or not available]</t>
  </si>
  <si>
    <t>Accès à la main-d'œuvre ou aux équipages [trop chers ou non disponibles]</t>
  </si>
  <si>
    <t>infrastructure</t>
  </si>
  <si>
    <t>Damage or destruction of infrastructure [ponds, cages, ports, landing sites]</t>
  </si>
  <si>
    <t>Dommages ou destruction des infrastructures [étangs, cages, ports, sites de débarquement]</t>
  </si>
  <si>
    <t>damage_equip</t>
  </si>
  <si>
    <t>Damage or destruction of boats or gears</t>
  </si>
  <si>
    <t>Dommages ou destruction des bateaux ou du matériel de pêche</t>
  </si>
  <si>
    <t>Autre [spécifiez]</t>
  </si>
  <si>
    <t>fishinput</t>
  </si>
  <si>
    <t>bait_feed</t>
  </si>
  <si>
    <t>Feed or bait</t>
  </si>
  <si>
    <t>Aliments ou appâts</t>
  </si>
  <si>
    <t>fingerling</t>
  </si>
  <si>
    <t>Fingerling</t>
  </si>
  <si>
    <t>Alevins</t>
  </si>
  <si>
    <t>gear</t>
  </si>
  <si>
    <t>Fishing gear [e.g. rods, hooks, nets]</t>
  </si>
  <si>
    <t>Matériel de pêche [par exemple, cannes à pêche, hameçons, filets]</t>
  </si>
  <si>
    <t>ice</t>
  </si>
  <si>
    <t>Ice</t>
  </si>
  <si>
    <t>Glace</t>
  </si>
  <si>
    <t>Fuel</t>
  </si>
  <si>
    <t>Carburant</t>
  </si>
  <si>
    <t>boatrepairs</t>
  </si>
  <si>
    <t>Equipment repairs [including boats] or spare parts</t>
  </si>
  <si>
    <t>Réparation de l'équipement [y compris bateaux] ou pièces de rechange</t>
  </si>
  <si>
    <t>Labour</t>
  </si>
  <si>
    <t>Main d'oeuvre</t>
  </si>
  <si>
    <t>fishsales</t>
  </si>
  <si>
    <t>Fresh product [any kind, including invertebrates]</t>
  </si>
  <si>
    <t>Produit frais [toutes sortes, y compris invertébrés]</t>
  </si>
  <si>
    <t>Preserved product [including dry, smoked, fermented, salted]</t>
  </si>
  <si>
    <t>Produit conservé [y compris poisson séché, fumé, fermenté, salé]</t>
  </si>
  <si>
    <t>Frozen product</t>
  </si>
  <si>
    <t>Produit congelé</t>
  </si>
  <si>
    <t>Canned product</t>
  </si>
  <si>
    <t>Produit en conserve</t>
  </si>
  <si>
    <t>7)REFUSED</t>
  </si>
  <si>
    <t>fishsalesdif</t>
  </si>
  <si>
    <t>Deterioration and losses due to storage difficulties or delays or inability to physically access markets</t>
  </si>
  <si>
    <t>Dommages et pertes dues à des difficultés ou des retards de stockage ou à l'impossibilité d'accéder physiquement aux marchés</t>
  </si>
  <si>
    <t>Lack of demand from usual buyers/traders</t>
  </si>
  <si>
    <t>Baisse de la demande des commerçants/clients habituels</t>
  </si>
  <si>
    <t xml:space="preserve">Payment delays from traders/buyers </t>
  </si>
  <si>
    <t>low_prices</t>
  </si>
  <si>
    <t>Difficulties processing product [lack of access to processing inputs / equipment / etc]</t>
  </si>
  <si>
    <t>Difficultés de transformation du produit [manque d'accès aux intrants de transformation / équipements / etc.]</t>
  </si>
  <si>
    <t>Market flooded with product</t>
  </si>
  <si>
    <t>frequency</t>
  </si>
  <si>
    <t>Rarely (1-2 times in the past 30 days)</t>
  </si>
  <si>
    <t>Rarement [1 ou 2 fois au cours des 30 derniers jours]</t>
  </si>
  <si>
    <t>Sometimes (3-10 times in the past 30 days)</t>
  </si>
  <si>
    <t>Parfois [entre 3 et 10 fois au cours des 30 derniers jours]</t>
  </si>
  <si>
    <t>Often (more than 10 times in the last 30 days)</t>
  </si>
  <si>
    <t>Souvent [plus de 10 fois au cours des 30 derniers jours]</t>
  </si>
  <si>
    <t xml:space="preserve">DON'T KNOW </t>
  </si>
  <si>
    <t>coping</t>
  </si>
  <si>
    <t>No - because it wasn’t necessary</t>
  </si>
  <si>
    <t>Non - parce que ce n'était pas nécessaire</t>
  </si>
  <si>
    <t>No - because you already sold those assets or did this activity within the last 12 months and you cannot continue to do it</t>
  </si>
  <si>
    <t>Non - parce que vous avez déjà vendu ces biens ou réalisé cette activité au cours des 12 derniers mois et que vous ne pouvez pas continuer à le faire</t>
  </si>
  <si>
    <t>Not applicable</t>
  </si>
  <si>
    <t>Non applicable</t>
  </si>
  <si>
    <t>cereals</t>
  </si>
  <si>
    <t>Cereals [sorghum / millet / corn / wheat / rice / spaghetti / bread or insert any other locally available grain]</t>
  </si>
  <si>
    <t>Céréales [sorgho / millet / maïs / blé / riz / spaghettis / pain ou toute autre céréale disponible localement]</t>
  </si>
  <si>
    <t>rootstubers</t>
  </si>
  <si>
    <t>Roots and tubers [white sweet potato / potato / yam / cassava or other tubers]</t>
  </si>
  <si>
    <t>Racines et tubercules [patate douce blanche / pomme de terre / igname / manioc ou autres tubercules]</t>
  </si>
  <si>
    <t>vegetables</t>
  </si>
  <si>
    <t>Vegetables [all]</t>
  </si>
  <si>
    <t>Légumes [tous]</t>
  </si>
  <si>
    <t>fruits</t>
  </si>
  <si>
    <t>Fruit [all]</t>
  </si>
  <si>
    <t>Fruits [tous]</t>
  </si>
  <si>
    <t>meat</t>
  </si>
  <si>
    <t>Meat, poultry and offal [beef / pork / lamb /goat / rabbit / wild game / chicken / duck or other birds / liver / kidney / heart / or other organ meats]</t>
  </si>
  <si>
    <t>Viande/ volaille et abats [bœuf / porc / agneau / chèvre/ lapin / gibier / poulet / canard / foie / rein / cœur ou autres abats]</t>
  </si>
  <si>
    <t>eggs</t>
  </si>
  <si>
    <t>fish</t>
  </si>
  <si>
    <t>Fish or shellfish [fresh or dried fish / other seafood]</t>
  </si>
  <si>
    <t>Poissons ou crustacés [poissons frais ou séchés / crustacés]</t>
  </si>
  <si>
    <t>legumes</t>
  </si>
  <si>
    <t>Legumes, nuts and seeds [beans / peas / peanut / lentils / almond / and/or other nuts]</t>
  </si>
  <si>
    <t>Légumineuses, fruits à coque et graines [haricots / pois / arachides / lentilles / amandes et/ou autres fruits à coque]</t>
  </si>
  <si>
    <t>milkdairy</t>
  </si>
  <si>
    <t>Milk and other dairy products [fresh milk / sour / yogurt / cheese / other dairy products]</t>
  </si>
  <si>
    <t>Lait et autres produits laitiers [lait frais / lait caillé / yaourt / fromage / autres produits laitiers]</t>
  </si>
  <si>
    <t>oils</t>
  </si>
  <si>
    <t>Oil/fat / butter [cooking / butter / margarine / fat/oil / other oil]</t>
  </si>
  <si>
    <t>Huiles et graisses [cuisson / beurre / margarine / graisse / huile / autres huiles]</t>
  </si>
  <si>
    <t>sugar</t>
  </si>
  <si>
    <t>Sugar or sugary products [honey / jam / donuts / candy / biscuits / pastries / cakes and other sweet products]</t>
  </si>
  <si>
    <t>Sucre ou produits sucrés [miel / confiture / beignets / bonbons / chocolat / biscuits / pâtisseries / gâteaux et autres produits sucrés]</t>
  </si>
  <si>
    <t>condiments</t>
  </si>
  <si>
    <t>Condiments [cocoa /salt / garlic / spices / yeast or baking powder / tomato or tomato sauce / meat or fish as a condiment] / coffee / tea</t>
  </si>
  <si>
    <t>Condiments [cacao / sel / ail / épices / levure / levure chimique / tomate ou sauce tomate / viande ou poisson comme condiment] et café / thé</t>
  </si>
  <si>
    <t>needs</t>
  </si>
  <si>
    <t>food</t>
  </si>
  <si>
    <t>Food</t>
  </si>
  <si>
    <t>Nourriture</t>
  </si>
  <si>
    <t>cash</t>
  </si>
  <si>
    <t>Cash</t>
  </si>
  <si>
    <t>Argent liquide</t>
  </si>
  <si>
    <t>vouchers_fair</t>
  </si>
  <si>
    <t>Vouchers or input trade fairs</t>
  </si>
  <si>
    <t>Bons d'achat ou foire aux intrants</t>
  </si>
  <si>
    <t>crop_inputs</t>
  </si>
  <si>
    <t>Inputs for crop and/or vegetable production [e.g. seeds, fertilizer, tools]</t>
  </si>
  <si>
    <t>Intrants pour la production végétale et/ou de légumes [par exemple, semences, engrais, outils]</t>
  </si>
  <si>
    <t>crop_infrastructure</t>
  </si>
  <si>
    <t>Infrastructure for crop and/or vegetable production [e.g. irrigation, canal rehabilitation, pumps]</t>
  </si>
  <si>
    <t>Infrastructures pour la production végétale et/ou de légumes [par exemple, irrigation, réhabilitation de canaux, pompes]</t>
  </si>
  <si>
    <t>crop_knowledge</t>
  </si>
  <si>
    <t>Training &amp; technical knowledge/advice for crop production</t>
  </si>
  <si>
    <t>Formations et conseils techniques pour la production végétale</t>
  </si>
  <si>
    <t>ls_feed</t>
  </si>
  <si>
    <t>Livestock feed [fodder or supplementary feed]</t>
  </si>
  <si>
    <t>Aliments pour le bétail [fourrage ou aliments complémentaires]</t>
  </si>
  <si>
    <t>ls_vet_service</t>
  </si>
  <si>
    <t>Veterinary services [e.g. vaccination, dips, deworming]</t>
  </si>
  <si>
    <t>Services vétérinaires [par exemple, vaccination, bain antiparasitaire, vermifuges]</t>
  </si>
  <si>
    <t>ls_infrastructure</t>
  </si>
  <si>
    <t>Infrastructure for livestock [e.g. water points, transhumance corridors, shelter, health points]</t>
  </si>
  <si>
    <t>Infrastructures pour le bétail [par exemple, points d'eau, couloirs de transhumance, abris, points santé]</t>
  </si>
  <si>
    <t>ls_knowledge</t>
  </si>
  <si>
    <t>Training &amp; technical knowledge/advice for livestock production</t>
  </si>
  <si>
    <t>Formations et conseils techniques pour la production animale</t>
  </si>
  <si>
    <t>fish_inputs</t>
  </si>
  <si>
    <t>Inputs for fishing or aquaculture production</t>
  </si>
  <si>
    <t>Intrants pour la production de poissons ou l'aquaculture</t>
  </si>
  <si>
    <t>fish_infrastructure</t>
  </si>
  <si>
    <t>Infrastructure for fisheries or aquaculture production [e.g. rehabilitation of port; repair of ponds]</t>
  </si>
  <si>
    <t>Infrastructures pour la pêche ou l'aquaculture [par exemple, réhabilitation du port, réaménagement des étangs]</t>
  </si>
  <si>
    <t>fish_knowledge</t>
  </si>
  <si>
    <t>Training &amp; technical knowledge/advice for fisheries or aquaculture production</t>
  </si>
  <si>
    <t>Formations et conseils techniques pour la pêche ou l'aquaculture</t>
  </si>
  <si>
    <t>env_infra_rehab</t>
  </si>
  <si>
    <t>Environmental or infrastructure rehabilitation [community-wide]</t>
  </si>
  <si>
    <t>Réhabilitation de l'environnement ou des infrastructures [à l'échelle de la communauté]</t>
  </si>
  <si>
    <t>cold_storage</t>
  </si>
  <si>
    <t>Cold storage</t>
  </si>
  <si>
    <t>Stockage réfrigéré</t>
  </si>
  <si>
    <t>marketing_supp</t>
  </si>
  <si>
    <t>Marketing or sales support [e.g. public procurement]</t>
  </si>
  <si>
    <t>Soutien à la commercialisation ou aux ventes [par exemple, passation de marchés publics]</t>
  </si>
  <si>
    <t>needreceived</t>
  </si>
  <si>
    <t xml:space="preserve">Cash </t>
  </si>
  <si>
    <t xml:space="preserve">Argent liquide </t>
  </si>
  <si>
    <t>Vouchers/input trade fairs</t>
  </si>
  <si>
    <t>Bons d'achat/foires aux intrants</t>
  </si>
  <si>
    <t>crop_assist</t>
  </si>
  <si>
    <t>Crop and/or vegetable production assistance</t>
  </si>
  <si>
    <t>Soutien à la production végétale et/ou de légumes</t>
  </si>
  <si>
    <t>ls_assist</t>
  </si>
  <si>
    <t>Livestock assistance</t>
  </si>
  <si>
    <t>Soutien à l'élevage</t>
  </si>
  <si>
    <t>fish_assist</t>
  </si>
  <si>
    <t>Fisheries and/or aquaculture assistance</t>
  </si>
  <si>
    <t>Soutien à la pêche et/ou à l'aquaculture</t>
  </si>
  <si>
    <t>rehabilitation</t>
  </si>
  <si>
    <t>sales_support</t>
  </si>
  <si>
    <t>Soutien à la commercialisation ou à la vente [par exemple, passation de marchés publics]</t>
  </si>
  <si>
    <t>No assistance received</t>
  </si>
  <si>
    <t>Aucune aide reçue</t>
  </si>
  <si>
    <t>assist_quality</t>
  </si>
  <si>
    <t>No - not received on time</t>
  </si>
  <si>
    <t>Non - pas reçue à temps</t>
  </si>
  <si>
    <t>No - did not meet my needs</t>
  </si>
  <si>
    <t>Non - n'a pas répondu à mes besoins</t>
  </si>
  <si>
    <t>No - quantity was not sufficient</t>
  </si>
  <si>
    <t>Non - la quantité n'était pas suffisante</t>
  </si>
  <si>
    <t>No - there was a problem with the provider</t>
  </si>
  <si>
    <t>Non - il y avait un problème avec le fournisseur</t>
  </si>
  <si>
    <t>No - there was a malfunction of the in-kind assistance provided [e.g. poor quality tools]</t>
  </si>
  <si>
    <t>Non - il y a eu un dysfonctionnement de l'aide en nature fournie [par exemple, des outils de mauvaise qualité]</t>
  </si>
  <si>
    <t>provider</t>
  </si>
  <si>
    <t>fao</t>
  </si>
  <si>
    <t>FAO</t>
  </si>
  <si>
    <t>wfp</t>
  </si>
  <si>
    <t>WFP</t>
  </si>
  <si>
    <t>PAM</t>
  </si>
  <si>
    <t>otherun</t>
  </si>
  <si>
    <t>Other UN agencies</t>
  </si>
  <si>
    <t>Autres agences des Nations Unies</t>
  </si>
  <si>
    <t>Government</t>
  </si>
  <si>
    <t>Gouvernment</t>
  </si>
  <si>
    <t>Non-governmental/local organization</t>
  </si>
  <si>
    <t>Organisation non-gouvernmentale/locale</t>
  </si>
  <si>
    <t>week</t>
  </si>
  <si>
    <t>mon</t>
  </si>
  <si>
    <t>Monday</t>
  </si>
  <si>
    <t>Lundi</t>
  </si>
  <si>
    <t>tues</t>
  </si>
  <si>
    <t>Tuesday</t>
  </si>
  <si>
    <t>Mardi</t>
  </si>
  <si>
    <t>wed</t>
  </si>
  <si>
    <t>Wednesday</t>
  </si>
  <si>
    <t>Mercredi</t>
  </si>
  <si>
    <t>thurs</t>
  </si>
  <si>
    <t>Thursday</t>
  </si>
  <si>
    <t>Jeudi</t>
  </si>
  <si>
    <t>fri</t>
  </si>
  <si>
    <t>Friday</t>
  </si>
  <si>
    <t>Vendredi</t>
  </si>
  <si>
    <t>sat</t>
  </si>
  <si>
    <t>Saturday</t>
  </si>
  <si>
    <t>Samedi</t>
  </si>
  <si>
    <t>sun</t>
  </si>
  <si>
    <t>Sunday</t>
  </si>
  <si>
    <t>Dimanche</t>
  </si>
  <si>
    <t>morn</t>
  </si>
  <si>
    <t>Mornings</t>
  </si>
  <si>
    <t>Le matin</t>
  </si>
  <si>
    <t>aft</t>
  </si>
  <si>
    <t>Afternoons</t>
  </si>
  <si>
    <t>L'après-midi</t>
  </si>
  <si>
    <t>eve</t>
  </si>
  <si>
    <t>Evenings</t>
  </si>
  <si>
    <t>Le soir</t>
  </si>
  <si>
    <t>crop</t>
  </si>
  <si>
    <t>1.1</t>
  </si>
  <si>
    <t>Rice</t>
  </si>
  <si>
    <t>Riz</t>
  </si>
  <si>
    <t>1.2</t>
  </si>
  <si>
    <t>Wheat</t>
  </si>
  <si>
    <t>Blé</t>
  </si>
  <si>
    <t>1.3</t>
  </si>
  <si>
    <t>Millet</t>
  </si>
  <si>
    <t>Mil</t>
  </si>
  <si>
    <t>1.4</t>
  </si>
  <si>
    <t>Sorghum</t>
  </si>
  <si>
    <t>Sorgho</t>
  </si>
  <si>
    <t>1.5</t>
  </si>
  <si>
    <t>Maize</t>
  </si>
  <si>
    <t>Maïs</t>
  </si>
  <si>
    <t>2.2</t>
  </si>
  <si>
    <t>Potatoe</t>
  </si>
  <si>
    <t>Pommes de terre</t>
  </si>
  <si>
    <t>3.1</t>
  </si>
  <si>
    <t>Beans</t>
  </si>
  <si>
    <t>Haricots</t>
  </si>
  <si>
    <t>4.1</t>
  </si>
  <si>
    <t>Cabbage</t>
  </si>
  <si>
    <t>Choux</t>
  </si>
  <si>
    <t>5.1</t>
  </si>
  <si>
    <t>Tomatoes</t>
  </si>
  <si>
    <t>Tomates</t>
  </si>
  <si>
    <t>5.8</t>
  </si>
  <si>
    <t>Onions</t>
  </si>
  <si>
    <t>Oignons</t>
  </si>
  <si>
    <t>5.9</t>
  </si>
  <si>
    <t>Haricot</t>
  </si>
  <si>
    <t xml:space="preserve">Haricot </t>
  </si>
  <si>
    <t>7.8</t>
  </si>
  <si>
    <t>Water Melon</t>
  </si>
  <si>
    <t>Pastèques</t>
  </si>
  <si>
    <t>8.2</t>
  </si>
  <si>
    <t>Groundnut/peanut</t>
  </si>
  <si>
    <t>Arachide / cacahuète</t>
  </si>
  <si>
    <t>10.1</t>
  </si>
  <si>
    <t>Cotton</t>
  </si>
  <si>
    <t>Coton</t>
  </si>
  <si>
    <t>1.6</t>
  </si>
  <si>
    <t>Barley</t>
  </si>
  <si>
    <t>Orge</t>
  </si>
  <si>
    <t>1.99</t>
  </si>
  <si>
    <t>Other Cereal</t>
  </si>
  <si>
    <t>Autres céréales</t>
  </si>
  <si>
    <t>2.1</t>
  </si>
  <si>
    <t>Cassava</t>
  </si>
  <si>
    <t>Manioc</t>
  </si>
  <si>
    <t>2.3</t>
  </si>
  <si>
    <t>Sweet Potatoes</t>
  </si>
  <si>
    <t>Patates douces</t>
  </si>
  <si>
    <t>2.4</t>
  </si>
  <si>
    <t>Yams</t>
  </si>
  <si>
    <t>Ignames</t>
  </si>
  <si>
    <t>2.5</t>
  </si>
  <si>
    <t>Carrots</t>
  </si>
  <si>
    <t>Carottes</t>
  </si>
  <si>
    <t>2.6</t>
  </si>
  <si>
    <t>Cocoyam</t>
  </si>
  <si>
    <t>Chou caraïbe</t>
  </si>
  <si>
    <t>2.99</t>
  </si>
  <si>
    <t>Other tubers</t>
  </si>
  <si>
    <t>Autres tubercules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</si>
  <si>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</si>
  <si>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</si>
  <si>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</si>
  <si>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</si>
  <si>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</si>
  <si>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</si>
  <si>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</si>
  <si>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</si>
  <si>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</si>
  <si>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</si>
  <si>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</si>
  <si>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</si>
  <si>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</si>
  <si>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</si>
  <si>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</si>
  <si>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</si>
  <si>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</si>
  <si>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</si>
  <si>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</si>
  <si>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</si>
  <si>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</si>
  <si>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4.101</t>
  </si>
  <si>
    <t>Cauliflower</t>
  </si>
  <si>
    <t>Choux-fleur</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</si>
  <si>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</si>
  <si>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</si>
  <si>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</si>
  <si>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</si>
  <si>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</si>
  <si>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</si>
  <si>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</si>
  <si>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</si>
  <si>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</si>
  <si>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</si>
  <si>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</si>
  <si>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</si>
  <si>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</si>
  <si>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</si>
  <si>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</si>
  <si>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</si>
  <si>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</si>
  <si>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</si>
  <si>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</si>
  <si>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</si>
  <si>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4.99</t>
  </si>
  <si>
    <t>Other leafy vegetables</t>
  </si>
  <si>
    <t>Autres légumes à feuilles</t>
  </si>
  <si>
    <t>5.101</t>
  </si>
  <si>
    <t>Green peas</t>
  </si>
  <si>
    <t>Petit pois</t>
  </si>
  <si>
    <t>5.11</t>
  </si>
  <si>
    <t>Fava beans green</t>
  </si>
  <si>
    <t>Pois fève</t>
  </si>
  <si>
    <t>5.2</t>
  </si>
  <si>
    <t>Cucumber</t>
  </si>
  <si>
    <t>Concombre</t>
  </si>
  <si>
    <t>5.3</t>
  </si>
  <si>
    <t>Pumpkin</t>
  </si>
  <si>
    <t>Citrouille</t>
  </si>
  <si>
    <t>5.4</t>
  </si>
  <si>
    <t>Eggplant/aubergine</t>
  </si>
  <si>
    <t>Aubergines/aubergines</t>
  </si>
  <si>
    <t>5.5</t>
  </si>
  <si>
    <t>Zucchini</t>
  </si>
  <si>
    <t>Courgettes</t>
  </si>
  <si>
    <t>5.6</t>
  </si>
  <si>
    <t>Okra</t>
  </si>
  <si>
    <t>5.7</t>
  </si>
  <si>
    <t>Bell pepper</t>
  </si>
  <si>
    <t>Poivron</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</si>
  <si>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</si>
  <si>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</si>
  <si>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</si>
  <si>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</si>
  <si>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</si>
  <si>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</si>
  <si>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</si>
  <si>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</si>
  <si>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</si>
  <si>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</si>
  <si>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</si>
  <si>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</si>
  <si>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</si>
  <si>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</si>
  <si>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</si>
  <si>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</si>
  <si>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</si>
  <si>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</si>
  <si>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</si>
  <si>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</si>
  <si>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</si>
  <si>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</si>
  <si>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</si>
  <si>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</si>
  <si>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</si>
  <si>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</si>
  <si>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</si>
  <si>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</si>
  <si>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</si>
  <si>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</si>
  <si>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</si>
  <si>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</si>
  <si>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</si>
  <si>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</si>
  <si>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</si>
  <si>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</si>
  <si>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</si>
  <si>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</si>
  <si>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</si>
  <si>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</si>
  <si>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</si>
  <si>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</si>
  <si>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</si>
  <si>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</si>
  <si>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</si>
  <si>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</si>
  <si>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7.2</t>
  </si>
  <si>
    <t>Plantains</t>
  </si>
  <si>
    <t>Banane plantain</t>
  </si>
  <si>
    <t>7.3</t>
  </si>
  <si>
    <t>Papaya</t>
  </si>
  <si>
    <t>Papaye</t>
  </si>
  <si>
    <t>7.4</t>
  </si>
  <si>
    <t>Mango</t>
  </si>
  <si>
    <t>Mangue</t>
  </si>
  <si>
    <t>7.5</t>
  </si>
  <si>
    <t>Guava</t>
  </si>
  <si>
    <t>Goyave</t>
  </si>
  <si>
    <t>7.6</t>
  </si>
  <si>
    <t>Pineapple</t>
  </si>
  <si>
    <t>Ananas</t>
  </si>
  <si>
    <t>7.7</t>
  </si>
  <si>
    <t>Avocado</t>
  </si>
  <si>
    <t>Avocat</t>
  </si>
  <si>
    <t>7.9</t>
  </si>
  <si>
    <t>Dates</t>
  </si>
  <si>
    <t>Dattes</t>
  </si>
  <si>
    <t>7.99</t>
  </si>
  <si>
    <t>Other fruit</t>
  </si>
  <si>
    <t>Autres fruits</t>
  </si>
  <si>
    <t>8.1</t>
  </si>
  <si>
    <t>Coconuts</t>
  </si>
  <si>
    <t>Noix de coco</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</si>
  <si>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</si>
  <si>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</si>
  <si>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</si>
  <si>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</si>
  <si>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</si>
  <si>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</si>
  <si>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</si>
  <si>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</si>
  <si>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</si>
  <si>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</si>
  <si>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</si>
  <si>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</si>
  <si>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</si>
  <si>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</si>
  <si>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</si>
  <si>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</si>
  <si>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</si>
  <si>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</si>
  <si>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</si>
  <si>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</si>
  <si>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</si>
  <si>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</si>
  <si>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</si>
  <si>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</si>
  <si>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</si>
  <si>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</si>
  <si>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</si>
  <si>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</si>
  <si>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</si>
  <si>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</si>
  <si>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</si>
  <si>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</si>
  <si>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</si>
  <si>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</si>
  <si>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</si>
  <si>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</si>
  <si>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</si>
  <si>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</si>
  <si>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</si>
  <si>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</si>
  <si>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</si>
  <si>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</si>
  <si>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</si>
  <si>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</si>
  <si>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</si>
  <si>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</si>
  <si>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</si>
  <si>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</si>
  <si>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</si>
  <si>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</si>
  <si>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</si>
  <si>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</si>
  <si>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</si>
  <si>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</si>
  <si>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</si>
  <si>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777</t>
  </si>
  <si>
    <t>No crop production</t>
  </si>
  <si>
    <t>Pas de production végétale</t>
  </si>
  <si>
    <t>888</t>
  </si>
  <si>
    <t>Don't know</t>
  </si>
  <si>
    <t>Je ne sais pas</t>
  </si>
  <si>
    <t>999</t>
  </si>
  <si>
    <t>Refused</t>
  </si>
  <si>
    <t>Refusé</t>
  </si>
  <si>
    <t>crop2</t>
  </si>
  <si>
    <t>666</t>
  </si>
  <si>
    <t>No other crop</t>
  </si>
  <si>
    <t>Aucune autre culture</t>
  </si>
  <si>
    <t>crop3</t>
  </si>
  <si>
    <t>admin1</t>
  </si>
  <si>
    <t>admin2</t>
  </si>
  <si>
    <t>ML0101</t>
  </si>
  <si>
    <t>Bafoulabe</t>
  </si>
  <si>
    <t>ML0102</t>
  </si>
  <si>
    <t>Diéma</t>
  </si>
  <si>
    <t>ML0103</t>
  </si>
  <si>
    <t>ML0104</t>
  </si>
  <si>
    <t>Kéniéba</t>
  </si>
  <si>
    <t>ML0105</t>
  </si>
  <si>
    <t>Kita</t>
  </si>
  <si>
    <t>ML0106</t>
  </si>
  <si>
    <t>Nioro</t>
  </si>
  <si>
    <t>ML0107</t>
  </si>
  <si>
    <t>Yélimané</t>
  </si>
  <si>
    <t>ML0201</t>
  </si>
  <si>
    <t>Banamba</t>
  </si>
  <si>
    <t>ML0202</t>
  </si>
  <si>
    <t>Dioila</t>
  </si>
  <si>
    <t>ML0203</t>
  </si>
  <si>
    <t>Kangaba</t>
  </si>
  <si>
    <t>ML0204</t>
  </si>
  <si>
    <t>Kati</t>
  </si>
  <si>
    <t>ML0205</t>
  </si>
  <si>
    <t>Kolokani</t>
  </si>
  <si>
    <t>ML0206</t>
  </si>
  <si>
    <t>ML0207</t>
  </si>
  <si>
    <t>Nara</t>
  </si>
  <si>
    <t>ML0301</t>
  </si>
  <si>
    <t>Bougouni</t>
  </si>
  <si>
    <t>ML0302</t>
  </si>
  <si>
    <t>Kadiolo</t>
  </si>
  <si>
    <t>ML0303</t>
  </si>
  <si>
    <t>Kolondieba</t>
  </si>
  <si>
    <t>ML0304</t>
  </si>
  <si>
    <t>Koutiala</t>
  </si>
  <si>
    <t>ML0305</t>
  </si>
  <si>
    <t>ML0306</t>
  </si>
  <si>
    <t>Yanfolila</t>
  </si>
  <si>
    <t>ML0307</t>
  </si>
  <si>
    <t>Yorosso</t>
  </si>
  <si>
    <t>ML0401</t>
  </si>
  <si>
    <t>Baraouéli</t>
  </si>
  <si>
    <t>ML0402</t>
  </si>
  <si>
    <t>Bla</t>
  </si>
  <si>
    <t>ML0403</t>
  </si>
  <si>
    <t>Macina</t>
  </si>
  <si>
    <t>ML0404</t>
  </si>
  <si>
    <t>Niono</t>
  </si>
  <si>
    <t>ML0405</t>
  </si>
  <si>
    <t>San</t>
  </si>
  <si>
    <t>ML0406</t>
  </si>
  <si>
    <t>ML0407</t>
  </si>
  <si>
    <t>Tominian</t>
  </si>
  <si>
    <t>ML0501</t>
  </si>
  <si>
    <t>Bandiagara</t>
  </si>
  <si>
    <t>ML0502</t>
  </si>
  <si>
    <t>Bankass</t>
  </si>
  <si>
    <t>ML0503</t>
  </si>
  <si>
    <t>Djenné</t>
  </si>
  <si>
    <t>ML0504</t>
  </si>
  <si>
    <t>Douentza</t>
  </si>
  <si>
    <t>ML0505</t>
  </si>
  <si>
    <t>Koro</t>
  </si>
  <si>
    <t>ML0506</t>
  </si>
  <si>
    <t>ML0507</t>
  </si>
  <si>
    <t>Ténenkou</t>
  </si>
  <si>
    <t>ML0508</t>
  </si>
  <si>
    <t>Youwarou</t>
  </si>
  <si>
    <t>ML0601</t>
  </si>
  <si>
    <t>Diré</t>
  </si>
  <si>
    <t>ML0602</t>
  </si>
  <si>
    <t>Goundam</t>
  </si>
  <si>
    <t>ML0603</t>
  </si>
  <si>
    <t>Gourma-Rharous</t>
  </si>
  <si>
    <t>ML0604</t>
  </si>
  <si>
    <t>Niafunké</t>
  </si>
  <si>
    <t>ML0605</t>
  </si>
  <si>
    <t>ML0701</t>
  </si>
  <si>
    <t>Ansongo</t>
  </si>
  <si>
    <t>ML0702</t>
  </si>
  <si>
    <t>Bourem</t>
  </si>
  <si>
    <t>ML0703</t>
  </si>
  <si>
    <t>ML0801</t>
  </si>
  <si>
    <t>Abeibara</t>
  </si>
  <si>
    <t>ML0802</t>
  </si>
  <si>
    <t>ML0803</t>
  </si>
  <si>
    <t>Tessalit</t>
  </si>
  <si>
    <t>ML0804</t>
  </si>
  <si>
    <t>Tin-Essako</t>
  </si>
  <si>
    <t>ML0901</t>
  </si>
  <si>
    <t>ML1001</t>
  </si>
  <si>
    <t>Ménaka</t>
  </si>
  <si>
    <t>ML1002</t>
  </si>
  <si>
    <t>Anderamboukane</t>
  </si>
  <si>
    <t>ML1003</t>
  </si>
  <si>
    <t>Inekar</t>
  </si>
  <si>
    <t>ML1004</t>
  </si>
  <si>
    <t>Tidermene</t>
  </si>
  <si>
    <t>version</t>
  </si>
  <si>
    <t>default_language</t>
  </si>
  <si>
    <t>allow_choice_duplicates</t>
  </si>
  <si>
    <t>style</t>
  </si>
  <si>
    <t>vM6cWXyHNhR3djPbARkHWi</t>
  </si>
  <si>
    <t>French (fr)</t>
  </si>
  <si>
    <t>theme-grid no-text-transform</t>
  </si>
  <si>
    <t xml:space="preserve">Select top 10 crops </t>
  </si>
  <si>
    <t>Dataset code</t>
  </si>
  <si>
    <t>Label (EN)</t>
  </si>
  <si>
    <t>Label (FR)</t>
  </si>
  <si>
    <t>x</t>
  </si>
  <si>
    <t>Original</t>
  </si>
  <si>
    <t>Replacement (FR)</t>
  </si>
  <si>
    <t>Replacement (EN)</t>
  </si>
  <si>
    <t>Comment (FR)</t>
  </si>
  <si>
    <t>Comment (EN)</t>
  </si>
  <si>
    <t>Exemple (FR)</t>
  </si>
  <si>
    <t>Example(EN)</t>
  </si>
  <si>
    <t>FOR CORE QUESTIONS    .
(Mandatory to fill out)    .</t>
  </si>
  <si>
    <t>phone number</t>
  </si>
  <si>
    <t>50000000</t>
  </si>
  <si>
    <t>Tapez un numéro de téléphone dans le format typique du pays, par exemple 77******* [veuillez écrire le nombre exact de chiffres qu'il y a dans un numéro de téléphone].</t>
  </si>
  <si>
    <t>Type a phone number from your country in typical format, e.g. 77******* [please use exactly the number of characters that are found in a phone number].</t>
  </si>
  <si>
    <t>070******</t>
  </si>
  <si>
    <t>age</t>
  </si>
  <si>
    <t>Âge minimum du répondant (nous recommandons 18 ans)</t>
  </si>
  <si>
    <t>Minimum age of respondent (recommend 18 years old)</t>
  </si>
  <si>
    <t>ADMIN1</t>
  </si>
  <si>
    <t>Region</t>
  </si>
  <si>
    <t>La première subdivision du pays, après le niveau national ; par exemple, région ; province ; gouvernorat ; etc. Un seul mot doit être saisi - Ne pas inclure d'espaces.</t>
  </si>
  <si>
    <t>The first subdivision of the country, after national level; region; province; governorate; etc. Only one word should be inputted - Do not include spaces.</t>
  </si>
  <si>
    <t>region</t>
  </si>
  <si>
    <t>ADMIN2</t>
  </si>
  <si>
    <t>cercle</t>
  </si>
  <si>
    <t>La deuxième subdivision du pays ; par exemple, district, municipalité, LGA, etc. Un seul mot doit être saisi - Ne pas inclure d'espaces.</t>
  </si>
  <si>
    <t>The second subdivision of the country; district; municipality; LGA; etc. Only one word should be inputted - Do not include spaces.</t>
  </si>
  <si>
    <t>district</t>
  </si>
  <si>
    <t>reference year</t>
  </si>
  <si>
    <t>une année normale</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</si>
  <si>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</si>
  <si>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</si>
  <si>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</si>
  <si>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</si>
  <si>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saison des pluies</t>
  </si>
  <si>
    <t>rainy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</si>
  <si>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</si>
  <si>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</si>
  <si>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</si>
  <si>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</si>
  <si>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t>Post-récolte</t>
  </si>
  <si>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</si>
  <si>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</si>
  <si>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Récolte</t>
  </si>
  <si>
    <t>Harvesting</t>
  </si>
  <si>
    <t>local measurement unit</t>
  </si>
  <si>
    <t xml:space="preserve">Indiquez l'unité utilisée localement pour mesurer la taille des terrains, autre que les acres, les hectares, les mètres carrés et les pieds carrés. Si aucune autre unité de mesure n'est nécessaire, garder cette cellule vide. </t>
  </si>
  <si>
    <t xml:space="preserve">Specify the local measurement unit for land size, other than acres, hectares, square meters and square feet. If no other unit of measurement is needed, keep this cell blank. </t>
  </si>
  <si>
    <t>Jeribs</t>
  </si>
  <si>
    <t>local measurement unit conversion</t>
  </si>
  <si>
    <t xml:space="preserve">Indiquez la conversion de l'unité de mesure locale en hectares. En d'autres termes, indiquez combien d'unités de mesure locales y a-t-il dans 1 ha. </t>
  </si>
  <si>
    <t xml:space="preserve">Include the conversion of the local measurement unit to hectares. In other words, how many local measurement units are in 1 ha. </t>
  </si>
  <si>
    <t>FOR OPTIONAL QUESTIONS    .
(Fill out if applicable)    .</t>
  </si>
  <si>
    <t>currency</t>
  </si>
  <si>
    <t>CFA</t>
  </si>
  <si>
    <t xml:space="preserve">Nom de la principale devise utilisée au niveau national; par exemple, USD; Naira; Rial; Pesos; etc. </t>
  </si>
  <si>
    <t xml:space="preserve">The name of the main currency used nationally; USD; Naira; Rial; Pesos; etc. </t>
  </si>
  <si>
    <t>Naira</t>
  </si>
  <si>
    <t>MIN AMOUNT</t>
  </si>
  <si>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</si>
  <si>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</si>
  <si>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</si>
  <si>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</si>
  <si>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</si>
  <si>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</si>
  <si>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Tomates, Concombre, Poivron</t>
  </si>
  <si>
    <t>Tomatoes, Cucumber, Pepper</t>
  </si>
  <si>
    <t>Saisissez quelques légumes locaux courants [à utiliser comme exemples dans l'indicateur de score de consommation alimentaire].</t>
  </si>
  <si>
    <t>Input some common local vegetables [to be used as examples in the food consumption score indicator].</t>
  </si>
  <si>
    <t>aubergines, courgettes, choux-fleurs</t>
  </si>
  <si>
    <t>eggplants, zucchini, cauliflower</t>
  </si>
  <si>
    <t>local fruits</t>
  </si>
  <si>
    <t>Orange, Mangues</t>
  </si>
  <si>
    <t>Orange, Mango</t>
  </si>
  <si>
    <t>Indiquez quelques fruits locaux courants [à utiliser comme exemples dans l'indicateur de score de consommation alimentaire].</t>
  </si>
  <si>
    <t>Input some common local fruits [to be used as examples in the food consumption score indicator].</t>
  </si>
  <si>
    <t>pommes, bananes, oranges</t>
  </si>
  <si>
    <t>apples, bananas, oranges</t>
  </si>
  <si>
    <t>FILL OUT FOR QUESTIONNAIRE DURATION ESTIMATION    .</t>
  </si>
  <si>
    <t>Expected percentage of respondents cultivating crops</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</si>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</sst>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0"/>
      <color rgb="FF000000"/>
      <name val="Arial"/>
      <family val="2"/>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i/>
      <sz val="11"/>
      <color rgb="FF000000"/>
      <name val="Calibri"/>
      <family val="2"/>
    </font>
    <font>
      <b/>
      <sz val="11"/>
      <color rgb="FF7030A0"/>
      <name val="Calibri"/>
      <family val="2"/>
      <scheme val="minor"/>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i/>
      <sz val="11"/>
      <color theme="0" tint="-0.34998626667073579"/>
      <name val="Calibri"/>
      <family val="2"/>
    </font>
    <font>
      <i/>
      <sz val="11"/>
      <color theme="0" tint="-0.34998626667073579"/>
      <name val="Calibri (Body)"/>
    </font>
    <font>
      <b/>
      <sz val="11"/>
      <color theme="0" tint="-0.34998626667073579"/>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60">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
      <left style="thin">
        <color auto="1"/>
      </left>
      <right/>
      <top style="thin">
        <color auto="1"/>
      </top>
      <bottom style="medium">
        <color indexed="64"/>
      </bottom>
      <diagonal/>
    </border>
  </borders>
  <cellStyleXfs count="30">
    <xf numFmtId="0" fontId="0" fillId="0" borderId="0"/>
    <xf numFmtId="0" fontId="5" fillId="0" borderId="0"/>
    <xf numFmtId="0" fontId="8" fillId="0" borderId="0"/>
    <xf numFmtId="0" fontId="13" fillId="0" borderId="0"/>
    <xf numFmtId="0" fontId="5" fillId="0" borderId="0"/>
    <xf numFmtId="0" fontId="5" fillId="0" borderId="0"/>
    <xf numFmtId="0" fontId="17" fillId="4" borderId="14"/>
    <xf numFmtId="9" fontId="8" fillId="0" borderId="0"/>
    <xf numFmtId="0" fontId="5" fillId="0" borderId="0"/>
    <xf numFmtId="0" fontId="5" fillId="0" borderId="0"/>
    <xf numFmtId="0" fontId="5" fillId="0" borderId="0"/>
    <xf numFmtId="0" fontId="5" fillId="0" borderId="0"/>
    <xf numFmtId="0" fontId="8" fillId="0" borderId="0"/>
    <xf numFmtId="0" fontId="5" fillId="0" borderId="0"/>
    <xf numFmtId="0" fontId="8" fillId="0" borderId="0"/>
    <xf numFmtId="0" fontId="5" fillId="0" borderId="0"/>
    <xf numFmtId="0" fontId="8" fillId="0" borderId="0"/>
    <xf numFmtId="0" fontId="5" fillId="0" borderId="0"/>
    <xf numFmtId="0" fontId="5" fillId="0" borderId="0"/>
    <xf numFmtId="0" fontId="5" fillId="0" borderId="0"/>
    <xf numFmtId="0" fontId="5" fillId="0" borderId="0"/>
    <xf numFmtId="0" fontId="17" fillId="4" borderId="14"/>
    <xf numFmtId="9"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cellStyleXfs>
  <cellXfs count="294">
    <xf numFmtId="0" fontId="0" fillId="0" borderId="0" xfId="0"/>
    <xf numFmtId="0" fontId="7" fillId="2" borderId="0" xfId="0" applyFont="1" applyFill="1" applyProtection="1">
      <protection locked="0"/>
    </xf>
    <xf numFmtId="0" fontId="7" fillId="0" borderId="0" xfId="0" applyFont="1" applyProtection="1">
      <protection locked="0"/>
    </xf>
    <xf numFmtId="0" fontId="0" fillId="0" borderId="0" xfId="0" applyProtection="1">
      <protection locked="0"/>
    </xf>
    <xf numFmtId="0" fontId="0" fillId="2" borderId="0" xfId="0" applyFill="1" applyProtection="1">
      <protection locked="0"/>
    </xf>
    <xf numFmtId="0" fontId="9" fillId="2" borderId="0" xfId="0" applyFont="1" applyFill="1" applyProtection="1">
      <protection locked="0"/>
    </xf>
    <xf numFmtId="0" fontId="7" fillId="0" borderId="0" xfId="0" applyFont="1"/>
    <xf numFmtId="0" fontId="12" fillId="2" borderId="0" xfId="0" applyFont="1" applyFill="1" applyProtection="1">
      <protection locked="0"/>
    </xf>
    <xf numFmtId="0" fontId="6" fillId="2" borderId="0" xfId="0" applyFont="1" applyFill="1" applyProtection="1">
      <protection locked="0"/>
    </xf>
    <xf numFmtId="0" fontId="18" fillId="2" borderId="7" xfId="6" applyFont="1" applyFill="1" applyBorder="1" applyAlignment="1" applyProtection="1">
      <alignment horizontal="center" vertical="center"/>
      <protection locked="0"/>
    </xf>
    <xf numFmtId="0" fontId="11" fillId="0" borderId="0" xfId="0" applyFont="1" applyProtection="1">
      <protection locked="0"/>
    </xf>
    <xf numFmtId="0" fontId="12" fillId="0" borderId="0" xfId="0" applyFont="1" applyProtection="1">
      <protection locked="0"/>
    </xf>
    <xf numFmtId="0" fontId="6" fillId="0" borderId="0" xfId="0" applyFont="1" applyProtection="1">
      <protection locked="0"/>
    </xf>
    <xf numFmtId="0" fontId="10" fillId="0" borderId="0" xfId="0" applyFont="1"/>
    <xf numFmtId="0" fontId="10" fillId="0" borderId="0" xfId="0" applyFont="1" applyProtection="1">
      <protection locked="0"/>
    </xf>
    <xf numFmtId="0" fontId="9" fillId="0" borderId="0" xfId="0" applyFont="1" applyProtection="1">
      <protection locked="0"/>
    </xf>
    <xf numFmtId="0" fontId="10" fillId="2" borderId="0" xfId="0" applyFont="1" applyFill="1" applyProtection="1">
      <protection locked="0"/>
    </xf>
    <xf numFmtId="0" fontId="9" fillId="0" borderId="0" xfId="0" applyFont="1"/>
    <xf numFmtId="0" fontId="11" fillId="0" borderId="0" xfId="0" applyFont="1"/>
    <xf numFmtId="0" fontId="3" fillId="0" borderId="2" xfId="10" applyFont="1" applyBorder="1"/>
    <xf numFmtId="0" fontId="3" fillId="0" borderId="13" xfId="10" applyFont="1" applyBorder="1"/>
    <xf numFmtId="0" fontId="3" fillId="0" borderId="6" xfId="10" applyFont="1" applyBorder="1"/>
    <xf numFmtId="0" fontId="3" fillId="0" borderId="23" xfId="10" applyFont="1" applyBorder="1"/>
    <xf numFmtId="0" fontId="15" fillId="0" borderId="28" xfId="10" applyFont="1" applyBorder="1" applyAlignment="1">
      <alignment horizontal="center" vertical="center" wrapText="1"/>
    </xf>
    <xf numFmtId="0" fontId="15" fillId="0" borderId="35" xfId="10" applyFont="1" applyBorder="1" applyAlignment="1">
      <alignment vertical="center" wrapText="1"/>
    </xf>
    <xf numFmtId="0" fontId="15" fillId="0" borderId="19" xfId="10" applyFont="1" applyBorder="1" applyAlignment="1">
      <alignment vertical="center" wrapText="1"/>
    </xf>
    <xf numFmtId="0" fontId="15" fillId="0" borderId="30" xfId="10" applyFont="1" applyBorder="1" applyAlignment="1">
      <alignment vertical="center" wrapText="1"/>
    </xf>
    <xf numFmtId="0" fontId="3" fillId="0" borderId="3" xfId="10" applyFont="1" applyBorder="1"/>
    <xf numFmtId="0" fontId="3" fillId="3" borderId="7" xfId="10" applyFont="1" applyFill="1" applyBorder="1" applyAlignment="1" applyProtection="1">
      <alignment horizontal="center" vertical="center"/>
      <protection locked="0"/>
    </xf>
    <xf numFmtId="0" fontId="3" fillId="3" borderId="4" xfId="10" applyFont="1" applyFill="1" applyBorder="1" applyAlignment="1" applyProtection="1">
      <alignment horizontal="center" vertical="center"/>
      <protection locked="0"/>
    </xf>
    <xf numFmtId="0" fontId="14" fillId="0" borderId="10" xfId="5" applyFont="1" applyBorder="1" applyAlignment="1">
      <alignment horizontal="left" vertical="center"/>
    </xf>
    <xf numFmtId="0" fontId="14" fillId="0" borderId="38" xfId="10" applyFont="1" applyBorder="1" applyAlignment="1">
      <alignment horizontal="left" vertical="center"/>
    </xf>
    <xf numFmtId="0" fontId="14" fillId="0" borderId="37" xfId="10" applyFont="1" applyBorder="1" applyAlignment="1">
      <alignment horizontal="left" vertical="center"/>
    </xf>
    <xf numFmtId="0" fontId="14" fillId="0" borderId="10" xfId="10" applyFont="1" applyBorder="1" applyAlignment="1">
      <alignment horizontal="left" vertical="center"/>
    </xf>
    <xf numFmtId="0" fontId="20" fillId="0" borderId="8" xfId="10" applyFont="1" applyBorder="1" applyAlignment="1">
      <alignment horizontal="center" vertical="center" wrapText="1"/>
    </xf>
    <xf numFmtId="0" fontId="20" fillId="0" borderId="5" xfId="10" applyFont="1" applyBorder="1" applyAlignment="1">
      <alignment horizontal="center" vertical="center" wrapText="1"/>
    </xf>
    <xf numFmtId="0" fontId="19" fillId="0" borderId="39" xfId="0" applyFont="1" applyBorder="1" applyAlignment="1" applyProtection="1">
      <alignment horizontal="center" vertical="center" wrapText="1"/>
      <protection locked="0"/>
    </xf>
    <xf numFmtId="0" fontId="3" fillId="0" borderId="40" xfId="10" applyFont="1" applyBorder="1"/>
    <xf numFmtId="0" fontId="3" fillId="0" borderId="13" xfId="10" applyFont="1" applyBorder="1" applyAlignment="1">
      <alignment vertical="center"/>
    </xf>
    <xf numFmtId="0" fontId="16" fillId="0" borderId="26" xfId="10" applyFont="1" applyBorder="1" applyAlignment="1">
      <alignment horizontal="center" vertical="center"/>
    </xf>
    <xf numFmtId="0" fontId="14" fillId="0" borderId="31" xfId="10" applyFont="1" applyBorder="1" applyAlignment="1">
      <alignment vertical="center" wrapText="1"/>
    </xf>
    <xf numFmtId="0" fontId="3" fillId="0" borderId="3" xfId="10" applyFont="1" applyBorder="1" applyAlignment="1">
      <alignment vertical="center"/>
    </xf>
    <xf numFmtId="0" fontId="3"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9" fillId="0" borderId="0" xfId="0" applyFont="1" applyAlignment="1" applyProtection="1">
      <alignment vertical="top" wrapText="1"/>
      <protection locked="0"/>
    </xf>
    <xf numFmtId="0" fontId="14" fillId="0" borderId="15" xfId="5" applyFont="1" applyBorder="1" applyAlignment="1">
      <alignment horizontal="left" vertical="center" wrapText="1"/>
    </xf>
    <xf numFmtId="0" fontId="20" fillId="0" borderId="15" xfId="10" applyFont="1" applyBorder="1" applyAlignment="1">
      <alignment horizontal="center" vertical="center" wrapText="1"/>
    </xf>
    <xf numFmtId="0" fontId="24" fillId="0" borderId="16" xfId="10" applyFont="1" applyBorder="1" applyAlignment="1">
      <alignment vertical="center" wrapText="1"/>
    </xf>
    <xf numFmtId="0" fontId="24" fillId="0" borderId="7" xfId="10" applyFont="1" applyBorder="1" applyAlignment="1">
      <alignment vertical="center" wrapText="1"/>
    </xf>
    <xf numFmtId="0" fontId="24" fillId="0" borderId="4" xfId="10" applyFont="1" applyBorder="1" applyAlignment="1">
      <alignment vertical="center" wrapText="1"/>
    </xf>
    <xf numFmtId="0" fontId="3" fillId="5" borderId="6" xfId="10" applyFont="1" applyFill="1" applyBorder="1"/>
    <xf numFmtId="0" fontId="3" fillId="5" borderId="33" xfId="10" applyFont="1" applyFill="1" applyBorder="1" applyAlignment="1">
      <alignment wrapText="1"/>
    </xf>
    <xf numFmtId="0" fontId="14" fillId="5" borderId="34" xfId="10" applyFont="1" applyFill="1" applyBorder="1" applyAlignment="1">
      <alignment vertical="center"/>
    </xf>
    <xf numFmtId="0" fontId="15" fillId="5" borderId="35" xfId="10" applyFont="1" applyFill="1" applyBorder="1" applyAlignment="1">
      <alignment vertical="center" wrapText="1"/>
    </xf>
    <xf numFmtId="0" fontId="15" fillId="5" borderId="36" xfId="10" applyFont="1" applyFill="1" applyBorder="1" applyAlignment="1">
      <alignment horizontal="center" vertical="center" wrapText="1"/>
    </xf>
    <xf numFmtId="0" fontId="3" fillId="5" borderId="23" xfId="10" applyFont="1" applyFill="1" applyBorder="1"/>
    <xf numFmtId="0" fontId="3" fillId="5" borderId="2" xfId="10" applyFont="1" applyFill="1" applyBorder="1"/>
    <xf numFmtId="0" fontId="14" fillId="0" borderId="8" xfId="10" applyFont="1" applyBorder="1" applyAlignment="1">
      <alignment horizontal="left" vertical="center" wrapText="1"/>
    </xf>
    <xf numFmtId="0" fontId="3" fillId="0" borderId="6" xfId="10" applyFont="1" applyBorder="1" applyAlignment="1">
      <alignment vertical="center"/>
    </xf>
    <xf numFmtId="0" fontId="3" fillId="0" borderId="25" xfId="10" applyFont="1" applyBorder="1" applyAlignment="1">
      <alignment vertical="center"/>
    </xf>
    <xf numFmtId="0" fontId="16" fillId="0" borderId="12" xfId="10" applyFont="1" applyBorder="1" applyAlignment="1">
      <alignment horizontal="center" vertical="center" wrapText="1"/>
    </xf>
    <xf numFmtId="0" fontId="16" fillId="0" borderId="11" xfId="10" applyFont="1" applyBorder="1" applyAlignment="1">
      <alignment horizontal="center" vertical="center"/>
    </xf>
    <xf numFmtId="0" fontId="16" fillId="0" borderId="18" xfId="10" applyFont="1" applyBorder="1" applyAlignment="1">
      <alignment horizontal="center" vertical="center"/>
    </xf>
    <xf numFmtId="0" fontId="3" fillId="0" borderId="23" xfId="10" applyFont="1" applyBorder="1" applyAlignment="1">
      <alignment vertical="center"/>
    </xf>
    <xf numFmtId="0" fontId="7" fillId="0" borderId="0" xfId="0" applyFont="1" applyAlignment="1">
      <alignment vertical="top"/>
    </xf>
    <xf numFmtId="0" fontId="7" fillId="2" borderId="0" xfId="0" applyFont="1" applyFill="1" applyAlignment="1" applyProtection="1">
      <alignment vertical="top" wrapText="1"/>
      <protection locked="0"/>
    </xf>
    <xf numFmtId="0" fontId="7" fillId="2" borderId="0" xfId="0" applyFont="1" applyFill="1" applyAlignment="1" applyProtection="1">
      <alignment vertical="top"/>
      <protection locked="0"/>
    </xf>
    <xf numFmtId="0" fontId="7" fillId="0" borderId="0" xfId="0" applyFont="1" applyAlignment="1" applyProtection="1">
      <alignment vertical="top"/>
      <protection locked="0"/>
    </xf>
    <xf numFmtId="0" fontId="19" fillId="0" borderId="0" xfId="0" applyFont="1" applyAlignment="1" applyProtection="1">
      <alignment vertical="top"/>
      <protection locked="0"/>
    </xf>
    <xf numFmtId="0" fontId="0" fillId="0" borderId="0" xfId="0" applyAlignment="1">
      <alignment vertical="top"/>
    </xf>
    <xf numFmtId="0" fontId="9" fillId="0" borderId="0" xfId="0" applyFont="1" applyAlignment="1" applyProtection="1">
      <alignment vertical="top"/>
      <protection locked="0"/>
    </xf>
    <xf numFmtId="0" fontId="10" fillId="0" borderId="0" xfId="0" applyFont="1" applyAlignment="1" applyProtection="1">
      <alignment vertical="top"/>
      <protection locked="0"/>
    </xf>
    <xf numFmtId="0" fontId="10" fillId="0" borderId="0" xfId="0" applyFont="1" applyAlignment="1" applyProtection="1">
      <alignment vertical="top" wrapText="1"/>
      <protection locked="0"/>
    </xf>
    <xf numFmtId="0" fontId="10" fillId="2" borderId="0" xfId="0" applyFont="1" applyFill="1" applyAlignment="1" applyProtection="1">
      <alignment vertical="top" wrapText="1"/>
      <protection locked="0"/>
    </xf>
    <xf numFmtId="0" fontId="9" fillId="0" borderId="0" xfId="0" applyFont="1" applyAlignment="1">
      <alignment vertical="top"/>
    </xf>
    <xf numFmtId="0" fontId="9" fillId="0" borderId="0" xfId="0" applyFont="1" applyAlignment="1">
      <alignment vertical="top" wrapText="1"/>
    </xf>
    <xf numFmtId="0" fontId="19" fillId="0" borderId="0" xfId="0" applyFont="1" applyAlignment="1">
      <alignment vertical="top"/>
    </xf>
    <xf numFmtId="0" fontId="10" fillId="2" borderId="0" xfId="0" applyFont="1" applyFill="1" applyAlignment="1" applyProtection="1">
      <alignment vertical="top"/>
      <protection locked="0"/>
    </xf>
    <xf numFmtId="0" fontId="10" fillId="0" borderId="1" xfId="0" applyFont="1" applyBorder="1" applyAlignment="1" applyProtection="1">
      <alignment vertical="top"/>
      <protection locked="0"/>
    </xf>
    <xf numFmtId="0" fontId="10" fillId="0" borderId="1" xfId="0" applyFont="1" applyBorder="1" applyAlignment="1" applyProtection="1">
      <alignment vertical="top" wrapText="1"/>
      <protection locked="0"/>
    </xf>
    <xf numFmtId="0" fontId="10" fillId="2" borderId="1" xfId="0" applyFont="1" applyFill="1" applyBorder="1" applyAlignment="1" applyProtection="1">
      <alignment vertical="top" wrapText="1"/>
      <protection locked="0"/>
    </xf>
    <xf numFmtId="0" fontId="10"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9" fillId="0" borderId="1" xfId="0" applyFont="1" applyBorder="1" applyAlignment="1" applyProtection="1">
      <alignment vertical="top"/>
      <protection locked="0"/>
    </xf>
    <xf numFmtId="0" fontId="9" fillId="0" borderId="1" xfId="0" applyFont="1" applyBorder="1" applyAlignment="1" applyProtection="1">
      <alignment vertical="top" wrapText="1"/>
      <protection locked="0"/>
    </xf>
    <xf numFmtId="0" fontId="9" fillId="2" borderId="1" xfId="0" applyFont="1" applyFill="1" applyBorder="1" applyAlignment="1" applyProtection="1">
      <alignment vertical="top" wrapText="1"/>
      <protection locked="0"/>
    </xf>
    <xf numFmtId="0" fontId="9" fillId="2" borderId="1" xfId="0" applyFont="1" applyFill="1" applyBorder="1" applyAlignment="1" applyProtection="1">
      <alignment vertical="top"/>
      <protection locked="0"/>
    </xf>
    <xf numFmtId="0" fontId="7" fillId="0" borderId="0" xfId="0" applyFont="1" applyAlignment="1">
      <alignment vertical="top" wrapText="1"/>
    </xf>
    <xf numFmtId="0" fontId="7" fillId="0" borderId="0" xfId="0" applyFont="1" applyAlignment="1" applyProtection="1">
      <alignment vertical="top" wrapText="1"/>
      <protection locked="0"/>
    </xf>
    <xf numFmtId="0" fontId="9" fillId="0" borderId="1" xfId="0" applyFont="1" applyBorder="1" applyAlignment="1">
      <alignment vertical="top"/>
    </xf>
    <xf numFmtId="0" fontId="9" fillId="0" borderId="1" xfId="0" applyFont="1" applyBorder="1" applyAlignment="1">
      <alignment vertical="top" wrapText="1"/>
    </xf>
    <xf numFmtId="0" fontId="9" fillId="2" borderId="0" xfId="0" applyFont="1" applyFill="1" applyAlignment="1" applyProtection="1">
      <alignment vertical="top" wrapText="1"/>
      <protection locked="0"/>
    </xf>
    <xf numFmtId="0" fontId="11" fillId="0" borderId="0" xfId="0" applyFont="1" applyAlignment="1" applyProtection="1">
      <alignment vertical="top"/>
      <protection locked="0"/>
    </xf>
    <xf numFmtId="0" fontId="9"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19" fillId="0" borderId="0" xfId="0" applyFont="1" applyAlignment="1">
      <alignment vertical="top" wrapText="1"/>
    </xf>
    <xf numFmtId="0" fontId="11" fillId="2" borderId="0" xfId="0" applyFont="1" applyFill="1" applyAlignment="1" applyProtection="1">
      <alignment vertical="top"/>
      <protection locked="0"/>
    </xf>
    <xf numFmtId="0" fontId="11" fillId="0" borderId="0" xfId="0" applyFont="1" applyAlignment="1">
      <alignment vertical="top"/>
    </xf>
    <xf numFmtId="164" fontId="9" fillId="0" borderId="0" xfId="0" applyNumberFormat="1" applyFont="1" applyAlignment="1" applyProtection="1">
      <alignment vertical="top"/>
      <protection locked="0"/>
    </xf>
    <xf numFmtId="9" fontId="9" fillId="0" borderId="0" xfId="0" applyNumberFormat="1" applyFont="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7" fillId="0" borderId="0" xfId="0" applyFont="1" applyAlignment="1">
      <alignment horizontal="center" vertical="center"/>
    </xf>
    <xf numFmtId="0" fontId="7" fillId="0" borderId="0" xfId="0" applyFont="1" applyAlignment="1">
      <alignment horizontal="center" vertical="center" wrapText="1"/>
    </xf>
    <xf numFmtId="0" fontId="7" fillId="2" borderId="0" xfId="0" applyFont="1" applyFill="1" applyAlignment="1" applyProtection="1">
      <alignment horizontal="center" vertical="center" wrapText="1"/>
      <protection locked="0"/>
    </xf>
    <xf numFmtId="0" fontId="7" fillId="2" borderId="0" xfId="0" applyFont="1" applyFill="1" applyAlignment="1" applyProtection="1">
      <alignment horizontal="center" vertical="center"/>
      <protection locked="0"/>
    </xf>
    <xf numFmtId="0" fontId="7" fillId="0" borderId="0" xfId="0" applyFont="1" applyAlignment="1" applyProtection="1">
      <alignment horizontal="center" vertical="center"/>
      <protection locked="0"/>
    </xf>
    <xf numFmtId="0" fontId="19" fillId="0" borderId="0" xfId="0" applyFont="1" applyAlignment="1" applyProtection="1">
      <alignment horizontal="center" vertical="center"/>
      <protection locked="0"/>
    </xf>
    <xf numFmtId="0" fontId="0" fillId="0" borderId="0" xfId="0" applyAlignment="1">
      <alignment vertical="center"/>
    </xf>
    <xf numFmtId="0" fontId="10" fillId="0" borderId="0" xfId="0" applyFont="1" applyAlignment="1" applyProtection="1">
      <alignment vertical="center"/>
      <protection locked="0"/>
    </xf>
    <xf numFmtId="0" fontId="9" fillId="0" borderId="0" xfId="0" applyFont="1" applyAlignment="1">
      <alignment vertical="center"/>
    </xf>
    <xf numFmtId="0" fontId="10" fillId="0" borderId="1" xfId="0" applyFont="1" applyBorder="1" applyAlignment="1" applyProtection="1">
      <alignment vertical="center"/>
      <protection locked="0"/>
    </xf>
    <xf numFmtId="0" fontId="9" fillId="0" borderId="1" xfId="0" applyFont="1" applyBorder="1" applyAlignment="1" applyProtection="1">
      <alignment vertical="center"/>
      <protection locked="0"/>
    </xf>
    <xf numFmtId="0" fontId="7" fillId="0" borderId="0" xfId="0" applyFont="1" applyAlignment="1">
      <alignment vertical="center"/>
    </xf>
    <xf numFmtId="0" fontId="7" fillId="0" borderId="0" xfId="0" applyFont="1" applyAlignment="1" applyProtection="1">
      <alignment vertical="center"/>
      <protection locked="0"/>
    </xf>
    <xf numFmtId="0" fontId="0" fillId="0" borderId="0" xfId="0" applyAlignment="1" applyProtection="1">
      <alignment vertical="center"/>
      <protection locked="0"/>
    </xf>
    <xf numFmtId="0" fontId="22" fillId="0" borderId="0" xfId="0" applyFont="1" applyAlignment="1" applyProtection="1">
      <alignment vertical="center"/>
      <protection locked="0"/>
    </xf>
    <xf numFmtId="0" fontId="22" fillId="0" borderId="0" xfId="0" applyFont="1" applyAlignment="1">
      <alignment vertical="center"/>
    </xf>
    <xf numFmtId="0" fontId="10" fillId="0" borderId="0" xfId="0" applyFont="1" applyAlignment="1">
      <alignment vertical="center"/>
    </xf>
    <xf numFmtId="0" fontId="9" fillId="0" borderId="1" xfId="0" applyFont="1" applyBorder="1" applyAlignment="1">
      <alignment vertical="center"/>
    </xf>
    <xf numFmtId="0" fontId="9" fillId="0" borderId="0" xfId="0" applyFont="1" applyAlignment="1" applyProtection="1">
      <alignment vertical="center"/>
      <protection locked="0"/>
    </xf>
    <xf numFmtId="0" fontId="0" fillId="0" borderId="1" xfId="0" applyBorder="1" applyAlignment="1">
      <alignment vertical="center"/>
    </xf>
    <xf numFmtId="0" fontId="19" fillId="0" borderId="0" xfId="0" applyFont="1" applyAlignment="1">
      <alignment vertical="center"/>
    </xf>
    <xf numFmtId="0" fontId="6" fillId="0" borderId="0" xfId="0" applyFont="1" applyAlignment="1">
      <alignment vertical="center"/>
    </xf>
    <xf numFmtId="0" fontId="14" fillId="0" borderId="5" xfId="10" applyFont="1" applyBorder="1" applyAlignment="1">
      <alignment horizontal="left" vertical="center" wrapText="1"/>
    </xf>
    <xf numFmtId="0" fontId="14" fillId="0" borderId="8" xfId="10" applyFont="1" applyBorder="1" applyAlignment="1">
      <alignment horizontal="left" vertical="center"/>
    </xf>
    <xf numFmtId="0" fontId="15" fillId="0" borderId="19" xfId="5" applyFont="1" applyBorder="1" applyAlignment="1">
      <alignment vertical="center" wrapText="1"/>
    </xf>
    <xf numFmtId="0" fontId="3" fillId="5" borderId="24" xfId="10" applyFont="1" applyFill="1" applyBorder="1" applyAlignment="1">
      <alignment horizontal="center" vertical="center"/>
    </xf>
    <xf numFmtId="0" fontId="15" fillId="0" borderId="22" xfId="10" applyFont="1" applyBorder="1" applyAlignment="1">
      <alignment horizontal="center" vertical="center" wrapText="1"/>
    </xf>
    <xf numFmtId="0" fontId="0" fillId="0" borderId="2" xfId="0" applyBorder="1"/>
    <xf numFmtId="0" fontId="9"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7" fillId="0" borderId="7" xfId="0" applyFont="1" applyBorder="1" applyAlignment="1">
      <alignment horizontal="center" vertical="center" wrapText="1"/>
    </xf>
    <xf numFmtId="0" fontId="19" fillId="0" borderId="7" xfId="0" applyFont="1" applyBorder="1" applyAlignment="1">
      <alignment horizontal="center" vertical="center"/>
    </xf>
    <xf numFmtId="0" fontId="19" fillId="0" borderId="7" xfId="0" applyFont="1" applyBorder="1" applyAlignment="1">
      <alignment horizontal="center" vertical="center" wrapText="1"/>
    </xf>
    <xf numFmtId="0" fontId="9" fillId="0" borderId="7" xfId="0" applyFont="1" applyBorder="1" applyAlignment="1">
      <alignment horizontal="center" vertical="center"/>
    </xf>
    <xf numFmtId="0" fontId="9" fillId="0" borderId="7" xfId="0" applyFont="1" applyBorder="1" applyAlignment="1">
      <alignment wrapText="1"/>
    </xf>
    <xf numFmtId="0" fontId="19" fillId="0" borderId="7" xfId="0" applyFont="1" applyBorder="1" applyAlignment="1">
      <alignment wrapText="1"/>
    </xf>
    <xf numFmtId="0" fontId="9"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9"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5" fillId="0" borderId="0" xfId="0" applyFont="1" applyAlignment="1">
      <alignment vertical="center"/>
    </xf>
    <xf numFmtId="0" fontId="25" fillId="0" borderId="0" xfId="0" applyFont="1" applyAlignment="1">
      <alignment vertical="top"/>
    </xf>
    <xf numFmtId="0" fontId="25" fillId="0" borderId="0" xfId="0" applyFont="1" applyAlignment="1" applyProtection="1">
      <alignment vertical="top"/>
      <protection locked="0"/>
    </xf>
    <xf numFmtId="0" fontId="25" fillId="2" borderId="0" xfId="0" applyFont="1" applyFill="1" applyAlignment="1" applyProtection="1">
      <alignment vertical="top" wrapText="1"/>
      <protection locked="0"/>
    </xf>
    <xf numFmtId="0" fontId="25" fillId="2" borderId="0" xfId="0" applyFont="1" applyFill="1" applyAlignment="1" applyProtection="1">
      <alignment vertical="top"/>
      <protection locked="0"/>
    </xf>
    <xf numFmtId="9" fontId="9" fillId="0" borderId="0" xfId="7" applyFont="1" applyAlignment="1" applyProtection="1">
      <alignment vertical="top"/>
      <protection locked="0"/>
    </xf>
    <xf numFmtId="165" fontId="9" fillId="0" borderId="0" xfId="0" applyNumberFormat="1" applyFont="1" applyAlignment="1" applyProtection="1">
      <alignment vertical="top"/>
      <protection locked="0"/>
    </xf>
    <xf numFmtId="165" fontId="9" fillId="0" borderId="0" xfId="0" applyNumberFormat="1" applyFont="1" applyAlignment="1" applyProtection="1">
      <alignment vertical="top" wrapText="1"/>
      <protection locked="0"/>
    </xf>
    <xf numFmtId="9" fontId="9" fillId="0" borderId="0" xfId="7" applyFont="1" applyAlignment="1" applyProtection="1">
      <alignment vertical="top" wrapText="1"/>
      <protection locked="0"/>
    </xf>
    <xf numFmtId="165" fontId="10" fillId="0" borderId="0" xfId="0" applyNumberFormat="1" applyFont="1" applyAlignment="1" applyProtection="1">
      <alignment vertical="top"/>
      <protection locked="0"/>
    </xf>
    <xf numFmtId="9" fontId="10" fillId="0" borderId="0" xfId="7" applyFont="1" applyAlignment="1" applyProtection="1">
      <alignment vertical="top"/>
      <protection locked="0"/>
    </xf>
    <xf numFmtId="9" fontId="19" fillId="0" borderId="17" xfId="7" applyFont="1" applyBorder="1" applyAlignment="1" applyProtection="1">
      <alignment vertical="top"/>
      <protection locked="0"/>
    </xf>
    <xf numFmtId="0" fontId="19" fillId="0" borderId="18" xfId="0" applyFont="1" applyBorder="1" applyAlignment="1" applyProtection="1">
      <alignment vertical="top"/>
      <protection locked="0"/>
    </xf>
    <xf numFmtId="0" fontId="19" fillId="2" borderId="0" xfId="0" applyFont="1" applyFill="1" applyAlignment="1" applyProtection="1">
      <alignment vertical="top" wrapText="1"/>
      <protection locked="0"/>
    </xf>
    <xf numFmtId="0" fontId="19" fillId="2" borderId="0" xfId="0" applyFont="1" applyFill="1" applyAlignment="1" applyProtection="1">
      <alignment vertical="top"/>
      <protection locked="0"/>
    </xf>
    <xf numFmtId="49" fontId="25" fillId="0" borderId="0" xfId="0" applyNumberFormat="1" applyFont="1" applyAlignment="1">
      <alignment horizontal="left" vertical="top" wrapText="1"/>
    </xf>
    <xf numFmtId="164" fontId="3" fillId="2" borderId="16" xfId="10" applyNumberFormat="1" applyFont="1" applyFill="1" applyBorder="1" applyAlignment="1">
      <alignment horizontal="center" vertical="center"/>
    </xf>
    <xf numFmtId="164" fontId="3" fillId="2" borderId="7" xfId="10" applyNumberFormat="1" applyFont="1" applyFill="1" applyBorder="1" applyAlignment="1">
      <alignment horizontal="center" vertical="center"/>
    </xf>
    <xf numFmtId="164" fontId="3" fillId="2" borderId="4" xfId="10" applyNumberFormat="1" applyFont="1" applyFill="1" applyBorder="1" applyAlignment="1">
      <alignment horizontal="center" vertical="center"/>
    </xf>
    <xf numFmtId="1" fontId="23" fillId="2" borderId="7" xfId="5" applyNumberFormat="1" applyFont="1" applyFill="1" applyBorder="1" applyAlignment="1" applyProtection="1">
      <alignment horizontal="center" vertical="center"/>
      <protection locked="0"/>
    </xf>
    <xf numFmtId="0" fontId="21" fillId="0" borderId="0" xfId="0" applyFont="1" applyProtection="1">
      <protection locked="0"/>
    </xf>
    <xf numFmtId="0" fontId="15" fillId="0" borderId="16" xfId="5" applyFont="1" applyBorder="1" applyAlignment="1">
      <alignment vertical="center" wrapText="1"/>
    </xf>
    <xf numFmtId="0" fontId="14" fillId="0" borderId="9" xfId="5" applyFont="1" applyBorder="1" applyAlignment="1">
      <alignment vertical="center" wrapText="1"/>
    </xf>
    <xf numFmtId="0" fontId="14" fillId="0" borderId="7" xfId="5" applyFont="1" applyBorder="1" applyAlignment="1">
      <alignment vertical="center" wrapText="1"/>
    </xf>
    <xf numFmtId="0" fontId="15"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18" fillId="0" borderId="7" xfId="6" applyFont="1" applyFill="1" applyBorder="1" applyAlignment="1">
      <alignment horizontal="center" vertical="center"/>
    </xf>
    <xf numFmtId="0" fontId="9" fillId="0" borderId="0" xfId="0" applyFont="1" applyAlignment="1" applyProtection="1">
      <alignment horizontal="right" vertical="top"/>
      <protection locked="0"/>
    </xf>
    <xf numFmtId="165" fontId="9" fillId="0" borderId="0" xfId="0" applyNumberFormat="1" applyFont="1" applyAlignment="1" applyProtection="1">
      <alignment horizontal="right" vertical="top"/>
      <protection locked="0"/>
    </xf>
    <xf numFmtId="165" fontId="9" fillId="0" borderId="0" xfId="0" applyNumberFormat="1" applyFont="1" applyAlignment="1">
      <alignment horizontal="right" vertical="top"/>
    </xf>
    <xf numFmtId="0" fontId="19" fillId="0" borderId="17" xfId="0" applyFont="1" applyBorder="1" applyAlignment="1" applyProtection="1">
      <alignment horizontal="right" vertical="top"/>
      <protection locked="0"/>
    </xf>
    <xf numFmtId="165" fontId="9" fillId="0" borderId="0" xfId="0" applyNumberFormat="1" applyFont="1" applyAlignment="1" applyProtection="1">
      <alignment horizontal="right" vertical="top" wrapText="1"/>
      <protection locked="0"/>
    </xf>
    <xf numFmtId="0" fontId="7" fillId="0" borderId="33" xfId="0" applyFont="1" applyBorder="1" applyAlignment="1" applyProtection="1">
      <alignment horizontal="center" vertical="center" wrapText="1"/>
      <protection locked="0"/>
    </xf>
    <xf numFmtId="0" fontId="19" fillId="6" borderId="12" xfId="0" applyFont="1" applyFill="1" applyBorder="1" applyAlignment="1" applyProtection="1">
      <alignment horizontal="center" vertical="center" wrapText="1"/>
      <protection locked="0"/>
    </xf>
    <xf numFmtId="9" fontId="19" fillId="6" borderId="11" xfId="7" applyFont="1" applyFill="1" applyBorder="1" applyAlignment="1" applyProtection="1">
      <alignment horizontal="center" vertical="center" wrapText="1"/>
      <protection locked="0"/>
    </xf>
    <xf numFmtId="0" fontId="19" fillId="6" borderId="11" xfId="0" applyFont="1" applyFill="1" applyBorder="1" applyAlignment="1" applyProtection="1">
      <alignment horizontal="center" vertical="center" wrapText="1"/>
      <protection locked="0"/>
    </xf>
    <xf numFmtId="0" fontId="18" fillId="0" borderId="20" xfId="0" applyFont="1" applyBorder="1" applyProtection="1">
      <protection locked="0"/>
    </xf>
    <xf numFmtId="0" fontId="0" fillId="0" borderId="17" xfId="0" applyBorder="1" applyAlignment="1" applyProtection="1">
      <alignment vertical="top"/>
      <protection locked="0"/>
    </xf>
    <xf numFmtId="0" fontId="4" fillId="0" borderId="6" xfId="5" applyFont="1" applyBorder="1"/>
    <xf numFmtId="0" fontId="14" fillId="0" borderId="8" xfId="5" applyFont="1" applyBorder="1" applyAlignment="1">
      <alignment vertical="center"/>
    </xf>
    <xf numFmtId="0" fontId="14" fillId="0" borderId="19" xfId="5" applyFont="1" applyBorder="1" applyAlignment="1">
      <alignment horizontal="left" vertical="center" wrapText="1"/>
    </xf>
    <xf numFmtId="0" fontId="4" fillId="0" borderId="23" xfId="5" applyFont="1" applyBorder="1"/>
    <xf numFmtId="0" fontId="4" fillId="0" borderId="2" xfId="5" applyFont="1" applyBorder="1"/>
    <xf numFmtId="0" fontId="0" fillId="3" borderId="0" xfId="0" applyFill="1" applyProtection="1">
      <protection locked="0"/>
    </xf>
    <xf numFmtId="0" fontId="15" fillId="0" borderId="28" xfId="5" applyFont="1" applyBorder="1" applyAlignment="1">
      <alignment horizontal="center" vertical="center" wrapText="1"/>
    </xf>
    <xf numFmtId="0" fontId="14" fillId="0" borderId="44" xfId="5" applyFont="1" applyBorder="1" applyAlignment="1">
      <alignment vertical="center"/>
    </xf>
    <xf numFmtId="0" fontId="14" fillId="0" borderId="34" xfId="5" applyFont="1" applyBorder="1" applyAlignment="1">
      <alignment vertical="center"/>
    </xf>
    <xf numFmtId="165" fontId="9" fillId="7" borderId="0" xfId="0" applyNumberFormat="1" applyFont="1" applyFill="1" applyAlignment="1" applyProtection="1">
      <alignment horizontal="right" vertical="top"/>
      <protection locked="0"/>
    </xf>
    <xf numFmtId="9" fontId="9" fillId="7" borderId="0" xfId="7" applyFont="1" applyFill="1" applyAlignment="1" applyProtection="1">
      <alignment vertical="top"/>
      <protection locked="0"/>
    </xf>
    <xf numFmtId="165" fontId="9" fillId="7" borderId="0" xfId="0" applyNumberFormat="1" applyFont="1" applyFill="1" applyAlignment="1" applyProtection="1">
      <alignment vertical="top"/>
      <protection locked="0"/>
    </xf>
    <xf numFmtId="9" fontId="9" fillId="0" borderId="0" xfId="7" applyFont="1" applyAlignment="1">
      <alignment vertical="top"/>
    </xf>
    <xf numFmtId="165" fontId="9" fillId="0" borderId="0" xfId="0" applyNumberFormat="1" applyFont="1" applyAlignment="1">
      <alignment vertical="top"/>
    </xf>
    <xf numFmtId="0" fontId="9" fillId="0" borderId="0" xfId="3" applyFont="1" applyAlignment="1">
      <alignment horizontal="left" vertical="top" wrapText="1"/>
    </xf>
    <xf numFmtId="0" fontId="9" fillId="0" borderId="0" xfId="0" applyFont="1" applyAlignment="1">
      <alignment horizontal="left" vertical="top" wrapText="1"/>
    </xf>
    <xf numFmtId="0" fontId="9" fillId="0" borderId="0" xfId="0" applyFont="1" applyAlignment="1" applyProtection="1">
      <alignment horizontal="left" vertical="top" wrapText="1"/>
      <protection locked="0"/>
    </xf>
    <xf numFmtId="0" fontId="0" fillId="0" borderId="0" xfId="0" applyAlignment="1" applyProtection="1">
      <alignment horizontal="left" vertical="center" wrapText="1"/>
      <protection locked="0"/>
    </xf>
    <xf numFmtId="0" fontId="0" fillId="0" borderId="0" xfId="2" applyFont="1" applyAlignment="1">
      <alignment horizontal="left" vertical="top" wrapText="1"/>
    </xf>
    <xf numFmtId="0" fontId="9" fillId="0" borderId="0" xfId="2" applyFont="1" applyAlignment="1">
      <alignment vertical="top" wrapText="1"/>
    </xf>
    <xf numFmtId="0" fontId="9" fillId="0" borderId="0" xfId="3" applyFont="1" applyAlignment="1" applyProtection="1">
      <alignment horizontal="left" vertical="top" wrapText="1"/>
      <protection locked="0"/>
    </xf>
    <xf numFmtId="0" fontId="9" fillId="0" borderId="0" xfId="2" applyFont="1" applyAlignment="1" applyProtection="1">
      <alignment vertical="top" wrapText="1"/>
      <protection locked="0"/>
    </xf>
    <xf numFmtId="0" fontId="7" fillId="0" borderId="0" xfId="0" applyFont="1" applyAlignment="1">
      <alignment wrapText="1"/>
    </xf>
    <xf numFmtId="0" fontId="9" fillId="0" borderId="0" xfId="0" applyFont="1" applyAlignment="1">
      <alignment horizontal="left" vertical="top"/>
    </xf>
    <xf numFmtId="0" fontId="0" fillId="0" borderId="1" xfId="0" applyBorder="1" applyAlignment="1" applyProtection="1">
      <alignment vertical="top"/>
      <protection locked="0"/>
    </xf>
    <xf numFmtId="0" fontId="9" fillId="0" borderId="0" xfId="3" applyFont="1" applyAlignment="1">
      <alignment horizontal="left" vertical="center" wrapText="1"/>
    </xf>
    <xf numFmtId="0" fontId="0" fillId="0" borderId="0" xfId="2" applyFont="1" applyAlignment="1" applyProtection="1">
      <alignment horizontal="left" vertical="center" wrapText="1"/>
      <protection locked="0"/>
    </xf>
    <xf numFmtId="0" fontId="9" fillId="0" borderId="0" xfId="2" applyFont="1" applyAlignment="1">
      <alignment horizontal="left" vertical="center" wrapText="1"/>
    </xf>
    <xf numFmtId="0" fontId="9" fillId="0" borderId="0" xfId="2" applyFont="1" applyAlignment="1">
      <alignment vertical="center" wrapText="1"/>
    </xf>
    <xf numFmtId="0" fontId="9" fillId="0" borderId="0" xfId="2" applyFont="1" applyAlignment="1" applyProtection="1">
      <alignment horizontal="left" vertical="center" wrapText="1"/>
      <protection locked="0"/>
    </xf>
    <xf numFmtId="0" fontId="0" fillId="0" borderId="0" xfId="2" applyFont="1" applyAlignment="1">
      <alignment horizontal="left" vertical="center" wrapText="1"/>
    </xf>
    <xf numFmtId="0" fontId="0" fillId="0" borderId="0" xfId="0" applyAlignment="1">
      <alignment wrapText="1"/>
    </xf>
    <xf numFmtId="0" fontId="16" fillId="0" borderId="45" xfId="10" applyFont="1" applyBorder="1" applyAlignment="1">
      <alignment horizontal="center" vertical="center"/>
    </xf>
    <xf numFmtId="0" fontId="3" fillId="5" borderId="47" xfId="10" applyFont="1" applyFill="1" applyBorder="1" applyAlignment="1">
      <alignment horizontal="center" vertical="center"/>
    </xf>
    <xf numFmtId="0" fontId="16" fillId="0" borderId="48" xfId="10" applyFont="1" applyBorder="1" applyAlignment="1">
      <alignment horizontal="center" vertical="center"/>
    </xf>
    <xf numFmtId="0" fontId="15" fillId="0" borderId="49" xfId="5" applyFont="1" applyBorder="1" applyAlignment="1">
      <alignment vertical="center" wrapText="1"/>
    </xf>
    <xf numFmtId="0" fontId="15" fillId="0" borderId="37" xfId="17" applyFont="1" applyBorder="1" applyAlignment="1">
      <alignment vertical="center" wrapText="1"/>
    </xf>
    <xf numFmtId="0" fontId="15" fillId="0" borderId="50" xfId="17" applyFont="1" applyBorder="1" applyAlignment="1">
      <alignment vertical="center" wrapText="1"/>
    </xf>
    <xf numFmtId="0" fontId="15" fillId="0" borderId="37" xfId="10" applyFont="1" applyBorder="1" applyAlignment="1">
      <alignment vertical="center" wrapText="1"/>
    </xf>
    <xf numFmtId="0" fontId="15" fillId="0" borderId="51" xfId="10" applyFont="1" applyBorder="1" applyAlignment="1">
      <alignment vertical="center" wrapText="1"/>
    </xf>
    <xf numFmtId="0" fontId="15" fillId="5" borderId="50" xfId="10" applyFont="1" applyFill="1" applyBorder="1" applyAlignment="1">
      <alignment vertical="center" wrapText="1"/>
    </xf>
    <xf numFmtId="0" fontId="24" fillId="0" borderId="52" xfId="10" applyFont="1" applyBorder="1" applyAlignment="1">
      <alignment vertical="center" wrapText="1"/>
    </xf>
    <xf numFmtId="0" fontId="24" fillId="0" borderId="53" xfId="10" applyFont="1" applyBorder="1" applyAlignment="1">
      <alignment vertical="center" wrapText="1"/>
    </xf>
    <xf numFmtId="0" fontId="24" fillId="0" borderId="51" xfId="10" applyFont="1" applyBorder="1" applyAlignment="1">
      <alignment vertical="center" wrapText="1"/>
    </xf>
    <xf numFmtId="0" fontId="2" fillId="0" borderId="13" xfId="17" applyFont="1" applyBorder="1"/>
    <xf numFmtId="0" fontId="2" fillId="0" borderId="3" xfId="17" applyFont="1" applyBorder="1"/>
    <xf numFmtId="0" fontId="2" fillId="0" borderId="2" xfId="17" applyFont="1" applyBorder="1"/>
    <xf numFmtId="0" fontId="16" fillId="0" borderId="48" xfId="17" applyFont="1" applyBorder="1" applyAlignment="1">
      <alignment horizontal="center" vertical="center"/>
    </xf>
    <xf numFmtId="0" fontId="8" fillId="0" borderId="54" xfId="17" applyFont="1" applyBorder="1" applyAlignment="1">
      <alignment horizontal="center" vertical="center"/>
    </xf>
    <xf numFmtId="0" fontId="8" fillId="0" borderId="55" xfId="17" applyFont="1" applyBorder="1" applyAlignment="1">
      <alignment horizontal="center" vertical="center"/>
    </xf>
    <xf numFmtId="0" fontId="14" fillId="0" borderId="38" xfId="17" applyFont="1" applyBorder="1" applyAlignment="1">
      <alignment horizontal="center" vertical="center" wrapText="1"/>
    </xf>
    <xf numFmtId="0" fontId="14" fillId="0" borderId="37" xfId="17" applyFont="1" applyBorder="1" applyAlignment="1">
      <alignment horizontal="center" vertical="center" wrapText="1"/>
    </xf>
    <xf numFmtId="0" fontId="15" fillId="0" borderId="37" xfId="17" applyFont="1" applyBorder="1" applyAlignment="1">
      <alignment horizontal="center" vertical="center" wrapText="1"/>
    </xf>
    <xf numFmtId="2" fontId="15" fillId="0" borderId="50" xfId="17" applyNumberFormat="1" applyFont="1" applyBorder="1" applyAlignment="1">
      <alignment horizontal="center" vertical="center" wrapText="1"/>
    </xf>
    <xf numFmtId="0" fontId="15" fillId="0" borderId="51" xfId="17" applyFont="1" applyBorder="1" applyAlignment="1">
      <alignment horizontal="center" vertical="center" wrapText="1"/>
    </xf>
    <xf numFmtId="0" fontId="15" fillId="5" borderId="50" xfId="17" applyFont="1" applyFill="1" applyBorder="1" applyAlignment="1">
      <alignment horizontal="center" vertical="center" wrapText="1"/>
    </xf>
    <xf numFmtId="0" fontId="14" fillId="0" borderId="56" xfId="5" applyFont="1" applyBorder="1" applyAlignment="1">
      <alignment vertical="center" wrapText="1"/>
    </xf>
    <xf numFmtId="0" fontId="15" fillId="0" borderId="57" xfId="5" applyFont="1" applyBorder="1" applyAlignment="1">
      <alignment vertical="center" wrapText="1"/>
    </xf>
    <xf numFmtId="0" fontId="2" fillId="5" borderId="58" xfId="17" applyFont="1" applyFill="1" applyBorder="1" applyAlignment="1">
      <alignment horizontal="center" vertical="center"/>
    </xf>
    <xf numFmtId="0" fontId="2" fillId="5" borderId="7" xfId="17" applyFont="1" applyFill="1" applyBorder="1" applyAlignment="1">
      <alignment horizontal="center" vertical="center"/>
    </xf>
    <xf numFmtId="0" fontId="2" fillId="0" borderId="7" xfId="17" applyFont="1" applyBorder="1" applyAlignment="1">
      <alignment horizontal="center" vertical="center"/>
    </xf>
    <xf numFmtId="0" fontId="2" fillId="3" borderId="7" xfId="17" applyFont="1" applyFill="1" applyBorder="1" applyAlignment="1" applyProtection="1">
      <alignment horizontal="center" vertical="center"/>
      <protection locked="0"/>
    </xf>
    <xf numFmtId="0" fontId="2" fillId="2" borderId="46" xfId="17" applyFont="1" applyFill="1" applyBorder="1" applyAlignment="1" applyProtection="1">
      <alignment horizontal="center" vertical="center"/>
      <protection locked="0"/>
    </xf>
    <xf numFmtId="4" fontId="2" fillId="5" borderId="4" xfId="17" applyNumberFormat="1" applyFont="1" applyFill="1" applyBorder="1" applyAlignment="1">
      <alignment horizontal="center" vertical="center"/>
    </xf>
    <xf numFmtId="164" fontId="15" fillId="0" borderId="52" xfId="7" applyNumberFormat="1" applyFont="1" applyBorder="1" applyAlignment="1">
      <alignment horizontal="center" vertical="center" wrapText="1"/>
    </xf>
    <xf numFmtId="164" fontId="15" fillId="0" borderId="41" xfId="7" applyNumberFormat="1" applyFont="1" applyBorder="1" applyAlignment="1">
      <alignment horizontal="center" vertical="center" wrapText="1"/>
    </xf>
    <xf numFmtId="164" fontId="15" fillId="0" borderId="53" xfId="7" applyNumberFormat="1" applyFont="1" applyBorder="1" applyAlignment="1">
      <alignment horizontal="center" vertical="center" wrapText="1"/>
    </xf>
    <xf numFmtId="164" fontId="15" fillId="0" borderId="21" xfId="7" applyNumberFormat="1" applyFont="1" applyBorder="1" applyAlignment="1">
      <alignment horizontal="center" vertical="center" wrapText="1"/>
    </xf>
    <xf numFmtId="164" fontId="15" fillId="0" borderId="51" xfId="7" applyNumberFormat="1" applyFont="1" applyBorder="1" applyAlignment="1">
      <alignment horizontal="center" vertical="center" wrapText="1"/>
    </xf>
    <xf numFmtId="164" fontId="15" fillId="0" borderId="22" xfId="7" applyNumberFormat="1" applyFont="1" applyBorder="1" applyAlignment="1">
      <alignment horizontal="center" vertical="center" wrapText="1"/>
    </xf>
    <xf numFmtId="0" fontId="26" fillId="0" borderId="32" xfId="10" applyFont="1" applyBorder="1" applyAlignment="1">
      <alignment horizontal="center" vertical="center" wrapText="1"/>
    </xf>
    <xf numFmtId="0" fontId="26" fillId="0" borderId="28" xfId="10" applyFont="1" applyBorder="1" applyAlignment="1">
      <alignment horizontal="center" vertical="center" wrapText="1"/>
    </xf>
    <xf numFmtId="0" fontId="27" fillId="0" borderId="36" xfId="5" applyFont="1" applyBorder="1" applyAlignment="1">
      <alignment horizontal="center" vertical="center" wrapText="1"/>
    </xf>
    <xf numFmtId="0" fontId="27" fillId="0" borderId="28" xfId="10" applyFont="1" applyBorder="1" applyAlignment="1">
      <alignment horizontal="center" vertical="center" wrapText="1"/>
    </xf>
    <xf numFmtId="0" fontId="27" fillId="0" borderId="28" xfId="5" applyFont="1" applyBorder="1" applyAlignment="1">
      <alignment horizontal="center" vertical="center" wrapText="1"/>
    </xf>
    <xf numFmtId="0" fontId="27" fillId="0" borderId="42" xfId="5" applyFont="1" applyBorder="1" applyAlignment="1">
      <alignment horizontal="center" vertical="center"/>
    </xf>
    <xf numFmtId="0" fontId="27" fillId="0" borderId="43" xfId="5" applyFont="1" applyBorder="1" applyAlignment="1">
      <alignment horizontal="center" vertical="center"/>
    </xf>
    <xf numFmtId="0" fontId="27" fillId="0" borderId="32" xfId="10" applyFont="1" applyBorder="1" applyAlignment="1">
      <alignment horizontal="center" vertical="center" wrapText="1"/>
    </xf>
    <xf numFmtId="0" fontId="11" fillId="0" borderId="0" xfId="0" applyFont="1" applyAlignment="1">
      <alignment vertical="center"/>
    </xf>
    <xf numFmtId="0" fontId="0" fillId="0" borderId="0" xfId="0" applyAlignment="1" applyProtection="1">
      <alignment wrapText="1"/>
      <protection locked="0"/>
    </xf>
    <xf numFmtId="49" fontId="1" fillId="3" borderId="16" xfId="5" applyNumberFormat="1" applyFont="1" applyFill="1" applyBorder="1" applyAlignment="1" applyProtection="1">
      <alignment horizontal="center" vertical="center"/>
      <protection locked="0"/>
    </xf>
    <xf numFmtId="0" fontId="1" fillId="0" borderId="2" xfId="10" applyFont="1" applyBorder="1"/>
    <xf numFmtId="2" fontId="1" fillId="3" borderId="24" xfId="5" applyNumberFormat="1" applyFont="1" applyFill="1" applyBorder="1" applyAlignment="1" applyProtection="1">
      <alignment horizontal="center" vertical="center"/>
      <protection locked="0"/>
    </xf>
    <xf numFmtId="2" fontId="1" fillId="3" borderId="7" xfId="10" applyNumberFormat="1" applyFont="1" applyFill="1" applyBorder="1" applyAlignment="1" applyProtection="1">
      <alignment horizontal="center" vertical="center"/>
      <protection locked="0"/>
    </xf>
    <xf numFmtId="164" fontId="1" fillId="5" borderId="7" xfId="7" applyNumberFormat="1" applyFont="1" applyFill="1" applyBorder="1" applyAlignment="1">
      <alignment horizontal="center" vertical="center"/>
    </xf>
    <xf numFmtId="0" fontId="9" fillId="0" borderId="0" xfId="3" applyFont="1" applyAlignment="1" applyProtection="1">
      <alignment horizontal="left" vertical="top"/>
      <protection locked="0"/>
    </xf>
    <xf numFmtId="0" fontId="9" fillId="0" borderId="0" xfId="3" applyFont="1" applyAlignment="1" applyProtection="1">
      <alignment horizontal="left" vertical="center" wrapText="1"/>
      <protection locked="0"/>
    </xf>
    <xf numFmtId="0" fontId="19" fillId="0" borderId="0" xfId="0" applyFont="1" applyAlignment="1" applyProtection="1">
      <alignment vertical="top" wrapText="1"/>
      <protection locked="0"/>
    </xf>
    <xf numFmtId="0" fontId="9" fillId="0" borderId="0" xfId="2" applyFont="1" applyAlignment="1" applyProtection="1">
      <alignment vertical="center" wrapText="1"/>
      <protection locked="0"/>
    </xf>
    <xf numFmtId="0" fontId="9" fillId="0" borderId="0" xfId="0" applyFont="1" applyAlignment="1" applyProtection="1">
      <alignment vertical="center" wrapText="1"/>
      <protection locked="0"/>
    </xf>
    <xf numFmtId="0" fontId="1" fillId="3" borderId="7" xfId="10" applyFont="1" applyFill="1" applyBorder="1" applyAlignment="1" applyProtection="1">
      <alignment horizontal="center" vertical="center"/>
      <protection locked="0"/>
    </xf>
    <xf numFmtId="0" fontId="1" fillId="3" borderId="9" xfId="10" applyFont="1" applyFill="1" applyBorder="1" applyAlignment="1" applyProtection="1">
      <alignment horizontal="center" vertical="center"/>
      <protection locked="0"/>
    </xf>
    <xf numFmtId="0" fontId="1" fillId="3" borderId="46" xfId="5" applyFont="1" applyFill="1" applyBorder="1" applyAlignment="1" applyProtection="1">
      <alignment horizontal="center" vertical="center" wrapText="1"/>
      <protection locked="0"/>
    </xf>
    <xf numFmtId="0" fontId="1" fillId="3" borderId="59" xfId="5" applyFont="1" applyFill="1" applyBorder="1" applyAlignment="1" applyProtection="1">
      <alignment horizontal="center" vertical="center" wrapText="1"/>
      <protection locked="0"/>
    </xf>
    <xf numFmtId="165" fontId="10" fillId="0" borderId="0" xfId="0" applyNumberFormat="1" applyFont="1" applyAlignment="1" applyProtection="1">
      <alignment horizontal="right" vertical="top"/>
      <protection locked="0"/>
    </xf>
    <xf numFmtId="9" fontId="10" fillId="0" borderId="0" xfId="22" applyFont="1" applyAlignment="1" applyProtection="1">
      <alignment vertical="top"/>
      <protection locked="0"/>
    </xf>
    <xf numFmtId="0" fontId="10" fillId="3" borderId="0" xfId="0" applyFont="1" applyFill="1" applyProtection="1">
      <protection locked="0"/>
    </xf>
    <xf numFmtId="0" fontId="28" fillId="2" borderId="0" xfId="0" applyFont="1" applyFill="1" applyProtection="1">
      <protection locked="0"/>
    </xf>
    <xf numFmtId="0" fontId="28" fillId="0" borderId="0" xfId="0" applyFont="1" applyProtection="1">
      <protection locked="0"/>
    </xf>
    <xf numFmtId="0" fontId="3" fillId="0" borderId="29" xfId="10" applyFont="1" applyBorder="1" applyAlignment="1">
      <alignment horizontal="center" vertical="top" textRotation="90" wrapText="1"/>
    </xf>
    <xf numFmtId="0" fontId="0" fillId="0" borderId="27" xfId="0" applyBorder="1"/>
    <xf numFmtId="0" fontId="0" fillId="0" borderId="29" xfId="0" applyBorder="1"/>
    <xf numFmtId="0" fontId="3" fillId="0" borderId="33" xfId="10" applyFont="1" applyBorder="1" applyAlignment="1">
      <alignment horizontal="center" vertical="top" textRotation="90"/>
    </xf>
    <xf numFmtId="0" fontId="3" fillId="0" borderId="33" xfId="10" applyFont="1" applyBorder="1" applyAlignment="1">
      <alignment horizontal="center" vertical="top" textRotation="90" wrapText="1"/>
    </xf>
  </cellXfs>
  <cellStyles count="30">
    <cellStyle name="Check Cell" xfId="6" builtinId="23"/>
    <cellStyle name="Check Cell 2" xfId="21" xr:uid="{00000000-0005-0000-0000-000015000000}"/>
    <cellStyle name="Normal" xfId="0" builtinId="0"/>
    <cellStyle name="Normal 2" xfId="1" xr:uid="{00000000-0005-0000-0000-000001000000}"/>
    <cellStyle name="Normal 2 2" xfId="8" xr:uid="{00000000-0005-0000-0000-000008000000}"/>
    <cellStyle name="Normal 2 2 2" xfId="13" xr:uid="{00000000-0005-0000-0000-00000D000000}"/>
    <cellStyle name="Normal 2 2 2 2" xfId="27" xr:uid="{00000000-0005-0000-0000-00001B000000}"/>
    <cellStyle name="Normal 2 2 3" xfId="15" xr:uid="{00000000-0005-0000-0000-00000F000000}"/>
    <cellStyle name="Normal 2 2 3 2" xfId="28" xr:uid="{00000000-0005-0000-0000-00001C000000}"/>
    <cellStyle name="Normal 2 2 4" xfId="23" xr:uid="{00000000-0005-0000-0000-000017000000}"/>
    <cellStyle name="Normal 2 3" xfId="11" xr:uid="{00000000-0005-0000-0000-00000B000000}"/>
    <cellStyle name="Normal 2 3 2" xfId="26" xr:uid="{00000000-0005-0000-0000-00001A000000}"/>
    <cellStyle name="Normal 2 4" xfId="18" xr:uid="{00000000-0005-0000-0000-000012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2 2 2 2" xfId="29" xr:uid="{00000000-0005-0000-0000-00001D000000}"/>
    <cellStyle name="Normal 4 2 2 3" xfId="25" xr:uid="{00000000-0005-0000-0000-000019000000}"/>
    <cellStyle name="Normal 4 2 3" xfId="20" xr:uid="{00000000-0005-0000-0000-000014000000}"/>
    <cellStyle name="Normal 4 3" xfId="9" xr:uid="{00000000-0005-0000-0000-000009000000}"/>
    <cellStyle name="Normal 4 3 2" xfId="24" xr:uid="{00000000-0005-0000-0000-000018000000}"/>
    <cellStyle name="Normal 4 4" xfId="14" xr:uid="{00000000-0005-0000-0000-00000E000000}"/>
    <cellStyle name="Normal 4 5" xfId="19" xr:uid="{00000000-0005-0000-0000-000013000000}"/>
    <cellStyle name="Normal 5" xfId="3" xr:uid="{00000000-0005-0000-0000-000003000000}"/>
    <cellStyle name="Percent" xfId="7" builtinId="5"/>
    <cellStyle name="Percent 2" xfId="22" xr:uid="{00000000-0005-0000-0000-00001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94"/>
  <sheetViews>
    <sheetView tabSelected="1" zoomScale="80" zoomScaleNormal="80" workbookViewId="0">
      <pane ySplit="1" topLeftCell="A2" activePane="bottomLeft" state="frozen"/>
      <selection pane="bottomLeft" activeCell="D13" sqref="D13"/>
    </sheetView>
  </sheetViews>
  <sheetFormatPr baseColWidth="10" defaultColWidth="8.83203125" defaultRowHeight="15" x14ac:dyDescent="0.2"/>
  <cols>
    <col min="1" max="1" width="21.1640625" style="45" customWidth="1"/>
    <col min="2" max="2" width="25.83203125" style="45" customWidth="1"/>
    <col min="3" max="3" width="42" style="46" customWidth="1"/>
    <col min="4" max="4" width="63.5" style="46" customWidth="1"/>
    <col min="5" max="5" width="16.83203125" style="46" customWidth="1"/>
    <col min="6" max="7" width="28" style="45" customWidth="1"/>
    <col min="8" max="8" width="15.5" style="45" customWidth="1"/>
    <col min="9" max="10" width="8.83203125" style="120" customWidth="1"/>
    <col min="11" max="11" width="29.1640625" style="120" customWidth="1"/>
    <col min="12" max="16" width="8.83203125" style="120" customWidth="1"/>
    <col min="17" max="20" width="8.83203125" style="45" customWidth="1"/>
    <col min="21" max="21" width="9.5" style="45" hidden="1" customWidth="1"/>
    <col min="22" max="22" width="13" style="45" hidden="1" customWidth="1"/>
    <col min="23" max="23" width="18.1640625" style="179" hidden="1" customWidth="1"/>
    <col min="24" max="24" width="18.33203125" style="156" hidden="1" customWidth="1"/>
    <col min="25" max="25" width="14.1640625" style="73" customWidth="1"/>
    <col min="26" max="26" width="19.6640625" style="73" hidden="1" customWidth="1"/>
    <col min="27" max="27" width="8.83203125" style="73" customWidth="1"/>
    <col min="28" max="29" width="8.83203125" style="45" customWidth="1"/>
    <col min="30" max="16384" width="8.83203125" style="45"/>
  </cols>
  <sheetData>
    <row r="1" spans="1:27" s="111" customFormat="1" ht="33" customHeight="1" thickBot="1" x14ac:dyDescent="0.25">
      <c r="A1" s="107" t="s">
        <v>0</v>
      </c>
      <c r="B1" s="107" t="s">
        <v>1</v>
      </c>
      <c r="C1" s="108" t="s">
        <v>2</v>
      </c>
      <c r="D1" s="108" t="s">
        <v>3</v>
      </c>
      <c r="E1" s="109" t="s">
        <v>4</v>
      </c>
      <c r="F1" s="107" t="s">
        <v>5</v>
      </c>
      <c r="G1" s="107" t="s">
        <v>6</v>
      </c>
      <c r="H1" s="110" t="s">
        <v>7</v>
      </c>
      <c r="I1" s="107" t="s">
        <v>8</v>
      </c>
      <c r="J1" s="107" t="s">
        <v>9</v>
      </c>
      <c r="K1" s="107" t="s">
        <v>10</v>
      </c>
      <c r="L1" s="107" t="s">
        <v>11</v>
      </c>
      <c r="M1" s="107" t="s">
        <v>12</v>
      </c>
      <c r="N1" s="107" t="s">
        <v>13</v>
      </c>
      <c r="O1" s="107" t="s">
        <v>14</v>
      </c>
      <c r="P1" s="107" t="s">
        <v>15</v>
      </c>
      <c r="U1" s="184" t="s">
        <v>16</v>
      </c>
      <c r="W1" s="185" t="s">
        <v>17</v>
      </c>
      <c r="X1" s="186" t="s">
        <v>18</v>
      </c>
      <c r="Y1" s="187" t="s">
        <v>19</v>
      </c>
      <c r="Z1" s="36" t="s">
        <v>20</v>
      </c>
      <c r="AA1" s="112"/>
    </row>
    <row r="2" spans="1:27" x14ac:dyDescent="0.2">
      <c r="A2" s="72" t="s">
        <v>21</v>
      </c>
      <c r="B2" s="72" t="s">
        <v>21</v>
      </c>
      <c r="C2" s="44"/>
      <c r="D2" s="44"/>
      <c r="E2" s="85"/>
      <c r="F2" s="72"/>
      <c r="G2" s="72"/>
      <c r="H2" s="86"/>
      <c r="I2" s="113"/>
      <c r="J2" s="113"/>
      <c r="K2" s="113"/>
      <c r="L2" s="113"/>
      <c r="M2" s="113"/>
      <c r="N2" s="113"/>
      <c r="O2" s="113"/>
      <c r="P2" s="113"/>
      <c r="W2" s="180"/>
      <c r="Y2" s="157" t="str">
        <f>IF(W2&lt;&gt;"",W2*X2,"")</f>
        <v/>
      </c>
      <c r="Z2" s="157" t="str">
        <f>IF(AND(W2&lt;&gt;"",U2="yes"),W2*X2,"")</f>
        <v/>
      </c>
    </row>
    <row r="3" spans="1:27" x14ac:dyDescent="0.2">
      <c r="A3" s="72" t="s">
        <v>22</v>
      </c>
      <c r="B3" s="72" t="s">
        <v>22</v>
      </c>
      <c r="C3" s="44"/>
      <c r="D3" s="44"/>
      <c r="E3" s="85"/>
      <c r="F3" s="72"/>
      <c r="G3" s="72"/>
      <c r="H3" s="86"/>
      <c r="I3" s="113"/>
      <c r="J3" s="113"/>
      <c r="K3" s="113"/>
      <c r="L3" s="113"/>
      <c r="M3" s="113"/>
      <c r="N3" s="113"/>
      <c r="O3" s="113"/>
      <c r="P3" s="113"/>
      <c r="W3" s="180"/>
      <c r="Y3" s="157" t="str">
        <f>IF(W3&lt;&gt;"",W3*X3,"")</f>
        <v/>
      </c>
      <c r="Z3" s="157" t="str">
        <f>IF(AND(W3&lt;&gt;"",U3="yes"),W3*X3,"")</f>
        <v/>
      </c>
    </row>
    <row r="4" spans="1:27" x14ac:dyDescent="0.2">
      <c r="A4" s="72" t="s">
        <v>23</v>
      </c>
      <c r="B4" s="72" t="s">
        <v>23</v>
      </c>
      <c r="C4" s="44"/>
      <c r="D4" s="44"/>
      <c r="E4" s="85"/>
      <c r="F4" s="72"/>
      <c r="G4" s="72"/>
      <c r="H4" s="86"/>
      <c r="I4" s="113"/>
      <c r="J4" s="113"/>
      <c r="K4" s="113"/>
      <c r="L4" s="113"/>
      <c r="M4" s="113"/>
      <c r="N4" s="113"/>
      <c r="O4" s="113"/>
      <c r="P4" s="113"/>
      <c r="W4" s="180"/>
      <c r="Y4" s="157" t="str">
        <f>IF(W4&lt;&gt;"",W4*X4,"")</f>
        <v/>
      </c>
      <c r="Z4" s="157" t="str">
        <f>IF(AND(W4&lt;&gt;"",U4="yes"),W4*X4,"")</f>
        <v/>
      </c>
    </row>
    <row r="5" spans="1:27" x14ac:dyDescent="0.2">
      <c r="A5" s="72" t="s">
        <v>24</v>
      </c>
      <c r="B5" s="72" t="s">
        <v>24</v>
      </c>
      <c r="C5" s="44"/>
      <c r="D5" s="44"/>
      <c r="E5" s="85"/>
      <c r="F5" s="72"/>
      <c r="G5" s="72"/>
      <c r="H5" s="86"/>
      <c r="I5" s="113"/>
      <c r="J5" s="113"/>
      <c r="K5" s="113"/>
      <c r="L5" s="113"/>
      <c r="M5" s="113"/>
      <c r="N5" s="113"/>
      <c r="O5" s="113"/>
      <c r="P5" s="113"/>
      <c r="W5" s="180"/>
      <c r="Y5" s="157" t="str">
        <f>IF(W5&lt;&gt;"",W5*X5,"")</f>
        <v/>
      </c>
      <c r="Z5" s="157" t="str">
        <f>IF(AND(W5&lt;&gt;"",U5="yes"),W5*X5,"")</f>
        <v/>
      </c>
    </row>
    <row r="6" spans="1:27" x14ac:dyDescent="0.2">
      <c r="A6" s="72" t="s">
        <v>25</v>
      </c>
      <c r="B6" s="72" t="s">
        <v>25</v>
      </c>
      <c r="C6" s="44"/>
      <c r="D6" s="44"/>
      <c r="E6" s="85"/>
      <c r="F6" s="72"/>
      <c r="G6" s="72"/>
      <c r="H6" s="86"/>
      <c r="I6" s="113"/>
      <c r="J6" s="113"/>
      <c r="K6" s="113"/>
      <c r="L6" s="113"/>
      <c r="M6" s="113"/>
      <c r="N6" s="113"/>
      <c r="O6" s="113"/>
      <c r="P6" s="113"/>
      <c r="W6" s="180"/>
      <c r="Y6" s="157"/>
      <c r="Z6" s="157"/>
    </row>
    <row r="7" spans="1:27" x14ac:dyDescent="0.2">
      <c r="A7" s="72" t="s">
        <v>26</v>
      </c>
      <c r="B7" s="72" t="s">
        <v>27</v>
      </c>
      <c r="C7" s="44"/>
      <c r="D7" s="44"/>
      <c r="E7" s="85"/>
      <c r="F7" s="72"/>
      <c r="G7" s="72"/>
      <c r="H7" s="86"/>
      <c r="I7" s="113"/>
      <c r="J7" s="113"/>
      <c r="K7" s="113"/>
      <c r="L7" s="113"/>
      <c r="M7" s="45"/>
      <c r="N7" s="113"/>
      <c r="O7" s="113"/>
      <c r="P7" s="113" t="s">
        <v>28</v>
      </c>
      <c r="W7" s="180"/>
      <c r="Y7" s="157"/>
      <c r="Z7" s="157"/>
    </row>
    <row r="8" spans="1:27" x14ac:dyDescent="0.2">
      <c r="A8" s="72" t="s">
        <v>29</v>
      </c>
      <c r="B8" s="72" t="s">
        <v>29</v>
      </c>
      <c r="C8" s="44"/>
      <c r="D8" s="44"/>
      <c r="E8" s="85"/>
      <c r="F8" s="72"/>
      <c r="G8" s="72"/>
      <c r="H8" s="86"/>
      <c r="I8" s="113"/>
      <c r="J8" s="113"/>
      <c r="K8" s="113"/>
      <c r="L8" s="113"/>
      <c r="M8" s="113" t="s">
        <v>30</v>
      </c>
      <c r="N8" s="113"/>
      <c r="O8" s="113" t="s">
        <v>31</v>
      </c>
      <c r="P8" s="113"/>
      <c r="W8" s="180"/>
      <c r="Y8" s="157"/>
      <c r="Z8" s="157"/>
    </row>
    <row r="9" spans="1:27" s="74" customFormat="1" ht="16" x14ac:dyDescent="0.2">
      <c r="A9" s="74" t="s">
        <v>32</v>
      </c>
      <c r="B9" s="74" t="s">
        <v>33</v>
      </c>
      <c r="C9" s="75" t="s">
        <v>34</v>
      </c>
      <c r="D9" s="75" t="s">
        <v>35</v>
      </c>
      <c r="E9" s="76"/>
      <c r="H9" s="80"/>
      <c r="I9" s="114"/>
      <c r="J9" s="114"/>
      <c r="L9" s="114"/>
      <c r="M9" s="114"/>
      <c r="N9" s="114"/>
      <c r="O9" s="114"/>
      <c r="P9" s="114"/>
      <c r="W9" s="284"/>
      <c r="X9" s="285"/>
      <c r="Y9" s="160"/>
      <c r="Z9" s="160"/>
    </row>
    <row r="10" spans="1:27" ht="16" customHeight="1" x14ac:dyDescent="0.2">
      <c r="A10" s="72" t="s">
        <v>36</v>
      </c>
      <c r="B10" s="72" t="s">
        <v>37</v>
      </c>
      <c r="C10" s="44" t="s">
        <v>38</v>
      </c>
      <c r="D10" s="44" t="s">
        <v>39</v>
      </c>
      <c r="E10" s="85"/>
      <c r="F10" s="72"/>
      <c r="G10" s="72"/>
      <c r="H10" s="86"/>
      <c r="I10" s="113" t="s">
        <v>40</v>
      </c>
      <c r="J10" s="113"/>
      <c r="K10" s="113"/>
      <c r="L10" s="113"/>
      <c r="M10" s="113"/>
      <c r="N10" s="114" t="s">
        <v>41</v>
      </c>
      <c r="O10" s="113"/>
      <c r="P10" s="113"/>
      <c r="U10" s="45" t="s">
        <v>42</v>
      </c>
      <c r="W10" s="180"/>
      <c r="Y10" s="157" t="str">
        <f>IF(W10&lt;&gt;"",W10*X10,"")</f>
        <v/>
      </c>
      <c r="Z10" s="157" t="str">
        <f>IF(AND(W10&lt;&gt;"",U10="yes"),W10*X10,"")</f>
        <v/>
      </c>
    </row>
    <row r="11" spans="1:27" x14ac:dyDescent="0.2">
      <c r="A11" s="72" t="s">
        <v>26</v>
      </c>
      <c r="B11" s="72" t="s">
        <v>43</v>
      </c>
      <c r="C11" s="44"/>
      <c r="D11" s="44"/>
      <c r="E11" s="85"/>
      <c r="F11" s="72"/>
      <c r="G11" s="72"/>
      <c r="H11" s="86"/>
      <c r="I11" s="113"/>
      <c r="J11" s="113"/>
      <c r="K11" s="113"/>
      <c r="L11" s="113"/>
      <c r="M11" s="113"/>
      <c r="N11" s="113"/>
      <c r="O11" s="113"/>
      <c r="P11" s="113" t="s">
        <v>44</v>
      </c>
      <c r="U11" s="45" t="s">
        <v>42</v>
      </c>
      <c r="W11" s="180"/>
      <c r="Y11" s="157" t="str">
        <f>IF(W11&lt;&gt;"",W11*X11,"")</f>
        <v/>
      </c>
      <c r="Z11" s="157" t="str">
        <f>IF(AND(W11&lt;&gt;"",U11="yes"),W11*X11,"")</f>
        <v/>
      </c>
    </row>
    <row r="12" spans="1:27" s="74" customFormat="1" ht="16" customHeight="1" thickBot="1" x14ac:dyDescent="0.25">
      <c r="A12" s="81"/>
      <c r="B12" s="81"/>
      <c r="C12" s="82"/>
      <c r="D12" s="82"/>
      <c r="E12" s="83"/>
      <c r="F12" s="81"/>
      <c r="G12" s="81"/>
      <c r="H12" s="84"/>
      <c r="I12" s="116"/>
      <c r="J12" s="116"/>
      <c r="K12" s="116"/>
      <c r="L12" s="116"/>
      <c r="M12" s="116"/>
      <c r="N12" s="116"/>
      <c r="O12" s="116"/>
      <c r="P12" s="116"/>
      <c r="W12" s="180"/>
      <c r="X12" s="156"/>
      <c r="Y12" s="157"/>
      <c r="Z12" s="157"/>
      <c r="AA12" s="73"/>
    </row>
    <row r="13" spans="1:27" ht="305" customHeight="1" thickTop="1" x14ac:dyDescent="0.2">
      <c r="A13" s="72" t="s">
        <v>45</v>
      </c>
      <c r="B13" s="72" t="s">
        <v>46</v>
      </c>
      <c r="C13" s="207" t="s">
        <v>47</v>
      </c>
      <c r="D13" s="207" t="s">
        <v>48</v>
      </c>
      <c r="E13" s="85"/>
      <c r="F13" s="72" t="s">
        <v>49</v>
      </c>
      <c r="G13" s="72" t="s">
        <v>50</v>
      </c>
      <c r="H13" s="86"/>
      <c r="I13" s="113" t="s">
        <v>51</v>
      </c>
      <c r="J13" s="113"/>
      <c r="K13" s="113"/>
      <c r="L13" s="113"/>
      <c r="M13" s="113"/>
      <c r="N13" s="113"/>
      <c r="O13" s="113"/>
      <c r="P13" s="113"/>
      <c r="U13" s="45" t="s">
        <v>52</v>
      </c>
      <c r="W13" s="180">
        <v>50.822540283203118</v>
      </c>
      <c r="Y13" s="157">
        <f t="shared" ref="Y13:Y44" si="0">IF(W13&lt;&gt;"",W13*X13,"")</f>
        <v>0</v>
      </c>
      <c r="Z13" s="157" t="str">
        <f>IF(AND(W13&lt;&gt;"",U13="yes"),W13*X13,"")</f>
        <v/>
      </c>
    </row>
    <row r="14" spans="1:27" ht="16" customHeight="1" x14ac:dyDescent="0.2">
      <c r="A14" s="72" t="s">
        <v>53</v>
      </c>
      <c r="B14" s="72" t="s">
        <v>54</v>
      </c>
      <c r="C14" s="44" t="s">
        <v>55</v>
      </c>
      <c r="D14" s="44" t="s">
        <v>56</v>
      </c>
      <c r="E14" s="85"/>
      <c r="F14" s="72"/>
      <c r="G14" s="72"/>
      <c r="H14" s="86"/>
      <c r="I14" s="113" t="s">
        <v>51</v>
      </c>
      <c r="J14" s="113"/>
      <c r="K14" s="113"/>
      <c r="L14" s="113"/>
      <c r="M14" s="113"/>
      <c r="N14" s="113"/>
      <c r="O14" s="113"/>
      <c r="P14" s="113"/>
      <c r="U14" s="45" t="s">
        <v>42</v>
      </c>
      <c r="W14" s="180">
        <v>3.5</v>
      </c>
      <c r="X14" s="156">
        <f>1</f>
        <v>1</v>
      </c>
      <c r="Y14" s="157">
        <f t="shared" si="0"/>
        <v>3.5</v>
      </c>
      <c r="Z14" s="157">
        <f>IF(AND(W14&lt;&gt;"",U14="yes"),W14*X14,"")</f>
        <v>3.5</v>
      </c>
    </row>
    <row r="15" spans="1:27" s="74" customFormat="1" ht="16" customHeight="1" x14ac:dyDescent="0.2">
      <c r="A15" s="73" t="s">
        <v>57</v>
      </c>
      <c r="B15" s="73" t="s">
        <v>58</v>
      </c>
      <c r="C15" s="47" t="s">
        <v>59</v>
      </c>
      <c r="D15" s="46" t="s">
        <v>60</v>
      </c>
      <c r="E15" s="76"/>
      <c r="F15" s="73" t="s">
        <v>61</v>
      </c>
      <c r="G15" s="73" t="s">
        <v>62</v>
      </c>
      <c r="H15" s="80"/>
      <c r="I15" s="120" t="s">
        <v>51</v>
      </c>
      <c r="J15" s="114"/>
      <c r="K15" s="114"/>
      <c r="L15" s="114"/>
      <c r="M15" s="120" t="s">
        <v>63</v>
      </c>
      <c r="N15" s="114"/>
      <c r="O15" s="114"/>
      <c r="P15" s="114"/>
      <c r="W15" s="180">
        <v>0</v>
      </c>
      <c r="X15" s="156">
        <v>1</v>
      </c>
      <c r="Y15" s="157">
        <f t="shared" si="0"/>
        <v>0</v>
      </c>
      <c r="Z15" s="157"/>
      <c r="AA15" s="73"/>
    </row>
    <row r="16" spans="1:27" s="73" customFormat="1" ht="32" customHeight="1" x14ac:dyDescent="0.2">
      <c r="A16" s="77" t="s">
        <v>45</v>
      </c>
      <c r="B16" s="77" t="s">
        <v>64</v>
      </c>
      <c r="C16" s="78" t="s">
        <v>65</v>
      </c>
      <c r="D16" s="78" t="s">
        <v>66</v>
      </c>
      <c r="E16" s="95"/>
      <c r="F16" s="77"/>
      <c r="G16" s="77"/>
      <c r="H16" s="97"/>
      <c r="I16" s="115" t="s">
        <v>51</v>
      </c>
      <c r="J16" s="115"/>
      <c r="K16" s="115"/>
      <c r="L16" s="115"/>
      <c r="M16" s="115" t="s">
        <v>67</v>
      </c>
      <c r="N16" s="115"/>
      <c r="O16" s="115"/>
      <c r="P16" s="115"/>
      <c r="U16" s="73" t="s">
        <v>52</v>
      </c>
      <c r="W16" s="180">
        <v>0</v>
      </c>
      <c r="X16" s="156">
        <v>1</v>
      </c>
      <c r="Y16" s="157">
        <f t="shared" si="0"/>
        <v>0</v>
      </c>
      <c r="Z16" s="157" t="str">
        <f t="shared" ref="Z16:Z44" si="1">IF(AND(W16&lt;&gt;"",U16="yes"),W16*X16,"")</f>
        <v/>
      </c>
    </row>
    <row r="17" spans="1:27" s="73" customFormat="1" ht="16" customHeight="1" thickBot="1" x14ac:dyDescent="0.25">
      <c r="A17" s="87"/>
      <c r="B17" s="87"/>
      <c r="C17" s="88"/>
      <c r="D17" s="88"/>
      <c r="E17" s="89"/>
      <c r="F17" s="87"/>
      <c r="G17" s="87"/>
      <c r="H17" s="90"/>
      <c r="I17" s="117"/>
      <c r="J17" s="117"/>
      <c r="K17" s="117"/>
      <c r="L17" s="117"/>
      <c r="M17" s="117"/>
      <c r="N17" s="117"/>
      <c r="O17" s="117"/>
      <c r="P17" s="117"/>
      <c r="W17" s="180"/>
      <c r="X17" s="156"/>
      <c r="Y17" s="157" t="str">
        <f t="shared" si="0"/>
        <v/>
      </c>
      <c r="Z17" s="157" t="str">
        <f t="shared" si="1"/>
        <v/>
      </c>
    </row>
    <row r="18" spans="1:27" s="70" customFormat="1" ht="17" customHeight="1" thickTop="1" x14ac:dyDescent="0.2">
      <c r="A18" s="67" t="s">
        <v>68</v>
      </c>
      <c r="B18" s="67" t="s">
        <v>69</v>
      </c>
      <c r="C18" s="91" t="s">
        <v>70</v>
      </c>
      <c r="D18" s="91" t="s">
        <v>71</v>
      </c>
      <c r="E18" s="68"/>
      <c r="F18" s="67"/>
      <c r="G18" s="67"/>
      <c r="H18" s="69"/>
      <c r="I18" s="118" t="s">
        <v>51</v>
      </c>
      <c r="J18" s="118"/>
      <c r="K18" s="118"/>
      <c r="L18" s="118"/>
      <c r="M18" s="118" t="s">
        <v>63</v>
      </c>
      <c r="N18" s="118"/>
      <c r="O18" s="118"/>
      <c r="P18" s="118"/>
      <c r="U18" s="45" t="s">
        <v>42</v>
      </c>
      <c r="W18" s="180"/>
      <c r="X18" s="156"/>
      <c r="Y18" s="157" t="str">
        <f t="shared" si="0"/>
        <v/>
      </c>
      <c r="Z18" s="157" t="str">
        <f t="shared" si="1"/>
        <v/>
      </c>
      <c r="AA18" s="71"/>
    </row>
    <row r="19" spans="1:27" s="74" customFormat="1" x14ac:dyDescent="0.2">
      <c r="C19" s="75"/>
      <c r="D19" s="75"/>
      <c r="E19" s="76"/>
      <c r="H19" s="80"/>
      <c r="I19" s="114"/>
      <c r="J19" s="114"/>
      <c r="K19" s="114"/>
      <c r="L19" s="114"/>
      <c r="M19" s="114"/>
      <c r="N19" s="114"/>
      <c r="O19" s="114"/>
      <c r="P19" s="114"/>
      <c r="W19" s="180"/>
      <c r="X19" s="73"/>
      <c r="Y19" s="157" t="str">
        <f t="shared" si="0"/>
        <v/>
      </c>
      <c r="Z19" s="157" t="str">
        <f t="shared" si="1"/>
        <v/>
      </c>
      <c r="AA19" s="73"/>
    </row>
    <row r="20" spans="1:27" s="74" customFormat="1" ht="16" customHeight="1" x14ac:dyDescent="0.2">
      <c r="A20" s="77" t="s">
        <v>72</v>
      </c>
      <c r="B20" s="77" t="s">
        <v>73</v>
      </c>
      <c r="C20" s="78" t="s">
        <v>74</v>
      </c>
      <c r="D20" s="78" t="s">
        <v>75</v>
      </c>
      <c r="E20" s="76"/>
      <c r="F20" s="73" t="s">
        <v>76</v>
      </c>
      <c r="G20" s="73" t="s">
        <v>77</v>
      </c>
      <c r="H20" s="80"/>
      <c r="I20" s="115" t="s">
        <v>40</v>
      </c>
      <c r="J20" s="115"/>
      <c r="K20" s="115"/>
      <c r="L20" s="115"/>
      <c r="M20" s="115"/>
      <c r="N20" s="115"/>
      <c r="O20" s="115"/>
      <c r="P20" s="115"/>
      <c r="U20" s="73" t="s">
        <v>42</v>
      </c>
      <c r="W20" s="180">
        <v>10</v>
      </c>
      <c r="X20" s="156">
        <f>1</f>
        <v>1</v>
      </c>
      <c r="Y20" s="157">
        <f t="shared" si="0"/>
        <v>10</v>
      </c>
      <c r="Z20" s="157">
        <f t="shared" si="1"/>
        <v>10</v>
      </c>
      <c r="AA20" s="73"/>
    </row>
    <row r="21" spans="1:27" s="74" customFormat="1" ht="16" customHeight="1" x14ac:dyDescent="0.2">
      <c r="A21" s="77" t="s">
        <v>72</v>
      </c>
      <c r="B21" s="77" t="s">
        <v>78</v>
      </c>
      <c r="C21" s="78" t="s">
        <v>79</v>
      </c>
      <c r="D21" s="78" t="s">
        <v>80</v>
      </c>
      <c r="E21" s="76"/>
      <c r="F21" s="73" t="s">
        <v>81</v>
      </c>
      <c r="G21" s="73" t="s">
        <v>77</v>
      </c>
      <c r="H21" s="80"/>
      <c r="I21" s="115" t="s">
        <v>40</v>
      </c>
      <c r="J21" s="115"/>
      <c r="K21" s="115"/>
      <c r="L21" s="115"/>
      <c r="M21" s="115"/>
      <c r="N21" s="115"/>
      <c r="O21" s="115"/>
      <c r="P21" s="115"/>
      <c r="U21" s="73" t="s">
        <v>42</v>
      </c>
      <c r="W21" s="180">
        <v>10</v>
      </c>
      <c r="X21" s="156">
        <f>1</f>
        <v>1</v>
      </c>
      <c r="Y21" s="157">
        <f t="shared" si="0"/>
        <v>10</v>
      </c>
      <c r="Z21" s="157">
        <f t="shared" si="1"/>
        <v>10</v>
      </c>
      <c r="AA21" s="73"/>
    </row>
    <row r="22" spans="1:27" s="74" customFormat="1" x14ac:dyDescent="0.2">
      <c r="C22" s="75"/>
      <c r="E22" s="76"/>
      <c r="H22" s="80"/>
      <c r="I22" s="114"/>
      <c r="J22" s="114"/>
      <c r="K22" s="114"/>
      <c r="L22" s="114"/>
      <c r="M22" s="114"/>
      <c r="N22" s="114"/>
      <c r="O22" s="114"/>
      <c r="P22" s="114"/>
      <c r="W22" s="180"/>
      <c r="X22" s="156">
        <f>1</f>
        <v>1</v>
      </c>
      <c r="Y22" s="157" t="str">
        <f t="shared" si="0"/>
        <v/>
      </c>
      <c r="Z22" s="157" t="str">
        <f t="shared" si="1"/>
        <v/>
      </c>
      <c r="AA22" s="73"/>
    </row>
    <row r="23" spans="1:27" ht="16" customHeight="1" x14ac:dyDescent="0.2">
      <c r="A23" s="72" t="s">
        <v>82</v>
      </c>
      <c r="B23" s="72" t="s">
        <v>83</v>
      </c>
      <c r="C23" s="44" t="s">
        <v>84</v>
      </c>
      <c r="D23" s="78" t="s">
        <v>85</v>
      </c>
      <c r="E23" s="95"/>
      <c r="F23" s="77" t="s">
        <v>86</v>
      </c>
      <c r="G23" s="72" t="s">
        <v>87</v>
      </c>
      <c r="H23" s="86"/>
      <c r="I23" s="113" t="s">
        <v>40</v>
      </c>
      <c r="J23" s="113"/>
      <c r="K23" s="113" t="s">
        <v>88</v>
      </c>
      <c r="L23" s="113"/>
      <c r="M23" s="113"/>
      <c r="N23" s="113"/>
      <c r="O23" s="113"/>
      <c r="P23" s="113"/>
      <c r="U23" s="45" t="s">
        <v>42</v>
      </c>
      <c r="W23" s="180">
        <v>13.753072738647459</v>
      </c>
      <c r="X23" s="156">
        <f>1</f>
        <v>1</v>
      </c>
      <c r="Y23" s="157">
        <f t="shared" si="0"/>
        <v>13.753072738647459</v>
      </c>
      <c r="Z23" s="157">
        <f t="shared" si="1"/>
        <v>13.753072738647459</v>
      </c>
    </row>
    <row r="24" spans="1:27" x14ac:dyDescent="0.2">
      <c r="E24" s="85"/>
      <c r="H24" s="86"/>
      <c r="W24" s="180"/>
      <c r="X24" s="156">
        <f>1</f>
        <v>1</v>
      </c>
      <c r="Y24" s="157" t="str">
        <f t="shared" si="0"/>
        <v/>
      </c>
      <c r="Z24" s="157" t="str">
        <f t="shared" si="1"/>
        <v/>
      </c>
    </row>
    <row r="25" spans="1:27" s="73" customFormat="1" ht="16" customHeight="1" x14ac:dyDescent="0.2">
      <c r="A25" s="73" t="s">
        <v>89</v>
      </c>
      <c r="B25" s="73" t="s">
        <v>90</v>
      </c>
      <c r="C25" s="47" t="s">
        <v>91</v>
      </c>
      <c r="D25" s="47" t="s">
        <v>92</v>
      </c>
      <c r="E25" s="95"/>
      <c r="F25" s="73" t="s">
        <v>93</v>
      </c>
      <c r="G25" s="73" t="s">
        <v>94</v>
      </c>
      <c r="H25" s="97"/>
      <c r="I25" s="125" t="s">
        <v>40</v>
      </c>
      <c r="J25" s="125"/>
      <c r="K25" s="125"/>
      <c r="L25" s="125"/>
      <c r="M25" s="125"/>
      <c r="N25" s="125"/>
      <c r="O25" s="125"/>
      <c r="P25" s="125"/>
      <c r="U25" s="73" t="s">
        <v>52</v>
      </c>
      <c r="W25" s="180">
        <v>2.1173560619354248</v>
      </c>
      <c r="X25" s="156">
        <f>1</f>
        <v>1</v>
      </c>
      <c r="Y25" s="157">
        <f t="shared" si="0"/>
        <v>2.1173560619354248</v>
      </c>
      <c r="Z25" s="157" t="str">
        <f t="shared" si="1"/>
        <v/>
      </c>
    </row>
    <row r="26" spans="1:27" s="74" customFormat="1" x14ac:dyDescent="0.2">
      <c r="C26" s="75"/>
      <c r="D26" s="75"/>
      <c r="E26" s="76"/>
      <c r="H26" s="80"/>
      <c r="I26" s="123"/>
      <c r="J26" s="123"/>
      <c r="K26" s="123"/>
      <c r="L26" s="122"/>
      <c r="M26" s="123"/>
      <c r="N26" s="123"/>
      <c r="O26" s="114"/>
      <c r="P26" s="114"/>
      <c r="W26" s="180"/>
      <c r="X26" s="156">
        <f>1</f>
        <v>1</v>
      </c>
      <c r="Y26" s="157" t="str">
        <f t="shared" si="0"/>
        <v/>
      </c>
      <c r="Z26" s="157" t="str">
        <f t="shared" si="1"/>
        <v/>
      </c>
      <c r="AA26" s="73"/>
    </row>
    <row r="27" spans="1:27" s="73" customFormat="1" ht="16" customHeight="1" x14ac:dyDescent="0.2">
      <c r="A27" s="77" t="s">
        <v>72</v>
      </c>
      <c r="B27" s="77" t="s">
        <v>95</v>
      </c>
      <c r="C27" s="78" t="s">
        <v>96</v>
      </c>
      <c r="D27" s="78" t="s">
        <v>97</v>
      </c>
      <c r="E27" s="95"/>
      <c r="H27" s="97"/>
      <c r="I27" s="115" t="s">
        <v>40</v>
      </c>
      <c r="J27" s="115" t="s">
        <v>98</v>
      </c>
      <c r="K27" s="115" t="s">
        <v>99</v>
      </c>
      <c r="L27" s="115" t="s">
        <v>100</v>
      </c>
      <c r="M27" s="115"/>
      <c r="N27" s="115"/>
      <c r="O27" s="115"/>
      <c r="P27" s="115"/>
      <c r="U27" s="73" t="s">
        <v>101</v>
      </c>
      <c r="W27" s="180">
        <v>10</v>
      </c>
      <c r="X27" s="156">
        <f>1</f>
        <v>1</v>
      </c>
      <c r="Y27" s="157">
        <f t="shared" si="0"/>
        <v>10</v>
      </c>
      <c r="Z27" s="157" t="str">
        <f t="shared" si="1"/>
        <v/>
      </c>
    </row>
    <row r="28" spans="1:27" s="73" customFormat="1" ht="64" customHeight="1" x14ac:dyDescent="0.2">
      <c r="A28" s="77" t="s">
        <v>102</v>
      </c>
      <c r="B28" s="77" t="s">
        <v>103</v>
      </c>
      <c r="C28" s="78" t="s">
        <v>104</v>
      </c>
      <c r="D28" s="78" t="s">
        <v>105</v>
      </c>
      <c r="E28" s="95"/>
      <c r="H28" s="97"/>
      <c r="I28" s="115" t="s">
        <v>40</v>
      </c>
      <c r="J28" s="115"/>
      <c r="K28" s="115"/>
      <c r="L28" s="115"/>
      <c r="M28" s="115"/>
      <c r="N28" s="115"/>
      <c r="O28" s="115"/>
      <c r="P28" s="115"/>
      <c r="U28" s="73" t="s">
        <v>101</v>
      </c>
      <c r="W28" s="180">
        <v>10</v>
      </c>
      <c r="X28" s="156">
        <f>1</f>
        <v>1</v>
      </c>
      <c r="Y28" s="157">
        <f t="shared" si="0"/>
        <v>10</v>
      </c>
      <c r="Z28" s="157" t="str">
        <f t="shared" si="1"/>
        <v/>
      </c>
    </row>
    <row r="29" spans="1:27" s="73" customFormat="1" ht="16" customHeight="1" x14ac:dyDescent="0.2">
      <c r="A29" s="77" t="s">
        <v>72</v>
      </c>
      <c r="B29" s="77" t="s">
        <v>106</v>
      </c>
      <c r="C29" s="78" t="s">
        <v>107</v>
      </c>
      <c r="D29" s="78" t="s">
        <v>108</v>
      </c>
      <c r="E29" s="95"/>
      <c r="H29" s="97"/>
      <c r="I29" s="115" t="s">
        <v>40</v>
      </c>
      <c r="J29" s="115" t="s">
        <v>98</v>
      </c>
      <c r="K29" s="115" t="s">
        <v>99</v>
      </c>
      <c r="L29" s="115" t="s">
        <v>100</v>
      </c>
      <c r="M29" s="115" t="s">
        <v>109</v>
      </c>
      <c r="N29" s="115"/>
      <c r="O29" s="115"/>
      <c r="P29" s="115"/>
      <c r="U29" s="73" t="s">
        <v>101</v>
      </c>
      <c r="W29" s="180">
        <v>10</v>
      </c>
      <c r="X29" s="156">
        <f>1</f>
        <v>1</v>
      </c>
      <c r="Y29" s="157">
        <f t="shared" si="0"/>
        <v>10</v>
      </c>
      <c r="Z29" s="157" t="str">
        <f t="shared" si="1"/>
        <v/>
      </c>
    </row>
    <row r="30" spans="1:27" s="73" customFormat="1" ht="16" customHeight="1" x14ac:dyDescent="0.2">
      <c r="A30" s="77" t="s">
        <v>72</v>
      </c>
      <c r="B30" s="77" t="s">
        <v>110</v>
      </c>
      <c r="C30" s="78" t="s">
        <v>111</v>
      </c>
      <c r="D30" s="78" t="s">
        <v>112</v>
      </c>
      <c r="E30" s="95"/>
      <c r="H30" s="97"/>
      <c r="I30" s="115" t="s">
        <v>40</v>
      </c>
      <c r="J30" s="115"/>
      <c r="K30" s="115"/>
      <c r="L30" s="115"/>
      <c r="M30" s="115" t="s">
        <v>113</v>
      </c>
      <c r="N30" s="115"/>
      <c r="O30" s="115"/>
      <c r="P30" s="115"/>
      <c r="U30" s="73" t="s">
        <v>101</v>
      </c>
      <c r="W30" s="180">
        <v>10</v>
      </c>
      <c r="X30" s="156">
        <f>1</f>
        <v>1</v>
      </c>
      <c r="Y30" s="157">
        <f t="shared" si="0"/>
        <v>10</v>
      </c>
      <c r="Z30" s="157" t="str">
        <f t="shared" si="1"/>
        <v/>
      </c>
    </row>
    <row r="31" spans="1:27" s="73" customFormat="1" ht="64" customHeight="1" x14ac:dyDescent="0.2">
      <c r="A31" s="77" t="s">
        <v>102</v>
      </c>
      <c r="B31" s="77" t="s">
        <v>114</v>
      </c>
      <c r="C31" s="78" t="s">
        <v>104</v>
      </c>
      <c r="D31" s="78" t="s">
        <v>105</v>
      </c>
      <c r="E31" s="95"/>
      <c r="F31" s="77"/>
      <c r="G31" s="77"/>
      <c r="H31" s="97"/>
      <c r="I31" s="115" t="s">
        <v>40</v>
      </c>
      <c r="J31" s="115"/>
      <c r="K31" s="115"/>
      <c r="L31" s="115"/>
      <c r="M31" s="115" t="s">
        <v>109</v>
      </c>
      <c r="N31" s="115"/>
      <c r="O31" s="115"/>
      <c r="P31" s="115"/>
      <c r="U31" s="73" t="s">
        <v>101</v>
      </c>
      <c r="W31" s="180">
        <v>10</v>
      </c>
      <c r="X31" s="156">
        <f>1</f>
        <v>1</v>
      </c>
      <c r="Y31" s="157">
        <f t="shared" si="0"/>
        <v>10</v>
      </c>
      <c r="Z31" s="157" t="str">
        <f t="shared" si="1"/>
        <v/>
      </c>
    </row>
    <row r="32" spans="1:27" s="73" customFormat="1" ht="16" customHeight="1" x14ac:dyDescent="0.2">
      <c r="A32" s="77" t="s">
        <v>72</v>
      </c>
      <c r="B32" s="77" t="s">
        <v>115</v>
      </c>
      <c r="C32" s="78" t="s">
        <v>107</v>
      </c>
      <c r="D32" s="78" t="s">
        <v>108</v>
      </c>
      <c r="E32" s="95"/>
      <c r="H32" s="97"/>
      <c r="I32" s="115" t="s">
        <v>40</v>
      </c>
      <c r="J32" s="115" t="s">
        <v>98</v>
      </c>
      <c r="K32" s="115" t="s">
        <v>99</v>
      </c>
      <c r="L32" s="115" t="s">
        <v>100</v>
      </c>
      <c r="M32" s="115" t="s">
        <v>116</v>
      </c>
      <c r="N32" s="115"/>
      <c r="O32" s="115"/>
      <c r="P32" s="115"/>
      <c r="U32" s="73" t="s">
        <v>101</v>
      </c>
      <c r="W32" s="180">
        <v>10</v>
      </c>
      <c r="X32" s="156">
        <f>1</f>
        <v>1</v>
      </c>
      <c r="Y32" s="157">
        <f t="shared" si="0"/>
        <v>10</v>
      </c>
      <c r="Z32" s="157" t="str">
        <f t="shared" si="1"/>
        <v/>
      </c>
    </row>
    <row r="33" spans="1:27" s="73" customFormat="1" ht="16" customHeight="1" x14ac:dyDescent="0.2">
      <c r="A33" s="77" t="s">
        <v>72</v>
      </c>
      <c r="B33" s="77" t="s">
        <v>117</v>
      </c>
      <c r="C33" s="78" t="s">
        <v>111</v>
      </c>
      <c r="D33" s="78" t="s">
        <v>112</v>
      </c>
      <c r="E33" s="95"/>
      <c r="H33" s="97"/>
      <c r="I33" s="115" t="s">
        <v>40</v>
      </c>
      <c r="J33" s="115"/>
      <c r="K33" s="115"/>
      <c r="L33" s="115"/>
      <c r="M33" s="115" t="s">
        <v>118</v>
      </c>
      <c r="N33" s="115"/>
      <c r="O33" s="115"/>
      <c r="P33" s="115"/>
      <c r="U33" s="73" t="s">
        <v>101</v>
      </c>
      <c r="W33" s="180">
        <v>10</v>
      </c>
      <c r="X33" s="156">
        <f>1</f>
        <v>1</v>
      </c>
      <c r="Y33" s="157">
        <f t="shared" si="0"/>
        <v>10</v>
      </c>
      <c r="Z33" s="157" t="str">
        <f t="shared" si="1"/>
        <v/>
      </c>
    </row>
    <row r="34" spans="1:27" s="74" customFormat="1" x14ac:dyDescent="0.2">
      <c r="C34" s="75"/>
      <c r="D34" s="75"/>
      <c r="E34" s="76"/>
      <c r="H34" s="80"/>
      <c r="I34" s="114"/>
      <c r="J34" s="114"/>
      <c r="K34" s="114"/>
      <c r="L34" s="121"/>
      <c r="M34" s="114"/>
      <c r="N34" s="114"/>
      <c r="O34" s="114"/>
      <c r="P34" s="114"/>
      <c r="W34" s="180"/>
      <c r="X34" s="156">
        <f>1</f>
        <v>1</v>
      </c>
      <c r="Y34" s="157" t="str">
        <f t="shared" si="0"/>
        <v/>
      </c>
      <c r="Z34" s="157" t="str">
        <f t="shared" si="1"/>
        <v/>
      </c>
      <c r="AA34" s="73"/>
    </row>
    <row r="35" spans="1:27" ht="32" customHeight="1" x14ac:dyDescent="0.2">
      <c r="A35" s="72" t="s">
        <v>119</v>
      </c>
      <c r="B35" s="72" t="s">
        <v>120</v>
      </c>
      <c r="C35" s="44" t="s">
        <v>121</v>
      </c>
      <c r="D35" s="204" t="s">
        <v>122</v>
      </c>
      <c r="E35" s="85"/>
      <c r="F35" s="72" t="s">
        <v>123</v>
      </c>
      <c r="G35" s="72" t="s">
        <v>124</v>
      </c>
      <c r="H35" s="86"/>
      <c r="I35" s="113" t="s">
        <v>40</v>
      </c>
      <c r="J35" s="113" t="s">
        <v>125</v>
      </c>
      <c r="K35" s="113"/>
      <c r="L35" s="122"/>
      <c r="M35" s="113"/>
      <c r="N35" s="113"/>
      <c r="O35" s="113"/>
      <c r="P35" s="113"/>
      <c r="U35" s="45" t="s">
        <v>42</v>
      </c>
      <c r="W35" s="180">
        <v>8.8000000000000007</v>
      </c>
      <c r="X35" s="156">
        <f>1</f>
        <v>1</v>
      </c>
      <c r="Y35" s="157">
        <f t="shared" si="0"/>
        <v>8.8000000000000007</v>
      </c>
      <c r="Z35" s="157">
        <f t="shared" si="1"/>
        <v>8.8000000000000007</v>
      </c>
    </row>
    <row r="36" spans="1:27" x14ac:dyDescent="0.2">
      <c r="A36" s="72" t="s">
        <v>26</v>
      </c>
      <c r="B36" s="72" t="s">
        <v>126</v>
      </c>
      <c r="C36" s="44"/>
      <c r="D36" s="72"/>
      <c r="E36" s="85"/>
      <c r="F36" s="72"/>
      <c r="G36" s="72"/>
      <c r="H36" s="86"/>
      <c r="I36" s="113"/>
      <c r="J36" s="113"/>
      <c r="K36" s="113"/>
      <c r="L36" s="113"/>
      <c r="M36" s="113"/>
      <c r="N36" s="113"/>
      <c r="O36" s="113"/>
      <c r="P36" s="113" t="s">
        <v>127</v>
      </c>
      <c r="U36" s="45" t="s">
        <v>42</v>
      </c>
      <c r="W36" s="180"/>
      <c r="X36" s="156">
        <f>1</f>
        <v>1</v>
      </c>
      <c r="Y36" s="157" t="str">
        <f t="shared" si="0"/>
        <v/>
      </c>
      <c r="Z36" s="157" t="str">
        <f t="shared" si="1"/>
        <v/>
      </c>
    </row>
    <row r="37" spans="1:27" ht="32" customHeight="1" x14ac:dyDescent="0.2">
      <c r="A37" s="72" t="s">
        <v>128</v>
      </c>
      <c r="B37" s="72" t="s">
        <v>129</v>
      </c>
      <c r="C37" s="44" t="s">
        <v>130</v>
      </c>
      <c r="D37" s="205" t="s">
        <v>131</v>
      </c>
      <c r="E37" s="85"/>
      <c r="F37" s="72"/>
      <c r="G37" s="44"/>
      <c r="H37" s="86"/>
      <c r="I37" s="113" t="s">
        <v>40</v>
      </c>
      <c r="J37" s="113" t="s">
        <v>125</v>
      </c>
      <c r="K37" s="113"/>
      <c r="L37" s="113"/>
      <c r="M37" s="113"/>
      <c r="N37" s="113" t="s">
        <v>132</v>
      </c>
      <c r="O37" s="113"/>
      <c r="P37" s="113"/>
      <c r="U37" s="45" t="s">
        <v>42</v>
      </c>
      <c r="W37" s="180">
        <v>10.4</v>
      </c>
      <c r="X37" s="156">
        <f>1</f>
        <v>1</v>
      </c>
      <c r="Y37" s="157">
        <f t="shared" si="0"/>
        <v>10.4</v>
      </c>
      <c r="Z37" s="157">
        <f t="shared" si="1"/>
        <v>10.4</v>
      </c>
    </row>
    <row r="38" spans="1:27" x14ac:dyDescent="0.2">
      <c r="A38" s="72" t="s">
        <v>26</v>
      </c>
      <c r="B38" s="72" t="s">
        <v>133</v>
      </c>
      <c r="C38" s="44"/>
      <c r="D38" s="44"/>
      <c r="E38" s="85"/>
      <c r="F38" s="72"/>
      <c r="G38" s="72"/>
      <c r="H38" s="86"/>
      <c r="I38" s="113"/>
      <c r="J38" s="113"/>
      <c r="K38" s="113"/>
      <c r="L38" s="113"/>
      <c r="M38" s="113"/>
      <c r="N38" s="113"/>
      <c r="O38" s="113"/>
      <c r="P38" s="113" t="s">
        <v>134</v>
      </c>
      <c r="U38" s="45" t="s">
        <v>42</v>
      </c>
      <c r="W38" s="180"/>
      <c r="X38" s="156">
        <f>1</f>
        <v>1</v>
      </c>
      <c r="Y38" s="157" t="str">
        <f t="shared" si="0"/>
        <v/>
      </c>
      <c r="Z38" s="157" t="str">
        <f t="shared" si="1"/>
        <v/>
      </c>
    </row>
    <row r="39" spans="1:27" x14ac:dyDescent="0.2">
      <c r="E39" s="85"/>
      <c r="H39" s="86"/>
      <c r="W39" s="180"/>
      <c r="X39" s="156">
        <f>1</f>
        <v>1</v>
      </c>
      <c r="Y39" s="157" t="str">
        <f t="shared" si="0"/>
        <v/>
      </c>
      <c r="Z39" s="157" t="str">
        <f t="shared" si="1"/>
        <v/>
      </c>
    </row>
    <row r="40" spans="1:27" s="46" customFormat="1" ht="64" customHeight="1" x14ac:dyDescent="0.2">
      <c r="A40" s="44" t="s">
        <v>135</v>
      </c>
      <c r="B40" s="44" t="s">
        <v>136</v>
      </c>
      <c r="C40" s="44" t="s">
        <v>137</v>
      </c>
      <c r="D40" s="204" t="s">
        <v>138</v>
      </c>
      <c r="E40" s="85"/>
      <c r="F40" s="72" t="s">
        <v>139</v>
      </c>
      <c r="G40" s="72" t="s">
        <v>140</v>
      </c>
      <c r="H40" s="85"/>
      <c r="I40" s="43" t="s">
        <v>40</v>
      </c>
      <c r="J40" s="43"/>
      <c r="K40" s="43"/>
      <c r="L40" s="43"/>
      <c r="M40" s="43"/>
      <c r="N40" s="43"/>
      <c r="O40" s="43"/>
      <c r="P40" s="43"/>
      <c r="U40" s="46" t="s">
        <v>42</v>
      </c>
      <c r="W40" s="183">
        <v>31.372377395629879</v>
      </c>
      <c r="X40" s="156">
        <f>1</f>
        <v>1</v>
      </c>
      <c r="Y40" s="158">
        <f t="shared" si="0"/>
        <v>31.372377395629879</v>
      </c>
      <c r="Z40" s="158">
        <f t="shared" si="1"/>
        <v>31.372377395629879</v>
      </c>
      <c r="AA40" s="47"/>
    </row>
    <row r="41" spans="1:27" x14ac:dyDescent="0.2">
      <c r="E41" s="85"/>
      <c r="H41" s="86"/>
      <c r="W41" s="180"/>
      <c r="X41" s="156">
        <f>1</f>
        <v>1</v>
      </c>
      <c r="Y41" s="157" t="str">
        <f t="shared" si="0"/>
        <v/>
      </c>
      <c r="Z41" s="157" t="str">
        <f t="shared" si="1"/>
        <v/>
      </c>
    </row>
    <row r="42" spans="1:27" s="73" customFormat="1" ht="16" customHeight="1" thickBot="1" x14ac:dyDescent="0.25">
      <c r="A42" s="93" t="s">
        <v>141</v>
      </c>
      <c r="B42" s="93"/>
      <c r="C42" s="94"/>
      <c r="D42" s="94"/>
      <c r="E42" s="89"/>
      <c r="F42" s="93"/>
      <c r="G42" s="93"/>
      <c r="H42" s="90"/>
      <c r="I42" s="124"/>
      <c r="J42" s="124"/>
      <c r="K42" s="124"/>
      <c r="L42" s="124"/>
      <c r="M42" s="124"/>
      <c r="N42" s="124"/>
      <c r="O42" s="124"/>
      <c r="P42" s="124"/>
      <c r="W42" s="180"/>
      <c r="X42" s="156"/>
      <c r="Y42" s="157" t="str">
        <f t="shared" si="0"/>
        <v/>
      </c>
      <c r="Z42" s="157" t="str">
        <f t="shared" si="1"/>
        <v/>
      </c>
    </row>
    <row r="43" spans="1:27" s="70" customFormat="1" ht="17" customHeight="1" thickTop="1" x14ac:dyDescent="0.2">
      <c r="A43" s="67" t="s">
        <v>68</v>
      </c>
      <c r="B43" s="67" t="s">
        <v>142</v>
      </c>
      <c r="C43" s="91" t="s">
        <v>143</v>
      </c>
      <c r="D43" s="91" t="s">
        <v>144</v>
      </c>
      <c r="E43" s="68"/>
      <c r="F43" s="67"/>
      <c r="G43" s="67"/>
      <c r="H43" s="69"/>
      <c r="I43" s="118" t="s">
        <v>51</v>
      </c>
      <c r="J43" s="118"/>
      <c r="K43" s="118"/>
      <c r="L43" s="118"/>
      <c r="M43" s="118" t="s">
        <v>145</v>
      </c>
      <c r="N43" s="118"/>
      <c r="O43" s="118"/>
      <c r="P43" s="118"/>
      <c r="U43" s="45" t="s">
        <v>42</v>
      </c>
      <c r="W43" s="180"/>
      <c r="X43" s="156"/>
      <c r="Y43" s="157" t="str">
        <f t="shared" si="0"/>
        <v/>
      </c>
      <c r="Z43" s="157" t="str">
        <f t="shared" si="1"/>
        <v/>
      </c>
      <c r="AA43" s="71"/>
    </row>
    <row r="44" spans="1:27" x14ac:dyDescent="0.2">
      <c r="E44" s="85"/>
      <c r="H44" s="86"/>
      <c r="W44" s="180"/>
      <c r="X44" s="156">
        <f>1</f>
        <v>1</v>
      </c>
      <c r="Y44" s="157" t="str">
        <f t="shared" si="0"/>
        <v/>
      </c>
      <c r="Z44" s="157" t="str">
        <f t="shared" si="1"/>
        <v/>
      </c>
    </row>
    <row r="45" spans="1:27" ht="16" customHeight="1" x14ac:dyDescent="0.2">
      <c r="A45" s="72" t="s">
        <v>146</v>
      </c>
      <c r="B45" s="72" t="s">
        <v>147</v>
      </c>
      <c r="C45" s="44" t="s">
        <v>148</v>
      </c>
      <c r="D45" s="44" t="s">
        <v>149</v>
      </c>
      <c r="E45" s="85"/>
      <c r="F45" s="72"/>
      <c r="G45" s="72"/>
      <c r="H45" s="86"/>
      <c r="I45" s="113" t="s">
        <v>40</v>
      </c>
      <c r="J45" s="113"/>
      <c r="K45" s="113"/>
      <c r="L45" s="113"/>
      <c r="M45" s="113"/>
      <c r="N45" s="113"/>
      <c r="O45" s="113"/>
      <c r="P45" s="113"/>
      <c r="U45" s="45" t="s">
        <v>42</v>
      </c>
      <c r="W45" s="199"/>
      <c r="X45" s="200"/>
      <c r="Y45" s="201"/>
      <c r="Z45" s="157"/>
    </row>
    <row r="46" spans="1:27" ht="16" customHeight="1" x14ac:dyDescent="0.2">
      <c r="A46" s="72" t="s">
        <v>89</v>
      </c>
      <c r="B46" s="72" t="s">
        <v>150</v>
      </c>
      <c r="C46" s="44" t="s">
        <v>151</v>
      </c>
      <c r="D46" s="204" t="s">
        <v>152</v>
      </c>
      <c r="E46" s="85"/>
      <c r="F46" s="72"/>
      <c r="G46" s="72"/>
      <c r="H46" s="86"/>
      <c r="I46" s="113" t="s">
        <v>40</v>
      </c>
      <c r="J46" s="113"/>
      <c r="K46" s="113"/>
      <c r="L46" s="113"/>
      <c r="M46" s="113" t="s">
        <v>153</v>
      </c>
      <c r="N46" s="113"/>
      <c r="O46" s="113"/>
      <c r="P46" s="113"/>
      <c r="U46" s="45" t="s">
        <v>42</v>
      </c>
      <c r="W46" s="180">
        <v>10.08573150634766</v>
      </c>
      <c r="X46" s="156">
        <f>1</f>
        <v>1</v>
      </c>
      <c r="Y46" s="157">
        <f t="shared" ref="Y46:Y70" si="2">IF(W46&lt;&gt;"",W46*X46,"")</f>
        <v>10.08573150634766</v>
      </c>
      <c r="Z46" s="157">
        <f t="shared" ref="Z46:Z70" si="3">IF(AND(W46&lt;&gt;"",U46="yes"),W46*X46,"")</f>
        <v>10.08573150634766</v>
      </c>
    </row>
    <row r="47" spans="1:27" x14ac:dyDescent="0.2">
      <c r="D47" s="206"/>
      <c r="E47" s="85"/>
      <c r="H47" s="86"/>
      <c r="W47" s="180"/>
      <c r="X47" s="156">
        <f>1</f>
        <v>1</v>
      </c>
      <c r="Y47" s="157" t="str">
        <f t="shared" si="2"/>
        <v/>
      </c>
      <c r="Z47" s="157" t="str">
        <f t="shared" si="3"/>
        <v/>
      </c>
    </row>
    <row r="48" spans="1:27" ht="32" customHeight="1" x14ac:dyDescent="0.2">
      <c r="A48" s="72" t="s">
        <v>154</v>
      </c>
      <c r="B48" s="72" t="s">
        <v>155</v>
      </c>
      <c r="C48" s="44" t="s">
        <v>156</v>
      </c>
      <c r="D48" s="204" t="s">
        <v>157</v>
      </c>
      <c r="E48" s="85"/>
      <c r="F48" s="72"/>
      <c r="G48" s="72"/>
      <c r="H48" s="86"/>
      <c r="I48" s="113" t="s">
        <v>40</v>
      </c>
      <c r="J48" s="113"/>
      <c r="K48" s="113"/>
      <c r="L48" s="113"/>
      <c r="M48" s="113"/>
      <c r="N48" s="113"/>
      <c r="O48" s="113"/>
      <c r="P48" s="113"/>
      <c r="U48" s="45" t="s">
        <v>42</v>
      </c>
      <c r="W48" s="180">
        <v>12.894034385681151</v>
      </c>
      <c r="X48" s="156">
        <f>1</f>
        <v>1</v>
      </c>
      <c r="Y48" s="157">
        <f t="shared" si="2"/>
        <v>12.894034385681151</v>
      </c>
      <c r="Z48" s="157">
        <f t="shared" si="3"/>
        <v>12.894034385681151</v>
      </c>
    </row>
    <row r="49" spans="1:27" x14ac:dyDescent="0.2">
      <c r="E49" s="85"/>
      <c r="H49" s="86"/>
      <c r="W49" s="180"/>
      <c r="X49" s="156">
        <f>1</f>
        <v>1</v>
      </c>
      <c r="Y49" s="157" t="str">
        <f t="shared" si="2"/>
        <v/>
      </c>
      <c r="Z49" s="157" t="str">
        <f t="shared" si="3"/>
        <v/>
      </c>
    </row>
    <row r="50" spans="1:27" s="73" customFormat="1" ht="32" customHeight="1" x14ac:dyDescent="0.2">
      <c r="A50" s="73" t="s">
        <v>158</v>
      </c>
      <c r="B50" s="73" t="s">
        <v>159</v>
      </c>
      <c r="C50" s="47" t="s">
        <v>160</v>
      </c>
      <c r="D50" s="47" t="s">
        <v>161</v>
      </c>
      <c r="E50" s="95"/>
      <c r="F50" s="96"/>
      <c r="G50" s="96"/>
      <c r="H50" s="97"/>
      <c r="I50" s="120" t="s">
        <v>40</v>
      </c>
      <c r="J50" s="125"/>
      <c r="K50" s="125"/>
      <c r="L50" s="125"/>
      <c r="M50" s="125"/>
      <c r="N50" s="125"/>
      <c r="O50" s="125"/>
      <c r="P50" s="125"/>
      <c r="U50" s="73" t="s">
        <v>42</v>
      </c>
      <c r="W50" s="180">
        <v>15.265829086303709</v>
      </c>
      <c r="X50" s="156">
        <f>1</f>
        <v>1</v>
      </c>
      <c r="Y50" s="157">
        <f t="shared" si="2"/>
        <v>15.265829086303709</v>
      </c>
      <c r="Z50" s="157">
        <f t="shared" si="3"/>
        <v>15.265829086303709</v>
      </c>
    </row>
    <row r="51" spans="1:27" s="73" customFormat="1" ht="32" customHeight="1" x14ac:dyDescent="0.2">
      <c r="A51" s="73" t="s">
        <v>162</v>
      </c>
      <c r="B51" s="73" t="s">
        <v>163</v>
      </c>
      <c r="C51" s="47" t="s">
        <v>164</v>
      </c>
      <c r="D51" s="47" t="s">
        <v>165</v>
      </c>
      <c r="E51" s="95"/>
      <c r="F51" s="96"/>
      <c r="G51" s="96"/>
      <c r="H51" s="97"/>
      <c r="I51" s="120" t="s">
        <v>40</v>
      </c>
      <c r="J51" s="125"/>
      <c r="K51" s="125"/>
      <c r="L51" s="125"/>
      <c r="M51" s="125"/>
      <c r="N51" s="125"/>
      <c r="O51" s="125"/>
      <c r="P51" s="125"/>
      <c r="U51" s="73" t="s">
        <v>42</v>
      </c>
      <c r="W51" s="180">
        <v>15.12371826171875</v>
      </c>
      <c r="X51" s="156">
        <f>1</f>
        <v>1</v>
      </c>
      <c r="Y51" s="157">
        <f t="shared" si="2"/>
        <v>15.12371826171875</v>
      </c>
      <c r="Z51" s="157">
        <f t="shared" si="3"/>
        <v>15.12371826171875</v>
      </c>
    </row>
    <row r="52" spans="1:27" s="73" customFormat="1" ht="16" customHeight="1" x14ac:dyDescent="0.2">
      <c r="A52" s="73" t="s">
        <v>166</v>
      </c>
      <c r="B52" s="73" t="s">
        <v>167</v>
      </c>
      <c r="C52" s="47" t="s">
        <v>168</v>
      </c>
      <c r="D52" s="47" t="s">
        <v>169</v>
      </c>
      <c r="E52" s="95"/>
      <c r="F52" s="96"/>
      <c r="G52" s="96"/>
      <c r="H52" s="97"/>
      <c r="I52" s="120" t="s">
        <v>40</v>
      </c>
      <c r="J52" s="125"/>
      <c r="K52" s="125"/>
      <c r="L52" s="125"/>
      <c r="M52" s="125"/>
      <c r="N52" s="125"/>
      <c r="O52" s="125"/>
      <c r="P52" s="125"/>
      <c r="U52" s="73" t="s">
        <v>42</v>
      </c>
      <c r="W52" s="180">
        <v>13.76013851165771</v>
      </c>
      <c r="X52" s="156">
        <f>1</f>
        <v>1</v>
      </c>
      <c r="Y52" s="157">
        <f t="shared" si="2"/>
        <v>13.76013851165771</v>
      </c>
      <c r="Z52" s="157">
        <f t="shared" si="3"/>
        <v>13.76013851165771</v>
      </c>
    </row>
    <row r="53" spans="1:27" s="73" customFormat="1" x14ac:dyDescent="0.2">
      <c r="C53" s="47"/>
      <c r="D53" s="47"/>
      <c r="E53" s="95"/>
      <c r="F53" s="96"/>
      <c r="G53" s="96"/>
      <c r="H53" s="97"/>
      <c r="I53" s="125"/>
      <c r="J53" s="125"/>
      <c r="K53" s="125"/>
      <c r="L53" s="125"/>
      <c r="M53" s="125"/>
      <c r="N53" s="125"/>
      <c r="O53" s="125"/>
      <c r="P53" s="125"/>
      <c r="W53" s="180"/>
      <c r="X53" s="156">
        <f>1</f>
        <v>1</v>
      </c>
      <c r="Y53" s="157" t="str">
        <f t="shared" si="2"/>
        <v/>
      </c>
      <c r="Z53" s="157" t="str">
        <f t="shared" si="3"/>
        <v/>
      </c>
    </row>
    <row r="54" spans="1:27" s="73" customFormat="1" ht="32" customHeight="1" x14ac:dyDescent="0.2">
      <c r="A54" s="73" t="s">
        <v>170</v>
      </c>
      <c r="B54" s="73" t="s">
        <v>171</v>
      </c>
      <c r="C54" s="47" t="s">
        <v>172</v>
      </c>
      <c r="D54" s="73" t="s">
        <v>173</v>
      </c>
      <c r="E54" s="95"/>
      <c r="F54" s="73" t="s">
        <v>174</v>
      </c>
      <c r="G54" s="73" t="s">
        <v>175</v>
      </c>
      <c r="H54" s="97"/>
      <c r="I54" s="125" t="s">
        <v>40</v>
      </c>
      <c r="J54" s="125"/>
      <c r="K54" s="125"/>
      <c r="L54" s="125"/>
      <c r="M54" s="125"/>
      <c r="N54" s="125"/>
      <c r="O54" s="125"/>
      <c r="P54" s="125"/>
      <c r="U54" s="73" t="s">
        <v>52</v>
      </c>
      <c r="W54" s="180">
        <v>30.646188735961911</v>
      </c>
      <c r="X54" s="156">
        <f>1</f>
        <v>1</v>
      </c>
      <c r="Y54" s="157">
        <f t="shared" si="2"/>
        <v>30.646188735961911</v>
      </c>
      <c r="Z54" s="157" t="str">
        <f t="shared" si="3"/>
        <v/>
      </c>
    </row>
    <row r="55" spans="1:27" s="73" customFormat="1" ht="16" customHeight="1" x14ac:dyDescent="0.2">
      <c r="A55" s="73" t="s">
        <v>82</v>
      </c>
      <c r="B55" s="73" t="s">
        <v>176</v>
      </c>
      <c r="C55" s="47" t="s">
        <v>177</v>
      </c>
      <c r="D55" s="47" t="s">
        <v>178</v>
      </c>
      <c r="E55" s="95"/>
      <c r="F55" s="73" t="s">
        <v>179</v>
      </c>
      <c r="G55" s="73" t="s">
        <v>180</v>
      </c>
      <c r="H55" s="97"/>
      <c r="I55" s="125" t="s">
        <v>40</v>
      </c>
      <c r="J55" s="125"/>
      <c r="K55" s="125" t="s">
        <v>181</v>
      </c>
      <c r="L55" s="125"/>
      <c r="M55" s="125"/>
      <c r="N55" s="125"/>
      <c r="O55" s="125"/>
      <c r="P55" s="125"/>
      <c r="U55" s="73" t="s">
        <v>52</v>
      </c>
      <c r="W55" s="180">
        <v>15.21184825897217</v>
      </c>
      <c r="X55" s="156">
        <f>1</f>
        <v>1</v>
      </c>
      <c r="Y55" s="157">
        <f t="shared" si="2"/>
        <v>15.21184825897217</v>
      </c>
      <c r="Z55" s="157" t="str">
        <f t="shared" si="3"/>
        <v/>
      </c>
    </row>
    <row r="56" spans="1:27" s="73" customFormat="1" ht="32" customHeight="1" x14ac:dyDescent="0.2">
      <c r="A56" s="73" t="s">
        <v>182</v>
      </c>
      <c r="B56" s="73" t="s">
        <v>183</v>
      </c>
      <c r="C56" s="47" t="s">
        <v>184</v>
      </c>
      <c r="D56" s="47" t="s">
        <v>185</v>
      </c>
      <c r="E56" s="95"/>
      <c r="F56" s="73" t="s">
        <v>186</v>
      </c>
      <c r="G56" s="73" t="s">
        <v>187</v>
      </c>
      <c r="H56" s="97"/>
      <c r="I56" s="125" t="s">
        <v>40</v>
      </c>
      <c r="J56" s="125"/>
      <c r="K56" s="125" t="s">
        <v>188</v>
      </c>
      <c r="L56" s="125"/>
      <c r="M56" s="125"/>
      <c r="N56" s="125"/>
      <c r="O56" s="125"/>
      <c r="P56" s="125"/>
      <c r="U56" s="73" t="s">
        <v>52</v>
      </c>
      <c r="W56" s="180">
        <v>17</v>
      </c>
      <c r="X56" s="156">
        <f>1</f>
        <v>1</v>
      </c>
      <c r="Y56" s="157">
        <f t="shared" si="2"/>
        <v>17</v>
      </c>
      <c r="Z56" s="157" t="str">
        <f t="shared" si="3"/>
        <v/>
      </c>
    </row>
    <row r="57" spans="1:27" s="73" customFormat="1" ht="32" customHeight="1" x14ac:dyDescent="0.2">
      <c r="A57" s="73" t="s">
        <v>189</v>
      </c>
      <c r="B57" s="73" t="s">
        <v>190</v>
      </c>
      <c r="C57" s="47" t="s">
        <v>191</v>
      </c>
      <c r="D57" s="47" t="s">
        <v>192</v>
      </c>
      <c r="E57" s="95"/>
      <c r="F57" s="73" t="s">
        <v>186</v>
      </c>
      <c r="G57" s="73" t="s">
        <v>187</v>
      </c>
      <c r="H57" s="97"/>
      <c r="I57" s="125" t="s">
        <v>40</v>
      </c>
      <c r="J57" s="125"/>
      <c r="K57" s="125" t="s">
        <v>188</v>
      </c>
      <c r="L57" s="125"/>
      <c r="M57" s="125"/>
      <c r="N57" s="125"/>
      <c r="O57" s="125"/>
      <c r="P57" s="125"/>
      <c r="U57" s="73" t="s">
        <v>52</v>
      </c>
      <c r="W57" s="180">
        <v>17</v>
      </c>
      <c r="X57" s="156">
        <f>1</f>
        <v>1</v>
      </c>
      <c r="Y57" s="157">
        <f t="shared" si="2"/>
        <v>17</v>
      </c>
      <c r="Z57" s="157" t="str">
        <f t="shared" si="3"/>
        <v/>
      </c>
    </row>
    <row r="58" spans="1:27" s="73" customFormat="1" ht="32" customHeight="1" x14ac:dyDescent="0.2">
      <c r="A58" s="73" t="s">
        <v>193</v>
      </c>
      <c r="B58" s="73" t="s">
        <v>194</v>
      </c>
      <c r="C58" s="47" t="s">
        <v>195</v>
      </c>
      <c r="D58" s="47" t="s">
        <v>196</v>
      </c>
      <c r="E58" s="95"/>
      <c r="H58" s="97"/>
      <c r="I58" s="125" t="s">
        <v>40</v>
      </c>
      <c r="J58" s="125"/>
      <c r="K58" s="125"/>
      <c r="L58" s="125"/>
      <c r="M58" s="125"/>
      <c r="N58" s="125"/>
      <c r="O58" s="125"/>
      <c r="P58" s="125"/>
      <c r="U58" s="73" t="s">
        <v>52</v>
      </c>
      <c r="W58" s="180">
        <v>17</v>
      </c>
      <c r="X58" s="156">
        <f>1</f>
        <v>1</v>
      </c>
      <c r="Y58" s="157">
        <f t="shared" si="2"/>
        <v>17</v>
      </c>
      <c r="Z58" s="157" t="str">
        <f t="shared" si="3"/>
        <v/>
      </c>
    </row>
    <row r="59" spans="1:27" s="73" customFormat="1" ht="16" customHeight="1" x14ac:dyDescent="0.2">
      <c r="A59" s="73" t="s">
        <v>197</v>
      </c>
      <c r="B59" s="73" t="s">
        <v>198</v>
      </c>
      <c r="C59" s="47" t="s">
        <v>199</v>
      </c>
      <c r="D59" s="47" t="s">
        <v>200</v>
      </c>
      <c r="E59" s="95"/>
      <c r="H59" s="97"/>
      <c r="I59" s="125" t="s">
        <v>40</v>
      </c>
      <c r="J59" s="125"/>
      <c r="K59" s="125"/>
      <c r="L59" s="125"/>
      <c r="M59" s="125"/>
      <c r="N59" s="125"/>
      <c r="O59" s="125"/>
      <c r="P59" s="125"/>
      <c r="U59" s="73" t="s">
        <v>52</v>
      </c>
      <c r="W59" s="180">
        <v>8.2288064956665039</v>
      </c>
      <c r="X59" s="156">
        <f>1</f>
        <v>1</v>
      </c>
      <c r="Y59" s="157">
        <f t="shared" si="2"/>
        <v>8.2288064956665039</v>
      </c>
      <c r="Z59" s="157" t="str">
        <f t="shared" si="3"/>
        <v/>
      </c>
    </row>
    <row r="60" spans="1:27" s="74" customFormat="1" x14ac:dyDescent="0.2">
      <c r="C60" s="75"/>
      <c r="D60" s="75"/>
      <c r="E60" s="76"/>
      <c r="H60" s="80"/>
      <c r="I60" s="114"/>
      <c r="J60" s="114"/>
      <c r="K60" s="114"/>
      <c r="L60" s="114"/>
      <c r="M60" s="114"/>
      <c r="N60" s="114"/>
      <c r="O60" s="114"/>
      <c r="P60" s="114"/>
      <c r="W60" s="180"/>
      <c r="X60" s="156">
        <f>1</f>
        <v>1</v>
      </c>
      <c r="Y60" s="157" t="str">
        <f t="shared" si="2"/>
        <v/>
      </c>
      <c r="Z60" s="157" t="str">
        <f t="shared" si="3"/>
        <v/>
      </c>
      <c r="AA60" s="73"/>
    </row>
    <row r="61" spans="1:27" ht="16" customHeight="1" thickBot="1" x14ac:dyDescent="0.25">
      <c r="A61" s="98" t="s">
        <v>141</v>
      </c>
      <c r="B61" s="98"/>
      <c r="C61" s="99"/>
      <c r="D61" s="99"/>
      <c r="E61" s="105"/>
      <c r="F61" s="98"/>
      <c r="G61" s="98"/>
      <c r="H61" s="106"/>
      <c r="I61" s="126"/>
      <c r="J61" s="126"/>
      <c r="K61" s="126"/>
      <c r="L61" s="126"/>
      <c r="M61" s="126"/>
      <c r="N61" s="126"/>
      <c r="O61" s="126"/>
      <c r="P61" s="126"/>
      <c r="W61" s="180"/>
      <c r="X61" s="156">
        <f>1</f>
        <v>1</v>
      </c>
      <c r="Y61" s="157" t="str">
        <f t="shared" si="2"/>
        <v/>
      </c>
      <c r="Z61" s="157" t="str">
        <f t="shared" si="3"/>
        <v/>
      </c>
    </row>
    <row r="62" spans="1:27" s="70" customFormat="1" ht="17" customHeight="1" thickTop="1" x14ac:dyDescent="0.2">
      <c r="A62" s="79" t="s">
        <v>68</v>
      </c>
      <c r="B62" s="79" t="s">
        <v>201</v>
      </c>
      <c r="C62" s="100" t="s">
        <v>202</v>
      </c>
      <c r="D62" s="100" t="s">
        <v>203</v>
      </c>
      <c r="E62" s="164"/>
      <c r="F62" s="79"/>
      <c r="G62" s="79"/>
      <c r="H62" s="165"/>
      <c r="I62" s="127" t="s">
        <v>51</v>
      </c>
      <c r="J62" s="127"/>
      <c r="K62" s="127"/>
      <c r="L62" s="127"/>
      <c r="M62" s="127" t="s">
        <v>145</v>
      </c>
      <c r="N62" s="127"/>
      <c r="O62" s="127"/>
      <c r="P62" s="127"/>
      <c r="U62" s="45" t="s">
        <v>42</v>
      </c>
      <c r="W62" s="180"/>
      <c r="X62" s="156">
        <f>1</f>
        <v>1</v>
      </c>
      <c r="Y62" s="157" t="str">
        <f t="shared" si="2"/>
        <v/>
      </c>
      <c r="Z62" s="157" t="str">
        <f t="shared" si="3"/>
        <v/>
      </c>
      <c r="AA62" s="71"/>
    </row>
    <row r="63" spans="1:27" x14ac:dyDescent="0.2">
      <c r="E63" s="85"/>
      <c r="H63" s="86"/>
      <c r="W63" s="180"/>
      <c r="X63" s="156">
        <f>1</f>
        <v>1</v>
      </c>
      <c r="Y63" s="157" t="str">
        <f t="shared" si="2"/>
        <v/>
      </c>
      <c r="Z63" s="157" t="str">
        <f t="shared" si="3"/>
        <v/>
      </c>
    </row>
    <row r="64" spans="1:27" ht="32" customHeight="1" x14ac:dyDescent="0.2">
      <c r="A64" s="77" t="s">
        <v>204</v>
      </c>
      <c r="B64" s="77" t="s">
        <v>205</v>
      </c>
      <c r="C64" s="78" t="s">
        <v>206</v>
      </c>
      <c r="D64" s="208" t="s">
        <v>207</v>
      </c>
      <c r="E64" s="95"/>
      <c r="F64" s="73" t="s">
        <v>208</v>
      </c>
      <c r="G64" s="45" t="s">
        <v>209</v>
      </c>
      <c r="H64" s="97"/>
      <c r="I64" s="115" t="s">
        <v>40</v>
      </c>
      <c r="J64" s="115" t="s">
        <v>210</v>
      </c>
      <c r="K64" s="115"/>
      <c r="L64" s="115"/>
      <c r="M64" s="115"/>
      <c r="N64" s="115"/>
      <c r="O64" s="115"/>
      <c r="P64" s="115"/>
      <c r="U64" s="45" t="s">
        <v>42</v>
      </c>
      <c r="W64" s="180">
        <v>36.928733825683587</v>
      </c>
      <c r="X64" s="156">
        <f>1</f>
        <v>1</v>
      </c>
      <c r="Y64" s="157">
        <f t="shared" si="2"/>
        <v>36.928733825683587</v>
      </c>
      <c r="Z64" s="157">
        <f t="shared" si="3"/>
        <v>36.928733825683587</v>
      </c>
    </row>
    <row r="65" spans="1:26" x14ac:dyDescent="0.2">
      <c r="A65" s="77" t="s">
        <v>26</v>
      </c>
      <c r="B65" s="77" t="s">
        <v>211</v>
      </c>
      <c r="C65" s="78"/>
      <c r="D65" s="72"/>
      <c r="E65" s="95"/>
      <c r="F65" s="73"/>
      <c r="G65" s="73"/>
      <c r="H65" s="97"/>
      <c r="I65" s="115"/>
      <c r="J65" s="115"/>
      <c r="K65" s="115"/>
      <c r="L65" s="115"/>
      <c r="M65" s="115"/>
      <c r="N65" s="115"/>
      <c r="O65" s="115"/>
      <c r="P65" s="115" t="s">
        <v>212</v>
      </c>
      <c r="U65" s="45" t="s">
        <v>42</v>
      </c>
      <c r="W65" s="180"/>
      <c r="X65" s="156">
        <f>1</f>
        <v>1</v>
      </c>
      <c r="Y65" s="157" t="str">
        <f t="shared" si="2"/>
        <v/>
      </c>
      <c r="Z65" s="157" t="str">
        <f t="shared" si="3"/>
        <v/>
      </c>
    </row>
    <row r="66" spans="1:26" ht="32" customHeight="1" x14ac:dyDescent="0.2">
      <c r="A66" s="77" t="s">
        <v>146</v>
      </c>
      <c r="B66" s="77" t="s">
        <v>213</v>
      </c>
      <c r="C66" s="78" t="s">
        <v>214</v>
      </c>
      <c r="D66" s="209" t="s">
        <v>215</v>
      </c>
      <c r="E66" s="95"/>
      <c r="F66" s="73"/>
      <c r="G66" s="73"/>
      <c r="H66" s="97"/>
      <c r="I66" s="115" t="s">
        <v>40</v>
      </c>
      <c r="J66" s="115"/>
      <c r="K66" s="115"/>
      <c r="L66" s="115"/>
      <c r="M66" s="115" t="s">
        <v>216</v>
      </c>
      <c r="N66" s="115"/>
      <c r="O66" s="115"/>
      <c r="P66" s="115"/>
      <c r="U66" s="45" t="s">
        <v>42</v>
      </c>
      <c r="W66" s="180">
        <v>0</v>
      </c>
      <c r="X66" s="156">
        <f>1</f>
        <v>1</v>
      </c>
      <c r="Y66" s="157">
        <f t="shared" si="2"/>
        <v>0</v>
      </c>
      <c r="Z66" s="157">
        <f t="shared" si="3"/>
        <v>0</v>
      </c>
    </row>
    <row r="67" spans="1:26" ht="32" customHeight="1" x14ac:dyDescent="0.2">
      <c r="A67" s="77" t="s">
        <v>146</v>
      </c>
      <c r="B67" s="77" t="s">
        <v>217</v>
      </c>
      <c r="C67" s="78" t="s">
        <v>218</v>
      </c>
      <c r="D67" s="209" t="s">
        <v>219</v>
      </c>
      <c r="E67" s="95"/>
      <c r="F67" s="73"/>
      <c r="G67" s="73"/>
      <c r="H67" s="97"/>
      <c r="I67" s="115" t="s">
        <v>40</v>
      </c>
      <c r="J67" s="115"/>
      <c r="K67" s="115"/>
      <c r="L67" s="115"/>
      <c r="M67" s="115" t="s">
        <v>220</v>
      </c>
      <c r="N67" s="115"/>
      <c r="O67" s="115"/>
      <c r="P67" s="115"/>
      <c r="U67" s="45" t="s">
        <v>42</v>
      </c>
      <c r="W67" s="180">
        <v>0</v>
      </c>
      <c r="X67" s="156">
        <f>1</f>
        <v>1</v>
      </c>
      <c r="Y67" s="157">
        <f t="shared" si="2"/>
        <v>0</v>
      </c>
      <c r="Z67" s="157">
        <f t="shared" si="3"/>
        <v>0</v>
      </c>
    </row>
    <row r="68" spans="1:26" ht="48" customHeight="1" x14ac:dyDescent="0.2">
      <c r="A68" s="77" t="s">
        <v>146</v>
      </c>
      <c r="B68" s="77" t="s">
        <v>221</v>
      </c>
      <c r="C68" s="78" t="s">
        <v>222</v>
      </c>
      <c r="D68" s="209" t="s">
        <v>223</v>
      </c>
      <c r="E68" s="95"/>
      <c r="F68" s="73"/>
      <c r="G68" s="73"/>
      <c r="H68" s="97"/>
      <c r="I68" s="115" t="s">
        <v>40</v>
      </c>
      <c r="J68" s="115"/>
      <c r="K68" s="115"/>
      <c r="L68" s="115"/>
      <c r="M68" s="115" t="s">
        <v>224</v>
      </c>
      <c r="N68" s="115"/>
      <c r="O68" s="115"/>
      <c r="P68" s="115"/>
      <c r="U68" s="45" t="s">
        <v>42</v>
      </c>
      <c r="W68" s="180">
        <v>0</v>
      </c>
      <c r="X68" s="156">
        <f>1</f>
        <v>1</v>
      </c>
      <c r="Y68" s="157">
        <f t="shared" si="2"/>
        <v>0</v>
      </c>
      <c r="Z68" s="157">
        <f t="shared" si="3"/>
        <v>0</v>
      </c>
    </row>
    <row r="69" spans="1:26" x14ac:dyDescent="0.2">
      <c r="D69" s="45"/>
      <c r="E69" s="85"/>
      <c r="H69" s="86"/>
      <c r="W69" s="180"/>
      <c r="X69" s="156">
        <f>1</f>
        <v>1</v>
      </c>
      <c r="Y69" s="157" t="str">
        <f t="shared" si="2"/>
        <v/>
      </c>
      <c r="Z69" s="157" t="str">
        <f t="shared" si="3"/>
        <v/>
      </c>
    </row>
    <row r="70" spans="1:26" s="73" customFormat="1" ht="48" customHeight="1" x14ac:dyDescent="0.2">
      <c r="A70" s="73" t="s">
        <v>225</v>
      </c>
      <c r="B70" s="73" t="s">
        <v>226</v>
      </c>
      <c r="C70" s="47" t="s">
        <v>227</v>
      </c>
      <c r="D70" s="210" t="s">
        <v>228</v>
      </c>
      <c r="E70" s="95"/>
      <c r="F70" s="73" t="s">
        <v>229</v>
      </c>
      <c r="G70" s="73" t="s">
        <v>230</v>
      </c>
      <c r="H70" s="97"/>
      <c r="I70" s="125" t="s">
        <v>40</v>
      </c>
      <c r="J70" s="125"/>
      <c r="K70" s="125" t="s">
        <v>231</v>
      </c>
      <c r="L70" s="125"/>
      <c r="M70" s="125" t="s">
        <v>232</v>
      </c>
      <c r="N70" s="125"/>
      <c r="O70" s="125"/>
      <c r="P70" s="125"/>
      <c r="U70" s="73" t="s">
        <v>52</v>
      </c>
      <c r="W70" s="180">
        <v>40.047317504882812</v>
      </c>
      <c r="X70" s="156">
        <f>1</f>
        <v>1</v>
      </c>
      <c r="Y70" s="157">
        <f t="shared" si="2"/>
        <v>40.047317504882812</v>
      </c>
      <c r="Z70" s="157" t="str">
        <f t="shared" si="3"/>
        <v/>
      </c>
    </row>
    <row r="71" spans="1:26" x14ac:dyDescent="0.2">
      <c r="D71" s="77"/>
      <c r="E71" s="80"/>
      <c r="G71" s="74"/>
      <c r="H71" s="80"/>
    </row>
    <row r="72" spans="1:26" s="77" customFormat="1" x14ac:dyDescent="0.2">
      <c r="A72" s="77" t="s">
        <v>233</v>
      </c>
      <c r="B72" s="77" t="s">
        <v>234</v>
      </c>
      <c r="C72" s="77" t="s">
        <v>235</v>
      </c>
      <c r="D72" s="77" t="s">
        <v>236</v>
      </c>
      <c r="E72" s="97"/>
      <c r="H72" s="97"/>
      <c r="I72" s="115" t="s">
        <v>40</v>
      </c>
      <c r="J72" s="115"/>
      <c r="K72" s="115"/>
      <c r="L72" s="115"/>
      <c r="M72" s="115" t="s">
        <v>232</v>
      </c>
      <c r="N72" s="115"/>
      <c r="O72" s="115"/>
      <c r="P72" s="115"/>
      <c r="W72" s="181"/>
      <c r="X72" s="202"/>
      <c r="Y72" s="203"/>
      <c r="Z72" s="203"/>
    </row>
    <row r="73" spans="1:26" s="77" customFormat="1" x14ac:dyDescent="0.2">
      <c r="A73" s="77" t="s">
        <v>237</v>
      </c>
      <c r="B73" s="77" t="s">
        <v>238</v>
      </c>
      <c r="C73" s="77" t="s">
        <v>239</v>
      </c>
      <c r="D73" s="77" t="s">
        <v>240</v>
      </c>
      <c r="E73" s="97"/>
      <c r="H73" s="97"/>
      <c r="I73" s="115" t="s">
        <v>40</v>
      </c>
      <c r="J73" s="115"/>
      <c r="K73" s="115"/>
      <c r="L73" s="115"/>
      <c r="M73" s="115" t="s">
        <v>232</v>
      </c>
      <c r="N73" s="115"/>
      <c r="O73" s="115"/>
      <c r="P73" s="115"/>
      <c r="W73" s="181"/>
      <c r="X73" s="202"/>
      <c r="Y73" s="203"/>
      <c r="Z73" s="203"/>
    </row>
    <row r="74" spans="1:26" x14ac:dyDescent="0.2">
      <c r="E74" s="85"/>
      <c r="H74" s="86"/>
      <c r="W74" s="180"/>
      <c r="X74" s="156">
        <f>1</f>
        <v>1</v>
      </c>
      <c r="Y74" s="157" t="str">
        <f t="shared" ref="Y74:Y85" si="4">IF(W74&lt;&gt;"",W74*X74,"")</f>
        <v/>
      </c>
      <c r="Z74" s="157" t="str">
        <f t="shared" ref="Z74:Z85" si="5">IF(AND(W74&lt;&gt;"",U74="yes"),W74*X74,"")</f>
        <v/>
      </c>
    </row>
    <row r="75" spans="1:26" ht="48" customHeight="1" x14ac:dyDescent="0.2">
      <c r="A75" s="77" t="s">
        <v>241</v>
      </c>
      <c r="B75" s="77" t="s">
        <v>242</v>
      </c>
      <c r="C75" s="78" t="s">
        <v>243</v>
      </c>
      <c r="D75" s="209" t="s">
        <v>244</v>
      </c>
      <c r="E75" s="95"/>
      <c r="F75" s="77"/>
      <c r="G75" s="77"/>
      <c r="H75" s="97"/>
      <c r="I75" s="115" t="s">
        <v>40</v>
      </c>
      <c r="J75" s="115"/>
      <c r="K75" s="115"/>
      <c r="L75" s="115"/>
      <c r="M75" s="115" t="s">
        <v>232</v>
      </c>
      <c r="N75" s="115"/>
      <c r="O75" s="115"/>
      <c r="P75" s="115"/>
      <c r="U75" s="45" t="s">
        <v>42</v>
      </c>
      <c r="W75" s="180">
        <v>27.242166519165039</v>
      </c>
      <c r="X75" s="156">
        <f>1</f>
        <v>1</v>
      </c>
      <c r="Y75" s="157">
        <f t="shared" si="4"/>
        <v>27.242166519165039</v>
      </c>
      <c r="Z75" s="157">
        <f t="shared" si="5"/>
        <v>27.242166519165039</v>
      </c>
    </row>
    <row r="76" spans="1:26" x14ac:dyDescent="0.2">
      <c r="D76" s="211"/>
      <c r="E76" s="85"/>
      <c r="H76" s="86"/>
      <c r="W76" s="180"/>
      <c r="X76" s="156">
        <f>1</f>
        <v>1</v>
      </c>
      <c r="Y76" s="157" t="str">
        <f t="shared" si="4"/>
        <v/>
      </c>
      <c r="Z76" s="157" t="str">
        <f t="shared" si="5"/>
        <v/>
      </c>
    </row>
    <row r="77" spans="1:26" ht="32" customHeight="1" x14ac:dyDescent="0.2">
      <c r="A77" s="77" t="s">
        <v>245</v>
      </c>
      <c r="B77" s="77" t="s">
        <v>246</v>
      </c>
      <c r="C77" s="78" t="s">
        <v>247</v>
      </c>
      <c r="D77" s="204" t="s">
        <v>248</v>
      </c>
      <c r="E77" s="95"/>
      <c r="F77" s="73" t="s">
        <v>249</v>
      </c>
      <c r="G77" s="73" t="s">
        <v>250</v>
      </c>
      <c r="H77" s="97"/>
      <c r="I77" s="115" t="s">
        <v>40</v>
      </c>
      <c r="J77" s="115" t="s">
        <v>210</v>
      </c>
      <c r="K77" s="115"/>
      <c r="L77" s="115"/>
      <c r="M77" s="115" t="s">
        <v>232</v>
      </c>
      <c r="N77" s="115" t="s">
        <v>251</v>
      </c>
      <c r="O77" s="115"/>
      <c r="P77" s="115"/>
      <c r="U77" s="45" t="s">
        <v>42</v>
      </c>
      <c r="W77" s="180">
        <v>25.308004379272461</v>
      </c>
      <c r="X77" s="156">
        <f>1</f>
        <v>1</v>
      </c>
      <c r="Y77" s="157">
        <f t="shared" si="4"/>
        <v>25.308004379272461</v>
      </c>
      <c r="Z77" s="157">
        <f t="shared" si="5"/>
        <v>25.308004379272461</v>
      </c>
    </row>
    <row r="78" spans="1:26" x14ac:dyDescent="0.2">
      <c r="A78" s="77" t="s">
        <v>26</v>
      </c>
      <c r="B78" s="77" t="s">
        <v>252</v>
      </c>
      <c r="C78" s="78"/>
      <c r="D78" s="72"/>
      <c r="E78" s="95"/>
      <c r="F78" s="73"/>
      <c r="G78" s="73"/>
      <c r="H78" s="97"/>
      <c r="I78" s="115"/>
      <c r="J78" s="115"/>
      <c r="K78" s="115"/>
      <c r="L78" s="115"/>
      <c r="M78" s="115"/>
      <c r="N78" s="115"/>
      <c r="O78" s="115"/>
      <c r="P78" s="115" t="s">
        <v>253</v>
      </c>
      <c r="U78" s="45" t="s">
        <v>42</v>
      </c>
      <c r="W78" s="180"/>
      <c r="X78" s="156">
        <f>1</f>
        <v>1</v>
      </c>
      <c r="Y78" s="157" t="str">
        <f t="shared" si="4"/>
        <v/>
      </c>
      <c r="Z78" s="157" t="str">
        <f t="shared" si="5"/>
        <v/>
      </c>
    </row>
    <row r="79" spans="1:26" ht="32" customHeight="1" x14ac:dyDescent="0.2">
      <c r="A79" s="77" t="s">
        <v>146</v>
      </c>
      <c r="B79" s="77" t="s">
        <v>254</v>
      </c>
      <c r="C79" s="78" t="s">
        <v>214</v>
      </c>
      <c r="D79" s="209" t="s">
        <v>215</v>
      </c>
      <c r="E79" s="95"/>
      <c r="F79" s="73"/>
      <c r="G79" s="73"/>
      <c r="H79" s="97"/>
      <c r="I79" s="115" t="s">
        <v>40</v>
      </c>
      <c r="J79" s="115"/>
      <c r="K79" s="115"/>
      <c r="L79" s="115"/>
      <c r="M79" s="115" t="s">
        <v>255</v>
      </c>
      <c r="N79" s="115"/>
      <c r="O79" s="115"/>
      <c r="P79" s="115"/>
      <c r="U79" s="45" t="s">
        <v>42</v>
      </c>
      <c r="W79" s="180">
        <v>0</v>
      </c>
      <c r="X79" s="156">
        <f>1</f>
        <v>1</v>
      </c>
      <c r="Y79" s="157">
        <f t="shared" si="4"/>
        <v>0</v>
      </c>
      <c r="Z79" s="157">
        <f t="shared" si="5"/>
        <v>0</v>
      </c>
    </row>
    <row r="80" spans="1:26" ht="32" customHeight="1" x14ac:dyDescent="0.2">
      <c r="A80" s="77" t="s">
        <v>146</v>
      </c>
      <c r="B80" s="77" t="s">
        <v>256</v>
      </c>
      <c r="C80" s="78" t="s">
        <v>218</v>
      </c>
      <c r="D80" s="209" t="s">
        <v>219</v>
      </c>
      <c r="E80" s="95"/>
      <c r="F80" s="73"/>
      <c r="G80" s="73"/>
      <c r="H80" s="97"/>
      <c r="I80" s="115" t="s">
        <v>40</v>
      </c>
      <c r="J80" s="115"/>
      <c r="K80" s="115"/>
      <c r="L80" s="115"/>
      <c r="M80" s="115" t="s">
        <v>257</v>
      </c>
      <c r="N80" s="115"/>
      <c r="O80" s="115"/>
      <c r="P80" s="115"/>
      <c r="U80" s="45" t="s">
        <v>42</v>
      </c>
      <c r="W80" s="180">
        <v>0</v>
      </c>
      <c r="X80" s="156">
        <f>1</f>
        <v>1</v>
      </c>
      <c r="Y80" s="157">
        <f t="shared" si="4"/>
        <v>0</v>
      </c>
      <c r="Z80" s="157">
        <f t="shared" si="5"/>
        <v>0</v>
      </c>
    </row>
    <row r="81" spans="1:27" ht="48" customHeight="1" x14ac:dyDescent="0.2">
      <c r="A81" s="77" t="s">
        <v>146</v>
      </c>
      <c r="B81" s="77" t="s">
        <v>258</v>
      </c>
      <c r="C81" s="78" t="s">
        <v>222</v>
      </c>
      <c r="D81" s="209" t="s">
        <v>223</v>
      </c>
      <c r="E81" s="95"/>
      <c r="F81" s="73"/>
      <c r="G81" s="73"/>
      <c r="H81" s="97"/>
      <c r="I81" s="115" t="s">
        <v>40</v>
      </c>
      <c r="J81" s="115"/>
      <c r="K81" s="115"/>
      <c r="L81" s="115"/>
      <c r="M81" s="115" t="s">
        <v>259</v>
      </c>
      <c r="N81" s="115"/>
      <c r="O81" s="115"/>
      <c r="P81" s="115"/>
      <c r="U81" s="45" t="s">
        <v>42</v>
      </c>
      <c r="W81" s="180">
        <v>0</v>
      </c>
      <c r="X81" s="156">
        <f>1</f>
        <v>1</v>
      </c>
      <c r="Y81" s="157">
        <f t="shared" si="4"/>
        <v>0</v>
      </c>
      <c r="Z81" s="157">
        <f t="shared" si="5"/>
        <v>0</v>
      </c>
    </row>
    <row r="82" spans="1:27" x14ac:dyDescent="0.2">
      <c r="E82" s="85"/>
      <c r="H82" s="86"/>
      <c r="W82" s="180"/>
      <c r="X82" s="156">
        <f>1</f>
        <v>1</v>
      </c>
      <c r="Y82" s="157" t="str">
        <f t="shared" si="4"/>
        <v/>
      </c>
      <c r="Z82" s="157" t="str">
        <f t="shared" si="5"/>
        <v/>
      </c>
    </row>
    <row r="83" spans="1:27" s="73" customFormat="1" ht="48" customHeight="1" x14ac:dyDescent="0.2">
      <c r="A83" s="73" t="s">
        <v>225</v>
      </c>
      <c r="B83" s="73" t="s">
        <v>260</v>
      </c>
      <c r="C83" s="47" t="s">
        <v>261</v>
      </c>
      <c r="D83" s="210" t="s">
        <v>262</v>
      </c>
      <c r="E83" s="95"/>
      <c r="F83" s="73" t="s">
        <v>229</v>
      </c>
      <c r="G83" s="73" t="s">
        <v>263</v>
      </c>
      <c r="H83" s="97"/>
      <c r="I83" s="125" t="s">
        <v>40</v>
      </c>
      <c r="J83" s="125"/>
      <c r="K83" s="125" t="s">
        <v>231</v>
      </c>
      <c r="L83" s="125"/>
      <c r="M83" s="125" t="s">
        <v>264</v>
      </c>
      <c r="N83" s="125"/>
      <c r="O83" s="125"/>
      <c r="P83" s="125"/>
      <c r="U83" s="73" t="s">
        <v>52</v>
      </c>
      <c r="W83" s="180">
        <v>30.828470230102539</v>
      </c>
      <c r="X83" s="156">
        <f>1</f>
        <v>1</v>
      </c>
      <c r="Y83" s="157">
        <f t="shared" si="4"/>
        <v>30.828470230102539</v>
      </c>
      <c r="Z83" s="157" t="str">
        <f t="shared" si="5"/>
        <v/>
      </c>
    </row>
    <row r="84" spans="1:27" s="73" customFormat="1" x14ac:dyDescent="0.2">
      <c r="A84" s="73" t="s">
        <v>265</v>
      </c>
      <c r="B84" s="73" t="s">
        <v>266</v>
      </c>
      <c r="C84" s="73" t="s">
        <v>267</v>
      </c>
      <c r="D84" s="275" t="s">
        <v>268</v>
      </c>
      <c r="E84" s="95"/>
      <c r="F84" s="73" t="s">
        <v>269</v>
      </c>
      <c r="G84" s="73" t="s">
        <v>270</v>
      </c>
      <c r="H84" s="97"/>
      <c r="I84" s="125" t="s">
        <v>51</v>
      </c>
      <c r="J84" s="125"/>
      <c r="K84" s="125"/>
      <c r="L84" s="125"/>
      <c r="M84" s="125" t="s">
        <v>271</v>
      </c>
      <c r="N84" s="125"/>
      <c r="O84" s="125"/>
      <c r="P84" s="125"/>
      <c r="U84" s="73" t="s">
        <v>52</v>
      </c>
      <c r="W84" s="180">
        <v>2.29411768913269</v>
      </c>
      <c r="X84" s="156">
        <f>1</f>
        <v>1</v>
      </c>
      <c r="Y84" s="157">
        <f t="shared" si="4"/>
        <v>2.29411768913269</v>
      </c>
      <c r="Z84" s="157" t="str">
        <f t="shared" si="5"/>
        <v/>
      </c>
    </row>
    <row r="85" spans="1:27" s="73" customFormat="1" x14ac:dyDescent="0.2">
      <c r="C85" s="47"/>
      <c r="D85" s="47"/>
      <c r="E85" s="95"/>
      <c r="H85" s="97"/>
      <c r="I85" s="125"/>
      <c r="J85" s="125"/>
      <c r="K85" s="125"/>
      <c r="L85" s="125"/>
      <c r="M85" s="125"/>
      <c r="N85" s="125"/>
      <c r="O85" s="125"/>
      <c r="P85" s="125"/>
      <c r="W85" s="180"/>
      <c r="X85" s="156">
        <f>1</f>
        <v>1</v>
      </c>
      <c r="Y85" s="157" t="str">
        <f t="shared" si="4"/>
        <v/>
      </c>
      <c r="Z85" s="157" t="str">
        <f t="shared" si="5"/>
        <v/>
      </c>
    </row>
    <row r="86" spans="1:27" s="73" customFormat="1" x14ac:dyDescent="0.2">
      <c r="A86" s="73" t="s">
        <v>233</v>
      </c>
      <c r="B86" s="73" t="s">
        <v>272</v>
      </c>
      <c r="C86" s="73" t="s">
        <v>235</v>
      </c>
      <c r="D86" s="77" t="s">
        <v>236</v>
      </c>
      <c r="E86" s="97"/>
      <c r="H86" s="97"/>
      <c r="I86" s="125" t="s">
        <v>40</v>
      </c>
      <c r="J86" s="125"/>
      <c r="K86" s="125"/>
      <c r="L86" s="125"/>
      <c r="M86" s="125" t="s">
        <v>264</v>
      </c>
      <c r="N86" s="125"/>
      <c r="O86" s="125"/>
      <c r="P86" s="125"/>
      <c r="W86" s="180"/>
      <c r="X86" s="156"/>
      <c r="Y86" s="157"/>
      <c r="Z86" s="157"/>
    </row>
    <row r="87" spans="1:27" s="73" customFormat="1" x14ac:dyDescent="0.2">
      <c r="A87" s="73" t="s">
        <v>237</v>
      </c>
      <c r="B87" s="73" t="s">
        <v>273</v>
      </c>
      <c r="C87" s="73" t="s">
        <v>239</v>
      </c>
      <c r="D87" s="77" t="s">
        <v>240</v>
      </c>
      <c r="E87" s="97"/>
      <c r="H87" s="97"/>
      <c r="I87" s="125" t="s">
        <v>40</v>
      </c>
      <c r="J87" s="125"/>
      <c r="K87" s="125"/>
      <c r="L87" s="125"/>
      <c r="M87" s="125" t="s">
        <v>264</v>
      </c>
      <c r="N87" s="125"/>
      <c r="O87" s="125"/>
      <c r="P87" s="125"/>
      <c r="W87" s="180"/>
      <c r="X87" s="156"/>
      <c r="Y87" s="157"/>
      <c r="Z87" s="157"/>
    </row>
    <row r="88" spans="1:27" s="74" customFormat="1" x14ac:dyDescent="0.2">
      <c r="C88" s="75"/>
      <c r="D88" s="75"/>
      <c r="E88" s="76"/>
      <c r="H88" s="80"/>
      <c r="I88" s="114"/>
      <c r="J88" s="114"/>
      <c r="K88" s="114"/>
      <c r="L88" s="114"/>
      <c r="M88" s="114"/>
      <c r="N88" s="114"/>
      <c r="O88" s="114"/>
      <c r="P88" s="114"/>
      <c r="W88" s="180"/>
      <c r="X88" s="156">
        <f>1</f>
        <v>1</v>
      </c>
      <c r="Y88" s="157" t="str">
        <f t="shared" ref="Y88:Y95" si="6">IF(W88&lt;&gt;"",W88*X88,"")</f>
        <v/>
      </c>
      <c r="Z88" s="157" t="str">
        <f t="shared" ref="Z88:Z95" si="7">IF(AND(W88&lt;&gt;"",U88="yes"),W88*X88,"")</f>
        <v/>
      </c>
      <c r="AA88" s="73"/>
    </row>
    <row r="89" spans="1:27" ht="48" customHeight="1" x14ac:dyDescent="0.2">
      <c r="A89" s="77" t="s">
        <v>241</v>
      </c>
      <c r="B89" s="77" t="s">
        <v>274</v>
      </c>
      <c r="C89" s="78" t="s">
        <v>275</v>
      </c>
      <c r="D89" s="209" t="s">
        <v>276</v>
      </c>
      <c r="E89" s="95"/>
      <c r="F89" s="77"/>
      <c r="G89" s="77"/>
      <c r="H89" s="97"/>
      <c r="I89" s="115" t="s">
        <v>40</v>
      </c>
      <c r="J89" s="115"/>
      <c r="K89" s="115"/>
      <c r="L89" s="115"/>
      <c r="M89" s="115" t="s">
        <v>264</v>
      </c>
      <c r="N89" s="115"/>
      <c r="O89" s="115"/>
      <c r="P89" s="115"/>
      <c r="U89" s="45" t="s">
        <v>42</v>
      </c>
      <c r="W89" s="180">
        <v>21.193256378173832</v>
      </c>
      <c r="X89" s="156">
        <f>1</f>
        <v>1</v>
      </c>
      <c r="Y89" s="157">
        <f t="shared" si="6"/>
        <v>21.193256378173832</v>
      </c>
      <c r="Z89" s="157">
        <f t="shared" si="7"/>
        <v>21.193256378173832</v>
      </c>
    </row>
    <row r="90" spans="1:27" ht="32" customHeight="1" x14ac:dyDescent="0.2">
      <c r="A90" s="77" t="s">
        <v>277</v>
      </c>
      <c r="B90" s="77" t="s">
        <v>278</v>
      </c>
      <c r="C90" s="77" t="s">
        <v>279</v>
      </c>
      <c r="D90" s="204" t="s">
        <v>280</v>
      </c>
      <c r="E90" s="97"/>
      <c r="F90" s="73" t="s">
        <v>249</v>
      </c>
      <c r="G90" s="73" t="s">
        <v>250</v>
      </c>
      <c r="H90" s="97"/>
      <c r="I90" s="115" t="s">
        <v>40</v>
      </c>
      <c r="J90" s="115" t="s">
        <v>210</v>
      </c>
      <c r="K90" s="115"/>
      <c r="L90" s="115"/>
      <c r="M90" s="115" t="s">
        <v>264</v>
      </c>
      <c r="N90" s="115" t="s">
        <v>281</v>
      </c>
      <c r="O90" s="115"/>
      <c r="P90" s="115"/>
      <c r="U90" s="45" t="s">
        <v>42</v>
      </c>
      <c r="W90" s="180">
        <v>20.229927062988281</v>
      </c>
      <c r="X90" s="156">
        <f>1</f>
        <v>1</v>
      </c>
      <c r="Y90" s="157">
        <f t="shared" si="6"/>
        <v>20.229927062988281</v>
      </c>
      <c r="Z90" s="157">
        <f t="shared" si="7"/>
        <v>20.229927062988281</v>
      </c>
    </row>
    <row r="91" spans="1:27" x14ac:dyDescent="0.2">
      <c r="A91" s="77" t="s">
        <v>26</v>
      </c>
      <c r="B91" s="77" t="s">
        <v>282</v>
      </c>
      <c r="C91" s="78"/>
      <c r="D91" s="72"/>
      <c r="E91" s="95"/>
      <c r="F91" s="73"/>
      <c r="G91" s="73"/>
      <c r="H91" s="97"/>
      <c r="I91" s="115"/>
      <c r="J91" s="115"/>
      <c r="K91" s="115"/>
      <c r="L91" s="115"/>
      <c r="M91" s="115"/>
      <c r="N91" s="115"/>
      <c r="O91" s="115"/>
      <c r="P91" s="115" t="s">
        <v>283</v>
      </c>
      <c r="U91" s="45" t="s">
        <v>42</v>
      </c>
      <c r="W91" s="180"/>
      <c r="X91" s="156">
        <f>1</f>
        <v>1</v>
      </c>
      <c r="Y91" s="157" t="str">
        <f t="shared" si="6"/>
        <v/>
      </c>
      <c r="Z91" s="157" t="str">
        <f t="shared" si="7"/>
        <v/>
      </c>
    </row>
    <row r="92" spans="1:27" ht="32" customHeight="1" x14ac:dyDescent="0.2">
      <c r="A92" s="77" t="s">
        <v>146</v>
      </c>
      <c r="B92" s="77" t="s">
        <v>284</v>
      </c>
      <c r="C92" s="78" t="s">
        <v>214</v>
      </c>
      <c r="D92" s="209" t="s">
        <v>215</v>
      </c>
      <c r="E92" s="95"/>
      <c r="F92" s="73"/>
      <c r="G92" s="73"/>
      <c r="H92" s="97"/>
      <c r="I92" s="115" t="s">
        <v>40</v>
      </c>
      <c r="J92" s="115"/>
      <c r="K92" s="115"/>
      <c r="L92" s="115"/>
      <c r="M92" s="115" t="s">
        <v>285</v>
      </c>
      <c r="N92" s="115"/>
      <c r="O92" s="115"/>
      <c r="P92" s="115"/>
      <c r="U92" s="45" t="s">
        <v>42</v>
      </c>
      <c r="W92" s="180">
        <v>0</v>
      </c>
      <c r="X92" s="156">
        <f>1</f>
        <v>1</v>
      </c>
      <c r="Y92" s="157">
        <f t="shared" si="6"/>
        <v>0</v>
      </c>
      <c r="Z92" s="157">
        <f t="shared" si="7"/>
        <v>0</v>
      </c>
    </row>
    <row r="93" spans="1:27" ht="32" customHeight="1" x14ac:dyDescent="0.2">
      <c r="A93" s="77" t="s">
        <v>146</v>
      </c>
      <c r="B93" s="77" t="s">
        <v>286</v>
      </c>
      <c r="C93" s="78" t="s">
        <v>218</v>
      </c>
      <c r="D93" s="209" t="s">
        <v>219</v>
      </c>
      <c r="E93" s="95"/>
      <c r="F93" s="73"/>
      <c r="G93" s="73"/>
      <c r="H93" s="97"/>
      <c r="I93" s="115" t="s">
        <v>40</v>
      </c>
      <c r="J93" s="115"/>
      <c r="K93" s="115"/>
      <c r="L93" s="115"/>
      <c r="M93" s="115" t="s">
        <v>287</v>
      </c>
      <c r="N93" s="115"/>
      <c r="O93" s="115"/>
      <c r="P93" s="115"/>
      <c r="U93" s="45" t="s">
        <v>42</v>
      </c>
      <c r="W93" s="180">
        <v>0</v>
      </c>
      <c r="X93" s="156">
        <f>1</f>
        <v>1</v>
      </c>
      <c r="Y93" s="157">
        <f t="shared" si="6"/>
        <v>0</v>
      </c>
      <c r="Z93" s="157">
        <f t="shared" si="7"/>
        <v>0</v>
      </c>
    </row>
    <row r="94" spans="1:27" ht="48" customHeight="1" x14ac:dyDescent="0.2">
      <c r="A94" s="77" t="s">
        <v>146</v>
      </c>
      <c r="B94" s="77" t="s">
        <v>288</v>
      </c>
      <c r="C94" s="78" t="s">
        <v>222</v>
      </c>
      <c r="D94" s="209" t="s">
        <v>223</v>
      </c>
      <c r="E94" s="95"/>
      <c r="F94" s="73"/>
      <c r="G94" s="73"/>
      <c r="H94" s="97"/>
      <c r="I94" s="115" t="s">
        <v>40</v>
      </c>
      <c r="J94" s="115"/>
      <c r="K94" s="115"/>
      <c r="L94" s="115"/>
      <c r="M94" s="115" t="s">
        <v>289</v>
      </c>
      <c r="N94" s="115"/>
      <c r="O94" s="115"/>
      <c r="P94" s="115"/>
      <c r="U94" s="45" t="s">
        <v>42</v>
      </c>
      <c r="W94" s="180">
        <v>0</v>
      </c>
      <c r="X94" s="156">
        <f>1</f>
        <v>1</v>
      </c>
      <c r="Y94" s="157">
        <f t="shared" si="6"/>
        <v>0</v>
      </c>
      <c r="Z94" s="157">
        <f t="shared" si="7"/>
        <v>0</v>
      </c>
    </row>
    <row r="95" spans="1:27" ht="48" customHeight="1" x14ac:dyDescent="0.2">
      <c r="A95" s="77" t="s">
        <v>241</v>
      </c>
      <c r="B95" s="77" t="s">
        <v>290</v>
      </c>
      <c r="C95" s="78" t="s">
        <v>291</v>
      </c>
      <c r="D95" s="209" t="s">
        <v>292</v>
      </c>
      <c r="E95" s="95"/>
      <c r="F95" s="77"/>
      <c r="G95" s="77"/>
      <c r="H95" s="97"/>
      <c r="I95" s="115" t="s">
        <v>40</v>
      </c>
      <c r="J95" s="115"/>
      <c r="K95" s="115"/>
      <c r="L95" s="115"/>
      <c r="M95" s="115" t="s">
        <v>293</v>
      </c>
      <c r="N95" s="115"/>
      <c r="O95" s="115"/>
      <c r="P95" s="115"/>
      <c r="U95" s="45" t="s">
        <v>42</v>
      </c>
      <c r="W95" s="180">
        <v>16.348396301269531</v>
      </c>
      <c r="X95" s="156">
        <f>1</f>
        <v>1</v>
      </c>
      <c r="Y95" s="157">
        <f t="shared" si="6"/>
        <v>16.348396301269531</v>
      </c>
      <c r="Z95" s="157">
        <f t="shared" si="7"/>
        <v>16.348396301269531</v>
      </c>
    </row>
    <row r="96" spans="1:27" x14ac:dyDescent="0.2">
      <c r="A96" s="77"/>
      <c r="B96" s="77"/>
      <c r="C96" s="78"/>
      <c r="D96" s="209"/>
      <c r="E96" s="95"/>
      <c r="F96" s="73"/>
      <c r="G96" s="73"/>
      <c r="H96" s="97"/>
      <c r="I96" s="115"/>
      <c r="J96" s="115"/>
      <c r="K96" s="115"/>
      <c r="L96" s="115"/>
      <c r="M96" s="115"/>
      <c r="N96" s="115"/>
      <c r="O96" s="115"/>
      <c r="P96" s="115"/>
      <c r="W96" s="180"/>
      <c r="Y96" s="157"/>
      <c r="Z96" s="157"/>
    </row>
    <row r="97" spans="1:27" x14ac:dyDescent="0.2">
      <c r="D97" s="211"/>
      <c r="E97" s="85"/>
      <c r="H97" s="86"/>
      <c r="M97" s="125"/>
      <c r="W97" s="180"/>
      <c r="X97" s="156">
        <f>1</f>
        <v>1</v>
      </c>
      <c r="Y97" s="157" t="str">
        <f t="shared" ref="Y97:Y133" si="8">IF(W97&lt;&gt;"",W97*X97,"")</f>
        <v/>
      </c>
      <c r="Z97" s="157" t="str">
        <f t="shared" ref="Z97:Z131" si="9">IF(AND(W97&lt;&gt;"",U97="yes"),W97*X97,"")</f>
        <v/>
      </c>
    </row>
    <row r="98" spans="1:27" s="74" customFormat="1" x14ac:dyDescent="0.2">
      <c r="C98" s="75"/>
      <c r="D98" s="75"/>
      <c r="E98" s="76"/>
      <c r="H98" s="80"/>
      <c r="I98" s="114"/>
      <c r="J98" s="114"/>
      <c r="K98" s="114"/>
      <c r="L98" s="114"/>
      <c r="M98" s="114"/>
      <c r="N98" s="114"/>
      <c r="O98" s="114"/>
      <c r="P98" s="114"/>
      <c r="W98" s="180"/>
      <c r="X98" s="156">
        <f>1</f>
        <v>1</v>
      </c>
      <c r="Y98" s="157" t="str">
        <f t="shared" si="8"/>
        <v/>
      </c>
      <c r="Z98" s="157" t="str">
        <f t="shared" si="9"/>
        <v/>
      </c>
      <c r="AA98" s="73"/>
    </row>
    <row r="99" spans="1:27" ht="80" customHeight="1" x14ac:dyDescent="0.2">
      <c r="A99" s="77" t="s">
        <v>294</v>
      </c>
      <c r="B99" s="77" t="s">
        <v>295</v>
      </c>
      <c r="C99" s="78" t="s">
        <v>296</v>
      </c>
      <c r="D99" s="209" t="s">
        <v>297</v>
      </c>
      <c r="E99" s="95"/>
      <c r="F99" s="77" t="s">
        <v>298</v>
      </c>
      <c r="G99" s="77" t="s">
        <v>299</v>
      </c>
      <c r="H99" s="97"/>
      <c r="I99" s="115" t="s">
        <v>40</v>
      </c>
      <c r="J99" s="115"/>
      <c r="K99" s="115" t="s">
        <v>300</v>
      </c>
      <c r="L99" s="115"/>
      <c r="M99" s="115"/>
      <c r="N99" s="115"/>
      <c r="O99" s="115"/>
      <c r="P99" s="115"/>
      <c r="U99" s="45" t="s">
        <v>42</v>
      </c>
      <c r="W99" s="180">
        <v>46.247528076171882</v>
      </c>
      <c r="X99" s="156">
        <f>1</f>
        <v>1</v>
      </c>
      <c r="Y99" s="157">
        <f t="shared" si="8"/>
        <v>46.247528076171882</v>
      </c>
      <c r="Z99" s="157">
        <f t="shared" si="9"/>
        <v>46.247528076171882</v>
      </c>
    </row>
    <row r="100" spans="1:27" x14ac:dyDescent="0.2">
      <c r="D100" s="45"/>
      <c r="E100" s="85"/>
      <c r="H100" s="86"/>
      <c r="W100" s="180"/>
      <c r="X100" s="156">
        <f>1</f>
        <v>1</v>
      </c>
      <c r="Y100" s="157" t="str">
        <f t="shared" si="8"/>
        <v/>
      </c>
      <c r="Z100" s="157" t="str">
        <f t="shared" si="9"/>
        <v/>
      </c>
    </row>
    <row r="101" spans="1:27" ht="16" customHeight="1" thickBot="1" x14ac:dyDescent="0.25">
      <c r="A101" s="93" t="s">
        <v>141</v>
      </c>
      <c r="B101" s="93"/>
      <c r="C101" s="94"/>
      <c r="D101" s="94"/>
      <c r="E101" s="89"/>
      <c r="F101" s="93"/>
      <c r="G101" s="93"/>
      <c r="H101" s="90"/>
      <c r="I101" s="124"/>
      <c r="J101" s="124"/>
      <c r="K101" s="124"/>
      <c r="L101" s="124"/>
      <c r="M101" s="124"/>
      <c r="N101" s="124"/>
      <c r="O101" s="124"/>
      <c r="P101" s="124"/>
      <c r="W101" s="180"/>
      <c r="X101" s="73"/>
      <c r="Y101" s="157" t="str">
        <f t="shared" si="8"/>
        <v/>
      </c>
      <c r="Z101" s="157" t="str">
        <f t="shared" si="9"/>
        <v/>
      </c>
    </row>
    <row r="102" spans="1:27" s="70" customFormat="1" ht="17" customHeight="1" thickTop="1" x14ac:dyDescent="0.2">
      <c r="A102" s="67" t="s">
        <v>68</v>
      </c>
      <c r="B102" s="67" t="s">
        <v>301</v>
      </c>
      <c r="C102" s="91" t="s">
        <v>302</v>
      </c>
      <c r="D102" s="212" t="s">
        <v>303</v>
      </c>
      <c r="E102" s="68"/>
      <c r="F102" s="67"/>
      <c r="G102" s="67"/>
      <c r="H102" s="69"/>
      <c r="I102" s="118" t="s">
        <v>51</v>
      </c>
      <c r="J102" s="118"/>
      <c r="K102" s="118"/>
      <c r="L102" s="118"/>
      <c r="M102" s="118" t="s">
        <v>304</v>
      </c>
      <c r="N102" s="118"/>
      <c r="O102" s="118"/>
      <c r="P102" s="118"/>
      <c r="U102" s="45" t="s">
        <v>42</v>
      </c>
      <c r="W102" s="180"/>
      <c r="X102" s="71"/>
      <c r="Y102" s="157" t="str">
        <f t="shared" si="8"/>
        <v/>
      </c>
      <c r="Z102" s="157" t="str">
        <f t="shared" si="9"/>
        <v/>
      </c>
      <c r="AA102" s="71"/>
    </row>
    <row r="103" spans="1:27" s="46" customFormat="1" ht="64" customHeight="1" x14ac:dyDescent="0.2">
      <c r="A103" s="44" t="s">
        <v>45</v>
      </c>
      <c r="B103" s="44" t="s">
        <v>305</v>
      </c>
      <c r="C103" s="44" t="s">
        <v>306</v>
      </c>
      <c r="D103" s="209" t="s">
        <v>307</v>
      </c>
      <c r="E103" s="85"/>
      <c r="F103" s="44"/>
      <c r="G103" s="44"/>
      <c r="H103" s="85"/>
      <c r="I103" s="43"/>
      <c r="J103" s="43"/>
      <c r="K103" s="43"/>
      <c r="L103" s="43"/>
      <c r="M103" s="43"/>
      <c r="N103" s="43"/>
      <c r="O103" s="43"/>
      <c r="P103" s="43"/>
      <c r="U103" s="46" t="s">
        <v>42</v>
      </c>
      <c r="W103" s="183">
        <v>7.5</v>
      </c>
      <c r="X103" s="159">
        <f>'Additional information'!$D$18</f>
        <v>0.91</v>
      </c>
      <c r="Y103" s="158">
        <f t="shared" si="8"/>
        <v>6.8250000000000002</v>
      </c>
      <c r="Z103" s="158">
        <f t="shared" si="9"/>
        <v>6.8250000000000002</v>
      </c>
      <c r="AA103" s="47"/>
    </row>
    <row r="104" spans="1:27" x14ac:dyDescent="0.2">
      <c r="D104" s="211"/>
      <c r="E104" s="85"/>
      <c r="H104" s="86"/>
      <c r="W104" s="180"/>
      <c r="X104" s="156">
        <f>'Additional information'!$D$18</f>
        <v>0.91</v>
      </c>
      <c r="Y104" s="157" t="str">
        <f t="shared" si="8"/>
        <v/>
      </c>
      <c r="Z104" s="157" t="str">
        <f t="shared" si="9"/>
        <v/>
      </c>
    </row>
    <row r="105" spans="1:27" s="73" customFormat="1" ht="16" customHeight="1" x14ac:dyDescent="0.2">
      <c r="A105" s="77" t="s">
        <v>225</v>
      </c>
      <c r="B105" s="77" t="s">
        <v>308</v>
      </c>
      <c r="C105" s="78" t="s">
        <v>309</v>
      </c>
      <c r="D105" s="204" t="s">
        <v>310</v>
      </c>
      <c r="E105" s="95"/>
      <c r="F105" s="77" t="s">
        <v>311</v>
      </c>
      <c r="G105" s="77" t="s">
        <v>312</v>
      </c>
      <c r="H105" s="97"/>
      <c r="I105" s="115" t="s">
        <v>40</v>
      </c>
      <c r="J105" s="115"/>
      <c r="K105" s="115" t="s">
        <v>313</v>
      </c>
      <c r="L105" s="115"/>
      <c r="M105" s="115"/>
      <c r="N105" s="115"/>
      <c r="O105" s="115"/>
      <c r="P105" s="115"/>
      <c r="U105" s="73" t="s">
        <v>42</v>
      </c>
      <c r="W105" s="180">
        <v>17</v>
      </c>
      <c r="X105" s="156">
        <f>'Additional information'!$D$18</f>
        <v>0.91</v>
      </c>
      <c r="Y105" s="157">
        <f t="shared" si="8"/>
        <v>15.47</v>
      </c>
      <c r="Z105" s="157">
        <f t="shared" si="9"/>
        <v>15.47</v>
      </c>
    </row>
    <row r="106" spans="1:27" s="73" customFormat="1" ht="16" customHeight="1" x14ac:dyDescent="0.2">
      <c r="A106" s="77" t="s">
        <v>314</v>
      </c>
      <c r="B106" s="77" t="s">
        <v>315</v>
      </c>
      <c r="C106" s="78" t="s">
        <v>316</v>
      </c>
      <c r="D106" s="209" t="s">
        <v>317</v>
      </c>
      <c r="E106" s="95"/>
      <c r="F106" s="77" t="s">
        <v>318</v>
      </c>
      <c r="G106" s="213" t="s">
        <v>319</v>
      </c>
      <c r="H106" s="97"/>
      <c r="I106" s="115" t="s">
        <v>40</v>
      </c>
      <c r="J106" s="115"/>
      <c r="K106" s="115"/>
      <c r="L106" s="115"/>
      <c r="M106" s="115" t="s">
        <v>320</v>
      </c>
      <c r="N106" s="115"/>
      <c r="O106" s="115"/>
      <c r="P106" s="115"/>
      <c r="U106" s="73" t="s">
        <v>42</v>
      </c>
      <c r="W106" s="180">
        <v>0</v>
      </c>
      <c r="X106" s="156">
        <f>'Additional information'!$D$18</f>
        <v>0.91</v>
      </c>
      <c r="Y106" s="157">
        <f t="shared" si="8"/>
        <v>0</v>
      </c>
      <c r="Z106" s="157">
        <f t="shared" si="9"/>
        <v>0</v>
      </c>
    </row>
    <row r="107" spans="1:27" s="70" customFormat="1" x14ac:dyDescent="0.2">
      <c r="C107" s="92"/>
      <c r="E107" s="68"/>
      <c r="H107" s="69"/>
      <c r="I107" s="119"/>
      <c r="J107" s="119"/>
      <c r="K107" s="119"/>
      <c r="L107" s="119"/>
      <c r="M107" s="119"/>
      <c r="N107" s="119"/>
      <c r="O107" s="119"/>
      <c r="P107" s="119"/>
      <c r="U107" s="45"/>
      <c r="W107" s="180"/>
      <c r="X107" s="156">
        <f>'Additional information'!$D$18</f>
        <v>0.91</v>
      </c>
      <c r="Y107" s="157" t="str">
        <f t="shared" si="8"/>
        <v/>
      </c>
      <c r="Z107" s="157" t="str">
        <f t="shared" si="9"/>
        <v/>
      </c>
      <c r="AA107" s="71"/>
    </row>
    <row r="108" spans="1:27" ht="32" customHeight="1" x14ac:dyDescent="0.2">
      <c r="A108" s="72" t="s">
        <v>321</v>
      </c>
      <c r="B108" s="72" t="s">
        <v>322</v>
      </c>
      <c r="C108" s="44" t="s">
        <v>323</v>
      </c>
      <c r="D108" s="204" t="s">
        <v>324</v>
      </c>
      <c r="E108" s="85"/>
      <c r="F108" s="72" t="s">
        <v>325</v>
      </c>
      <c r="G108" s="72" t="s">
        <v>326</v>
      </c>
      <c r="H108" s="86"/>
      <c r="I108" s="113" t="s">
        <v>40</v>
      </c>
      <c r="J108" s="113" t="s">
        <v>125</v>
      </c>
      <c r="K108" s="113"/>
      <c r="L108" s="113"/>
      <c r="M108" s="113"/>
      <c r="N108" s="113"/>
      <c r="O108" s="113"/>
      <c r="P108" s="113"/>
      <c r="U108" s="45" t="s">
        <v>42</v>
      </c>
      <c r="W108" s="180">
        <v>27.057552337646481</v>
      </c>
      <c r="X108" s="156">
        <f>'Additional information'!$D$18</f>
        <v>0.91</v>
      </c>
      <c r="Y108" s="157">
        <f t="shared" si="8"/>
        <v>24.622372627258297</v>
      </c>
      <c r="Z108" s="157">
        <f t="shared" si="9"/>
        <v>24.622372627258297</v>
      </c>
    </row>
    <row r="109" spans="1:27" x14ac:dyDescent="0.2">
      <c r="A109" s="72" t="s">
        <v>26</v>
      </c>
      <c r="B109" s="72" t="s">
        <v>327</v>
      </c>
      <c r="C109" s="44"/>
      <c r="D109" s="72"/>
      <c r="E109" s="85"/>
      <c r="H109" s="86"/>
      <c r="I109" s="113"/>
      <c r="J109" s="113"/>
      <c r="K109" s="113"/>
      <c r="L109" s="113"/>
      <c r="M109" s="113"/>
      <c r="N109" s="113"/>
      <c r="O109" s="113"/>
      <c r="P109" s="113" t="s">
        <v>328</v>
      </c>
      <c r="U109" s="45" t="s">
        <v>42</v>
      </c>
      <c r="W109" s="180"/>
      <c r="X109" s="156">
        <f>'Additional information'!$D$18</f>
        <v>0.91</v>
      </c>
      <c r="Y109" s="157" t="str">
        <f t="shared" si="8"/>
        <v/>
      </c>
      <c r="Z109" s="157" t="str">
        <f t="shared" si="9"/>
        <v/>
      </c>
    </row>
    <row r="110" spans="1:27" ht="16" customHeight="1" x14ac:dyDescent="0.2">
      <c r="A110" s="72" t="s">
        <v>329</v>
      </c>
      <c r="B110" s="72" t="s">
        <v>330</v>
      </c>
      <c r="C110" s="44" t="s">
        <v>331</v>
      </c>
      <c r="D110" s="209" t="s">
        <v>332</v>
      </c>
      <c r="E110" s="85"/>
      <c r="H110" s="86"/>
      <c r="I110" s="113" t="s">
        <v>40</v>
      </c>
      <c r="J110" s="113"/>
      <c r="K110" s="113"/>
      <c r="L110" s="113"/>
      <c r="M110" s="113" t="s">
        <v>333</v>
      </c>
      <c r="N110" s="113"/>
      <c r="O110" s="113"/>
      <c r="P110" s="113"/>
      <c r="U110" s="45" t="s">
        <v>42</v>
      </c>
      <c r="W110" s="180">
        <v>0</v>
      </c>
      <c r="X110" s="156">
        <f>'Additional information'!$D$18</f>
        <v>0.91</v>
      </c>
      <c r="Y110" s="157">
        <f t="shared" si="8"/>
        <v>0</v>
      </c>
      <c r="Z110" s="157">
        <f t="shared" si="9"/>
        <v>0</v>
      </c>
    </row>
    <row r="111" spans="1:27" s="73" customFormat="1" x14ac:dyDescent="0.2">
      <c r="C111" s="47"/>
      <c r="D111" s="211"/>
      <c r="E111" s="95"/>
      <c r="H111" s="97"/>
      <c r="I111" s="125"/>
      <c r="J111" s="125"/>
      <c r="K111" s="125"/>
      <c r="L111" s="125"/>
      <c r="M111" s="125"/>
      <c r="N111" s="125"/>
      <c r="O111" s="125"/>
      <c r="P111" s="125"/>
      <c r="W111" s="180"/>
      <c r="X111" s="156">
        <f>'Additional information'!$D$18</f>
        <v>0.91</v>
      </c>
      <c r="Y111" s="157" t="str">
        <f t="shared" si="8"/>
        <v/>
      </c>
      <c r="Z111" s="157" t="str">
        <f t="shared" si="9"/>
        <v/>
      </c>
    </row>
    <row r="112" spans="1:27" ht="31.75" customHeight="1" x14ac:dyDescent="0.2">
      <c r="A112" s="72" t="s">
        <v>334</v>
      </c>
      <c r="B112" s="72" t="s">
        <v>335</v>
      </c>
      <c r="C112" s="72" t="s">
        <v>336</v>
      </c>
      <c r="D112" s="204" t="s">
        <v>337</v>
      </c>
      <c r="E112" s="86"/>
      <c r="H112" s="86"/>
      <c r="I112" s="113" t="s">
        <v>40</v>
      </c>
      <c r="J112" s="113"/>
      <c r="K112" s="113"/>
      <c r="L112" s="113"/>
      <c r="M112" s="113" t="s">
        <v>338</v>
      </c>
      <c r="N112" s="113"/>
      <c r="O112" s="113"/>
      <c r="P112" s="113"/>
      <c r="U112" s="45" t="s">
        <v>42</v>
      </c>
      <c r="W112" s="180">
        <v>15.95429515838623</v>
      </c>
      <c r="X112" s="156">
        <f>'Additional information'!$D$18</f>
        <v>0.91</v>
      </c>
      <c r="Y112" s="157">
        <f t="shared" si="8"/>
        <v>14.51840859413147</v>
      </c>
      <c r="Z112" s="157">
        <f t="shared" si="9"/>
        <v>14.51840859413147</v>
      </c>
    </row>
    <row r="113" spans="1:27" ht="15.75" customHeight="1" x14ac:dyDescent="0.2">
      <c r="A113" s="72" t="s">
        <v>72</v>
      </c>
      <c r="B113" s="72" t="s">
        <v>339</v>
      </c>
      <c r="C113" s="78" t="s">
        <v>340</v>
      </c>
      <c r="D113" s="44" t="s">
        <v>341</v>
      </c>
      <c r="E113" s="95"/>
      <c r="F113" s="73" t="s">
        <v>342</v>
      </c>
      <c r="G113" s="73" t="s">
        <v>343</v>
      </c>
      <c r="H113" s="86"/>
      <c r="I113" s="113" t="s">
        <v>40</v>
      </c>
      <c r="J113" s="113"/>
      <c r="K113" s="113"/>
      <c r="L113" s="113"/>
      <c r="M113" s="113" t="s">
        <v>344</v>
      </c>
      <c r="N113" s="113"/>
      <c r="O113" s="113"/>
      <c r="P113" s="113"/>
      <c r="U113" s="45" t="s">
        <v>42</v>
      </c>
      <c r="W113" s="180"/>
      <c r="X113" s="156">
        <f>'Additional information'!$D$18</f>
        <v>0.91</v>
      </c>
      <c r="Y113" s="157" t="str">
        <f t="shared" si="8"/>
        <v/>
      </c>
      <c r="Z113" s="157" t="str">
        <f t="shared" si="9"/>
        <v/>
      </c>
    </row>
    <row r="114" spans="1:27" s="74" customFormat="1" ht="15.75" customHeight="1" x14ac:dyDescent="0.2">
      <c r="C114" s="75"/>
      <c r="E114" s="76"/>
      <c r="H114" s="80"/>
      <c r="I114" s="114"/>
      <c r="J114" s="114"/>
      <c r="K114" s="114"/>
      <c r="L114" s="114"/>
      <c r="M114" s="114"/>
      <c r="N114" s="114"/>
      <c r="O114" s="114"/>
      <c r="P114" s="114"/>
      <c r="W114" s="180"/>
      <c r="X114" s="156">
        <f>'Additional information'!$D$18</f>
        <v>0.91</v>
      </c>
      <c r="Y114" s="157" t="str">
        <f t="shared" si="8"/>
        <v/>
      </c>
      <c r="Z114" s="157" t="str">
        <f t="shared" si="9"/>
        <v/>
      </c>
      <c r="AA114" s="73"/>
    </row>
    <row r="115" spans="1:27" s="74" customFormat="1" x14ac:dyDescent="0.2">
      <c r="C115" s="75"/>
      <c r="E115" s="76"/>
      <c r="G115" s="45"/>
      <c r="H115" s="80"/>
      <c r="I115" s="114"/>
      <c r="J115" s="114"/>
      <c r="K115" s="114"/>
      <c r="L115" s="114"/>
      <c r="M115" s="114"/>
      <c r="N115" s="114"/>
      <c r="O115" s="114"/>
      <c r="P115" s="114"/>
      <c r="W115" s="180"/>
      <c r="X115" s="156">
        <f>'Additional information'!$D$18</f>
        <v>0.91</v>
      </c>
      <c r="Y115" s="157" t="str">
        <f t="shared" si="8"/>
        <v/>
      </c>
      <c r="Z115" s="157" t="str">
        <f t="shared" si="9"/>
        <v/>
      </c>
      <c r="AA115" s="73"/>
    </row>
    <row r="116" spans="1:27" ht="32" customHeight="1" x14ac:dyDescent="0.2">
      <c r="A116" s="72" t="s">
        <v>241</v>
      </c>
      <c r="B116" s="72" t="s">
        <v>345</v>
      </c>
      <c r="C116" s="44" t="s">
        <v>346</v>
      </c>
      <c r="D116" s="204" t="s">
        <v>347</v>
      </c>
      <c r="E116" s="85"/>
      <c r="F116" s="72"/>
      <c r="H116" s="86"/>
      <c r="I116" s="113" t="s">
        <v>40</v>
      </c>
      <c r="J116" s="113"/>
      <c r="K116" s="113"/>
      <c r="L116" s="113"/>
      <c r="M116" s="115" t="s">
        <v>338</v>
      </c>
      <c r="N116" s="113"/>
      <c r="O116" s="113"/>
      <c r="P116" s="113"/>
      <c r="U116" s="45" t="s">
        <v>42</v>
      </c>
      <c r="W116" s="180">
        <v>25.436874389648441</v>
      </c>
      <c r="X116" s="156">
        <f>'Additional information'!$D$18</f>
        <v>0.91</v>
      </c>
      <c r="Y116" s="157">
        <f t="shared" si="8"/>
        <v>23.147555694580081</v>
      </c>
      <c r="Z116" s="157">
        <f t="shared" si="9"/>
        <v>23.147555694580081</v>
      </c>
    </row>
    <row r="117" spans="1:27" x14ac:dyDescent="0.2">
      <c r="D117" s="211"/>
      <c r="E117" s="85"/>
      <c r="H117" s="86"/>
      <c r="M117" s="125"/>
      <c r="W117" s="180"/>
      <c r="X117" s="156">
        <f>'Additional information'!$D$18</f>
        <v>0.91</v>
      </c>
      <c r="Y117" s="157" t="str">
        <f t="shared" si="8"/>
        <v/>
      </c>
      <c r="Z117" s="157" t="str">
        <f t="shared" si="9"/>
        <v/>
      </c>
    </row>
    <row r="118" spans="1:27" ht="48" customHeight="1" x14ac:dyDescent="0.2">
      <c r="A118" s="72" t="s">
        <v>241</v>
      </c>
      <c r="B118" s="72" t="s">
        <v>348</v>
      </c>
      <c r="C118" s="44" t="s">
        <v>349</v>
      </c>
      <c r="D118" s="204" t="s">
        <v>350</v>
      </c>
      <c r="E118" s="85"/>
      <c r="G118" s="74"/>
      <c r="H118" s="86"/>
      <c r="I118" s="113" t="s">
        <v>40</v>
      </c>
      <c r="J118" s="113"/>
      <c r="K118" s="113"/>
      <c r="L118" s="113"/>
      <c r="M118" s="115" t="s">
        <v>338</v>
      </c>
      <c r="N118" s="113"/>
      <c r="O118" s="113"/>
      <c r="P118" s="113"/>
      <c r="U118" s="45" t="s">
        <v>42</v>
      </c>
      <c r="W118" s="180">
        <v>19.364946365356449</v>
      </c>
      <c r="X118" s="156">
        <f>'Additional information'!$D$18</f>
        <v>0.91</v>
      </c>
      <c r="Y118" s="157">
        <f t="shared" si="8"/>
        <v>17.622101192474368</v>
      </c>
      <c r="Z118" s="157">
        <f t="shared" si="9"/>
        <v>17.622101192474368</v>
      </c>
    </row>
    <row r="119" spans="1:27" s="73" customFormat="1" ht="32" customHeight="1" x14ac:dyDescent="0.2">
      <c r="A119" s="73" t="s">
        <v>225</v>
      </c>
      <c r="B119" s="73" t="s">
        <v>351</v>
      </c>
      <c r="C119" s="47" t="s">
        <v>352</v>
      </c>
      <c r="D119" s="206" t="s">
        <v>353</v>
      </c>
      <c r="E119" s="95"/>
      <c r="F119" s="73" t="s">
        <v>354</v>
      </c>
      <c r="G119" s="73" t="s">
        <v>355</v>
      </c>
      <c r="H119" s="97"/>
      <c r="I119" s="125" t="s">
        <v>40</v>
      </c>
      <c r="J119" s="125"/>
      <c r="K119" s="125" t="s">
        <v>313</v>
      </c>
      <c r="L119" s="125"/>
      <c r="M119" s="125" t="s">
        <v>338</v>
      </c>
      <c r="N119" s="125"/>
      <c r="O119" s="125"/>
      <c r="P119" s="125"/>
      <c r="U119" s="73" t="s">
        <v>52</v>
      </c>
      <c r="W119" s="180">
        <v>17</v>
      </c>
      <c r="X119" s="156">
        <f>'Additional information'!$D$18</f>
        <v>0.91</v>
      </c>
      <c r="Y119" s="157">
        <f t="shared" si="8"/>
        <v>15.47</v>
      </c>
      <c r="Z119" s="157" t="str">
        <f t="shared" si="9"/>
        <v/>
      </c>
    </row>
    <row r="120" spans="1:27" s="73" customFormat="1" ht="16" customHeight="1" x14ac:dyDescent="0.2">
      <c r="A120" s="73" t="s">
        <v>356</v>
      </c>
      <c r="B120" s="73" t="s">
        <v>357</v>
      </c>
      <c r="C120" s="47" t="s">
        <v>358</v>
      </c>
      <c r="D120" s="206" t="s">
        <v>359</v>
      </c>
      <c r="E120" s="95"/>
      <c r="H120" s="97"/>
      <c r="I120" s="125" t="s">
        <v>40</v>
      </c>
      <c r="J120" s="125"/>
      <c r="K120" s="125"/>
      <c r="L120" s="125"/>
      <c r="M120" s="125" t="s">
        <v>360</v>
      </c>
      <c r="N120" s="125"/>
      <c r="O120" s="125"/>
      <c r="P120" s="125"/>
      <c r="U120" s="73" t="s">
        <v>52</v>
      </c>
      <c r="W120" s="180">
        <v>17</v>
      </c>
      <c r="X120" s="156">
        <f>'Additional information'!$D$18</f>
        <v>0.91</v>
      </c>
      <c r="Y120" s="157">
        <f t="shared" si="8"/>
        <v>15.47</v>
      </c>
      <c r="Z120" s="157" t="str">
        <f t="shared" si="9"/>
        <v/>
      </c>
    </row>
    <row r="121" spans="1:27" s="73" customFormat="1" x14ac:dyDescent="0.2">
      <c r="A121" s="73" t="s">
        <v>26</v>
      </c>
      <c r="B121" s="73" t="s">
        <v>361</v>
      </c>
      <c r="C121" s="47"/>
      <c r="E121" s="95"/>
      <c r="H121" s="97"/>
      <c r="I121" s="125"/>
      <c r="J121" s="125"/>
      <c r="K121" s="125"/>
      <c r="L121" s="125"/>
      <c r="M121" s="125"/>
      <c r="N121" s="125"/>
      <c r="O121" s="125"/>
      <c r="P121" s="125" t="s">
        <v>362</v>
      </c>
      <c r="U121" s="73" t="s">
        <v>52</v>
      </c>
      <c r="W121" s="180"/>
      <c r="X121" s="156">
        <f>'Additional information'!$D$18</f>
        <v>0.91</v>
      </c>
      <c r="Y121" s="157" t="str">
        <f t="shared" si="8"/>
        <v/>
      </c>
      <c r="Z121" s="157" t="str">
        <f t="shared" si="9"/>
        <v/>
      </c>
    </row>
    <row r="122" spans="1:27" s="73" customFormat="1" ht="16" customHeight="1" x14ac:dyDescent="0.2">
      <c r="A122" s="73" t="s">
        <v>225</v>
      </c>
      <c r="B122" s="73" t="s">
        <v>363</v>
      </c>
      <c r="C122" s="47" t="s">
        <v>364</v>
      </c>
      <c r="D122" s="206" t="s">
        <v>365</v>
      </c>
      <c r="E122" s="95"/>
      <c r="F122" s="73" t="s">
        <v>366</v>
      </c>
      <c r="G122" s="73" t="s">
        <v>367</v>
      </c>
      <c r="H122" s="97"/>
      <c r="I122" s="125" t="s">
        <v>40</v>
      </c>
      <c r="J122" s="125"/>
      <c r="K122" s="125"/>
      <c r="L122" s="125"/>
      <c r="M122" s="125" t="s">
        <v>368</v>
      </c>
      <c r="N122" s="125"/>
      <c r="O122" s="125"/>
      <c r="P122" s="125"/>
      <c r="U122" s="73" t="s">
        <v>52</v>
      </c>
      <c r="W122" s="180">
        <v>17</v>
      </c>
      <c r="X122" s="156">
        <f>'Additional information'!$D$18</f>
        <v>0.91</v>
      </c>
      <c r="Y122" s="157">
        <f t="shared" si="8"/>
        <v>15.47</v>
      </c>
      <c r="Z122" s="157" t="str">
        <f t="shared" si="9"/>
        <v/>
      </c>
    </row>
    <row r="123" spans="1:27" s="73" customFormat="1" ht="32" customHeight="1" x14ac:dyDescent="0.2">
      <c r="A123" s="73" t="s">
        <v>82</v>
      </c>
      <c r="B123" s="73" t="s">
        <v>369</v>
      </c>
      <c r="C123" s="47" t="s">
        <v>370</v>
      </c>
      <c r="D123" s="211" t="s">
        <v>371</v>
      </c>
      <c r="E123" s="95"/>
      <c r="F123" s="73" t="s">
        <v>366</v>
      </c>
      <c r="G123" s="73" t="s">
        <v>372</v>
      </c>
      <c r="H123" s="97"/>
      <c r="I123" s="125" t="s">
        <v>40</v>
      </c>
      <c r="J123" s="125"/>
      <c r="K123" s="125" t="s">
        <v>313</v>
      </c>
      <c r="L123" s="125"/>
      <c r="M123" s="125" t="s">
        <v>373</v>
      </c>
      <c r="N123" s="125"/>
      <c r="O123" s="125"/>
      <c r="P123" s="125"/>
      <c r="U123" s="73" t="s">
        <v>52</v>
      </c>
      <c r="W123" s="180">
        <v>17</v>
      </c>
      <c r="X123" s="156">
        <f>'Additional information'!$D$18</f>
        <v>0.91</v>
      </c>
      <c r="Y123" s="157">
        <f t="shared" si="8"/>
        <v>15.47</v>
      </c>
      <c r="Z123" s="157" t="str">
        <f t="shared" si="9"/>
        <v/>
      </c>
    </row>
    <row r="124" spans="1:27" s="74" customFormat="1" x14ac:dyDescent="0.2">
      <c r="C124" s="75"/>
      <c r="E124" s="76"/>
      <c r="G124" s="45"/>
      <c r="H124" s="80"/>
      <c r="I124" s="114"/>
      <c r="J124" s="114"/>
      <c r="K124" s="114"/>
      <c r="L124" s="114"/>
      <c r="M124" s="114"/>
      <c r="N124" s="114"/>
      <c r="O124" s="114"/>
      <c r="P124" s="114"/>
      <c r="W124" s="180"/>
      <c r="X124" s="156">
        <f>'Additional information'!$D$18</f>
        <v>0.91</v>
      </c>
      <c r="Y124" s="157" t="str">
        <f t="shared" si="8"/>
        <v/>
      </c>
      <c r="Z124" s="157" t="str">
        <f t="shared" si="9"/>
        <v/>
      </c>
      <c r="AA124" s="73"/>
    </row>
    <row r="125" spans="1:27" ht="32" customHeight="1" x14ac:dyDescent="0.2">
      <c r="A125" s="72" t="s">
        <v>146</v>
      </c>
      <c r="B125" s="72" t="s">
        <v>374</v>
      </c>
      <c r="C125" s="44" t="s">
        <v>375</v>
      </c>
      <c r="D125" s="204" t="s">
        <v>376</v>
      </c>
      <c r="E125" s="85"/>
      <c r="H125" s="86"/>
      <c r="I125" s="113" t="s">
        <v>40</v>
      </c>
      <c r="J125" s="113"/>
      <c r="K125" s="113"/>
      <c r="L125" s="113"/>
      <c r="M125" s="115" t="s">
        <v>377</v>
      </c>
      <c r="N125" s="113"/>
      <c r="O125" s="113"/>
      <c r="P125" s="113"/>
      <c r="U125" s="45" t="s">
        <v>42</v>
      </c>
      <c r="W125" s="180">
        <v>13.458864212036129</v>
      </c>
      <c r="X125" s="156">
        <f>'Additional information'!$D$18</f>
        <v>0.91</v>
      </c>
      <c r="Y125" s="157">
        <f t="shared" si="8"/>
        <v>12.247566432952878</v>
      </c>
      <c r="Z125" s="157">
        <f t="shared" si="9"/>
        <v>12.247566432952878</v>
      </c>
    </row>
    <row r="126" spans="1:27" ht="32" customHeight="1" x14ac:dyDescent="0.2">
      <c r="A126" s="72" t="s">
        <v>378</v>
      </c>
      <c r="B126" s="72" t="s">
        <v>379</v>
      </c>
      <c r="C126" s="44" t="s">
        <v>380</v>
      </c>
      <c r="D126" s="204" t="s">
        <v>381</v>
      </c>
      <c r="E126" s="85"/>
      <c r="F126" s="45" t="s">
        <v>382</v>
      </c>
      <c r="G126" s="45" t="s">
        <v>383</v>
      </c>
      <c r="H126" s="86"/>
      <c r="I126" s="113" t="s">
        <v>40</v>
      </c>
      <c r="J126" s="113"/>
      <c r="K126" s="115" t="s">
        <v>384</v>
      </c>
      <c r="L126" s="113"/>
      <c r="M126" s="115" t="s">
        <v>385</v>
      </c>
      <c r="N126" s="113"/>
      <c r="O126" s="113"/>
      <c r="P126" s="113"/>
      <c r="U126" s="45" t="s">
        <v>42</v>
      </c>
      <c r="W126" s="180">
        <v>37.523288726806641</v>
      </c>
      <c r="X126" s="156">
        <f>'Additional information'!$D$18</f>
        <v>0.91</v>
      </c>
      <c r="Y126" s="157">
        <f t="shared" si="8"/>
        <v>34.146192741394046</v>
      </c>
      <c r="Z126" s="157">
        <f t="shared" si="9"/>
        <v>34.146192741394046</v>
      </c>
    </row>
    <row r="127" spans="1:27" x14ac:dyDescent="0.2">
      <c r="D127" s="45"/>
      <c r="E127" s="85"/>
      <c r="G127" s="74"/>
      <c r="H127" s="86"/>
      <c r="M127" s="125"/>
      <c r="W127" s="180"/>
      <c r="X127" s="156">
        <f>'Additional information'!$D$18</f>
        <v>0.91</v>
      </c>
      <c r="Y127" s="157" t="str">
        <f t="shared" si="8"/>
        <v/>
      </c>
      <c r="Z127" s="157" t="str">
        <f t="shared" si="9"/>
        <v/>
      </c>
    </row>
    <row r="128" spans="1:27" s="73" customFormat="1" ht="32" customHeight="1" x14ac:dyDescent="0.2">
      <c r="A128" s="73" t="s">
        <v>386</v>
      </c>
      <c r="B128" s="73" t="s">
        <v>387</v>
      </c>
      <c r="C128" s="47" t="s">
        <v>388</v>
      </c>
      <c r="D128" s="206" t="s">
        <v>389</v>
      </c>
      <c r="E128" s="95"/>
      <c r="F128" s="73" t="s">
        <v>390</v>
      </c>
      <c r="G128" s="73" t="s">
        <v>391</v>
      </c>
      <c r="H128" s="97"/>
      <c r="I128" s="125" t="s">
        <v>40</v>
      </c>
      <c r="J128" s="125" t="s">
        <v>125</v>
      </c>
      <c r="K128" s="125" t="s">
        <v>392</v>
      </c>
      <c r="L128" s="125"/>
      <c r="M128" s="125" t="s">
        <v>393</v>
      </c>
      <c r="N128" s="125" t="s">
        <v>394</v>
      </c>
      <c r="O128" s="125"/>
      <c r="P128" s="125"/>
      <c r="U128" s="73" t="s">
        <v>52</v>
      </c>
      <c r="W128" s="180">
        <v>17</v>
      </c>
      <c r="X128" s="156">
        <f>'Additional information'!$D$18</f>
        <v>0.91</v>
      </c>
      <c r="Y128" s="157">
        <f t="shared" si="8"/>
        <v>15.47</v>
      </c>
      <c r="Z128" s="157" t="str">
        <f t="shared" si="9"/>
        <v/>
      </c>
    </row>
    <row r="129" spans="1:27" x14ac:dyDescent="0.2">
      <c r="E129" s="85"/>
      <c r="H129" s="86"/>
      <c r="M129" s="125"/>
      <c r="W129" s="180"/>
      <c r="X129" s="156">
        <f>'Additional information'!$D$18</f>
        <v>0.91</v>
      </c>
      <c r="Y129" s="157" t="str">
        <f t="shared" si="8"/>
        <v/>
      </c>
      <c r="Z129" s="157" t="str">
        <f t="shared" si="9"/>
        <v/>
      </c>
    </row>
    <row r="130" spans="1:27" ht="16" customHeight="1" thickBot="1" x14ac:dyDescent="0.25">
      <c r="A130" s="98" t="s">
        <v>141</v>
      </c>
      <c r="B130" s="98"/>
      <c r="C130" s="99"/>
      <c r="D130" s="99"/>
      <c r="E130" s="105"/>
      <c r="F130" s="214"/>
      <c r="G130" s="214"/>
      <c r="H130" s="106"/>
      <c r="I130" s="126"/>
      <c r="J130" s="126"/>
      <c r="K130" s="126"/>
      <c r="L130" s="126"/>
      <c r="M130" s="126"/>
      <c r="N130" s="126"/>
      <c r="O130" s="126"/>
      <c r="P130" s="126"/>
      <c r="W130" s="180"/>
      <c r="Y130" s="157" t="str">
        <f t="shared" si="8"/>
        <v/>
      </c>
      <c r="Z130" s="157" t="str">
        <f t="shared" si="9"/>
        <v/>
      </c>
    </row>
    <row r="131" spans="1:27" s="70" customFormat="1" ht="17" customHeight="1" thickTop="1" x14ac:dyDescent="0.2">
      <c r="A131" s="67" t="s">
        <v>68</v>
      </c>
      <c r="B131" s="67" t="s">
        <v>395</v>
      </c>
      <c r="C131" s="91" t="s">
        <v>396</v>
      </c>
      <c r="D131" s="212" t="s">
        <v>397</v>
      </c>
      <c r="E131" s="68"/>
      <c r="F131" s="67"/>
      <c r="G131" s="67"/>
      <c r="H131" s="69"/>
      <c r="I131" s="118" t="s">
        <v>51</v>
      </c>
      <c r="J131" s="118"/>
      <c r="K131" s="118"/>
      <c r="L131" s="118"/>
      <c r="M131" s="118" t="s">
        <v>398</v>
      </c>
      <c r="N131" s="118"/>
      <c r="O131" s="118"/>
      <c r="P131" s="118"/>
      <c r="U131" s="45" t="s">
        <v>42</v>
      </c>
      <c r="W131" s="180"/>
      <c r="X131" s="156"/>
      <c r="Y131" s="157" t="str">
        <f t="shared" si="8"/>
        <v/>
      </c>
      <c r="Z131" s="157" t="str">
        <f t="shared" si="9"/>
        <v/>
      </c>
      <c r="AA131" s="71"/>
    </row>
    <row r="132" spans="1:27" ht="32" customHeight="1" x14ac:dyDescent="0.2">
      <c r="A132" s="72" t="s">
        <v>146</v>
      </c>
      <c r="B132" s="72" t="s">
        <v>399</v>
      </c>
      <c r="C132" s="78" t="s">
        <v>400</v>
      </c>
      <c r="D132" s="44" t="s">
        <v>401</v>
      </c>
      <c r="E132" s="85"/>
      <c r="H132" s="86"/>
      <c r="I132" s="115" t="s">
        <v>40</v>
      </c>
      <c r="K132" s="115"/>
      <c r="L132" s="115"/>
      <c r="M132" s="115"/>
      <c r="N132" s="77"/>
      <c r="O132" s="115"/>
      <c r="P132" s="115"/>
      <c r="U132" s="45" t="s">
        <v>42</v>
      </c>
      <c r="W132" s="180">
        <v>13.55</v>
      </c>
      <c r="X132" s="156">
        <f>'Additional information'!$D$18</f>
        <v>0.91</v>
      </c>
      <c r="Y132" s="157">
        <f t="shared" si="8"/>
        <v>12.330500000000001</v>
      </c>
      <c r="Z132" s="157"/>
    </row>
    <row r="133" spans="1:27" ht="32" customHeight="1" x14ac:dyDescent="0.2">
      <c r="A133" s="72" t="s">
        <v>402</v>
      </c>
      <c r="B133" s="72" t="s">
        <v>403</v>
      </c>
      <c r="C133" s="44" t="s">
        <v>404</v>
      </c>
      <c r="D133" s="44" t="s">
        <v>405</v>
      </c>
      <c r="E133" s="85"/>
      <c r="H133" s="86"/>
      <c r="I133" s="115" t="s">
        <v>40</v>
      </c>
      <c r="J133" s="268" t="s">
        <v>125</v>
      </c>
      <c r="K133" s="115"/>
      <c r="L133" s="115"/>
      <c r="M133" s="115" t="s">
        <v>406</v>
      </c>
      <c r="N133" s="115" t="s">
        <v>394</v>
      </c>
      <c r="O133" s="115"/>
      <c r="P133" s="115"/>
      <c r="U133" s="45" t="s">
        <v>42</v>
      </c>
      <c r="W133" s="180">
        <v>13.55</v>
      </c>
      <c r="X133" s="156">
        <f>'Additional information'!$D$18</f>
        <v>0.91</v>
      </c>
      <c r="Y133" s="157">
        <f t="shared" si="8"/>
        <v>12.330500000000001</v>
      </c>
      <c r="Z133" s="157"/>
    </row>
    <row r="134" spans="1:27" x14ac:dyDescent="0.2">
      <c r="A134" s="72" t="s">
        <v>26</v>
      </c>
      <c r="B134" s="72" t="s">
        <v>407</v>
      </c>
      <c r="C134" s="44"/>
      <c r="D134" s="44"/>
      <c r="E134" s="85"/>
      <c r="H134" s="86"/>
      <c r="I134" s="115"/>
      <c r="J134" s="115"/>
      <c r="K134" s="115"/>
      <c r="L134" s="115"/>
      <c r="M134" s="115"/>
      <c r="N134" s="115"/>
      <c r="O134" s="115"/>
      <c r="P134" s="115" t="s">
        <v>408</v>
      </c>
      <c r="U134" s="45" t="s">
        <v>42</v>
      </c>
      <c r="W134" s="180"/>
      <c r="X134" s="156">
        <f>'Additional information'!$D$18</f>
        <v>0.91</v>
      </c>
      <c r="Y134" s="157"/>
      <c r="Z134" s="157"/>
    </row>
    <row r="135" spans="1:27" x14ac:dyDescent="0.2">
      <c r="A135" s="72" t="s">
        <v>26</v>
      </c>
      <c r="B135" s="72" t="s">
        <v>409</v>
      </c>
      <c r="C135" s="44"/>
      <c r="D135" s="44"/>
      <c r="E135" s="85"/>
      <c r="H135" s="86"/>
      <c r="I135" s="115"/>
      <c r="J135" s="115"/>
      <c r="K135" s="115"/>
      <c r="L135" s="115"/>
      <c r="M135" s="115"/>
      <c r="N135" s="115"/>
      <c r="O135" s="115"/>
      <c r="P135" s="115" t="s">
        <v>410</v>
      </c>
      <c r="U135" s="45" t="s">
        <v>42</v>
      </c>
      <c r="W135" s="180"/>
      <c r="X135" s="156">
        <f>'Additional information'!$D$18</f>
        <v>0.91</v>
      </c>
      <c r="Y135" s="157"/>
      <c r="Z135" s="157"/>
    </row>
    <row r="136" spans="1:27" x14ac:dyDescent="0.2">
      <c r="E136" s="85"/>
      <c r="H136" s="86"/>
      <c r="W136" s="180"/>
      <c r="X136" s="156">
        <f>'Additional information'!$D$18</f>
        <v>0.91</v>
      </c>
      <c r="Y136" s="157"/>
      <c r="Z136" s="157"/>
    </row>
    <row r="137" spans="1:27" ht="32" customHeight="1" x14ac:dyDescent="0.2">
      <c r="A137" s="72" t="s">
        <v>146</v>
      </c>
      <c r="B137" s="72" t="s">
        <v>411</v>
      </c>
      <c r="C137" s="44" t="s">
        <v>412</v>
      </c>
      <c r="D137" s="215" t="s">
        <v>413</v>
      </c>
      <c r="E137" s="85"/>
      <c r="F137" s="96"/>
      <c r="G137" s="96"/>
      <c r="H137" s="101"/>
      <c r="I137" s="113" t="s">
        <v>40</v>
      </c>
      <c r="J137" s="113"/>
      <c r="K137" s="113"/>
      <c r="L137" s="113"/>
      <c r="M137" s="113"/>
      <c r="N137" s="113"/>
      <c r="O137" s="113"/>
      <c r="P137" s="113"/>
      <c r="U137" s="45" t="s">
        <v>42</v>
      </c>
      <c r="W137" s="180">
        <v>12.68148708343506</v>
      </c>
      <c r="X137" s="156">
        <f>'Additional information'!$D$18</f>
        <v>0.91</v>
      </c>
      <c r="Y137" s="157">
        <f t="shared" ref="Y137:Y168" si="10">IF(W137&lt;&gt;"",W137*X137,"")</f>
        <v>11.540153245925906</v>
      </c>
      <c r="Z137" s="157">
        <f t="shared" ref="Z137:Z168" si="11">IF(AND(W137&lt;&gt;"",U137="yes"),W137*X137,"")</f>
        <v>11.540153245925906</v>
      </c>
    </row>
    <row r="138" spans="1:27" ht="32" customHeight="1" x14ac:dyDescent="0.2">
      <c r="A138" s="72" t="s">
        <v>414</v>
      </c>
      <c r="B138" s="72" t="s">
        <v>415</v>
      </c>
      <c r="C138" s="78" t="s">
        <v>416</v>
      </c>
      <c r="D138" s="215" t="s">
        <v>417</v>
      </c>
      <c r="E138" s="95"/>
      <c r="F138" s="45" t="s">
        <v>382</v>
      </c>
      <c r="G138" s="45" t="s">
        <v>418</v>
      </c>
      <c r="H138" s="86"/>
      <c r="I138" s="113" t="s">
        <v>40</v>
      </c>
      <c r="J138" s="113"/>
      <c r="K138" s="115" t="s">
        <v>419</v>
      </c>
      <c r="L138" s="113"/>
      <c r="M138" s="115" t="s">
        <v>420</v>
      </c>
      <c r="N138" s="113"/>
      <c r="O138" s="113"/>
      <c r="P138" s="113"/>
      <c r="U138" s="45" t="s">
        <v>42</v>
      </c>
      <c r="W138" s="180">
        <v>22.61360931396484</v>
      </c>
      <c r="X138" s="156">
        <f>'Additional information'!$D$18</f>
        <v>0.91</v>
      </c>
      <c r="Y138" s="157">
        <f t="shared" si="10"/>
        <v>20.578384475708006</v>
      </c>
      <c r="Z138" s="157">
        <f t="shared" si="11"/>
        <v>20.578384475708006</v>
      </c>
    </row>
    <row r="139" spans="1:27" x14ac:dyDescent="0.2">
      <c r="D139" s="216"/>
      <c r="E139" s="85"/>
      <c r="H139" s="86"/>
      <c r="M139" s="125"/>
      <c r="W139" s="180"/>
      <c r="X139" s="156">
        <f>'Additional information'!$D$18</f>
        <v>0.91</v>
      </c>
      <c r="Y139" s="157" t="str">
        <f t="shared" si="10"/>
        <v/>
      </c>
      <c r="Z139" s="157" t="str">
        <f t="shared" si="11"/>
        <v/>
      </c>
    </row>
    <row r="140" spans="1:27" ht="48" customHeight="1" x14ac:dyDescent="0.2">
      <c r="A140" s="72" t="s">
        <v>241</v>
      </c>
      <c r="B140" s="72" t="s">
        <v>421</v>
      </c>
      <c r="C140" s="78" t="s">
        <v>422</v>
      </c>
      <c r="D140" s="215" t="s">
        <v>423</v>
      </c>
      <c r="E140" s="95"/>
      <c r="F140" s="102" t="s">
        <v>424</v>
      </c>
      <c r="G140" s="102" t="s">
        <v>425</v>
      </c>
      <c r="H140" s="101"/>
      <c r="I140" s="113" t="s">
        <v>40</v>
      </c>
      <c r="J140" s="113"/>
      <c r="K140" s="113"/>
      <c r="L140" s="113"/>
      <c r="M140" s="115"/>
      <c r="N140" s="113"/>
      <c r="O140" s="113"/>
      <c r="P140" s="113"/>
      <c r="U140" s="45" t="s">
        <v>42</v>
      </c>
      <c r="W140" s="180">
        <v>21.701908111572269</v>
      </c>
      <c r="X140" s="156">
        <f>'Additional information'!$D$18</f>
        <v>0.91</v>
      </c>
      <c r="Y140" s="157">
        <f t="shared" si="10"/>
        <v>19.748736381530765</v>
      </c>
      <c r="Z140" s="157">
        <f t="shared" si="11"/>
        <v>19.748736381530765</v>
      </c>
    </row>
    <row r="141" spans="1:27" x14ac:dyDescent="0.2">
      <c r="C141" s="47"/>
      <c r="D141" s="47"/>
      <c r="E141" s="95"/>
      <c r="F141" s="96"/>
      <c r="G141" s="96"/>
      <c r="H141" s="101"/>
      <c r="M141" s="125"/>
      <c r="W141" s="180"/>
      <c r="X141" s="156">
        <f>'Additional information'!$D$18</f>
        <v>0.91</v>
      </c>
      <c r="Y141" s="157" t="str">
        <f t="shared" si="10"/>
        <v/>
      </c>
      <c r="Z141" s="157" t="str">
        <f t="shared" si="11"/>
        <v/>
      </c>
    </row>
    <row r="142" spans="1:27" ht="16" customHeight="1" thickBot="1" x14ac:dyDescent="0.25">
      <c r="A142" s="98" t="s">
        <v>141</v>
      </c>
      <c r="B142" s="98"/>
      <c r="C142" s="99"/>
      <c r="D142" s="99"/>
      <c r="E142" s="105"/>
      <c r="F142" s="98"/>
      <c r="G142" s="98"/>
      <c r="H142" s="106"/>
      <c r="I142" s="126"/>
      <c r="J142" s="126"/>
      <c r="K142" s="126"/>
      <c r="L142" s="126"/>
      <c r="M142" s="126"/>
      <c r="N142" s="126"/>
      <c r="O142" s="126"/>
      <c r="P142" s="126"/>
      <c r="W142" s="180"/>
      <c r="Y142" s="157" t="str">
        <f t="shared" si="10"/>
        <v/>
      </c>
      <c r="Z142" s="157" t="str">
        <f t="shared" si="11"/>
        <v/>
      </c>
    </row>
    <row r="143" spans="1:27" s="70" customFormat="1" ht="17" customHeight="1" thickTop="1" x14ac:dyDescent="0.2">
      <c r="A143" s="67" t="s">
        <v>68</v>
      </c>
      <c r="B143" s="67" t="s">
        <v>426</v>
      </c>
      <c r="C143" s="91" t="s">
        <v>427</v>
      </c>
      <c r="D143" s="212" t="s">
        <v>428</v>
      </c>
      <c r="E143" s="68"/>
      <c r="F143" s="67"/>
      <c r="G143" s="67"/>
      <c r="H143" s="69"/>
      <c r="I143" s="118" t="s">
        <v>51</v>
      </c>
      <c r="J143" s="118"/>
      <c r="K143" s="118"/>
      <c r="L143" s="118"/>
      <c r="M143" s="118" t="s">
        <v>429</v>
      </c>
      <c r="N143" s="118"/>
      <c r="O143" s="118"/>
      <c r="P143" s="118"/>
      <c r="U143" s="45" t="s">
        <v>42</v>
      </c>
      <c r="W143" s="180"/>
      <c r="X143" s="71"/>
      <c r="Y143" s="157" t="str">
        <f t="shared" si="10"/>
        <v/>
      </c>
      <c r="Z143" s="157" t="str">
        <f t="shared" si="11"/>
        <v/>
      </c>
      <c r="AA143" s="71"/>
    </row>
    <row r="144" spans="1:27" ht="64" customHeight="1" x14ac:dyDescent="0.2">
      <c r="A144" s="72" t="s">
        <v>45</v>
      </c>
      <c r="B144" s="72" t="s">
        <v>430</v>
      </c>
      <c r="C144" s="44" t="s">
        <v>431</v>
      </c>
      <c r="D144" s="43" t="s">
        <v>432</v>
      </c>
      <c r="E144" s="85"/>
      <c r="F144" s="72"/>
      <c r="G144" s="72"/>
      <c r="H144" s="86"/>
      <c r="I144" s="113"/>
      <c r="J144" s="113"/>
      <c r="K144" s="113"/>
      <c r="L144" s="113"/>
      <c r="M144" s="113"/>
      <c r="N144" s="113"/>
      <c r="O144" s="113"/>
      <c r="P144" s="113"/>
      <c r="U144" s="45" t="s">
        <v>42</v>
      </c>
      <c r="W144" s="180">
        <v>7.5</v>
      </c>
      <c r="X144" s="103">
        <f>'Additional information'!$D$19</f>
        <v>0.91</v>
      </c>
      <c r="Y144" s="157">
        <f t="shared" si="10"/>
        <v>6.8250000000000002</v>
      </c>
      <c r="Z144" s="157">
        <f t="shared" si="11"/>
        <v>6.8250000000000002</v>
      </c>
    </row>
    <row r="145" spans="1:27" s="70" customFormat="1" x14ac:dyDescent="0.2">
      <c r="C145" s="92"/>
      <c r="D145" s="216"/>
      <c r="E145" s="68"/>
      <c r="H145" s="69"/>
      <c r="I145" s="119"/>
      <c r="J145" s="119"/>
      <c r="K145" s="119"/>
      <c r="L145" s="119"/>
      <c r="M145" s="119"/>
      <c r="N145" s="119"/>
      <c r="O145" s="119"/>
      <c r="P145" s="119"/>
      <c r="U145" s="45"/>
      <c r="W145" s="180"/>
      <c r="X145" s="103">
        <f>'Additional information'!$D$19</f>
        <v>0.91</v>
      </c>
      <c r="Y145" s="157" t="str">
        <f t="shared" si="10"/>
        <v/>
      </c>
      <c r="Z145" s="157" t="str">
        <f t="shared" si="11"/>
        <v/>
      </c>
      <c r="AA145" s="71"/>
    </row>
    <row r="146" spans="1:27" ht="32" customHeight="1" x14ac:dyDescent="0.2">
      <c r="A146" s="72" t="s">
        <v>433</v>
      </c>
      <c r="B146" s="72" t="s">
        <v>434</v>
      </c>
      <c r="C146" s="44" t="s">
        <v>435</v>
      </c>
      <c r="D146" s="215" t="s">
        <v>436</v>
      </c>
      <c r="E146" s="85"/>
      <c r="F146" s="45" t="s">
        <v>437</v>
      </c>
      <c r="G146" s="45" t="s">
        <v>438</v>
      </c>
      <c r="H146" s="86"/>
      <c r="I146" s="113" t="s">
        <v>40</v>
      </c>
      <c r="J146" s="113" t="s">
        <v>210</v>
      </c>
      <c r="K146" s="113"/>
      <c r="L146" s="113"/>
      <c r="M146" s="113"/>
      <c r="N146" s="113"/>
      <c r="O146" s="113"/>
      <c r="P146" s="113"/>
      <c r="U146" s="45" t="s">
        <v>42</v>
      </c>
      <c r="W146" s="180">
        <v>20.2944221496582</v>
      </c>
      <c r="X146" s="103">
        <f>'Additional information'!$D$19</f>
        <v>0.91</v>
      </c>
      <c r="Y146" s="157">
        <f t="shared" si="10"/>
        <v>18.467924156188964</v>
      </c>
      <c r="Z146" s="157">
        <f t="shared" si="11"/>
        <v>18.467924156188964</v>
      </c>
    </row>
    <row r="147" spans="1:27" x14ac:dyDescent="0.2">
      <c r="A147" s="72" t="s">
        <v>26</v>
      </c>
      <c r="B147" s="72" t="s">
        <v>439</v>
      </c>
      <c r="C147" s="44"/>
      <c r="D147" s="217"/>
      <c r="E147" s="85"/>
      <c r="H147" s="86"/>
      <c r="I147" s="113"/>
      <c r="J147" s="113"/>
      <c r="K147" s="113"/>
      <c r="L147" s="113"/>
      <c r="M147" s="113"/>
      <c r="N147" s="113"/>
      <c r="O147" s="113"/>
      <c r="P147" s="113" t="s">
        <v>440</v>
      </c>
      <c r="U147" s="45" t="s">
        <v>42</v>
      </c>
      <c r="W147" s="180"/>
      <c r="X147" s="103">
        <f>'Additional information'!$D$19</f>
        <v>0.91</v>
      </c>
      <c r="Y147" s="157" t="str">
        <f t="shared" si="10"/>
        <v/>
      </c>
      <c r="Z147" s="157" t="str">
        <f t="shared" si="11"/>
        <v/>
      </c>
    </row>
    <row r="148" spans="1:27" x14ac:dyDescent="0.2">
      <c r="D148" s="45"/>
      <c r="E148" s="85"/>
      <c r="H148" s="86"/>
      <c r="M148" s="125"/>
      <c r="W148" s="180"/>
      <c r="X148" s="103">
        <f>'Additional information'!$D$19</f>
        <v>0.91</v>
      </c>
      <c r="Y148" s="157" t="str">
        <f t="shared" si="10"/>
        <v/>
      </c>
      <c r="Z148" s="157" t="str">
        <f t="shared" si="11"/>
        <v/>
      </c>
    </row>
    <row r="149" spans="1:27" ht="32" customHeight="1" x14ac:dyDescent="0.2">
      <c r="A149" s="72" t="s">
        <v>82</v>
      </c>
      <c r="B149" s="72" t="s">
        <v>441</v>
      </c>
      <c r="C149" s="44" t="s">
        <v>442</v>
      </c>
      <c r="D149" s="215" t="s">
        <v>443</v>
      </c>
      <c r="E149" s="85"/>
      <c r="F149" s="72" t="s">
        <v>444</v>
      </c>
      <c r="G149" s="72" t="s">
        <v>445</v>
      </c>
      <c r="H149" s="86"/>
      <c r="I149" s="113" t="s">
        <v>40</v>
      </c>
      <c r="J149" s="113"/>
      <c r="K149" s="113" t="s">
        <v>446</v>
      </c>
      <c r="L149" s="113"/>
      <c r="M149" s="113" t="s">
        <v>447</v>
      </c>
      <c r="N149" s="113"/>
      <c r="O149" s="113"/>
      <c r="P149" s="113"/>
      <c r="U149" s="45" t="s">
        <v>42</v>
      </c>
      <c r="W149" s="180">
        <v>18.539077758789059</v>
      </c>
      <c r="X149" s="103">
        <f>'Additional information'!$D$19</f>
        <v>0.91</v>
      </c>
      <c r="Y149" s="157">
        <f t="shared" si="10"/>
        <v>16.870560760498044</v>
      </c>
      <c r="Z149" s="157">
        <f t="shared" si="11"/>
        <v>16.870560760498044</v>
      </c>
    </row>
    <row r="150" spans="1:27" ht="16" customHeight="1" x14ac:dyDescent="0.2">
      <c r="A150" s="72" t="s">
        <v>82</v>
      </c>
      <c r="B150" s="72" t="s">
        <v>448</v>
      </c>
      <c r="C150" s="44" t="s">
        <v>449</v>
      </c>
      <c r="D150" s="215" t="s">
        <v>450</v>
      </c>
      <c r="E150" s="85"/>
      <c r="F150" s="72" t="s">
        <v>444</v>
      </c>
      <c r="G150" s="72" t="s">
        <v>445</v>
      </c>
      <c r="H150" s="86"/>
      <c r="I150" s="113" t="s">
        <v>40</v>
      </c>
      <c r="J150" s="113"/>
      <c r="K150" s="113" t="s">
        <v>446</v>
      </c>
      <c r="L150" s="113"/>
      <c r="M150" s="113" t="s">
        <v>447</v>
      </c>
      <c r="N150" s="113"/>
      <c r="O150" s="113"/>
      <c r="P150" s="113"/>
      <c r="U150" s="45" t="s">
        <v>42</v>
      </c>
      <c r="W150" s="180">
        <v>8.9158916473388672</v>
      </c>
      <c r="X150" s="103">
        <f>'Additional information'!$D$19</f>
        <v>0.91</v>
      </c>
      <c r="Y150" s="157">
        <f t="shared" si="10"/>
        <v>8.1134613990783695</v>
      </c>
      <c r="Z150" s="157">
        <f t="shared" si="11"/>
        <v>8.1134613990783695</v>
      </c>
    </row>
    <row r="151" spans="1:27" ht="16" customHeight="1" x14ac:dyDescent="0.2">
      <c r="A151" s="72" t="s">
        <v>26</v>
      </c>
      <c r="B151" s="72" t="s">
        <v>451</v>
      </c>
      <c r="C151" s="44" t="s">
        <v>452</v>
      </c>
      <c r="D151" s="72" t="s">
        <v>453</v>
      </c>
      <c r="E151" s="85"/>
      <c r="F151" s="72"/>
      <c r="G151" s="72"/>
      <c r="H151" s="86"/>
      <c r="I151" s="113" t="s">
        <v>40</v>
      </c>
      <c r="J151" s="113"/>
      <c r="K151" s="113"/>
      <c r="L151" s="113"/>
      <c r="M151" s="113" t="s">
        <v>454</v>
      </c>
      <c r="N151" s="113"/>
      <c r="O151" s="113"/>
      <c r="P151" s="113" t="s">
        <v>455</v>
      </c>
      <c r="U151" s="45" t="s">
        <v>42</v>
      </c>
      <c r="W151" s="180"/>
      <c r="X151" s="103">
        <f>'Additional information'!$D$19</f>
        <v>0.91</v>
      </c>
      <c r="Y151" s="157" t="str">
        <f t="shared" si="10"/>
        <v/>
      </c>
      <c r="Z151" s="157" t="str">
        <f t="shared" si="11"/>
        <v/>
      </c>
    </row>
    <row r="152" spans="1:27" x14ac:dyDescent="0.2">
      <c r="D152" s="45"/>
      <c r="E152" s="85"/>
      <c r="H152" s="86"/>
      <c r="W152" s="180"/>
      <c r="X152" s="103">
        <f>'Additional information'!$D$19</f>
        <v>0.91</v>
      </c>
      <c r="Y152" s="157" t="str">
        <f t="shared" si="10"/>
        <v/>
      </c>
      <c r="Z152" s="157" t="str">
        <f t="shared" si="11"/>
        <v/>
      </c>
    </row>
    <row r="153" spans="1:27" ht="16" customHeight="1" x14ac:dyDescent="0.2">
      <c r="A153" s="72" t="s">
        <v>456</v>
      </c>
      <c r="B153" s="72" t="s">
        <v>457</v>
      </c>
      <c r="C153" s="44" t="s">
        <v>458</v>
      </c>
      <c r="D153" s="215" t="s">
        <v>459</v>
      </c>
      <c r="E153" s="85"/>
      <c r="F153" s="45" t="s">
        <v>460</v>
      </c>
      <c r="G153" s="45" t="s">
        <v>461</v>
      </c>
      <c r="H153" s="86"/>
      <c r="I153" s="113" t="s">
        <v>40</v>
      </c>
      <c r="J153" s="113"/>
      <c r="K153" s="113" t="s">
        <v>462</v>
      </c>
      <c r="L153" s="113"/>
      <c r="M153" s="113" t="s">
        <v>447</v>
      </c>
      <c r="N153" s="113"/>
      <c r="O153" s="113"/>
      <c r="P153" s="113"/>
      <c r="U153" s="45" t="s">
        <v>42</v>
      </c>
      <c r="W153" s="180">
        <v>25.81001091003418</v>
      </c>
      <c r="X153" s="103">
        <f>'Additional information'!$D$19</f>
        <v>0.91</v>
      </c>
      <c r="Y153" s="157">
        <f t="shared" si="10"/>
        <v>23.487109928131105</v>
      </c>
      <c r="Z153" s="157">
        <f t="shared" si="11"/>
        <v>23.487109928131105</v>
      </c>
    </row>
    <row r="154" spans="1:27" x14ac:dyDescent="0.2">
      <c r="D154" s="45"/>
      <c r="E154" s="85"/>
      <c r="H154" s="86"/>
      <c r="M154" s="125"/>
      <c r="W154" s="180"/>
      <c r="X154" s="103">
        <f>'Additional information'!$D$19</f>
        <v>0.91</v>
      </c>
      <c r="Y154" s="157" t="str">
        <f t="shared" si="10"/>
        <v/>
      </c>
      <c r="Z154" s="157" t="str">
        <f t="shared" si="11"/>
        <v/>
      </c>
    </row>
    <row r="155" spans="1:27" s="74" customFormat="1" x14ac:dyDescent="0.2">
      <c r="C155" s="75"/>
      <c r="E155" s="76"/>
      <c r="H155" s="80"/>
      <c r="I155" s="114"/>
      <c r="J155" s="114"/>
      <c r="K155" s="114"/>
      <c r="L155" s="114"/>
      <c r="M155" s="114"/>
      <c r="N155" s="114"/>
      <c r="O155" s="114"/>
      <c r="P155" s="114"/>
      <c r="W155" s="180"/>
      <c r="X155" s="103">
        <f>'Additional information'!$D$19</f>
        <v>0.91</v>
      </c>
      <c r="Y155" s="157" t="str">
        <f t="shared" si="10"/>
        <v/>
      </c>
      <c r="Z155" s="157" t="str">
        <f t="shared" si="11"/>
        <v/>
      </c>
      <c r="AA155" s="73"/>
    </row>
    <row r="156" spans="1:27" ht="32" customHeight="1" x14ac:dyDescent="0.2">
      <c r="A156" s="72" t="s">
        <v>146</v>
      </c>
      <c r="B156" s="72" t="s">
        <v>463</v>
      </c>
      <c r="C156" s="44" t="s">
        <v>464</v>
      </c>
      <c r="D156" s="215" t="s">
        <v>465</v>
      </c>
      <c r="E156" s="85"/>
      <c r="H156" s="86"/>
      <c r="I156" s="113" t="s">
        <v>40</v>
      </c>
      <c r="J156" s="113"/>
      <c r="K156" s="113"/>
      <c r="L156" s="113"/>
      <c r="M156" s="115"/>
      <c r="N156" s="113"/>
      <c r="O156" s="113"/>
      <c r="P156" s="113"/>
      <c r="U156" s="45" t="s">
        <v>42</v>
      </c>
      <c r="W156" s="180">
        <v>13.613316535949711</v>
      </c>
      <c r="X156" s="103">
        <f>'Additional information'!$D$19</f>
        <v>0.91</v>
      </c>
      <c r="Y156" s="157">
        <f t="shared" si="10"/>
        <v>12.388118047714237</v>
      </c>
      <c r="Z156" s="157">
        <f t="shared" si="11"/>
        <v>12.388118047714237</v>
      </c>
    </row>
    <row r="157" spans="1:27" ht="32" customHeight="1" x14ac:dyDescent="0.2">
      <c r="A157" s="72" t="s">
        <v>466</v>
      </c>
      <c r="B157" s="72" t="s">
        <v>467</v>
      </c>
      <c r="C157" s="44" t="s">
        <v>468</v>
      </c>
      <c r="D157" s="215" t="s">
        <v>469</v>
      </c>
      <c r="E157" s="85"/>
      <c r="F157" s="45" t="s">
        <v>382</v>
      </c>
      <c r="G157" s="45" t="s">
        <v>470</v>
      </c>
      <c r="H157" s="86"/>
      <c r="I157" s="113" t="s">
        <v>40</v>
      </c>
      <c r="J157" s="113"/>
      <c r="K157" s="115" t="s">
        <v>419</v>
      </c>
      <c r="L157" s="113"/>
      <c r="M157" s="115" t="s">
        <v>471</v>
      </c>
      <c r="N157" s="113"/>
      <c r="O157" s="113"/>
      <c r="P157" s="113"/>
      <c r="U157" s="45" t="s">
        <v>42</v>
      </c>
      <c r="W157" s="180">
        <v>27.754648208618161</v>
      </c>
      <c r="X157" s="103">
        <f>'Additional information'!$D$19</f>
        <v>0.91</v>
      </c>
      <c r="Y157" s="157">
        <f t="shared" si="10"/>
        <v>25.256729869842527</v>
      </c>
      <c r="Z157" s="157">
        <f t="shared" si="11"/>
        <v>25.256729869842527</v>
      </c>
    </row>
    <row r="158" spans="1:27" x14ac:dyDescent="0.2">
      <c r="D158" s="45"/>
      <c r="E158" s="85"/>
      <c r="H158" s="86"/>
      <c r="M158" s="125"/>
      <c r="W158" s="180"/>
      <c r="X158" s="103">
        <f>'Additional information'!$D$19</f>
        <v>0.91</v>
      </c>
      <c r="Y158" s="157" t="str">
        <f t="shared" si="10"/>
        <v/>
      </c>
      <c r="Z158" s="157" t="str">
        <f t="shared" si="11"/>
        <v/>
      </c>
    </row>
    <row r="159" spans="1:27" x14ac:dyDescent="0.2">
      <c r="E159" s="85"/>
      <c r="H159" s="86"/>
      <c r="M159" s="125"/>
      <c r="W159" s="180"/>
      <c r="X159" s="103">
        <f>'Additional information'!$D$19</f>
        <v>0.91</v>
      </c>
      <c r="Y159" s="157" t="str">
        <f t="shared" si="10"/>
        <v/>
      </c>
      <c r="Z159" s="157" t="str">
        <f t="shared" si="11"/>
        <v/>
      </c>
    </row>
    <row r="160" spans="1:27" ht="16" customHeight="1" thickBot="1" x14ac:dyDescent="0.25">
      <c r="A160" s="98" t="s">
        <v>141</v>
      </c>
      <c r="B160" s="98"/>
      <c r="C160" s="99"/>
      <c r="D160" s="99"/>
      <c r="E160" s="105"/>
      <c r="F160" s="98"/>
      <c r="G160" s="98"/>
      <c r="H160" s="106"/>
      <c r="I160" s="126"/>
      <c r="J160" s="126"/>
      <c r="K160" s="126"/>
      <c r="L160" s="126"/>
      <c r="M160" s="126"/>
      <c r="N160" s="126"/>
      <c r="O160" s="126"/>
      <c r="P160" s="126"/>
      <c r="W160" s="180"/>
      <c r="Y160" s="157" t="str">
        <f t="shared" si="10"/>
        <v/>
      </c>
      <c r="Z160" s="157" t="str">
        <f t="shared" si="11"/>
        <v/>
      </c>
    </row>
    <row r="161" spans="1:27" s="70" customFormat="1" ht="17" customHeight="1" thickTop="1" x14ac:dyDescent="0.2">
      <c r="A161" s="67" t="s">
        <v>68</v>
      </c>
      <c r="B161" s="67" t="s">
        <v>472</v>
      </c>
      <c r="C161" s="91" t="s">
        <v>473</v>
      </c>
      <c r="D161" s="212" t="s">
        <v>474</v>
      </c>
      <c r="E161" s="68"/>
      <c r="F161" s="67"/>
      <c r="G161" s="67"/>
      <c r="H161" s="69"/>
      <c r="I161" s="118" t="s">
        <v>51</v>
      </c>
      <c r="J161" s="118"/>
      <c r="K161" s="118"/>
      <c r="L161" s="118"/>
      <c r="M161" s="118" t="s">
        <v>475</v>
      </c>
      <c r="N161" s="118"/>
      <c r="O161" s="118"/>
      <c r="P161" s="118"/>
      <c r="U161" s="45" t="s">
        <v>42</v>
      </c>
      <c r="W161" s="180"/>
      <c r="X161" s="156"/>
      <c r="Y161" s="157" t="str">
        <f t="shared" si="10"/>
        <v/>
      </c>
      <c r="Z161" s="157" t="str">
        <f t="shared" si="11"/>
        <v/>
      </c>
      <c r="AA161" s="71"/>
    </row>
    <row r="162" spans="1:27" s="70" customFormat="1" x14ac:dyDescent="0.2">
      <c r="C162" s="92"/>
      <c r="D162" s="92"/>
      <c r="E162" s="68"/>
      <c r="H162" s="69"/>
      <c r="I162" s="119"/>
      <c r="J162" s="119"/>
      <c r="K162" s="119"/>
      <c r="L162" s="119"/>
      <c r="M162" s="119"/>
      <c r="N162" s="119"/>
      <c r="O162" s="119"/>
      <c r="P162" s="119"/>
      <c r="U162" s="45"/>
      <c r="W162" s="180"/>
      <c r="X162" s="103">
        <f>'Additional information'!$D$19</f>
        <v>0.91</v>
      </c>
      <c r="Y162" s="157" t="str">
        <f t="shared" si="10"/>
        <v/>
      </c>
      <c r="Z162" s="157" t="str">
        <f t="shared" si="11"/>
        <v/>
      </c>
      <c r="AA162" s="71"/>
    </row>
    <row r="163" spans="1:27" s="70" customFormat="1" ht="32" customHeight="1" x14ac:dyDescent="0.2">
      <c r="A163" s="72" t="s">
        <v>476</v>
      </c>
      <c r="B163" s="72" t="s">
        <v>477</v>
      </c>
      <c r="C163" s="44" t="s">
        <v>478</v>
      </c>
      <c r="D163" s="215" t="s">
        <v>479</v>
      </c>
      <c r="E163" s="85"/>
      <c r="F163" s="102"/>
      <c r="G163" s="102"/>
      <c r="H163" s="86"/>
      <c r="I163" s="113" t="s">
        <v>40</v>
      </c>
      <c r="J163" s="113" t="s">
        <v>210</v>
      </c>
      <c r="K163" s="118"/>
      <c r="L163" s="118"/>
      <c r="M163" s="118"/>
      <c r="N163" s="118"/>
      <c r="O163" s="118"/>
      <c r="P163" s="118"/>
      <c r="U163" s="45" t="s">
        <v>42</v>
      </c>
      <c r="W163" s="180">
        <v>13.99939060211182</v>
      </c>
      <c r="X163" s="103">
        <f>'Additional information'!$D$19</f>
        <v>0.91</v>
      </c>
      <c r="Y163" s="157">
        <f t="shared" si="10"/>
        <v>12.739445447921756</v>
      </c>
      <c r="Z163" s="157">
        <f t="shared" si="11"/>
        <v>12.739445447921756</v>
      </c>
      <c r="AA163" s="71"/>
    </row>
    <row r="164" spans="1:27" x14ac:dyDescent="0.2">
      <c r="A164" s="72" t="s">
        <v>26</v>
      </c>
      <c r="B164" s="72" t="s">
        <v>480</v>
      </c>
      <c r="C164" s="44"/>
      <c r="D164" s="218"/>
      <c r="E164" s="85"/>
      <c r="H164" s="86"/>
      <c r="I164" s="113"/>
      <c r="J164" s="113"/>
      <c r="K164" s="113"/>
      <c r="L164" s="113"/>
      <c r="M164" s="113"/>
      <c r="N164" s="113"/>
      <c r="O164" s="113"/>
      <c r="P164" s="113" t="s">
        <v>481</v>
      </c>
      <c r="U164" s="45" t="s">
        <v>42</v>
      </c>
      <c r="W164" s="180"/>
      <c r="X164" s="103">
        <f>'Additional information'!$D$19</f>
        <v>0.91</v>
      </c>
      <c r="Y164" s="157" t="str">
        <f t="shared" si="10"/>
        <v/>
      </c>
      <c r="Z164" s="157" t="str">
        <f t="shared" si="11"/>
        <v/>
      </c>
    </row>
    <row r="165" spans="1:27" x14ac:dyDescent="0.2">
      <c r="D165" s="45"/>
      <c r="E165" s="85"/>
      <c r="H165" s="86"/>
      <c r="W165" s="180"/>
      <c r="X165" s="103">
        <f>'Additional information'!$D$19</f>
        <v>0.91</v>
      </c>
      <c r="Y165" s="157" t="str">
        <f t="shared" si="10"/>
        <v/>
      </c>
      <c r="Z165" s="157" t="str">
        <f t="shared" si="11"/>
        <v/>
      </c>
    </row>
    <row r="166" spans="1:27" ht="32" customHeight="1" x14ac:dyDescent="0.2">
      <c r="A166" s="72" t="s">
        <v>146</v>
      </c>
      <c r="B166" s="72" t="s">
        <v>482</v>
      </c>
      <c r="C166" s="44" t="s">
        <v>483</v>
      </c>
      <c r="D166" s="215" t="s">
        <v>484</v>
      </c>
      <c r="E166" s="85"/>
      <c r="H166" s="86"/>
      <c r="I166" s="113" t="s">
        <v>40</v>
      </c>
      <c r="J166" s="113"/>
      <c r="K166" s="113"/>
      <c r="L166" s="113"/>
      <c r="M166" s="113"/>
      <c r="N166" s="113"/>
      <c r="O166" s="113"/>
      <c r="P166" s="113"/>
      <c r="U166" s="45" t="s">
        <v>42</v>
      </c>
      <c r="W166" s="180">
        <v>10.25279426574707</v>
      </c>
      <c r="X166" s="103">
        <f>'Additional information'!$D$19</f>
        <v>0.91</v>
      </c>
      <c r="Y166" s="157">
        <f t="shared" si="10"/>
        <v>9.3300427818298335</v>
      </c>
      <c r="Z166" s="157">
        <f t="shared" si="11"/>
        <v>9.3300427818298335</v>
      </c>
    </row>
    <row r="167" spans="1:27" ht="32" customHeight="1" x14ac:dyDescent="0.2">
      <c r="A167" s="72" t="s">
        <v>485</v>
      </c>
      <c r="B167" s="72" t="s">
        <v>486</v>
      </c>
      <c r="C167" s="44" t="s">
        <v>487</v>
      </c>
      <c r="D167" s="215" t="s">
        <v>488</v>
      </c>
      <c r="E167" s="85"/>
      <c r="F167" s="45" t="s">
        <v>382</v>
      </c>
      <c r="G167" s="45" t="s">
        <v>489</v>
      </c>
      <c r="H167" s="86"/>
      <c r="I167" s="113" t="s">
        <v>40</v>
      </c>
      <c r="J167" s="113"/>
      <c r="K167" s="115" t="s">
        <v>419</v>
      </c>
      <c r="L167" s="115"/>
      <c r="M167" s="115" t="s">
        <v>490</v>
      </c>
      <c r="N167" s="113"/>
      <c r="O167" s="113"/>
      <c r="P167" s="113"/>
      <c r="U167" s="45" t="s">
        <v>42</v>
      </c>
      <c r="W167" s="180">
        <v>24.194343566894531</v>
      </c>
      <c r="X167" s="103">
        <f>'Additional information'!$D$19</f>
        <v>0.91</v>
      </c>
      <c r="Y167" s="157">
        <f t="shared" si="10"/>
        <v>22.016852645874025</v>
      </c>
      <c r="Z167" s="157">
        <f t="shared" si="11"/>
        <v>22.016852645874025</v>
      </c>
    </row>
    <row r="168" spans="1:27" x14ac:dyDescent="0.2">
      <c r="D168" s="219"/>
      <c r="E168" s="85"/>
      <c r="H168" s="86"/>
      <c r="M168" s="125"/>
      <c r="W168" s="180"/>
      <c r="X168" s="103">
        <f>'Additional information'!$D$19</f>
        <v>0.91</v>
      </c>
      <c r="Y168" s="157" t="str">
        <f t="shared" si="10"/>
        <v/>
      </c>
      <c r="Z168" s="157" t="str">
        <f t="shared" si="11"/>
        <v/>
      </c>
    </row>
    <row r="169" spans="1:27" ht="48" customHeight="1" x14ac:dyDescent="0.2">
      <c r="A169" s="72" t="s">
        <v>241</v>
      </c>
      <c r="B169" s="72" t="s">
        <v>491</v>
      </c>
      <c r="C169" s="78" t="s">
        <v>492</v>
      </c>
      <c r="D169" s="215" t="s">
        <v>493</v>
      </c>
      <c r="E169" s="85"/>
      <c r="F169" s="72" t="s">
        <v>424</v>
      </c>
      <c r="G169" s="102" t="s">
        <v>494</v>
      </c>
      <c r="H169" s="86"/>
      <c r="I169" s="113" t="s">
        <v>40</v>
      </c>
      <c r="J169" s="113"/>
      <c r="K169" s="113"/>
      <c r="L169" s="113"/>
      <c r="M169" s="115"/>
      <c r="N169" s="113"/>
      <c r="O169" s="113"/>
      <c r="P169" s="113"/>
      <c r="U169" s="45" t="s">
        <v>42</v>
      </c>
      <c r="W169" s="180">
        <v>19.321737289428711</v>
      </c>
      <c r="X169" s="103">
        <f>'Additional information'!$D$19</f>
        <v>0.91</v>
      </c>
      <c r="Y169" s="157">
        <f t="shared" ref="Y169:Y200" si="12">IF(W169&lt;&gt;"",W169*X169,"")</f>
        <v>17.582780933380128</v>
      </c>
      <c r="Z169" s="157">
        <f t="shared" ref="Z169:Z200" si="13">IF(AND(W169&lt;&gt;"",U169="yes"),W169*X169,"")</f>
        <v>17.582780933380128</v>
      </c>
    </row>
    <row r="170" spans="1:27" x14ac:dyDescent="0.2">
      <c r="C170" s="47"/>
      <c r="D170" s="47"/>
      <c r="E170" s="85"/>
      <c r="H170" s="86"/>
      <c r="M170" s="125"/>
      <c r="W170" s="180"/>
      <c r="X170" s="103">
        <f>'Additional information'!$D$19</f>
        <v>0.91</v>
      </c>
      <c r="Y170" s="157" t="str">
        <f t="shared" si="12"/>
        <v/>
      </c>
      <c r="Z170" s="157" t="str">
        <f t="shared" si="13"/>
        <v/>
      </c>
    </row>
    <row r="171" spans="1:27" ht="16" customHeight="1" thickBot="1" x14ac:dyDescent="0.25">
      <c r="A171" s="98" t="s">
        <v>141</v>
      </c>
      <c r="B171" s="98"/>
      <c r="C171" s="99"/>
      <c r="D171" s="99"/>
      <c r="E171" s="105"/>
      <c r="F171" s="98"/>
      <c r="G171" s="98"/>
      <c r="H171" s="106"/>
      <c r="I171" s="126"/>
      <c r="J171" s="126"/>
      <c r="K171" s="126"/>
      <c r="L171" s="126"/>
      <c r="M171" s="126"/>
      <c r="N171" s="126"/>
      <c r="O171" s="126"/>
      <c r="P171" s="126"/>
      <c r="W171" s="180"/>
      <c r="Y171" s="157" t="str">
        <f t="shared" si="12"/>
        <v/>
      </c>
      <c r="Z171" s="157" t="str">
        <f t="shared" si="13"/>
        <v/>
      </c>
    </row>
    <row r="172" spans="1:27" s="70" customFormat="1" ht="16" customHeight="1" x14ac:dyDescent="0.2">
      <c r="A172" s="67" t="s">
        <v>68</v>
      </c>
      <c r="B172" s="67" t="s">
        <v>495</v>
      </c>
      <c r="C172" s="91" t="s">
        <v>496</v>
      </c>
      <c r="D172" s="212" t="s">
        <v>497</v>
      </c>
      <c r="E172" s="68"/>
      <c r="F172" s="67"/>
      <c r="G172" s="67"/>
      <c r="H172" s="69"/>
      <c r="I172" s="118" t="s">
        <v>51</v>
      </c>
      <c r="J172" s="118"/>
      <c r="K172" s="118"/>
      <c r="L172" s="118"/>
      <c r="M172" s="118" t="s">
        <v>498</v>
      </c>
      <c r="N172" s="118"/>
      <c r="O172" s="118"/>
      <c r="P172" s="118"/>
      <c r="U172" s="45" t="s">
        <v>42</v>
      </c>
      <c r="W172" s="180"/>
      <c r="X172" s="71"/>
      <c r="Y172" s="157" t="str">
        <f t="shared" si="12"/>
        <v/>
      </c>
      <c r="Z172" s="157" t="str">
        <f t="shared" si="13"/>
        <v/>
      </c>
      <c r="AA172" s="71"/>
    </row>
    <row r="173" spans="1:27" s="73" customFormat="1" ht="80" customHeight="1" x14ac:dyDescent="0.2">
      <c r="A173" s="77" t="s">
        <v>45</v>
      </c>
      <c r="B173" s="77" t="s">
        <v>499</v>
      </c>
      <c r="C173" s="78" t="s">
        <v>500</v>
      </c>
      <c r="D173" s="220" t="s">
        <v>501</v>
      </c>
      <c r="E173" s="95"/>
      <c r="H173" s="97"/>
      <c r="I173" s="115"/>
      <c r="J173" s="115"/>
      <c r="K173" s="115"/>
      <c r="L173" s="115"/>
      <c r="M173" s="115"/>
      <c r="N173" s="115"/>
      <c r="O173" s="115"/>
      <c r="P173" s="115"/>
      <c r="U173" s="73" t="s">
        <v>42</v>
      </c>
      <c r="W173" s="180">
        <v>7.5</v>
      </c>
      <c r="X173" s="103">
        <f>'Additional information'!$D$20</f>
        <v>0.05</v>
      </c>
      <c r="Y173" s="157">
        <f t="shared" si="12"/>
        <v>0.375</v>
      </c>
      <c r="Z173" s="157">
        <f t="shared" si="13"/>
        <v>0.375</v>
      </c>
    </row>
    <row r="174" spans="1:27" s="70" customFormat="1" x14ac:dyDescent="0.2">
      <c r="C174" s="92"/>
      <c r="D174" s="219"/>
      <c r="E174" s="68"/>
      <c r="H174" s="69"/>
      <c r="I174" s="119"/>
      <c r="J174" s="119"/>
      <c r="K174" s="119"/>
      <c r="L174" s="119"/>
      <c r="M174" s="119"/>
      <c r="N174" s="119"/>
      <c r="O174" s="119"/>
      <c r="P174" s="119"/>
      <c r="U174" s="45"/>
      <c r="W174" s="180"/>
      <c r="X174" s="103">
        <f>'Additional information'!$D$20</f>
        <v>0.05</v>
      </c>
      <c r="Y174" s="157" t="str">
        <f t="shared" si="12"/>
        <v/>
      </c>
      <c r="Z174" s="157" t="str">
        <f t="shared" si="13"/>
        <v/>
      </c>
      <c r="AA174" s="71"/>
    </row>
    <row r="175" spans="1:27" ht="32" customHeight="1" x14ac:dyDescent="0.2">
      <c r="A175" s="72" t="s">
        <v>502</v>
      </c>
      <c r="B175" s="72" t="s">
        <v>503</v>
      </c>
      <c r="C175" s="44" t="s">
        <v>504</v>
      </c>
      <c r="D175" s="215" t="s">
        <v>505</v>
      </c>
      <c r="E175" s="85"/>
      <c r="F175" s="45" t="s">
        <v>506</v>
      </c>
      <c r="G175" s="45" t="s">
        <v>461</v>
      </c>
      <c r="H175" s="86"/>
      <c r="I175" s="113" t="s">
        <v>40</v>
      </c>
      <c r="J175" s="113"/>
      <c r="K175" s="113" t="s">
        <v>419</v>
      </c>
      <c r="L175" s="113"/>
      <c r="M175" s="113"/>
      <c r="N175" s="113"/>
      <c r="O175" s="113"/>
      <c r="P175" s="113"/>
      <c r="U175" s="45" t="s">
        <v>42</v>
      </c>
      <c r="W175" s="180">
        <v>19.090116500854489</v>
      </c>
      <c r="X175" s="103">
        <f>'Additional information'!$D$20</f>
        <v>0.05</v>
      </c>
      <c r="Y175" s="157">
        <f t="shared" si="12"/>
        <v>0.95450582504272452</v>
      </c>
      <c r="Z175" s="157">
        <f t="shared" si="13"/>
        <v>0.95450582504272452</v>
      </c>
    </row>
    <row r="176" spans="1:27" x14ac:dyDescent="0.2">
      <c r="D176" s="216"/>
      <c r="E176" s="85"/>
      <c r="H176" s="86"/>
      <c r="W176" s="180"/>
      <c r="X176" s="103">
        <f>'Additional information'!$D$20</f>
        <v>0.05</v>
      </c>
      <c r="Y176" s="157" t="str">
        <f t="shared" si="12"/>
        <v/>
      </c>
      <c r="Z176" s="157" t="str">
        <f t="shared" si="13"/>
        <v/>
      </c>
    </row>
    <row r="177" spans="1:27" ht="48" customHeight="1" x14ac:dyDescent="0.2">
      <c r="A177" s="72" t="s">
        <v>241</v>
      </c>
      <c r="B177" s="72" t="s">
        <v>507</v>
      </c>
      <c r="C177" s="44" t="s">
        <v>508</v>
      </c>
      <c r="D177" s="215" t="s">
        <v>509</v>
      </c>
      <c r="E177" s="85"/>
      <c r="H177" s="86"/>
      <c r="I177" s="113" t="s">
        <v>40</v>
      </c>
      <c r="J177" s="113"/>
      <c r="K177" s="113"/>
      <c r="L177" s="113"/>
      <c r="M177" s="113"/>
      <c r="N177" s="113"/>
      <c r="O177" s="113"/>
      <c r="P177" s="113"/>
      <c r="U177" s="45" t="s">
        <v>42</v>
      </c>
      <c r="W177" s="180">
        <v>17.656976699829102</v>
      </c>
      <c r="X177" s="103">
        <f>'Additional information'!$D$20</f>
        <v>0.05</v>
      </c>
      <c r="Y177" s="157">
        <f t="shared" si="12"/>
        <v>0.88284883499145517</v>
      </c>
      <c r="Z177" s="157">
        <f t="shared" si="13"/>
        <v>0.88284883499145517</v>
      </c>
    </row>
    <row r="178" spans="1:27" x14ac:dyDescent="0.2">
      <c r="D178" s="219"/>
      <c r="E178" s="85"/>
      <c r="H178" s="86"/>
      <c r="W178" s="180"/>
      <c r="X178" s="103">
        <f>'Additional information'!$D$20</f>
        <v>0.05</v>
      </c>
      <c r="Y178" s="157" t="str">
        <f t="shared" si="12"/>
        <v/>
      </c>
      <c r="Z178" s="157" t="str">
        <f t="shared" si="13"/>
        <v/>
      </c>
    </row>
    <row r="179" spans="1:27" ht="48" customHeight="1" x14ac:dyDescent="0.2">
      <c r="A179" s="72" t="s">
        <v>146</v>
      </c>
      <c r="B179" s="72" t="s">
        <v>510</v>
      </c>
      <c r="C179" s="44" t="s">
        <v>511</v>
      </c>
      <c r="D179" s="215" t="s">
        <v>512</v>
      </c>
      <c r="E179" s="85"/>
      <c r="H179" s="86"/>
      <c r="I179" s="113" t="s">
        <v>40</v>
      </c>
      <c r="J179" s="113"/>
      <c r="K179" s="113"/>
      <c r="L179" s="113"/>
      <c r="M179" s="113"/>
      <c r="N179" s="113"/>
      <c r="O179" s="113"/>
      <c r="P179" s="113"/>
      <c r="U179" s="45" t="s">
        <v>42</v>
      </c>
      <c r="W179" s="181">
        <v>8.7647056579589844</v>
      </c>
      <c r="X179" s="103">
        <f>'Additional information'!$D$20</f>
        <v>0.05</v>
      </c>
      <c r="Y179" s="157">
        <f t="shared" si="12"/>
        <v>0.43823528289794922</v>
      </c>
      <c r="Z179" s="157">
        <f t="shared" si="13"/>
        <v>0.43823528289794922</v>
      </c>
    </row>
    <row r="180" spans="1:27" ht="32" customHeight="1" x14ac:dyDescent="0.2">
      <c r="A180" s="72" t="s">
        <v>513</v>
      </c>
      <c r="B180" s="72" t="s">
        <v>514</v>
      </c>
      <c r="C180" s="44" t="s">
        <v>515</v>
      </c>
      <c r="D180" s="215" t="s">
        <v>516</v>
      </c>
      <c r="E180" s="85"/>
      <c r="F180" s="45" t="s">
        <v>382</v>
      </c>
      <c r="G180" s="45" t="s">
        <v>517</v>
      </c>
      <c r="H180" s="86"/>
      <c r="I180" s="113"/>
      <c r="J180" s="113"/>
      <c r="K180" s="115" t="s">
        <v>419</v>
      </c>
      <c r="L180" s="113"/>
      <c r="M180" s="115" t="s">
        <v>518</v>
      </c>
      <c r="N180" s="113"/>
      <c r="O180" s="113"/>
      <c r="P180" s="113"/>
      <c r="U180" s="45" t="s">
        <v>42</v>
      </c>
      <c r="W180" s="181">
        <v>27.9538459777832</v>
      </c>
      <c r="X180" s="103">
        <f>'Additional information'!$D$20</f>
        <v>0.05</v>
      </c>
      <c r="Y180" s="157">
        <f t="shared" si="12"/>
        <v>1.39769229888916</v>
      </c>
      <c r="Z180" s="157">
        <f t="shared" si="13"/>
        <v>1.39769229888916</v>
      </c>
    </row>
    <row r="181" spans="1:27" ht="16" customHeight="1" x14ac:dyDescent="0.2">
      <c r="A181" s="72" t="s">
        <v>72</v>
      </c>
      <c r="B181" s="72" t="s">
        <v>519</v>
      </c>
      <c r="C181" s="78" t="s">
        <v>340</v>
      </c>
      <c r="D181" s="44" t="s">
        <v>341</v>
      </c>
      <c r="E181" s="95"/>
      <c r="F181" s="73" t="s">
        <v>342</v>
      </c>
      <c r="G181" s="73" t="s">
        <v>343</v>
      </c>
      <c r="H181" s="86"/>
      <c r="I181" s="113" t="s">
        <v>40</v>
      </c>
      <c r="J181" s="113"/>
      <c r="K181" s="113"/>
      <c r="L181" s="113"/>
      <c r="M181" s="113" t="s">
        <v>520</v>
      </c>
      <c r="N181" s="113"/>
      <c r="O181" s="113"/>
      <c r="P181" s="113"/>
      <c r="U181" s="45" t="s">
        <v>42</v>
      </c>
      <c r="W181" s="180"/>
      <c r="X181" s="103">
        <f>'Additional information'!$D$20</f>
        <v>0.05</v>
      </c>
      <c r="Y181" s="157" t="str">
        <f t="shared" si="12"/>
        <v/>
      </c>
      <c r="Z181" s="157" t="str">
        <f t="shared" si="13"/>
        <v/>
      </c>
    </row>
    <row r="182" spans="1:27" x14ac:dyDescent="0.2">
      <c r="E182" s="85"/>
      <c r="H182" s="86"/>
      <c r="W182" s="180"/>
      <c r="X182" s="103">
        <f>'Additional information'!$D$20</f>
        <v>0.05</v>
      </c>
      <c r="Y182" s="157" t="str">
        <f t="shared" si="12"/>
        <v/>
      </c>
      <c r="Z182" s="157" t="str">
        <f t="shared" si="13"/>
        <v/>
      </c>
    </row>
    <row r="183" spans="1:27" ht="16" customHeight="1" thickBot="1" x14ac:dyDescent="0.25">
      <c r="A183" s="93" t="s">
        <v>141</v>
      </c>
      <c r="B183" s="93"/>
      <c r="C183" s="94"/>
      <c r="D183" s="94"/>
      <c r="E183" s="89"/>
      <c r="F183" s="93"/>
      <c r="G183" s="93"/>
      <c r="H183" s="90"/>
      <c r="I183" s="124"/>
      <c r="J183" s="124"/>
      <c r="K183" s="124"/>
      <c r="L183" s="124"/>
      <c r="M183" s="124"/>
      <c r="N183" s="124"/>
      <c r="O183" s="124"/>
      <c r="P183" s="124"/>
      <c r="W183" s="180"/>
      <c r="Y183" s="157" t="str">
        <f t="shared" si="12"/>
        <v/>
      </c>
      <c r="Z183" s="157" t="str">
        <f t="shared" si="13"/>
        <v/>
      </c>
    </row>
    <row r="184" spans="1:27" s="70" customFormat="1" ht="17" customHeight="1" thickTop="1" x14ac:dyDescent="0.2">
      <c r="A184" s="67" t="s">
        <v>68</v>
      </c>
      <c r="B184" s="67" t="s">
        <v>521</v>
      </c>
      <c r="C184" s="91" t="s">
        <v>522</v>
      </c>
      <c r="D184" s="212" t="s">
        <v>523</v>
      </c>
      <c r="E184" s="68"/>
      <c r="F184" s="67"/>
      <c r="G184" s="67"/>
      <c r="H184" s="69"/>
      <c r="I184" s="118" t="s">
        <v>51</v>
      </c>
      <c r="J184" s="118"/>
      <c r="K184" s="118"/>
      <c r="L184" s="118"/>
      <c r="M184" s="118" t="s">
        <v>524</v>
      </c>
      <c r="N184" s="118"/>
      <c r="O184" s="118"/>
      <c r="P184" s="118"/>
      <c r="U184" s="45" t="s">
        <v>42</v>
      </c>
      <c r="W184" s="180"/>
      <c r="X184" s="71"/>
      <c r="Y184" s="157" t="str">
        <f t="shared" si="12"/>
        <v/>
      </c>
      <c r="Z184" s="157" t="str">
        <f t="shared" si="13"/>
        <v/>
      </c>
      <c r="AA184" s="71"/>
    </row>
    <row r="185" spans="1:27" s="70" customFormat="1" x14ac:dyDescent="0.2">
      <c r="C185" s="92"/>
      <c r="D185" s="92"/>
      <c r="E185" s="68"/>
      <c r="H185" s="69"/>
      <c r="I185" s="119"/>
      <c r="J185" s="119"/>
      <c r="K185" s="119"/>
      <c r="L185" s="119"/>
      <c r="M185" s="119"/>
      <c r="N185" s="119"/>
      <c r="O185" s="119"/>
      <c r="P185" s="119"/>
      <c r="U185" s="45"/>
      <c r="W185" s="180"/>
      <c r="X185" s="103">
        <f>'Additional information'!$D$20</f>
        <v>0.05</v>
      </c>
      <c r="Y185" s="157" t="str">
        <f t="shared" si="12"/>
        <v/>
      </c>
      <c r="Z185" s="157" t="str">
        <f t="shared" si="13"/>
        <v/>
      </c>
      <c r="AA185" s="71"/>
    </row>
    <row r="186" spans="1:27" s="70" customFormat="1" ht="32" customHeight="1" x14ac:dyDescent="0.2">
      <c r="A186" s="72" t="s">
        <v>525</v>
      </c>
      <c r="B186" s="72" t="s">
        <v>526</v>
      </c>
      <c r="C186" s="44" t="s">
        <v>527</v>
      </c>
      <c r="D186" s="44" t="s">
        <v>528</v>
      </c>
      <c r="E186" s="85"/>
      <c r="F186" s="72"/>
      <c r="G186" s="72"/>
      <c r="H186" s="86"/>
      <c r="I186" s="113" t="s">
        <v>40</v>
      </c>
      <c r="J186" s="118"/>
      <c r="K186" s="118"/>
      <c r="L186" s="118"/>
      <c r="M186" s="118"/>
      <c r="N186" s="118"/>
      <c r="O186" s="118"/>
      <c r="P186" s="118"/>
      <c r="U186" s="45" t="s">
        <v>42</v>
      </c>
      <c r="W186" s="180">
        <v>14.38495540618896</v>
      </c>
      <c r="X186" s="103">
        <f>'Additional information'!$D$20</f>
        <v>0.05</v>
      </c>
      <c r="Y186" s="157">
        <f t="shared" si="12"/>
        <v>0.71924777030944798</v>
      </c>
      <c r="Z186" s="157">
        <f t="shared" si="13"/>
        <v>0.71924777030944798</v>
      </c>
      <c r="AA186" s="71"/>
    </row>
    <row r="187" spans="1:27" x14ac:dyDescent="0.2">
      <c r="A187" s="72" t="s">
        <v>26</v>
      </c>
      <c r="B187" s="72" t="s">
        <v>529</v>
      </c>
      <c r="C187" s="44"/>
      <c r="D187" s="44"/>
      <c r="E187" s="85"/>
      <c r="F187" s="72"/>
      <c r="G187" s="72"/>
      <c r="H187" s="86"/>
      <c r="I187" s="113"/>
      <c r="J187" s="113"/>
      <c r="K187" s="113"/>
      <c r="L187" s="113"/>
      <c r="M187" s="113"/>
      <c r="N187" s="113"/>
      <c r="O187" s="113"/>
      <c r="P187" s="113" t="s">
        <v>530</v>
      </c>
      <c r="U187" s="45" t="s">
        <v>42</v>
      </c>
      <c r="W187" s="180"/>
      <c r="X187" s="103">
        <f>'Additional information'!$D$20</f>
        <v>0.05</v>
      </c>
      <c r="Y187" s="157" t="str">
        <f t="shared" si="12"/>
        <v/>
      </c>
      <c r="Z187" s="157" t="str">
        <f t="shared" si="13"/>
        <v/>
      </c>
    </row>
    <row r="188" spans="1:27" ht="16" customHeight="1" x14ac:dyDescent="0.2">
      <c r="A188" s="72" t="s">
        <v>72</v>
      </c>
      <c r="B188" s="72" t="s">
        <v>531</v>
      </c>
      <c r="C188" s="78" t="s">
        <v>340</v>
      </c>
      <c r="D188" s="44" t="s">
        <v>341</v>
      </c>
      <c r="E188" s="95"/>
      <c r="F188" s="73" t="s">
        <v>342</v>
      </c>
      <c r="G188" s="73" t="s">
        <v>532</v>
      </c>
      <c r="H188" s="86"/>
      <c r="I188" s="113" t="s">
        <v>40</v>
      </c>
      <c r="J188" s="113"/>
      <c r="K188" s="113"/>
      <c r="L188" s="113"/>
      <c r="M188" s="115" t="s">
        <v>533</v>
      </c>
      <c r="N188" s="113"/>
      <c r="O188" s="113"/>
      <c r="P188" s="113"/>
      <c r="U188" s="45" t="s">
        <v>42</v>
      </c>
      <c r="W188" s="180"/>
      <c r="X188" s="103">
        <f>'Additional information'!$D$20</f>
        <v>0.05</v>
      </c>
      <c r="Y188" s="157" t="str">
        <f t="shared" si="12"/>
        <v/>
      </c>
      <c r="Z188" s="157" t="str">
        <f t="shared" si="13"/>
        <v/>
      </c>
    </row>
    <row r="189" spans="1:27" x14ac:dyDescent="0.2">
      <c r="D189" s="45"/>
      <c r="E189" s="85"/>
      <c r="H189" s="86"/>
      <c r="M189" s="125"/>
      <c r="W189" s="180"/>
      <c r="X189" s="103">
        <f>'Additional information'!$D$20</f>
        <v>0.05</v>
      </c>
      <c r="Y189" s="157" t="str">
        <f t="shared" si="12"/>
        <v/>
      </c>
      <c r="Z189" s="157" t="str">
        <f t="shared" si="13"/>
        <v/>
      </c>
    </row>
    <row r="190" spans="1:27" ht="48" customHeight="1" x14ac:dyDescent="0.2">
      <c r="A190" s="72" t="s">
        <v>146</v>
      </c>
      <c r="B190" s="72" t="s">
        <v>534</v>
      </c>
      <c r="C190" s="44" t="s">
        <v>535</v>
      </c>
      <c r="D190" s="44" t="s">
        <v>536</v>
      </c>
      <c r="E190" s="85"/>
      <c r="F190" s="72"/>
      <c r="G190" s="72"/>
      <c r="H190" s="86"/>
      <c r="I190" s="113" t="s">
        <v>40</v>
      </c>
      <c r="J190" s="113"/>
      <c r="K190" s="113"/>
      <c r="L190" s="113"/>
      <c r="M190" s="113"/>
      <c r="N190" s="113"/>
      <c r="O190" s="113"/>
      <c r="P190" s="113"/>
      <c r="U190" s="45" t="s">
        <v>42</v>
      </c>
      <c r="W190" s="180">
        <v>9.4380531311035156</v>
      </c>
      <c r="X190" s="103">
        <f>'Additional information'!$D$20</f>
        <v>0.05</v>
      </c>
      <c r="Y190" s="157">
        <f t="shared" si="12"/>
        <v>0.47190265655517583</v>
      </c>
      <c r="Z190" s="157">
        <f t="shared" si="13"/>
        <v>0.47190265655517583</v>
      </c>
    </row>
    <row r="191" spans="1:27" ht="32" customHeight="1" x14ac:dyDescent="0.2">
      <c r="A191" s="72" t="s">
        <v>537</v>
      </c>
      <c r="B191" s="72" t="s">
        <v>538</v>
      </c>
      <c r="C191" s="44" t="s">
        <v>539</v>
      </c>
      <c r="D191" s="44" t="s">
        <v>540</v>
      </c>
      <c r="E191" s="85"/>
      <c r="F191" s="72" t="s">
        <v>460</v>
      </c>
      <c r="G191" s="72" t="s">
        <v>541</v>
      </c>
      <c r="H191" s="86"/>
      <c r="I191" s="113" t="s">
        <v>40</v>
      </c>
      <c r="J191" s="113"/>
      <c r="K191" s="115" t="s">
        <v>419</v>
      </c>
      <c r="L191" s="113"/>
      <c r="M191" s="115" t="s">
        <v>542</v>
      </c>
      <c r="N191" s="113"/>
      <c r="O191" s="113"/>
      <c r="P191" s="113"/>
      <c r="U191" s="45" t="s">
        <v>42</v>
      </c>
      <c r="W191" s="180">
        <v>27.76699066162109</v>
      </c>
      <c r="X191" s="103">
        <f>'Additional information'!$D$20</f>
        <v>0.05</v>
      </c>
      <c r="Y191" s="157">
        <f t="shared" si="12"/>
        <v>1.3883495330810547</v>
      </c>
      <c r="Z191" s="157">
        <f t="shared" si="13"/>
        <v>1.3883495330810547</v>
      </c>
    </row>
    <row r="192" spans="1:27" ht="16" customHeight="1" x14ac:dyDescent="0.2">
      <c r="A192" s="72" t="s">
        <v>72</v>
      </c>
      <c r="B192" s="72" t="s">
        <v>543</v>
      </c>
      <c r="C192" s="78" t="s">
        <v>340</v>
      </c>
      <c r="D192" s="44" t="s">
        <v>341</v>
      </c>
      <c r="E192" s="95"/>
      <c r="F192" s="73" t="s">
        <v>342</v>
      </c>
      <c r="G192" s="73" t="s">
        <v>343</v>
      </c>
      <c r="H192" s="86"/>
      <c r="I192" s="113" t="s">
        <v>40</v>
      </c>
      <c r="J192" s="113"/>
      <c r="K192" s="113"/>
      <c r="L192" s="113"/>
      <c r="M192" s="115" t="s">
        <v>544</v>
      </c>
      <c r="N192" s="113"/>
      <c r="O192" s="113"/>
      <c r="P192" s="113"/>
      <c r="U192" s="45" t="s">
        <v>42</v>
      </c>
      <c r="W192" s="180"/>
      <c r="X192" s="103">
        <f>'Additional information'!$D$20</f>
        <v>0.05</v>
      </c>
      <c r="Y192" s="157" t="str">
        <f t="shared" si="12"/>
        <v/>
      </c>
      <c r="Z192" s="157" t="str">
        <f t="shared" si="13"/>
        <v/>
      </c>
    </row>
    <row r="193" spans="1:27" x14ac:dyDescent="0.2">
      <c r="E193" s="85"/>
      <c r="H193" s="86"/>
      <c r="M193" s="125"/>
      <c r="W193" s="180"/>
      <c r="X193" s="103">
        <f>'Additional information'!$D$20</f>
        <v>0.05</v>
      </c>
      <c r="Y193" s="157" t="str">
        <f t="shared" si="12"/>
        <v/>
      </c>
      <c r="Z193" s="157" t="str">
        <f t="shared" si="13"/>
        <v/>
      </c>
    </row>
    <row r="194" spans="1:27" ht="48" customHeight="1" x14ac:dyDescent="0.2">
      <c r="A194" s="72" t="s">
        <v>241</v>
      </c>
      <c r="B194" s="72" t="s">
        <v>545</v>
      </c>
      <c r="C194" s="78" t="s">
        <v>546</v>
      </c>
      <c r="D194" s="44" t="s">
        <v>547</v>
      </c>
      <c r="E194" s="85"/>
      <c r="F194" s="72" t="s">
        <v>424</v>
      </c>
      <c r="G194" s="72" t="s">
        <v>494</v>
      </c>
      <c r="H194" s="86"/>
      <c r="I194" s="113" t="s">
        <v>40</v>
      </c>
      <c r="J194" s="113"/>
      <c r="K194" s="113"/>
      <c r="L194" s="113"/>
      <c r="M194" s="115"/>
      <c r="N194" s="113"/>
      <c r="O194" s="113"/>
      <c r="P194" s="113"/>
      <c r="U194" s="45" t="s">
        <v>42</v>
      </c>
      <c r="W194" s="180">
        <v>13.705752372741699</v>
      </c>
      <c r="X194" s="103">
        <f>'Additional information'!$D$20</f>
        <v>0.05</v>
      </c>
      <c r="Y194" s="157">
        <f t="shared" si="12"/>
        <v>0.68528761863708498</v>
      </c>
      <c r="Z194" s="157">
        <f t="shared" si="13"/>
        <v>0.68528761863708498</v>
      </c>
    </row>
    <row r="195" spans="1:27" x14ac:dyDescent="0.2">
      <c r="C195" s="47"/>
      <c r="D195" s="47"/>
      <c r="E195" s="85"/>
      <c r="H195" s="86"/>
      <c r="M195" s="125"/>
      <c r="W195" s="180"/>
      <c r="X195" s="103">
        <f>'Additional information'!$D$20</f>
        <v>0.05</v>
      </c>
      <c r="Y195" s="157" t="str">
        <f t="shared" si="12"/>
        <v/>
      </c>
      <c r="Z195" s="157" t="str">
        <f t="shared" si="13"/>
        <v/>
      </c>
    </row>
    <row r="196" spans="1:27" ht="16" customHeight="1" thickBot="1" x14ac:dyDescent="0.25">
      <c r="A196" s="98" t="s">
        <v>141</v>
      </c>
      <c r="B196" s="98"/>
      <c r="C196" s="99"/>
      <c r="D196" s="99"/>
      <c r="E196" s="105"/>
      <c r="F196" s="98"/>
      <c r="G196" s="98"/>
      <c r="H196" s="106"/>
      <c r="I196" s="126"/>
      <c r="J196" s="126"/>
      <c r="K196" s="126"/>
      <c r="L196" s="126"/>
      <c r="M196" s="126"/>
      <c r="N196" s="126"/>
      <c r="O196" s="126"/>
      <c r="P196" s="126"/>
      <c r="W196" s="180"/>
      <c r="Y196" s="157" t="str">
        <f t="shared" si="12"/>
        <v/>
      </c>
      <c r="Z196" s="157" t="str">
        <f t="shared" si="13"/>
        <v/>
      </c>
    </row>
    <row r="197" spans="1:27" s="70" customFormat="1" ht="17" customHeight="1" thickTop="1" x14ac:dyDescent="0.2">
      <c r="A197" s="67" t="s">
        <v>68</v>
      </c>
      <c r="B197" s="67" t="s">
        <v>548</v>
      </c>
      <c r="C197" s="91" t="s">
        <v>549</v>
      </c>
      <c r="D197" s="212" t="s">
        <v>550</v>
      </c>
      <c r="E197" s="68"/>
      <c r="F197" s="67"/>
      <c r="G197" s="67"/>
      <c r="H197" s="69"/>
      <c r="I197" s="118" t="s">
        <v>51</v>
      </c>
      <c r="J197" s="118"/>
      <c r="K197" s="118"/>
      <c r="L197" s="118"/>
      <c r="M197" s="118" t="s">
        <v>145</v>
      </c>
      <c r="N197" s="118"/>
      <c r="O197" s="118"/>
      <c r="P197" s="118"/>
      <c r="U197" s="45" t="s">
        <v>42</v>
      </c>
      <c r="W197" s="180"/>
      <c r="X197" s="71"/>
      <c r="Y197" s="157" t="str">
        <f t="shared" si="12"/>
        <v/>
      </c>
      <c r="Z197" s="157" t="str">
        <f t="shared" si="13"/>
        <v/>
      </c>
      <c r="AA197" s="71"/>
    </row>
    <row r="198" spans="1:27" x14ac:dyDescent="0.2">
      <c r="C198" s="47"/>
      <c r="D198" s="47"/>
      <c r="E198" s="85"/>
      <c r="H198" s="86"/>
      <c r="M198" s="125"/>
      <c r="W198" s="180"/>
      <c r="X198" s="103">
        <v>1</v>
      </c>
      <c r="Y198" s="157" t="str">
        <f t="shared" si="12"/>
        <v/>
      </c>
      <c r="Z198" s="157" t="str">
        <f t="shared" si="13"/>
        <v/>
      </c>
    </row>
    <row r="199" spans="1:27" s="70" customFormat="1" ht="64" customHeight="1" x14ac:dyDescent="0.2">
      <c r="A199" s="72" t="s">
        <v>45</v>
      </c>
      <c r="B199" s="72" t="s">
        <v>551</v>
      </c>
      <c r="C199" s="44" t="s">
        <v>552</v>
      </c>
      <c r="D199" s="217" t="s">
        <v>553</v>
      </c>
      <c r="E199" s="68"/>
      <c r="H199" s="69"/>
      <c r="I199" s="118"/>
      <c r="J199" s="118"/>
      <c r="K199" s="118"/>
      <c r="L199" s="118"/>
      <c r="M199" s="118"/>
      <c r="N199" s="118"/>
      <c r="O199" s="118"/>
      <c r="P199" s="118"/>
      <c r="U199" s="45" t="s">
        <v>52</v>
      </c>
      <c r="W199" s="180"/>
      <c r="X199" s="104">
        <v>1</v>
      </c>
      <c r="Y199" s="157" t="str">
        <f t="shared" si="12"/>
        <v/>
      </c>
      <c r="Z199" s="157" t="str">
        <f t="shared" si="13"/>
        <v/>
      </c>
      <c r="AA199" s="71"/>
    </row>
    <row r="200" spans="1:27" x14ac:dyDescent="0.2">
      <c r="C200" s="47"/>
      <c r="D200" s="47"/>
      <c r="E200" s="85"/>
      <c r="H200" s="86"/>
      <c r="M200" s="125"/>
      <c r="W200" s="180"/>
      <c r="X200" s="103">
        <v>1</v>
      </c>
      <c r="Y200" s="157" t="str">
        <f t="shared" si="12"/>
        <v/>
      </c>
      <c r="Z200" s="157" t="str">
        <f t="shared" si="13"/>
        <v/>
      </c>
    </row>
    <row r="201" spans="1:27" s="70" customFormat="1" ht="16" customHeight="1" x14ac:dyDescent="0.2">
      <c r="A201" s="72" t="s">
        <v>68</v>
      </c>
      <c r="B201" s="72" t="s">
        <v>554</v>
      </c>
      <c r="C201" s="91" t="s">
        <v>555</v>
      </c>
      <c r="D201" s="6" t="s">
        <v>555</v>
      </c>
      <c r="E201" s="68"/>
      <c r="F201" s="67"/>
      <c r="G201" s="67"/>
      <c r="H201" s="69"/>
      <c r="I201" s="118"/>
      <c r="J201" s="118"/>
      <c r="K201" s="118"/>
      <c r="L201" s="118"/>
      <c r="M201" s="118"/>
      <c r="N201" s="118"/>
      <c r="O201" s="118"/>
      <c r="P201" s="118"/>
      <c r="U201" s="45"/>
      <c r="W201" s="180"/>
      <c r="X201" s="104">
        <v>1</v>
      </c>
      <c r="Y201" s="157" t="str">
        <f t="shared" ref="Y201:Y232" si="14">IF(W201&lt;&gt;"",W201*X201,"")</f>
        <v/>
      </c>
      <c r="Z201" s="157" t="str">
        <f t="shared" ref="Z201:Z232" si="15">IF(AND(W201&lt;&gt;"",U201="yes"),W201*X201,"")</f>
        <v/>
      </c>
      <c r="AA201" s="71"/>
    </row>
    <row r="202" spans="1:27" ht="48" customHeight="1" x14ac:dyDescent="0.2">
      <c r="A202" s="72" t="s">
        <v>45</v>
      </c>
      <c r="B202" s="72" t="s">
        <v>556</v>
      </c>
      <c r="C202" s="44" t="s">
        <v>557</v>
      </c>
      <c r="D202" s="44" t="s">
        <v>558</v>
      </c>
      <c r="E202" s="85"/>
      <c r="F202" s="72"/>
      <c r="G202" s="72"/>
      <c r="H202" s="86"/>
      <c r="I202" s="113" t="s">
        <v>51</v>
      </c>
      <c r="J202" s="113"/>
      <c r="K202" s="113"/>
      <c r="L202" s="113"/>
      <c r="M202" s="113"/>
      <c r="N202" s="113"/>
      <c r="O202" s="113"/>
      <c r="P202" s="113"/>
      <c r="U202" s="45" t="s">
        <v>42</v>
      </c>
      <c r="W202" s="180">
        <v>12.77690315246582</v>
      </c>
      <c r="X202" s="104">
        <v>1</v>
      </c>
      <c r="Y202" s="157">
        <f t="shared" si="14"/>
        <v>12.77690315246582</v>
      </c>
      <c r="Z202" s="157">
        <f t="shared" si="15"/>
        <v>12.77690315246582</v>
      </c>
    </row>
    <row r="203" spans="1:27" ht="64" customHeight="1" x14ac:dyDescent="0.2">
      <c r="A203" s="72" t="s">
        <v>146</v>
      </c>
      <c r="B203" s="72" t="s">
        <v>559</v>
      </c>
      <c r="C203" s="44" t="s">
        <v>560</v>
      </c>
      <c r="D203" s="215" t="s">
        <v>561</v>
      </c>
      <c r="E203" s="85"/>
      <c r="F203" s="72"/>
      <c r="G203" s="72"/>
      <c r="H203" s="86"/>
      <c r="I203" s="113" t="s">
        <v>40</v>
      </c>
      <c r="J203" s="113"/>
      <c r="K203" s="113"/>
      <c r="L203" s="113"/>
      <c r="M203" s="113"/>
      <c r="N203" s="113"/>
      <c r="O203" s="113"/>
      <c r="P203" s="113"/>
      <c r="U203" s="45" t="s">
        <v>42</v>
      </c>
      <c r="W203" s="180">
        <v>21.398605346679691</v>
      </c>
      <c r="X203" s="104">
        <v>1</v>
      </c>
      <c r="Y203" s="157">
        <f t="shared" si="14"/>
        <v>21.398605346679691</v>
      </c>
      <c r="Z203" s="157">
        <f t="shared" si="15"/>
        <v>21.398605346679691</v>
      </c>
    </row>
    <row r="204" spans="1:27" ht="59.25" customHeight="1" x14ac:dyDescent="0.2">
      <c r="A204" s="72" t="s">
        <v>146</v>
      </c>
      <c r="B204" s="72" t="s">
        <v>562</v>
      </c>
      <c r="C204" s="44" t="s">
        <v>563</v>
      </c>
      <c r="D204" s="215" t="s">
        <v>564</v>
      </c>
      <c r="E204" s="85"/>
      <c r="F204" s="72"/>
      <c r="G204" s="72"/>
      <c r="H204" s="86"/>
      <c r="I204" s="113" t="s">
        <v>40</v>
      </c>
      <c r="J204" s="113"/>
      <c r="K204" s="113"/>
      <c r="L204" s="113"/>
      <c r="M204" s="113"/>
      <c r="N204" s="113"/>
      <c r="O204" s="113"/>
      <c r="P204" s="113"/>
      <c r="U204" s="45" t="s">
        <v>42</v>
      </c>
      <c r="W204" s="180">
        <v>14.980740547180179</v>
      </c>
      <c r="X204" s="104">
        <v>1</v>
      </c>
      <c r="Y204" s="157">
        <f t="shared" si="14"/>
        <v>14.980740547180179</v>
      </c>
      <c r="Z204" s="157">
        <f t="shared" si="15"/>
        <v>14.980740547180179</v>
      </c>
    </row>
    <row r="205" spans="1:27" ht="48" customHeight="1" x14ac:dyDescent="0.2">
      <c r="A205" s="72" t="s">
        <v>146</v>
      </c>
      <c r="B205" s="72" t="s">
        <v>565</v>
      </c>
      <c r="C205" s="44" t="s">
        <v>566</v>
      </c>
      <c r="D205" s="215" t="s">
        <v>567</v>
      </c>
      <c r="E205" s="85"/>
      <c r="F205" s="72"/>
      <c r="G205" s="72"/>
      <c r="H205" s="86"/>
      <c r="I205" s="113" t="s">
        <v>40</v>
      </c>
      <c r="J205" s="113"/>
      <c r="K205" s="113"/>
      <c r="L205" s="113"/>
      <c r="M205" s="113"/>
      <c r="N205" s="113"/>
      <c r="O205" s="113"/>
      <c r="P205" s="113"/>
      <c r="U205" s="45" t="s">
        <v>42</v>
      </c>
      <c r="W205" s="180">
        <v>13.72302150726318</v>
      </c>
      <c r="X205" s="104">
        <v>1</v>
      </c>
      <c r="Y205" s="157">
        <f t="shared" si="14"/>
        <v>13.72302150726318</v>
      </c>
      <c r="Z205" s="157">
        <f t="shared" si="15"/>
        <v>13.72302150726318</v>
      </c>
    </row>
    <row r="206" spans="1:27" ht="64" customHeight="1" x14ac:dyDescent="0.2">
      <c r="A206" s="72" t="s">
        <v>146</v>
      </c>
      <c r="B206" s="72" t="s">
        <v>568</v>
      </c>
      <c r="C206" s="44" t="s">
        <v>569</v>
      </c>
      <c r="D206" s="215" t="s">
        <v>570</v>
      </c>
      <c r="E206" s="85"/>
      <c r="F206" s="72"/>
      <c r="G206" s="72"/>
      <c r="H206" s="86"/>
      <c r="I206" s="113" t="s">
        <v>40</v>
      </c>
      <c r="J206" s="113"/>
      <c r="K206" s="113"/>
      <c r="L206" s="113"/>
      <c r="M206" s="113"/>
      <c r="N206" s="113"/>
      <c r="O206" s="113"/>
      <c r="P206" s="113"/>
      <c r="U206" s="45" t="s">
        <v>42</v>
      </c>
      <c r="W206" s="180">
        <v>13.06220054626465</v>
      </c>
      <c r="X206" s="104">
        <v>1</v>
      </c>
      <c r="Y206" s="157">
        <f t="shared" si="14"/>
        <v>13.06220054626465</v>
      </c>
      <c r="Z206" s="157">
        <f t="shared" si="15"/>
        <v>13.06220054626465</v>
      </c>
    </row>
    <row r="207" spans="1:27" ht="64" customHeight="1" x14ac:dyDescent="0.2">
      <c r="A207" s="72" t="s">
        <v>146</v>
      </c>
      <c r="B207" s="72" t="s">
        <v>571</v>
      </c>
      <c r="C207" s="44" t="s">
        <v>572</v>
      </c>
      <c r="D207" s="215" t="s">
        <v>573</v>
      </c>
      <c r="E207" s="85"/>
      <c r="F207" s="72"/>
      <c r="G207" s="72"/>
      <c r="H207" s="86"/>
      <c r="I207" s="113" t="s">
        <v>40</v>
      </c>
      <c r="J207" s="113"/>
      <c r="K207" s="113"/>
      <c r="L207" s="113"/>
      <c r="M207" s="113"/>
      <c r="N207" s="113"/>
      <c r="O207" s="113"/>
      <c r="P207" s="113"/>
      <c r="U207" s="45" t="s">
        <v>42</v>
      </c>
      <c r="W207" s="180">
        <v>13.09532356262207</v>
      </c>
      <c r="X207" s="104">
        <v>1</v>
      </c>
      <c r="Y207" s="157">
        <f t="shared" si="14"/>
        <v>13.09532356262207</v>
      </c>
      <c r="Z207" s="157">
        <f t="shared" si="15"/>
        <v>13.09532356262207</v>
      </c>
    </row>
    <row r="208" spans="1:27" ht="48" customHeight="1" x14ac:dyDescent="0.2">
      <c r="A208" s="72" t="s">
        <v>146</v>
      </c>
      <c r="B208" s="72" t="s">
        <v>574</v>
      </c>
      <c r="C208" s="44" t="s">
        <v>575</v>
      </c>
      <c r="D208" s="218" t="s">
        <v>576</v>
      </c>
      <c r="E208" s="85"/>
      <c r="F208" s="72"/>
      <c r="G208" s="72"/>
      <c r="H208" s="86"/>
      <c r="I208" s="113" t="s">
        <v>40</v>
      </c>
      <c r="J208" s="113"/>
      <c r="K208" s="113"/>
      <c r="L208" s="113"/>
      <c r="M208" s="113"/>
      <c r="N208" s="113"/>
      <c r="O208" s="113"/>
      <c r="P208" s="113"/>
      <c r="U208" s="45" t="s">
        <v>42</v>
      </c>
      <c r="W208" s="180">
        <v>16.10101918465228</v>
      </c>
      <c r="X208" s="104">
        <v>1</v>
      </c>
      <c r="Y208" s="157">
        <f t="shared" si="14"/>
        <v>16.10101918465228</v>
      </c>
      <c r="Z208" s="157">
        <f t="shared" si="15"/>
        <v>16.10101918465228</v>
      </c>
    </row>
    <row r="209" spans="1:26" s="73" customFormat="1" ht="16" customHeight="1" x14ac:dyDescent="0.2">
      <c r="A209" s="77" t="s">
        <v>577</v>
      </c>
      <c r="B209" s="77" t="s">
        <v>578</v>
      </c>
      <c r="C209" s="78" t="s">
        <v>579</v>
      </c>
      <c r="D209" s="215" t="s">
        <v>580</v>
      </c>
      <c r="E209" s="95"/>
      <c r="F209" s="77"/>
      <c r="G209" s="77"/>
      <c r="H209" s="97"/>
      <c r="I209" s="115" t="s">
        <v>40</v>
      </c>
      <c r="J209" s="115"/>
      <c r="K209" s="115"/>
      <c r="L209" s="115"/>
      <c r="M209" s="115" t="s">
        <v>581</v>
      </c>
      <c r="N209" s="115"/>
      <c r="O209" s="115"/>
      <c r="P209" s="115"/>
      <c r="U209" s="73" t="s">
        <v>42</v>
      </c>
      <c r="W209" s="180">
        <v>11.76504325866699</v>
      </c>
      <c r="X209" s="104">
        <v>1</v>
      </c>
      <c r="Y209" s="157">
        <f t="shared" si="14"/>
        <v>11.76504325866699</v>
      </c>
      <c r="Z209" s="157">
        <f t="shared" si="15"/>
        <v>11.76504325866699</v>
      </c>
    </row>
    <row r="210" spans="1:26" s="73" customFormat="1" ht="48" customHeight="1" x14ac:dyDescent="0.2">
      <c r="A210" s="77" t="s">
        <v>146</v>
      </c>
      <c r="B210" s="77" t="s">
        <v>582</v>
      </c>
      <c r="C210" s="78" t="s">
        <v>583</v>
      </c>
      <c r="D210" s="218" t="s">
        <v>584</v>
      </c>
      <c r="E210" s="95"/>
      <c r="F210" s="77"/>
      <c r="G210" s="77"/>
      <c r="H210" s="97"/>
      <c r="I210" s="115" t="s">
        <v>40</v>
      </c>
      <c r="J210" s="115"/>
      <c r="K210" s="115"/>
      <c r="L210" s="115"/>
      <c r="M210" s="115"/>
      <c r="N210" s="115"/>
      <c r="O210" s="115"/>
      <c r="P210" s="115"/>
      <c r="U210" s="73" t="s">
        <v>42</v>
      </c>
      <c r="W210" s="180">
        <v>12.432478904724119</v>
      </c>
      <c r="X210" s="104">
        <v>1</v>
      </c>
      <c r="Y210" s="157">
        <f t="shared" si="14"/>
        <v>12.432478904724119</v>
      </c>
      <c r="Z210" s="157">
        <f t="shared" si="15"/>
        <v>12.432478904724119</v>
      </c>
    </row>
    <row r="211" spans="1:26" s="73" customFormat="1" ht="16" customHeight="1" x14ac:dyDescent="0.2">
      <c r="A211" s="77" t="s">
        <v>577</v>
      </c>
      <c r="B211" s="77" t="s">
        <v>585</v>
      </c>
      <c r="C211" s="78" t="s">
        <v>579</v>
      </c>
      <c r="D211" s="215" t="s">
        <v>580</v>
      </c>
      <c r="E211" s="95"/>
      <c r="F211" s="77"/>
      <c r="G211" s="77"/>
      <c r="H211" s="97"/>
      <c r="I211" s="115" t="s">
        <v>40</v>
      </c>
      <c r="J211" s="115"/>
      <c r="K211" s="115"/>
      <c r="L211" s="115"/>
      <c r="M211" s="115" t="s">
        <v>586</v>
      </c>
      <c r="N211" s="115"/>
      <c r="O211" s="115"/>
      <c r="P211" s="115"/>
      <c r="U211" s="73" t="s">
        <v>42</v>
      </c>
      <c r="W211" s="180">
        <v>8.9801836013793945</v>
      </c>
      <c r="X211" s="104">
        <v>1</v>
      </c>
      <c r="Y211" s="157">
        <f t="shared" si="14"/>
        <v>8.9801836013793945</v>
      </c>
      <c r="Z211" s="157">
        <f t="shared" si="15"/>
        <v>8.9801836013793945</v>
      </c>
    </row>
    <row r="212" spans="1:26" s="73" customFormat="1" ht="64" customHeight="1" x14ac:dyDescent="0.2">
      <c r="A212" s="77" t="s">
        <v>146</v>
      </c>
      <c r="B212" s="77" t="s">
        <v>587</v>
      </c>
      <c r="C212" s="78" t="s">
        <v>588</v>
      </c>
      <c r="D212" s="218" t="s">
        <v>589</v>
      </c>
      <c r="E212" s="95"/>
      <c r="F212" s="77"/>
      <c r="G212" s="77"/>
      <c r="H212" s="97"/>
      <c r="I212" s="115" t="s">
        <v>40</v>
      </c>
      <c r="J212" s="115"/>
      <c r="K212" s="115"/>
      <c r="L212" s="115"/>
      <c r="M212" s="115"/>
      <c r="N212" s="115"/>
      <c r="O212" s="115"/>
      <c r="P212" s="115"/>
      <c r="U212" s="73" t="s">
        <v>42</v>
      </c>
      <c r="W212" s="180">
        <v>11.089328765869141</v>
      </c>
      <c r="X212" s="104">
        <v>1</v>
      </c>
      <c r="Y212" s="157">
        <f t="shared" si="14"/>
        <v>11.089328765869141</v>
      </c>
      <c r="Z212" s="157">
        <f t="shared" si="15"/>
        <v>11.089328765869141</v>
      </c>
    </row>
    <row r="213" spans="1:26" s="73" customFormat="1" ht="16" customHeight="1" x14ac:dyDescent="0.2">
      <c r="A213" s="77" t="s">
        <v>577</v>
      </c>
      <c r="B213" s="77" t="s">
        <v>590</v>
      </c>
      <c r="C213" s="78" t="s">
        <v>579</v>
      </c>
      <c r="D213" s="215" t="s">
        <v>580</v>
      </c>
      <c r="E213" s="95"/>
      <c r="F213" s="77"/>
      <c r="G213" s="77"/>
      <c r="H213" s="97"/>
      <c r="I213" s="115" t="s">
        <v>40</v>
      </c>
      <c r="J213" s="115"/>
      <c r="K213" s="115"/>
      <c r="L213" s="115"/>
      <c r="M213" s="115" t="s">
        <v>591</v>
      </c>
      <c r="N213" s="115"/>
      <c r="O213" s="115"/>
      <c r="P213" s="115"/>
      <c r="U213" s="73" t="s">
        <v>42</v>
      </c>
      <c r="W213" s="180">
        <v>8.0683355331420898</v>
      </c>
      <c r="X213" s="104">
        <v>1</v>
      </c>
      <c r="Y213" s="157">
        <f t="shared" si="14"/>
        <v>8.0683355331420898</v>
      </c>
      <c r="Z213" s="157">
        <f t="shared" si="15"/>
        <v>8.0683355331420898</v>
      </c>
    </row>
    <row r="214" spans="1:26" x14ac:dyDescent="0.2">
      <c r="A214" s="77" t="s">
        <v>141</v>
      </c>
      <c r="B214" s="77"/>
      <c r="C214" s="44"/>
      <c r="D214" s="44"/>
      <c r="E214" s="85"/>
      <c r="F214" s="72"/>
      <c r="G214" s="72"/>
      <c r="H214" s="86"/>
      <c r="I214" s="113"/>
      <c r="J214" s="113"/>
      <c r="K214" s="113"/>
      <c r="L214" s="113"/>
      <c r="M214" s="113"/>
      <c r="N214" s="113"/>
      <c r="O214" s="113"/>
      <c r="P214" s="113"/>
      <c r="W214" s="180"/>
      <c r="X214" s="104">
        <v>1</v>
      </c>
      <c r="Y214" s="157" t="str">
        <f t="shared" si="14"/>
        <v/>
      </c>
      <c r="Z214" s="157" t="str">
        <f t="shared" si="15"/>
        <v/>
      </c>
    </row>
    <row r="215" spans="1:26" x14ac:dyDescent="0.2">
      <c r="A215" s="73"/>
      <c r="B215" s="73"/>
      <c r="E215" s="85"/>
      <c r="H215" s="86"/>
      <c r="W215" s="180"/>
      <c r="X215" s="104">
        <v>1</v>
      </c>
      <c r="Y215" s="157" t="str">
        <f t="shared" si="14"/>
        <v/>
      </c>
      <c r="Z215" s="157" t="str">
        <f t="shared" si="15"/>
        <v/>
      </c>
    </row>
    <row r="216" spans="1:26" s="73" customFormat="1" ht="16" customHeight="1" x14ac:dyDescent="0.2">
      <c r="A216" s="73" t="s">
        <v>68</v>
      </c>
      <c r="B216" s="73" t="s">
        <v>592</v>
      </c>
      <c r="C216" s="277" t="s">
        <v>593</v>
      </c>
      <c r="D216" s="277" t="s">
        <v>593</v>
      </c>
      <c r="E216" s="95"/>
      <c r="H216" s="97"/>
      <c r="I216" s="125"/>
      <c r="J216" s="125" t="s">
        <v>594</v>
      </c>
      <c r="K216" s="125"/>
      <c r="L216" s="125"/>
      <c r="M216" s="125"/>
      <c r="N216" s="125"/>
      <c r="O216" s="125"/>
      <c r="P216" s="125"/>
      <c r="W216" s="180"/>
      <c r="X216" s="104">
        <v>1</v>
      </c>
      <c r="Y216" s="157" t="str">
        <f t="shared" si="14"/>
        <v/>
      </c>
      <c r="Z216" s="157" t="str">
        <f t="shared" si="15"/>
        <v/>
      </c>
    </row>
    <row r="217" spans="1:26" s="73" customFormat="1" ht="96" customHeight="1" x14ac:dyDescent="0.2">
      <c r="A217" s="73" t="s">
        <v>45</v>
      </c>
      <c r="B217" s="73" t="s">
        <v>595</v>
      </c>
      <c r="C217" s="47" t="s">
        <v>596</v>
      </c>
      <c r="D217" s="276" t="s">
        <v>597</v>
      </c>
      <c r="E217" s="95"/>
      <c r="H217" s="97"/>
      <c r="I217" s="125"/>
      <c r="J217" s="125"/>
      <c r="K217" s="125"/>
      <c r="L217" s="125"/>
      <c r="M217" s="125"/>
      <c r="N217" s="125"/>
      <c r="O217" s="125"/>
      <c r="P217" s="125"/>
      <c r="U217" s="73" t="s">
        <v>52</v>
      </c>
      <c r="W217" s="180">
        <v>5.7112536430358887</v>
      </c>
      <c r="X217" s="104">
        <v>1</v>
      </c>
      <c r="Y217" s="157">
        <f t="shared" si="14"/>
        <v>5.7112536430358887</v>
      </c>
      <c r="Z217" s="157" t="str">
        <f t="shared" si="15"/>
        <v/>
      </c>
    </row>
    <row r="218" spans="1:26" s="73" customFormat="1" ht="32" customHeight="1" x14ac:dyDescent="0.2">
      <c r="A218" s="73" t="s">
        <v>598</v>
      </c>
      <c r="B218" s="73" t="s">
        <v>599</v>
      </c>
      <c r="C218" s="47" t="s">
        <v>600</v>
      </c>
      <c r="D218" s="47" t="s">
        <v>601</v>
      </c>
      <c r="E218" s="95"/>
      <c r="H218" s="97"/>
      <c r="I218" s="125" t="s">
        <v>40</v>
      </c>
      <c r="J218" s="125" t="s">
        <v>210</v>
      </c>
      <c r="K218" s="125"/>
      <c r="L218" s="125"/>
      <c r="M218" s="125"/>
      <c r="N218" s="125"/>
      <c r="O218" s="125"/>
      <c r="P218" s="125"/>
      <c r="U218" s="73" t="s">
        <v>52</v>
      </c>
      <c r="W218" s="180">
        <v>19.851530075073239</v>
      </c>
      <c r="X218" s="104">
        <v>1</v>
      </c>
      <c r="Y218" s="157">
        <f t="shared" si="14"/>
        <v>19.851530075073239</v>
      </c>
      <c r="Z218" s="157" t="str">
        <f t="shared" si="15"/>
        <v/>
      </c>
    </row>
    <row r="219" spans="1:26" s="73" customFormat="1" ht="16" customHeight="1" x14ac:dyDescent="0.2">
      <c r="A219" s="73" t="s">
        <v>598</v>
      </c>
      <c r="B219" s="73" t="s">
        <v>602</v>
      </c>
      <c r="C219" s="47" t="s">
        <v>603</v>
      </c>
      <c r="D219" s="47" t="s">
        <v>604</v>
      </c>
      <c r="E219" s="95"/>
      <c r="H219" s="97"/>
      <c r="I219" s="125" t="s">
        <v>40</v>
      </c>
      <c r="J219" s="125" t="s">
        <v>210</v>
      </c>
      <c r="K219" s="125"/>
      <c r="L219" s="125"/>
      <c r="M219" s="125"/>
      <c r="N219" s="125"/>
      <c r="O219" s="125"/>
      <c r="P219" s="125"/>
      <c r="U219" s="73" t="s">
        <v>52</v>
      </c>
      <c r="W219" s="180">
        <v>15.436671257019039</v>
      </c>
      <c r="X219" s="104">
        <v>1</v>
      </c>
      <c r="Y219" s="157">
        <f t="shared" si="14"/>
        <v>15.436671257019039</v>
      </c>
      <c r="Z219" s="157" t="str">
        <f t="shared" si="15"/>
        <v/>
      </c>
    </row>
    <row r="220" spans="1:26" s="73" customFormat="1" ht="16" customHeight="1" x14ac:dyDescent="0.2">
      <c r="A220" s="73" t="s">
        <v>598</v>
      </c>
      <c r="B220" s="73" t="s">
        <v>605</v>
      </c>
      <c r="C220" s="47" t="s">
        <v>606</v>
      </c>
      <c r="D220" s="47" t="s">
        <v>607</v>
      </c>
      <c r="E220" s="95"/>
      <c r="H220" s="97"/>
      <c r="I220" s="125" t="s">
        <v>40</v>
      </c>
      <c r="J220" s="125" t="s">
        <v>210</v>
      </c>
      <c r="K220" s="125"/>
      <c r="L220" s="125"/>
      <c r="M220" s="125"/>
      <c r="N220" s="125"/>
      <c r="O220" s="125"/>
      <c r="P220" s="125"/>
      <c r="U220" s="73" t="s">
        <v>52</v>
      </c>
      <c r="W220" s="180">
        <v>13.39993858337402</v>
      </c>
      <c r="X220" s="104">
        <v>1</v>
      </c>
      <c r="Y220" s="157">
        <f t="shared" si="14"/>
        <v>13.39993858337402</v>
      </c>
      <c r="Z220" s="157" t="str">
        <f t="shared" si="15"/>
        <v/>
      </c>
    </row>
    <row r="221" spans="1:26" s="73" customFormat="1" ht="32" customHeight="1" x14ac:dyDescent="0.2">
      <c r="A221" s="73" t="s">
        <v>598</v>
      </c>
      <c r="B221" s="73" t="s">
        <v>608</v>
      </c>
      <c r="C221" s="47" t="s">
        <v>609</v>
      </c>
      <c r="D221" s="219" t="s">
        <v>610</v>
      </c>
      <c r="E221" s="95"/>
      <c r="H221" s="97"/>
      <c r="I221" s="125" t="s">
        <v>40</v>
      </c>
      <c r="J221" s="125" t="s">
        <v>210</v>
      </c>
      <c r="K221" s="125"/>
      <c r="L221" s="125"/>
      <c r="M221" s="125"/>
      <c r="N221" s="125"/>
      <c r="O221" s="125"/>
      <c r="P221" s="125"/>
      <c r="U221" s="73" t="s">
        <v>52</v>
      </c>
      <c r="W221" s="180">
        <v>11.787801742553709</v>
      </c>
      <c r="X221" s="104">
        <v>1</v>
      </c>
      <c r="Y221" s="157">
        <f t="shared" si="14"/>
        <v>11.787801742553709</v>
      </c>
      <c r="Z221" s="157" t="str">
        <f t="shared" si="15"/>
        <v/>
      </c>
    </row>
    <row r="222" spans="1:26" s="73" customFormat="1" ht="32" customHeight="1" x14ac:dyDescent="0.2">
      <c r="A222" s="73" t="s">
        <v>598</v>
      </c>
      <c r="B222" s="73" t="s">
        <v>611</v>
      </c>
      <c r="C222" s="47" t="s">
        <v>612</v>
      </c>
      <c r="D222" s="47" t="s">
        <v>613</v>
      </c>
      <c r="E222" s="95"/>
      <c r="H222" s="97"/>
      <c r="I222" s="125" t="s">
        <v>40</v>
      </c>
      <c r="J222" s="125" t="s">
        <v>210</v>
      </c>
      <c r="K222" s="125"/>
      <c r="L222" s="125"/>
      <c r="M222" s="125"/>
      <c r="N222" s="125"/>
      <c r="O222" s="125"/>
      <c r="P222" s="125"/>
      <c r="U222" s="73" t="s">
        <v>52</v>
      </c>
      <c r="W222" s="180">
        <v>14.41095890410959</v>
      </c>
      <c r="X222" s="104">
        <v>1</v>
      </c>
      <c r="Y222" s="157">
        <f t="shared" si="14"/>
        <v>14.41095890410959</v>
      </c>
      <c r="Z222" s="157" t="str">
        <f t="shared" si="15"/>
        <v/>
      </c>
    </row>
    <row r="223" spans="1:26" s="73" customFormat="1" ht="16" customHeight="1" x14ac:dyDescent="0.2">
      <c r="A223" s="73" t="s">
        <v>598</v>
      </c>
      <c r="B223" s="73" t="s">
        <v>614</v>
      </c>
      <c r="C223" s="47" t="s">
        <v>615</v>
      </c>
      <c r="D223" s="47" t="s">
        <v>616</v>
      </c>
      <c r="E223" s="95"/>
      <c r="H223" s="97"/>
      <c r="I223" s="125" t="s">
        <v>40</v>
      </c>
      <c r="J223" s="125" t="s">
        <v>210</v>
      </c>
      <c r="K223" s="125"/>
      <c r="L223" s="125"/>
      <c r="M223" s="125"/>
      <c r="N223" s="125"/>
      <c r="O223" s="125"/>
      <c r="P223" s="125"/>
      <c r="U223" s="73" t="s">
        <v>52</v>
      </c>
      <c r="W223" s="180">
        <v>15.40838527679443</v>
      </c>
      <c r="X223" s="104">
        <v>1</v>
      </c>
      <c r="Y223" s="157">
        <f t="shared" si="14"/>
        <v>15.40838527679443</v>
      </c>
      <c r="Z223" s="157" t="str">
        <f t="shared" si="15"/>
        <v/>
      </c>
    </row>
    <row r="224" spans="1:26" s="73" customFormat="1" ht="16" customHeight="1" x14ac:dyDescent="0.2">
      <c r="A224" s="73" t="s">
        <v>598</v>
      </c>
      <c r="B224" s="73" t="s">
        <v>617</v>
      </c>
      <c r="C224" s="47" t="s">
        <v>618</v>
      </c>
      <c r="D224" s="47" t="s">
        <v>619</v>
      </c>
      <c r="E224" s="95"/>
      <c r="H224" s="97"/>
      <c r="I224" s="125" t="s">
        <v>40</v>
      </c>
      <c r="J224" s="125" t="s">
        <v>210</v>
      </c>
      <c r="K224" s="125"/>
      <c r="L224" s="125"/>
      <c r="M224" s="125"/>
      <c r="N224" s="125"/>
      <c r="O224" s="125"/>
      <c r="P224" s="125"/>
      <c r="U224" s="73" t="s">
        <v>52</v>
      </c>
      <c r="W224" s="180">
        <v>15.543986320495611</v>
      </c>
      <c r="X224" s="104">
        <v>1</v>
      </c>
      <c r="Y224" s="157">
        <f t="shared" si="14"/>
        <v>15.543986320495611</v>
      </c>
      <c r="Z224" s="157" t="str">
        <f t="shared" si="15"/>
        <v/>
      </c>
    </row>
    <row r="225" spans="1:26" s="73" customFormat="1" ht="16" customHeight="1" x14ac:dyDescent="0.2">
      <c r="A225" s="73" t="s">
        <v>598</v>
      </c>
      <c r="B225" s="73" t="s">
        <v>620</v>
      </c>
      <c r="C225" s="47" t="s">
        <v>621</v>
      </c>
      <c r="D225" s="47" t="s">
        <v>622</v>
      </c>
      <c r="E225" s="95"/>
      <c r="H225" s="97"/>
      <c r="I225" s="125" t="s">
        <v>40</v>
      </c>
      <c r="J225" s="125" t="s">
        <v>210</v>
      </c>
      <c r="K225" s="125"/>
      <c r="L225" s="125"/>
      <c r="M225" s="125"/>
      <c r="N225" s="125"/>
      <c r="O225" s="125"/>
      <c r="P225" s="125"/>
      <c r="U225" s="73" t="s">
        <v>52</v>
      </c>
      <c r="W225" s="180">
        <v>10.668112754821779</v>
      </c>
      <c r="X225" s="104">
        <v>1</v>
      </c>
      <c r="Y225" s="157">
        <f t="shared" si="14"/>
        <v>10.668112754821779</v>
      </c>
      <c r="Z225" s="157" t="str">
        <f t="shared" si="15"/>
        <v/>
      </c>
    </row>
    <row r="226" spans="1:26" s="73" customFormat="1" ht="16" customHeight="1" x14ac:dyDescent="0.2">
      <c r="A226" s="73" t="s">
        <v>598</v>
      </c>
      <c r="B226" s="73" t="s">
        <v>623</v>
      </c>
      <c r="C226" s="47" t="s">
        <v>624</v>
      </c>
      <c r="D226" s="47" t="s">
        <v>625</v>
      </c>
      <c r="E226" s="95"/>
      <c r="H226" s="97"/>
      <c r="I226" s="125" t="s">
        <v>40</v>
      </c>
      <c r="J226" s="125" t="s">
        <v>210</v>
      </c>
      <c r="K226" s="125"/>
      <c r="L226" s="125"/>
      <c r="M226" s="125"/>
      <c r="N226" s="125"/>
      <c r="O226" s="125"/>
      <c r="P226" s="125"/>
      <c r="U226" s="73" t="s">
        <v>52</v>
      </c>
      <c r="W226" s="180">
        <v>9.716710090637207</v>
      </c>
      <c r="X226" s="104">
        <v>1</v>
      </c>
      <c r="Y226" s="157">
        <f t="shared" si="14"/>
        <v>9.716710090637207</v>
      </c>
      <c r="Z226" s="157" t="str">
        <f t="shared" si="15"/>
        <v/>
      </c>
    </row>
    <row r="227" spans="1:26" s="73" customFormat="1" ht="16" customHeight="1" x14ac:dyDescent="0.2">
      <c r="A227" s="73" t="s">
        <v>598</v>
      </c>
      <c r="B227" s="73" t="s">
        <v>626</v>
      </c>
      <c r="C227" s="47" t="s">
        <v>627</v>
      </c>
      <c r="D227" s="47" t="s">
        <v>628</v>
      </c>
      <c r="E227" s="95"/>
      <c r="H227" s="97"/>
      <c r="I227" s="125" t="s">
        <v>40</v>
      </c>
      <c r="J227" s="125" t="s">
        <v>210</v>
      </c>
      <c r="K227" s="125"/>
      <c r="L227" s="125"/>
      <c r="M227" s="125"/>
      <c r="N227" s="125"/>
      <c r="O227" s="125"/>
      <c r="P227" s="125"/>
      <c r="U227" s="73" t="s">
        <v>52</v>
      </c>
      <c r="W227" s="180">
        <v>10.114131927490231</v>
      </c>
      <c r="X227" s="104">
        <v>1</v>
      </c>
      <c r="Y227" s="157">
        <f t="shared" si="14"/>
        <v>10.114131927490231</v>
      </c>
      <c r="Z227" s="157" t="str">
        <f t="shared" si="15"/>
        <v/>
      </c>
    </row>
    <row r="228" spans="1:26" s="73" customFormat="1" ht="16" customHeight="1" x14ac:dyDescent="0.2">
      <c r="A228" s="73" t="s">
        <v>598</v>
      </c>
      <c r="B228" s="73" t="s">
        <v>629</v>
      </c>
      <c r="C228" s="47" t="s">
        <v>630</v>
      </c>
      <c r="D228" s="47" t="s">
        <v>631</v>
      </c>
      <c r="E228" s="95"/>
      <c r="H228" s="97"/>
      <c r="I228" s="125" t="s">
        <v>40</v>
      </c>
      <c r="J228" s="125" t="s">
        <v>210</v>
      </c>
      <c r="K228" s="125"/>
      <c r="L228" s="125"/>
      <c r="M228" s="125"/>
      <c r="N228" s="125"/>
      <c r="O228" s="125"/>
      <c r="P228" s="125"/>
      <c r="U228" s="73" t="s">
        <v>52</v>
      </c>
      <c r="W228" s="180">
        <v>10.86770534515381</v>
      </c>
      <c r="X228" s="104">
        <v>1</v>
      </c>
      <c r="Y228" s="157">
        <f t="shared" si="14"/>
        <v>10.86770534515381</v>
      </c>
      <c r="Z228" s="157" t="str">
        <f t="shared" si="15"/>
        <v/>
      </c>
    </row>
    <row r="229" spans="1:26" s="73" customFormat="1" x14ac:dyDescent="0.2">
      <c r="A229" s="73" t="s">
        <v>141</v>
      </c>
      <c r="C229" s="47"/>
      <c r="D229" s="47"/>
      <c r="E229" s="95"/>
      <c r="H229" s="97"/>
      <c r="I229" s="125"/>
      <c r="J229" s="125"/>
      <c r="K229" s="125"/>
      <c r="L229" s="125"/>
      <c r="M229" s="125"/>
      <c r="N229" s="125"/>
      <c r="O229" s="125"/>
      <c r="P229" s="125"/>
      <c r="W229" s="180"/>
      <c r="X229" s="104">
        <v>1</v>
      </c>
      <c r="Y229" s="157" t="str">
        <f t="shared" si="14"/>
        <v/>
      </c>
      <c r="Z229" s="157" t="str">
        <f t="shared" si="15"/>
        <v/>
      </c>
    </row>
    <row r="230" spans="1:26" x14ac:dyDescent="0.2">
      <c r="A230" s="73"/>
      <c r="B230" s="73"/>
      <c r="E230" s="85"/>
      <c r="H230" s="86"/>
      <c r="W230" s="180"/>
      <c r="X230" s="104">
        <v>1</v>
      </c>
      <c r="Y230" s="157" t="str">
        <f t="shared" si="14"/>
        <v/>
      </c>
      <c r="Z230" s="157" t="str">
        <f t="shared" si="15"/>
        <v/>
      </c>
    </row>
    <row r="231" spans="1:26" ht="16" customHeight="1" x14ac:dyDescent="0.2">
      <c r="A231" s="77" t="s">
        <v>68</v>
      </c>
      <c r="B231" s="77" t="s">
        <v>632</v>
      </c>
      <c r="C231" s="91" t="s">
        <v>633</v>
      </c>
      <c r="D231" s="91" t="s">
        <v>634</v>
      </c>
      <c r="E231" s="85"/>
      <c r="F231" s="72"/>
      <c r="G231" s="72"/>
      <c r="H231" s="86"/>
      <c r="I231" s="113"/>
      <c r="J231" s="113"/>
      <c r="K231" s="113"/>
      <c r="L231" s="113"/>
      <c r="M231" s="113"/>
      <c r="N231" s="113"/>
      <c r="O231" s="113"/>
      <c r="P231" s="113"/>
      <c r="W231" s="180"/>
      <c r="X231" s="104">
        <v>1</v>
      </c>
      <c r="Y231" s="157" t="str">
        <f t="shared" si="14"/>
        <v/>
      </c>
      <c r="Z231" s="157" t="str">
        <f t="shared" si="15"/>
        <v/>
      </c>
    </row>
    <row r="232" spans="1:26" ht="48" customHeight="1" x14ac:dyDescent="0.2">
      <c r="A232" s="72" t="s">
        <v>45</v>
      </c>
      <c r="B232" s="72" t="s">
        <v>635</v>
      </c>
      <c r="C232" s="44" t="s">
        <v>636</v>
      </c>
      <c r="D232" s="44" t="s">
        <v>637</v>
      </c>
      <c r="E232" s="85"/>
      <c r="F232" s="72"/>
      <c r="G232" s="72"/>
      <c r="H232" s="86"/>
      <c r="I232" s="113" t="s">
        <v>51</v>
      </c>
      <c r="J232" s="113"/>
      <c r="K232" s="113"/>
      <c r="L232" s="113"/>
      <c r="M232" s="113"/>
      <c r="N232" s="113"/>
      <c r="O232" s="113"/>
      <c r="P232" s="113"/>
      <c r="U232" s="45" t="s">
        <v>42</v>
      </c>
      <c r="W232" s="180"/>
      <c r="X232" s="104">
        <v>1</v>
      </c>
      <c r="Y232" s="157" t="str">
        <f t="shared" si="14"/>
        <v/>
      </c>
      <c r="Z232" s="157" t="str">
        <f t="shared" si="15"/>
        <v/>
      </c>
    </row>
    <row r="233" spans="1:26" ht="64" customHeight="1" x14ac:dyDescent="0.2">
      <c r="A233" s="72" t="s">
        <v>638</v>
      </c>
      <c r="B233" s="72" t="s">
        <v>639</v>
      </c>
      <c r="C233" s="44" t="s">
        <v>640</v>
      </c>
      <c r="D233" s="44" t="s">
        <v>641</v>
      </c>
      <c r="E233" s="85"/>
      <c r="F233" s="72" t="s">
        <v>642</v>
      </c>
      <c r="G233" s="72" t="s">
        <v>643</v>
      </c>
      <c r="H233" s="86"/>
      <c r="I233" s="113" t="s">
        <v>40</v>
      </c>
      <c r="J233" s="113"/>
      <c r="K233" s="113"/>
      <c r="L233" s="113"/>
      <c r="M233" s="113"/>
      <c r="N233" s="113"/>
      <c r="O233" s="113"/>
      <c r="P233" s="113"/>
      <c r="U233" s="45" t="s">
        <v>42</v>
      </c>
      <c r="W233" s="180">
        <v>72.295135498046875</v>
      </c>
      <c r="X233" s="104">
        <v>1</v>
      </c>
      <c r="Y233" s="157">
        <f t="shared" ref="Y233:Y264" si="16">IF(W233&lt;&gt;"",W233*X233,"")</f>
        <v>72.295135498046875</v>
      </c>
      <c r="Z233" s="157">
        <f t="shared" ref="Z233:Z268" si="17">IF(AND(W233&lt;&gt;"",U233="yes"),W233*X233,"")</f>
        <v>72.295135498046875</v>
      </c>
    </row>
    <row r="234" spans="1:26" ht="64" customHeight="1" x14ac:dyDescent="0.2">
      <c r="A234" s="72" t="s">
        <v>45</v>
      </c>
      <c r="B234" s="72" t="s">
        <v>644</v>
      </c>
      <c r="C234" s="44" t="s">
        <v>645</v>
      </c>
      <c r="D234" s="44" t="s">
        <v>646</v>
      </c>
      <c r="E234" s="85"/>
      <c r="F234" s="72"/>
      <c r="G234" s="72"/>
      <c r="H234" s="86"/>
      <c r="I234" s="113" t="s">
        <v>51</v>
      </c>
      <c r="J234" s="113"/>
      <c r="K234" s="113"/>
      <c r="L234" s="113"/>
      <c r="M234" s="113"/>
      <c r="N234" s="113"/>
      <c r="O234" s="113"/>
      <c r="P234" s="113"/>
      <c r="U234" s="45" t="s">
        <v>42</v>
      </c>
      <c r="W234" s="180">
        <v>3.7052218914031978</v>
      </c>
      <c r="X234" s="104">
        <v>1</v>
      </c>
      <c r="Y234" s="157">
        <f t="shared" si="16"/>
        <v>3.7052218914031978</v>
      </c>
      <c r="Z234" s="157">
        <f t="shared" si="17"/>
        <v>3.7052218914031978</v>
      </c>
    </row>
    <row r="235" spans="1:26" ht="16" customHeight="1" x14ac:dyDescent="0.2">
      <c r="A235" s="72" t="s">
        <v>141</v>
      </c>
      <c r="B235" s="72"/>
      <c r="C235" s="44"/>
      <c r="D235" s="44"/>
      <c r="E235" s="85"/>
      <c r="F235" s="72"/>
      <c r="G235" s="72"/>
      <c r="H235" s="86"/>
      <c r="I235" s="113"/>
      <c r="J235" s="113"/>
      <c r="K235" s="113"/>
      <c r="L235" s="113"/>
      <c r="M235" s="113"/>
      <c r="N235" s="113"/>
      <c r="O235" s="113"/>
      <c r="P235" s="113"/>
      <c r="W235" s="180"/>
      <c r="X235" s="104">
        <v>1</v>
      </c>
      <c r="Y235" s="157" t="str">
        <f t="shared" si="16"/>
        <v/>
      </c>
      <c r="Z235" s="157" t="str">
        <f t="shared" si="17"/>
        <v/>
      </c>
    </row>
    <row r="236" spans="1:26" x14ac:dyDescent="0.2">
      <c r="A236" s="73"/>
      <c r="B236" s="73"/>
      <c r="E236" s="85"/>
      <c r="H236" s="86"/>
      <c r="W236" s="180"/>
      <c r="X236" s="104">
        <v>1</v>
      </c>
      <c r="Y236" s="157" t="str">
        <f t="shared" si="16"/>
        <v/>
      </c>
      <c r="Z236" s="157" t="str">
        <f t="shared" si="17"/>
        <v/>
      </c>
    </row>
    <row r="237" spans="1:26" s="73" customFormat="1" ht="16" customHeight="1" x14ac:dyDescent="0.2">
      <c r="A237" s="73" t="s">
        <v>68</v>
      </c>
      <c r="B237" s="73" t="s">
        <v>647</v>
      </c>
      <c r="C237" s="277" t="s">
        <v>648</v>
      </c>
      <c r="D237" s="277" t="s">
        <v>649</v>
      </c>
      <c r="E237" s="95"/>
      <c r="H237" s="97"/>
      <c r="I237" s="125"/>
      <c r="J237" s="125"/>
      <c r="K237" s="125"/>
      <c r="L237" s="125"/>
      <c r="M237" s="125"/>
      <c r="N237" s="125"/>
      <c r="O237" s="125"/>
      <c r="P237" s="125"/>
      <c r="U237" s="73" t="s">
        <v>52</v>
      </c>
      <c r="W237" s="180"/>
      <c r="X237" s="104">
        <v>1</v>
      </c>
      <c r="Y237" s="157" t="str">
        <f t="shared" si="16"/>
        <v/>
      </c>
      <c r="Z237" s="157" t="str">
        <f t="shared" si="17"/>
        <v/>
      </c>
    </row>
    <row r="238" spans="1:26" s="47" customFormat="1" ht="64" customHeight="1" x14ac:dyDescent="0.2">
      <c r="A238" s="47" t="s">
        <v>45</v>
      </c>
      <c r="B238" s="47" t="s">
        <v>650</v>
      </c>
      <c r="C238" s="47" t="s">
        <v>651</v>
      </c>
      <c r="D238" s="278" t="s">
        <v>652</v>
      </c>
      <c r="E238" s="95"/>
      <c r="H238" s="95"/>
      <c r="I238" s="125" t="s">
        <v>51</v>
      </c>
      <c r="J238" s="279"/>
      <c r="K238" s="279"/>
      <c r="L238" s="125"/>
      <c r="M238" s="279"/>
      <c r="N238" s="279"/>
      <c r="O238" s="279"/>
      <c r="P238" s="279"/>
      <c r="U238" s="47" t="s">
        <v>52</v>
      </c>
      <c r="W238" s="180">
        <v>0</v>
      </c>
      <c r="X238" s="104">
        <v>1</v>
      </c>
      <c r="Y238" s="157">
        <f t="shared" si="16"/>
        <v>0</v>
      </c>
      <c r="Z238" s="157" t="str">
        <f t="shared" si="17"/>
        <v/>
      </c>
    </row>
    <row r="239" spans="1:26" s="47" customFormat="1" ht="64" customHeight="1" x14ac:dyDescent="0.2">
      <c r="A239" s="47" t="s">
        <v>82</v>
      </c>
      <c r="B239" s="47" t="s">
        <v>653</v>
      </c>
      <c r="C239" s="47" t="s">
        <v>654</v>
      </c>
      <c r="D239" s="278" t="s">
        <v>655</v>
      </c>
      <c r="E239" s="95"/>
      <c r="F239" s="73" t="s">
        <v>656</v>
      </c>
      <c r="G239" s="73" t="s">
        <v>657</v>
      </c>
      <c r="H239" s="95"/>
      <c r="I239" s="125" t="s">
        <v>40</v>
      </c>
      <c r="J239" s="279"/>
      <c r="K239" s="279" t="s">
        <v>658</v>
      </c>
      <c r="L239" s="125" t="s">
        <v>659</v>
      </c>
      <c r="M239" s="279"/>
      <c r="N239" s="279"/>
      <c r="O239" s="279"/>
      <c r="P239" s="279"/>
      <c r="U239" s="47" t="s">
        <v>52</v>
      </c>
      <c r="W239" s="180">
        <v>17</v>
      </c>
      <c r="X239" s="104">
        <v>1</v>
      </c>
      <c r="Y239" s="157">
        <f t="shared" si="16"/>
        <v>17</v>
      </c>
      <c r="Z239" s="157" t="str">
        <f t="shared" si="17"/>
        <v/>
      </c>
    </row>
    <row r="240" spans="1:26" s="47" customFormat="1" ht="64" customHeight="1" x14ac:dyDescent="0.2">
      <c r="A240" s="47" t="s">
        <v>82</v>
      </c>
      <c r="B240" s="47" t="s">
        <v>660</v>
      </c>
      <c r="C240" s="47" t="s">
        <v>661</v>
      </c>
      <c r="D240" s="278" t="s">
        <v>662</v>
      </c>
      <c r="E240" s="95"/>
      <c r="F240" s="73" t="s">
        <v>656</v>
      </c>
      <c r="G240" s="73" t="s">
        <v>657</v>
      </c>
      <c r="H240" s="95"/>
      <c r="I240" s="125" t="s">
        <v>40</v>
      </c>
      <c r="J240" s="279"/>
      <c r="K240" s="279" t="s">
        <v>658</v>
      </c>
      <c r="L240" s="125" t="s">
        <v>659</v>
      </c>
      <c r="M240" s="279"/>
      <c r="N240" s="279"/>
      <c r="O240" s="279"/>
      <c r="P240" s="279"/>
      <c r="U240" s="47" t="s">
        <v>52</v>
      </c>
      <c r="W240" s="180">
        <v>17</v>
      </c>
      <c r="X240" s="104">
        <v>1</v>
      </c>
      <c r="Y240" s="157">
        <f t="shared" si="16"/>
        <v>17</v>
      </c>
      <c r="Z240" s="157" t="str">
        <f t="shared" si="17"/>
        <v/>
      </c>
    </row>
    <row r="241" spans="1:27" s="47" customFormat="1" ht="48" customHeight="1" x14ac:dyDescent="0.2">
      <c r="A241" s="47" t="s">
        <v>82</v>
      </c>
      <c r="B241" s="47" t="s">
        <v>663</v>
      </c>
      <c r="C241" s="47" t="s">
        <v>664</v>
      </c>
      <c r="D241" s="278" t="s">
        <v>665</v>
      </c>
      <c r="E241" s="95"/>
      <c r="F241" s="73" t="s">
        <v>656</v>
      </c>
      <c r="G241" s="73" t="s">
        <v>657</v>
      </c>
      <c r="H241" s="95"/>
      <c r="I241" s="125" t="s">
        <v>40</v>
      </c>
      <c r="J241" s="279"/>
      <c r="K241" s="279" t="s">
        <v>658</v>
      </c>
      <c r="L241" s="125" t="s">
        <v>659</v>
      </c>
      <c r="M241" s="279"/>
      <c r="N241" s="279"/>
      <c r="O241" s="279"/>
      <c r="P241" s="279"/>
      <c r="U241" s="47" t="s">
        <v>52</v>
      </c>
      <c r="W241" s="180">
        <v>17</v>
      </c>
      <c r="X241" s="104">
        <v>1</v>
      </c>
      <c r="Y241" s="157">
        <f t="shared" si="16"/>
        <v>17</v>
      </c>
      <c r="Z241" s="157" t="str">
        <f t="shared" si="17"/>
        <v/>
      </c>
    </row>
    <row r="242" spans="1:27" s="47" customFormat="1" ht="48" customHeight="1" x14ac:dyDescent="0.2">
      <c r="A242" s="47" t="s">
        <v>82</v>
      </c>
      <c r="B242" s="47" t="s">
        <v>666</v>
      </c>
      <c r="C242" s="47" t="s">
        <v>667</v>
      </c>
      <c r="D242" s="278" t="s">
        <v>668</v>
      </c>
      <c r="E242" s="95"/>
      <c r="F242" s="73" t="s">
        <v>656</v>
      </c>
      <c r="G242" s="73" t="s">
        <v>657</v>
      </c>
      <c r="H242" s="95"/>
      <c r="I242" s="125" t="s">
        <v>40</v>
      </c>
      <c r="J242" s="279"/>
      <c r="K242" s="279" t="s">
        <v>658</v>
      </c>
      <c r="L242" s="125" t="s">
        <v>659</v>
      </c>
      <c r="M242" s="279"/>
      <c r="N242" s="279"/>
      <c r="O242" s="279"/>
      <c r="P242" s="279"/>
      <c r="U242" s="47" t="s">
        <v>52</v>
      </c>
      <c r="W242" s="180">
        <v>17</v>
      </c>
      <c r="X242" s="104">
        <v>1</v>
      </c>
      <c r="Y242" s="157">
        <f t="shared" si="16"/>
        <v>17</v>
      </c>
      <c r="Z242" s="157" t="str">
        <f t="shared" si="17"/>
        <v/>
      </c>
    </row>
    <row r="243" spans="1:27" s="47" customFormat="1" ht="64" customHeight="1" x14ac:dyDescent="0.2">
      <c r="A243" s="47" t="s">
        <v>82</v>
      </c>
      <c r="B243" s="47" t="s">
        <v>669</v>
      </c>
      <c r="C243" s="47" t="s">
        <v>670</v>
      </c>
      <c r="D243" s="278" t="s">
        <v>671</v>
      </c>
      <c r="E243" s="95"/>
      <c r="F243" s="73" t="s">
        <v>656</v>
      </c>
      <c r="G243" s="73" t="s">
        <v>657</v>
      </c>
      <c r="H243" s="95"/>
      <c r="I243" s="125" t="s">
        <v>40</v>
      </c>
      <c r="J243" s="279"/>
      <c r="K243" s="279" t="s">
        <v>658</v>
      </c>
      <c r="L243" s="125" t="s">
        <v>659</v>
      </c>
      <c r="M243" s="279"/>
      <c r="N243" s="279"/>
      <c r="O243" s="279"/>
      <c r="P243" s="279"/>
      <c r="U243" s="47" t="s">
        <v>52</v>
      </c>
      <c r="W243" s="180">
        <v>17</v>
      </c>
      <c r="X243" s="104">
        <v>1</v>
      </c>
      <c r="Y243" s="157">
        <f t="shared" si="16"/>
        <v>17</v>
      </c>
      <c r="Z243" s="157" t="str">
        <f t="shared" si="17"/>
        <v/>
      </c>
    </row>
    <row r="244" spans="1:27" s="47" customFormat="1" ht="80" customHeight="1" x14ac:dyDescent="0.2">
      <c r="A244" s="47" t="s">
        <v>82</v>
      </c>
      <c r="B244" s="47" t="s">
        <v>672</v>
      </c>
      <c r="C244" s="47" t="s">
        <v>673</v>
      </c>
      <c r="D244" s="278" t="s">
        <v>674</v>
      </c>
      <c r="E244" s="95"/>
      <c r="F244" s="73" t="s">
        <v>656</v>
      </c>
      <c r="G244" s="73" t="s">
        <v>657</v>
      </c>
      <c r="H244" s="95"/>
      <c r="I244" s="125" t="s">
        <v>40</v>
      </c>
      <c r="J244" s="279"/>
      <c r="K244" s="279" t="s">
        <v>658</v>
      </c>
      <c r="L244" s="125" t="s">
        <v>659</v>
      </c>
      <c r="M244" s="279"/>
      <c r="N244" s="279"/>
      <c r="O244" s="279"/>
      <c r="P244" s="279"/>
      <c r="U244" s="47" t="s">
        <v>52</v>
      </c>
      <c r="W244" s="180">
        <v>17</v>
      </c>
      <c r="X244" s="104">
        <v>1</v>
      </c>
      <c r="Y244" s="157">
        <f t="shared" si="16"/>
        <v>17</v>
      </c>
      <c r="Z244" s="157" t="str">
        <f t="shared" si="17"/>
        <v/>
      </c>
    </row>
    <row r="245" spans="1:27" s="47" customFormat="1" ht="64" customHeight="1" x14ac:dyDescent="0.2">
      <c r="A245" s="47" t="s">
        <v>82</v>
      </c>
      <c r="B245" s="47" t="s">
        <v>675</v>
      </c>
      <c r="C245" s="47" t="s">
        <v>676</v>
      </c>
      <c r="D245" s="278" t="s">
        <v>677</v>
      </c>
      <c r="E245" s="95"/>
      <c r="F245" s="73" t="s">
        <v>656</v>
      </c>
      <c r="G245" s="73" t="s">
        <v>657</v>
      </c>
      <c r="H245" s="95"/>
      <c r="I245" s="125" t="s">
        <v>40</v>
      </c>
      <c r="J245" s="279"/>
      <c r="K245" s="279" t="s">
        <v>658</v>
      </c>
      <c r="L245" s="125" t="s">
        <v>659</v>
      </c>
      <c r="M245" s="279"/>
      <c r="N245" s="279"/>
      <c r="O245" s="279"/>
      <c r="P245" s="279"/>
      <c r="U245" s="47" t="s">
        <v>52</v>
      </c>
      <c r="W245" s="180">
        <v>17</v>
      </c>
      <c r="X245" s="104">
        <v>1</v>
      </c>
      <c r="Y245" s="157">
        <f t="shared" si="16"/>
        <v>17</v>
      </c>
      <c r="Z245" s="157" t="str">
        <f t="shared" si="17"/>
        <v/>
      </c>
    </row>
    <row r="246" spans="1:27" s="47" customFormat="1" ht="64" customHeight="1" x14ac:dyDescent="0.2">
      <c r="A246" s="47" t="s">
        <v>82</v>
      </c>
      <c r="B246" s="47" t="s">
        <v>678</v>
      </c>
      <c r="C246" s="47" t="s">
        <v>679</v>
      </c>
      <c r="D246" s="278" t="s">
        <v>680</v>
      </c>
      <c r="E246" s="95"/>
      <c r="F246" s="73" t="s">
        <v>656</v>
      </c>
      <c r="G246" s="73" t="s">
        <v>657</v>
      </c>
      <c r="H246" s="95"/>
      <c r="I246" s="125" t="s">
        <v>40</v>
      </c>
      <c r="J246" s="279"/>
      <c r="K246" s="279" t="s">
        <v>658</v>
      </c>
      <c r="L246" s="125" t="s">
        <v>659</v>
      </c>
      <c r="M246" s="279"/>
      <c r="N246" s="279"/>
      <c r="O246" s="279"/>
      <c r="P246" s="279"/>
      <c r="U246" s="47" t="s">
        <v>52</v>
      </c>
      <c r="W246" s="180">
        <v>17</v>
      </c>
      <c r="X246" s="104">
        <v>1</v>
      </c>
      <c r="Y246" s="157">
        <f t="shared" si="16"/>
        <v>17</v>
      </c>
      <c r="Z246" s="157" t="str">
        <f t="shared" si="17"/>
        <v/>
      </c>
    </row>
    <row r="247" spans="1:27" s="47" customFormat="1" ht="80" customHeight="1" x14ac:dyDescent="0.2">
      <c r="A247" s="47" t="s">
        <v>82</v>
      </c>
      <c r="B247" s="47" t="s">
        <v>681</v>
      </c>
      <c r="C247" s="47" t="s">
        <v>682</v>
      </c>
      <c r="D247" s="278" t="s">
        <v>683</v>
      </c>
      <c r="E247" s="95"/>
      <c r="F247" s="73" t="s">
        <v>656</v>
      </c>
      <c r="G247" s="73" t="s">
        <v>657</v>
      </c>
      <c r="H247" s="95"/>
      <c r="I247" s="125" t="s">
        <v>40</v>
      </c>
      <c r="J247" s="279"/>
      <c r="K247" s="279" t="s">
        <v>658</v>
      </c>
      <c r="L247" s="125" t="s">
        <v>659</v>
      </c>
      <c r="M247" s="279"/>
      <c r="N247" s="279"/>
      <c r="O247" s="279"/>
      <c r="P247" s="279"/>
      <c r="U247" s="47" t="s">
        <v>52</v>
      </c>
      <c r="W247" s="180">
        <v>17</v>
      </c>
      <c r="X247" s="104">
        <v>1</v>
      </c>
      <c r="Y247" s="157">
        <f t="shared" si="16"/>
        <v>17</v>
      </c>
      <c r="Z247" s="157" t="str">
        <f t="shared" si="17"/>
        <v/>
      </c>
    </row>
    <row r="248" spans="1:27" s="73" customFormat="1" x14ac:dyDescent="0.2">
      <c r="A248" s="73" t="s">
        <v>141</v>
      </c>
      <c r="C248" s="47"/>
      <c r="D248" s="47"/>
      <c r="E248" s="95"/>
      <c r="H248" s="97"/>
      <c r="I248" s="125"/>
      <c r="J248" s="125"/>
      <c r="K248" s="125"/>
      <c r="L248" s="125"/>
      <c r="M248" s="125"/>
      <c r="N248" s="125"/>
      <c r="O248" s="125"/>
      <c r="P248" s="125"/>
      <c r="W248" s="180">
        <v>17</v>
      </c>
      <c r="X248" s="104">
        <v>1</v>
      </c>
      <c r="Y248" s="157">
        <f t="shared" si="16"/>
        <v>17</v>
      </c>
      <c r="Z248" s="157" t="str">
        <f t="shared" si="17"/>
        <v/>
      </c>
    </row>
    <row r="249" spans="1:27" s="74" customFormat="1" x14ac:dyDescent="0.2">
      <c r="C249" s="75"/>
      <c r="D249" s="75"/>
      <c r="E249" s="76"/>
      <c r="H249" s="80"/>
      <c r="I249" s="114"/>
      <c r="J249" s="114"/>
      <c r="K249" s="114"/>
      <c r="L249" s="114"/>
      <c r="M249" s="114"/>
      <c r="N249" s="114"/>
      <c r="O249" s="114"/>
      <c r="P249" s="114"/>
      <c r="W249" s="180">
        <v>17</v>
      </c>
      <c r="X249" s="104">
        <v>1</v>
      </c>
      <c r="Y249" s="157">
        <f t="shared" si="16"/>
        <v>17</v>
      </c>
      <c r="Z249" s="157" t="str">
        <f t="shared" si="17"/>
        <v/>
      </c>
      <c r="AA249" s="73"/>
    </row>
    <row r="250" spans="1:27" s="73" customFormat="1" ht="16" customHeight="1" x14ac:dyDescent="0.2">
      <c r="A250" s="73" t="s">
        <v>68</v>
      </c>
      <c r="B250" s="73" t="s">
        <v>684</v>
      </c>
      <c r="C250" s="277" t="s">
        <v>685</v>
      </c>
      <c r="D250" s="277" t="s">
        <v>685</v>
      </c>
      <c r="E250" s="95"/>
      <c r="H250" s="97"/>
      <c r="I250" s="125"/>
      <c r="J250" s="125"/>
      <c r="K250" s="125"/>
      <c r="L250" s="125"/>
      <c r="M250" s="125"/>
      <c r="N250" s="125"/>
      <c r="O250" s="125"/>
      <c r="P250" s="125"/>
      <c r="U250" s="73" t="s">
        <v>52</v>
      </c>
      <c r="W250" s="180"/>
      <c r="X250" s="104">
        <v>1</v>
      </c>
      <c r="Y250" s="157" t="str">
        <f t="shared" si="16"/>
        <v/>
      </c>
      <c r="Z250" s="157" t="str">
        <f t="shared" si="17"/>
        <v/>
      </c>
    </row>
    <row r="251" spans="1:27" s="73" customFormat="1" ht="64" customHeight="1" x14ac:dyDescent="0.2">
      <c r="A251" s="73" t="s">
        <v>45</v>
      </c>
      <c r="B251" s="73" t="s">
        <v>686</v>
      </c>
      <c r="C251" s="47" t="s">
        <v>687</v>
      </c>
      <c r="D251" s="278" t="s">
        <v>688</v>
      </c>
      <c r="E251" s="95"/>
      <c r="H251" s="97"/>
      <c r="I251" s="125" t="s">
        <v>51</v>
      </c>
      <c r="J251" s="125"/>
      <c r="K251" s="125"/>
      <c r="L251" s="125"/>
      <c r="M251" s="125"/>
      <c r="N251" s="125"/>
      <c r="O251" s="125"/>
      <c r="P251" s="125"/>
      <c r="U251" s="73" t="s">
        <v>52</v>
      </c>
      <c r="W251" s="180">
        <v>17</v>
      </c>
      <c r="X251" s="104">
        <v>1</v>
      </c>
      <c r="Y251" s="157">
        <f t="shared" si="16"/>
        <v>17</v>
      </c>
      <c r="Z251" s="157" t="str">
        <f t="shared" si="17"/>
        <v/>
      </c>
    </row>
    <row r="252" spans="1:27" s="73" customFormat="1" ht="48" customHeight="1" x14ac:dyDescent="0.2">
      <c r="A252" s="73" t="s">
        <v>82</v>
      </c>
      <c r="B252" s="73" t="s">
        <v>689</v>
      </c>
      <c r="C252" s="47" t="s">
        <v>690</v>
      </c>
      <c r="D252" s="278" t="s">
        <v>691</v>
      </c>
      <c r="E252" s="95"/>
      <c r="F252" s="73" t="s">
        <v>692</v>
      </c>
      <c r="G252" s="73" t="s">
        <v>693</v>
      </c>
      <c r="H252" s="97"/>
      <c r="I252" s="125" t="s">
        <v>40</v>
      </c>
      <c r="J252" s="125"/>
      <c r="K252" s="125" t="s">
        <v>658</v>
      </c>
      <c r="L252" s="125" t="s">
        <v>659</v>
      </c>
      <c r="M252" s="125"/>
      <c r="N252" s="125"/>
      <c r="O252" s="125"/>
      <c r="P252" s="125"/>
      <c r="U252" s="73" t="s">
        <v>52</v>
      </c>
      <c r="W252" s="180">
        <v>17</v>
      </c>
      <c r="X252" s="104">
        <v>1</v>
      </c>
      <c r="Y252" s="157">
        <f t="shared" si="16"/>
        <v>17</v>
      </c>
      <c r="Z252" s="157" t="str">
        <f t="shared" si="17"/>
        <v/>
      </c>
    </row>
    <row r="253" spans="1:27" s="73" customFormat="1" ht="64" customHeight="1" x14ac:dyDescent="0.2">
      <c r="A253" s="73" t="s">
        <v>82</v>
      </c>
      <c r="B253" s="73" t="s">
        <v>694</v>
      </c>
      <c r="C253" s="47" t="s">
        <v>695</v>
      </c>
      <c r="D253" s="278" t="s">
        <v>696</v>
      </c>
      <c r="E253" s="95"/>
      <c r="F253" s="73" t="s">
        <v>692</v>
      </c>
      <c r="G253" s="73" t="s">
        <v>693</v>
      </c>
      <c r="H253" s="97"/>
      <c r="I253" s="125" t="s">
        <v>40</v>
      </c>
      <c r="J253" s="125"/>
      <c r="K253" s="125" t="s">
        <v>658</v>
      </c>
      <c r="L253" s="125" t="s">
        <v>659</v>
      </c>
      <c r="M253" s="125"/>
      <c r="N253" s="125"/>
      <c r="O253" s="125"/>
      <c r="P253" s="125"/>
      <c r="U253" s="73" t="s">
        <v>52</v>
      </c>
      <c r="W253" s="180">
        <v>17</v>
      </c>
      <c r="X253" s="104">
        <v>1</v>
      </c>
      <c r="Y253" s="157">
        <f t="shared" si="16"/>
        <v>17</v>
      </c>
      <c r="Z253" s="157" t="str">
        <f t="shared" si="17"/>
        <v/>
      </c>
    </row>
    <row r="254" spans="1:27" s="73" customFormat="1" ht="48" customHeight="1" x14ac:dyDescent="0.2">
      <c r="A254" s="73" t="s">
        <v>82</v>
      </c>
      <c r="B254" s="73" t="s">
        <v>697</v>
      </c>
      <c r="C254" s="47" t="s">
        <v>698</v>
      </c>
      <c r="D254" s="278" t="s">
        <v>699</v>
      </c>
      <c r="E254" s="95"/>
      <c r="F254" s="73" t="s">
        <v>692</v>
      </c>
      <c r="G254" s="73" t="s">
        <v>693</v>
      </c>
      <c r="H254" s="97"/>
      <c r="I254" s="125" t="s">
        <v>40</v>
      </c>
      <c r="J254" s="125"/>
      <c r="K254" s="125" t="s">
        <v>658</v>
      </c>
      <c r="L254" s="125" t="s">
        <v>659</v>
      </c>
      <c r="M254" s="125"/>
      <c r="N254" s="125"/>
      <c r="O254" s="125"/>
      <c r="P254" s="125"/>
      <c r="U254" s="73" t="s">
        <v>52</v>
      </c>
      <c r="W254" s="180">
        <v>17</v>
      </c>
      <c r="X254" s="104">
        <v>1</v>
      </c>
      <c r="Y254" s="157">
        <f t="shared" si="16"/>
        <v>17</v>
      </c>
      <c r="Z254" s="157" t="str">
        <f t="shared" si="17"/>
        <v/>
      </c>
    </row>
    <row r="255" spans="1:27" s="73" customFormat="1" ht="48" customHeight="1" x14ac:dyDescent="0.2">
      <c r="A255" s="73" t="s">
        <v>82</v>
      </c>
      <c r="B255" s="73" t="s">
        <v>700</v>
      </c>
      <c r="C255" s="47" t="s">
        <v>701</v>
      </c>
      <c r="D255" s="278" t="s">
        <v>702</v>
      </c>
      <c r="E255" s="95"/>
      <c r="F255" s="73" t="s">
        <v>692</v>
      </c>
      <c r="G255" s="73" t="s">
        <v>693</v>
      </c>
      <c r="H255" s="97"/>
      <c r="I255" s="125" t="s">
        <v>40</v>
      </c>
      <c r="J255" s="125"/>
      <c r="K255" s="125" t="s">
        <v>658</v>
      </c>
      <c r="L255" s="125" t="s">
        <v>659</v>
      </c>
      <c r="M255" s="125"/>
      <c r="N255" s="125"/>
      <c r="O255" s="125"/>
      <c r="P255" s="125"/>
      <c r="U255" s="73" t="s">
        <v>52</v>
      </c>
      <c r="W255" s="180">
        <v>17</v>
      </c>
      <c r="X255" s="104">
        <v>1</v>
      </c>
      <c r="Y255" s="157">
        <f t="shared" si="16"/>
        <v>17</v>
      </c>
      <c r="Z255" s="157" t="str">
        <f t="shared" si="17"/>
        <v/>
      </c>
    </row>
    <row r="256" spans="1:27" s="73" customFormat="1" ht="64" customHeight="1" x14ac:dyDescent="0.2">
      <c r="A256" s="73" t="s">
        <v>82</v>
      </c>
      <c r="B256" s="73" t="s">
        <v>703</v>
      </c>
      <c r="C256" s="47" t="s">
        <v>704</v>
      </c>
      <c r="D256" s="219" t="s">
        <v>705</v>
      </c>
      <c r="E256" s="95"/>
      <c r="F256" s="73" t="s">
        <v>692</v>
      </c>
      <c r="G256" s="73" t="s">
        <v>693</v>
      </c>
      <c r="H256" s="97"/>
      <c r="I256" s="125" t="s">
        <v>40</v>
      </c>
      <c r="J256" s="125"/>
      <c r="K256" s="125" t="s">
        <v>658</v>
      </c>
      <c r="L256" s="125" t="s">
        <v>659</v>
      </c>
      <c r="M256" s="125"/>
      <c r="N256" s="125"/>
      <c r="O256" s="125"/>
      <c r="P256" s="125"/>
      <c r="U256" s="73" t="s">
        <v>52</v>
      </c>
      <c r="W256" s="180">
        <v>17</v>
      </c>
      <c r="X256" s="104">
        <v>1</v>
      </c>
      <c r="Y256" s="157">
        <f t="shared" si="16"/>
        <v>17</v>
      </c>
      <c r="Z256" s="157" t="str">
        <f t="shared" si="17"/>
        <v/>
      </c>
    </row>
    <row r="257" spans="1:27" s="73" customFormat="1" x14ac:dyDescent="0.2">
      <c r="A257" s="73" t="s">
        <v>141</v>
      </c>
      <c r="C257" s="47"/>
      <c r="D257" s="47"/>
      <c r="E257" s="95"/>
      <c r="H257" s="97"/>
      <c r="I257" s="125"/>
      <c r="J257" s="125"/>
      <c r="K257" s="125"/>
      <c r="L257" s="125"/>
      <c r="M257" s="125"/>
      <c r="N257" s="125"/>
      <c r="O257" s="125"/>
      <c r="P257" s="125"/>
      <c r="W257" s="180"/>
      <c r="X257" s="104">
        <v>1</v>
      </c>
      <c r="Y257" s="157" t="str">
        <f t="shared" si="16"/>
        <v/>
      </c>
      <c r="Z257" s="157" t="str">
        <f t="shared" si="17"/>
        <v/>
      </c>
    </row>
    <row r="258" spans="1:27" s="74" customFormat="1" x14ac:dyDescent="0.2">
      <c r="C258" s="75"/>
      <c r="D258" s="75"/>
      <c r="E258" s="76"/>
      <c r="H258" s="80"/>
      <c r="I258" s="114"/>
      <c r="J258" s="114"/>
      <c r="K258" s="114"/>
      <c r="L258" s="114"/>
      <c r="M258" s="114"/>
      <c r="N258" s="114"/>
      <c r="O258" s="114"/>
      <c r="P258" s="114"/>
      <c r="W258" s="180"/>
      <c r="X258" s="104">
        <v>1</v>
      </c>
      <c r="Y258" s="157" t="str">
        <f t="shared" si="16"/>
        <v/>
      </c>
      <c r="Z258" s="157" t="str">
        <f t="shared" si="17"/>
        <v/>
      </c>
    </row>
    <row r="259" spans="1:27" ht="16" customHeight="1" thickBot="1" x14ac:dyDescent="0.25">
      <c r="A259" s="98" t="s">
        <v>141</v>
      </c>
      <c r="B259" s="98"/>
      <c r="C259" s="99"/>
      <c r="D259" s="99"/>
      <c r="E259" s="105"/>
      <c r="F259" s="98"/>
      <c r="G259" s="98"/>
      <c r="H259" s="106"/>
      <c r="I259" s="126"/>
      <c r="J259" s="126"/>
      <c r="K259" s="126"/>
      <c r="L259" s="126"/>
      <c r="M259" s="126"/>
      <c r="N259" s="126"/>
      <c r="O259" s="126"/>
      <c r="P259" s="126"/>
      <c r="W259" s="180"/>
      <c r="Y259" s="157" t="str">
        <f t="shared" si="16"/>
        <v/>
      </c>
      <c r="Z259" s="157" t="str">
        <f t="shared" si="17"/>
        <v/>
      </c>
    </row>
    <row r="260" spans="1:27" s="70" customFormat="1" ht="15" customHeight="1" thickTop="1" x14ac:dyDescent="0.2">
      <c r="A260" s="67" t="s">
        <v>68</v>
      </c>
      <c r="B260" s="67" t="s">
        <v>706</v>
      </c>
      <c r="C260" s="91" t="s">
        <v>707</v>
      </c>
      <c r="D260" s="91" t="s">
        <v>708</v>
      </c>
      <c r="E260" s="68"/>
      <c r="F260" s="67"/>
      <c r="G260" s="67"/>
      <c r="H260" s="69"/>
      <c r="I260" s="118" t="s">
        <v>51</v>
      </c>
      <c r="J260" s="118"/>
      <c r="K260" s="118"/>
      <c r="L260" s="118"/>
      <c r="M260" s="118" t="s">
        <v>709</v>
      </c>
      <c r="N260" s="118"/>
      <c r="O260" s="118"/>
      <c r="P260" s="118"/>
      <c r="U260" s="45" t="s">
        <v>42</v>
      </c>
      <c r="W260" s="180"/>
      <c r="X260" s="71"/>
      <c r="Y260" s="157" t="str">
        <f t="shared" si="16"/>
        <v/>
      </c>
      <c r="Z260" s="157" t="str">
        <f t="shared" si="17"/>
        <v/>
      </c>
      <c r="AA260" s="71"/>
    </row>
    <row r="261" spans="1:27" s="70" customFormat="1" ht="15" customHeight="1" x14ac:dyDescent="0.2">
      <c r="C261" s="92"/>
      <c r="D261" s="92"/>
      <c r="E261" s="68"/>
      <c r="H261" s="69"/>
      <c r="I261" s="119"/>
      <c r="J261" s="119"/>
      <c r="K261" s="119"/>
      <c r="L261" s="119"/>
      <c r="M261" s="119"/>
      <c r="N261" s="119"/>
      <c r="O261" s="119"/>
      <c r="P261" s="119"/>
      <c r="U261" s="45"/>
      <c r="W261" s="180"/>
      <c r="X261" s="104">
        <v>1</v>
      </c>
      <c r="Y261" s="157" t="str">
        <f t="shared" si="16"/>
        <v/>
      </c>
      <c r="Z261" s="157" t="str">
        <f t="shared" si="17"/>
        <v/>
      </c>
      <c r="AA261" s="71"/>
    </row>
    <row r="262" spans="1:27" ht="64" customHeight="1" x14ac:dyDescent="0.2">
      <c r="A262" s="72" t="s">
        <v>146</v>
      </c>
      <c r="B262" s="72" t="s">
        <v>710</v>
      </c>
      <c r="C262" s="44" t="s">
        <v>711</v>
      </c>
      <c r="D262" s="78" t="s">
        <v>712</v>
      </c>
      <c r="E262" s="85"/>
      <c r="F262" s="72"/>
      <c r="G262" s="72"/>
      <c r="H262" s="86"/>
      <c r="I262" s="113" t="s">
        <v>40</v>
      </c>
      <c r="J262" s="113"/>
      <c r="K262" s="113"/>
      <c r="L262" s="113"/>
      <c r="M262" s="113"/>
      <c r="N262" s="113"/>
      <c r="O262" s="113"/>
      <c r="P262" s="113"/>
      <c r="U262" s="45" t="s">
        <v>42</v>
      </c>
      <c r="W262" s="180">
        <v>19.828245162963871</v>
      </c>
      <c r="X262" s="104">
        <v>1</v>
      </c>
      <c r="Y262" s="157">
        <f t="shared" si="16"/>
        <v>19.828245162963871</v>
      </c>
      <c r="Z262" s="157">
        <f t="shared" si="17"/>
        <v>19.828245162963871</v>
      </c>
    </row>
    <row r="263" spans="1:27" ht="64" customHeight="1" x14ac:dyDescent="0.2">
      <c r="A263" s="72" t="s">
        <v>713</v>
      </c>
      <c r="B263" s="72" t="s">
        <v>714</v>
      </c>
      <c r="C263" s="44" t="s">
        <v>715</v>
      </c>
      <c r="D263" s="78" t="s">
        <v>716</v>
      </c>
      <c r="E263" s="85"/>
      <c r="F263" s="72" t="s">
        <v>717</v>
      </c>
      <c r="G263" s="77" t="s">
        <v>718</v>
      </c>
      <c r="H263" s="86"/>
      <c r="I263" s="113" t="s">
        <v>40</v>
      </c>
      <c r="J263" s="113"/>
      <c r="K263" s="115" t="s">
        <v>419</v>
      </c>
      <c r="L263" s="113"/>
      <c r="M263" s="113" t="s">
        <v>719</v>
      </c>
      <c r="N263" s="113"/>
      <c r="O263" s="113"/>
      <c r="P263" s="113"/>
      <c r="U263" s="45" t="s">
        <v>42</v>
      </c>
      <c r="W263" s="180">
        <v>49.529693603515618</v>
      </c>
      <c r="X263" s="104">
        <v>1</v>
      </c>
      <c r="Y263" s="157">
        <f t="shared" si="16"/>
        <v>49.529693603515618</v>
      </c>
      <c r="Z263" s="157">
        <f t="shared" si="17"/>
        <v>49.529693603515618</v>
      </c>
    </row>
    <row r="264" spans="1:27" ht="16" customHeight="1" x14ac:dyDescent="0.2">
      <c r="A264" s="72" t="s">
        <v>72</v>
      </c>
      <c r="B264" s="72" t="s">
        <v>720</v>
      </c>
      <c r="C264" s="78" t="s">
        <v>340</v>
      </c>
      <c r="D264" s="78" t="s">
        <v>341</v>
      </c>
      <c r="E264" s="95"/>
      <c r="F264" s="73" t="s">
        <v>342</v>
      </c>
      <c r="G264" s="73" t="s">
        <v>343</v>
      </c>
      <c r="H264" s="86"/>
      <c r="I264" s="113" t="s">
        <v>40</v>
      </c>
      <c r="J264" s="113"/>
      <c r="K264" s="113"/>
      <c r="L264" s="113"/>
      <c r="M264" s="113" t="s">
        <v>721</v>
      </c>
      <c r="N264" s="113"/>
      <c r="O264" s="113"/>
      <c r="P264" s="113"/>
      <c r="U264" s="45" t="s">
        <v>42</v>
      </c>
      <c r="W264" s="180"/>
      <c r="X264" s="104">
        <v>1</v>
      </c>
      <c r="Y264" s="157" t="str">
        <f t="shared" si="16"/>
        <v/>
      </c>
      <c r="Z264" s="157" t="str">
        <f t="shared" si="17"/>
        <v/>
      </c>
    </row>
    <row r="265" spans="1:27" x14ac:dyDescent="0.2">
      <c r="D265" s="47"/>
      <c r="E265" s="85"/>
      <c r="G265" s="73"/>
      <c r="H265" s="86"/>
      <c r="W265" s="180"/>
      <c r="X265" s="104">
        <v>1</v>
      </c>
      <c r="Y265" s="157" t="str">
        <f t="shared" ref="Y265:Y296" si="18">IF(W265&lt;&gt;"",W265*X265,"")</f>
        <v/>
      </c>
      <c r="Z265" s="157" t="str">
        <f t="shared" si="17"/>
        <v/>
      </c>
    </row>
    <row r="266" spans="1:27" s="73" customFormat="1" ht="32" customHeight="1" x14ac:dyDescent="0.2">
      <c r="A266" s="77" t="s">
        <v>722</v>
      </c>
      <c r="B266" s="77" t="s">
        <v>723</v>
      </c>
      <c r="C266" s="78" t="s">
        <v>724</v>
      </c>
      <c r="D266" s="78" t="s">
        <v>725</v>
      </c>
      <c r="E266" s="95"/>
      <c r="F266" s="77" t="s">
        <v>726</v>
      </c>
      <c r="G266" s="77" t="s">
        <v>727</v>
      </c>
      <c r="H266" s="97"/>
      <c r="I266" s="115" t="s">
        <v>40</v>
      </c>
      <c r="J266" s="115"/>
      <c r="K266" s="115" t="s">
        <v>728</v>
      </c>
      <c r="L266" s="115"/>
      <c r="M266" s="115"/>
      <c r="N266" s="115"/>
      <c r="O266" s="115"/>
      <c r="P266" s="115"/>
      <c r="U266" s="73" t="s">
        <v>52</v>
      </c>
      <c r="W266" s="180">
        <v>22.029750823974609</v>
      </c>
      <c r="X266" s="104">
        <v>1</v>
      </c>
      <c r="Y266" s="157">
        <f t="shared" si="18"/>
        <v>22.029750823974609</v>
      </c>
      <c r="Z266" s="157" t="str">
        <f t="shared" si="17"/>
        <v/>
      </c>
    </row>
    <row r="267" spans="1:27" s="73" customFormat="1" ht="16" customHeight="1" x14ac:dyDescent="0.2">
      <c r="A267" s="77" t="s">
        <v>72</v>
      </c>
      <c r="B267" s="77" t="s">
        <v>729</v>
      </c>
      <c r="C267" s="78" t="s">
        <v>340</v>
      </c>
      <c r="D267" s="78" t="s">
        <v>341</v>
      </c>
      <c r="E267" s="95"/>
      <c r="F267" s="77" t="s">
        <v>342</v>
      </c>
      <c r="G267" s="77" t="s">
        <v>343</v>
      </c>
      <c r="H267" s="97"/>
      <c r="I267" s="115" t="s">
        <v>40</v>
      </c>
      <c r="J267" s="115"/>
      <c r="K267" s="115"/>
      <c r="L267" s="115"/>
      <c r="M267" s="115" t="s">
        <v>730</v>
      </c>
      <c r="N267" s="115"/>
      <c r="O267" s="115"/>
      <c r="P267" s="115"/>
      <c r="U267" s="73" t="s">
        <v>52</v>
      </c>
      <c r="W267" s="180"/>
      <c r="X267" s="104">
        <v>1</v>
      </c>
      <c r="Y267" s="157" t="str">
        <f t="shared" si="18"/>
        <v/>
      </c>
      <c r="Z267" s="157" t="str">
        <f t="shared" si="17"/>
        <v/>
      </c>
    </row>
    <row r="268" spans="1:27" s="74" customFormat="1" x14ac:dyDescent="0.2">
      <c r="C268" s="75"/>
      <c r="D268" s="75"/>
      <c r="E268" s="76"/>
      <c r="H268" s="80"/>
      <c r="I268" s="114"/>
      <c r="J268" s="114"/>
      <c r="K268" s="114"/>
      <c r="L268" s="114"/>
      <c r="M268" s="114"/>
      <c r="N268" s="114"/>
      <c r="O268" s="114"/>
      <c r="P268" s="114"/>
      <c r="R268" s="45"/>
      <c r="W268" s="180"/>
      <c r="X268" s="104">
        <v>1</v>
      </c>
      <c r="Y268" s="157" t="str">
        <f t="shared" si="18"/>
        <v/>
      </c>
      <c r="Z268" s="157" t="str">
        <f t="shared" si="17"/>
        <v/>
      </c>
      <c r="AA268" s="73"/>
    </row>
    <row r="269" spans="1:27" s="73" customFormat="1" ht="16" customHeight="1" x14ac:dyDescent="0.2">
      <c r="A269" s="73" t="s">
        <v>731</v>
      </c>
      <c r="B269" s="73" t="s">
        <v>732</v>
      </c>
      <c r="C269" s="47" t="s">
        <v>733</v>
      </c>
      <c r="D269" s="47" t="s">
        <v>734</v>
      </c>
      <c r="E269" s="95"/>
      <c r="F269" s="73" t="s">
        <v>735</v>
      </c>
      <c r="G269" s="73" t="s">
        <v>736</v>
      </c>
      <c r="H269" s="97"/>
      <c r="I269" s="125" t="s">
        <v>40</v>
      </c>
      <c r="J269" s="125"/>
      <c r="K269" s="125" t="s">
        <v>419</v>
      </c>
      <c r="L269" s="125"/>
      <c r="M269" s="125" t="s">
        <v>737</v>
      </c>
      <c r="N269" s="125"/>
      <c r="O269" s="125"/>
      <c r="P269" s="125"/>
      <c r="W269" s="180"/>
      <c r="X269" s="104"/>
      <c r="Y269" s="157"/>
      <c r="Z269" s="157"/>
    </row>
    <row r="270" spans="1:27" s="74" customFormat="1" x14ac:dyDescent="0.2">
      <c r="C270" s="75"/>
      <c r="D270" s="75"/>
      <c r="E270" s="76"/>
      <c r="H270" s="80"/>
      <c r="I270" s="114"/>
      <c r="J270" s="114"/>
      <c r="K270" s="114"/>
      <c r="L270" s="114"/>
      <c r="M270" s="114"/>
      <c r="N270" s="114"/>
      <c r="O270" s="114"/>
      <c r="P270" s="114"/>
      <c r="R270" s="45"/>
      <c r="W270" s="180"/>
      <c r="X270" s="104"/>
      <c r="Y270" s="157"/>
      <c r="Z270" s="157"/>
      <c r="AA270" s="73"/>
    </row>
    <row r="271" spans="1:27" ht="16" customHeight="1" thickBot="1" x14ac:dyDescent="0.25">
      <c r="A271" s="98" t="s">
        <v>141</v>
      </c>
      <c r="B271" s="98"/>
      <c r="C271" s="99"/>
      <c r="D271" s="99"/>
      <c r="E271" s="105"/>
      <c r="F271" s="98"/>
      <c r="G271" s="98"/>
      <c r="H271" s="106"/>
      <c r="I271" s="126"/>
      <c r="J271" s="126"/>
      <c r="K271" s="126"/>
      <c r="L271" s="126"/>
      <c r="M271" s="126"/>
      <c r="N271" s="126"/>
      <c r="O271" s="126"/>
      <c r="P271" s="126"/>
      <c r="W271" s="180"/>
      <c r="Y271" s="157" t="str">
        <f t="shared" ref="Y271:Y283" si="19">IF(W271&lt;&gt;"",W271*X271,"")</f>
        <v/>
      </c>
      <c r="Z271" s="157" t="str">
        <f t="shared" ref="Z271:Z283" si="20">IF(AND(W271&lt;&gt;"",U271="yes"),W271*X271,"")</f>
        <v/>
      </c>
    </row>
    <row r="272" spans="1:27" s="70" customFormat="1" ht="17" customHeight="1" thickTop="1" x14ac:dyDescent="0.2">
      <c r="A272" s="67" t="s">
        <v>68</v>
      </c>
      <c r="B272" s="67" t="s">
        <v>738</v>
      </c>
      <c r="C272" s="91" t="s">
        <v>739</v>
      </c>
      <c r="D272" s="91" t="s">
        <v>740</v>
      </c>
      <c r="E272" s="68"/>
      <c r="F272" s="67"/>
      <c r="G272" s="67"/>
      <c r="H272" s="69"/>
      <c r="I272" s="118" t="s">
        <v>51</v>
      </c>
      <c r="J272" s="118"/>
      <c r="K272" s="118"/>
      <c r="L272" s="118"/>
      <c r="M272" s="118" t="s">
        <v>145</v>
      </c>
      <c r="N272" s="118"/>
      <c r="O272" s="118"/>
      <c r="P272" s="118"/>
      <c r="U272" s="45" t="s">
        <v>42</v>
      </c>
      <c r="W272" s="180"/>
      <c r="X272" s="156"/>
      <c r="Y272" s="157" t="str">
        <f t="shared" si="19"/>
        <v/>
      </c>
      <c r="Z272" s="157" t="str">
        <f t="shared" si="20"/>
        <v/>
      </c>
      <c r="AA272" s="71"/>
    </row>
    <row r="273" spans="1:27" s="70" customFormat="1" x14ac:dyDescent="0.2">
      <c r="C273" s="92"/>
      <c r="D273" s="92"/>
      <c r="E273" s="68"/>
      <c r="H273" s="69"/>
      <c r="I273" s="119"/>
      <c r="J273" s="119"/>
      <c r="K273" s="119"/>
      <c r="L273" s="119"/>
      <c r="M273" s="119"/>
      <c r="N273" s="119"/>
      <c r="O273" s="119"/>
      <c r="P273" s="119"/>
      <c r="U273" s="45"/>
      <c r="W273" s="180"/>
      <c r="X273" s="104">
        <v>1</v>
      </c>
      <c r="Y273" s="157" t="str">
        <f t="shared" si="19"/>
        <v/>
      </c>
      <c r="Z273" s="157" t="str">
        <f t="shared" si="20"/>
        <v/>
      </c>
      <c r="AA273" s="71"/>
    </row>
    <row r="274" spans="1:27" ht="48" customHeight="1" x14ac:dyDescent="0.2">
      <c r="A274" s="72" t="s">
        <v>53</v>
      </c>
      <c r="B274" s="72" t="s">
        <v>741</v>
      </c>
      <c r="C274" s="44" t="s">
        <v>742</v>
      </c>
      <c r="D274" s="215" t="s">
        <v>743</v>
      </c>
      <c r="E274" s="85"/>
      <c r="F274" s="72"/>
      <c r="G274" s="72"/>
      <c r="H274" s="86"/>
      <c r="I274" s="113" t="s">
        <v>40</v>
      </c>
      <c r="J274" s="113"/>
      <c r="K274" s="113"/>
      <c r="L274" s="113"/>
      <c r="M274" s="113"/>
      <c r="N274" s="113"/>
      <c r="O274" s="113"/>
      <c r="P274" s="113"/>
      <c r="U274" s="45" t="s">
        <v>42</v>
      </c>
      <c r="W274" s="180">
        <v>36.783046722412109</v>
      </c>
      <c r="X274" s="104">
        <v>1</v>
      </c>
      <c r="Y274" s="157">
        <f t="shared" si="19"/>
        <v>36.783046722412109</v>
      </c>
      <c r="Z274" s="157">
        <f t="shared" si="20"/>
        <v>36.783046722412109</v>
      </c>
    </row>
    <row r="275" spans="1:27" x14ac:dyDescent="0.2">
      <c r="E275" s="85"/>
      <c r="H275" s="86"/>
      <c r="W275" s="180"/>
      <c r="X275" s="104">
        <v>1</v>
      </c>
      <c r="Y275" s="157" t="str">
        <f t="shared" si="19"/>
        <v/>
      </c>
      <c r="Z275" s="157" t="str">
        <f t="shared" si="20"/>
        <v/>
      </c>
    </row>
    <row r="276" spans="1:27" s="74" customFormat="1" ht="16" customHeight="1" x14ac:dyDescent="0.2">
      <c r="A276" s="152" t="s">
        <v>744</v>
      </c>
      <c r="B276" s="152" t="s">
        <v>745</v>
      </c>
      <c r="C276" s="166" t="s">
        <v>746</v>
      </c>
      <c r="D276" s="166" t="s">
        <v>747</v>
      </c>
      <c r="E276" s="154"/>
      <c r="F276" s="152" t="s">
        <v>748</v>
      </c>
      <c r="G276" s="152" t="s">
        <v>736</v>
      </c>
      <c r="H276" s="155"/>
      <c r="I276" s="151" t="s">
        <v>40</v>
      </c>
      <c r="J276" s="151"/>
      <c r="K276" s="128"/>
      <c r="L276" s="151"/>
      <c r="M276" s="151" t="s">
        <v>749</v>
      </c>
      <c r="N276" s="123"/>
      <c r="O276" s="123"/>
      <c r="P276" s="123"/>
      <c r="U276" s="153" t="s">
        <v>101</v>
      </c>
      <c r="W276" s="180">
        <v>10</v>
      </c>
      <c r="X276" s="104">
        <v>1</v>
      </c>
      <c r="Y276" s="157">
        <f t="shared" si="19"/>
        <v>10</v>
      </c>
      <c r="Z276" s="157" t="str">
        <f t="shared" si="20"/>
        <v/>
      </c>
      <c r="AA276" s="73"/>
    </row>
    <row r="277" spans="1:27" s="74" customFormat="1" ht="32" customHeight="1" x14ac:dyDescent="0.2">
      <c r="A277" s="152" t="s">
        <v>750</v>
      </c>
      <c r="B277" s="152" t="s">
        <v>751</v>
      </c>
      <c r="C277" s="166" t="s">
        <v>752</v>
      </c>
      <c r="D277" s="166" t="s">
        <v>753</v>
      </c>
      <c r="E277" s="154"/>
      <c r="F277" s="152" t="s">
        <v>748</v>
      </c>
      <c r="G277" s="152" t="s">
        <v>736</v>
      </c>
      <c r="H277" s="155"/>
      <c r="I277" s="151" t="s">
        <v>40</v>
      </c>
      <c r="J277" s="151"/>
      <c r="K277" s="128"/>
      <c r="L277" s="151"/>
      <c r="M277" s="151" t="s">
        <v>749</v>
      </c>
      <c r="N277" s="123"/>
      <c r="O277" s="123"/>
      <c r="P277" s="123"/>
      <c r="U277" s="153" t="s">
        <v>101</v>
      </c>
      <c r="W277" s="180">
        <v>10</v>
      </c>
      <c r="X277" s="104">
        <v>1</v>
      </c>
      <c r="Y277" s="157">
        <f t="shared" si="19"/>
        <v>10</v>
      </c>
      <c r="Z277" s="157" t="str">
        <f t="shared" si="20"/>
        <v/>
      </c>
      <c r="AA277" s="73"/>
    </row>
    <row r="278" spans="1:27" s="74" customFormat="1" x14ac:dyDescent="0.2">
      <c r="C278" s="75"/>
      <c r="D278" s="75"/>
      <c r="E278" s="76"/>
      <c r="H278" s="80"/>
      <c r="I278" s="114"/>
      <c r="J278" s="114"/>
      <c r="K278" s="114"/>
      <c r="L278" s="114"/>
      <c r="M278" s="114"/>
      <c r="N278" s="114"/>
      <c r="O278" s="114"/>
      <c r="P278" s="114"/>
      <c r="W278" s="180"/>
      <c r="X278" s="104">
        <v>1</v>
      </c>
      <c r="Y278" s="157" t="str">
        <f t="shared" si="19"/>
        <v/>
      </c>
      <c r="Z278" s="157" t="str">
        <f t="shared" si="20"/>
        <v/>
      </c>
      <c r="AA278" s="73"/>
    </row>
    <row r="279" spans="1:27" ht="32" customHeight="1" x14ac:dyDescent="0.2">
      <c r="A279" s="72" t="s">
        <v>754</v>
      </c>
      <c r="B279" s="72" t="s">
        <v>755</v>
      </c>
      <c r="C279" s="44" t="s">
        <v>756</v>
      </c>
      <c r="D279" s="220" t="s">
        <v>757</v>
      </c>
      <c r="E279" s="85"/>
      <c r="F279" s="72"/>
      <c r="G279" s="72"/>
      <c r="H279" s="86"/>
      <c r="I279" s="113" t="s">
        <v>40</v>
      </c>
      <c r="J279" s="113"/>
      <c r="K279" s="113"/>
      <c r="L279" s="113"/>
      <c r="M279" s="113"/>
      <c r="N279" s="113"/>
      <c r="O279" s="113"/>
      <c r="P279" s="113"/>
      <c r="U279" s="45" t="s">
        <v>42</v>
      </c>
      <c r="W279" s="180">
        <v>3</v>
      </c>
      <c r="X279" s="104">
        <v>1</v>
      </c>
      <c r="Y279" s="157">
        <f t="shared" si="19"/>
        <v>3</v>
      </c>
      <c r="Z279" s="157">
        <f t="shared" si="20"/>
        <v>3</v>
      </c>
    </row>
    <row r="280" spans="1:27" x14ac:dyDescent="0.2">
      <c r="D280" s="45"/>
      <c r="E280" s="85"/>
      <c r="H280" s="86"/>
      <c r="W280" s="180"/>
      <c r="X280" s="104">
        <v>1</v>
      </c>
      <c r="Y280" s="157" t="str">
        <f t="shared" si="19"/>
        <v/>
      </c>
      <c r="Z280" s="157" t="str">
        <f t="shared" si="20"/>
        <v/>
      </c>
    </row>
    <row r="281" spans="1:27" ht="32" customHeight="1" x14ac:dyDescent="0.2">
      <c r="A281" s="72" t="s">
        <v>45</v>
      </c>
      <c r="B281" s="72" t="s">
        <v>758</v>
      </c>
      <c r="C281" s="44" t="s">
        <v>759</v>
      </c>
      <c r="D281" s="217" t="s">
        <v>760</v>
      </c>
      <c r="E281" s="85"/>
      <c r="F281" s="72"/>
      <c r="G281" s="72"/>
      <c r="H281" s="86"/>
      <c r="I281" s="113" t="s">
        <v>51</v>
      </c>
      <c r="J281" s="113"/>
      <c r="K281" s="113"/>
      <c r="L281" s="113"/>
      <c r="M281" s="113"/>
      <c r="N281" s="113"/>
      <c r="O281" s="113"/>
      <c r="P281" s="113"/>
      <c r="U281" s="45" t="s">
        <v>52</v>
      </c>
      <c r="W281" s="180">
        <v>0</v>
      </c>
      <c r="X281" s="104">
        <v>1</v>
      </c>
      <c r="Y281" s="157">
        <f t="shared" si="19"/>
        <v>0</v>
      </c>
      <c r="Z281" s="157" t="str">
        <f t="shared" si="20"/>
        <v/>
      </c>
    </row>
    <row r="282" spans="1:27" x14ac:dyDescent="0.2">
      <c r="E282" s="85"/>
      <c r="H282" s="86"/>
      <c r="W282" s="180"/>
      <c r="X282" s="104">
        <v>1</v>
      </c>
      <c r="Y282" s="157" t="str">
        <f t="shared" si="19"/>
        <v/>
      </c>
      <c r="Z282" s="157" t="str">
        <f t="shared" si="20"/>
        <v/>
      </c>
    </row>
    <row r="283" spans="1:27" ht="16" customHeight="1" thickBot="1" x14ac:dyDescent="0.25">
      <c r="A283" s="98" t="s">
        <v>141</v>
      </c>
      <c r="B283" s="98"/>
      <c r="C283" s="99"/>
      <c r="D283" s="99"/>
      <c r="E283" s="105"/>
      <c r="F283" s="98"/>
      <c r="G283" s="98"/>
      <c r="H283" s="106"/>
      <c r="I283" s="126"/>
      <c r="J283" s="126"/>
      <c r="K283" s="126"/>
      <c r="L283" s="126"/>
      <c r="M283" s="126"/>
      <c r="N283" s="126"/>
      <c r="O283" s="126"/>
      <c r="P283" s="126"/>
      <c r="W283" s="180"/>
      <c r="Y283" s="157" t="str">
        <f t="shared" si="19"/>
        <v/>
      </c>
      <c r="Z283" s="157" t="str">
        <f t="shared" si="20"/>
        <v/>
      </c>
    </row>
    <row r="284" spans="1:27" s="74" customFormat="1" ht="16" customHeight="1" thickTop="1" x14ac:dyDescent="0.2">
      <c r="C284" s="75"/>
      <c r="D284" s="75"/>
      <c r="E284" s="75"/>
      <c r="I284" s="114"/>
      <c r="J284" s="114"/>
      <c r="K284" s="114"/>
      <c r="L284" s="114"/>
      <c r="M284" s="114"/>
      <c r="N284" s="114"/>
      <c r="O284" s="114"/>
      <c r="P284" s="114"/>
      <c r="W284" s="180"/>
      <c r="X284" s="161"/>
      <c r="Y284" s="160"/>
    </row>
    <row r="285" spans="1:27" ht="16" customHeight="1" x14ac:dyDescent="0.2">
      <c r="A285" s="72" t="s">
        <v>761</v>
      </c>
      <c r="B285" s="72" t="s">
        <v>762</v>
      </c>
      <c r="C285" s="44" t="s">
        <v>763</v>
      </c>
      <c r="D285" s="221" t="s">
        <v>764</v>
      </c>
      <c r="F285" s="72"/>
      <c r="G285" s="72"/>
      <c r="I285" s="113" t="s">
        <v>40</v>
      </c>
      <c r="J285" s="113"/>
      <c r="K285" s="113"/>
      <c r="L285" s="113"/>
      <c r="M285" s="113" t="s">
        <v>63</v>
      </c>
      <c r="N285" s="113"/>
      <c r="O285" s="113"/>
      <c r="P285" s="113"/>
      <c r="U285" s="45" t="s">
        <v>52</v>
      </c>
      <c r="W285" s="180"/>
      <c r="Y285" s="157"/>
    </row>
    <row r="286" spans="1:27" ht="48" customHeight="1" x14ac:dyDescent="0.2">
      <c r="A286" s="45" t="s">
        <v>57</v>
      </c>
      <c r="B286" s="45" t="s">
        <v>765</v>
      </c>
      <c r="C286" s="46" t="s">
        <v>766</v>
      </c>
      <c r="D286" s="269" t="s">
        <v>767</v>
      </c>
      <c r="E286" s="176"/>
      <c r="H286" s="177"/>
      <c r="I286" s="120" t="s">
        <v>768</v>
      </c>
      <c r="M286" s="120" t="s">
        <v>769</v>
      </c>
      <c r="W286" s="180"/>
      <c r="Y286" s="157"/>
    </row>
    <row r="287" spans="1:27" s="73" customFormat="1" ht="16" customHeight="1" x14ac:dyDescent="0.2">
      <c r="A287" s="73" t="s">
        <v>72</v>
      </c>
      <c r="B287" s="73" t="s">
        <v>770</v>
      </c>
      <c r="C287" s="47" t="s">
        <v>771</v>
      </c>
      <c r="D287" s="47" t="s">
        <v>772</v>
      </c>
      <c r="E287" s="95"/>
      <c r="F287" s="73" t="s">
        <v>773</v>
      </c>
      <c r="G287" s="73" t="s">
        <v>774</v>
      </c>
      <c r="H287" s="97"/>
      <c r="I287" s="125" t="s">
        <v>51</v>
      </c>
      <c r="J287" s="125"/>
      <c r="K287" s="125"/>
      <c r="L287" s="125"/>
      <c r="M287" s="125"/>
      <c r="N287" s="125"/>
      <c r="O287" s="125"/>
      <c r="P287" s="125"/>
      <c r="U287" s="73" t="s">
        <v>52</v>
      </c>
      <c r="W287" s="180"/>
      <c r="X287" s="104"/>
      <c r="Y287" s="157"/>
      <c r="Z287" s="157" t="str">
        <f>IF(AND(W287&lt;&gt;"",U287="yes"),W287*X287,"")</f>
        <v/>
      </c>
    </row>
    <row r="288" spans="1:27" x14ac:dyDescent="0.2">
      <c r="A288" s="72" t="s">
        <v>26</v>
      </c>
      <c r="B288" s="72" t="s">
        <v>775</v>
      </c>
      <c r="C288" s="44"/>
      <c r="D288" s="44"/>
      <c r="F288" s="72"/>
      <c r="G288" s="72"/>
      <c r="I288" s="113" t="s">
        <v>51</v>
      </c>
      <c r="J288" s="113"/>
      <c r="K288" s="113"/>
      <c r="L288" s="113"/>
      <c r="M288" s="113"/>
      <c r="N288" s="113"/>
      <c r="O288" s="113"/>
      <c r="P288" s="113" t="s">
        <v>776</v>
      </c>
      <c r="U288" s="45" t="s">
        <v>52</v>
      </c>
      <c r="W288" s="180"/>
    </row>
    <row r="289" spans="19:26" x14ac:dyDescent="0.2">
      <c r="W289" s="180"/>
    </row>
    <row r="293" spans="19:26" ht="16" customHeight="1" thickBot="1" x14ac:dyDescent="0.25"/>
    <row r="294" spans="19:26" ht="17" customHeight="1" thickBot="1" x14ac:dyDescent="0.25">
      <c r="S294" s="188" t="s">
        <v>777</v>
      </c>
      <c r="T294" s="189"/>
      <c r="U294" s="189"/>
      <c r="V294" s="189"/>
      <c r="W294" s="182"/>
      <c r="X294" s="162"/>
      <c r="Y294" s="163">
        <f>(SUM(Y4:Y281)/60)</f>
        <v>31.804284168599477</v>
      </c>
      <c r="Z294" s="163">
        <f>(SUM(Z4:Z49)+AVERAGE(Z50:Z52)+SUM(Z53:Z281))/60</f>
        <v>17.374864741472127</v>
      </c>
    </row>
  </sheetData>
  <sheetProtection algorithmName="SHA-512" hashValue="uBaZb0lqln/zLaxg5nciVDkN7JJ33DRID01VRCG/ic5LTXgT6mIHqZwHLrDrFZ2f7RylpcrlBAKwCxBQqY4aCw==" saltValue="9uVTL8EhMVUVCQ4sahAmhQ==" spinCount="100000" sheet="1" objects="1" scenarios="1"/>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04"/>
  <sheetViews>
    <sheetView zoomScale="110" zoomScaleNormal="110" workbookViewId="0">
      <pane ySplit="1" topLeftCell="A2" activePane="bottomLeft" state="frozen"/>
      <selection pane="bottomLeft" activeCell="C13" sqref="C13:C56"/>
    </sheetView>
  </sheetViews>
  <sheetFormatPr baseColWidth="10" defaultColWidth="8.83203125" defaultRowHeight="15" x14ac:dyDescent="0.2"/>
  <cols>
    <col min="1" max="1" width="15" style="3" customWidth="1"/>
    <col min="2" max="2" width="30" style="3" customWidth="1"/>
    <col min="3" max="4" width="27.1640625" style="3" customWidth="1"/>
    <col min="5" max="5" width="20" style="3" customWidth="1"/>
    <col min="6" max="6" width="16.1640625" style="3" customWidth="1"/>
    <col min="7" max="8" width="8.83203125" style="3" customWidth="1"/>
    <col min="9" max="16384" width="8.83203125" style="3"/>
  </cols>
  <sheetData>
    <row r="1" spans="1:6" x14ac:dyDescent="0.2">
      <c r="A1" s="6" t="s">
        <v>778</v>
      </c>
      <c r="B1" s="6" t="s">
        <v>1</v>
      </c>
      <c r="C1" s="6" t="s">
        <v>2</v>
      </c>
      <c r="D1" s="6" t="s">
        <v>3</v>
      </c>
      <c r="E1" s="1" t="s">
        <v>4</v>
      </c>
      <c r="F1" s="6" t="s">
        <v>779</v>
      </c>
    </row>
    <row r="2" spans="1:6" x14ac:dyDescent="0.2">
      <c r="A2" s="14" t="s">
        <v>780</v>
      </c>
      <c r="B2" s="286" t="s">
        <v>781</v>
      </c>
      <c r="C2" s="16" t="s">
        <v>782</v>
      </c>
      <c r="D2" s="16" t="s">
        <v>782</v>
      </c>
      <c r="E2" s="287"/>
      <c r="F2" s="288"/>
    </row>
    <row r="3" spans="1:6" x14ac:dyDescent="0.2">
      <c r="A3" s="14" t="s">
        <v>780</v>
      </c>
      <c r="B3" s="286" t="s">
        <v>783</v>
      </c>
      <c r="C3" s="16" t="s">
        <v>784</v>
      </c>
      <c r="D3" s="16" t="s">
        <v>784</v>
      </c>
      <c r="E3" s="287"/>
      <c r="F3" s="288"/>
    </row>
    <row r="4" spans="1:6" x14ac:dyDescent="0.2">
      <c r="A4" s="14" t="s">
        <v>780</v>
      </c>
      <c r="B4" s="286" t="s">
        <v>785</v>
      </c>
      <c r="C4" s="16" t="s">
        <v>786</v>
      </c>
      <c r="D4" s="16" t="s">
        <v>786</v>
      </c>
      <c r="E4" s="287"/>
      <c r="F4" s="288"/>
    </row>
    <row r="5" spans="1:6" x14ac:dyDescent="0.2">
      <c r="A5" s="14" t="s">
        <v>780</v>
      </c>
      <c r="B5" s="286" t="s">
        <v>787</v>
      </c>
      <c r="C5" s="16" t="s">
        <v>788</v>
      </c>
      <c r="D5" s="16" t="s">
        <v>788</v>
      </c>
      <c r="E5" s="287"/>
      <c r="F5" s="288"/>
    </row>
    <row r="6" spans="1:6" x14ac:dyDescent="0.2">
      <c r="A6" s="14" t="s">
        <v>780</v>
      </c>
      <c r="B6" s="286" t="s">
        <v>789</v>
      </c>
      <c r="C6" s="16" t="s">
        <v>790</v>
      </c>
      <c r="D6" s="16" t="s">
        <v>790</v>
      </c>
      <c r="E6" s="287"/>
      <c r="F6" s="288"/>
    </row>
    <row r="7" spans="1:6" x14ac:dyDescent="0.2">
      <c r="A7" s="14" t="s">
        <v>780</v>
      </c>
      <c r="B7" s="286" t="s">
        <v>791</v>
      </c>
      <c r="C7" s="16" t="s">
        <v>792</v>
      </c>
      <c r="D7" s="16" t="s">
        <v>792</v>
      </c>
      <c r="E7" s="287"/>
      <c r="F7" s="288"/>
    </row>
    <row r="8" spans="1:6" x14ac:dyDescent="0.2">
      <c r="A8" s="14" t="s">
        <v>780</v>
      </c>
      <c r="B8" s="286" t="s">
        <v>793</v>
      </c>
      <c r="C8" s="16" t="s">
        <v>794</v>
      </c>
      <c r="D8" s="16" t="s">
        <v>794</v>
      </c>
      <c r="E8" s="287"/>
      <c r="F8" s="288"/>
    </row>
    <row r="9" spans="1:6" x14ac:dyDescent="0.2">
      <c r="A9" s="14" t="s">
        <v>780</v>
      </c>
      <c r="B9" s="286" t="s">
        <v>795</v>
      </c>
      <c r="C9" s="16" t="s">
        <v>796</v>
      </c>
      <c r="D9" s="16" t="s">
        <v>796</v>
      </c>
      <c r="E9" s="287"/>
      <c r="F9" s="288"/>
    </row>
    <row r="10" spans="1:6" x14ac:dyDescent="0.2">
      <c r="A10" s="14" t="s">
        <v>780</v>
      </c>
      <c r="B10" s="286" t="s">
        <v>797</v>
      </c>
      <c r="C10" s="16" t="s">
        <v>798</v>
      </c>
      <c r="D10" s="16" t="s">
        <v>798</v>
      </c>
      <c r="E10" s="287"/>
      <c r="F10" s="288"/>
    </row>
    <row r="11" spans="1:6" x14ac:dyDescent="0.2">
      <c r="A11" s="14" t="s">
        <v>780</v>
      </c>
      <c r="B11" s="286" t="s">
        <v>799</v>
      </c>
      <c r="C11" s="16" t="s">
        <v>800</v>
      </c>
      <c r="D11" s="16" t="s">
        <v>800</v>
      </c>
      <c r="E11" s="1"/>
      <c r="F11" s="6"/>
    </row>
    <row r="12" spans="1:6" x14ac:dyDescent="0.2">
      <c r="A12" s="6"/>
      <c r="B12" s="6"/>
      <c r="C12" s="6"/>
      <c r="D12" s="6"/>
      <c r="E12" s="1"/>
      <c r="F12" s="6"/>
    </row>
    <row r="13" spans="1:6" x14ac:dyDescent="0.2">
      <c r="A13" t="s">
        <v>37</v>
      </c>
      <c r="B13" s="3">
        <v>1</v>
      </c>
      <c r="C13" s="5" t="s">
        <v>801</v>
      </c>
      <c r="D13" s="5" t="s">
        <v>801</v>
      </c>
      <c r="E13" s="4"/>
      <c r="F13" s="4" t="s">
        <v>781</v>
      </c>
    </row>
    <row r="14" spans="1:6" x14ac:dyDescent="0.2">
      <c r="A14" t="s">
        <v>37</v>
      </c>
      <c r="B14" s="3">
        <v>2</v>
      </c>
      <c r="C14" s="5" t="s">
        <v>802</v>
      </c>
      <c r="D14" s="5" t="s">
        <v>802</v>
      </c>
      <c r="E14" s="4"/>
      <c r="F14" s="4" t="s">
        <v>781</v>
      </c>
    </row>
    <row r="15" spans="1:6" x14ac:dyDescent="0.2">
      <c r="A15" t="s">
        <v>37</v>
      </c>
      <c r="B15" s="3">
        <v>3</v>
      </c>
      <c r="C15" s="5" t="s">
        <v>803</v>
      </c>
      <c r="D15" s="5" t="s">
        <v>803</v>
      </c>
      <c r="E15" s="4"/>
      <c r="F15" s="4" t="s">
        <v>781</v>
      </c>
    </row>
    <row r="16" spans="1:6" x14ac:dyDescent="0.2">
      <c r="A16" t="s">
        <v>37</v>
      </c>
      <c r="B16" s="3">
        <v>4</v>
      </c>
      <c r="C16" s="5" t="s">
        <v>804</v>
      </c>
      <c r="D16" s="5" t="s">
        <v>804</v>
      </c>
      <c r="E16" s="4"/>
      <c r="F16" s="4" t="s">
        <v>781</v>
      </c>
    </row>
    <row r="17" spans="1:6" x14ac:dyDescent="0.2">
      <c r="A17" t="s">
        <v>37</v>
      </c>
      <c r="B17" s="3">
        <v>5</v>
      </c>
      <c r="C17" s="5" t="s">
        <v>805</v>
      </c>
      <c r="D17" s="5" t="s">
        <v>805</v>
      </c>
      <c r="E17" s="4"/>
      <c r="F17" s="4" t="s">
        <v>781</v>
      </c>
    </row>
    <row r="18" spans="1:6" x14ac:dyDescent="0.2">
      <c r="A18" t="s">
        <v>37</v>
      </c>
      <c r="B18" s="3">
        <v>6</v>
      </c>
      <c r="C18" s="5" t="s">
        <v>806</v>
      </c>
      <c r="D18" s="5" t="s">
        <v>806</v>
      </c>
      <c r="E18" s="4"/>
      <c r="F18" s="4" t="s">
        <v>781</v>
      </c>
    </row>
    <row r="19" spans="1:6" x14ac:dyDescent="0.2">
      <c r="A19" t="s">
        <v>37</v>
      </c>
      <c r="B19" s="3">
        <v>7</v>
      </c>
      <c r="C19" s="5" t="s">
        <v>807</v>
      </c>
      <c r="D19" s="5" t="s">
        <v>807</v>
      </c>
      <c r="E19" s="4"/>
      <c r="F19" s="4" t="s">
        <v>783</v>
      </c>
    </row>
    <row r="20" spans="1:6" x14ac:dyDescent="0.2">
      <c r="A20" t="s">
        <v>37</v>
      </c>
      <c r="B20" s="3">
        <v>8</v>
      </c>
      <c r="C20" s="5" t="s">
        <v>808</v>
      </c>
      <c r="D20" s="5" t="s">
        <v>808</v>
      </c>
      <c r="E20" s="4"/>
      <c r="F20" s="4" t="s">
        <v>783</v>
      </c>
    </row>
    <row r="21" spans="1:6" x14ac:dyDescent="0.2">
      <c r="A21" t="s">
        <v>37</v>
      </c>
      <c r="B21" s="3">
        <v>9</v>
      </c>
      <c r="C21" s="5" t="s">
        <v>809</v>
      </c>
      <c r="D21" s="5" t="s">
        <v>809</v>
      </c>
      <c r="E21" s="4"/>
      <c r="F21" s="4" t="s">
        <v>783</v>
      </c>
    </row>
    <row r="22" spans="1:6" x14ac:dyDescent="0.2">
      <c r="A22" t="s">
        <v>37</v>
      </c>
      <c r="B22" s="3">
        <v>10</v>
      </c>
      <c r="C22" s="5" t="s">
        <v>810</v>
      </c>
      <c r="D22" s="5" t="s">
        <v>810</v>
      </c>
      <c r="E22" s="4"/>
      <c r="F22" s="4" t="s">
        <v>783</v>
      </c>
    </row>
    <row r="23" spans="1:6" x14ac:dyDescent="0.2">
      <c r="A23" t="s">
        <v>37</v>
      </c>
      <c r="B23" s="3">
        <v>11</v>
      </c>
      <c r="C23" s="5" t="s">
        <v>811</v>
      </c>
      <c r="D23" s="5" t="s">
        <v>811</v>
      </c>
      <c r="E23" s="4"/>
      <c r="F23" s="4" t="s">
        <v>783</v>
      </c>
    </row>
    <row r="24" spans="1:6" x14ac:dyDescent="0.2">
      <c r="A24" t="s">
        <v>37</v>
      </c>
      <c r="B24" s="3">
        <v>12</v>
      </c>
      <c r="C24" s="5" t="s">
        <v>812</v>
      </c>
      <c r="D24" s="5" t="s">
        <v>812</v>
      </c>
      <c r="E24" s="4"/>
      <c r="F24" s="4" t="s">
        <v>785</v>
      </c>
    </row>
    <row r="25" spans="1:6" x14ac:dyDescent="0.2">
      <c r="A25" t="s">
        <v>37</v>
      </c>
      <c r="B25" s="3">
        <v>13</v>
      </c>
      <c r="C25" s="5" t="s">
        <v>813</v>
      </c>
      <c r="D25" s="5" t="s">
        <v>813</v>
      </c>
      <c r="E25" s="4"/>
      <c r="F25" s="4" t="s">
        <v>785</v>
      </c>
    </row>
    <row r="26" spans="1:6" x14ac:dyDescent="0.2">
      <c r="A26" t="s">
        <v>37</v>
      </c>
      <c r="B26" s="3">
        <v>14</v>
      </c>
      <c r="C26" s="5" t="s">
        <v>814</v>
      </c>
      <c r="D26" s="5" t="s">
        <v>814</v>
      </c>
      <c r="E26" s="4"/>
      <c r="F26" s="4" t="s">
        <v>785</v>
      </c>
    </row>
    <row r="27" spans="1:6" x14ac:dyDescent="0.2">
      <c r="A27" t="s">
        <v>37</v>
      </c>
      <c r="B27" s="3">
        <v>15</v>
      </c>
      <c r="C27" s="5" t="s">
        <v>815</v>
      </c>
      <c r="D27" s="5" t="s">
        <v>815</v>
      </c>
      <c r="E27" s="4"/>
      <c r="F27" s="4" t="s">
        <v>785</v>
      </c>
    </row>
    <row r="28" spans="1:6" x14ac:dyDescent="0.2">
      <c r="A28" t="s">
        <v>37</v>
      </c>
      <c r="B28" s="3">
        <v>16</v>
      </c>
      <c r="C28" s="5" t="s">
        <v>816</v>
      </c>
      <c r="D28" s="5" t="s">
        <v>816</v>
      </c>
      <c r="E28" s="4"/>
      <c r="F28" s="4" t="s">
        <v>785</v>
      </c>
    </row>
    <row r="29" spans="1:6" x14ac:dyDescent="0.2">
      <c r="A29" t="s">
        <v>37</v>
      </c>
      <c r="B29" s="3">
        <v>17</v>
      </c>
      <c r="C29" s="5" t="s">
        <v>817</v>
      </c>
      <c r="D29" s="5" t="s">
        <v>817</v>
      </c>
      <c r="E29" s="4"/>
      <c r="F29" s="4" t="s">
        <v>787</v>
      </c>
    </row>
    <row r="30" spans="1:6" x14ac:dyDescent="0.2">
      <c r="A30" t="s">
        <v>37</v>
      </c>
      <c r="B30" s="3">
        <v>18</v>
      </c>
      <c r="C30" s="5" t="s">
        <v>818</v>
      </c>
      <c r="D30" s="5" t="s">
        <v>818</v>
      </c>
      <c r="E30" s="4"/>
      <c r="F30" s="4" t="s">
        <v>787</v>
      </c>
    </row>
    <row r="31" spans="1:6" x14ac:dyDescent="0.2">
      <c r="A31" t="s">
        <v>37</v>
      </c>
      <c r="B31" s="3">
        <v>19</v>
      </c>
      <c r="C31" s="5" t="s">
        <v>819</v>
      </c>
      <c r="D31" s="5" t="s">
        <v>819</v>
      </c>
      <c r="E31" s="4"/>
      <c r="F31" s="4" t="s">
        <v>787</v>
      </c>
    </row>
    <row r="32" spans="1:6" x14ac:dyDescent="0.2">
      <c r="A32" t="s">
        <v>37</v>
      </c>
      <c r="B32" s="3">
        <v>20</v>
      </c>
      <c r="C32" s="5" t="s">
        <v>820</v>
      </c>
      <c r="D32" s="5" t="s">
        <v>820</v>
      </c>
      <c r="E32" s="4"/>
      <c r="F32" s="4" t="s">
        <v>787</v>
      </c>
    </row>
    <row r="33" spans="1:6" x14ac:dyDescent="0.2">
      <c r="A33" t="s">
        <v>37</v>
      </c>
      <c r="B33" s="3">
        <v>21</v>
      </c>
      <c r="C33" s="5" t="s">
        <v>821</v>
      </c>
      <c r="D33" s="5" t="s">
        <v>821</v>
      </c>
      <c r="E33" s="4"/>
      <c r="F33" s="4" t="s">
        <v>787</v>
      </c>
    </row>
    <row r="34" spans="1:6" x14ac:dyDescent="0.2">
      <c r="A34" t="s">
        <v>37</v>
      </c>
      <c r="B34" s="3">
        <v>22</v>
      </c>
      <c r="C34" s="5" t="s">
        <v>822</v>
      </c>
      <c r="D34" s="5" t="s">
        <v>822</v>
      </c>
      <c r="E34" s="4"/>
      <c r="F34" s="4" t="s">
        <v>789</v>
      </c>
    </row>
    <row r="35" spans="1:6" x14ac:dyDescent="0.2">
      <c r="A35" t="s">
        <v>37</v>
      </c>
      <c r="B35" s="3">
        <v>23</v>
      </c>
      <c r="C35" s="5" t="s">
        <v>823</v>
      </c>
      <c r="D35" s="5" t="s">
        <v>823</v>
      </c>
      <c r="E35" s="4"/>
      <c r="F35" s="4" t="s">
        <v>789</v>
      </c>
    </row>
    <row r="36" spans="1:6" x14ac:dyDescent="0.2">
      <c r="A36" t="s">
        <v>37</v>
      </c>
      <c r="B36" s="3">
        <v>24</v>
      </c>
      <c r="C36" s="5" t="s">
        <v>824</v>
      </c>
      <c r="D36" s="5" t="s">
        <v>824</v>
      </c>
      <c r="E36" s="4"/>
      <c r="F36" s="4" t="s">
        <v>789</v>
      </c>
    </row>
    <row r="37" spans="1:6" x14ac:dyDescent="0.2">
      <c r="A37" t="s">
        <v>37</v>
      </c>
      <c r="B37" s="3">
        <v>25</v>
      </c>
      <c r="C37" s="5" t="s">
        <v>825</v>
      </c>
      <c r="D37" s="5" t="s">
        <v>825</v>
      </c>
      <c r="E37" s="4"/>
      <c r="F37" s="4" t="s">
        <v>789</v>
      </c>
    </row>
    <row r="38" spans="1:6" x14ac:dyDescent="0.2">
      <c r="A38" t="s">
        <v>37</v>
      </c>
      <c r="B38" s="3">
        <v>26</v>
      </c>
      <c r="C38" s="5" t="s">
        <v>826</v>
      </c>
      <c r="D38" s="5" t="s">
        <v>826</v>
      </c>
      <c r="E38" s="4"/>
      <c r="F38" s="4" t="s">
        <v>789</v>
      </c>
    </row>
    <row r="39" spans="1:6" x14ac:dyDescent="0.2">
      <c r="A39" t="s">
        <v>37</v>
      </c>
      <c r="B39" s="3">
        <v>27</v>
      </c>
      <c r="C39" s="5" t="s">
        <v>827</v>
      </c>
      <c r="D39" s="5" t="s">
        <v>827</v>
      </c>
      <c r="E39" s="4"/>
      <c r="F39" s="4" t="s">
        <v>791</v>
      </c>
    </row>
    <row r="40" spans="1:6" x14ac:dyDescent="0.2">
      <c r="A40" t="s">
        <v>37</v>
      </c>
      <c r="B40" s="3">
        <v>28</v>
      </c>
      <c r="C40" s="5" t="s">
        <v>828</v>
      </c>
      <c r="D40" s="5" t="s">
        <v>828</v>
      </c>
      <c r="E40" s="4"/>
      <c r="F40" s="4" t="s">
        <v>791</v>
      </c>
    </row>
    <row r="41" spans="1:6" x14ac:dyDescent="0.2">
      <c r="A41" t="s">
        <v>37</v>
      </c>
      <c r="B41" s="3">
        <v>29</v>
      </c>
      <c r="C41" s="5" t="s">
        <v>829</v>
      </c>
      <c r="D41" s="5" t="s">
        <v>829</v>
      </c>
      <c r="E41" s="4"/>
      <c r="F41" s="4" t="s">
        <v>791</v>
      </c>
    </row>
    <row r="42" spans="1:6" x14ac:dyDescent="0.2">
      <c r="A42" t="s">
        <v>37</v>
      </c>
      <c r="B42" s="3">
        <v>30</v>
      </c>
      <c r="C42" s="5" t="s">
        <v>830</v>
      </c>
      <c r="D42" s="5" t="s">
        <v>830</v>
      </c>
      <c r="E42" s="4"/>
      <c r="F42" s="4" t="s">
        <v>791</v>
      </c>
    </row>
    <row r="43" spans="1:6" x14ac:dyDescent="0.2">
      <c r="A43" t="s">
        <v>37</v>
      </c>
      <c r="B43" s="3">
        <v>31</v>
      </c>
      <c r="C43" s="5" t="s">
        <v>831</v>
      </c>
      <c r="D43" s="5" t="s">
        <v>831</v>
      </c>
      <c r="E43" s="4"/>
      <c r="F43" s="4" t="s">
        <v>791</v>
      </c>
    </row>
    <row r="44" spans="1:6" x14ac:dyDescent="0.2">
      <c r="A44" t="s">
        <v>37</v>
      </c>
      <c r="B44" s="3">
        <v>32</v>
      </c>
      <c r="C44" s="5" t="s">
        <v>832</v>
      </c>
      <c r="D44" s="5" t="s">
        <v>832</v>
      </c>
      <c r="E44" s="4"/>
      <c r="F44" s="4" t="s">
        <v>793</v>
      </c>
    </row>
    <row r="45" spans="1:6" x14ac:dyDescent="0.2">
      <c r="A45" t="s">
        <v>37</v>
      </c>
      <c r="B45" s="3">
        <v>33</v>
      </c>
      <c r="C45" s="5" t="s">
        <v>833</v>
      </c>
      <c r="D45" s="5" t="s">
        <v>833</v>
      </c>
      <c r="E45" s="4"/>
      <c r="F45" s="4" t="s">
        <v>793</v>
      </c>
    </row>
    <row r="46" spans="1:6" x14ac:dyDescent="0.2">
      <c r="A46" t="s">
        <v>37</v>
      </c>
      <c r="B46" s="3">
        <v>34</v>
      </c>
      <c r="C46" s="5" t="s">
        <v>834</v>
      </c>
      <c r="D46" s="5" t="s">
        <v>834</v>
      </c>
      <c r="E46" s="4"/>
      <c r="F46" s="4" t="s">
        <v>793</v>
      </c>
    </row>
    <row r="47" spans="1:6" x14ac:dyDescent="0.2">
      <c r="A47" t="s">
        <v>37</v>
      </c>
      <c r="B47" s="3">
        <v>35</v>
      </c>
      <c r="C47" s="5" t="s">
        <v>835</v>
      </c>
      <c r="D47" s="5" t="s">
        <v>835</v>
      </c>
      <c r="E47" s="4"/>
      <c r="F47" s="4" t="s">
        <v>793</v>
      </c>
    </row>
    <row r="48" spans="1:6" x14ac:dyDescent="0.2">
      <c r="A48" t="s">
        <v>37</v>
      </c>
      <c r="B48" s="3">
        <v>36</v>
      </c>
      <c r="C48" s="5" t="s">
        <v>836</v>
      </c>
      <c r="D48" s="5" t="s">
        <v>836</v>
      </c>
      <c r="E48" s="4"/>
      <c r="F48" s="4" t="s">
        <v>793</v>
      </c>
    </row>
    <row r="49" spans="1:6" x14ac:dyDescent="0.2">
      <c r="A49" t="s">
        <v>37</v>
      </c>
      <c r="B49" s="3">
        <v>37</v>
      </c>
      <c r="C49" s="5" t="s">
        <v>837</v>
      </c>
      <c r="D49" s="5" t="s">
        <v>837</v>
      </c>
      <c r="E49" s="4"/>
      <c r="F49" s="4" t="s">
        <v>795</v>
      </c>
    </row>
    <row r="50" spans="1:6" x14ac:dyDescent="0.2">
      <c r="A50" t="s">
        <v>37</v>
      </c>
      <c r="B50" s="3">
        <v>38</v>
      </c>
      <c r="C50" s="5" t="s">
        <v>838</v>
      </c>
      <c r="D50" s="5" t="s">
        <v>838</v>
      </c>
      <c r="E50" s="4"/>
      <c r="F50" s="4" t="s">
        <v>795</v>
      </c>
    </row>
    <row r="51" spans="1:6" x14ac:dyDescent="0.2">
      <c r="A51" t="s">
        <v>37</v>
      </c>
      <c r="B51" s="3">
        <v>39</v>
      </c>
      <c r="C51" s="5" t="s">
        <v>839</v>
      </c>
      <c r="D51" s="5" t="s">
        <v>839</v>
      </c>
      <c r="E51" s="4"/>
      <c r="F51" s="4" t="s">
        <v>795</v>
      </c>
    </row>
    <row r="52" spans="1:6" x14ac:dyDescent="0.2">
      <c r="A52" t="s">
        <v>37</v>
      </c>
      <c r="B52" s="3">
        <v>40</v>
      </c>
      <c r="C52" s="5" t="s">
        <v>840</v>
      </c>
      <c r="D52" s="5" t="s">
        <v>840</v>
      </c>
      <c r="E52" s="4"/>
      <c r="F52" s="4" t="s">
        <v>795</v>
      </c>
    </row>
    <row r="53" spans="1:6" x14ac:dyDescent="0.2">
      <c r="A53" t="s">
        <v>37</v>
      </c>
      <c r="B53" s="3">
        <v>41</v>
      </c>
      <c r="C53" s="5" t="s">
        <v>841</v>
      </c>
      <c r="D53" s="5" t="s">
        <v>841</v>
      </c>
      <c r="E53" s="4"/>
      <c r="F53" s="4" t="s">
        <v>799</v>
      </c>
    </row>
    <row r="54" spans="1:6" x14ac:dyDescent="0.2">
      <c r="A54" t="s">
        <v>37</v>
      </c>
      <c r="B54" s="3">
        <v>42</v>
      </c>
      <c r="C54" s="5" t="s">
        <v>842</v>
      </c>
      <c r="D54" s="5" t="s">
        <v>842</v>
      </c>
      <c r="E54" s="4"/>
      <c r="F54" s="4" t="s">
        <v>799</v>
      </c>
    </row>
    <row r="55" spans="1:6" x14ac:dyDescent="0.2">
      <c r="A55" t="s">
        <v>37</v>
      </c>
      <c r="B55" s="3">
        <v>43</v>
      </c>
      <c r="C55" s="5" t="s">
        <v>843</v>
      </c>
      <c r="D55" s="5" t="s">
        <v>843</v>
      </c>
      <c r="E55" s="4"/>
      <c r="F55" s="4" t="s">
        <v>799</v>
      </c>
    </row>
    <row r="56" spans="1:6" x14ac:dyDescent="0.2">
      <c r="A56" t="s">
        <v>37</v>
      </c>
      <c r="B56" s="3">
        <v>44</v>
      </c>
      <c r="C56" s="5" t="s">
        <v>844</v>
      </c>
      <c r="D56" s="5" t="s">
        <v>844</v>
      </c>
      <c r="E56" s="4"/>
      <c r="F56" s="4" t="s">
        <v>799</v>
      </c>
    </row>
    <row r="57" spans="1:6" x14ac:dyDescent="0.2">
      <c r="C57" s="5"/>
      <c r="D57" s="5"/>
      <c r="E57" s="4"/>
      <c r="F57" s="195"/>
    </row>
    <row r="58" spans="1:6" x14ac:dyDescent="0.2">
      <c r="C58" s="5"/>
      <c r="D58" s="5"/>
      <c r="E58" s="4"/>
      <c r="F58" s="195"/>
    </row>
    <row r="59" spans="1:6" x14ac:dyDescent="0.2">
      <c r="A59" t="s">
        <v>845</v>
      </c>
      <c r="B59">
        <v>1</v>
      </c>
      <c r="C59" t="s">
        <v>846</v>
      </c>
      <c r="D59" t="s">
        <v>847</v>
      </c>
      <c r="E59" s="4"/>
    </row>
    <row r="60" spans="1:6" x14ac:dyDescent="0.2">
      <c r="A60" t="s">
        <v>845</v>
      </c>
      <c r="B60">
        <v>2</v>
      </c>
      <c r="C60" t="s">
        <v>848</v>
      </c>
      <c r="D60" t="s">
        <v>849</v>
      </c>
      <c r="E60" s="4"/>
    </row>
    <row r="61" spans="1:6" x14ac:dyDescent="0.2">
      <c r="A61" t="s">
        <v>845</v>
      </c>
      <c r="B61" s="18">
        <v>3</v>
      </c>
      <c r="C61" t="s">
        <v>850</v>
      </c>
      <c r="D61" t="s">
        <v>851</v>
      </c>
      <c r="E61" s="4"/>
    </row>
    <row r="62" spans="1:6" x14ac:dyDescent="0.2">
      <c r="A62" t="s">
        <v>845</v>
      </c>
      <c r="B62" s="18">
        <v>4</v>
      </c>
      <c r="C62" t="s">
        <v>852</v>
      </c>
      <c r="D62" t="s">
        <v>853</v>
      </c>
      <c r="E62" s="4"/>
    </row>
    <row r="63" spans="1:6" x14ac:dyDescent="0.2">
      <c r="E63" s="4"/>
    </row>
    <row r="64" spans="1:6" x14ac:dyDescent="0.2">
      <c r="A64" t="s">
        <v>854</v>
      </c>
      <c r="B64" t="s">
        <v>854</v>
      </c>
      <c r="C64" t="s">
        <v>854</v>
      </c>
      <c r="D64" t="s">
        <v>855</v>
      </c>
      <c r="E64" s="4"/>
    </row>
    <row r="65" spans="1:5" x14ac:dyDescent="0.2">
      <c r="E65" s="4"/>
    </row>
    <row r="66" spans="1:5" x14ac:dyDescent="0.2">
      <c r="A66" t="s">
        <v>856</v>
      </c>
      <c r="B66">
        <v>1</v>
      </c>
      <c r="C66" t="s">
        <v>846</v>
      </c>
      <c r="D66" t="s">
        <v>847</v>
      </c>
      <c r="E66" s="4"/>
    </row>
    <row r="67" spans="1:5" x14ac:dyDescent="0.2">
      <c r="A67" t="s">
        <v>856</v>
      </c>
      <c r="B67">
        <v>2</v>
      </c>
      <c r="C67" t="s">
        <v>848</v>
      </c>
      <c r="D67" t="s">
        <v>849</v>
      </c>
      <c r="E67" s="4"/>
    </row>
    <row r="68" spans="1:5" x14ac:dyDescent="0.2">
      <c r="E68" s="4"/>
    </row>
    <row r="69" spans="1:5" s="11" customFormat="1" x14ac:dyDescent="0.2">
      <c r="A69" s="17" t="s">
        <v>857</v>
      </c>
      <c r="B69" s="17" t="s">
        <v>858</v>
      </c>
      <c r="C69" s="17" t="s">
        <v>859</v>
      </c>
      <c r="D69" s="17" t="s">
        <v>859</v>
      </c>
      <c r="E69" s="7"/>
    </row>
    <row r="70" spans="1:5" s="11" customFormat="1" x14ac:dyDescent="0.2">
      <c r="A70" s="15" t="s">
        <v>857</v>
      </c>
      <c r="B70" s="15" t="s">
        <v>860</v>
      </c>
      <c r="C70" s="15" t="s">
        <v>861</v>
      </c>
      <c r="D70" s="17" t="s">
        <v>862</v>
      </c>
      <c r="E70" s="7"/>
    </row>
    <row r="71" spans="1:5" s="11" customFormat="1" x14ac:dyDescent="0.2">
      <c r="A71" s="15" t="s">
        <v>857</v>
      </c>
      <c r="B71" s="5" t="s">
        <v>863</v>
      </c>
      <c r="C71" s="5" t="s">
        <v>863</v>
      </c>
      <c r="D71" s="5" t="s">
        <v>863</v>
      </c>
      <c r="E71" s="7"/>
    </row>
    <row r="72" spans="1:5" x14ac:dyDescent="0.2">
      <c r="E72" s="4"/>
    </row>
    <row r="73" spans="1:5" x14ac:dyDescent="0.2">
      <c r="A73" t="s">
        <v>864</v>
      </c>
      <c r="B73">
        <v>1</v>
      </c>
      <c r="C73" t="s">
        <v>865</v>
      </c>
      <c r="D73" t="s">
        <v>866</v>
      </c>
      <c r="E73" s="4"/>
    </row>
    <row r="74" spans="1:5" x14ac:dyDescent="0.2">
      <c r="A74" t="s">
        <v>864</v>
      </c>
      <c r="B74">
        <v>2</v>
      </c>
      <c r="C74" t="s">
        <v>867</v>
      </c>
      <c r="D74" t="s">
        <v>868</v>
      </c>
      <c r="E74" s="4"/>
    </row>
    <row r="75" spans="1:5" x14ac:dyDescent="0.2">
      <c r="A75" t="s">
        <v>864</v>
      </c>
      <c r="B75" s="18">
        <v>3</v>
      </c>
      <c r="C75" s="17" t="s">
        <v>850</v>
      </c>
      <c r="D75" s="17" t="s">
        <v>851</v>
      </c>
      <c r="E75" s="4"/>
    </row>
    <row r="76" spans="1:5" x14ac:dyDescent="0.2">
      <c r="A76" t="s">
        <v>864</v>
      </c>
      <c r="B76" s="18">
        <v>4</v>
      </c>
      <c r="C76" s="17" t="s">
        <v>852</v>
      </c>
      <c r="D76" s="17" t="s">
        <v>853</v>
      </c>
      <c r="E76" s="4"/>
    </row>
    <row r="77" spans="1:5" x14ac:dyDescent="0.2">
      <c r="C77" s="15"/>
      <c r="D77" s="15"/>
      <c r="E77" s="4"/>
    </row>
    <row r="78" spans="1:5" x14ac:dyDescent="0.2">
      <c r="A78" t="s">
        <v>869</v>
      </c>
      <c r="B78">
        <v>1</v>
      </c>
      <c r="C78" s="17" t="s">
        <v>870</v>
      </c>
      <c r="D78" s="17" t="s">
        <v>871</v>
      </c>
      <c r="E78" s="4"/>
    </row>
    <row r="79" spans="1:5" x14ac:dyDescent="0.2">
      <c r="A79" t="s">
        <v>869</v>
      </c>
      <c r="B79">
        <v>2</v>
      </c>
      <c r="C79" s="3" t="s">
        <v>872</v>
      </c>
      <c r="D79" s="3" t="s">
        <v>873</v>
      </c>
      <c r="E79" s="4"/>
    </row>
    <row r="80" spans="1:5" x14ac:dyDescent="0.2">
      <c r="A80" t="s">
        <v>869</v>
      </c>
      <c r="B80">
        <v>3</v>
      </c>
      <c r="C80" s="17" t="s">
        <v>874</v>
      </c>
      <c r="D80" s="17" t="s">
        <v>875</v>
      </c>
      <c r="E80" s="4"/>
    </row>
    <row r="81" spans="1:5" x14ac:dyDescent="0.2">
      <c r="A81" t="s">
        <v>869</v>
      </c>
      <c r="B81">
        <v>4</v>
      </c>
      <c r="C81" s="17" t="s">
        <v>876</v>
      </c>
      <c r="D81" s="17" t="s">
        <v>849</v>
      </c>
      <c r="E81" s="4"/>
    </row>
    <row r="82" spans="1:5" x14ac:dyDescent="0.2">
      <c r="C82" s="15"/>
      <c r="E82" s="4"/>
    </row>
    <row r="83" spans="1:5" x14ac:dyDescent="0.2">
      <c r="A83" t="s">
        <v>877</v>
      </c>
      <c r="B83">
        <v>1</v>
      </c>
      <c r="C83" t="s">
        <v>878</v>
      </c>
      <c r="D83" s="17" t="s">
        <v>879</v>
      </c>
      <c r="E83" s="4"/>
    </row>
    <row r="84" spans="1:5" x14ac:dyDescent="0.2">
      <c r="A84" t="s">
        <v>877</v>
      </c>
      <c r="B84">
        <v>2</v>
      </c>
      <c r="C84" t="s">
        <v>880</v>
      </c>
      <c r="D84" t="s">
        <v>881</v>
      </c>
      <c r="E84" s="4"/>
    </row>
    <row r="85" spans="1:5" x14ac:dyDescent="0.2">
      <c r="A85" t="s">
        <v>877</v>
      </c>
      <c r="B85">
        <v>3</v>
      </c>
      <c r="C85" t="s">
        <v>882</v>
      </c>
      <c r="D85" t="s">
        <v>883</v>
      </c>
      <c r="E85" s="4"/>
    </row>
    <row r="86" spans="1:5" x14ac:dyDescent="0.2">
      <c r="A86" t="s">
        <v>877</v>
      </c>
      <c r="B86">
        <v>4</v>
      </c>
      <c r="C86" t="s">
        <v>848</v>
      </c>
      <c r="D86" t="s">
        <v>849</v>
      </c>
      <c r="E86" s="4"/>
    </row>
    <row r="87" spans="1:5" x14ac:dyDescent="0.2">
      <c r="A87" t="s">
        <v>877</v>
      </c>
      <c r="B87" s="18">
        <v>5</v>
      </c>
      <c r="C87" s="17" t="s">
        <v>850</v>
      </c>
      <c r="D87" s="17" t="s">
        <v>851</v>
      </c>
      <c r="E87" s="4"/>
    </row>
    <row r="88" spans="1:5" x14ac:dyDescent="0.2">
      <c r="A88" t="s">
        <v>877</v>
      </c>
      <c r="B88" s="18">
        <v>6</v>
      </c>
      <c r="C88" t="s">
        <v>852</v>
      </c>
      <c r="D88" s="17" t="s">
        <v>853</v>
      </c>
      <c r="E88" s="4"/>
    </row>
    <row r="89" spans="1:5" x14ac:dyDescent="0.2">
      <c r="E89" s="4"/>
    </row>
    <row r="90" spans="1:5" x14ac:dyDescent="0.2">
      <c r="A90" t="s">
        <v>884</v>
      </c>
      <c r="B90">
        <v>1</v>
      </c>
      <c r="C90" s="17" t="s">
        <v>885</v>
      </c>
      <c r="D90" s="17" t="s">
        <v>886</v>
      </c>
      <c r="E90" s="4"/>
    </row>
    <row r="91" spans="1:5" x14ac:dyDescent="0.2">
      <c r="A91" t="s">
        <v>884</v>
      </c>
      <c r="B91">
        <v>2</v>
      </c>
      <c r="C91" s="17" t="s">
        <v>887</v>
      </c>
      <c r="D91" s="17" t="s">
        <v>888</v>
      </c>
      <c r="E91" s="4"/>
    </row>
    <row r="92" spans="1:5" x14ac:dyDescent="0.2">
      <c r="A92" t="s">
        <v>884</v>
      </c>
      <c r="B92">
        <v>3</v>
      </c>
      <c r="C92" s="17" t="s">
        <v>889</v>
      </c>
      <c r="D92" s="17" t="s">
        <v>890</v>
      </c>
      <c r="E92" s="4"/>
    </row>
    <row r="93" spans="1:5" x14ac:dyDescent="0.2">
      <c r="A93" t="s">
        <v>884</v>
      </c>
      <c r="B93">
        <v>4</v>
      </c>
      <c r="C93" s="17" t="s">
        <v>891</v>
      </c>
      <c r="D93" s="17" t="s">
        <v>892</v>
      </c>
      <c r="E93" s="4"/>
    </row>
    <row r="94" spans="1:5" x14ac:dyDescent="0.2">
      <c r="A94" t="s">
        <v>884</v>
      </c>
      <c r="B94">
        <v>5</v>
      </c>
      <c r="C94" s="17" t="s">
        <v>893</v>
      </c>
      <c r="D94" s="17" t="s">
        <v>894</v>
      </c>
      <c r="E94" s="4"/>
    </row>
    <row r="95" spans="1:5" x14ac:dyDescent="0.2">
      <c r="A95" t="s">
        <v>884</v>
      </c>
      <c r="B95" s="18">
        <v>6</v>
      </c>
      <c r="C95" t="s">
        <v>850</v>
      </c>
      <c r="D95" s="17" t="s">
        <v>851</v>
      </c>
      <c r="E95" s="4"/>
    </row>
    <row r="96" spans="1:5" x14ac:dyDescent="0.2">
      <c r="A96" t="s">
        <v>884</v>
      </c>
      <c r="B96" s="18">
        <v>7</v>
      </c>
      <c r="C96" t="s">
        <v>852</v>
      </c>
      <c r="D96" s="17" t="s">
        <v>853</v>
      </c>
      <c r="E96" s="4"/>
    </row>
    <row r="97" spans="1:5" x14ac:dyDescent="0.2">
      <c r="B97" s="10"/>
      <c r="E97" s="4"/>
    </row>
    <row r="98" spans="1:5" x14ac:dyDescent="0.2">
      <c r="A98" t="s">
        <v>895</v>
      </c>
      <c r="B98" s="18">
        <v>1</v>
      </c>
      <c r="C98" t="s">
        <v>896</v>
      </c>
      <c r="D98" t="s">
        <v>897</v>
      </c>
      <c r="E98" s="4"/>
    </row>
    <row r="99" spans="1:5" x14ac:dyDescent="0.2">
      <c r="A99" t="s">
        <v>895</v>
      </c>
      <c r="B99" s="18">
        <v>2</v>
      </c>
      <c r="C99" t="s">
        <v>898</v>
      </c>
      <c r="D99" t="s">
        <v>899</v>
      </c>
      <c r="E99" s="4"/>
    </row>
    <row r="100" spans="1:5" x14ac:dyDescent="0.2">
      <c r="A100" t="s">
        <v>895</v>
      </c>
      <c r="B100" s="18">
        <v>3</v>
      </c>
      <c r="C100" t="s">
        <v>900</v>
      </c>
      <c r="D100" t="s">
        <v>901</v>
      </c>
      <c r="E100" s="4"/>
    </row>
    <row r="101" spans="1:5" x14ac:dyDescent="0.2">
      <c r="A101" t="s">
        <v>895</v>
      </c>
      <c r="B101" s="18">
        <v>4</v>
      </c>
      <c r="C101" t="s">
        <v>902</v>
      </c>
      <c r="D101" t="s">
        <v>903</v>
      </c>
      <c r="E101" s="4"/>
    </row>
    <row r="102" spans="1:5" x14ac:dyDescent="0.2">
      <c r="A102" t="s">
        <v>895</v>
      </c>
      <c r="B102" s="18">
        <v>5</v>
      </c>
      <c r="C102" t="s">
        <v>904</v>
      </c>
      <c r="D102" t="s">
        <v>905</v>
      </c>
      <c r="E102" s="4"/>
    </row>
    <row r="103" spans="1:5" x14ac:dyDescent="0.2">
      <c r="A103" t="s">
        <v>895</v>
      </c>
      <c r="B103" s="18">
        <v>6</v>
      </c>
      <c r="C103" t="s">
        <v>906</v>
      </c>
      <c r="D103" t="s">
        <v>907</v>
      </c>
      <c r="E103" s="4"/>
    </row>
    <row r="104" spans="1:5" x14ac:dyDescent="0.2">
      <c r="A104" t="s">
        <v>895</v>
      </c>
      <c r="B104" s="18">
        <v>7</v>
      </c>
      <c r="C104" t="s">
        <v>908</v>
      </c>
      <c r="D104" t="s">
        <v>909</v>
      </c>
      <c r="E104" s="4"/>
    </row>
    <row r="105" spans="1:5" x14ac:dyDescent="0.2">
      <c r="A105" t="s">
        <v>895</v>
      </c>
      <c r="B105" s="18">
        <v>8</v>
      </c>
      <c r="C105" t="s">
        <v>910</v>
      </c>
      <c r="D105" t="s">
        <v>911</v>
      </c>
      <c r="E105" s="4"/>
    </row>
    <row r="106" spans="1:5" x14ac:dyDescent="0.2">
      <c r="A106" t="s">
        <v>895</v>
      </c>
      <c r="B106" s="18">
        <v>9</v>
      </c>
      <c r="C106" t="s">
        <v>912</v>
      </c>
      <c r="D106" t="s">
        <v>913</v>
      </c>
      <c r="E106" s="4"/>
    </row>
    <row r="107" spans="1:5" x14ac:dyDescent="0.2">
      <c r="A107" t="s">
        <v>895</v>
      </c>
      <c r="B107" s="18">
        <v>10</v>
      </c>
      <c r="C107" t="s">
        <v>914</v>
      </c>
      <c r="D107" t="s">
        <v>913</v>
      </c>
      <c r="E107" s="4"/>
    </row>
    <row r="108" spans="1:5" x14ac:dyDescent="0.2">
      <c r="A108" t="s">
        <v>895</v>
      </c>
      <c r="B108" s="18">
        <v>11</v>
      </c>
      <c r="C108" t="s">
        <v>850</v>
      </c>
      <c r="D108" s="17" t="s">
        <v>851</v>
      </c>
      <c r="E108" s="4"/>
    </row>
    <row r="109" spans="1:5" x14ac:dyDescent="0.2">
      <c r="A109" t="s">
        <v>895</v>
      </c>
      <c r="B109" s="18">
        <v>12</v>
      </c>
      <c r="C109" t="s">
        <v>852</v>
      </c>
      <c r="D109" s="17" t="s">
        <v>853</v>
      </c>
      <c r="E109" s="4"/>
    </row>
    <row r="110" spans="1:5" x14ac:dyDescent="0.2">
      <c r="B110" s="10"/>
      <c r="E110" s="4"/>
    </row>
    <row r="111" spans="1:5" x14ac:dyDescent="0.2">
      <c r="A111" t="s">
        <v>915</v>
      </c>
      <c r="B111" s="18">
        <v>1</v>
      </c>
      <c r="C111" t="s">
        <v>916</v>
      </c>
      <c r="D111" t="s">
        <v>917</v>
      </c>
      <c r="E111" s="4"/>
    </row>
    <row r="112" spans="1:5" x14ac:dyDescent="0.2">
      <c r="A112" t="s">
        <v>915</v>
      </c>
      <c r="B112" s="18">
        <v>2</v>
      </c>
      <c r="C112" t="s">
        <v>918</v>
      </c>
      <c r="D112" t="s">
        <v>919</v>
      </c>
      <c r="E112" s="4"/>
    </row>
    <row r="113" spans="1:5" x14ac:dyDescent="0.2">
      <c r="A113" t="s">
        <v>915</v>
      </c>
      <c r="B113" s="18">
        <v>3</v>
      </c>
      <c r="C113" t="s">
        <v>920</v>
      </c>
      <c r="D113" t="s">
        <v>921</v>
      </c>
      <c r="E113" s="4"/>
    </row>
    <row r="114" spans="1:5" x14ac:dyDescent="0.2">
      <c r="A114" t="s">
        <v>915</v>
      </c>
      <c r="B114" s="18">
        <v>4</v>
      </c>
      <c r="C114" t="s">
        <v>922</v>
      </c>
      <c r="D114" t="s">
        <v>923</v>
      </c>
      <c r="E114" s="4"/>
    </row>
    <row r="115" spans="1:5" x14ac:dyDescent="0.2">
      <c r="A115" t="s">
        <v>915</v>
      </c>
      <c r="B115" s="18">
        <v>5</v>
      </c>
      <c r="C115" t="s">
        <v>924</v>
      </c>
      <c r="D115" t="s">
        <v>925</v>
      </c>
      <c r="E115" s="4"/>
    </row>
    <row r="116" spans="1:5" x14ac:dyDescent="0.2">
      <c r="A116" t="s">
        <v>915</v>
      </c>
      <c r="B116" s="18">
        <v>6</v>
      </c>
      <c r="C116" t="s">
        <v>850</v>
      </c>
      <c r="D116" s="17" t="s">
        <v>851</v>
      </c>
      <c r="E116" s="4"/>
    </row>
    <row r="117" spans="1:5" x14ac:dyDescent="0.2">
      <c r="A117" t="s">
        <v>915</v>
      </c>
      <c r="B117" s="18">
        <v>7</v>
      </c>
      <c r="C117" t="s">
        <v>852</v>
      </c>
      <c r="D117" s="17" t="s">
        <v>853</v>
      </c>
      <c r="E117" s="4"/>
    </row>
    <row r="118" spans="1:5" x14ac:dyDescent="0.2">
      <c r="B118" s="10"/>
      <c r="E118" s="4"/>
    </row>
    <row r="119" spans="1:5" x14ac:dyDescent="0.2">
      <c r="A119" t="s">
        <v>926</v>
      </c>
      <c r="B119" s="18">
        <v>1</v>
      </c>
      <c r="C119" t="s">
        <v>927</v>
      </c>
      <c r="D119" t="s">
        <v>928</v>
      </c>
      <c r="E119" s="4"/>
    </row>
    <row r="120" spans="1:5" x14ac:dyDescent="0.2">
      <c r="A120" t="s">
        <v>926</v>
      </c>
      <c r="B120" s="18">
        <v>2</v>
      </c>
      <c r="C120" t="s">
        <v>929</v>
      </c>
      <c r="D120" t="s">
        <v>930</v>
      </c>
      <c r="E120" s="4"/>
    </row>
    <row r="121" spans="1:5" x14ac:dyDescent="0.2">
      <c r="A121" t="s">
        <v>926</v>
      </c>
      <c r="B121" s="18">
        <v>3</v>
      </c>
      <c r="C121" t="s">
        <v>931</v>
      </c>
      <c r="D121" t="s">
        <v>932</v>
      </c>
      <c r="E121" s="4"/>
    </row>
    <row r="122" spans="1:5" x14ac:dyDescent="0.2">
      <c r="A122" t="s">
        <v>926</v>
      </c>
      <c r="B122" s="18">
        <v>4</v>
      </c>
      <c r="C122" t="s">
        <v>933</v>
      </c>
      <c r="D122" t="s">
        <v>934</v>
      </c>
      <c r="E122" s="4"/>
    </row>
    <row r="123" spans="1:5" x14ac:dyDescent="0.2">
      <c r="A123" t="s">
        <v>926</v>
      </c>
      <c r="B123" s="18">
        <v>5</v>
      </c>
      <c r="C123" t="s">
        <v>935</v>
      </c>
      <c r="D123" t="s">
        <v>936</v>
      </c>
      <c r="E123" s="4"/>
    </row>
    <row r="124" spans="1:5" x14ac:dyDescent="0.2">
      <c r="A124" t="s">
        <v>926</v>
      </c>
      <c r="B124" s="18">
        <v>6</v>
      </c>
      <c r="C124" t="s">
        <v>937</v>
      </c>
      <c r="D124" t="s">
        <v>938</v>
      </c>
      <c r="E124" s="4"/>
    </row>
    <row r="125" spans="1:5" x14ac:dyDescent="0.2">
      <c r="A125" t="s">
        <v>926</v>
      </c>
      <c r="B125" s="18">
        <v>7</v>
      </c>
      <c r="C125" t="s">
        <v>850</v>
      </c>
      <c r="D125" s="17" t="s">
        <v>851</v>
      </c>
      <c r="E125" s="4"/>
    </row>
    <row r="126" spans="1:5" x14ac:dyDescent="0.2">
      <c r="A126" t="s">
        <v>926</v>
      </c>
      <c r="B126" s="18">
        <v>8</v>
      </c>
      <c r="C126" t="s">
        <v>852</v>
      </c>
      <c r="D126" s="17" t="s">
        <v>853</v>
      </c>
      <c r="E126" s="4"/>
    </row>
    <row r="127" spans="1:5" x14ac:dyDescent="0.2">
      <c r="E127" s="4"/>
    </row>
    <row r="128" spans="1:5" x14ac:dyDescent="0.2">
      <c r="A128" s="13" t="s">
        <v>939</v>
      </c>
      <c r="B128" s="13">
        <v>1</v>
      </c>
      <c r="C128" s="13" t="s">
        <v>940</v>
      </c>
      <c r="D128" s="13" t="s">
        <v>941</v>
      </c>
      <c r="E128" s="4"/>
    </row>
    <row r="129" spans="1:5" x14ac:dyDescent="0.2">
      <c r="A129" s="13" t="s">
        <v>939</v>
      </c>
      <c r="B129" s="13">
        <v>2</v>
      </c>
      <c r="C129" s="13" t="s">
        <v>942</v>
      </c>
      <c r="D129" s="13" t="s">
        <v>943</v>
      </c>
      <c r="E129" s="4"/>
    </row>
    <row r="130" spans="1:5" x14ac:dyDescent="0.2">
      <c r="A130" s="13" t="s">
        <v>939</v>
      </c>
      <c r="B130" s="13">
        <v>3</v>
      </c>
      <c r="C130" s="13" t="s">
        <v>944</v>
      </c>
      <c r="D130" s="13" t="s">
        <v>945</v>
      </c>
      <c r="E130" s="4"/>
    </row>
    <row r="131" spans="1:5" x14ac:dyDescent="0.2">
      <c r="A131" s="13" t="s">
        <v>939</v>
      </c>
      <c r="B131" s="13">
        <v>4</v>
      </c>
      <c r="C131" s="13" t="s">
        <v>946</v>
      </c>
      <c r="D131" s="13" t="s">
        <v>947</v>
      </c>
      <c r="E131" s="4"/>
    </row>
    <row r="132" spans="1:5" x14ac:dyDescent="0.2">
      <c r="A132" s="13" t="s">
        <v>939</v>
      </c>
      <c r="B132" s="13">
        <v>5</v>
      </c>
      <c r="C132" s="13" t="s">
        <v>948</v>
      </c>
      <c r="D132" s="13" t="s">
        <v>949</v>
      </c>
      <c r="E132" s="4"/>
    </row>
    <row r="133" spans="1:5" x14ac:dyDescent="0.2">
      <c r="A133" s="13" t="s">
        <v>939</v>
      </c>
      <c r="B133" s="13">
        <v>6</v>
      </c>
      <c r="C133" s="13" t="s">
        <v>850</v>
      </c>
      <c r="D133" s="13" t="s">
        <v>851</v>
      </c>
      <c r="E133" s="4"/>
    </row>
    <row r="134" spans="1:5" x14ac:dyDescent="0.2">
      <c r="A134" s="13" t="s">
        <v>939</v>
      </c>
      <c r="B134" s="13">
        <v>7</v>
      </c>
      <c r="C134" s="13" t="s">
        <v>852</v>
      </c>
      <c r="D134" s="13" t="s">
        <v>853</v>
      </c>
      <c r="E134" s="4"/>
    </row>
    <row r="135" spans="1:5" x14ac:dyDescent="0.2">
      <c r="A135" s="14"/>
      <c r="B135" s="14"/>
      <c r="C135" s="14"/>
      <c r="D135" s="14"/>
      <c r="E135" s="4"/>
    </row>
    <row r="136" spans="1:5" x14ac:dyDescent="0.2">
      <c r="A136" s="13" t="s">
        <v>950</v>
      </c>
      <c r="B136" s="14" t="s">
        <v>951</v>
      </c>
      <c r="C136" s="13" t="s">
        <v>952</v>
      </c>
      <c r="D136" s="14" t="s">
        <v>953</v>
      </c>
      <c r="E136" s="4"/>
    </row>
    <row r="137" spans="1:5" x14ac:dyDescent="0.2">
      <c r="A137" s="13" t="s">
        <v>950</v>
      </c>
      <c r="B137" s="13" t="s">
        <v>954</v>
      </c>
      <c r="C137" s="13" t="s">
        <v>955</v>
      </c>
      <c r="D137" s="13" t="s">
        <v>956</v>
      </c>
      <c r="E137" s="4"/>
    </row>
    <row r="138" spans="1:5" x14ac:dyDescent="0.2">
      <c r="A138" s="13" t="s">
        <v>950</v>
      </c>
      <c r="B138" s="13" t="s">
        <v>957</v>
      </c>
      <c r="C138" s="13" t="s">
        <v>958</v>
      </c>
      <c r="D138" s="13" t="s">
        <v>959</v>
      </c>
      <c r="E138" s="4"/>
    </row>
    <row r="139" spans="1:5" x14ac:dyDescent="0.2">
      <c r="A139" s="13" t="s">
        <v>950</v>
      </c>
      <c r="B139" s="13" t="s">
        <v>960</v>
      </c>
      <c r="C139" s="13" t="s">
        <v>961</v>
      </c>
      <c r="D139" s="13" t="s">
        <v>961</v>
      </c>
      <c r="E139" s="4"/>
    </row>
    <row r="140" spans="1:5" x14ac:dyDescent="0.2">
      <c r="A140" s="13" t="s">
        <v>950</v>
      </c>
      <c r="B140" s="13" t="s">
        <v>962</v>
      </c>
      <c r="C140" s="13" t="s">
        <v>963</v>
      </c>
      <c r="D140" s="13" t="s">
        <v>964</v>
      </c>
      <c r="E140" s="4"/>
    </row>
    <row r="141" spans="1:5" x14ac:dyDescent="0.2">
      <c r="A141" s="13" t="s">
        <v>950</v>
      </c>
      <c r="B141" s="13" t="s">
        <v>965</v>
      </c>
      <c r="C141" s="13" t="s">
        <v>966</v>
      </c>
      <c r="D141" s="13" t="s">
        <v>967</v>
      </c>
      <c r="E141" s="4"/>
    </row>
    <row r="142" spans="1:5" x14ac:dyDescent="0.2">
      <c r="A142" s="13" t="s">
        <v>950</v>
      </c>
      <c r="B142" s="13" t="s">
        <v>968</v>
      </c>
      <c r="C142" s="13" t="s">
        <v>969</v>
      </c>
      <c r="D142" s="13" t="s">
        <v>970</v>
      </c>
      <c r="E142" s="4"/>
    </row>
    <row r="143" spans="1:5" x14ac:dyDescent="0.2">
      <c r="A143" s="13" t="s">
        <v>950</v>
      </c>
      <c r="B143" s="13" t="s">
        <v>971</v>
      </c>
      <c r="C143" s="13" t="s">
        <v>850</v>
      </c>
      <c r="D143" s="13" t="s">
        <v>851</v>
      </c>
      <c r="E143" s="4"/>
    </row>
    <row r="144" spans="1:5" x14ac:dyDescent="0.2">
      <c r="A144" s="13" t="s">
        <v>950</v>
      </c>
      <c r="B144" s="13" t="s">
        <v>972</v>
      </c>
      <c r="C144" s="13" t="s">
        <v>852</v>
      </c>
      <c r="D144" s="13" t="s">
        <v>853</v>
      </c>
      <c r="E144" s="4"/>
    </row>
    <row r="145" spans="1:5" x14ac:dyDescent="0.2">
      <c r="A145" s="14"/>
      <c r="B145" s="14"/>
      <c r="C145" s="14"/>
      <c r="D145" s="14"/>
      <c r="E145" s="4"/>
    </row>
    <row r="146" spans="1:5" x14ac:dyDescent="0.2">
      <c r="A146" s="13" t="s">
        <v>973</v>
      </c>
      <c r="B146" s="13" t="s">
        <v>974</v>
      </c>
      <c r="C146" s="13" t="s">
        <v>975</v>
      </c>
      <c r="D146" s="13" t="s">
        <v>976</v>
      </c>
      <c r="E146" s="4"/>
    </row>
    <row r="147" spans="1:5" x14ac:dyDescent="0.2">
      <c r="A147" s="13" t="s">
        <v>973</v>
      </c>
      <c r="B147" s="13" t="s">
        <v>977</v>
      </c>
      <c r="C147" s="13" t="s">
        <v>978</v>
      </c>
      <c r="D147" s="13" t="s">
        <v>979</v>
      </c>
      <c r="E147" s="4"/>
    </row>
    <row r="148" spans="1:5" x14ac:dyDescent="0.2">
      <c r="A148" s="13" t="s">
        <v>973</v>
      </c>
      <c r="B148" s="13" t="s">
        <v>980</v>
      </c>
      <c r="C148" s="13" t="s">
        <v>981</v>
      </c>
      <c r="D148" s="13" t="s">
        <v>982</v>
      </c>
      <c r="E148" s="4"/>
    </row>
    <row r="149" spans="1:5" x14ac:dyDescent="0.2">
      <c r="A149" s="13" t="s">
        <v>973</v>
      </c>
      <c r="B149" s="13" t="s">
        <v>983</v>
      </c>
      <c r="C149" s="13" t="s">
        <v>984</v>
      </c>
      <c r="D149" s="13" t="s">
        <v>985</v>
      </c>
      <c r="E149" s="4"/>
    </row>
    <row r="150" spans="1:5" x14ac:dyDescent="0.2">
      <c r="A150" s="13" t="s">
        <v>973</v>
      </c>
      <c r="B150" s="13" t="s">
        <v>986</v>
      </c>
      <c r="C150" s="13" t="s">
        <v>987</v>
      </c>
      <c r="D150" s="13" t="s">
        <v>988</v>
      </c>
      <c r="E150" s="4"/>
    </row>
    <row r="151" spans="1:5" x14ac:dyDescent="0.2">
      <c r="A151" s="13" t="s">
        <v>973</v>
      </c>
      <c r="B151" s="13" t="s">
        <v>989</v>
      </c>
      <c r="C151" s="13" t="s">
        <v>990</v>
      </c>
      <c r="D151" s="13" t="s">
        <v>991</v>
      </c>
      <c r="E151" s="4"/>
    </row>
    <row r="152" spans="1:5" x14ac:dyDescent="0.2">
      <c r="A152" s="13" t="s">
        <v>973</v>
      </c>
      <c r="B152" s="13" t="s">
        <v>992</v>
      </c>
      <c r="C152" s="13" t="s">
        <v>993</v>
      </c>
      <c r="D152" s="13" t="s">
        <v>994</v>
      </c>
      <c r="E152" s="4"/>
    </row>
    <row r="153" spans="1:5" x14ac:dyDescent="0.2">
      <c r="A153" s="13" t="s">
        <v>973</v>
      </c>
      <c r="B153" s="13" t="s">
        <v>965</v>
      </c>
      <c r="C153" s="13" t="s">
        <v>995</v>
      </c>
      <c r="D153" s="13" t="s">
        <v>996</v>
      </c>
      <c r="E153" s="4"/>
    </row>
    <row r="154" spans="1:5" x14ac:dyDescent="0.2">
      <c r="A154" s="13" t="s">
        <v>973</v>
      </c>
      <c r="B154" s="13" t="s">
        <v>968</v>
      </c>
      <c r="C154" s="13" t="s">
        <v>997</v>
      </c>
      <c r="D154" s="13" t="s">
        <v>998</v>
      </c>
      <c r="E154" s="4"/>
    </row>
    <row r="155" spans="1:5" x14ac:dyDescent="0.2">
      <c r="A155" s="13" t="s">
        <v>973</v>
      </c>
      <c r="B155" s="13" t="s">
        <v>971</v>
      </c>
      <c r="C155" s="13" t="s">
        <v>850</v>
      </c>
      <c r="D155" s="13" t="s">
        <v>851</v>
      </c>
      <c r="E155" s="4"/>
    </row>
    <row r="156" spans="1:5" x14ac:dyDescent="0.2">
      <c r="A156" s="13" t="s">
        <v>973</v>
      </c>
      <c r="B156" s="13" t="s">
        <v>972</v>
      </c>
      <c r="C156" s="13" t="s">
        <v>852</v>
      </c>
      <c r="D156" s="13" t="s">
        <v>853</v>
      </c>
      <c r="E156" s="4"/>
    </row>
    <row r="157" spans="1:5" x14ac:dyDescent="0.2">
      <c r="A157" s="14"/>
      <c r="B157" s="14"/>
      <c r="C157" s="14"/>
      <c r="D157" s="14" t="s">
        <v>999</v>
      </c>
      <c r="E157" s="4"/>
    </row>
    <row r="158" spans="1:5" x14ac:dyDescent="0.2">
      <c r="A158" s="13" t="s">
        <v>1000</v>
      </c>
      <c r="B158" s="13">
        <v>1</v>
      </c>
      <c r="C158" s="13" t="s">
        <v>1001</v>
      </c>
      <c r="D158" s="13" t="s">
        <v>1002</v>
      </c>
      <c r="E158" s="4"/>
    </row>
    <row r="159" spans="1:5" x14ac:dyDescent="0.2">
      <c r="A159" s="13" t="s">
        <v>1000</v>
      </c>
      <c r="B159" s="13">
        <v>2</v>
      </c>
      <c r="C159" s="13" t="s">
        <v>1003</v>
      </c>
      <c r="D159" s="13" t="s">
        <v>1004</v>
      </c>
      <c r="E159" s="4"/>
    </row>
    <row r="160" spans="1:5" x14ac:dyDescent="0.2">
      <c r="A160" s="13" t="s">
        <v>1000</v>
      </c>
      <c r="B160" s="13">
        <v>3</v>
      </c>
      <c r="C160" s="13" t="s">
        <v>1005</v>
      </c>
      <c r="D160" s="13" t="s">
        <v>1006</v>
      </c>
      <c r="E160" s="4"/>
    </row>
    <row r="161" spans="1:5" x14ac:dyDescent="0.2">
      <c r="A161" s="13" t="s">
        <v>1000</v>
      </c>
      <c r="B161" s="13">
        <v>4</v>
      </c>
      <c r="C161" s="13" t="s">
        <v>1007</v>
      </c>
      <c r="D161" s="13" t="s">
        <v>1008</v>
      </c>
      <c r="E161" s="4"/>
    </row>
    <row r="162" spans="1:5" x14ac:dyDescent="0.2">
      <c r="A162" s="13" t="s">
        <v>1000</v>
      </c>
      <c r="B162" s="13">
        <v>5</v>
      </c>
      <c r="C162" s="13" t="s">
        <v>1009</v>
      </c>
      <c r="D162" s="13" t="s">
        <v>1010</v>
      </c>
      <c r="E162" s="4"/>
    </row>
    <row r="163" spans="1:5" x14ac:dyDescent="0.2">
      <c r="A163" s="13" t="s">
        <v>1000</v>
      </c>
      <c r="B163" s="13">
        <v>6</v>
      </c>
      <c r="C163" s="13" t="s">
        <v>1011</v>
      </c>
      <c r="D163" s="13" t="s">
        <v>851</v>
      </c>
      <c r="E163" s="4"/>
    </row>
    <row r="164" spans="1:5" x14ac:dyDescent="0.2">
      <c r="A164" s="13" t="s">
        <v>1000</v>
      </c>
      <c r="B164" s="13">
        <v>7</v>
      </c>
      <c r="C164" s="13" t="s">
        <v>1012</v>
      </c>
      <c r="D164" s="13" t="s">
        <v>853</v>
      </c>
      <c r="E164" s="4"/>
    </row>
    <row r="165" spans="1:5" x14ac:dyDescent="0.2">
      <c r="A165" s="14"/>
      <c r="B165" s="14"/>
      <c r="C165" s="14"/>
      <c r="D165" s="14"/>
      <c r="E165" s="4"/>
    </row>
    <row r="166" spans="1:5" x14ac:dyDescent="0.2">
      <c r="A166" s="13" t="s">
        <v>1013</v>
      </c>
      <c r="B166" s="13">
        <v>1</v>
      </c>
      <c r="C166" s="13" t="s">
        <v>1014</v>
      </c>
      <c r="D166" s="13" t="s">
        <v>1015</v>
      </c>
      <c r="E166" s="4"/>
    </row>
    <row r="167" spans="1:5" x14ac:dyDescent="0.2">
      <c r="A167" s="13" t="s">
        <v>1013</v>
      </c>
      <c r="B167" s="13">
        <v>2</v>
      </c>
      <c r="C167" s="13" t="s">
        <v>1016</v>
      </c>
      <c r="D167" s="13" t="s">
        <v>1017</v>
      </c>
      <c r="E167" s="4"/>
    </row>
    <row r="168" spans="1:5" x14ac:dyDescent="0.2">
      <c r="A168" s="13" t="s">
        <v>1013</v>
      </c>
      <c r="B168" s="13">
        <v>3</v>
      </c>
      <c r="C168" s="13" t="s">
        <v>1018</v>
      </c>
      <c r="D168" s="13" t="s">
        <v>1019</v>
      </c>
      <c r="E168" s="4"/>
    </row>
    <row r="169" spans="1:5" x14ac:dyDescent="0.2">
      <c r="A169" s="13" t="s">
        <v>1013</v>
      </c>
      <c r="B169" s="13">
        <v>4</v>
      </c>
      <c r="C169" s="13" t="s">
        <v>1020</v>
      </c>
      <c r="D169" s="13" t="s">
        <v>1021</v>
      </c>
      <c r="E169" s="4"/>
    </row>
    <row r="170" spans="1:5" x14ac:dyDescent="0.2">
      <c r="A170" s="13" t="s">
        <v>1013</v>
      </c>
      <c r="B170" s="13">
        <v>5</v>
      </c>
      <c r="C170" s="13" t="s">
        <v>850</v>
      </c>
      <c r="D170" s="13" t="s">
        <v>851</v>
      </c>
      <c r="E170" s="4"/>
    </row>
    <row r="171" spans="1:5" x14ac:dyDescent="0.2">
      <c r="A171" s="13" t="s">
        <v>1013</v>
      </c>
      <c r="B171" s="13">
        <v>6</v>
      </c>
      <c r="C171" s="13" t="s">
        <v>852</v>
      </c>
      <c r="D171" s="13" t="s">
        <v>853</v>
      </c>
      <c r="E171" s="4"/>
    </row>
    <row r="172" spans="1:5" x14ac:dyDescent="0.2">
      <c r="A172" s="14"/>
      <c r="B172" s="14"/>
      <c r="C172" s="14"/>
      <c r="D172" s="3" t="s">
        <v>853</v>
      </c>
      <c r="E172" s="4"/>
    </row>
    <row r="173" spans="1:5" x14ac:dyDescent="0.2">
      <c r="A173" t="s">
        <v>1022</v>
      </c>
      <c r="B173">
        <v>1</v>
      </c>
      <c r="C173" t="s">
        <v>1023</v>
      </c>
      <c r="D173" t="s">
        <v>1024</v>
      </c>
      <c r="E173" s="4"/>
    </row>
    <row r="174" spans="1:5" x14ac:dyDescent="0.2">
      <c r="A174" t="s">
        <v>1022</v>
      </c>
      <c r="B174">
        <v>2</v>
      </c>
      <c r="C174" t="s">
        <v>1025</v>
      </c>
      <c r="D174" t="s">
        <v>1026</v>
      </c>
      <c r="E174" s="4"/>
    </row>
    <row r="175" spans="1:5" x14ac:dyDescent="0.2">
      <c r="A175" t="s">
        <v>1022</v>
      </c>
      <c r="B175">
        <v>3</v>
      </c>
      <c r="C175" t="s">
        <v>1027</v>
      </c>
      <c r="D175" t="s">
        <v>1028</v>
      </c>
      <c r="E175" s="4"/>
    </row>
    <row r="176" spans="1:5" x14ac:dyDescent="0.2">
      <c r="A176" t="s">
        <v>1022</v>
      </c>
      <c r="B176">
        <v>4</v>
      </c>
      <c r="C176" t="s">
        <v>1029</v>
      </c>
      <c r="D176" t="s">
        <v>1030</v>
      </c>
      <c r="E176" s="4"/>
    </row>
    <row r="177" spans="1:5" x14ac:dyDescent="0.2">
      <c r="A177" t="s">
        <v>1022</v>
      </c>
      <c r="B177">
        <v>5</v>
      </c>
      <c r="C177" t="s">
        <v>1031</v>
      </c>
      <c r="D177" t="s">
        <v>1032</v>
      </c>
      <c r="E177" s="4"/>
    </row>
    <row r="178" spans="1:5" x14ac:dyDescent="0.2">
      <c r="A178" t="s">
        <v>1022</v>
      </c>
      <c r="B178">
        <v>6</v>
      </c>
      <c r="C178" t="s">
        <v>1033</v>
      </c>
      <c r="D178" t="s">
        <v>1034</v>
      </c>
      <c r="E178" s="4"/>
    </row>
    <row r="179" spans="1:5" x14ac:dyDescent="0.2">
      <c r="A179" t="s">
        <v>1022</v>
      </c>
      <c r="B179">
        <v>7</v>
      </c>
      <c r="C179" t="s">
        <v>1035</v>
      </c>
      <c r="D179" t="s">
        <v>1036</v>
      </c>
      <c r="E179" s="4"/>
    </row>
    <row r="180" spans="1:5" x14ac:dyDescent="0.2">
      <c r="A180" t="s">
        <v>1022</v>
      </c>
      <c r="B180">
        <v>8</v>
      </c>
      <c r="C180" t="s">
        <v>1037</v>
      </c>
      <c r="D180" t="s">
        <v>1038</v>
      </c>
      <c r="E180" s="4"/>
    </row>
    <row r="181" spans="1:5" x14ac:dyDescent="0.2">
      <c r="A181" t="s">
        <v>1022</v>
      </c>
      <c r="B181">
        <v>9</v>
      </c>
      <c r="C181" t="s">
        <v>1039</v>
      </c>
      <c r="D181" t="s">
        <v>1040</v>
      </c>
      <c r="E181" s="4"/>
    </row>
    <row r="182" spans="1:5" x14ac:dyDescent="0.2">
      <c r="A182" t="s">
        <v>1022</v>
      </c>
      <c r="B182">
        <v>10</v>
      </c>
      <c r="C182" t="s">
        <v>1041</v>
      </c>
      <c r="D182" t="s">
        <v>1042</v>
      </c>
      <c r="E182" s="4"/>
    </row>
    <row r="183" spans="1:5" x14ac:dyDescent="0.2">
      <c r="A183" t="s">
        <v>1022</v>
      </c>
      <c r="B183">
        <v>11</v>
      </c>
      <c r="C183" t="s">
        <v>1043</v>
      </c>
      <c r="D183" t="s">
        <v>1044</v>
      </c>
      <c r="E183" s="4"/>
    </row>
    <row r="184" spans="1:5" x14ac:dyDescent="0.2">
      <c r="A184" t="s">
        <v>1022</v>
      </c>
      <c r="B184">
        <v>12</v>
      </c>
      <c r="C184" t="s">
        <v>1045</v>
      </c>
      <c r="D184" t="s">
        <v>1046</v>
      </c>
      <c r="E184" s="4"/>
    </row>
    <row r="185" spans="1:5" x14ac:dyDescent="0.2">
      <c r="A185" t="s">
        <v>1022</v>
      </c>
      <c r="B185">
        <v>13</v>
      </c>
      <c r="C185" t="s">
        <v>1047</v>
      </c>
      <c r="D185" t="s">
        <v>1048</v>
      </c>
      <c r="E185" s="4"/>
    </row>
    <row r="186" spans="1:5" x14ac:dyDescent="0.2">
      <c r="A186" t="s">
        <v>1022</v>
      </c>
      <c r="B186">
        <v>14</v>
      </c>
      <c r="C186" t="s">
        <v>1049</v>
      </c>
      <c r="D186" t="s">
        <v>1050</v>
      </c>
      <c r="E186" s="4"/>
    </row>
    <row r="187" spans="1:5" x14ac:dyDescent="0.2">
      <c r="A187" t="s">
        <v>1022</v>
      </c>
      <c r="B187">
        <v>15</v>
      </c>
      <c r="C187" t="s">
        <v>1051</v>
      </c>
      <c r="D187" t="s">
        <v>1052</v>
      </c>
      <c r="E187" s="4"/>
    </row>
    <row r="188" spans="1:5" x14ac:dyDescent="0.2">
      <c r="A188" t="s">
        <v>1022</v>
      </c>
      <c r="B188">
        <v>16</v>
      </c>
      <c r="C188" t="s">
        <v>1053</v>
      </c>
      <c r="D188" t="s">
        <v>1054</v>
      </c>
      <c r="E188" s="4"/>
    </row>
    <row r="189" spans="1:5" x14ac:dyDescent="0.2">
      <c r="A189" t="s">
        <v>1022</v>
      </c>
      <c r="B189">
        <v>17</v>
      </c>
      <c r="C189" t="s">
        <v>1055</v>
      </c>
      <c r="D189" t="s">
        <v>1056</v>
      </c>
      <c r="E189" s="4"/>
    </row>
    <row r="190" spans="1:5" x14ac:dyDescent="0.2">
      <c r="A190" t="s">
        <v>1022</v>
      </c>
      <c r="B190">
        <v>18</v>
      </c>
      <c r="C190" t="s">
        <v>1057</v>
      </c>
      <c r="D190" t="s">
        <v>1058</v>
      </c>
      <c r="E190" s="4"/>
    </row>
    <row r="191" spans="1:5" x14ac:dyDescent="0.2">
      <c r="A191" t="s">
        <v>1022</v>
      </c>
      <c r="B191">
        <v>19</v>
      </c>
      <c r="C191" t="s">
        <v>1059</v>
      </c>
      <c r="D191" t="s">
        <v>1060</v>
      </c>
      <c r="E191" s="4"/>
    </row>
    <row r="192" spans="1:5" x14ac:dyDescent="0.2">
      <c r="A192" t="s">
        <v>1022</v>
      </c>
      <c r="B192">
        <v>20</v>
      </c>
      <c r="C192" t="s">
        <v>852</v>
      </c>
      <c r="D192" t="s">
        <v>853</v>
      </c>
      <c r="E192" s="4"/>
    </row>
    <row r="193" spans="1:5" x14ac:dyDescent="0.2">
      <c r="E193" s="4"/>
    </row>
    <row r="194" spans="1:5" x14ac:dyDescent="0.2">
      <c r="A194" t="s">
        <v>1061</v>
      </c>
      <c r="B194">
        <v>1</v>
      </c>
      <c r="C194" t="s">
        <v>865</v>
      </c>
      <c r="D194" t="s">
        <v>866</v>
      </c>
      <c r="E194" s="4"/>
    </row>
    <row r="195" spans="1:5" x14ac:dyDescent="0.2">
      <c r="A195" t="s">
        <v>1061</v>
      </c>
      <c r="B195">
        <v>2</v>
      </c>
      <c r="C195" t="s">
        <v>867</v>
      </c>
      <c r="D195" t="s">
        <v>868</v>
      </c>
      <c r="E195" s="4"/>
    </row>
    <row r="196" spans="1:5" x14ac:dyDescent="0.2">
      <c r="A196" t="s">
        <v>1061</v>
      </c>
      <c r="B196">
        <v>3</v>
      </c>
      <c r="C196" t="s">
        <v>1062</v>
      </c>
      <c r="D196" t="s">
        <v>1063</v>
      </c>
      <c r="E196" s="4"/>
    </row>
    <row r="197" spans="1:5" x14ac:dyDescent="0.2">
      <c r="A197" t="s">
        <v>1061</v>
      </c>
      <c r="B197">
        <v>4</v>
      </c>
      <c r="C197" t="s">
        <v>850</v>
      </c>
      <c r="D197" t="s">
        <v>851</v>
      </c>
      <c r="E197" s="4"/>
    </row>
    <row r="198" spans="1:5" x14ac:dyDescent="0.2">
      <c r="A198" t="s">
        <v>1061</v>
      </c>
      <c r="B198">
        <v>5</v>
      </c>
      <c r="C198" t="s">
        <v>852</v>
      </c>
      <c r="D198" t="s">
        <v>853</v>
      </c>
      <c r="E198" s="4"/>
    </row>
    <row r="199" spans="1:5" x14ac:dyDescent="0.2">
      <c r="E199" s="4"/>
    </row>
    <row r="200" spans="1:5" x14ac:dyDescent="0.2">
      <c r="A200" t="s">
        <v>1064</v>
      </c>
      <c r="B200">
        <v>1</v>
      </c>
      <c r="C200" t="s">
        <v>1065</v>
      </c>
      <c r="D200" s="3" t="s">
        <v>1066</v>
      </c>
      <c r="E200" s="4"/>
    </row>
    <row r="201" spans="1:5" x14ac:dyDescent="0.2">
      <c r="A201" t="s">
        <v>1064</v>
      </c>
      <c r="B201">
        <v>2</v>
      </c>
      <c r="C201" t="s">
        <v>1067</v>
      </c>
      <c r="D201" s="3" t="s">
        <v>1068</v>
      </c>
      <c r="E201" s="4"/>
    </row>
    <row r="202" spans="1:5" x14ac:dyDescent="0.2">
      <c r="A202" t="s">
        <v>1064</v>
      </c>
      <c r="B202">
        <v>3</v>
      </c>
      <c r="C202" t="s">
        <v>1069</v>
      </c>
      <c r="D202" s="3" t="s">
        <v>1070</v>
      </c>
      <c r="E202" s="4"/>
    </row>
    <row r="203" spans="1:5" x14ac:dyDescent="0.2">
      <c r="A203" t="s">
        <v>1064</v>
      </c>
      <c r="B203">
        <v>4</v>
      </c>
      <c r="C203" t="s">
        <v>850</v>
      </c>
      <c r="D203" t="s">
        <v>851</v>
      </c>
      <c r="E203" s="4"/>
    </row>
    <row r="204" spans="1:5" x14ac:dyDescent="0.2">
      <c r="A204" t="s">
        <v>1064</v>
      </c>
      <c r="B204">
        <v>5</v>
      </c>
      <c r="C204" t="s">
        <v>852</v>
      </c>
      <c r="D204" t="s">
        <v>853</v>
      </c>
      <c r="E204" s="4"/>
    </row>
    <row r="205" spans="1:5" x14ac:dyDescent="0.2">
      <c r="E205" s="4"/>
    </row>
    <row r="206" spans="1:5" x14ac:dyDescent="0.2">
      <c r="A206" t="s">
        <v>1071</v>
      </c>
      <c r="B206">
        <v>1</v>
      </c>
      <c r="C206" t="s">
        <v>1072</v>
      </c>
      <c r="D206" t="s">
        <v>1073</v>
      </c>
      <c r="E206" s="4"/>
    </row>
    <row r="207" spans="1:5" x14ac:dyDescent="0.2">
      <c r="A207" t="s">
        <v>1071</v>
      </c>
      <c r="B207">
        <v>2</v>
      </c>
      <c r="C207" t="s">
        <v>1074</v>
      </c>
      <c r="D207" t="s">
        <v>1075</v>
      </c>
      <c r="E207" s="4"/>
    </row>
    <row r="208" spans="1:5" x14ac:dyDescent="0.2">
      <c r="A208" t="s">
        <v>1071</v>
      </c>
      <c r="B208">
        <v>3</v>
      </c>
      <c r="C208" t="s">
        <v>1076</v>
      </c>
      <c r="D208" t="s">
        <v>1077</v>
      </c>
      <c r="E208" s="4"/>
    </row>
    <row r="209" spans="1:5" x14ac:dyDescent="0.2">
      <c r="A209" t="s">
        <v>1071</v>
      </c>
      <c r="B209">
        <v>4</v>
      </c>
      <c r="C209" t="s">
        <v>1078</v>
      </c>
      <c r="D209" t="s">
        <v>1079</v>
      </c>
      <c r="E209" s="4"/>
    </row>
    <row r="210" spans="1:5" x14ac:dyDescent="0.2">
      <c r="A210" t="s">
        <v>1071</v>
      </c>
      <c r="B210">
        <v>5</v>
      </c>
      <c r="C210" t="s">
        <v>1080</v>
      </c>
      <c r="D210" t="s">
        <v>1081</v>
      </c>
      <c r="E210" s="4"/>
    </row>
    <row r="211" spans="1:5" x14ac:dyDescent="0.2">
      <c r="A211" t="s">
        <v>1071</v>
      </c>
      <c r="B211" s="18">
        <v>6</v>
      </c>
      <c r="C211" t="s">
        <v>850</v>
      </c>
      <c r="D211" t="s">
        <v>851</v>
      </c>
      <c r="E211" s="4"/>
    </row>
    <row r="212" spans="1:5" x14ac:dyDescent="0.2">
      <c r="A212" t="s">
        <v>1071</v>
      </c>
      <c r="B212" s="18">
        <v>7</v>
      </c>
      <c r="C212" t="s">
        <v>852</v>
      </c>
      <c r="D212" t="s">
        <v>853</v>
      </c>
      <c r="E212" s="4"/>
    </row>
    <row r="213" spans="1:5" x14ac:dyDescent="0.2">
      <c r="E213" s="4"/>
    </row>
    <row r="214" spans="1:5" s="15" customFormat="1" x14ac:dyDescent="0.2">
      <c r="A214" s="17" t="s">
        <v>1082</v>
      </c>
      <c r="B214">
        <v>1</v>
      </c>
      <c r="C214" t="s">
        <v>1023</v>
      </c>
      <c r="D214" t="s">
        <v>1024</v>
      </c>
      <c r="E214" s="5"/>
    </row>
    <row r="215" spans="1:5" s="15" customFormat="1" x14ac:dyDescent="0.2">
      <c r="A215" s="17" t="s">
        <v>1082</v>
      </c>
      <c r="B215">
        <v>2</v>
      </c>
      <c r="C215" t="s">
        <v>1025</v>
      </c>
      <c r="D215" t="s">
        <v>1083</v>
      </c>
      <c r="E215" s="5"/>
    </row>
    <row r="216" spans="1:5" s="15" customFormat="1" x14ac:dyDescent="0.2">
      <c r="A216" s="17" t="s">
        <v>1082</v>
      </c>
      <c r="B216">
        <v>3</v>
      </c>
      <c r="C216" t="s">
        <v>1027</v>
      </c>
      <c r="D216" t="s">
        <v>1028</v>
      </c>
      <c r="E216" s="5"/>
    </row>
    <row r="217" spans="1:5" s="15" customFormat="1" x14ac:dyDescent="0.2">
      <c r="A217" s="17" t="s">
        <v>1082</v>
      </c>
      <c r="B217">
        <v>4</v>
      </c>
      <c r="C217" t="s">
        <v>1029</v>
      </c>
      <c r="D217" t="s">
        <v>1084</v>
      </c>
      <c r="E217" s="5"/>
    </row>
    <row r="218" spans="1:5" s="15" customFormat="1" x14ac:dyDescent="0.2">
      <c r="A218" s="17" t="s">
        <v>1082</v>
      </c>
      <c r="B218">
        <v>5</v>
      </c>
      <c r="C218" t="s">
        <v>1031</v>
      </c>
      <c r="D218" t="s">
        <v>1032</v>
      </c>
      <c r="E218" s="5"/>
    </row>
    <row r="219" spans="1:5" s="15" customFormat="1" x14ac:dyDescent="0.2">
      <c r="A219" s="17" t="s">
        <v>1082</v>
      </c>
      <c r="B219">
        <v>6</v>
      </c>
      <c r="C219" t="s">
        <v>1033</v>
      </c>
      <c r="D219" t="s">
        <v>1034</v>
      </c>
      <c r="E219" s="5"/>
    </row>
    <row r="220" spans="1:5" s="15" customFormat="1" x14ac:dyDescent="0.2">
      <c r="A220" s="17" t="s">
        <v>1082</v>
      </c>
      <c r="B220">
        <v>7</v>
      </c>
      <c r="C220" t="s">
        <v>1035</v>
      </c>
      <c r="D220" t="s">
        <v>1085</v>
      </c>
      <c r="E220" s="5"/>
    </row>
    <row r="221" spans="1:5" s="15" customFormat="1" x14ac:dyDescent="0.2">
      <c r="A221" s="17" t="s">
        <v>1082</v>
      </c>
      <c r="B221">
        <v>8</v>
      </c>
      <c r="C221" t="s">
        <v>1037</v>
      </c>
      <c r="D221" t="s">
        <v>1038</v>
      </c>
      <c r="E221" s="5"/>
    </row>
    <row r="222" spans="1:5" s="15" customFormat="1" x14ac:dyDescent="0.2">
      <c r="A222" s="17" t="s">
        <v>1082</v>
      </c>
      <c r="B222">
        <v>9</v>
      </c>
      <c r="C222" t="s">
        <v>1039</v>
      </c>
      <c r="D222" t="s">
        <v>1040</v>
      </c>
      <c r="E222" s="5"/>
    </row>
    <row r="223" spans="1:5" s="15" customFormat="1" x14ac:dyDescent="0.2">
      <c r="A223" s="17" t="s">
        <v>1082</v>
      </c>
      <c r="B223">
        <v>10</v>
      </c>
      <c r="C223" t="s">
        <v>1041</v>
      </c>
      <c r="D223" t="s">
        <v>1086</v>
      </c>
      <c r="E223" s="5"/>
    </row>
    <row r="224" spans="1:5" s="15" customFormat="1" x14ac:dyDescent="0.2">
      <c r="A224" s="17" t="s">
        <v>1082</v>
      </c>
      <c r="B224">
        <v>11</v>
      </c>
      <c r="C224" t="s">
        <v>1043</v>
      </c>
      <c r="D224" t="s">
        <v>1087</v>
      </c>
      <c r="E224" s="5"/>
    </row>
    <row r="225" spans="1:5" s="15" customFormat="1" x14ac:dyDescent="0.2">
      <c r="A225" s="17" t="s">
        <v>1082</v>
      </c>
      <c r="B225">
        <v>12</v>
      </c>
      <c r="C225" t="s">
        <v>1045</v>
      </c>
      <c r="D225" t="s">
        <v>1088</v>
      </c>
      <c r="E225" s="5"/>
    </row>
    <row r="226" spans="1:5" s="15" customFormat="1" x14ac:dyDescent="0.2">
      <c r="A226" s="17" t="s">
        <v>1082</v>
      </c>
      <c r="B226">
        <v>13</v>
      </c>
      <c r="C226" t="s">
        <v>1047</v>
      </c>
      <c r="D226" t="s">
        <v>1048</v>
      </c>
      <c r="E226" s="5"/>
    </row>
    <row r="227" spans="1:5" s="15" customFormat="1" x14ac:dyDescent="0.2">
      <c r="A227" s="17" t="s">
        <v>1082</v>
      </c>
      <c r="B227">
        <v>14</v>
      </c>
      <c r="C227" t="s">
        <v>1049</v>
      </c>
      <c r="D227" t="s">
        <v>1089</v>
      </c>
      <c r="E227" s="5"/>
    </row>
    <row r="228" spans="1:5" s="15" customFormat="1" x14ac:dyDescent="0.2">
      <c r="A228" s="17" t="s">
        <v>1082</v>
      </c>
      <c r="B228" s="17">
        <v>15</v>
      </c>
      <c r="C228" s="17" t="s">
        <v>1051</v>
      </c>
      <c r="D228" t="s">
        <v>1052</v>
      </c>
      <c r="E228" s="5"/>
    </row>
    <row r="229" spans="1:5" s="15" customFormat="1" x14ac:dyDescent="0.2">
      <c r="A229" s="17" t="s">
        <v>1082</v>
      </c>
      <c r="B229" s="17">
        <v>16</v>
      </c>
      <c r="C229" s="17" t="s">
        <v>1053</v>
      </c>
      <c r="D229" t="s">
        <v>1054</v>
      </c>
      <c r="E229" s="5"/>
    </row>
    <row r="230" spans="1:5" s="15" customFormat="1" x14ac:dyDescent="0.2">
      <c r="A230" s="17" t="s">
        <v>1082</v>
      </c>
      <c r="B230" s="17">
        <v>17</v>
      </c>
      <c r="C230" s="17" t="s">
        <v>1055</v>
      </c>
      <c r="D230" t="s">
        <v>1090</v>
      </c>
      <c r="E230" s="5"/>
    </row>
    <row r="231" spans="1:5" s="15" customFormat="1" x14ac:dyDescent="0.2">
      <c r="A231" s="17" t="s">
        <v>1082</v>
      </c>
      <c r="B231" s="17">
        <v>18</v>
      </c>
      <c r="C231" s="17" t="s">
        <v>1091</v>
      </c>
      <c r="D231" t="s">
        <v>1058</v>
      </c>
      <c r="E231" s="5"/>
    </row>
    <row r="232" spans="1:5" s="15" customFormat="1" x14ac:dyDescent="0.2">
      <c r="A232" s="17" t="s">
        <v>1082</v>
      </c>
      <c r="B232" s="17">
        <v>19</v>
      </c>
      <c r="C232" s="17" t="s">
        <v>1092</v>
      </c>
      <c r="D232" s="17" t="s">
        <v>1093</v>
      </c>
      <c r="E232" s="5"/>
    </row>
    <row r="233" spans="1:5" s="15" customFormat="1" x14ac:dyDescent="0.2">
      <c r="A233" s="17" t="s">
        <v>1082</v>
      </c>
      <c r="B233" s="18">
        <v>20</v>
      </c>
      <c r="C233" s="17" t="s">
        <v>850</v>
      </c>
      <c r="D233" t="s">
        <v>851</v>
      </c>
      <c r="E233" s="5"/>
    </row>
    <row r="234" spans="1:5" s="15" customFormat="1" x14ac:dyDescent="0.2">
      <c r="A234" s="17" t="s">
        <v>1082</v>
      </c>
      <c r="B234" s="18">
        <v>21</v>
      </c>
      <c r="C234" s="17" t="s">
        <v>852</v>
      </c>
      <c r="D234" t="s">
        <v>853</v>
      </c>
      <c r="E234" s="5"/>
    </row>
    <row r="235" spans="1:5" s="15" customFormat="1" x14ac:dyDescent="0.2">
      <c r="E235" s="5"/>
    </row>
    <row r="236" spans="1:5" s="15" customFormat="1" x14ac:dyDescent="0.2">
      <c r="A236" s="17" t="s">
        <v>1094</v>
      </c>
      <c r="B236">
        <v>1</v>
      </c>
      <c r="C236" t="s">
        <v>1023</v>
      </c>
      <c r="D236" t="s">
        <v>1024</v>
      </c>
      <c r="E236" s="5"/>
    </row>
    <row r="237" spans="1:5" s="15" customFormat="1" x14ac:dyDescent="0.2">
      <c r="A237" s="17" t="s">
        <v>1094</v>
      </c>
      <c r="B237">
        <v>2</v>
      </c>
      <c r="C237" t="s">
        <v>1025</v>
      </c>
      <c r="D237" t="s">
        <v>1083</v>
      </c>
      <c r="E237" s="5"/>
    </row>
    <row r="238" spans="1:5" s="15" customFormat="1" x14ac:dyDescent="0.2">
      <c r="A238" s="17" t="s">
        <v>1094</v>
      </c>
      <c r="B238">
        <v>3</v>
      </c>
      <c r="C238" t="s">
        <v>1027</v>
      </c>
      <c r="D238" t="s">
        <v>1028</v>
      </c>
      <c r="E238" s="5"/>
    </row>
    <row r="239" spans="1:5" s="15" customFormat="1" x14ac:dyDescent="0.2">
      <c r="A239" s="17" t="s">
        <v>1094</v>
      </c>
      <c r="B239">
        <v>4</v>
      </c>
      <c r="C239" t="s">
        <v>1029</v>
      </c>
      <c r="D239" t="s">
        <v>1084</v>
      </c>
      <c r="E239" s="5"/>
    </row>
    <row r="240" spans="1:5" s="15" customFormat="1" x14ac:dyDescent="0.2">
      <c r="A240" s="17" t="s">
        <v>1094</v>
      </c>
      <c r="B240">
        <v>5</v>
      </c>
      <c r="C240" t="s">
        <v>1031</v>
      </c>
      <c r="D240" t="s">
        <v>1032</v>
      </c>
      <c r="E240" s="5"/>
    </row>
    <row r="241" spans="1:5" s="15" customFormat="1" x14ac:dyDescent="0.2">
      <c r="A241" s="17" t="s">
        <v>1094</v>
      </c>
      <c r="B241">
        <v>6</v>
      </c>
      <c r="C241" t="s">
        <v>1033</v>
      </c>
      <c r="D241" t="s">
        <v>1034</v>
      </c>
      <c r="E241" s="5"/>
    </row>
    <row r="242" spans="1:5" s="15" customFormat="1" x14ac:dyDescent="0.2">
      <c r="A242" s="17" t="s">
        <v>1094</v>
      </c>
      <c r="B242">
        <v>7</v>
      </c>
      <c r="C242" t="s">
        <v>1035</v>
      </c>
      <c r="D242" t="s">
        <v>1085</v>
      </c>
      <c r="E242" s="5"/>
    </row>
    <row r="243" spans="1:5" s="15" customFormat="1" x14ac:dyDescent="0.2">
      <c r="A243" s="17" t="s">
        <v>1094</v>
      </c>
      <c r="B243">
        <v>8</v>
      </c>
      <c r="C243" t="s">
        <v>1037</v>
      </c>
      <c r="D243" t="s">
        <v>1038</v>
      </c>
      <c r="E243" s="5"/>
    </row>
    <row r="244" spans="1:5" s="15" customFormat="1" x14ac:dyDescent="0.2">
      <c r="A244" s="17" t="s">
        <v>1094</v>
      </c>
      <c r="B244">
        <v>9</v>
      </c>
      <c r="C244" t="s">
        <v>1039</v>
      </c>
      <c r="D244" t="s">
        <v>1040</v>
      </c>
      <c r="E244" s="5"/>
    </row>
    <row r="245" spans="1:5" s="15" customFormat="1" x14ac:dyDescent="0.2">
      <c r="A245" s="17" t="s">
        <v>1094</v>
      </c>
      <c r="B245">
        <v>10</v>
      </c>
      <c r="C245" t="s">
        <v>1041</v>
      </c>
      <c r="D245" t="s">
        <v>1086</v>
      </c>
      <c r="E245" s="5"/>
    </row>
    <row r="246" spans="1:5" s="15" customFormat="1" x14ac:dyDescent="0.2">
      <c r="A246" s="17" t="s">
        <v>1094</v>
      </c>
      <c r="B246">
        <v>11</v>
      </c>
      <c r="C246" t="s">
        <v>1043</v>
      </c>
      <c r="D246" t="s">
        <v>1087</v>
      </c>
      <c r="E246" s="5"/>
    </row>
    <row r="247" spans="1:5" s="15" customFormat="1" x14ac:dyDescent="0.2">
      <c r="A247" s="17" t="s">
        <v>1094</v>
      </c>
      <c r="B247">
        <v>12</v>
      </c>
      <c r="C247" t="s">
        <v>1045</v>
      </c>
      <c r="D247" t="s">
        <v>1088</v>
      </c>
      <c r="E247" s="5"/>
    </row>
    <row r="248" spans="1:5" s="15" customFormat="1" x14ac:dyDescent="0.2">
      <c r="A248" s="17" t="s">
        <v>1094</v>
      </c>
      <c r="B248">
        <v>13</v>
      </c>
      <c r="C248" t="s">
        <v>1047</v>
      </c>
      <c r="D248" t="s">
        <v>1048</v>
      </c>
      <c r="E248" s="5"/>
    </row>
    <row r="249" spans="1:5" s="15" customFormat="1" x14ac:dyDescent="0.2">
      <c r="A249" s="17" t="s">
        <v>1094</v>
      </c>
      <c r="B249">
        <v>14</v>
      </c>
      <c r="C249" t="s">
        <v>1049</v>
      </c>
      <c r="D249" t="s">
        <v>1089</v>
      </c>
      <c r="E249" s="5"/>
    </row>
    <row r="250" spans="1:5" s="15" customFormat="1" x14ac:dyDescent="0.2">
      <c r="A250" s="17" t="s">
        <v>1094</v>
      </c>
      <c r="B250" s="17">
        <v>15</v>
      </c>
      <c r="C250" s="17" t="s">
        <v>1051</v>
      </c>
      <c r="D250" t="s">
        <v>1052</v>
      </c>
      <c r="E250" s="5"/>
    </row>
    <row r="251" spans="1:5" s="15" customFormat="1" x14ac:dyDescent="0.2">
      <c r="A251" s="17" t="s">
        <v>1094</v>
      </c>
      <c r="B251" s="17">
        <v>16</v>
      </c>
      <c r="C251" s="17" t="s">
        <v>1053</v>
      </c>
      <c r="D251" t="s">
        <v>1054</v>
      </c>
      <c r="E251" s="5"/>
    </row>
    <row r="252" spans="1:5" s="15" customFormat="1" x14ac:dyDescent="0.2">
      <c r="A252" s="17" t="s">
        <v>1094</v>
      </c>
      <c r="B252" s="17">
        <v>17</v>
      </c>
      <c r="C252" s="17" t="s">
        <v>1055</v>
      </c>
      <c r="D252" t="s">
        <v>1090</v>
      </c>
      <c r="E252" s="5"/>
    </row>
    <row r="253" spans="1:5" s="15" customFormat="1" x14ac:dyDescent="0.2">
      <c r="A253" s="17" t="s">
        <v>1094</v>
      </c>
      <c r="B253" s="17">
        <v>18</v>
      </c>
      <c r="C253" s="17" t="s">
        <v>1095</v>
      </c>
      <c r="D253" t="s">
        <v>1058</v>
      </c>
      <c r="E253" s="5"/>
    </row>
    <row r="254" spans="1:5" s="15" customFormat="1" x14ac:dyDescent="0.2">
      <c r="A254" s="17" t="s">
        <v>1094</v>
      </c>
      <c r="B254" s="17">
        <v>19</v>
      </c>
      <c r="C254" s="17" t="s">
        <v>1096</v>
      </c>
      <c r="D254" s="17" t="s">
        <v>1093</v>
      </c>
      <c r="E254" s="5"/>
    </row>
    <row r="255" spans="1:5" s="15" customFormat="1" x14ac:dyDescent="0.2">
      <c r="A255" s="17" t="s">
        <v>1094</v>
      </c>
      <c r="B255" s="18">
        <v>20</v>
      </c>
      <c r="C255" s="17" t="s">
        <v>850</v>
      </c>
      <c r="D255" t="s">
        <v>851</v>
      </c>
      <c r="E255" s="5"/>
    </row>
    <row r="256" spans="1:5" s="15" customFormat="1" x14ac:dyDescent="0.2">
      <c r="A256" s="17" t="s">
        <v>1094</v>
      </c>
      <c r="B256" s="18">
        <v>21</v>
      </c>
      <c r="C256" s="17" t="s">
        <v>852</v>
      </c>
      <c r="D256" t="s">
        <v>853</v>
      </c>
      <c r="E256" s="5"/>
    </row>
    <row r="257" spans="1:5" s="12" customFormat="1" x14ac:dyDescent="0.2">
      <c r="E257" s="8"/>
    </row>
    <row r="258" spans="1:5" x14ac:dyDescent="0.2">
      <c r="A258" t="s">
        <v>295</v>
      </c>
      <c r="B258" t="s">
        <v>1097</v>
      </c>
      <c r="C258" t="s">
        <v>1098</v>
      </c>
      <c r="D258" t="s">
        <v>1099</v>
      </c>
      <c r="E258" s="4"/>
    </row>
    <row r="259" spans="1:5" x14ac:dyDescent="0.2">
      <c r="A259" t="s">
        <v>295</v>
      </c>
      <c r="B259" t="s">
        <v>1100</v>
      </c>
      <c r="C259" t="s">
        <v>1101</v>
      </c>
      <c r="D259" t="s">
        <v>1102</v>
      </c>
      <c r="E259" s="4"/>
    </row>
    <row r="260" spans="1:5" x14ac:dyDescent="0.2">
      <c r="A260" t="s">
        <v>295</v>
      </c>
      <c r="B260" t="s">
        <v>1103</v>
      </c>
      <c r="C260" t="s">
        <v>1104</v>
      </c>
      <c r="D260" t="s">
        <v>1105</v>
      </c>
      <c r="E260" s="4"/>
    </row>
    <row r="261" spans="1:5" x14ac:dyDescent="0.2">
      <c r="A261" t="s">
        <v>295</v>
      </c>
      <c r="B261" t="s">
        <v>1106</v>
      </c>
      <c r="C261" t="s">
        <v>1107</v>
      </c>
      <c r="D261" t="s">
        <v>1108</v>
      </c>
      <c r="E261" s="4"/>
    </row>
    <row r="262" spans="1:5" x14ac:dyDescent="0.2">
      <c r="A262" t="s">
        <v>295</v>
      </c>
      <c r="B262" t="s">
        <v>1109</v>
      </c>
      <c r="C262" t="s">
        <v>1110</v>
      </c>
      <c r="D262" t="s">
        <v>1111</v>
      </c>
      <c r="E262" s="4"/>
    </row>
    <row r="263" spans="1:5" x14ac:dyDescent="0.2">
      <c r="A263" t="s">
        <v>295</v>
      </c>
      <c r="B263" t="s">
        <v>1112</v>
      </c>
      <c r="C263" t="s">
        <v>1113</v>
      </c>
      <c r="D263" t="s">
        <v>1114</v>
      </c>
      <c r="E263" s="4"/>
    </row>
    <row r="264" spans="1:5" x14ac:dyDescent="0.2">
      <c r="A264" t="s">
        <v>295</v>
      </c>
      <c r="B264" t="s">
        <v>1115</v>
      </c>
      <c r="C264" t="s">
        <v>1116</v>
      </c>
      <c r="D264" t="s">
        <v>1117</v>
      </c>
      <c r="E264" s="4"/>
    </row>
    <row r="265" spans="1:5" x14ac:dyDescent="0.2">
      <c r="A265" t="s">
        <v>295</v>
      </c>
      <c r="B265" t="s">
        <v>1118</v>
      </c>
      <c r="C265" t="s">
        <v>1119</v>
      </c>
      <c r="D265" t="s">
        <v>1120</v>
      </c>
      <c r="E265" s="4"/>
    </row>
    <row r="266" spans="1:5" x14ac:dyDescent="0.2">
      <c r="A266" t="s">
        <v>295</v>
      </c>
      <c r="B266" t="s">
        <v>1121</v>
      </c>
      <c r="C266" t="s">
        <v>1122</v>
      </c>
      <c r="D266" t="s">
        <v>1123</v>
      </c>
      <c r="E266" s="4"/>
    </row>
    <row r="267" spans="1:5" x14ac:dyDescent="0.2">
      <c r="A267" t="s">
        <v>295</v>
      </c>
      <c r="B267" t="s">
        <v>1124</v>
      </c>
      <c r="C267" t="s">
        <v>1125</v>
      </c>
      <c r="D267" t="s">
        <v>1126</v>
      </c>
      <c r="E267" s="4"/>
    </row>
    <row r="268" spans="1:5" x14ac:dyDescent="0.2">
      <c r="A268" t="s">
        <v>295</v>
      </c>
      <c r="B268" t="s">
        <v>1127</v>
      </c>
      <c r="C268" t="s">
        <v>1128</v>
      </c>
      <c r="D268" t="s">
        <v>1129</v>
      </c>
      <c r="E268" s="4"/>
    </row>
    <row r="269" spans="1:5" x14ac:dyDescent="0.2">
      <c r="A269" t="s">
        <v>295</v>
      </c>
      <c r="B269" t="s">
        <v>1130</v>
      </c>
      <c r="C269" t="s">
        <v>1131</v>
      </c>
      <c r="D269" t="s">
        <v>1132</v>
      </c>
      <c r="E269" s="4"/>
    </row>
    <row r="270" spans="1:5" x14ac:dyDescent="0.2">
      <c r="A270" t="s">
        <v>295</v>
      </c>
      <c r="B270" t="s">
        <v>1133</v>
      </c>
      <c r="C270" t="s">
        <v>1134</v>
      </c>
      <c r="D270" t="s">
        <v>1135</v>
      </c>
      <c r="E270" s="4"/>
    </row>
    <row r="271" spans="1:5" x14ac:dyDescent="0.2">
      <c r="A271" t="s">
        <v>295</v>
      </c>
      <c r="B271" t="s">
        <v>1136</v>
      </c>
      <c r="C271" t="s">
        <v>1137</v>
      </c>
      <c r="D271" t="s">
        <v>1138</v>
      </c>
      <c r="E271" s="4"/>
    </row>
    <row r="272" spans="1:5" x14ac:dyDescent="0.2">
      <c r="A272" t="s">
        <v>295</v>
      </c>
      <c r="B272" t="s">
        <v>1139</v>
      </c>
      <c r="C272" t="s">
        <v>1140</v>
      </c>
      <c r="D272" t="s">
        <v>1141</v>
      </c>
      <c r="E272" s="4"/>
    </row>
    <row r="273" spans="1:5" x14ac:dyDescent="0.2">
      <c r="A273" t="s">
        <v>295</v>
      </c>
      <c r="B273" t="s">
        <v>1142</v>
      </c>
      <c r="C273" t="s">
        <v>1143</v>
      </c>
      <c r="D273" t="s">
        <v>1144</v>
      </c>
      <c r="E273" s="4"/>
    </row>
    <row r="274" spans="1:5" x14ac:dyDescent="0.2">
      <c r="A274" t="s">
        <v>295</v>
      </c>
      <c r="B274" t="s">
        <v>1145</v>
      </c>
      <c r="C274" t="s">
        <v>1146</v>
      </c>
      <c r="D274" t="s">
        <v>1147</v>
      </c>
      <c r="E274" s="4"/>
    </row>
    <row r="275" spans="1:5" x14ac:dyDescent="0.2">
      <c r="A275" t="s">
        <v>295</v>
      </c>
      <c r="B275" t="s">
        <v>1148</v>
      </c>
      <c r="C275" t="s">
        <v>1149</v>
      </c>
      <c r="D275" t="s">
        <v>1150</v>
      </c>
      <c r="E275" s="4"/>
    </row>
    <row r="276" spans="1:5" x14ac:dyDescent="0.2">
      <c r="A276" t="s">
        <v>295</v>
      </c>
      <c r="B276" t="s">
        <v>1151</v>
      </c>
      <c r="C276" t="s">
        <v>1152</v>
      </c>
      <c r="D276" t="s">
        <v>1153</v>
      </c>
      <c r="E276" s="4"/>
    </row>
    <row r="277" spans="1:5" x14ac:dyDescent="0.2">
      <c r="A277" t="s">
        <v>295</v>
      </c>
      <c r="B277" t="s">
        <v>1154</v>
      </c>
      <c r="C277" t="s">
        <v>1155</v>
      </c>
      <c r="D277" t="s">
        <v>1156</v>
      </c>
      <c r="E277" s="4"/>
    </row>
    <row r="278" spans="1:5" x14ac:dyDescent="0.2">
      <c r="A278" t="s">
        <v>295</v>
      </c>
      <c r="B278" t="s">
        <v>1157</v>
      </c>
      <c r="C278" t="s">
        <v>1158</v>
      </c>
      <c r="D278" t="s">
        <v>1159</v>
      </c>
      <c r="E278" s="4"/>
    </row>
    <row r="279" spans="1:5" x14ac:dyDescent="0.2">
      <c r="A279" t="s">
        <v>295</v>
      </c>
      <c r="B279" t="s">
        <v>1160</v>
      </c>
      <c r="C279" t="s">
        <v>1161</v>
      </c>
      <c r="D279" t="s">
        <v>1162</v>
      </c>
      <c r="E279" s="4"/>
    </row>
    <row r="280" spans="1:5" x14ac:dyDescent="0.2">
      <c r="A280" t="s">
        <v>295</v>
      </c>
      <c r="B280" t="s">
        <v>1163</v>
      </c>
      <c r="C280" t="s">
        <v>1164</v>
      </c>
      <c r="D280" t="s">
        <v>1165</v>
      </c>
      <c r="E280" s="4"/>
    </row>
    <row r="281" spans="1:5" x14ac:dyDescent="0.2">
      <c r="A281" t="s">
        <v>295</v>
      </c>
      <c r="B281" t="s">
        <v>1166</v>
      </c>
      <c r="C281" t="s">
        <v>1167</v>
      </c>
      <c r="D281" t="s">
        <v>1168</v>
      </c>
      <c r="E281" s="4"/>
    </row>
    <row r="282" spans="1:5" x14ac:dyDescent="0.2">
      <c r="A282" t="s">
        <v>295</v>
      </c>
      <c r="B282" t="s">
        <v>1169</v>
      </c>
      <c r="C282" t="s">
        <v>1170</v>
      </c>
      <c r="D282" t="s">
        <v>1171</v>
      </c>
      <c r="E282" s="4"/>
    </row>
    <row r="283" spans="1:5" x14ac:dyDescent="0.2">
      <c r="A283" t="s">
        <v>295</v>
      </c>
      <c r="B283" t="s">
        <v>971</v>
      </c>
      <c r="C283" t="s">
        <v>850</v>
      </c>
      <c r="D283" t="s">
        <v>851</v>
      </c>
      <c r="E283" s="4"/>
    </row>
    <row r="284" spans="1:5" x14ac:dyDescent="0.2">
      <c r="A284" t="s">
        <v>295</v>
      </c>
      <c r="B284" t="s">
        <v>972</v>
      </c>
      <c r="C284" t="s">
        <v>852</v>
      </c>
      <c r="D284" t="s">
        <v>853</v>
      </c>
      <c r="E284" s="4"/>
    </row>
    <row r="285" spans="1:5" x14ac:dyDescent="0.2">
      <c r="E285" s="4"/>
    </row>
    <row r="286" spans="1:5" x14ac:dyDescent="0.2">
      <c r="A286" t="s">
        <v>1172</v>
      </c>
      <c r="B286" t="s">
        <v>1173</v>
      </c>
      <c r="C286" t="s">
        <v>1174</v>
      </c>
      <c r="D286" t="s">
        <v>1175</v>
      </c>
      <c r="E286" s="4"/>
    </row>
    <row r="287" spans="1:5" x14ac:dyDescent="0.2">
      <c r="A287" t="s">
        <v>1172</v>
      </c>
      <c r="B287" t="s">
        <v>1176</v>
      </c>
      <c r="C287" t="s">
        <v>1177</v>
      </c>
      <c r="D287" t="s">
        <v>1178</v>
      </c>
      <c r="E287" s="4"/>
    </row>
    <row r="288" spans="1:5" x14ac:dyDescent="0.2">
      <c r="A288" t="s">
        <v>1172</v>
      </c>
      <c r="B288" t="s">
        <v>1179</v>
      </c>
      <c r="C288" t="s">
        <v>1180</v>
      </c>
      <c r="D288" t="s">
        <v>1181</v>
      </c>
      <c r="E288" s="4"/>
    </row>
    <row r="289" spans="1:5" x14ac:dyDescent="0.2">
      <c r="A289" t="s">
        <v>1172</v>
      </c>
      <c r="B289" t="s">
        <v>1182</v>
      </c>
      <c r="C289" t="s">
        <v>1183</v>
      </c>
      <c r="D289" t="s">
        <v>1184</v>
      </c>
      <c r="E289" s="4"/>
    </row>
    <row r="290" spans="1:5" x14ac:dyDescent="0.2">
      <c r="A290" t="s">
        <v>1172</v>
      </c>
      <c r="B290" t="s">
        <v>1185</v>
      </c>
      <c r="C290" t="s">
        <v>1186</v>
      </c>
      <c r="D290" t="s">
        <v>1187</v>
      </c>
      <c r="E290" s="4"/>
    </row>
    <row r="291" spans="1:5" x14ac:dyDescent="0.2">
      <c r="A291" t="s">
        <v>1172</v>
      </c>
      <c r="B291" t="s">
        <v>1188</v>
      </c>
      <c r="C291" t="s">
        <v>1189</v>
      </c>
      <c r="D291" t="s">
        <v>1190</v>
      </c>
      <c r="E291" s="4"/>
    </row>
    <row r="292" spans="1:5" x14ac:dyDescent="0.2">
      <c r="A292" t="s">
        <v>1172</v>
      </c>
      <c r="B292" t="s">
        <v>1191</v>
      </c>
      <c r="C292" t="s">
        <v>1192</v>
      </c>
      <c r="D292" t="s">
        <v>1193</v>
      </c>
      <c r="E292" s="4"/>
    </row>
    <row r="293" spans="1:5" x14ac:dyDescent="0.2">
      <c r="A293" t="s">
        <v>1172</v>
      </c>
      <c r="B293" t="s">
        <v>1194</v>
      </c>
      <c r="C293" t="s">
        <v>1195</v>
      </c>
      <c r="D293" t="s">
        <v>1196</v>
      </c>
      <c r="E293" s="4"/>
    </row>
    <row r="294" spans="1:5" x14ac:dyDescent="0.2">
      <c r="A294" t="s">
        <v>1172</v>
      </c>
      <c r="B294" t="s">
        <v>965</v>
      </c>
      <c r="C294" t="s">
        <v>1197</v>
      </c>
      <c r="D294" t="s">
        <v>1198</v>
      </c>
      <c r="E294" s="4"/>
    </row>
    <row r="295" spans="1:5" x14ac:dyDescent="0.2">
      <c r="A295" t="s">
        <v>1172</v>
      </c>
      <c r="B295" t="s">
        <v>968</v>
      </c>
      <c r="C295" t="s">
        <v>1199</v>
      </c>
      <c r="D295" t="s">
        <v>1200</v>
      </c>
      <c r="E295" s="4"/>
    </row>
    <row r="296" spans="1:5" x14ac:dyDescent="0.2">
      <c r="A296" t="s">
        <v>1172</v>
      </c>
      <c r="B296" t="s">
        <v>971</v>
      </c>
      <c r="C296" t="s">
        <v>850</v>
      </c>
      <c r="D296" t="s">
        <v>851</v>
      </c>
      <c r="E296" s="4"/>
    </row>
    <row r="297" spans="1:5" x14ac:dyDescent="0.2">
      <c r="A297" t="s">
        <v>1172</v>
      </c>
      <c r="B297" t="s">
        <v>972</v>
      </c>
      <c r="C297" t="s">
        <v>852</v>
      </c>
      <c r="D297" t="s">
        <v>853</v>
      </c>
      <c r="E297" s="4"/>
    </row>
    <row r="298" spans="1:5" x14ac:dyDescent="0.2">
      <c r="E298" s="4"/>
    </row>
    <row r="299" spans="1:5" s="14" customFormat="1" x14ac:dyDescent="0.2">
      <c r="A299" s="17" t="s">
        <v>1201</v>
      </c>
      <c r="B299" s="17">
        <v>1</v>
      </c>
      <c r="C299" s="17" t="s">
        <v>1202</v>
      </c>
      <c r="D299" s="17" t="s">
        <v>1202</v>
      </c>
      <c r="E299" s="16"/>
    </row>
    <row r="300" spans="1:5" s="14" customFormat="1" x14ac:dyDescent="0.2">
      <c r="A300" s="17" t="s">
        <v>1201</v>
      </c>
      <c r="B300" s="17">
        <v>2</v>
      </c>
      <c r="C300" s="17" t="s">
        <v>1203</v>
      </c>
      <c r="D300" s="17" t="s">
        <v>1203</v>
      </c>
      <c r="E300" s="16"/>
    </row>
    <row r="301" spans="1:5" s="14" customFormat="1" x14ac:dyDescent="0.2">
      <c r="A301" s="17" t="s">
        <v>1201</v>
      </c>
      <c r="B301" s="17">
        <v>3</v>
      </c>
      <c r="C301" s="17" t="s">
        <v>1204</v>
      </c>
      <c r="D301" s="17" t="s">
        <v>1205</v>
      </c>
      <c r="E301" s="16"/>
    </row>
    <row r="302" spans="1:5" s="14" customFormat="1" x14ac:dyDescent="0.2">
      <c r="A302" s="17" t="s">
        <v>1201</v>
      </c>
      <c r="B302" s="17">
        <v>4</v>
      </c>
      <c r="C302" s="17" t="s">
        <v>1206</v>
      </c>
      <c r="D302" s="17" t="s">
        <v>1207</v>
      </c>
      <c r="E302" s="16"/>
    </row>
    <row r="303" spans="1:5" s="14" customFormat="1" x14ac:dyDescent="0.2">
      <c r="A303" s="15" t="s">
        <v>1201</v>
      </c>
      <c r="B303" s="15">
        <v>5</v>
      </c>
      <c r="C303" s="171" t="s">
        <v>1208</v>
      </c>
      <c r="D303" s="171" t="s">
        <v>1209</v>
      </c>
      <c r="E303" s="16"/>
    </row>
    <row r="304" spans="1:5" s="14" customFormat="1" x14ac:dyDescent="0.2">
      <c r="E304" s="16"/>
    </row>
    <row r="305" spans="1:5" s="15" customFormat="1" x14ac:dyDescent="0.2">
      <c r="A305" s="17" t="s">
        <v>1210</v>
      </c>
      <c r="B305" s="17">
        <v>1</v>
      </c>
      <c r="C305" s="17" t="s">
        <v>1211</v>
      </c>
      <c r="D305" s="17" t="s">
        <v>1212</v>
      </c>
      <c r="E305" s="5"/>
    </row>
    <row r="306" spans="1:5" s="15" customFormat="1" x14ac:dyDescent="0.2">
      <c r="A306" s="17" t="s">
        <v>1210</v>
      </c>
      <c r="B306" s="17">
        <v>2</v>
      </c>
      <c r="C306" s="17" t="s">
        <v>1213</v>
      </c>
      <c r="D306" s="17" t="s">
        <v>1214</v>
      </c>
      <c r="E306" s="5"/>
    </row>
    <row r="307" spans="1:5" s="14" customFormat="1" x14ac:dyDescent="0.2">
      <c r="E307" s="16"/>
    </row>
    <row r="308" spans="1:5" s="14" customFormat="1" x14ac:dyDescent="0.2">
      <c r="A308" s="17" t="s">
        <v>1215</v>
      </c>
      <c r="B308" s="17">
        <v>1</v>
      </c>
      <c r="C308" s="17" t="s">
        <v>1216</v>
      </c>
      <c r="D308" s="17" t="s">
        <v>1217</v>
      </c>
      <c r="E308" s="16"/>
    </row>
    <row r="309" spans="1:5" s="14" customFormat="1" x14ac:dyDescent="0.2">
      <c r="A309" s="17" t="s">
        <v>1215</v>
      </c>
      <c r="B309" s="17">
        <v>2</v>
      </c>
      <c r="C309" s="17" t="s">
        <v>1218</v>
      </c>
      <c r="D309" s="17" t="s">
        <v>1219</v>
      </c>
      <c r="E309" s="16"/>
    </row>
    <row r="310" spans="1:5" s="14" customFormat="1" x14ac:dyDescent="0.2">
      <c r="A310" s="17" t="s">
        <v>1215</v>
      </c>
      <c r="B310" s="17">
        <v>3</v>
      </c>
      <c r="C310" s="17" t="s">
        <v>1220</v>
      </c>
      <c r="D310" s="17" t="s">
        <v>1221</v>
      </c>
      <c r="E310" s="16"/>
    </row>
    <row r="311" spans="1:5" s="14" customFormat="1" x14ac:dyDescent="0.2">
      <c r="A311" s="17" t="s">
        <v>1215</v>
      </c>
      <c r="B311" s="17">
        <v>4</v>
      </c>
      <c r="C311" s="17" t="s">
        <v>1222</v>
      </c>
      <c r="D311" s="17" t="s">
        <v>1223</v>
      </c>
      <c r="E311" s="16"/>
    </row>
    <row r="312" spans="1:5" s="14" customFormat="1" x14ac:dyDescent="0.2">
      <c r="A312" s="17" t="s">
        <v>1215</v>
      </c>
      <c r="B312" s="17">
        <v>5</v>
      </c>
      <c r="C312" s="17" t="s">
        <v>1224</v>
      </c>
      <c r="D312" s="17" t="s">
        <v>1225</v>
      </c>
      <c r="E312" s="16"/>
    </row>
    <row r="313" spans="1:5" s="14" customFormat="1" x14ac:dyDescent="0.2">
      <c r="A313" s="17" t="s">
        <v>1215</v>
      </c>
      <c r="B313" s="17">
        <v>6</v>
      </c>
      <c r="C313" s="17" t="s">
        <v>1197</v>
      </c>
      <c r="D313" s="17" t="s">
        <v>1198</v>
      </c>
      <c r="E313" s="16"/>
    </row>
    <row r="314" spans="1:5" s="14" customFormat="1" x14ac:dyDescent="0.2">
      <c r="A314" s="17" t="s">
        <v>1215</v>
      </c>
      <c r="B314" s="17">
        <v>7</v>
      </c>
      <c r="C314" s="17" t="s">
        <v>850</v>
      </c>
      <c r="D314" s="17" t="s">
        <v>851</v>
      </c>
      <c r="E314" s="16"/>
    </row>
    <row r="315" spans="1:5" s="14" customFormat="1" x14ac:dyDescent="0.2">
      <c r="A315" s="17" t="s">
        <v>1215</v>
      </c>
      <c r="B315" s="17">
        <v>8</v>
      </c>
      <c r="C315" s="17" t="s">
        <v>852</v>
      </c>
      <c r="D315" s="17" t="s">
        <v>853</v>
      </c>
      <c r="E315" s="16"/>
    </row>
    <row r="316" spans="1:5" x14ac:dyDescent="0.2">
      <c r="E316" s="4"/>
    </row>
    <row r="317" spans="1:5" s="14" customFormat="1" x14ac:dyDescent="0.2">
      <c r="A317" s="13" t="s">
        <v>1226</v>
      </c>
      <c r="B317" s="13">
        <v>1</v>
      </c>
      <c r="C317" s="13" t="s">
        <v>1227</v>
      </c>
      <c r="D317" s="3" t="s">
        <v>1228</v>
      </c>
      <c r="E317" s="16"/>
    </row>
    <row r="318" spans="1:5" s="14" customFormat="1" x14ac:dyDescent="0.2">
      <c r="A318" s="13" t="s">
        <v>1226</v>
      </c>
      <c r="B318" s="13">
        <v>2</v>
      </c>
      <c r="C318" s="13" t="s">
        <v>1229</v>
      </c>
      <c r="D318" s="3" t="s">
        <v>1230</v>
      </c>
      <c r="E318" s="16"/>
    </row>
    <row r="319" spans="1:5" s="14" customFormat="1" x14ac:dyDescent="0.2">
      <c r="A319" s="13" t="s">
        <v>1226</v>
      </c>
      <c r="B319" s="13">
        <v>3</v>
      </c>
      <c r="C319" s="13" t="s">
        <v>1231</v>
      </c>
      <c r="D319" s="3" t="s">
        <v>1232</v>
      </c>
      <c r="E319" s="16"/>
    </row>
    <row r="320" spans="1:5" s="14" customFormat="1" x14ac:dyDescent="0.2">
      <c r="A320" s="13" t="s">
        <v>1226</v>
      </c>
      <c r="B320" s="13">
        <v>4</v>
      </c>
      <c r="C320" s="13" t="s">
        <v>1233</v>
      </c>
      <c r="D320" s="3" t="s">
        <v>1234</v>
      </c>
      <c r="E320" s="16"/>
    </row>
    <row r="321" spans="1:6" s="14" customFormat="1" x14ac:dyDescent="0.2">
      <c r="A321" s="13" t="s">
        <v>1226</v>
      </c>
      <c r="B321" s="13">
        <v>5</v>
      </c>
      <c r="C321" s="13" t="s">
        <v>1235</v>
      </c>
      <c r="D321" s="3" t="s">
        <v>1236</v>
      </c>
      <c r="E321" s="16"/>
    </row>
    <row r="322" spans="1:6" s="14" customFormat="1" x14ac:dyDescent="0.2">
      <c r="A322" s="13" t="s">
        <v>1226</v>
      </c>
      <c r="B322" s="13">
        <v>6</v>
      </c>
      <c r="C322" s="13" t="s">
        <v>850</v>
      </c>
      <c r="D322" s="3" t="s">
        <v>851</v>
      </c>
      <c r="E322" s="16"/>
    </row>
    <row r="323" spans="1:6" s="14" customFormat="1" x14ac:dyDescent="0.2">
      <c r="A323" s="13" t="s">
        <v>1226</v>
      </c>
      <c r="B323" s="13">
        <v>7</v>
      </c>
      <c r="C323" s="13" t="s">
        <v>852</v>
      </c>
      <c r="D323" s="3" t="s">
        <v>853</v>
      </c>
      <c r="E323" s="16"/>
    </row>
    <row r="324" spans="1:6" x14ac:dyDescent="0.2">
      <c r="E324" s="4"/>
      <c r="F324" s="14"/>
    </row>
    <row r="325" spans="1:6" s="14" customFormat="1" x14ac:dyDescent="0.2">
      <c r="A325" s="13" t="s">
        <v>1237</v>
      </c>
      <c r="B325" s="13" t="s">
        <v>1238</v>
      </c>
      <c r="C325" s="13" t="s">
        <v>1239</v>
      </c>
      <c r="D325" s="13" t="s">
        <v>1240</v>
      </c>
      <c r="E325" s="16"/>
    </row>
    <row r="326" spans="1:6" s="14" customFormat="1" x14ac:dyDescent="0.2">
      <c r="A326" s="13" t="s">
        <v>1237</v>
      </c>
      <c r="B326" s="13" t="s">
        <v>1241</v>
      </c>
      <c r="C326" s="13" t="s">
        <v>1242</v>
      </c>
      <c r="D326" s="13" t="s">
        <v>1243</v>
      </c>
      <c r="E326" s="16"/>
    </row>
    <row r="327" spans="1:6" s="14" customFormat="1" x14ac:dyDescent="0.2">
      <c r="A327" s="13" t="s">
        <v>1237</v>
      </c>
      <c r="B327" s="13" t="s">
        <v>1244</v>
      </c>
      <c r="C327" s="13" t="s">
        <v>1245</v>
      </c>
      <c r="D327" s="13" t="s">
        <v>1246</v>
      </c>
      <c r="E327" s="16"/>
    </row>
    <row r="328" spans="1:6" s="14" customFormat="1" x14ac:dyDescent="0.2">
      <c r="A328" s="13" t="s">
        <v>1237</v>
      </c>
      <c r="B328" s="13" t="s">
        <v>1247</v>
      </c>
      <c r="C328" s="13" t="s">
        <v>1248</v>
      </c>
      <c r="D328" s="13" t="s">
        <v>1249</v>
      </c>
      <c r="E328" s="16"/>
    </row>
    <row r="329" spans="1:6" s="14" customFormat="1" x14ac:dyDescent="0.2">
      <c r="A329" s="13" t="s">
        <v>1237</v>
      </c>
      <c r="B329" s="13" t="s">
        <v>1250</v>
      </c>
      <c r="C329" s="13" t="s">
        <v>1251</v>
      </c>
      <c r="D329" s="13" t="s">
        <v>1252</v>
      </c>
      <c r="E329" s="16"/>
    </row>
    <row r="330" spans="1:6" s="14" customFormat="1" x14ac:dyDescent="0.2">
      <c r="A330" s="13" t="s">
        <v>1237</v>
      </c>
      <c r="B330" s="13" t="s">
        <v>1253</v>
      </c>
      <c r="C330" s="13" t="s">
        <v>1254</v>
      </c>
      <c r="D330" s="13" t="s">
        <v>1255</v>
      </c>
      <c r="E330" s="16"/>
    </row>
    <row r="331" spans="1:6" s="14" customFormat="1" x14ac:dyDescent="0.2">
      <c r="A331" s="13" t="s">
        <v>1237</v>
      </c>
      <c r="B331" s="14" t="s">
        <v>1256</v>
      </c>
      <c r="C331" s="13" t="s">
        <v>1257</v>
      </c>
      <c r="D331" s="13" t="s">
        <v>1258</v>
      </c>
      <c r="E331" s="16"/>
    </row>
    <row r="332" spans="1:6" s="14" customFormat="1" x14ac:dyDescent="0.2">
      <c r="A332" s="13" t="s">
        <v>1237</v>
      </c>
      <c r="B332" s="13" t="s">
        <v>965</v>
      </c>
      <c r="C332" s="13" t="s">
        <v>1259</v>
      </c>
      <c r="D332" s="13" t="s">
        <v>1260</v>
      </c>
      <c r="E332" s="16"/>
    </row>
    <row r="333" spans="1:6" s="14" customFormat="1" x14ac:dyDescent="0.2">
      <c r="A333" s="13" t="s">
        <v>1237</v>
      </c>
      <c r="B333" s="13" t="s">
        <v>971</v>
      </c>
      <c r="C333" s="13" t="s">
        <v>850</v>
      </c>
      <c r="D333" s="13" t="s">
        <v>851</v>
      </c>
      <c r="E333" s="16"/>
    </row>
    <row r="334" spans="1:6" s="14" customFormat="1" x14ac:dyDescent="0.2">
      <c r="A334" s="13" t="s">
        <v>1237</v>
      </c>
      <c r="B334" s="13" t="s">
        <v>972</v>
      </c>
      <c r="C334" s="13" t="s">
        <v>852</v>
      </c>
      <c r="D334" s="13" t="s">
        <v>853</v>
      </c>
      <c r="E334" s="16"/>
    </row>
    <row r="335" spans="1:6" x14ac:dyDescent="0.2">
      <c r="E335" s="4"/>
    </row>
    <row r="336" spans="1:6" x14ac:dyDescent="0.2">
      <c r="A336" s="13" t="s">
        <v>1261</v>
      </c>
      <c r="B336" s="13">
        <v>1</v>
      </c>
      <c r="C336" s="13" t="s">
        <v>1262</v>
      </c>
      <c r="D336" s="13" t="s">
        <v>1263</v>
      </c>
      <c r="E336" s="4"/>
    </row>
    <row r="337" spans="1:6" x14ac:dyDescent="0.2">
      <c r="A337" s="13" t="s">
        <v>1261</v>
      </c>
      <c r="B337" s="13">
        <v>2</v>
      </c>
      <c r="C337" s="13" t="s">
        <v>1264</v>
      </c>
      <c r="D337" s="13" t="s">
        <v>1264</v>
      </c>
      <c r="E337" s="4"/>
    </row>
    <row r="338" spans="1:6" x14ac:dyDescent="0.2">
      <c r="A338" s="13" t="s">
        <v>1261</v>
      </c>
      <c r="B338" s="13">
        <v>3</v>
      </c>
      <c r="C338" s="13" t="s">
        <v>1265</v>
      </c>
      <c r="D338" s="13" t="s">
        <v>1266</v>
      </c>
      <c r="E338" s="4"/>
    </row>
    <row r="339" spans="1:6" x14ac:dyDescent="0.2">
      <c r="A339" s="13" t="s">
        <v>1261</v>
      </c>
      <c r="B339" s="13">
        <v>4</v>
      </c>
      <c r="C339" s="13" t="s">
        <v>1267</v>
      </c>
      <c r="D339" s="13" t="s">
        <v>1268</v>
      </c>
      <c r="E339" s="4"/>
    </row>
    <row r="340" spans="1:6" x14ac:dyDescent="0.2">
      <c r="A340" s="13" t="s">
        <v>1261</v>
      </c>
      <c r="B340" s="13">
        <v>5</v>
      </c>
      <c r="C340" s="13" t="s">
        <v>1269</v>
      </c>
      <c r="D340" s="13" t="s">
        <v>1270</v>
      </c>
      <c r="E340" s="4"/>
    </row>
    <row r="341" spans="1:6" x14ac:dyDescent="0.2">
      <c r="A341" s="13" t="s">
        <v>1261</v>
      </c>
      <c r="B341" s="13">
        <v>6</v>
      </c>
      <c r="C341" s="13" t="s">
        <v>1271</v>
      </c>
      <c r="D341" s="13" t="s">
        <v>1272</v>
      </c>
      <c r="E341" s="4"/>
    </row>
    <row r="342" spans="1:6" x14ac:dyDescent="0.2">
      <c r="A342" s="13" t="s">
        <v>1261</v>
      </c>
      <c r="B342" s="13">
        <v>7</v>
      </c>
      <c r="C342" s="13" t="s">
        <v>1273</v>
      </c>
      <c r="D342" s="13" t="s">
        <v>1274</v>
      </c>
      <c r="E342" s="4"/>
    </row>
    <row r="343" spans="1:6" x14ac:dyDescent="0.2">
      <c r="A343" s="13" t="s">
        <v>1261</v>
      </c>
      <c r="B343" s="13">
        <v>8</v>
      </c>
      <c r="C343" s="13" t="s">
        <v>1275</v>
      </c>
      <c r="D343" s="13" t="s">
        <v>1276</v>
      </c>
      <c r="E343" s="4"/>
    </row>
    <row r="344" spans="1:6" x14ac:dyDescent="0.2">
      <c r="A344" s="13" t="s">
        <v>1261</v>
      </c>
      <c r="B344" s="13">
        <v>9</v>
      </c>
      <c r="C344" s="13" t="s">
        <v>1197</v>
      </c>
      <c r="D344" s="13" t="s">
        <v>1198</v>
      </c>
      <c r="E344" s="4"/>
    </row>
    <row r="345" spans="1:6" x14ac:dyDescent="0.2">
      <c r="E345" s="4"/>
    </row>
    <row r="346" spans="1:6" x14ac:dyDescent="0.2">
      <c r="A346" s="17" t="s">
        <v>1277</v>
      </c>
      <c r="B346" s="17" t="s">
        <v>1278</v>
      </c>
      <c r="C346" s="17" t="s">
        <v>1279</v>
      </c>
      <c r="D346" t="s">
        <v>1126</v>
      </c>
      <c r="E346" s="4"/>
      <c r="F346" s="14"/>
    </row>
    <row r="347" spans="1:6" x14ac:dyDescent="0.2">
      <c r="A347" s="17" t="s">
        <v>1277</v>
      </c>
      <c r="B347" s="17" t="s">
        <v>1280</v>
      </c>
      <c r="C347" s="17" t="s">
        <v>1281</v>
      </c>
      <c r="D347" t="s">
        <v>1282</v>
      </c>
      <c r="E347" s="4"/>
      <c r="F347" s="14"/>
    </row>
    <row r="348" spans="1:6" x14ac:dyDescent="0.2">
      <c r="A348" s="17" t="s">
        <v>1277</v>
      </c>
      <c r="B348" s="17" t="s">
        <v>1283</v>
      </c>
      <c r="C348" s="17" t="s">
        <v>1284</v>
      </c>
      <c r="D348" t="s">
        <v>1285</v>
      </c>
      <c r="E348" s="4"/>
      <c r="F348" s="14"/>
    </row>
    <row r="349" spans="1:6" x14ac:dyDescent="0.2">
      <c r="A349" s="17" t="s">
        <v>1277</v>
      </c>
      <c r="B349" s="17" t="s">
        <v>1286</v>
      </c>
      <c r="C349" s="17" t="s">
        <v>1287</v>
      </c>
      <c r="D349" t="s">
        <v>1288</v>
      </c>
      <c r="E349" s="4"/>
      <c r="F349" s="14"/>
    </row>
    <row r="350" spans="1:6" x14ac:dyDescent="0.2">
      <c r="A350" s="17" t="s">
        <v>1277</v>
      </c>
      <c r="B350" s="17" t="s">
        <v>1289</v>
      </c>
      <c r="C350" s="17" t="s">
        <v>1290</v>
      </c>
      <c r="D350" t="s">
        <v>1291</v>
      </c>
      <c r="E350" s="4"/>
      <c r="F350" s="14"/>
    </row>
    <row r="351" spans="1:6" x14ac:dyDescent="0.2">
      <c r="A351" s="17" t="s">
        <v>1277</v>
      </c>
      <c r="B351" s="17" t="s">
        <v>1292</v>
      </c>
      <c r="C351" s="17" t="s">
        <v>1293</v>
      </c>
      <c r="D351" t="s">
        <v>1294</v>
      </c>
      <c r="E351" s="4"/>
      <c r="F351" s="14"/>
    </row>
    <row r="352" spans="1:6" x14ac:dyDescent="0.2">
      <c r="A352" s="17" t="s">
        <v>1277</v>
      </c>
      <c r="B352" s="17" t="s">
        <v>1295</v>
      </c>
      <c r="C352" s="17" t="s">
        <v>1296</v>
      </c>
      <c r="D352" t="s">
        <v>1297</v>
      </c>
      <c r="E352" s="4"/>
      <c r="F352" s="14"/>
    </row>
    <row r="353" spans="1:6" x14ac:dyDescent="0.2">
      <c r="A353" s="17" t="s">
        <v>1277</v>
      </c>
      <c r="B353" s="17" t="s">
        <v>1298</v>
      </c>
      <c r="C353" s="17" t="s">
        <v>1299</v>
      </c>
      <c r="D353" t="s">
        <v>1300</v>
      </c>
      <c r="E353" s="4"/>
      <c r="F353" s="14"/>
    </row>
    <row r="354" spans="1:6" x14ac:dyDescent="0.2">
      <c r="A354" s="17" t="s">
        <v>1277</v>
      </c>
      <c r="B354" s="17" t="s">
        <v>1301</v>
      </c>
      <c r="C354" s="17" t="s">
        <v>1302</v>
      </c>
      <c r="D354" t="s">
        <v>1303</v>
      </c>
      <c r="E354" s="4"/>
      <c r="F354" s="14"/>
    </row>
    <row r="355" spans="1:6" x14ac:dyDescent="0.2">
      <c r="A355" s="17" t="s">
        <v>1277</v>
      </c>
      <c r="B355" s="17" t="s">
        <v>1304</v>
      </c>
      <c r="C355" s="17" t="s">
        <v>1305</v>
      </c>
      <c r="D355" t="s">
        <v>1306</v>
      </c>
      <c r="E355" s="4"/>
      <c r="F355" s="14"/>
    </row>
    <row r="356" spans="1:6" x14ac:dyDescent="0.2">
      <c r="A356" s="17" t="s">
        <v>1277</v>
      </c>
      <c r="B356" s="17" t="s">
        <v>1307</v>
      </c>
      <c r="C356" s="17" t="s">
        <v>1308</v>
      </c>
      <c r="D356" t="s">
        <v>1309</v>
      </c>
      <c r="E356" s="4"/>
      <c r="F356" s="14"/>
    </row>
    <row r="357" spans="1:6" x14ac:dyDescent="0.2">
      <c r="A357" s="17" t="s">
        <v>1277</v>
      </c>
      <c r="B357" s="17" t="s">
        <v>1310</v>
      </c>
      <c r="C357" s="17" t="s">
        <v>1311</v>
      </c>
      <c r="D357" t="s">
        <v>1312</v>
      </c>
      <c r="E357" s="4"/>
      <c r="F357" s="14"/>
    </row>
    <row r="358" spans="1:6" x14ac:dyDescent="0.2">
      <c r="A358" s="17" t="s">
        <v>1277</v>
      </c>
      <c r="B358" s="17" t="s">
        <v>1313</v>
      </c>
      <c r="C358" s="17" t="s">
        <v>1314</v>
      </c>
      <c r="D358" t="s">
        <v>1315</v>
      </c>
      <c r="E358" s="4"/>
      <c r="F358" s="14"/>
    </row>
    <row r="359" spans="1:6" x14ac:dyDescent="0.2">
      <c r="A359" s="17" t="s">
        <v>1277</v>
      </c>
      <c r="B359" s="17" t="s">
        <v>1316</v>
      </c>
      <c r="C359" s="17" t="s">
        <v>1317</v>
      </c>
      <c r="D359" t="s">
        <v>1318</v>
      </c>
      <c r="E359" s="4"/>
      <c r="F359" s="14"/>
    </row>
    <row r="360" spans="1:6" x14ac:dyDescent="0.2">
      <c r="A360" s="17" t="s">
        <v>1277</v>
      </c>
      <c r="B360" s="17" t="s">
        <v>1319</v>
      </c>
      <c r="C360" s="17" t="s">
        <v>1320</v>
      </c>
      <c r="D360" s="3" t="s">
        <v>1321</v>
      </c>
      <c r="E360" s="4"/>
    </row>
    <row r="361" spans="1:6" x14ac:dyDescent="0.2">
      <c r="A361" s="17" t="s">
        <v>1277</v>
      </c>
      <c r="B361" s="17" t="s">
        <v>965</v>
      </c>
      <c r="C361" s="17" t="s">
        <v>1259</v>
      </c>
      <c r="D361" t="s">
        <v>1260</v>
      </c>
      <c r="E361" s="4"/>
      <c r="F361" s="14"/>
    </row>
    <row r="362" spans="1:6" x14ac:dyDescent="0.2">
      <c r="A362" s="17" t="s">
        <v>1277</v>
      </c>
      <c r="B362" s="17" t="s">
        <v>971</v>
      </c>
      <c r="C362" s="17" t="s">
        <v>850</v>
      </c>
      <c r="D362" t="s">
        <v>851</v>
      </c>
      <c r="E362" s="4"/>
    </row>
    <row r="363" spans="1:6" x14ac:dyDescent="0.2">
      <c r="A363" s="17" t="s">
        <v>1277</v>
      </c>
      <c r="B363" s="17" t="s">
        <v>972</v>
      </c>
      <c r="C363" s="17" t="s">
        <v>852</v>
      </c>
      <c r="D363" t="s">
        <v>853</v>
      </c>
      <c r="E363" s="4"/>
    </row>
    <row r="364" spans="1:6" x14ac:dyDescent="0.2">
      <c r="E364" s="4"/>
    </row>
    <row r="365" spans="1:6" s="15" customFormat="1" x14ac:dyDescent="0.2">
      <c r="A365" s="17" t="s">
        <v>1322</v>
      </c>
      <c r="B365" s="17">
        <v>1</v>
      </c>
      <c r="C365" s="17" t="s">
        <v>1323</v>
      </c>
      <c r="D365" s="17" t="s">
        <v>1324</v>
      </c>
      <c r="E365" s="5"/>
    </row>
    <row r="366" spans="1:6" s="15" customFormat="1" x14ac:dyDescent="0.2">
      <c r="A366" s="17" t="s">
        <v>1322</v>
      </c>
      <c r="B366" s="17">
        <v>2</v>
      </c>
      <c r="C366" s="17" t="s">
        <v>1325</v>
      </c>
      <c r="D366" s="17" t="s">
        <v>1326</v>
      </c>
      <c r="E366" s="5"/>
    </row>
    <row r="367" spans="1:6" s="15" customFormat="1" x14ac:dyDescent="0.2">
      <c r="A367" s="17" t="s">
        <v>1322</v>
      </c>
      <c r="B367" s="17">
        <v>3</v>
      </c>
      <c r="C367" s="17" t="s">
        <v>1327</v>
      </c>
      <c r="D367" s="17" t="s">
        <v>1328</v>
      </c>
      <c r="E367" s="5"/>
    </row>
    <row r="368" spans="1:6" s="15" customFormat="1" x14ac:dyDescent="0.2">
      <c r="A368" s="17" t="s">
        <v>1322</v>
      </c>
      <c r="B368" s="17">
        <v>4</v>
      </c>
      <c r="C368" s="17" t="s">
        <v>1329</v>
      </c>
      <c r="D368" s="17" t="s">
        <v>1330</v>
      </c>
      <c r="E368" s="5"/>
    </row>
    <row r="369" spans="1:6" s="15" customFormat="1" x14ac:dyDescent="0.2">
      <c r="A369" s="17" t="s">
        <v>1322</v>
      </c>
      <c r="B369" s="17">
        <v>5</v>
      </c>
      <c r="C369" s="17" t="s">
        <v>1331</v>
      </c>
      <c r="D369" s="17" t="s">
        <v>1332</v>
      </c>
      <c r="E369" s="5"/>
    </row>
    <row r="370" spans="1:6" s="15" customFormat="1" x14ac:dyDescent="0.2">
      <c r="A370" s="17" t="s">
        <v>1322</v>
      </c>
      <c r="B370" s="17">
        <v>6</v>
      </c>
      <c r="C370" s="17" t="s">
        <v>1333</v>
      </c>
      <c r="D370" s="17" t="s">
        <v>1334</v>
      </c>
      <c r="E370" s="5"/>
    </row>
    <row r="371" spans="1:6" s="15" customFormat="1" x14ac:dyDescent="0.2">
      <c r="A371" s="17" t="s">
        <v>1322</v>
      </c>
      <c r="B371" s="17">
        <v>7</v>
      </c>
      <c r="C371" s="17" t="s">
        <v>850</v>
      </c>
      <c r="D371" s="17" t="s">
        <v>851</v>
      </c>
      <c r="E371" s="5"/>
    </row>
    <row r="372" spans="1:6" s="15" customFormat="1" x14ac:dyDescent="0.2">
      <c r="A372" s="17" t="s">
        <v>1322</v>
      </c>
      <c r="B372" s="17">
        <v>8</v>
      </c>
      <c r="C372" s="17" t="s">
        <v>852</v>
      </c>
      <c r="D372" s="17" t="s">
        <v>853</v>
      </c>
      <c r="E372" s="5"/>
    </row>
    <row r="373" spans="1:6" x14ac:dyDescent="0.2">
      <c r="E373" s="4"/>
    </row>
    <row r="374" spans="1:6" x14ac:dyDescent="0.2">
      <c r="A374" t="s">
        <v>1335</v>
      </c>
      <c r="B374" t="s">
        <v>1336</v>
      </c>
      <c r="C374" t="s">
        <v>1337</v>
      </c>
      <c r="D374" t="s">
        <v>1338</v>
      </c>
      <c r="E374" s="4"/>
      <c r="F374" s="14"/>
    </row>
    <row r="375" spans="1:6" x14ac:dyDescent="0.2">
      <c r="A375" t="s">
        <v>1335</v>
      </c>
      <c r="B375" t="s">
        <v>1339</v>
      </c>
      <c r="C375" t="s">
        <v>1340</v>
      </c>
      <c r="D375" t="s">
        <v>1341</v>
      </c>
      <c r="E375" s="4"/>
      <c r="F375" s="14"/>
    </row>
    <row r="376" spans="1:6" x14ac:dyDescent="0.2">
      <c r="A376" t="s">
        <v>1335</v>
      </c>
      <c r="B376" t="s">
        <v>1342</v>
      </c>
      <c r="C376" t="s">
        <v>1343</v>
      </c>
      <c r="D376" t="s">
        <v>1344</v>
      </c>
      <c r="E376" s="4"/>
      <c r="F376" s="14"/>
    </row>
    <row r="377" spans="1:6" x14ac:dyDescent="0.2">
      <c r="A377" t="s">
        <v>1335</v>
      </c>
      <c r="B377" t="s">
        <v>1345</v>
      </c>
      <c r="C377" t="s">
        <v>1346</v>
      </c>
      <c r="D377" t="s">
        <v>1347</v>
      </c>
      <c r="E377" s="4"/>
      <c r="F377" s="14"/>
    </row>
    <row r="378" spans="1:6" x14ac:dyDescent="0.2">
      <c r="A378" t="s">
        <v>1335</v>
      </c>
      <c r="B378" t="s">
        <v>1348</v>
      </c>
      <c r="C378" t="s">
        <v>1349</v>
      </c>
      <c r="D378" t="s">
        <v>1350</v>
      </c>
      <c r="E378" s="4"/>
      <c r="F378" s="14"/>
    </row>
    <row r="379" spans="1:6" x14ac:dyDescent="0.2">
      <c r="A379" t="s">
        <v>1335</v>
      </c>
      <c r="B379" t="s">
        <v>1351</v>
      </c>
      <c r="C379" t="s">
        <v>1352</v>
      </c>
      <c r="D379" t="s">
        <v>1353</v>
      </c>
      <c r="E379" s="4"/>
      <c r="F379" s="14"/>
    </row>
    <row r="380" spans="1:6" x14ac:dyDescent="0.2">
      <c r="A380" t="s">
        <v>1335</v>
      </c>
      <c r="B380" t="s">
        <v>1354</v>
      </c>
      <c r="C380" t="s">
        <v>1355</v>
      </c>
      <c r="D380" t="s">
        <v>1356</v>
      </c>
      <c r="E380" s="4"/>
      <c r="F380" s="14"/>
    </row>
    <row r="381" spans="1:6" x14ac:dyDescent="0.2">
      <c r="A381" t="s">
        <v>1335</v>
      </c>
      <c r="B381" t="s">
        <v>965</v>
      </c>
      <c r="C381" t="s">
        <v>1259</v>
      </c>
      <c r="D381" t="s">
        <v>1260</v>
      </c>
      <c r="E381" s="4"/>
      <c r="F381" s="14"/>
    </row>
    <row r="382" spans="1:6" x14ac:dyDescent="0.2">
      <c r="A382" t="s">
        <v>1335</v>
      </c>
      <c r="B382" t="s">
        <v>971</v>
      </c>
      <c r="C382" t="s">
        <v>850</v>
      </c>
      <c r="D382" t="s">
        <v>851</v>
      </c>
      <c r="E382" s="4"/>
      <c r="F382" s="14"/>
    </row>
    <row r="383" spans="1:6" x14ac:dyDescent="0.2">
      <c r="A383" t="s">
        <v>1335</v>
      </c>
      <c r="B383" t="s">
        <v>972</v>
      </c>
      <c r="C383" t="s">
        <v>852</v>
      </c>
      <c r="D383" t="s">
        <v>853</v>
      </c>
      <c r="E383" s="4"/>
      <c r="F383" s="14"/>
    </row>
    <row r="384" spans="1:6" x14ac:dyDescent="0.2">
      <c r="E384" s="4"/>
    </row>
    <row r="385" spans="1:6" x14ac:dyDescent="0.2">
      <c r="A385" t="s">
        <v>439</v>
      </c>
      <c r="B385">
        <v>1</v>
      </c>
      <c r="C385" t="s">
        <v>1357</v>
      </c>
      <c r="D385" t="s">
        <v>1358</v>
      </c>
      <c r="E385" s="4"/>
    </row>
    <row r="386" spans="1:6" x14ac:dyDescent="0.2">
      <c r="A386" t="s">
        <v>439</v>
      </c>
      <c r="B386">
        <v>2</v>
      </c>
      <c r="C386" t="s">
        <v>1359</v>
      </c>
      <c r="D386" t="s">
        <v>1360</v>
      </c>
      <c r="E386" s="4"/>
    </row>
    <row r="387" spans="1:6" x14ac:dyDescent="0.2">
      <c r="A387" t="s">
        <v>439</v>
      </c>
      <c r="B387">
        <v>3</v>
      </c>
      <c r="C387" t="s">
        <v>1361</v>
      </c>
      <c r="D387" t="s">
        <v>1362</v>
      </c>
      <c r="E387" s="4"/>
    </row>
    <row r="388" spans="1:6" x14ac:dyDescent="0.2">
      <c r="A388" t="s">
        <v>439</v>
      </c>
      <c r="B388">
        <v>4</v>
      </c>
      <c r="C388" t="s">
        <v>1363</v>
      </c>
      <c r="D388" t="s">
        <v>1364</v>
      </c>
      <c r="E388" s="4"/>
    </row>
    <row r="389" spans="1:6" x14ac:dyDescent="0.2">
      <c r="A389" t="s">
        <v>439</v>
      </c>
      <c r="B389">
        <v>5</v>
      </c>
      <c r="C389" t="s">
        <v>1365</v>
      </c>
      <c r="D389" t="s">
        <v>1366</v>
      </c>
      <c r="E389" s="4"/>
    </row>
    <row r="390" spans="1:6" x14ac:dyDescent="0.2">
      <c r="A390" t="s">
        <v>439</v>
      </c>
      <c r="B390">
        <v>6</v>
      </c>
      <c r="C390" t="s">
        <v>1367</v>
      </c>
      <c r="D390" t="s">
        <v>1368</v>
      </c>
      <c r="E390" s="4"/>
    </row>
    <row r="391" spans="1:6" x14ac:dyDescent="0.2">
      <c r="A391" t="s">
        <v>439</v>
      </c>
      <c r="B391">
        <v>7</v>
      </c>
      <c r="C391" t="s">
        <v>1369</v>
      </c>
      <c r="D391" t="s">
        <v>1370</v>
      </c>
      <c r="E391" s="4"/>
    </row>
    <row r="392" spans="1:6" x14ac:dyDescent="0.2">
      <c r="A392" t="s">
        <v>439</v>
      </c>
      <c r="B392">
        <v>8</v>
      </c>
      <c r="C392" t="s">
        <v>1371</v>
      </c>
      <c r="D392" t="s">
        <v>1372</v>
      </c>
      <c r="E392" s="4"/>
    </row>
    <row r="393" spans="1:6" x14ac:dyDescent="0.2">
      <c r="A393" t="s">
        <v>439</v>
      </c>
      <c r="B393">
        <v>9</v>
      </c>
      <c r="C393" t="s">
        <v>1259</v>
      </c>
      <c r="D393" t="s">
        <v>1260</v>
      </c>
      <c r="E393" s="4"/>
    </row>
    <row r="394" spans="1:6" x14ac:dyDescent="0.2">
      <c r="A394" t="s">
        <v>439</v>
      </c>
      <c r="B394" s="18">
        <v>10</v>
      </c>
      <c r="C394" t="s">
        <v>850</v>
      </c>
      <c r="D394" t="s">
        <v>851</v>
      </c>
      <c r="E394" s="4"/>
    </row>
    <row r="395" spans="1:6" x14ac:dyDescent="0.2">
      <c r="A395" t="s">
        <v>439</v>
      </c>
      <c r="B395" s="18">
        <v>11</v>
      </c>
      <c r="C395" t="s">
        <v>852</v>
      </c>
      <c r="D395" t="s">
        <v>853</v>
      </c>
      <c r="E395" s="4"/>
    </row>
    <row r="396" spans="1:6" x14ac:dyDescent="0.2">
      <c r="E396" s="4"/>
    </row>
    <row r="397" spans="1:6" x14ac:dyDescent="0.2">
      <c r="A397" t="s">
        <v>1373</v>
      </c>
      <c r="B397" t="s">
        <v>1374</v>
      </c>
      <c r="C397" t="s">
        <v>1375</v>
      </c>
      <c r="D397" t="s">
        <v>1376</v>
      </c>
      <c r="E397" s="4"/>
      <c r="F397" s="14"/>
    </row>
    <row r="398" spans="1:6" x14ac:dyDescent="0.2">
      <c r="A398" t="s">
        <v>1373</v>
      </c>
      <c r="B398" t="s">
        <v>1377</v>
      </c>
      <c r="C398" t="s">
        <v>1378</v>
      </c>
      <c r="D398" t="s">
        <v>1379</v>
      </c>
      <c r="E398" s="4"/>
      <c r="F398" s="14"/>
    </row>
    <row r="399" spans="1:6" x14ac:dyDescent="0.2">
      <c r="A399" t="s">
        <v>1373</v>
      </c>
      <c r="B399" t="s">
        <v>1380</v>
      </c>
      <c r="C399" t="s">
        <v>1381</v>
      </c>
      <c r="D399" t="s">
        <v>1382</v>
      </c>
      <c r="E399" s="4"/>
      <c r="F399" s="14"/>
    </row>
    <row r="400" spans="1:6" x14ac:dyDescent="0.2">
      <c r="A400" t="s">
        <v>1373</v>
      </c>
      <c r="B400" t="s">
        <v>1383</v>
      </c>
      <c r="C400" t="s">
        <v>1384</v>
      </c>
      <c r="D400" t="s">
        <v>1385</v>
      </c>
      <c r="E400" s="4"/>
      <c r="F400" s="14"/>
    </row>
    <row r="401" spans="1:6" x14ac:dyDescent="0.2">
      <c r="A401" t="s">
        <v>1373</v>
      </c>
      <c r="B401" t="s">
        <v>1386</v>
      </c>
      <c r="C401" t="s">
        <v>1387</v>
      </c>
      <c r="D401" t="s">
        <v>1388</v>
      </c>
      <c r="E401" s="4"/>
      <c r="F401" s="14"/>
    </row>
    <row r="402" spans="1:6" x14ac:dyDescent="0.2">
      <c r="A402" t="s">
        <v>1373</v>
      </c>
      <c r="B402" t="s">
        <v>1389</v>
      </c>
      <c r="C402" t="s">
        <v>1390</v>
      </c>
      <c r="D402" t="s">
        <v>1391</v>
      </c>
      <c r="E402" s="4"/>
      <c r="F402" s="14"/>
    </row>
    <row r="403" spans="1:6" x14ac:dyDescent="0.2">
      <c r="A403" t="s">
        <v>1373</v>
      </c>
      <c r="B403" t="s">
        <v>1392</v>
      </c>
      <c r="C403" t="s">
        <v>1393</v>
      </c>
      <c r="D403" t="s">
        <v>1394</v>
      </c>
      <c r="E403" s="4"/>
      <c r="F403" s="14"/>
    </row>
    <row r="404" spans="1:6" x14ac:dyDescent="0.2">
      <c r="A404" t="s">
        <v>1373</v>
      </c>
      <c r="B404" t="s">
        <v>1395</v>
      </c>
      <c r="C404" t="s">
        <v>1396</v>
      </c>
      <c r="D404" t="s">
        <v>1397</v>
      </c>
      <c r="E404" s="4"/>
      <c r="F404" s="14"/>
    </row>
    <row r="405" spans="1:6" x14ac:dyDescent="0.2">
      <c r="A405" t="s">
        <v>1373</v>
      </c>
      <c r="B405" t="s">
        <v>1398</v>
      </c>
      <c r="C405" t="s">
        <v>1399</v>
      </c>
      <c r="D405" t="s">
        <v>1400</v>
      </c>
      <c r="E405" s="4"/>
      <c r="F405" s="14"/>
    </row>
    <row r="406" spans="1:6" x14ac:dyDescent="0.2">
      <c r="A406" t="s">
        <v>1373</v>
      </c>
      <c r="B406" t="s">
        <v>1401</v>
      </c>
      <c r="C406" t="s">
        <v>1402</v>
      </c>
      <c r="D406" t="s">
        <v>1403</v>
      </c>
      <c r="E406" s="4"/>
      <c r="F406" s="14"/>
    </row>
    <row r="407" spans="1:6" x14ac:dyDescent="0.2">
      <c r="A407" t="s">
        <v>1373</v>
      </c>
      <c r="B407" t="s">
        <v>1404</v>
      </c>
      <c r="C407" t="s">
        <v>1405</v>
      </c>
      <c r="D407" t="s">
        <v>1406</v>
      </c>
      <c r="E407" s="4"/>
      <c r="F407" s="14"/>
    </row>
    <row r="408" spans="1:6" x14ac:dyDescent="0.2">
      <c r="A408" t="s">
        <v>1373</v>
      </c>
      <c r="B408" t="s">
        <v>1407</v>
      </c>
      <c r="C408" t="s">
        <v>1259</v>
      </c>
      <c r="D408" t="s">
        <v>1260</v>
      </c>
      <c r="E408" s="4"/>
      <c r="F408" s="14"/>
    </row>
    <row r="409" spans="1:6" x14ac:dyDescent="0.2">
      <c r="A409" t="s">
        <v>1373</v>
      </c>
      <c r="B409" t="s">
        <v>1408</v>
      </c>
      <c r="C409" t="s">
        <v>850</v>
      </c>
      <c r="D409" t="s">
        <v>851</v>
      </c>
      <c r="E409" s="4"/>
      <c r="F409" s="14"/>
    </row>
    <row r="410" spans="1:6" ht="14.25" customHeight="1" x14ac:dyDescent="0.2">
      <c r="A410" t="s">
        <v>1373</v>
      </c>
      <c r="B410" t="s">
        <v>1409</v>
      </c>
      <c r="C410" t="s">
        <v>852</v>
      </c>
      <c r="D410" t="s">
        <v>853</v>
      </c>
      <c r="E410" s="4"/>
      <c r="F410" s="14"/>
    </row>
    <row r="411" spans="1:6" ht="14.25" customHeight="1" x14ac:dyDescent="0.2">
      <c r="E411" s="4"/>
      <c r="F411" s="14"/>
    </row>
    <row r="412" spans="1:6" s="14" customFormat="1" ht="14.25" customHeight="1" x14ac:dyDescent="0.2">
      <c r="A412" s="13" t="s">
        <v>1410</v>
      </c>
      <c r="B412" s="13" t="s">
        <v>1411</v>
      </c>
      <c r="C412" s="13" t="s">
        <v>1412</v>
      </c>
      <c r="D412" s="13" t="s">
        <v>1413</v>
      </c>
      <c r="E412" s="16"/>
    </row>
    <row r="413" spans="1:6" s="14" customFormat="1" ht="14.25" customHeight="1" x14ac:dyDescent="0.2">
      <c r="A413" s="13" t="s">
        <v>1410</v>
      </c>
      <c r="B413" s="13" t="s">
        <v>1414</v>
      </c>
      <c r="C413" s="13" t="s">
        <v>1415</v>
      </c>
      <c r="D413" s="13" t="s">
        <v>1416</v>
      </c>
      <c r="E413" s="16"/>
    </row>
    <row r="414" spans="1:6" s="14" customFormat="1" ht="14.25" customHeight="1" x14ac:dyDescent="0.2">
      <c r="A414" s="13" t="s">
        <v>1410</v>
      </c>
      <c r="B414" s="13" t="s">
        <v>1417</v>
      </c>
      <c r="C414" s="13" t="s">
        <v>1418</v>
      </c>
      <c r="D414" s="13" t="s">
        <v>1419</v>
      </c>
      <c r="E414" s="16"/>
    </row>
    <row r="415" spans="1:6" s="14" customFormat="1" ht="14.25" customHeight="1" x14ac:dyDescent="0.2">
      <c r="A415" s="13" t="s">
        <v>1410</v>
      </c>
      <c r="B415" s="13" t="s">
        <v>1420</v>
      </c>
      <c r="C415" s="13" t="s">
        <v>1421</v>
      </c>
      <c r="D415" s="13" t="s">
        <v>1422</v>
      </c>
      <c r="E415" s="16"/>
    </row>
    <row r="416" spans="1:6" s="14" customFormat="1" ht="14.25" customHeight="1" x14ac:dyDescent="0.2">
      <c r="A416" s="13" t="s">
        <v>1410</v>
      </c>
      <c r="B416" s="13" t="s">
        <v>1423</v>
      </c>
      <c r="C416" s="13" t="s">
        <v>1424</v>
      </c>
      <c r="D416" s="13" t="s">
        <v>1425</v>
      </c>
      <c r="E416" s="16"/>
    </row>
    <row r="417" spans="1:6" s="14" customFormat="1" ht="14.25" customHeight="1" x14ac:dyDescent="0.2">
      <c r="A417" s="13" t="s">
        <v>1410</v>
      </c>
      <c r="B417" s="13" t="s">
        <v>965</v>
      </c>
      <c r="C417" s="13" t="s">
        <v>1426</v>
      </c>
      <c r="D417" s="13" t="s">
        <v>1260</v>
      </c>
      <c r="E417" s="16"/>
    </row>
    <row r="418" spans="1:6" s="14" customFormat="1" ht="14.25" customHeight="1" x14ac:dyDescent="0.2">
      <c r="A418" s="13" t="s">
        <v>1410</v>
      </c>
      <c r="B418" s="13" t="s">
        <v>971</v>
      </c>
      <c r="C418" s="13" t="s">
        <v>850</v>
      </c>
      <c r="D418" s="13" t="s">
        <v>851</v>
      </c>
      <c r="E418" s="16"/>
    </row>
    <row r="419" spans="1:6" s="14" customFormat="1" ht="14.25" customHeight="1" x14ac:dyDescent="0.2">
      <c r="A419" s="13" t="s">
        <v>1410</v>
      </c>
      <c r="B419" s="13" t="s">
        <v>972</v>
      </c>
      <c r="C419" s="13" t="s">
        <v>852</v>
      </c>
      <c r="D419" s="13" t="s">
        <v>853</v>
      </c>
      <c r="E419" s="16"/>
    </row>
    <row r="420" spans="1:6" ht="14.25" customHeight="1" x14ac:dyDescent="0.2">
      <c r="E420" s="4"/>
    </row>
    <row r="421" spans="1:6" x14ac:dyDescent="0.2">
      <c r="A421" t="s">
        <v>1427</v>
      </c>
      <c r="B421" t="s">
        <v>1428</v>
      </c>
      <c r="C421" t="s">
        <v>1429</v>
      </c>
      <c r="D421" t="s">
        <v>1430</v>
      </c>
      <c r="E421" s="4"/>
      <c r="F421" s="14"/>
    </row>
    <row r="422" spans="1:6" x14ac:dyDescent="0.2">
      <c r="A422" t="s">
        <v>1427</v>
      </c>
      <c r="B422" t="s">
        <v>1431</v>
      </c>
      <c r="C422" t="s">
        <v>1432</v>
      </c>
      <c r="D422" t="s">
        <v>1433</v>
      </c>
      <c r="E422" s="4"/>
      <c r="F422" s="14"/>
    </row>
    <row r="423" spans="1:6" x14ac:dyDescent="0.2">
      <c r="A423" t="s">
        <v>1427</v>
      </c>
      <c r="B423" t="s">
        <v>1434</v>
      </c>
      <c r="C423" t="s">
        <v>1435</v>
      </c>
      <c r="D423" t="s">
        <v>1436</v>
      </c>
      <c r="E423" s="4"/>
      <c r="F423" s="14"/>
    </row>
    <row r="424" spans="1:6" x14ac:dyDescent="0.2">
      <c r="A424" t="s">
        <v>1427</v>
      </c>
      <c r="B424" t="s">
        <v>1437</v>
      </c>
      <c r="C424" t="s">
        <v>1438</v>
      </c>
      <c r="D424" t="s">
        <v>1439</v>
      </c>
      <c r="E424" s="4"/>
      <c r="F424" s="14"/>
    </row>
    <row r="425" spans="1:6" x14ac:dyDescent="0.2">
      <c r="A425" t="s">
        <v>1427</v>
      </c>
      <c r="B425" t="s">
        <v>1440</v>
      </c>
      <c r="C425" t="s">
        <v>1441</v>
      </c>
      <c r="D425" t="s">
        <v>1442</v>
      </c>
      <c r="E425" s="4"/>
      <c r="F425" s="14"/>
    </row>
    <row r="426" spans="1:6" x14ac:dyDescent="0.2">
      <c r="A426" t="s">
        <v>1427</v>
      </c>
      <c r="B426" t="s">
        <v>1443</v>
      </c>
      <c r="C426" t="s">
        <v>1444</v>
      </c>
      <c r="D426" t="s">
        <v>1445</v>
      </c>
      <c r="E426" s="4"/>
      <c r="F426" s="14"/>
    </row>
    <row r="427" spans="1:6" x14ac:dyDescent="0.2">
      <c r="A427" t="s">
        <v>1427</v>
      </c>
      <c r="B427" t="s">
        <v>1446</v>
      </c>
      <c r="C427" t="s">
        <v>1447</v>
      </c>
      <c r="D427" t="s">
        <v>1448</v>
      </c>
      <c r="E427" s="4"/>
      <c r="F427" s="14"/>
    </row>
    <row r="428" spans="1:6" x14ac:dyDescent="0.2">
      <c r="A428" t="s">
        <v>1427</v>
      </c>
      <c r="B428" t="s">
        <v>1449</v>
      </c>
      <c r="C428" t="s">
        <v>1450</v>
      </c>
      <c r="D428" t="s">
        <v>1451</v>
      </c>
      <c r="E428" s="4"/>
      <c r="F428" s="14"/>
    </row>
    <row r="429" spans="1:6" x14ac:dyDescent="0.2">
      <c r="A429" t="s">
        <v>1427</v>
      </c>
      <c r="B429" t="s">
        <v>1319</v>
      </c>
      <c r="C429" t="s">
        <v>1320</v>
      </c>
      <c r="D429" t="s">
        <v>1321</v>
      </c>
      <c r="E429" s="4"/>
      <c r="F429" s="14"/>
    </row>
    <row r="430" spans="1:6" x14ac:dyDescent="0.2">
      <c r="A430" t="s">
        <v>1427</v>
      </c>
      <c r="B430" t="s">
        <v>1301</v>
      </c>
      <c r="C430" t="s">
        <v>1302</v>
      </c>
      <c r="D430" t="s">
        <v>1303</v>
      </c>
      <c r="E430" s="4"/>
      <c r="F430" s="14"/>
    </row>
    <row r="431" spans="1:6" x14ac:dyDescent="0.2">
      <c r="A431" t="s">
        <v>1427</v>
      </c>
      <c r="B431" t="s">
        <v>965</v>
      </c>
      <c r="C431" t="s">
        <v>1259</v>
      </c>
      <c r="D431" t="s">
        <v>1260</v>
      </c>
      <c r="E431" s="4"/>
    </row>
    <row r="432" spans="1:6" x14ac:dyDescent="0.2">
      <c r="A432" t="s">
        <v>1427</v>
      </c>
      <c r="B432" t="s">
        <v>971</v>
      </c>
      <c r="C432" t="s">
        <v>850</v>
      </c>
      <c r="D432" t="s">
        <v>851</v>
      </c>
      <c r="E432" s="4"/>
    </row>
    <row r="433" spans="1:5" x14ac:dyDescent="0.2">
      <c r="A433" t="s">
        <v>1427</v>
      </c>
      <c r="B433" t="s">
        <v>972</v>
      </c>
      <c r="C433" t="s">
        <v>852</v>
      </c>
      <c r="D433" t="s">
        <v>853</v>
      </c>
      <c r="E433" s="4"/>
    </row>
    <row r="434" spans="1:5" x14ac:dyDescent="0.2">
      <c r="E434" s="4"/>
    </row>
    <row r="435" spans="1:5" x14ac:dyDescent="0.2">
      <c r="A435" s="13" t="s">
        <v>1452</v>
      </c>
      <c r="B435" s="13">
        <v>1</v>
      </c>
      <c r="C435" s="13" t="s">
        <v>1357</v>
      </c>
      <c r="D435" s="13" t="s">
        <v>1358</v>
      </c>
      <c r="E435" s="4"/>
    </row>
    <row r="436" spans="1:5" x14ac:dyDescent="0.2">
      <c r="A436" s="13" t="s">
        <v>1452</v>
      </c>
      <c r="B436" s="13">
        <v>2</v>
      </c>
      <c r="C436" s="13" t="s">
        <v>1359</v>
      </c>
      <c r="D436" s="13" t="s">
        <v>1360</v>
      </c>
      <c r="E436" s="4"/>
    </row>
    <row r="437" spans="1:5" x14ac:dyDescent="0.2">
      <c r="A437" s="13" t="s">
        <v>1452</v>
      </c>
      <c r="B437" s="13">
        <v>3</v>
      </c>
      <c r="C437" s="13" t="s">
        <v>1361</v>
      </c>
      <c r="D437" s="13" t="s">
        <v>1362</v>
      </c>
      <c r="E437" s="4"/>
    </row>
    <row r="438" spans="1:5" x14ac:dyDescent="0.2">
      <c r="A438" s="13" t="s">
        <v>1452</v>
      </c>
      <c r="B438" s="13">
        <v>4</v>
      </c>
      <c r="C438" s="13" t="s">
        <v>1363</v>
      </c>
      <c r="D438" s="13" t="s">
        <v>1364</v>
      </c>
      <c r="E438" s="4"/>
    </row>
    <row r="439" spans="1:5" x14ac:dyDescent="0.2">
      <c r="A439" s="13" t="s">
        <v>1452</v>
      </c>
      <c r="B439" s="13">
        <v>5</v>
      </c>
      <c r="C439" s="13" t="s">
        <v>1365</v>
      </c>
      <c r="D439" s="13" t="s">
        <v>1366</v>
      </c>
      <c r="E439" s="4"/>
    </row>
    <row r="440" spans="1:5" x14ac:dyDescent="0.2">
      <c r="A440" s="13" t="s">
        <v>1452</v>
      </c>
      <c r="B440" s="13">
        <v>6</v>
      </c>
      <c r="C440" s="13" t="s">
        <v>1367</v>
      </c>
      <c r="D440" s="13" t="s">
        <v>1368</v>
      </c>
      <c r="E440" s="4"/>
    </row>
    <row r="441" spans="1:5" x14ac:dyDescent="0.2">
      <c r="A441" s="13" t="s">
        <v>1452</v>
      </c>
      <c r="B441" s="13">
        <v>7</v>
      </c>
      <c r="C441" s="13" t="s">
        <v>1369</v>
      </c>
      <c r="D441" s="13" t="s">
        <v>1370</v>
      </c>
      <c r="E441" s="4"/>
    </row>
    <row r="442" spans="1:5" x14ac:dyDescent="0.2">
      <c r="A442" s="13" t="s">
        <v>1452</v>
      </c>
      <c r="B442" s="13">
        <v>8</v>
      </c>
      <c r="C442" s="13" t="s">
        <v>1371</v>
      </c>
      <c r="D442" s="13" t="s">
        <v>1372</v>
      </c>
      <c r="E442" s="4"/>
    </row>
    <row r="443" spans="1:5" x14ac:dyDescent="0.2">
      <c r="A443" s="13" t="s">
        <v>1452</v>
      </c>
      <c r="B443" s="13">
        <v>9</v>
      </c>
      <c r="C443" s="13" t="s">
        <v>1259</v>
      </c>
      <c r="D443" s="13" t="s">
        <v>1260</v>
      </c>
      <c r="E443" s="4"/>
    </row>
    <row r="444" spans="1:5" x14ac:dyDescent="0.2">
      <c r="A444" s="13" t="s">
        <v>1452</v>
      </c>
      <c r="B444" s="13">
        <v>666</v>
      </c>
      <c r="C444" s="13" t="s">
        <v>1453</v>
      </c>
      <c r="D444" s="13" t="s">
        <v>1454</v>
      </c>
      <c r="E444" s="4"/>
    </row>
    <row r="445" spans="1:5" x14ac:dyDescent="0.2">
      <c r="A445" s="13" t="s">
        <v>1452</v>
      </c>
      <c r="B445" s="13">
        <v>10</v>
      </c>
      <c r="C445" s="13" t="s">
        <v>850</v>
      </c>
      <c r="D445" s="13" t="s">
        <v>851</v>
      </c>
      <c r="E445" s="4"/>
    </row>
    <row r="446" spans="1:5" x14ac:dyDescent="0.2">
      <c r="A446" s="13" t="s">
        <v>1452</v>
      </c>
      <c r="B446" s="13">
        <v>11</v>
      </c>
      <c r="C446" s="13" t="s">
        <v>852</v>
      </c>
      <c r="D446" s="13" t="s">
        <v>853</v>
      </c>
      <c r="E446" s="4"/>
    </row>
    <row r="447" spans="1:5" x14ac:dyDescent="0.2">
      <c r="B447" s="10"/>
      <c r="E447" s="4"/>
    </row>
    <row r="448" spans="1:5" x14ac:dyDescent="0.2">
      <c r="A448" t="s">
        <v>1455</v>
      </c>
      <c r="B448">
        <v>1</v>
      </c>
      <c r="C448" t="s">
        <v>1357</v>
      </c>
      <c r="D448" t="s">
        <v>1358</v>
      </c>
      <c r="E448" s="4"/>
    </row>
    <row r="449" spans="1:6" x14ac:dyDescent="0.2">
      <c r="A449" t="s">
        <v>1455</v>
      </c>
      <c r="B449">
        <v>2</v>
      </c>
      <c r="C449" t="s">
        <v>1359</v>
      </c>
      <c r="D449" t="s">
        <v>1360</v>
      </c>
      <c r="E449" s="4"/>
    </row>
    <row r="450" spans="1:6" x14ac:dyDescent="0.2">
      <c r="A450" t="s">
        <v>1455</v>
      </c>
      <c r="B450">
        <v>3</v>
      </c>
      <c r="C450" t="s">
        <v>1361</v>
      </c>
      <c r="D450" t="s">
        <v>1362</v>
      </c>
      <c r="E450" s="4"/>
    </row>
    <row r="451" spans="1:6" x14ac:dyDescent="0.2">
      <c r="A451" t="s">
        <v>1455</v>
      </c>
      <c r="B451">
        <v>4</v>
      </c>
      <c r="C451" s="17" t="s">
        <v>1363</v>
      </c>
      <c r="D451" s="17" t="s">
        <v>1364</v>
      </c>
      <c r="E451" s="4"/>
    </row>
    <row r="452" spans="1:6" x14ac:dyDescent="0.2">
      <c r="A452" t="s">
        <v>1455</v>
      </c>
      <c r="B452">
        <v>5</v>
      </c>
      <c r="C452" t="s">
        <v>1456</v>
      </c>
      <c r="D452" t="s">
        <v>1366</v>
      </c>
      <c r="E452" s="4"/>
    </row>
    <row r="453" spans="1:6" x14ac:dyDescent="0.2">
      <c r="A453" t="s">
        <v>1455</v>
      </c>
      <c r="B453">
        <v>6</v>
      </c>
      <c r="C453" t="s">
        <v>1367</v>
      </c>
      <c r="D453" t="s">
        <v>1368</v>
      </c>
      <c r="E453" s="4"/>
    </row>
    <row r="454" spans="1:6" x14ac:dyDescent="0.2">
      <c r="A454" t="s">
        <v>1455</v>
      </c>
      <c r="B454">
        <v>7</v>
      </c>
      <c r="C454" t="s">
        <v>1457</v>
      </c>
      <c r="D454" t="s">
        <v>1370</v>
      </c>
      <c r="E454" s="4"/>
    </row>
    <row r="455" spans="1:6" x14ac:dyDescent="0.2">
      <c r="A455" t="s">
        <v>1455</v>
      </c>
      <c r="B455">
        <v>8</v>
      </c>
      <c r="C455" t="s">
        <v>1371</v>
      </c>
      <c r="D455" t="s">
        <v>1372</v>
      </c>
      <c r="E455" s="4"/>
    </row>
    <row r="456" spans="1:6" x14ac:dyDescent="0.2">
      <c r="A456" t="s">
        <v>1455</v>
      </c>
      <c r="B456">
        <v>9</v>
      </c>
      <c r="C456" t="s">
        <v>1458</v>
      </c>
      <c r="D456" t="s">
        <v>1459</v>
      </c>
      <c r="E456" s="4"/>
    </row>
    <row r="457" spans="1:6" x14ac:dyDescent="0.2">
      <c r="A457" t="s">
        <v>1455</v>
      </c>
      <c r="B457">
        <v>10</v>
      </c>
      <c r="C457" t="s">
        <v>1460</v>
      </c>
      <c r="D457" t="s">
        <v>1461</v>
      </c>
      <c r="E457" s="4"/>
    </row>
    <row r="458" spans="1:6" x14ac:dyDescent="0.2">
      <c r="A458" t="s">
        <v>1455</v>
      </c>
      <c r="B458">
        <v>11</v>
      </c>
      <c r="C458" t="s">
        <v>1462</v>
      </c>
      <c r="D458" t="s">
        <v>1463</v>
      </c>
      <c r="E458" s="4"/>
    </row>
    <row r="459" spans="1:6" x14ac:dyDescent="0.2">
      <c r="A459" t="s">
        <v>1455</v>
      </c>
      <c r="B459" s="18">
        <v>12</v>
      </c>
      <c r="C459" t="s">
        <v>850</v>
      </c>
      <c r="D459" t="s">
        <v>851</v>
      </c>
      <c r="E459" s="4"/>
    </row>
    <row r="460" spans="1:6" x14ac:dyDescent="0.2">
      <c r="A460" t="s">
        <v>1455</v>
      </c>
      <c r="B460" s="18">
        <v>13</v>
      </c>
      <c r="C460" t="s">
        <v>852</v>
      </c>
      <c r="D460" t="s">
        <v>853</v>
      </c>
      <c r="E460" s="4"/>
    </row>
    <row r="461" spans="1:6" x14ac:dyDescent="0.2">
      <c r="E461" s="4"/>
    </row>
    <row r="462" spans="1:6" ht="16" customHeight="1" x14ac:dyDescent="0.2">
      <c r="A462" t="s">
        <v>1464</v>
      </c>
      <c r="B462" t="s">
        <v>1336</v>
      </c>
      <c r="C462" t="s">
        <v>1337</v>
      </c>
      <c r="D462" t="s">
        <v>1338</v>
      </c>
      <c r="E462" s="4"/>
      <c r="F462" s="14"/>
    </row>
    <row r="463" spans="1:6" ht="16" customHeight="1" x14ac:dyDescent="0.2">
      <c r="A463" t="s">
        <v>1464</v>
      </c>
      <c r="B463" t="s">
        <v>1339</v>
      </c>
      <c r="C463" t="s">
        <v>1465</v>
      </c>
      <c r="D463" t="s">
        <v>1466</v>
      </c>
      <c r="E463" s="4"/>
      <c r="F463" s="14"/>
    </row>
    <row r="464" spans="1:6" ht="16" customHeight="1" x14ac:dyDescent="0.2">
      <c r="A464" t="s">
        <v>1464</v>
      </c>
      <c r="B464" t="s">
        <v>1342</v>
      </c>
      <c r="C464" t="s">
        <v>1467</v>
      </c>
      <c r="D464" t="s">
        <v>1344</v>
      </c>
      <c r="E464" s="4"/>
      <c r="F464" s="14"/>
    </row>
    <row r="465" spans="1:6" ht="16" customHeight="1" x14ac:dyDescent="0.2">
      <c r="A465" t="s">
        <v>1464</v>
      </c>
      <c r="B465" t="s">
        <v>1345</v>
      </c>
      <c r="C465" t="s">
        <v>1346</v>
      </c>
      <c r="D465" t="s">
        <v>1347</v>
      </c>
      <c r="E465" s="4"/>
      <c r="F465" s="14"/>
    </row>
    <row r="466" spans="1:6" ht="16" customHeight="1" x14ac:dyDescent="0.2">
      <c r="A466" t="s">
        <v>1464</v>
      </c>
      <c r="B466" t="s">
        <v>1348</v>
      </c>
      <c r="C466" t="s">
        <v>1349</v>
      </c>
      <c r="D466" t="s">
        <v>1468</v>
      </c>
      <c r="E466" s="4"/>
      <c r="F466" s="14"/>
    </row>
    <row r="467" spans="1:6" ht="16" customHeight="1" x14ac:dyDescent="0.2">
      <c r="A467" t="s">
        <v>1464</v>
      </c>
      <c r="B467" t="s">
        <v>1469</v>
      </c>
      <c r="C467" t="s">
        <v>1470</v>
      </c>
      <c r="D467" t="s">
        <v>1471</v>
      </c>
      <c r="E467" s="4"/>
      <c r="F467" s="14"/>
    </row>
    <row r="468" spans="1:6" ht="16" customHeight="1" x14ac:dyDescent="0.2">
      <c r="A468" t="s">
        <v>1464</v>
      </c>
      <c r="B468" t="s">
        <v>1351</v>
      </c>
      <c r="C468" t="s">
        <v>1472</v>
      </c>
      <c r="D468" t="s">
        <v>1473</v>
      </c>
      <c r="E468" s="4"/>
      <c r="F468" s="14"/>
    </row>
    <row r="469" spans="1:6" ht="16" customHeight="1" x14ac:dyDescent="0.2">
      <c r="A469" t="s">
        <v>1464</v>
      </c>
      <c r="B469" t="s">
        <v>1354</v>
      </c>
      <c r="C469" t="s">
        <v>1355</v>
      </c>
      <c r="D469" t="s">
        <v>1356</v>
      </c>
      <c r="E469" s="4"/>
      <c r="F469" s="14"/>
    </row>
    <row r="470" spans="1:6" ht="16" customHeight="1" x14ac:dyDescent="0.2">
      <c r="A470" t="s">
        <v>1464</v>
      </c>
      <c r="B470" t="s">
        <v>965</v>
      </c>
      <c r="C470" t="s">
        <v>1259</v>
      </c>
      <c r="D470" t="s">
        <v>1260</v>
      </c>
      <c r="E470" s="4"/>
    </row>
    <row r="471" spans="1:6" ht="16" customHeight="1" x14ac:dyDescent="0.2">
      <c r="A471" t="s">
        <v>1464</v>
      </c>
      <c r="B471" t="s">
        <v>971</v>
      </c>
      <c r="C471" t="s">
        <v>850</v>
      </c>
      <c r="D471" t="s">
        <v>851</v>
      </c>
      <c r="E471" s="4"/>
    </row>
    <row r="472" spans="1:6" ht="16" customHeight="1" x14ac:dyDescent="0.2">
      <c r="A472" t="s">
        <v>1464</v>
      </c>
      <c r="B472" t="s">
        <v>972</v>
      </c>
      <c r="C472" t="s">
        <v>852</v>
      </c>
      <c r="D472" t="s">
        <v>853</v>
      </c>
      <c r="E472" s="4"/>
    </row>
    <row r="473" spans="1:6" ht="16" customHeight="1" x14ac:dyDescent="0.2">
      <c r="E473" s="4"/>
    </row>
    <row r="474" spans="1:6" x14ac:dyDescent="0.2">
      <c r="A474" t="s">
        <v>1474</v>
      </c>
      <c r="B474" t="s">
        <v>1475</v>
      </c>
      <c r="C474" t="s">
        <v>1476</v>
      </c>
      <c r="D474" t="s">
        <v>1477</v>
      </c>
      <c r="E474" s="4"/>
      <c r="F474" s="14"/>
    </row>
    <row r="475" spans="1:6" x14ac:dyDescent="0.2">
      <c r="A475" t="s">
        <v>1474</v>
      </c>
      <c r="B475" t="s">
        <v>1478</v>
      </c>
      <c r="C475" t="s">
        <v>1479</v>
      </c>
      <c r="D475" t="s">
        <v>1480</v>
      </c>
      <c r="E475" s="4"/>
      <c r="F475" s="14"/>
    </row>
    <row r="476" spans="1:6" x14ac:dyDescent="0.2">
      <c r="A476" t="s">
        <v>1474</v>
      </c>
      <c r="B476" t="s">
        <v>1481</v>
      </c>
      <c r="C476" t="s">
        <v>1482</v>
      </c>
      <c r="D476" t="s">
        <v>1483</v>
      </c>
      <c r="E476" s="4"/>
      <c r="F476" s="14"/>
    </row>
    <row r="477" spans="1:6" x14ac:dyDescent="0.2">
      <c r="A477" t="s">
        <v>1474</v>
      </c>
      <c r="B477" t="s">
        <v>1484</v>
      </c>
      <c r="C477" t="s">
        <v>1485</v>
      </c>
      <c r="D477" t="s">
        <v>1485</v>
      </c>
      <c r="E477" s="4"/>
      <c r="F477" s="14"/>
    </row>
    <row r="478" spans="1:6" x14ac:dyDescent="0.2">
      <c r="A478" t="s">
        <v>1474</v>
      </c>
      <c r="B478" t="s">
        <v>971</v>
      </c>
      <c r="C478" t="s">
        <v>850</v>
      </c>
      <c r="D478" t="s">
        <v>851</v>
      </c>
      <c r="E478" s="4"/>
      <c r="F478" s="14"/>
    </row>
    <row r="479" spans="1:6" x14ac:dyDescent="0.2">
      <c r="A479" t="s">
        <v>1474</v>
      </c>
      <c r="B479" t="s">
        <v>972</v>
      </c>
      <c r="C479" t="s">
        <v>852</v>
      </c>
      <c r="D479" t="s">
        <v>853</v>
      </c>
      <c r="E479" s="4"/>
      <c r="F479" s="14"/>
    </row>
    <row r="480" spans="1:6" x14ac:dyDescent="0.2">
      <c r="E480" s="4"/>
    </row>
    <row r="481" spans="1:6" x14ac:dyDescent="0.2">
      <c r="A481" t="s">
        <v>1486</v>
      </c>
      <c r="B481" t="s">
        <v>1487</v>
      </c>
      <c r="C481" t="s">
        <v>1488</v>
      </c>
      <c r="D481" t="s">
        <v>1489</v>
      </c>
      <c r="E481" s="4"/>
      <c r="F481" s="14"/>
    </row>
    <row r="482" spans="1:6" x14ac:dyDescent="0.2">
      <c r="A482" t="s">
        <v>1486</v>
      </c>
      <c r="B482" t="s">
        <v>1490</v>
      </c>
      <c r="C482" t="s">
        <v>1491</v>
      </c>
      <c r="D482" t="s">
        <v>1492</v>
      </c>
      <c r="E482" s="4"/>
      <c r="F482" s="14"/>
    </row>
    <row r="483" spans="1:6" x14ac:dyDescent="0.2">
      <c r="A483" t="s">
        <v>1486</v>
      </c>
      <c r="B483" t="s">
        <v>1493</v>
      </c>
      <c r="C483" t="s">
        <v>1494</v>
      </c>
      <c r="D483" t="s">
        <v>1495</v>
      </c>
      <c r="E483" s="4"/>
      <c r="F483" s="14"/>
    </row>
    <row r="484" spans="1:6" x14ac:dyDescent="0.2">
      <c r="A484" t="s">
        <v>1486</v>
      </c>
      <c r="B484" t="s">
        <v>1496</v>
      </c>
      <c r="C484" t="s">
        <v>1497</v>
      </c>
      <c r="D484" t="s">
        <v>1498</v>
      </c>
      <c r="E484" s="4"/>
      <c r="F484" s="14"/>
    </row>
    <row r="485" spans="1:6" x14ac:dyDescent="0.2">
      <c r="A485" t="s">
        <v>1486</v>
      </c>
      <c r="B485" t="s">
        <v>1499</v>
      </c>
      <c r="C485" t="s">
        <v>1500</v>
      </c>
      <c r="D485" t="s">
        <v>1501</v>
      </c>
      <c r="E485" s="4"/>
      <c r="F485" s="14"/>
    </row>
    <row r="486" spans="1:6" x14ac:dyDescent="0.2">
      <c r="A486" t="s">
        <v>1486</v>
      </c>
      <c r="B486" t="s">
        <v>1502</v>
      </c>
      <c r="C486" t="s">
        <v>1503</v>
      </c>
      <c r="D486" t="s">
        <v>1504</v>
      </c>
      <c r="E486" s="4"/>
      <c r="F486" s="14"/>
    </row>
    <row r="487" spans="1:6" x14ac:dyDescent="0.2">
      <c r="A487" t="s">
        <v>1486</v>
      </c>
      <c r="B487" s="3" t="s">
        <v>1505</v>
      </c>
      <c r="C487" t="s">
        <v>1506</v>
      </c>
      <c r="D487" t="s">
        <v>1507</v>
      </c>
      <c r="E487" s="4"/>
      <c r="F487" s="14"/>
    </row>
    <row r="488" spans="1:6" x14ac:dyDescent="0.2">
      <c r="A488" t="s">
        <v>1486</v>
      </c>
      <c r="B488" t="s">
        <v>1508</v>
      </c>
      <c r="C488" t="s">
        <v>1509</v>
      </c>
      <c r="D488" t="s">
        <v>1510</v>
      </c>
      <c r="E488" s="4"/>
      <c r="F488" s="14"/>
    </row>
    <row r="489" spans="1:6" x14ac:dyDescent="0.2">
      <c r="A489" t="s">
        <v>1486</v>
      </c>
      <c r="B489" t="s">
        <v>965</v>
      </c>
      <c r="C489" t="s">
        <v>1197</v>
      </c>
      <c r="D489" t="s">
        <v>1511</v>
      </c>
      <c r="E489" s="4"/>
    </row>
    <row r="490" spans="1:6" x14ac:dyDescent="0.2">
      <c r="A490" t="s">
        <v>1486</v>
      </c>
      <c r="B490" t="s">
        <v>971</v>
      </c>
      <c r="C490" t="s">
        <v>850</v>
      </c>
      <c r="D490" t="s">
        <v>851</v>
      </c>
      <c r="E490" s="4"/>
    </row>
    <row r="491" spans="1:6" x14ac:dyDescent="0.2">
      <c r="A491" t="s">
        <v>1486</v>
      </c>
      <c r="B491" t="s">
        <v>972</v>
      </c>
      <c r="C491" t="s">
        <v>852</v>
      </c>
      <c r="D491" t="s">
        <v>853</v>
      </c>
      <c r="E491" s="4"/>
    </row>
    <row r="492" spans="1:6" x14ac:dyDescent="0.2">
      <c r="E492" s="4"/>
    </row>
    <row r="493" spans="1:6" s="14" customFormat="1" x14ac:dyDescent="0.2">
      <c r="A493" s="13" t="s">
        <v>1512</v>
      </c>
      <c r="B493" s="13" t="s">
        <v>1513</v>
      </c>
      <c r="C493" s="13" t="s">
        <v>1514</v>
      </c>
      <c r="D493" s="13" t="s">
        <v>1515</v>
      </c>
      <c r="E493" s="16"/>
    </row>
    <row r="494" spans="1:6" s="14" customFormat="1" x14ac:dyDescent="0.2">
      <c r="A494" s="13" t="s">
        <v>1512</v>
      </c>
      <c r="B494" s="13" t="s">
        <v>1516</v>
      </c>
      <c r="C494" s="13" t="s">
        <v>1517</v>
      </c>
      <c r="D494" s="13" t="s">
        <v>1518</v>
      </c>
      <c r="E494" s="16"/>
    </row>
    <row r="495" spans="1:6" s="14" customFormat="1" x14ac:dyDescent="0.2">
      <c r="A495" s="13" t="s">
        <v>1512</v>
      </c>
      <c r="B495" s="13" t="s">
        <v>1519</v>
      </c>
      <c r="C495" s="13" t="s">
        <v>1520</v>
      </c>
      <c r="D495" s="13" t="s">
        <v>1521</v>
      </c>
      <c r="E495" s="16"/>
    </row>
    <row r="496" spans="1:6" s="14" customFormat="1" x14ac:dyDescent="0.2">
      <c r="A496" s="13" t="s">
        <v>1512</v>
      </c>
      <c r="B496" s="13" t="s">
        <v>1522</v>
      </c>
      <c r="C496" s="13" t="s">
        <v>1523</v>
      </c>
      <c r="D496" s="13" t="s">
        <v>1524</v>
      </c>
      <c r="E496" s="16"/>
    </row>
    <row r="497" spans="1:6" s="14" customFormat="1" x14ac:dyDescent="0.2">
      <c r="A497" s="13" t="s">
        <v>1512</v>
      </c>
      <c r="B497" s="13" t="s">
        <v>1496</v>
      </c>
      <c r="C497" s="13" t="s">
        <v>1525</v>
      </c>
      <c r="D497" s="13" t="s">
        <v>1526</v>
      </c>
      <c r="E497" s="16"/>
    </row>
    <row r="498" spans="1:6" s="14" customFormat="1" x14ac:dyDescent="0.2">
      <c r="A498" s="13" t="s">
        <v>1512</v>
      </c>
      <c r="B498" s="13" t="s">
        <v>1527</v>
      </c>
      <c r="C498" s="13" t="s">
        <v>1528</v>
      </c>
      <c r="D498" s="13" t="s">
        <v>1529</v>
      </c>
      <c r="E498" s="16"/>
    </row>
    <row r="499" spans="1:6" s="14" customFormat="1" x14ac:dyDescent="0.2">
      <c r="A499" s="13" t="s">
        <v>1512</v>
      </c>
      <c r="B499" s="13" t="s">
        <v>1502</v>
      </c>
      <c r="C499" s="13" t="s">
        <v>1530</v>
      </c>
      <c r="D499" s="13" t="s">
        <v>1531</v>
      </c>
      <c r="E499" s="16"/>
    </row>
    <row r="500" spans="1:6" s="14" customFormat="1" x14ac:dyDescent="0.2">
      <c r="A500" s="13" t="s">
        <v>1512</v>
      </c>
      <c r="B500" s="13" t="s">
        <v>965</v>
      </c>
      <c r="C500" s="13" t="s">
        <v>1197</v>
      </c>
      <c r="D500" s="13" t="s">
        <v>1198</v>
      </c>
      <c r="E500" s="16"/>
    </row>
    <row r="501" spans="1:6" s="14" customFormat="1" x14ac:dyDescent="0.2">
      <c r="A501" s="13" t="s">
        <v>1512</v>
      </c>
      <c r="B501" s="13" t="s">
        <v>971</v>
      </c>
      <c r="C501" s="13" t="s">
        <v>850</v>
      </c>
      <c r="D501" s="13" t="s">
        <v>851</v>
      </c>
      <c r="E501" s="16"/>
    </row>
    <row r="502" spans="1:6" s="14" customFormat="1" x14ac:dyDescent="0.2">
      <c r="A502" s="13" t="s">
        <v>1512</v>
      </c>
      <c r="B502" s="13" t="s">
        <v>972</v>
      </c>
      <c r="C502" s="13" t="s">
        <v>852</v>
      </c>
      <c r="D502" s="13" t="s">
        <v>853</v>
      </c>
      <c r="E502" s="16"/>
    </row>
    <row r="503" spans="1:6" x14ac:dyDescent="0.2">
      <c r="E503" s="4"/>
    </row>
    <row r="504" spans="1:6" x14ac:dyDescent="0.2">
      <c r="A504" t="s">
        <v>1532</v>
      </c>
      <c r="B504">
        <v>1</v>
      </c>
      <c r="C504" t="s">
        <v>1533</v>
      </c>
      <c r="D504" t="s">
        <v>1534</v>
      </c>
      <c r="E504" s="4"/>
    </row>
    <row r="505" spans="1:6" x14ac:dyDescent="0.2">
      <c r="A505" t="s">
        <v>1532</v>
      </c>
      <c r="B505">
        <v>2</v>
      </c>
      <c r="C505" t="s">
        <v>1535</v>
      </c>
      <c r="D505" t="s">
        <v>1536</v>
      </c>
      <c r="E505" s="4"/>
    </row>
    <row r="506" spans="1:6" x14ac:dyDescent="0.2">
      <c r="A506" t="s">
        <v>1532</v>
      </c>
      <c r="B506">
        <v>3</v>
      </c>
      <c r="C506" t="s">
        <v>1537</v>
      </c>
      <c r="D506" t="s">
        <v>1538</v>
      </c>
      <c r="E506" s="4"/>
    </row>
    <row r="507" spans="1:6" x14ac:dyDescent="0.2">
      <c r="A507" t="s">
        <v>1532</v>
      </c>
      <c r="B507">
        <v>4</v>
      </c>
      <c r="C507" t="s">
        <v>1539</v>
      </c>
      <c r="D507" t="s">
        <v>1540</v>
      </c>
      <c r="E507" s="4"/>
    </row>
    <row r="508" spans="1:6" x14ac:dyDescent="0.2">
      <c r="A508" t="s">
        <v>1532</v>
      </c>
      <c r="B508">
        <v>5</v>
      </c>
      <c r="C508" t="s">
        <v>1197</v>
      </c>
      <c r="D508" t="s">
        <v>1198</v>
      </c>
      <c r="E508" s="4"/>
    </row>
    <row r="509" spans="1:6" x14ac:dyDescent="0.2">
      <c r="A509" t="s">
        <v>1532</v>
      </c>
      <c r="B509" s="18">
        <v>6</v>
      </c>
      <c r="C509" t="s">
        <v>850</v>
      </c>
      <c r="D509" t="s">
        <v>851</v>
      </c>
      <c r="E509" s="4"/>
    </row>
    <row r="510" spans="1:6" x14ac:dyDescent="0.2">
      <c r="A510" t="s">
        <v>1532</v>
      </c>
      <c r="B510" s="18">
        <v>7</v>
      </c>
      <c r="C510" t="s">
        <v>1541</v>
      </c>
      <c r="D510" t="s">
        <v>853</v>
      </c>
      <c r="E510" s="4"/>
    </row>
    <row r="511" spans="1:6" x14ac:dyDescent="0.2">
      <c r="E511" s="4"/>
    </row>
    <row r="512" spans="1:6" x14ac:dyDescent="0.2">
      <c r="A512" t="s">
        <v>1542</v>
      </c>
      <c r="B512" t="s">
        <v>1336</v>
      </c>
      <c r="C512" t="s">
        <v>1337</v>
      </c>
      <c r="D512" t="s">
        <v>1338</v>
      </c>
      <c r="E512" s="4"/>
      <c r="F512" s="14"/>
    </row>
    <row r="513" spans="1:6" x14ac:dyDescent="0.2">
      <c r="A513" t="s">
        <v>1542</v>
      </c>
      <c r="B513" t="s">
        <v>1339</v>
      </c>
      <c r="C513" t="s">
        <v>1543</v>
      </c>
      <c r="D513" t="s">
        <v>1544</v>
      </c>
      <c r="E513" s="4"/>
      <c r="F513" s="14"/>
    </row>
    <row r="514" spans="1:6" x14ac:dyDescent="0.2">
      <c r="A514" t="s">
        <v>1542</v>
      </c>
      <c r="B514" t="s">
        <v>1342</v>
      </c>
      <c r="C514" t="s">
        <v>1545</v>
      </c>
      <c r="D514" t="s">
        <v>1546</v>
      </c>
      <c r="E514" s="4"/>
      <c r="F514" s="14"/>
    </row>
    <row r="515" spans="1:6" x14ac:dyDescent="0.2">
      <c r="A515" t="s">
        <v>1542</v>
      </c>
      <c r="B515" t="s">
        <v>1345</v>
      </c>
      <c r="C515" t="s">
        <v>1547</v>
      </c>
      <c r="D515" t="s">
        <v>1347</v>
      </c>
      <c r="E515" s="4"/>
      <c r="F515" s="14"/>
    </row>
    <row r="516" spans="1:6" x14ac:dyDescent="0.2">
      <c r="A516" t="s">
        <v>1542</v>
      </c>
      <c r="B516" t="s">
        <v>1548</v>
      </c>
      <c r="C516" t="s">
        <v>1349</v>
      </c>
      <c r="D516" t="s">
        <v>1468</v>
      </c>
      <c r="E516" s="4"/>
      <c r="F516" s="14"/>
    </row>
    <row r="517" spans="1:6" x14ac:dyDescent="0.2">
      <c r="A517" t="s">
        <v>1542</v>
      </c>
      <c r="B517" t="s">
        <v>1351</v>
      </c>
      <c r="C517" t="s">
        <v>1549</v>
      </c>
      <c r="D517" t="s">
        <v>1550</v>
      </c>
      <c r="E517" s="4"/>
      <c r="F517" s="14"/>
    </row>
    <row r="518" spans="1:6" x14ac:dyDescent="0.2">
      <c r="A518" t="s">
        <v>1542</v>
      </c>
      <c r="B518" t="s">
        <v>1354</v>
      </c>
      <c r="C518" t="s">
        <v>1551</v>
      </c>
      <c r="D518" t="s">
        <v>1356</v>
      </c>
      <c r="E518" s="4"/>
      <c r="F518" s="14"/>
    </row>
    <row r="519" spans="1:6" x14ac:dyDescent="0.2">
      <c r="A519" t="s">
        <v>1542</v>
      </c>
      <c r="B519" t="s">
        <v>965</v>
      </c>
      <c r="C519" t="s">
        <v>1259</v>
      </c>
      <c r="D519" t="s">
        <v>1260</v>
      </c>
      <c r="E519" s="4"/>
    </row>
    <row r="520" spans="1:6" x14ac:dyDescent="0.2">
      <c r="A520" t="s">
        <v>1542</v>
      </c>
      <c r="B520" t="s">
        <v>971</v>
      </c>
      <c r="C520" t="s">
        <v>850</v>
      </c>
      <c r="D520" t="s">
        <v>851</v>
      </c>
      <c r="E520" s="4"/>
    </row>
    <row r="521" spans="1:6" x14ac:dyDescent="0.2">
      <c r="A521" t="s">
        <v>1542</v>
      </c>
      <c r="B521" t="s">
        <v>972</v>
      </c>
      <c r="C521" t="s">
        <v>852</v>
      </c>
      <c r="D521" t="s">
        <v>853</v>
      </c>
      <c r="E521" s="4"/>
    </row>
    <row r="522" spans="1:6" x14ac:dyDescent="0.2">
      <c r="E522" s="4"/>
    </row>
    <row r="523" spans="1:6" x14ac:dyDescent="0.2">
      <c r="A523" t="s">
        <v>1552</v>
      </c>
      <c r="B523">
        <v>1</v>
      </c>
      <c r="C523" t="s">
        <v>1553</v>
      </c>
      <c r="D523" t="s">
        <v>1554</v>
      </c>
      <c r="E523" s="4"/>
    </row>
    <row r="524" spans="1:6" x14ac:dyDescent="0.2">
      <c r="A524" t="s">
        <v>1552</v>
      </c>
      <c r="B524">
        <v>2</v>
      </c>
      <c r="C524" t="s">
        <v>1555</v>
      </c>
      <c r="D524" t="s">
        <v>1556</v>
      </c>
      <c r="E524" s="4"/>
    </row>
    <row r="525" spans="1:6" x14ac:dyDescent="0.2">
      <c r="A525" t="s">
        <v>1552</v>
      </c>
      <c r="B525">
        <v>3</v>
      </c>
      <c r="C525" t="s">
        <v>1557</v>
      </c>
      <c r="D525" t="s">
        <v>1558</v>
      </c>
      <c r="E525" s="4"/>
    </row>
    <row r="526" spans="1:6" x14ac:dyDescent="0.2">
      <c r="A526" t="s">
        <v>1552</v>
      </c>
      <c r="B526">
        <v>4</v>
      </c>
      <c r="C526" t="s">
        <v>1559</v>
      </c>
      <c r="D526" t="s">
        <v>851</v>
      </c>
      <c r="E526" s="4"/>
    </row>
    <row r="527" spans="1:6" x14ac:dyDescent="0.2">
      <c r="A527" t="s">
        <v>1552</v>
      </c>
      <c r="B527" s="18">
        <v>5</v>
      </c>
      <c r="C527" t="s">
        <v>852</v>
      </c>
      <c r="D527" t="s">
        <v>853</v>
      </c>
      <c r="E527" s="4"/>
    </row>
    <row r="528" spans="1:6" x14ac:dyDescent="0.2">
      <c r="E528" s="4"/>
    </row>
    <row r="529" spans="1:5" x14ac:dyDescent="0.2">
      <c r="A529" t="s">
        <v>1560</v>
      </c>
      <c r="B529">
        <v>1</v>
      </c>
      <c r="C529" t="s">
        <v>846</v>
      </c>
      <c r="D529" t="s">
        <v>847</v>
      </c>
      <c r="E529" s="4"/>
    </row>
    <row r="530" spans="1:5" x14ac:dyDescent="0.2">
      <c r="A530" t="s">
        <v>1560</v>
      </c>
      <c r="B530">
        <v>2</v>
      </c>
      <c r="C530" t="s">
        <v>1561</v>
      </c>
      <c r="D530" t="s">
        <v>1562</v>
      </c>
      <c r="E530" s="4"/>
    </row>
    <row r="531" spans="1:5" x14ac:dyDescent="0.2">
      <c r="A531" t="s">
        <v>1560</v>
      </c>
      <c r="B531">
        <v>3</v>
      </c>
      <c r="C531" t="s">
        <v>1563</v>
      </c>
      <c r="D531" t="s">
        <v>1564</v>
      </c>
      <c r="E531" s="4"/>
    </row>
    <row r="532" spans="1:5" x14ac:dyDescent="0.2">
      <c r="A532" t="s">
        <v>1560</v>
      </c>
      <c r="B532">
        <v>4</v>
      </c>
      <c r="C532" t="s">
        <v>1565</v>
      </c>
      <c r="D532" t="s">
        <v>1566</v>
      </c>
      <c r="E532" s="4"/>
    </row>
    <row r="533" spans="1:5" x14ac:dyDescent="0.2">
      <c r="A533" t="s">
        <v>1560</v>
      </c>
      <c r="B533" s="18">
        <v>5</v>
      </c>
      <c r="C533" t="s">
        <v>850</v>
      </c>
      <c r="D533" t="s">
        <v>851</v>
      </c>
      <c r="E533" s="4"/>
    </row>
    <row r="534" spans="1:5" x14ac:dyDescent="0.2">
      <c r="A534" t="s">
        <v>1560</v>
      </c>
      <c r="B534" s="18">
        <v>6</v>
      </c>
      <c r="C534" t="s">
        <v>852</v>
      </c>
      <c r="D534" t="s">
        <v>853</v>
      </c>
      <c r="E534" s="4"/>
    </row>
    <row r="535" spans="1:5" x14ac:dyDescent="0.2">
      <c r="E535" s="4"/>
    </row>
    <row r="536" spans="1:5" x14ac:dyDescent="0.2">
      <c r="A536" t="s">
        <v>639</v>
      </c>
      <c r="B536" t="s">
        <v>1567</v>
      </c>
      <c r="C536" t="s">
        <v>1568</v>
      </c>
      <c r="D536" t="s">
        <v>1569</v>
      </c>
      <c r="E536" s="4"/>
    </row>
    <row r="537" spans="1:5" x14ac:dyDescent="0.2">
      <c r="A537" t="s">
        <v>639</v>
      </c>
      <c r="B537" t="s">
        <v>1570</v>
      </c>
      <c r="C537" t="s">
        <v>1571</v>
      </c>
      <c r="D537" t="s">
        <v>1572</v>
      </c>
      <c r="E537" s="4"/>
    </row>
    <row r="538" spans="1:5" x14ac:dyDescent="0.2">
      <c r="A538" t="s">
        <v>639</v>
      </c>
      <c r="B538" t="s">
        <v>1573</v>
      </c>
      <c r="C538" t="s">
        <v>1574</v>
      </c>
      <c r="D538" t="s">
        <v>1575</v>
      </c>
      <c r="E538" s="4"/>
    </row>
    <row r="539" spans="1:5" x14ac:dyDescent="0.2">
      <c r="A539" t="s">
        <v>639</v>
      </c>
      <c r="B539" t="s">
        <v>1576</v>
      </c>
      <c r="C539" t="s">
        <v>1577</v>
      </c>
      <c r="D539" t="s">
        <v>1578</v>
      </c>
      <c r="E539" s="4"/>
    </row>
    <row r="540" spans="1:5" x14ac:dyDescent="0.2">
      <c r="A540" t="s">
        <v>639</v>
      </c>
      <c r="B540" t="s">
        <v>1579</v>
      </c>
      <c r="C540" t="s">
        <v>1580</v>
      </c>
      <c r="D540" t="s">
        <v>1581</v>
      </c>
      <c r="E540" s="4"/>
    </row>
    <row r="541" spans="1:5" x14ac:dyDescent="0.2">
      <c r="A541" t="s">
        <v>639</v>
      </c>
      <c r="B541" t="s">
        <v>1582</v>
      </c>
      <c r="C541" t="s">
        <v>1458</v>
      </c>
      <c r="D541" t="s">
        <v>1459</v>
      </c>
      <c r="E541" s="4"/>
    </row>
    <row r="542" spans="1:5" x14ac:dyDescent="0.2">
      <c r="A542" t="s">
        <v>639</v>
      </c>
      <c r="B542" t="s">
        <v>1583</v>
      </c>
      <c r="C542" t="s">
        <v>1584</v>
      </c>
      <c r="D542" t="s">
        <v>1585</v>
      </c>
      <c r="E542" s="4"/>
    </row>
    <row r="543" spans="1:5" x14ac:dyDescent="0.2">
      <c r="A543" t="s">
        <v>639</v>
      </c>
      <c r="B543" t="s">
        <v>1586</v>
      </c>
      <c r="C543" t="s">
        <v>1587</v>
      </c>
      <c r="D543" t="s">
        <v>1588</v>
      </c>
      <c r="E543" s="4"/>
    </row>
    <row r="544" spans="1:5" x14ac:dyDescent="0.2">
      <c r="A544" t="s">
        <v>639</v>
      </c>
      <c r="B544" t="s">
        <v>1589</v>
      </c>
      <c r="C544" t="s">
        <v>1590</v>
      </c>
      <c r="D544" t="s">
        <v>1591</v>
      </c>
      <c r="E544" s="4"/>
    </row>
    <row r="545" spans="1:6" x14ac:dyDescent="0.2">
      <c r="A545" t="s">
        <v>639</v>
      </c>
      <c r="B545" t="s">
        <v>1592</v>
      </c>
      <c r="C545" t="s">
        <v>1593</v>
      </c>
      <c r="D545" t="s">
        <v>1594</v>
      </c>
      <c r="E545" s="4"/>
    </row>
    <row r="546" spans="1:6" x14ac:dyDescent="0.2">
      <c r="A546" t="s">
        <v>639</v>
      </c>
      <c r="B546" t="s">
        <v>1595</v>
      </c>
      <c r="C546" t="s">
        <v>1596</v>
      </c>
      <c r="D546" t="s">
        <v>1597</v>
      </c>
      <c r="E546" s="4"/>
    </row>
    <row r="547" spans="1:6" x14ac:dyDescent="0.2">
      <c r="A547" t="s">
        <v>639</v>
      </c>
      <c r="B547" t="s">
        <v>1598</v>
      </c>
      <c r="C547" t="s">
        <v>1599</v>
      </c>
      <c r="D547" t="s">
        <v>1600</v>
      </c>
      <c r="E547" s="4"/>
    </row>
    <row r="548" spans="1:6" x14ac:dyDescent="0.2">
      <c r="E548" s="4"/>
    </row>
    <row r="549" spans="1:6" x14ac:dyDescent="0.2">
      <c r="A549" t="s">
        <v>1601</v>
      </c>
      <c r="B549" t="s">
        <v>1602</v>
      </c>
      <c r="C549" t="s">
        <v>1603</v>
      </c>
      <c r="D549" t="s">
        <v>1604</v>
      </c>
      <c r="E549" s="4"/>
      <c r="F549" s="14"/>
    </row>
    <row r="550" spans="1:6" x14ac:dyDescent="0.2">
      <c r="A550" t="s">
        <v>1601</v>
      </c>
      <c r="B550" t="s">
        <v>1605</v>
      </c>
      <c r="C550" t="s">
        <v>1606</v>
      </c>
      <c r="D550" t="s">
        <v>1607</v>
      </c>
      <c r="E550" s="4"/>
      <c r="F550" s="14"/>
    </row>
    <row r="551" spans="1:6" x14ac:dyDescent="0.2">
      <c r="A551" t="s">
        <v>1601</v>
      </c>
      <c r="B551" t="s">
        <v>1608</v>
      </c>
      <c r="C551" t="s">
        <v>1609</v>
      </c>
      <c r="D551" t="s">
        <v>1610</v>
      </c>
      <c r="E551" s="4"/>
      <c r="F551" s="14"/>
    </row>
    <row r="552" spans="1:6" x14ac:dyDescent="0.2">
      <c r="A552" t="s">
        <v>1601</v>
      </c>
      <c r="B552" t="s">
        <v>1611</v>
      </c>
      <c r="C552" t="s">
        <v>1612</v>
      </c>
      <c r="D552" t="s">
        <v>1613</v>
      </c>
      <c r="E552" s="4"/>
      <c r="F552" s="14"/>
    </row>
    <row r="553" spans="1:6" x14ac:dyDescent="0.2">
      <c r="A553" t="s">
        <v>1601</v>
      </c>
      <c r="B553" t="s">
        <v>1614</v>
      </c>
      <c r="C553" t="s">
        <v>1615</v>
      </c>
      <c r="D553" t="s">
        <v>1616</v>
      </c>
      <c r="E553" s="4"/>
      <c r="F553" s="14"/>
    </row>
    <row r="554" spans="1:6" x14ac:dyDescent="0.2">
      <c r="A554" t="s">
        <v>1601</v>
      </c>
      <c r="B554" t="s">
        <v>1617</v>
      </c>
      <c r="C554" t="s">
        <v>1618</v>
      </c>
      <c r="D554" t="s">
        <v>1619</v>
      </c>
      <c r="E554" s="4"/>
      <c r="F554" s="14"/>
    </row>
    <row r="555" spans="1:6" x14ac:dyDescent="0.2">
      <c r="A555" t="s">
        <v>1601</v>
      </c>
      <c r="B555" t="s">
        <v>1620</v>
      </c>
      <c r="C555" t="s">
        <v>1621</v>
      </c>
      <c r="D555" t="s">
        <v>1622</v>
      </c>
      <c r="E555" s="4"/>
      <c r="F555" s="14"/>
    </row>
    <row r="556" spans="1:6" x14ac:dyDescent="0.2">
      <c r="A556" t="s">
        <v>1601</v>
      </c>
      <c r="B556" t="s">
        <v>1623</v>
      </c>
      <c r="C556" t="s">
        <v>1624</v>
      </c>
      <c r="D556" t="s">
        <v>1625</v>
      </c>
      <c r="E556" s="4"/>
      <c r="F556" s="14"/>
    </row>
    <row r="557" spans="1:6" x14ac:dyDescent="0.2">
      <c r="A557" t="s">
        <v>1601</v>
      </c>
      <c r="B557" t="s">
        <v>1626</v>
      </c>
      <c r="C557" t="s">
        <v>1627</v>
      </c>
      <c r="D557" t="s">
        <v>1628</v>
      </c>
      <c r="E557" s="4"/>
      <c r="F557" s="14"/>
    </row>
    <row r="558" spans="1:6" x14ac:dyDescent="0.2">
      <c r="A558" t="s">
        <v>1601</v>
      </c>
      <c r="B558" t="s">
        <v>1629</v>
      </c>
      <c r="C558" t="s">
        <v>1630</v>
      </c>
      <c r="D558" t="s">
        <v>1631</v>
      </c>
      <c r="E558" s="4"/>
      <c r="F558" s="14"/>
    </row>
    <row r="559" spans="1:6" x14ac:dyDescent="0.2">
      <c r="A559" t="s">
        <v>1601</v>
      </c>
      <c r="B559" t="s">
        <v>1632</v>
      </c>
      <c r="C559" t="s">
        <v>1633</v>
      </c>
      <c r="D559" t="s">
        <v>1634</v>
      </c>
      <c r="E559" s="4"/>
      <c r="F559" s="14"/>
    </row>
    <row r="560" spans="1:6" x14ac:dyDescent="0.2">
      <c r="A560" t="s">
        <v>1601</v>
      </c>
      <c r="B560" t="s">
        <v>1635</v>
      </c>
      <c r="C560" t="s">
        <v>1636</v>
      </c>
      <c r="D560" t="s">
        <v>1637</v>
      </c>
      <c r="E560" s="4"/>
      <c r="F560" s="14"/>
    </row>
    <row r="561" spans="1:6" x14ac:dyDescent="0.2">
      <c r="A561" t="s">
        <v>1601</v>
      </c>
      <c r="B561" t="s">
        <v>1638</v>
      </c>
      <c r="C561" t="s">
        <v>1639</v>
      </c>
      <c r="D561" t="s">
        <v>1640</v>
      </c>
      <c r="E561" s="4"/>
      <c r="F561" s="14"/>
    </row>
    <row r="562" spans="1:6" x14ac:dyDescent="0.2">
      <c r="A562" t="s">
        <v>1601</v>
      </c>
      <c r="B562" t="s">
        <v>1641</v>
      </c>
      <c r="C562" t="s">
        <v>1642</v>
      </c>
      <c r="D562" t="s">
        <v>1643</v>
      </c>
      <c r="E562" s="4"/>
      <c r="F562" s="14"/>
    </row>
    <row r="563" spans="1:6" x14ac:dyDescent="0.2">
      <c r="A563" t="s">
        <v>1601</v>
      </c>
      <c r="B563" t="s">
        <v>1644</v>
      </c>
      <c r="C563" t="s">
        <v>1645</v>
      </c>
      <c r="D563" t="s">
        <v>1646</v>
      </c>
      <c r="E563" s="4"/>
      <c r="F563" s="14"/>
    </row>
    <row r="564" spans="1:6" x14ac:dyDescent="0.2">
      <c r="A564" t="s">
        <v>1601</v>
      </c>
      <c r="B564" t="s">
        <v>1647</v>
      </c>
      <c r="C564" t="s">
        <v>1648</v>
      </c>
      <c r="D564" t="s">
        <v>1649</v>
      </c>
      <c r="E564" s="4"/>
      <c r="F564" s="14"/>
    </row>
    <row r="565" spans="1:6" x14ac:dyDescent="0.2">
      <c r="A565" t="s">
        <v>1601</v>
      </c>
      <c r="B565" t="s">
        <v>965</v>
      </c>
      <c r="C565" t="s">
        <v>1197</v>
      </c>
      <c r="D565" t="s">
        <v>1198</v>
      </c>
      <c r="E565" s="4"/>
    </row>
    <row r="566" spans="1:6" x14ac:dyDescent="0.2">
      <c r="A566" t="s">
        <v>1601</v>
      </c>
      <c r="B566" t="s">
        <v>971</v>
      </c>
      <c r="C566" t="s">
        <v>850</v>
      </c>
      <c r="D566" t="s">
        <v>851</v>
      </c>
      <c r="E566" s="4"/>
    </row>
    <row r="567" spans="1:6" x14ac:dyDescent="0.2">
      <c r="A567" t="s">
        <v>1601</v>
      </c>
      <c r="B567" t="s">
        <v>972</v>
      </c>
      <c r="C567" t="s">
        <v>852</v>
      </c>
      <c r="D567" t="s">
        <v>853</v>
      </c>
      <c r="E567" s="4"/>
    </row>
    <row r="568" spans="1:6" x14ac:dyDescent="0.2">
      <c r="E568" s="4"/>
    </row>
    <row r="569" spans="1:6" x14ac:dyDescent="0.2">
      <c r="A569" t="s">
        <v>1650</v>
      </c>
      <c r="B569" s="3" t="s">
        <v>1602</v>
      </c>
      <c r="C569" s="3" t="s">
        <v>1603</v>
      </c>
      <c r="D569" t="s">
        <v>1604</v>
      </c>
      <c r="E569" s="4"/>
      <c r="F569" s="14"/>
    </row>
    <row r="570" spans="1:6" x14ac:dyDescent="0.2">
      <c r="A570" t="s">
        <v>1650</v>
      </c>
      <c r="B570" s="3" t="s">
        <v>1605</v>
      </c>
      <c r="C570" s="3" t="s">
        <v>1651</v>
      </c>
      <c r="D570" t="s">
        <v>1652</v>
      </c>
      <c r="E570" s="4"/>
      <c r="F570" s="14"/>
    </row>
    <row r="571" spans="1:6" x14ac:dyDescent="0.2">
      <c r="A571" t="s">
        <v>1650</v>
      </c>
      <c r="B571" s="3" t="s">
        <v>1608</v>
      </c>
      <c r="C571" s="3" t="s">
        <v>1653</v>
      </c>
      <c r="D571" t="s">
        <v>1654</v>
      </c>
      <c r="E571" s="4"/>
      <c r="F571" s="14"/>
    </row>
    <row r="572" spans="1:6" x14ac:dyDescent="0.2">
      <c r="A572" t="s">
        <v>1650</v>
      </c>
      <c r="B572" t="s">
        <v>1655</v>
      </c>
      <c r="C572" t="s">
        <v>1656</v>
      </c>
      <c r="D572" t="s">
        <v>1657</v>
      </c>
      <c r="E572" s="4"/>
      <c r="F572" s="14"/>
    </row>
    <row r="573" spans="1:6" x14ac:dyDescent="0.2">
      <c r="A573" t="s">
        <v>1650</v>
      </c>
      <c r="B573" t="s">
        <v>1658</v>
      </c>
      <c r="C573" t="s">
        <v>1659</v>
      </c>
      <c r="D573" t="s">
        <v>1660</v>
      </c>
      <c r="E573" s="4"/>
      <c r="F573" s="14"/>
    </row>
    <row r="574" spans="1:6" x14ac:dyDescent="0.2">
      <c r="A574" t="s">
        <v>1650</v>
      </c>
      <c r="B574" t="s">
        <v>1661</v>
      </c>
      <c r="C574" t="s">
        <v>1662</v>
      </c>
      <c r="D574" t="s">
        <v>1663</v>
      </c>
      <c r="E574" s="4"/>
      <c r="F574" s="14"/>
    </row>
    <row r="575" spans="1:6" x14ac:dyDescent="0.2">
      <c r="A575" t="s">
        <v>1650</v>
      </c>
      <c r="B575" t="s">
        <v>1664</v>
      </c>
      <c r="C575" t="s">
        <v>1642</v>
      </c>
      <c r="D575" t="s">
        <v>1643</v>
      </c>
      <c r="E575" s="4"/>
      <c r="F575" s="14"/>
    </row>
    <row r="576" spans="1:6" x14ac:dyDescent="0.2">
      <c r="A576" t="s">
        <v>1650</v>
      </c>
      <c r="B576" t="s">
        <v>1665</v>
      </c>
      <c r="C576" t="s">
        <v>1648</v>
      </c>
      <c r="D576" t="s">
        <v>1666</v>
      </c>
      <c r="E576" s="4"/>
      <c r="F576" s="14"/>
    </row>
    <row r="577" spans="1:6" x14ac:dyDescent="0.2">
      <c r="A577" t="s">
        <v>1650</v>
      </c>
      <c r="B577" t="s">
        <v>965</v>
      </c>
      <c r="C577" t="s">
        <v>1197</v>
      </c>
      <c r="D577" t="s">
        <v>1198</v>
      </c>
      <c r="E577" s="4"/>
      <c r="F577" s="14"/>
    </row>
    <row r="578" spans="1:6" x14ac:dyDescent="0.2">
      <c r="A578" t="s">
        <v>1650</v>
      </c>
      <c r="B578" t="s">
        <v>968</v>
      </c>
      <c r="C578" t="s">
        <v>1667</v>
      </c>
      <c r="D578" t="s">
        <v>1668</v>
      </c>
      <c r="E578" s="4"/>
      <c r="F578" s="14"/>
    </row>
    <row r="579" spans="1:6" x14ac:dyDescent="0.2">
      <c r="A579" t="s">
        <v>1650</v>
      </c>
      <c r="B579" t="s">
        <v>971</v>
      </c>
      <c r="C579" t="s">
        <v>1559</v>
      </c>
      <c r="D579" t="s">
        <v>851</v>
      </c>
      <c r="E579" s="4"/>
    </row>
    <row r="580" spans="1:6" x14ac:dyDescent="0.2">
      <c r="A580" t="s">
        <v>1650</v>
      </c>
      <c r="B580" t="s">
        <v>972</v>
      </c>
      <c r="C580" t="s">
        <v>852</v>
      </c>
      <c r="D580" t="s">
        <v>853</v>
      </c>
      <c r="E580" s="4"/>
    </row>
    <row r="581" spans="1:6" x14ac:dyDescent="0.2">
      <c r="E581" s="4"/>
    </row>
    <row r="582" spans="1:6" x14ac:dyDescent="0.2">
      <c r="A582" s="3" t="s">
        <v>1669</v>
      </c>
      <c r="B582" s="3">
        <v>1</v>
      </c>
      <c r="C582" s="3" t="s">
        <v>846</v>
      </c>
      <c r="D582" s="3" t="s">
        <v>847</v>
      </c>
      <c r="E582" s="4"/>
      <c r="F582" s="14"/>
    </row>
    <row r="583" spans="1:6" x14ac:dyDescent="0.2">
      <c r="A583" s="3" t="s">
        <v>1669</v>
      </c>
      <c r="B583" s="3">
        <v>2</v>
      </c>
      <c r="C583" s="3" t="s">
        <v>1670</v>
      </c>
      <c r="D583" s="3" t="s">
        <v>1671</v>
      </c>
      <c r="E583" s="4"/>
      <c r="F583" s="14"/>
    </row>
    <row r="584" spans="1:6" x14ac:dyDescent="0.2">
      <c r="A584" s="3" t="s">
        <v>1669</v>
      </c>
      <c r="B584" s="3">
        <v>3</v>
      </c>
      <c r="C584" s="3" t="s">
        <v>1672</v>
      </c>
      <c r="D584" s="3" t="s">
        <v>1673</v>
      </c>
      <c r="E584" s="4"/>
      <c r="F584" s="14"/>
    </row>
    <row r="585" spans="1:6" x14ac:dyDescent="0.2">
      <c r="A585" s="3" t="s">
        <v>1669</v>
      </c>
      <c r="B585" s="3">
        <v>4</v>
      </c>
      <c r="C585" s="3" t="s">
        <v>1674</v>
      </c>
      <c r="D585" s="3" t="s">
        <v>1675</v>
      </c>
      <c r="E585" s="4"/>
      <c r="F585" s="14"/>
    </row>
    <row r="586" spans="1:6" x14ac:dyDescent="0.2">
      <c r="A586" s="3" t="s">
        <v>1669</v>
      </c>
      <c r="B586" s="3">
        <v>5</v>
      </c>
      <c r="C586" s="3" t="s">
        <v>1676</v>
      </c>
      <c r="D586" s="3" t="s">
        <v>1677</v>
      </c>
      <c r="E586" s="4"/>
      <c r="F586" s="14"/>
    </row>
    <row r="587" spans="1:6" x14ac:dyDescent="0.2">
      <c r="A587" s="3" t="s">
        <v>1669</v>
      </c>
      <c r="B587" s="3">
        <v>6</v>
      </c>
      <c r="C587" s="3" t="s">
        <v>1678</v>
      </c>
      <c r="D587" s="3" t="s">
        <v>1679</v>
      </c>
      <c r="E587" s="4"/>
      <c r="F587" s="14"/>
    </row>
    <row r="588" spans="1:6" x14ac:dyDescent="0.2">
      <c r="A588" s="3" t="s">
        <v>1669</v>
      </c>
      <c r="B588" s="3">
        <v>7</v>
      </c>
      <c r="C588" s="3" t="s">
        <v>850</v>
      </c>
      <c r="D588" t="s">
        <v>851</v>
      </c>
      <c r="E588" s="4"/>
      <c r="F588" s="14"/>
    </row>
    <row r="589" spans="1:6" x14ac:dyDescent="0.2">
      <c r="A589" s="3" t="s">
        <v>1669</v>
      </c>
      <c r="B589" s="3">
        <v>8</v>
      </c>
      <c r="C589" s="3" t="s">
        <v>852</v>
      </c>
      <c r="D589" t="s">
        <v>853</v>
      </c>
      <c r="E589" s="4"/>
      <c r="F589" s="14"/>
    </row>
    <row r="590" spans="1:6" x14ac:dyDescent="0.2">
      <c r="E590" s="4"/>
      <c r="F590" s="14"/>
    </row>
    <row r="591" spans="1:6" x14ac:dyDescent="0.2">
      <c r="A591" s="3" t="s">
        <v>1680</v>
      </c>
      <c r="B591" s="3" t="s">
        <v>1681</v>
      </c>
      <c r="C591" s="3" t="s">
        <v>1682</v>
      </c>
      <c r="D591" s="3" t="s">
        <v>1682</v>
      </c>
      <c r="E591" s="4"/>
      <c r="F591" s="14"/>
    </row>
    <row r="592" spans="1:6" x14ac:dyDescent="0.2">
      <c r="A592" s="3" t="s">
        <v>1680</v>
      </c>
      <c r="B592" s="3" t="s">
        <v>1683</v>
      </c>
      <c r="C592" s="3" t="s">
        <v>1684</v>
      </c>
      <c r="D592" s="3" t="s">
        <v>1685</v>
      </c>
      <c r="E592" s="4"/>
      <c r="F592" s="14"/>
    </row>
    <row r="593" spans="1:6" x14ac:dyDescent="0.2">
      <c r="A593" s="3" t="s">
        <v>1680</v>
      </c>
      <c r="B593" s="3" t="s">
        <v>1686</v>
      </c>
      <c r="C593" s="3" t="s">
        <v>1687</v>
      </c>
      <c r="D593" s="3" t="s">
        <v>1688</v>
      </c>
      <c r="E593" s="4"/>
      <c r="F593" s="14"/>
    </row>
    <row r="594" spans="1:6" x14ac:dyDescent="0.2">
      <c r="A594" s="3" t="s">
        <v>1680</v>
      </c>
      <c r="B594" s="3" t="s">
        <v>1253</v>
      </c>
      <c r="C594" s="3" t="s">
        <v>1689</v>
      </c>
      <c r="D594" s="3" t="s">
        <v>1690</v>
      </c>
      <c r="E594" s="4"/>
      <c r="F594" s="14"/>
    </row>
    <row r="595" spans="1:6" x14ac:dyDescent="0.2">
      <c r="A595" s="3" t="s">
        <v>1680</v>
      </c>
      <c r="B595" s="3" t="s">
        <v>1247</v>
      </c>
      <c r="C595" s="3" t="s">
        <v>1691</v>
      </c>
      <c r="D595" s="3" t="s">
        <v>1692</v>
      </c>
      <c r="E595" s="4"/>
      <c r="F595" s="14"/>
    </row>
    <row r="596" spans="1:6" x14ac:dyDescent="0.2">
      <c r="A596" s="3" t="s">
        <v>1680</v>
      </c>
      <c r="B596" s="3" t="s">
        <v>971</v>
      </c>
      <c r="C596" s="3" t="s">
        <v>850</v>
      </c>
      <c r="D596" t="s">
        <v>851</v>
      </c>
      <c r="E596" s="4"/>
      <c r="F596" s="14"/>
    </row>
    <row r="597" spans="1:6" x14ac:dyDescent="0.2">
      <c r="A597" s="3" t="s">
        <v>1680</v>
      </c>
      <c r="B597" s="3" t="s">
        <v>972</v>
      </c>
      <c r="C597" s="3" t="s">
        <v>852</v>
      </c>
      <c r="D597" t="s">
        <v>853</v>
      </c>
      <c r="E597" s="4"/>
    </row>
    <row r="598" spans="1:6" x14ac:dyDescent="0.2">
      <c r="E598" s="4"/>
    </row>
    <row r="599" spans="1:6" x14ac:dyDescent="0.2">
      <c r="A599" t="s">
        <v>1693</v>
      </c>
      <c r="B599" t="s">
        <v>1694</v>
      </c>
      <c r="C599" t="s">
        <v>1695</v>
      </c>
      <c r="D599" t="s">
        <v>1696</v>
      </c>
      <c r="E599" s="4"/>
    </row>
    <row r="600" spans="1:6" x14ac:dyDescent="0.2">
      <c r="A600" t="s">
        <v>1693</v>
      </c>
      <c r="B600" t="s">
        <v>1697</v>
      </c>
      <c r="C600" t="s">
        <v>1698</v>
      </c>
      <c r="D600" t="s">
        <v>1699</v>
      </c>
      <c r="E600" s="4"/>
    </row>
    <row r="601" spans="1:6" x14ac:dyDescent="0.2">
      <c r="A601" t="s">
        <v>1693</v>
      </c>
      <c r="B601" t="s">
        <v>1700</v>
      </c>
      <c r="C601" t="s">
        <v>1701</v>
      </c>
      <c r="D601" t="s">
        <v>1702</v>
      </c>
      <c r="E601" s="4"/>
    </row>
    <row r="602" spans="1:6" x14ac:dyDescent="0.2">
      <c r="A602" t="s">
        <v>1693</v>
      </c>
      <c r="B602" t="s">
        <v>1703</v>
      </c>
      <c r="C602" t="s">
        <v>1704</v>
      </c>
      <c r="D602" t="s">
        <v>1705</v>
      </c>
      <c r="E602" s="4"/>
    </row>
    <row r="603" spans="1:6" x14ac:dyDescent="0.2">
      <c r="A603" t="s">
        <v>1693</v>
      </c>
      <c r="B603" t="s">
        <v>1706</v>
      </c>
      <c r="C603" t="s">
        <v>1707</v>
      </c>
      <c r="D603" t="s">
        <v>1708</v>
      </c>
      <c r="E603" s="4"/>
    </row>
    <row r="604" spans="1:6" x14ac:dyDescent="0.2">
      <c r="A604" t="s">
        <v>1693</v>
      </c>
      <c r="B604" t="s">
        <v>1709</v>
      </c>
      <c r="C604" t="s">
        <v>1710</v>
      </c>
      <c r="D604" t="s">
        <v>1711</v>
      </c>
      <c r="E604" s="4"/>
    </row>
    <row r="605" spans="1:6" x14ac:dyDescent="0.2">
      <c r="A605" t="s">
        <v>1693</v>
      </c>
      <c r="B605" t="s">
        <v>1712</v>
      </c>
      <c r="C605" t="s">
        <v>1713</v>
      </c>
      <c r="D605" t="s">
        <v>1714</v>
      </c>
      <c r="E605" s="4"/>
    </row>
    <row r="606" spans="1:6" x14ac:dyDescent="0.2">
      <c r="E606" s="4"/>
    </row>
    <row r="607" spans="1:6" x14ac:dyDescent="0.2">
      <c r="A607" t="s">
        <v>761</v>
      </c>
      <c r="B607" t="s">
        <v>1715</v>
      </c>
      <c r="C607" t="s">
        <v>1716</v>
      </c>
      <c r="D607" t="s">
        <v>1717</v>
      </c>
      <c r="E607" s="4"/>
    </row>
    <row r="608" spans="1:6" x14ac:dyDescent="0.2">
      <c r="A608" t="s">
        <v>761</v>
      </c>
      <c r="B608" t="s">
        <v>1718</v>
      </c>
      <c r="C608" t="s">
        <v>1719</v>
      </c>
      <c r="D608" t="s">
        <v>1720</v>
      </c>
      <c r="E608" s="4"/>
    </row>
    <row r="609" spans="1:6" x14ac:dyDescent="0.2">
      <c r="A609" t="s">
        <v>761</v>
      </c>
      <c r="B609" t="s">
        <v>1721</v>
      </c>
      <c r="C609" t="s">
        <v>1722</v>
      </c>
      <c r="D609" t="s">
        <v>1723</v>
      </c>
      <c r="E609" s="4"/>
    </row>
    <row r="610" spans="1:6" x14ac:dyDescent="0.2">
      <c r="E610" s="4"/>
    </row>
    <row r="611" spans="1:6" x14ac:dyDescent="0.2">
      <c r="D611" s="11"/>
    </row>
    <row r="612" spans="1:6" x14ac:dyDescent="0.2">
      <c r="A612" s="11"/>
      <c r="B612" s="11"/>
      <c r="C612" s="11"/>
      <c r="E612" s="7"/>
      <c r="F612" s="11"/>
    </row>
    <row r="614" spans="1:6" x14ac:dyDescent="0.2">
      <c r="A614" t="s">
        <v>1724</v>
      </c>
      <c r="B614" t="s">
        <v>1725</v>
      </c>
      <c r="C614" t="s">
        <v>1726</v>
      </c>
      <c r="D614" t="s">
        <v>1727</v>
      </c>
    </row>
    <row r="615" spans="1:6" x14ac:dyDescent="0.2">
      <c r="A615" t="s">
        <v>1724</v>
      </c>
      <c r="B615" t="s">
        <v>1728</v>
      </c>
      <c r="C615" t="s">
        <v>1729</v>
      </c>
      <c r="D615" t="s">
        <v>1730</v>
      </c>
    </row>
    <row r="616" spans="1:6" x14ac:dyDescent="0.2">
      <c r="A616" t="s">
        <v>1724</v>
      </c>
      <c r="B616" t="s">
        <v>1731</v>
      </c>
      <c r="C616" t="s">
        <v>1732</v>
      </c>
      <c r="D616" t="s">
        <v>1733</v>
      </c>
    </row>
    <row r="617" spans="1:6" x14ac:dyDescent="0.2">
      <c r="A617" t="s">
        <v>1724</v>
      </c>
      <c r="B617" t="s">
        <v>1734</v>
      </c>
      <c r="C617" t="s">
        <v>1735</v>
      </c>
      <c r="D617" t="s">
        <v>1736</v>
      </c>
    </row>
    <row r="618" spans="1:6" x14ac:dyDescent="0.2">
      <c r="A618" t="s">
        <v>1724</v>
      </c>
      <c r="B618" t="s">
        <v>1737</v>
      </c>
      <c r="C618" t="s">
        <v>1738</v>
      </c>
      <c r="D618" t="s">
        <v>1739</v>
      </c>
    </row>
    <row r="619" spans="1:6" x14ac:dyDescent="0.2">
      <c r="A619" t="s">
        <v>1724</v>
      </c>
      <c r="B619" t="s">
        <v>1740</v>
      </c>
      <c r="C619" t="s">
        <v>1741</v>
      </c>
      <c r="D619" t="s">
        <v>1742</v>
      </c>
    </row>
    <row r="620" spans="1:6" x14ac:dyDescent="0.2">
      <c r="A620" t="s">
        <v>1724</v>
      </c>
      <c r="B620" t="s">
        <v>1743</v>
      </c>
      <c r="C620" t="s">
        <v>1744</v>
      </c>
      <c r="D620" t="s">
        <v>1745</v>
      </c>
    </row>
    <row r="621" spans="1:6" x14ac:dyDescent="0.2">
      <c r="A621" t="s">
        <v>1724</v>
      </c>
      <c r="B621" t="s">
        <v>1746</v>
      </c>
      <c r="C621" t="s">
        <v>1747</v>
      </c>
      <c r="D621" t="s">
        <v>1748</v>
      </c>
    </row>
    <row r="622" spans="1:6" x14ac:dyDescent="0.2">
      <c r="A622" t="s">
        <v>1724</v>
      </c>
      <c r="B622" t="s">
        <v>1749</v>
      </c>
      <c r="C622" t="s">
        <v>1750</v>
      </c>
      <c r="D622" t="s">
        <v>1751</v>
      </c>
    </row>
    <row r="623" spans="1:6" x14ac:dyDescent="0.2">
      <c r="A623" t="s">
        <v>1724</v>
      </c>
      <c r="B623" t="s">
        <v>1752</v>
      </c>
      <c r="C623" t="s">
        <v>1753</v>
      </c>
      <c r="D623" t="s">
        <v>1754</v>
      </c>
    </row>
    <row r="624" spans="1:6" x14ac:dyDescent="0.2">
      <c r="A624" t="s">
        <v>1724</v>
      </c>
      <c r="B624" t="s">
        <v>1755</v>
      </c>
      <c r="C624" t="s">
        <v>1756</v>
      </c>
      <c r="D624" t="s">
        <v>1757</v>
      </c>
    </row>
    <row r="625" spans="1:4" x14ac:dyDescent="0.2">
      <c r="A625" t="s">
        <v>1724</v>
      </c>
      <c r="B625" t="s">
        <v>1758</v>
      </c>
      <c r="C625" t="s">
        <v>1759</v>
      </c>
      <c r="D625" t="s">
        <v>1760</v>
      </c>
    </row>
    <row r="626" spans="1:4" x14ac:dyDescent="0.2">
      <c r="A626" t="s">
        <v>1724</v>
      </c>
      <c r="B626" t="s">
        <v>1761</v>
      </c>
      <c r="C626" t="s">
        <v>1762</v>
      </c>
      <c r="D626" t="s">
        <v>1763</v>
      </c>
    </row>
    <row r="627" spans="1:4" x14ac:dyDescent="0.2">
      <c r="A627" t="s">
        <v>1724</v>
      </c>
      <c r="B627" t="s">
        <v>1764</v>
      </c>
      <c r="C627" t="s">
        <v>1765</v>
      </c>
      <c r="D627" t="s">
        <v>1766</v>
      </c>
    </row>
    <row r="628" spans="1:4" x14ac:dyDescent="0.2">
      <c r="A628" t="s">
        <v>1724</v>
      </c>
      <c r="B628" t="s">
        <v>1767</v>
      </c>
      <c r="C628" t="s">
        <v>1768</v>
      </c>
      <c r="D628" t="s">
        <v>1769</v>
      </c>
    </row>
    <row r="629" spans="1:4" x14ac:dyDescent="0.2">
      <c r="A629" t="s">
        <v>1724</v>
      </c>
      <c r="B629" t="s">
        <v>1770</v>
      </c>
      <c r="C629" t="s">
        <v>1771</v>
      </c>
      <c r="D629" t="s">
        <v>1772</v>
      </c>
    </row>
    <row r="630" spans="1:4" x14ac:dyDescent="0.2">
      <c r="A630" t="s">
        <v>1724</v>
      </c>
      <c r="B630" t="s">
        <v>1773</v>
      </c>
      <c r="C630" t="s">
        <v>1774</v>
      </c>
      <c r="D630" t="s">
        <v>1775</v>
      </c>
    </row>
    <row r="631" spans="1:4" x14ac:dyDescent="0.2">
      <c r="A631" t="s">
        <v>1724</v>
      </c>
      <c r="B631" t="s">
        <v>1776</v>
      </c>
      <c r="C631" t="s">
        <v>1777</v>
      </c>
      <c r="D631" t="s">
        <v>1778</v>
      </c>
    </row>
    <row r="632" spans="1:4" x14ac:dyDescent="0.2">
      <c r="A632" t="s">
        <v>1724</v>
      </c>
      <c r="B632" t="s">
        <v>1779</v>
      </c>
      <c r="C632" t="s">
        <v>1780</v>
      </c>
      <c r="D632" t="s">
        <v>1781</v>
      </c>
    </row>
    <row r="633" spans="1:4" x14ac:dyDescent="0.2">
      <c r="A633" t="s">
        <v>1724</v>
      </c>
      <c r="B633" t="s">
        <v>1782</v>
      </c>
      <c r="C633" t="s">
        <v>1783</v>
      </c>
      <c r="D633" t="s">
        <v>1784</v>
      </c>
    </row>
    <row r="634" spans="1:4" x14ac:dyDescent="0.2">
      <c r="A634" t="s">
        <v>1724</v>
      </c>
      <c r="B634" t="s">
        <v>1785</v>
      </c>
      <c r="C634" t="s">
        <v>1786</v>
      </c>
      <c r="D634" t="s">
        <v>1787</v>
      </c>
    </row>
    <row r="635" spans="1:4" x14ac:dyDescent="0.2">
      <c r="A635" t="s">
        <v>1724</v>
      </c>
      <c r="B635" t="s">
        <v>1788</v>
      </c>
      <c r="C635" t="s">
        <v>1789</v>
      </c>
      <c r="D635" t="s">
        <v>1790</v>
      </c>
    </row>
    <row r="636" spans="1:4" x14ac:dyDescent="0.2">
      <c r="A636" t="s">
        <v>1724</v>
      </c>
      <c r="B636" t="s">
        <v>1791</v>
      </c>
      <c r="C636" t="s">
        <v>1792</v>
      </c>
      <c r="D636" t="s">
        <v>1793</v>
      </c>
    </row>
    <row r="637" spans="1:4" x14ac:dyDescent="0.2">
      <c r="A637" t="s">
        <v>1724</v>
      </c>
      <c r="B637" t="s">
        <v>1794</v>
      </c>
      <c r="C637" t="s">
        <v>1795</v>
      </c>
      <c r="D637" t="s">
        <v>1796</v>
      </c>
    </row>
    <row r="638" spans="1:4" x14ac:dyDescent="0.2">
      <c r="A638" t="s">
        <v>1724</v>
      </c>
      <c r="B638" t="s">
        <v>1797</v>
      </c>
      <c r="C638" t="s">
        <v>1798</v>
      </c>
      <c r="D638" t="s">
        <v>1799</v>
      </c>
    </row>
    <row r="639" spans="1:4" x14ac:dyDescent="0.2">
      <c r="A639" t="s">
        <v>1724</v>
      </c>
      <c r="B639" t="s">
        <v>1800</v>
      </c>
      <c r="C639" t="s">
        <v>1801</v>
      </c>
      <c r="D639" t="s">
        <v>1802</v>
      </c>
    </row>
    <row r="640" spans="1:4" x14ac:dyDescent="0.2">
      <c r="A640" t="s">
        <v>1724</v>
      </c>
      <c r="B640" t="s">
        <v>1803</v>
      </c>
      <c r="C640" t="s">
        <v>1804</v>
      </c>
      <c r="D640" t="s">
        <v>1805</v>
      </c>
    </row>
    <row r="641" spans="1:4" x14ac:dyDescent="0.2">
      <c r="A641" t="s">
        <v>1724</v>
      </c>
      <c r="B641" t="s">
        <v>1806</v>
      </c>
      <c r="C641" t="s">
        <v>1807</v>
      </c>
      <c r="D641" t="s">
        <v>1808</v>
      </c>
    </row>
    <row r="642" spans="1:4" x14ac:dyDescent="0.2">
      <c r="A642" t="s">
        <v>1724</v>
      </c>
      <c r="B642" t="s">
        <v>1809</v>
      </c>
      <c r="C642" t="s">
        <v>1810</v>
      </c>
      <c r="D642" t="s">
        <v>1811</v>
      </c>
    </row>
    <row r="643" spans="1:4" x14ac:dyDescent="0.2">
      <c r="A643" t="s">
        <v>1724</v>
      </c>
      <c r="B643" t="s">
        <v>1812</v>
      </c>
      <c r="C643" t="s">
        <v>1813</v>
      </c>
      <c r="D643" t="s">
        <v>1814</v>
      </c>
    </row>
    <row r="644" spans="1:4" x14ac:dyDescent="0.2">
      <c r="A644" t="s">
        <v>1724</v>
      </c>
      <c r="B644" t="s">
        <v>1815</v>
      </c>
      <c r="C644" t="s">
        <v>1816</v>
      </c>
      <c r="D644" t="s">
        <v>1817</v>
      </c>
    </row>
    <row r="645" spans="1:4" x14ac:dyDescent="0.2">
      <c r="A645" t="s">
        <v>1724</v>
      </c>
      <c r="B645" t="s">
        <v>1818</v>
      </c>
      <c r="C645" t="s">
        <v>1819</v>
      </c>
      <c r="D645" t="s">
        <v>1820</v>
      </c>
    </row>
    <row r="646" spans="1:4" x14ac:dyDescent="0.2">
      <c r="A646" t="s">
        <v>1724</v>
      </c>
      <c r="B646" t="s">
        <v>1821</v>
      </c>
      <c r="C646" t="s">
        <v>1822</v>
      </c>
      <c r="D646" t="s">
        <v>1823</v>
      </c>
    </row>
    <row r="647" spans="1:4" x14ac:dyDescent="0.2">
      <c r="A647" t="s">
        <v>1724</v>
      </c>
      <c r="B647" t="s">
        <v>1824</v>
      </c>
      <c r="C647" t="s">
        <v>1825</v>
      </c>
      <c r="D647" t="s">
        <v>1826</v>
      </c>
    </row>
    <row r="648" spans="1:4" x14ac:dyDescent="0.2">
      <c r="A648" t="s">
        <v>1724</v>
      </c>
      <c r="B648" t="s">
        <v>1827</v>
      </c>
      <c r="C648" t="s">
        <v>1828</v>
      </c>
      <c r="D648" t="s">
        <v>1828</v>
      </c>
    </row>
    <row r="649" spans="1:4" x14ac:dyDescent="0.2">
      <c r="A649" t="s">
        <v>1724</v>
      </c>
      <c r="B649" t="s">
        <v>1829</v>
      </c>
      <c r="C649" t="s">
        <v>1830</v>
      </c>
      <c r="D649" t="s">
        <v>1831</v>
      </c>
    </row>
    <row r="650" spans="1:4" x14ac:dyDescent="0.2">
      <c r="A650" t="s">
        <v>1724</v>
      </c>
      <c r="B650" t="s">
        <v>1832</v>
      </c>
      <c r="C650" t="s">
        <v>1833</v>
      </c>
      <c r="D650" t="s">
        <v>1834</v>
      </c>
    </row>
    <row r="651" spans="1:4" x14ac:dyDescent="0.2">
      <c r="A651" t="s">
        <v>1724</v>
      </c>
      <c r="B651" t="s">
        <v>1835</v>
      </c>
      <c r="C651" t="s">
        <v>1836</v>
      </c>
      <c r="D651" t="s">
        <v>1837</v>
      </c>
    </row>
    <row r="652" spans="1:4" x14ac:dyDescent="0.2">
      <c r="A652" t="s">
        <v>1724</v>
      </c>
      <c r="B652" t="s">
        <v>1838</v>
      </c>
      <c r="C652" t="s">
        <v>1839</v>
      </c>
      <c r="D652" t="s">
        <v>1840</v>
      </c>
    </row>
    <row r="653" spans="1:4" x14ac:dyDescent="0.2">
      <c r="A653" t="s">
        <v>1724</v>
      </c>
      <c r="B653" t="s">
        <v>1841</v>
      </c>
      <c r="C653" t="s">
        <v>1842</v>
      </c>
      <c r="D653" t="s">
        <v>1843</v>
      </c>
    </row>
    <row r="654" spans="1:4" x14ac:dyDescent="0.2">
      <c r="A654" t="s">
        <v>1724</v>
      </c>
      <c r="B654" t="s">
        <v>1844</v>
      </c>
      <c r="C654" t="s">
        <v>1845</v>
      </c>
      <c r="D654" t="s">
        <v>1846</v>
      </c>
    </row>
    <row r="655" spans="1:4" x14ac:dyDescent="0.2">
      <c r="A655" t="s">
        <v>1724</v>
      </c>
      <c r="B655" t="s">
        <v>1847</v>
      </c>
      <c r="C655" t="s">
        <v>1848</v>
      </c>
      <c r="D655" t="s">
        <v>1849</v>
      </c>
    </row>
    <row r="656" spans="1:4" x14ac:dyDescent="0.2">
      <c r="A656" t="s">
        <v>1724</v>
      </c>
      <c r="B656" t="s">
        <v>1850</v>
      </c>
      <c r="C656" t="s">
        <v>1851</v>
      </c>
      <c r="D656" t="s">
        <v>1852</v>
      </c>
    </row>
    <row r="657" spans="1:4" x14ac:dyDescent="0.2">
      <c r="A657" t="s">
        <v>1724</v>
      </c>
      <c r="B657" t="s">
        <v>1853</v>
      </c>
      <c r="C657" t="s">
        <v>1854</v>
      </c>
      <c r="D657" t="s">
        <v>1855</v>
      </c>
    </row>
    <row r="658" spans="1:4" x14ac:dyDescent="0.2">
      <c r="A658" t="s">
        <v>1724</v>
      </c>
      <c r="B658" t="s">
        <v>1856</v>
      </c>
      <c r="C658" t="s">
        <v>1857</v>
      </c>
      <c r="D658" t="s">
        <v>1857</v>
      </c>
    </row>
    <row r="659" spans="1:4" x14ac:dyDescent="0.2">
      <c r="A659" t="s">
        <v>1724</v>
      </c>
      <c r="B659" t="s">
        <v>1858</v>
      </c>
      <c r="C659" t="s">
        <v>1859</v>
      </c>
      <c r="D659" t="s">
        <v>1860</v>
      </c>
    </row>
    <row r="660" spans="1:4" x14ac:dyDescent="0.2">
      <c r="A660" t="s">
        <v>1724</v>
      </c>
      <c r="B660" t="s">
        <v>1861</v>
      </c>
      <c r="C660" t="s">
        <v>1862</v>
      </c>
      <c r="D660" t="s">
        <v>1863</v>
      </c>
    </row>
    <row r="661" spans="1:4" x14ac:dyDescent="0.2">
      <c r="A661" t="s">
        <v>1724</v>
      </c>
      <c r="B661" t="s">
        <v>1864</v>
      </c>
      <c r="C661" t="s">
        <v>1865</v>
      </c>
      <c r="D661" t="s">
        <v>1865</v>
      </c>
    </row>
    <row r="662" spans="1:4" x14ac:dyDescent="0.2">
      <c r="A662" t="s">
        <v>1724</v>
      </c>
      <c r="B662" t="s">
        <v>1866</v>
      </c>
      <c r="C662" t="s">
        <v>1867</v>
      </c>
      <c r="D662" t="s">
        <v>1868</v>
      </c>
    </row>
    <row r="663" spans="1:4" x14ac:dyDescent="0.2">
      <c r="A663" t="s">
        <v>1724</v>
      </c>
      <c r="B663" t="s">
        <v>1869</v>
      </c>
      <c r="C663" t="s">
        <v>1870</v>
      </c>
      <c r="D663" t="s">
        <v>1871</v>
      </c>
    </row>
    <row r="664" spans="1:4" x14ac:dyDescent="0.2">
      <c r="A664" t="s">
        <v>1724</v>
      </c>
      <c r="B664" t="s">
        <v>1872</v>
      </c>
      <c r="C664" t="s">
        <v>1873</v>
      </c>
      <c r="D664" t="s">
        <v>1874</v>
      </c>
    </row>
    <row r="665" spans="1:4" x14ac:dyDescent="0.2">
      <c r="A665" t="s">
        <v>1724</v>
      </c>
      <c r="B665" t="s">
        <v>1875</v>
      </c>
      <c r="C665" t="s">
        <v>1876</v>
      </c>
      <c r="D665" t="s">
        <v>1877</v>
      </c>
    </row>
    <row r="666" spans="1:4" x14ac:dyDescent="0.2">
      <c r="A666" t="s">
        <v>1724</v>
      </c>
      <c r="B666" t="s">
        <v>1878</v>
      </c>
      <c r="C666" t="s">
        <v>1879</v>
      </c>
      <c r="D666" t="s">
        <v>1880</v>
      </c>
    </row>
    <row r="667" spans="1:4" x14ac:dyDescent="0.2">
      <c r="A667" t="s">
        <v>1724</v>
      </c>
      <c r="B667" t="s">
        <v>1881</v>
      </c>
      <c r="C667" t="s">
        <v>1882</v>
      </c>
      <c r="D667" t="s">
        <v>1883</v>
      </c>
    </row>
    <row r="668" spans="1:4" x14ac:dyDescent="0.2">
      <c r="A668" t="s">
        <v>1724</v>
      </c>
      <c r="B668" t="s">
        <v>1884</v>
      </c>
      <c r="C668" t="s">
        <v>1885</v>
      </c>
      <c r="D668" t="s">
        <v>1886</v>
      </c>
    </row>
    <row r="669" spans="1:4" x14ac:dyDescent="0.2">
      <c r="A669" t="s">
        <v>1724</v>
      </c>
      <c r="B669" t="s">
        <v>1887</v>
      </c>
      <c r="C669" t="s">
        <v>1888</v>
      </c>
      <c r="D669" t="s">
        <v>1888</v>
      </c>
    </row>
    <row r="670" spans="1:4" x14ac:dyDescent="0.2">
      <c r="A670" t="s">
        <v>1724</v>
      </c>
      <c r="B670" t="s">
        <v>1889</v>
      </c>
      <c r="C670" t="s">
        <v>1890</v>
      </c>
      <c r="D670" t="s">
        <v>1891</v>
      </c>
    </row>
    <row r="671" spans="1:4" x14ac:dyDescent="0.2">
      <c r="A671" t="s">
        <v>1724</v>
      </c>
      <c r="B671" t="s">
        <v>1892</v>
      </c>
      <c r="C671" t="s">
        <v>1893</v>
      </c>
      <c r="D671" t="s">
        <v>1894</v>
      </c>
    </row>
    <row r="672" spans="1:4" x14ac:dyDescent="0.2">
      <c r="A672" t="s">
        <v>1724</v>
      </c>
      <c r="B672" t="s">
        <v>1895</v>
      </c>
      <c r="C672" t="s">
        <v>1896</v>
      </c>
      <c r="D672" t="s">
        <v>1897</v>
      </c>
    </row>
    <row r="673" spans="1:4" x14ac:dyDescent="0.2">
      <c r="A673" t="s">
        <v>1724</v>
      </c>
      <c r="B673" t="s">
        <v>1898</v>
      </c>
      <c r="C673" t="s">
        <v>1899</v>
      </c>
      <c r="D673" t="s">
        <v>1900</v>
      </c>
    </row>
    <row r="674" spans="1:4" x14ac:dyDescent="0.2">
      <c r="A674" t="s">
        <v>1724</v>
      </c>
      <c r="B674" t="s">
        <v>1901</v>
      </c>
      <c r="C674" t="s">
        <v>1902</v>
      </c>
      <c r="D674" t="s">
        <v>1903</v>
      </c>
    </row>
    <row r="675" spans="1:4" x14ac:dyDescent="0.2">
      <c r="A675" t="s">
        <v>1724</v>
      </c>
      <c r="B675" t="s">
        <v>1904</v>
      </c>
      <c r="C675" t="s">
        <v>1905</v>
      </c>
      <c r="D675" t="s">
        <v>1906</v>
      </c>
    </row>
    <row r="676" spans="1:4" x14ac:dyDescent="0.2">
      <c r="A676" t="s">
        <v>1724</v>
      </c>
      <c r="B676" t="s">
        <v>1907</v>
      </c>
      <c r="C676" t="s">
        <v>1908</v>
      </c>
      <c r="D676" t="s">
        <v>1909</v>
      </c>
    </row>
    <row r="677" spans="1:4" x14ac:dyDescent="0.2">
      <c r="A677" t="s">
        <v>1724</v>
      </c>
      <c r="B677" t="s">
        <v>1910</v>
      </c>
      <c r="C677" t="s">
        <v>1911</v>
      </c>
      <c r="D677" t="s">
        <v>1912</v>
      </c>
    </row>
    <row r="678" spans="1:4" x14ac:dyDescent="0.2">
      <c r="A678" t="s">
        <v>1724</v>
      </c>
      <c r="B678" t="s">
        <v>1913</v>
      </c>
      <c r="C678" t="s">
        <v>1914</v>
      </c>
      <c r="D678" t="s">
        <v>1915</v>
      </c>
    </row>
    <row r="679" spans="1:4" x14ac:dyDescent="0.2">
      <c r="A679" t="s">
        <v>1724</v>
      </c>
      <c r="B679" t="s">
        <v>1916</v>
      </c>
      <c r="C679" t="s">
        <v>1917</v>
      </c>
      <c r="D679" t="s">
        <v>1918</v>
      </c>
    </row>
    <row r="680" spans="1:4" x14ac:dyDescent="0.2">
      <c r="A680" t="s">
        <v>1724</v>
      </c>
      <c r="B680" t="s">
        <v>1919</v>
      </c>
      <c r="C680" t="s">
        <v>1920</v>
      </c>
      <c r="D680" t="s">
        <v>1921</v>
      </c>
    </row>
    <row r="681" spans="1:4" x14ac:dyDescent="0.2">
      <c r="A681" t="s">
        <v>1724</v>
      </c>
      <c r="B681" t="s">
        <v>1922</v>
      </c>
      <c r="C681" t="s">
        <v>1923</v>
      </c>
      <c r="D681" t="s">
        <v>1924</v>
      </c>
    </row>
    <row r="682" spans="1:4" x14ac:dyDescent="0.2">
      <c r="A682" t="s">
        <v>1724</v>
      </c>
      <c r="B682" t="s">
        <v>1925</v>
      </c>
      <c r="C682" t="s">
        <v>1926</v>
      </c>
      <c r="D682" t="s">
        <v>1927</v>
      </c>
    </row>
    <row r="683" spans="1:4" x14ac:dyDescent="0.2">
      <c r="A683" t="s">
        <v>1724</v>
      </c>
      <c r="B683" t="s">
        <v>1928</v>
      </c>
      <c r="C683" t="s">
        <v>1929</v>
      </c>
      <c r="D683" t="s">
        <v>1930</v>
      </c>
    </row>
    <row r="684" spans="1:4" x14ac:dyDescent="0.2">
      <c r="A684" t="s">
        <v>1724</v>
      </c>
      <c r="B684" t="s">
        <v>1931</v>
      </c>
      <c r="C684" t="s">
        <v>1932</v>
      </c>
      <c r="D684" t="s">
        <v>1933</v>
      </c>
    </row>
    <row r="685" spans="1:4" x14ac:dyDescent="0.2">
      <c r="A685" t="s">
        <v>1724</v>
      </c>
      <c r="B685" t="s">
        <v>1934</v>
      </c>
      <c r="C685" t="s">
        <v>1935</v>
      </c>
      <c r="D685" t="s">
        <v>1936</v>
      </c>
    </row>
    <row r="686" spans="1:4" x14ac:dyDescent="0.2">
      <c r="A686" t="s">
        <v>1724</v>
      </c>
      <c r="B686" t="s">
        <v>1937</v>
      </c>
      <c r="C686" t="s">
        <v>1938</v>
      </c>
      <c r="D686" t="s">
        <v>1939</v>
      </c>
    </row>
    <row r="687" spans="1:4" x14ac:dyDescent="0.2">
      <c r="A687" t="s">
        <v>1724</v>
      </c>
      <c r="B687" t="s">
        <v>1940</v>
      </c>
      <c r="C687" t="s">
        <v>1941</v>
      </c>
      <c r="D687" t="s">
        <v>1942</v>
      </c>
    </row>
    <row r="688" spans="1:4" x14ac:dyDescent="0.2">
      <c r="A688" t="s">
        <v>1724</v>
      </c>
      <c r="B688" t="s">
        <v>1943</v>
      </c>
      <c r="C688" t="s">
        <v>1944</v>
      </c>
      <c r="D688" t="s">
        <v>1945</v>
      </c>
    </row>
    <row r="689" spans="1:4" x14ac:dyDescent="0.2">
      <c r="A689" t="s">
        <v>1724</v>
      </c>
      <c r="B689" t="s">
        <v>1946</v>
      </c>
      <c r="C689" t="s">
        <v>1947</v>
      </c>
      <c r="D689" t="s">
        <v>1948</v>
      </c>
    </row>
    <row r="690" spans="1:4" x14ac:dyDescent="0.2">
      <c r="A690" t="s">
        <v>1724</v>
      </c>
      <c r="B690" t="s">
        <v>1949</v>
      </c>
      <c r="C690" t="s">
        <v>1950</v>
      </c>
      <c r="D690" t="s">
        <v>1951</v>
      </c>
    </row>
    <row r="691" spans="1:4" x14ac:dyDescent="0.2">
      <c r="A691" t="s">
        <v>1724</v>
      </c>
      <c r="B691" t="s">
        <v>1952</v>
      </c>
      <c r="C691" t="s">
        <v>1953</v>
      </c>
      <c r="D691" t="s">
        <v>1954</v>
      </c>
    </row>
    <row r="692" spans="1:4" x14ac:dyDescent="0.2">
      <c r="A692" t="s">
        <v>1724</v>
      </c>
      <c r="B692" t="s">
        <v>1955</v>
      </c>
      <c r="C692" t="s">
        <v>1956</v>
      </c>
      <c r="D692" t="s">
        <v>1957</v>
      </c>
    </row>
    <row r="693" spans="1:4" x14ac:dyDescent="0.2">
      <c r="A693" t="s">
        <v>1724</v>
      </c>
      <c r="B693" t="s">
        <v>1958</v>
      </c>
      <c r="C693" t="s">
        <v>1959</v>
      </c>
      <c r="D693" t="s">
        <v>1960</v>
      </c>
    </row>
    <row r="694" spans="1:4" x14ac:dyDescent="0.2">
      <c r="A694" t="s">
        <v>1724</v>
      </c>
      <c r="B694" t="s">
        <v>1961</v>
      </c>
      <c r="C694" t="s">
        <v>1962</v>
      </c>
      <c r="D694" t="s">
        <v>1963</v>
      </c>
    </row>
    <row r="695" spans="1:4" x14ac:dyDescent="0.2">
      <c r="A695" t="s">
        <v>1724</v>
      </c>
      <c r="B695" t="s">
        <v>1964</v>
      </c>
      <c r="C695" t="s">
        <v>1965</v>
      </c>
      <c r="D695" t="s">
        <v>1966</v>
      </c>
    </row>
    <row r="696" spans="1:4" x14ac:dyDescent="0.2">
      <c r="A696" t="s">
        <v>1724</v>
      </c>
      <c r="B696" t="s">
        <v>1967</v>
      </c>
      <c r="C696" t="s">
        <v>1968</v>
      </c>
      <c r="D696" t="s">
        <v>1969</v>
      </c>
    </row>
    <row r="697" spans="1:4" x14ac:dyDescent="0.2">
      <c r="A697" t="s">
        <v>1724</v>
      </c>
      <c r="B697" t="s">
        <v>1970</v>
      </c>
      <c r="C697" t="s">
        <v>1971</v>
      </c>
      <c r="D697" t="s">
        <v>1972</v>
      </c>
    </row>
    <row r="698" spans="1:4" x14ac:dyDescent="0.2">
      <c r="A698" t="s">
        <v>1724</v>
      </c>
      <c r="B698" t="s">
        <v>1973</v>
      </c>
      <c r="C698" t="s">
        <v>1974</v>
      </c>
      <c r="D698" t="s">
        <v>1975</v>
      </c>
    </row>
    <row r="699" spans="1:4" x14ac:dyDescent="0.2">
      <c r="A699" t="s">
        <v>1724</v>
      </c>
      <c r="B699" t="s">
        <v>1976</v>
      </c>
      <c r="C699" t="s">
        <v>1977</v>
      </c>
      <c r="D699" t="s">
        <v>1977</v>
      </c>
    </row>
    <row r="700" spans="1:4" x14ac:dyDescent="0.2">
      <c r="A700" t="s">
        <v>1724</v>
      </c>
      <c r="B700" t="s">
        <v>1978</v>
      </c>
      <c r="C700" t="s">
        <v>1979</v>
      </c>
      <c r="D700" t="s">
        <v>1980</v>
      </c>
    </row>
    <row r="701" spans="1:4" x14ac:dyDescent="0.2">
      <c r="A701" t="s">
        <v>1724</v>
      </c>
      <c r="B701" t="s">
        <v>1981</v>
      </c>
      <c r="C701" t="s">
        <v>1982</v>
      </c>
      <c r="D701" t="s">
        <v>1983</v>
      </c>
    </row>
    <row r="702" spans="1:4" x14ac:dyDescent="0.2">
      <c r="A702" t="s">
        <v>1724</v>
      </c>
      <c r="B702" t="s">
        <v>1984</v>
      </c>
      <c r="C702" t="s">
        <v>1985</v>
      </c>
      <c r="D702" t="s">
        <v>1985</v>
      </c>
    </row>
    <row r="703" spans="1:4" x14ac:dyDescent="0.2">
      <c r="A703" t="s">
        <v>1724</v>
      </c>
      <c r="B703" t="s">
        <v>1986</v>
      </c>
      <c r="C703" t="s">
        <v>1987</v>
      </c>
      <c r="D703" t="s">
        <v>1988</v>
      </c>
    </row>
    <row r="704" spans="1:4" x14ac:dyDescent="0.2">
      <c r="A704" t="s">
        <v>1724</v>
      </c>
      <c r="B704" t="s">
        <v>1989</v>
      </c>
      <c r="C704" t="s">
        <v>1990</v>
      </c>
      <c r="D704" t="s">
        <v>1991</v>
      </c>
    </row>
    <row r="705" spans="1:4" x14ac:dyDescent="0.2">
      <c r="A705" t="s">
        <v>1724</v>
      </c>
      <c r="B705" t="s">
        <v>1992</v>
      </c>
      <c r="C705" t="s">
        <v>1993</v>
      </c>
      <c r="D705" t="s">
        <v>1994</v>
      </c>
    </row>
    <row r="706" spans="1:4" x14ac:dyDescent="0.2">
      <c r="A706" t="s">
        <v>1724</v>
      </c>
      <c r="B706" t="s">
        <v>1995</v>
      </c>
      <c r="C706" t="s">
        <v>1996</v>
      </c>
      <c r="D706" t="s">
        <v>1997</v>
      </c>
    </row>
    <row r="708" spans="1:4" x14ac:dyDescent="0.2">
      <c r="A708" t="s">
        <v>1998</v>
      </c>
      <c r="B708" t="s">
        <v>1725</v>
      </c>
      <c r="C708" t="s">
        <v>1726</v>
      </c>
      <c r="D708" t="s">
        <v>1727</v>
      </c>
    </row>
    <row r="709" spans="1:4" x14ac:dyDescent="0.2">
      <c r="A709" t="s">
        <v>1998</v>
      </c>
      <c r="B709" t="s">
        <v>1728</v>
      </c>
      <c r="C709" t="s">
        <v>1729</v>
      </c>
      <c r="D709" t="s">
        <v>1730</v>
      </c>
    </row>
    <row r="710" spans="1:4" x14ac:dyDescent="0.2">
      <c r="A710" t="s">
        <v>1998</v>
      </c>
      <c r="B710" t="s">
        <v>1731</v>
      </c>
      <c r="C710" t="s">
        <v>1732</v>
      </c>
      <c r="D710" t="s">
        <v>1733</v>
      </c>
    </row>
    <row r="711" spans="1:4" x14ac:dyDescent="0.2">
      <c r="A711" t="s">
        <v>1998</v>
      </c>
      <c r="B711" t="s">
        <v>1734</v>
      </c>
      <c r="C711" t="s">
        <v>1735</v>
      </c>
      <c r="D711" t="s">
        <v>1736</v>
      </c>
    </row>
    <row r="712" spans="1:4" x14ac:dyDescent="0.2">
      <c r="A712" t="s">
        <v>1998</v>
      </c>
      <c r="B712" t="s">
        <v>1737</v>
      </c>
      <c r="C712" t="s">
        <v>1738</v>
      </c>
      <c r="D712" t="s">
        <v>1739</v>
      </c>
    </row>
    <row r="713" spans="1:4" x14ac:dyDescent="0.2">
      <c r="A713" t="s">
        <v>1998</v>
      </c>
      <c r="B713" t="s">
        <v>1740</v>
      </c>
      <c r="C713" t="s">
        <v>1741</v>
      </c>
      <c r="D713" t="s">
        <v>1742</v>
      </c>
    </row>
    <row r="714" spans="1:4" x14ac:dyDescent="0.2">
      <c r="A714" t="s">
        <v>1998</v>
      </c>
      <c r="B714" t="s">
        <v>1743</v>
      </c>
      <c r="C714" t="s">
        <v>1744</v>
      </c>
      <c r="D714" t="s">
        <v>1745</v>
      </c>
    </row>
    <row r="715" spans="1:4" x14ac:dyDescent="0.2">
      <c r="A715" t="s">
        <v>1998</v>
      </c>
      <c r="B715" t="s">
        <v>1746</v>
      </c>
      <c r="C715" t="s">
        <v>1747</v>
      </c>
      <c r="D715" t="s">
        <v>1748</v>
      </c>
    </row>
    <row r="716" spans="1:4" x14ac:dyDescent="0.2">
      <c r="A716" t="s">
        <v>1998</v>
      </c>
      <c r="B716" t="s">
        <v>1749</v>
      </c>
      <c r="C716" t="s">
        <v>1750</v>
      </c>
      <c r="D716" t="s">
        <v>1751</v>
      </c>
    </row>
    <row r="717" spans="1:4" x14ac:dyDescent="0.2">
      <c r="A717" t="s">
        <v>1998</v>
      </c>
      <c r="B717" t="s">
        <v>1752</v>
      </c>
      <c r="C717" t="s">
        <v>1753</v>
      </c>
      <c r="D717" t="s">
        <v>1754</v>
      </c>
    </row>
    <row r="718" spans="1:4" x14ac:dyDescent="0.2">
      <c r="A718" t="s">
        <v>1998</v>
      </c>
      <c r="B718" t="s">
        <v>1755</v>
      </c>
      <c r="C718" t="s">
        <v>1756</v>
      </c>
      <c r="D718" t="s">
        <v>1757</v>
      </c>
    </row>
    <row r="719" spans="1:4" x14ac:dyDescent="0.2">
      <c r="A719" t="s">
        <v>1998</v>
      </c>
      <c r="B719" t="s">
        <v>1758</v>
      </c>
      <c r="C719" t="s">
        <v>1759</v>
      </c>
      <c r="D719" t="s">
        <v>1760</v>
      </c>
    </row>
    <row r="720" spans="1:4" x14ac:dyDescent="0.2">
      <c r="A720" t="s">
        <v>1998</v>
      </c>
      <c r="B720" t="s">
        <v>1761</v>
      </c>
      <c r="C720" t="s">
        <v>1762</v>
      </c>
      <c r="D720" t="s">
        <v>1763</v>
      </c>
    </row>
    <row r="721" spans="1:4" x14ac:dyDescent="0.2">
      <c r="A721" t="s">
        <v>1998</v>
      </c>
      <c r="B721" t="s">
        <v>1764</v>
      </c>
      <c r="C721" t="s">
        <v>1765</v>
      </c>
      <c r="D721" t="s">
        <v>1766</v>
      </c>
    </row>
    <row r="722" spans="1:4" x14ac:dyDescent="0.2">
      <c r="A722" t="s">
        <v>1998</v>
      </c>
      <c r="B722" t="s">
        <v>1767</v>
      </c>
      <c r="C722" t="s">
        <v>1768</v>
      </c>
      <c r="D722" t="s">
        <v>1769</v>
      </c>
    </row>
    <row r="723" spans="1:4" x14ac:dyDescent="0.2">
      <c r="A723" t="s">
        <v>1998</v>
      </c>
      <c r="B723" t="s">
        <v>1770</v>
      </c>
      <c r="C723" t="s">
        <v>1771</v>
      </c>
      <c r="D723" t="s">
        <v>1772</v>
      </c>
    </row>
    <row r="724" spans="1:4" x14ac:dyDescent="0.2">
      <c r="A724" t="s">
        <v>1998</v>
      </c>
      <c r="B724" t="s">
        <v>1773</v>
      </c>
      <c r="C724" t="s">
        <v>1774</v>
      </c>
      <c r="D724" t="s">
        <v>1775</v>
      </c>
    </row>
    <row r="725" spans="1:4" x14ac:dyDescent="0.2">
      <c r="A725" t="s">
        <v>1998</v>
      </c>
      <c r="B725" t="s">
        <v>1776</v>
      </c>
      <c r="C725" t="s">
        <v>1777</v>
      </c>
      <c r="D725" t="s">
        <v>1778</v>
      </c>
    </row>
    <row r="726" spans="1:4" x14ac:dyDescent="0.2">
      <c r="A726" t="s">
        <v>1998</v>
      </c>
      <c r="B726" t="s">
        <v>1779</v>
      </c>
      <c r="C726" t="s">
        <v>1780</v>
      </c>
      <c r="D726" t="s">
        <v>1781</v>
      </c>
    </row>
    <row r="727" spans="1:4" x14ac:dyDescent="0.2">
      <c r="A727" t="s">
        <v>1998</v>
      </c>
      <c r="B727" t="s">
        <v>1782</v>
      </c>
      <c r="C727" t="s">
        <v>1783</v>
      </c>
      <c r="D727" t="s">
        <v>1784</v>
      </c>
    </row>
    <row r="728" spans="1:4" x14ac:dyDescent="0.2">
      <c r="A728" t="s">
        <v>1998</v>
      </c>
      <c r="B728" t="s">
        <v>1785</v>
      </c>
      <c r="C728" t="s">
        <v>1786</v>
      </c>
      <c r="D728" t="s">
        <v>1787</v>
      </c>
    </row>
    <row r="729" spans="1:4" x14ac:dyDescent="0.2">
      <c r="A729" t="s">
        <v>1998</v>
      </c>
      <c r="B729" t="s">
        <v>1788</v>
      </c>
      <c r="C729" t="s">
        <v>1789</v>
      </c>
      <c r="D729" t="s">
        <v>1790</v>
      </c>
    </row>
    <row r="730" spans="1:4" x14ac:dyDescent="0.2">
      <c r="A730" t="s">
        <v>1998</v>
      </c>
      <c r="B730" t="s">
        <v>1791</v>
      </c>
      <c r="C730" t="s">
        <v>1792</v>
      </c>
      <c r="D730" t="s">
        <v>1793</v>
      </c>
    </row>
    <row r="731" spans="1:4" x14ac:dyDescent="0.2">
      <c r="A731" t="s">
        <v>1998</v>
      </c>
      <c r="B731" t="s">
        <v>1794</v>
      </c>
      <c r="C731" t="s">
        <v>1795</v>
      </c>
      <c r="D731" t="s">
        <v>1796</v>
      </c>
    </row>
    <row r="732" spans="1:4" x14ac:dyDescent="0.2">
      <c r="A732" t="s">
        <v>1998</v>
      </c>
      <c r="B732" t="s">
        <v>1797</v>
      </c>
      <c r="C732" t="s">
        <v>1798</v>
      </c>
      <c r="D732" t="s">
        <v>1799</v>
      </c>
    </row>
    <row r="733" spans="1:4" x14ac:dyDescent="0.2">
      <c r="A733" t="s">
        <v>1998</v>
      </c>
      <c r="B733" t="s">
        <v>1800</v>
      </c>
      <c r="C733" t="s">
        <v>1801</v>
      </c>
      <c r="D733" t="s">
        <v>1802</v>
      </c>
    </row>
    <row r="734" spans="1:4" x14ac:dyDescent="0.2">
      <c r="A734" t="s">
        <v>1998</v>
      </c>
      <c r="B734" t="s">
        <v>1803</v>
      </c>
      <c r="C734" t="s">
        <v>1804</v>
      </c>
      <c r="D734" t="s">
        <v>1805</v>
      </c>
    </row>
    <row r="735" spans="1:4" x14ac:dyDescent="0.2">
      <c r="A735" t="s">
        <v>1998</v>
      </c>
      <c r="B735" t="s">
        <v>1806</v>
      </c>
      <c r="C735" t="s">
        <v>1807</v>
      </c>
      <c r="D735" t="s">
        <v>1808</v>
      </c>
    </row>
    <row r="736" spans="1:4" x14ac:dyDescent="0.2">
      <c r="A736" t="s">
        <v>1998</v>
      </c>
      <c r="B736" t="s">
        <v>1809</v>
      </c>
      <c r="C736" t="s">
        <v>1810</v>
      </c>
      <c r="D736" t="s">
        <v>1811</v>
      </c>
    </row>
    <row r="737" spans="1:4" x14ac:dyDescent="0.2">
      <c r="A737" t="s">
        <v>1998</v>
      </c>
      <c r="B737" t="s">
        <v>1812</v>
      </c>
      <c r="C737" t="s">
        <v>1813</v>
      </c>
      <c r="D737" t="s">
        <v>1814</v>
      </c>
    </row>
    <row r="738" spans="1:4" x14ac:dyDescent="0.2">
      <c r="A738" t="s">
        <v>1998</v>
      </c>
      <c r="B738" t="s">
        <v>1815</v>
      </c>
      <c r="C738" t="s">
        <v>1816</v>
      </c>
      <c r="D738" t="s">
        <v>1817</v>
      </c>
    </row>
    <row r="739" spans="1:4" x14ac:dyDescent="0.2">
      <c r="A739" t="s">
        <v>1998</v>
      </c>
      <c r="B739" t="s">
        <v>1818</v>
      </c>
      <c r="C739" t="s">
        <v>1819</v>
      </c>
      <c r="D739" t="s">
        <v>1820</v>
      </c>
    </row>
    <row r="740" spans="1:4" x14ac:dyDescent="0.2">
      <c r="A740" t="s">
        <v>1998</v>
      </c>
      <c r="B740" t="s">
        <v>1821</v>
      </c>
      <c r="C740" t="s">
        <v>1822</v>
      </c>
      <c r="D740" t="s">
        <v>1823</v>
      </c>
    </row>
    <row r="741" spans="1:4" x14ac:dyDescent="0.2">
      <c r="A741" t="s">
        <v>1998</v>
      </c>
      <c r="B741" t="s">
        <v>1824</v>
      </c>
      <c r="C741" t="s">
        <v>1825</v>
      </c>
      <c r="D741" t="s">
        <v>1826</v>
      </c>
    </row>
    <row r="742" spans="1:4" x14ac:dyDescent="0.2">
      <c r="A742" t="s">
        <v>1998</v>
      </c>
      <c r="B742" t="s">
        <v>1827</v>
      </c>
      <c r="C742" t="s">
        <v>1828</v>
      </c>
      <c r="D742" t="s">
        <v>1828</v>
      </c>
    </row>
    <row r="743" spans="1:4" x14ac:dyDescent="0.2">
      <c r="A743" t="s">
        <v>1998</v>
      </c>
      <c r="B743" t="s">
        <v>1829</v>
      </c>
      <c r="C743" t="s">
        <v>1830</v>
      </c>
      <c r="D743" t="s">
        <v>1831</v>
      </c>
    </row>
    <row r="744" spans="1:4" x14ac:dyDescent="0.2">
      <c r="A744" t="s">
        <v>1998</v>
      </c>
      <c r="B744" t="s">
        <v>1832</v>
      </c>
      <c r="C744" t="s">
        <v>1833</v>
      </c>
      <c r="D744" t="s">
        <v>1834</v>
      </c>
    </row>
    <row r="745" spans="1:4" x14ac:dyDescent="0.2">
      <c r="A745" t="s">
        <v>1998</v>
      </c>
      <c r="B745" t="s">
        <v>1835</v>
      </c>
      <c r="C745" t="s">
        <v>1836</v>
      </c>
      <c r="D745" t="s">
        <v>1837</v>
      </c>
    </row>
    <row r="746" spans="1:4" x14ac:dyDescent="0.2">
      <c r="A746" t="s">
        <v>1998</v>
      </c>
      <c r="B746" t="s">
        <v>1838</v>
      </c>
      <c r="C746" t="s">
        <v>1839</v>
      </c>
      <c r="D746" t="s">
        <v>1840</v>
      </c>
    </row>
    <row r="747" spans="1:4" x14ac:dyDescent="0.2">
      <c r="A747" t="s">
        <v>1998</v>
      </c>
      <c r="B747" t="s">
        <v>1841</v>
      </c>
      <c r="C747" t="s">
        <v>1842</v>
      </c>
      <c r="D747" t="s">
        <v>1843</v>
      </c>
    </row>
    <row r="748" spans="1:4" x14ac:dyDescent="0.2">
      <c r="A748" t="s">
        <v>1998</v>
      </c>
      <c r="B748" t="s">
        <v>1844</v>
      </c>
      <c r="C748" t="s">
        <v>1845</v>
      </c>
      <c r="D748" t="s">
        <v>1846</v>
      </c>
    </row>
    <row r="749" spans="1:4" x14ac:dyDescent="0.2">
      <c r="A749" t="s">
        <v>1998</v>
      </c>
      <c r="B749" t="s">
        <v>1847</v>
      </c>
      <c r="C749" t="s">
        <v>1848</v>
      </c>
      <c r="D749" t="s">
        <v>1849</v>
      </c>
    </row>
    <row r="750" spans="1:4" x14ac:dyDescent="0.2">
      <c r="A750" t="s">
        <v>1998</v>
      </c>
      <c r="B750" t="s">
        <v>1850</v>
      </c>
      <c r="C750" t="s">
        <v>1851</v>
      </c>
      <c r="D750" t="s">
        <v>1852</v>
      </c>
    </row>
    <row r="751" spans="1:4" x14ac:dyDescent="0.2">
      <c r="A751" t="s">
        <v>1998</v>
      </c>
      <c r="B751" t="s">
        <v>1853</v>
      </c>
      <c r="C751" t="s">
        <v>1854</v>
      </c>
      <c r="D751" t="s">
        <v>1855</v>
      </c>
    </row>
    <row r="752" spans="1:4" x14ac:dyDescent="0.2">
      <c r="A752" t="s">
        <v>1998</v>
      </c>
      <c r="B752" t="s">
        <v>1856</v>
      </c>
      <c r="C752" t="s">
        <v>1857</v>
      </c>
      <c r="D752" t="s">
        <v>1857</v>
      </c>
    </row>
    <row r="753" spans="1:4" x14ac:dyDescent="0.2">
      <c r="A753" t="s">
        <v>1998</v>
      </c>
      <c r="B753" t="s">
        <v>1858</v>
      </c>
      <c r="C753" t="s">
        <v>1859</v>
      </c>
      <c r="D753" t="s">
        <v>1860</v>
      </c>
    </row>
    <row r="754" spans="1:4" x14ac:dyDescent="0.2">
      <c r="A754" t="s">
        <v>1998</v>
      </c>
      <c r="B754" t="s">
        <v>1861</v>
      </c>
      <c r="C754" t="s">
        <v>1862</v>
      </c>
      <c r="D754" t="s">
        <v>1863</v>
      </c>
    </row>
    <row r="755" spans="1:4" x14ac:dyDescent="0.2">
      <c r="A755" t="s">
        <v>1998</v>
      </c>
      <c r="B755" t="s">
        <v>1864</v>
      </c>
      <c r="C755" t="s">
        <v>1865</v>
      </c>
      <c r="D755" t="s">
        <v>1865</v>
      </c>
    </row>
    <row r="756" spans="1:4" x14ac:dyDescent="0.2">
      <c r="A756" t="s">
        <v>1998</v>
      </c>
      <c r="B756" t="s">
        <v>1866</v>
      </c>
      <c r="C756" t="s">
        <v>1867</v>
      </c>
      <c r="D756" t="s">
        <v>1868</v>
      </c>
    </row>
    <row r="757" spans="1:4" x14ac:dyDescent="0.2">
      <c r="A757" t="s">
        <v>1998</v>
      </c>
      <c r="B757" t="s">
        <v>1869</v>
      </c>
      <c r="C757" t="s">
        <v>1870</v>
      </c>
      <c r="D757" t="s">
        <v>1871</v>
      </c>
    </row>
    <row r="758" spans="1:4" x14ac:dyDescent="0.2">
      <c r="A758" t="s">
        <v>1998</v>
      </c>
      <c r="B758" t="s">
        <v>1872</v>
      </c>
      <c r="C758" t="s">
        <v>1873</v>
      </c>
      <c r="D758" t="s">
        <v>1874</v>
      </c>
    </row>
    <row r="759" spans="1:4" x14ac:dyDescent="0.2">
      <c r="A759" t="s">
        <v>1998</v>
      </c>
      <c r="B759" t="s">
        <v>1875</v>
      </c>
      <c r="C759" t="s">
        <v>1876</v>
      </c>
      <c r="D759" t="s">
        <v>1877</v>
      </c>
    </row>
    <row r="760" spans="1:4" x14ac:dyDescent="0.2">
      <c r="A760" t="s">
        <v>1998</v>
      </c>
      <c r="B760" t="s">
        <v>1878</v>
      </c>
      <c r="C760" t="s">
        <v>1879</v>
      </c>
      <c r="D760" t="s">
        <v>1880</v>
      </c>
    </row>
    <row r="761" spans="1:4" x14ac:dyDescent="0.2">
      <c r="A761" t="s">
        <v>1998</v>
      </c>
      <c r="B761" t="s">
        <v>1881</v>
      </c>
      <c r="C761" t="s">
        <v>1882</v>
      </c>
      <c r="D761" t="s">
        <v>1883</v>
      </c>
    </row>
    <row r="762" spans="1:4" x14ac:dyDescent="0.2">
      <c r="A762" t="s">
        <v>1998</v>
      </c>
      <c r="B762" t="s">
        <v>1884</v>
      </c>
      <c r="C762" t="s">
        <v>1885</v>
      </c>
      <c r="D762" t="s">
        <v>1886</v>
      </c>
    </row>
    <row r="763" spans="1:4" x14ac:dyDescent="0.2">
      <c r="A763" t="s">
        <v>1998</v>
      </c>
      <c r="B763" t="s">
        <v>1887</v>
      </c>
      <c r="C763" t="s">
        <v>1888</v>
      </c>
      <c r="D763" t="s">
        <v>1888</v>
      </c>
    </row>
    <row r="764" spans="1:4" x14ac:dyDescent="0.2">
      <c r="A764" t="s">
        <v>1998</v>
      </c>
      <c r="B764" t="s">
        <v>1889</v>
      </c>
      <c r="C764" t="s">
        <v>1890</v>
      </c>
      <c r="D764" t="s">
        <v>1891</v>
      </c>
    </row>
    <row r="765" spans="1:4" x14ac:dyDescent="0.2">
      <c r="A765" t="s">
        <v>1998</v>
      </c>
      <c r="B765" t="s">
        <v>1892</v>
      </c>
      <c r="C765" t="s">
        <v>1893</v>
      </c>
      <c r="D765" t="s">
        <v>1894</v>
      </c>
    </row>
    <row r="766" spans="1:4" x14ac:dyDescent="0.2">
      <c r="A766" t="s">
        <v>1998</v>
      </c>
      <c r="B766" t="s">
        <v>1895</v>
      </c>
      <c r="C766" t="s">
        <v>1896</v>
      </c>
      <c r="D766" t="s">
        <v>1897</v>
      </c>
    </row>
    <row r="767" spans="1:4" x14ac:dyDescent="0.2">
      <c r="A767" t="s">
        <v>1998</v>
      </c>
      <c r="B767" t="s">
        <v>1898</v>
      </c>
      <c r="C767" t="s">
        <v>1899</v>
      </c>
      <c r="D767" t="s">
        <v>1900</v>
      </c>
    </row>
    <row r="768" spans="1:4" x14ac:dyDescent="0.2">
      <c r="A768" t="s">
        <v>1998</v>
      </c>
      <c r="B768" t="s">
        <v>1901</v>
      </c>
      <c r="C768" t="s">
        <v>1902</v>
      </c>
      <c r="D768" t="s">
        <v>1903</v>
      </c>
    </row>
    <row r="769" spans="1:4" x14ac:dyDescent="0.2">
      <c r="A769" t="s">
        <v>1998</v>
      </c>
      <c r="B769" t="s">
        <v>1904</v>
      </c>
      <c r="C769" t="s">
        <v>1905</v>
      </c>
      <c r="D769" t="s">
        <v>1906</v>
      </c>
    </row>
    <row r="770" spans="1:4" x14ac:dyDescent="0.2">
      <c r="A770" t="s">
        <v>1998</v>
      </c>
      <c r="B770" t="s">
        <v>1907</v>
      </c>
      <c r="C770" t="s">
        <v>1908</v>
      </c>
      <c r="D770" t="s">
        <v>1909</v>
      </c>
    </row>
    <row r="771" spans="1:4" x14ac:dyDescent="0.2">
      <c r="A771" t="s">
        <v>1998</v>
      </c>
      <c r="B771" t="s">
        <v>1910</v>
      </c>
      <c r="C771" t="s">
        <v>1911</v>
      </c>
      <c r="D771" t="s">
        <v>1912</v>
      </c>
    </row>
    <row r="772" spans="1:4" x14ac:dyDescent="0.2">
      <c r="A772" t="s">
        <v>1998</v>
      </c>
      <c r="B772" t="s">
        <v>1913</v>
      </c>
      <c r="C772" t="s">
        <v>1914</v>
      </c>
      <c r="D772" t="s">
        <v>1915</v>
      </c>
    </row>
    <row r="773" spans="1:4" x14ac:dyDescent="0.2">
      <c r="A773" t="s">
        <v>1998</v>
      </c>
      <c r="B773" t="s">
        <v>1916</v>
      </c>
      <c r="C773" t="s">
        <v>1917</v>
      </c>
      <c r="D773" t="s">
        <v>1918</v>
      </c>
    </row>
    <row r="774" spans="1:4" x14ac:dyDescent="0.2">
      <c r="A774" t="s">
        <v>1998</v>
      </c>
      <c r="B774" t="s">
        <v>1919</v>
      </c>
      <c r="C774" t="s">
        <v>1920</v>
      </c>
      <c r="D774" t="s">
        <v>1921</v>
      </c>
    </row>
    <row r="775" spans="1:4" x14ac:dyDescent="0.2">
      <c r="A775" t="s">
        <v>1998</v>
      </c>
      <c r="B775" t="s">
        <v>1922</v>
      </c>
      <c r="C775" t="s">
        <v>1923</v>
      </c>
      <c r="D775" t="s">
        <v>1924</v>
      </c>
    </row>
    <row r="776" spans="1:4" x14ac:dyDescent="0.2">
      <c r="A776" t="s">
        <v>1998</v>
      </c>
      <c r="B776" t="s">
        <v>1925</v>
      </c>
      <c r="C776" t="s">
        <v>1926</v>
      </c>
      <c r="D776" t="s">
        <v>1927</v>
      </c>
    </row>
    <row r="777" spans="1:4" x14ac:dyDescent="0.2">
      <c r="A777" t="s">
        <v>1998</v>
      </c>
      <c r="B777" t="s">
        <v>1928</v>
      </c>
      <c r="C777" t="s">
        <v>1929</v>
      </c>
      <c r="D777" t="s">
        <v>1930</v>
      </c>
    </row>
    <row r="778" spans="1:4" x14ac:dyDescent="0.2">
      <c r="A778" t="s">
        <v>1998</v>
      </c>
      <c r="B778" t="s">
        <v>1931</v>
      </c>
      <c r="C778" t="s">
        <v>1932</v>
      </c>
      <c r="D778" t="s">
        <v>1933</v>
      </c>
    </row>
    <row r="779" spans="1:4" x14ac:dyDescent="0.2">
      <c r="A779" t="s">
        <v>1998</v>
      </c>
      <c r="B779" t="s">
        <v>1934</v>
      </c>
      <c r="C779" t="s">
        <v>1935</v>
      </c>
      <c r="D779" t="s">
        <v>1936</v>
      </c>
    </row>
    <row r="780" spans="1:4" x14ac:dyDescent="0.2">
      <c r="A780" t="s">
        <v>1998</v>
      </c>
      <c r="B780" t="s">
        <v>1937</v>
      </c>
      <c r="C780" t="s">
        <v>1938</v>
      </c>
      <c r="D780" t="s">
        <v>1939</v>
      </c>
    </row>
    <row r="781" spans="1:4" x14ac:dyDescent="0.2">
      <c r="A781" t="s">
        <v>1998</v>
      </c>
      <c r="B781" t="s">
        <v>1940</v>
      </c>
      <c r="C781" t="s">
        <v>1941</v>
      </c>
      <c r="D781" t="s">
        <v>1942</v>
      </c>
    </row>
    <row r="782" spans="1:4" x14ac:dyDescent="0.2">
      <c r="A782" t="s">
        <v>1998</v>
      </c>
      <c r="B782" t="s">
        <v>1943</v>
      </c>
      <c r="C782" t="s">
        <v>1944</v>
      </c>
      <c r="D782" t="s">
        <v>1945</v>
      </c>
    </row>
    <row r="783" spans="1:4" x14ac:dyDescent="0.2">
      <c r="A783" t="s">
        <v>1998</v>
      </c>
      <c r="B783" t="s">
        <v>1946</v>
      </c>
      <c r="C783" t="s">
        <v>1947</v>
      </c>
      <c r="D783" t="s">
        <v>1948</v>
      </c>
    </row>
    <row r="784" spans="1:4" x14ac:dyDescent="0.2">
      <c r="A784" t="s">
        <v>1998</v>
      </c>
      <c r="B784" t="s">
        <v>1949</v>
      </c>
      <c r="C784" t="s">
        <v>1950</v>
      </c>
      <c r="D784" t="s">
        <v>1951</v>
      </c>
    </row>
    <row r="785" spans="1:4" x14ac:dyDescent="0.2">
      <c r="A785" t="s">
        <v>1998</v>
      </c>
      <c r="B785" t="s">
        <v>1952</v>
      </c>
      <c r="C785" t="s">
        <v>1953</v>
      </c>
      <c r="D785" t="s">
        <v>1954</v>
      </c>
    </row>
    <row r="786" spans="1:4" x14ac:dyDescent="0.2">
      <c r="A786" t="s">
        <v>1998</v>
      </c>
      <c r="B786" t="s">
        <v>1955</v>
      </c>
      <c r="C786" t="s">
        <v>1956</v>
      </c>
      <c r="D786" t="s">
        <v>1957</v>
      </c>
    </row>
    <row r="787" spans="1:4" x14ac:dyDescent="0.2">
      <c r="A787" t="s">
        <v>1998</v>
      </c>
      <c r="B787" t="s">
        <v>1958</v>
      </c>
      <c r="C787" t="s">
        <v>1959</v>
      </c>
      <c r="D787" t="s">
        <v>1960</v>
      </c>
    </row>
    <row r="788" spans="1:4" x14ac:dyDescent="0.2">
      <c r="A788" t="s">
        <v>1998</v>
      </c>
      <c r="B788" t="s">
        <v>1961</v>
      </c>
      <c r="C788" t="s">
        <v>1962</v>
      </c>
      <c r="D788" t="s">
        <v>1963</v>
      </c>
    </row>
    <row r="789" spans="1:4" x14ac:dyDescent="0.2">
      <c r="A789" t="s">
        <v>1998</v>
      </c>
      <c r="B789" t="s">
        <v>1964</v>
      </c>
      <c r="C789" t="s">
        <v>1965</v>
      </c>
      <c r="D789" t="s">
        <v>1966</v>
      </c>
    </row>
    <row r="790" spans="1:4" x14ac:dyDescent="0.2">
      <c r="A790" t="s">
        <v>1998</v>
      </c>
      <c r="B790" t="s">
        <v>1967</v>
      </c>
      <c r="C790" t="s">
        <v>1968</v>
      </c>
      <c r="D790" t="s">
        <v>1969</v>
      </c>
    </row>
    <row r="791" spans="1:4" x14ac:dyDescent="0.2">
      <c r="A791" t="s">
        <v>1998</v>
      </c>
      <c r="B791" t="s">
        <v>1970</v>
      </c>
      <c r="C791" t="s">
        <v>1971</v>
      </c>
      <c r="D791" t="s">
        <v>1972</v>
      </c>
    </row>
    <row r="792" spans="1:4" x14ac:dyDescent="0.2">
      <c r="A792" t="s">
        <v>1998</v>
      </c>
      <c r="B792" t="s">
        <v>1973</v>
      </c>
      <c r="C792" t="s">
        <v>1974</v>
      </c>
      <c r="D792" t="s">
        <v>1975</v>
      </c>
    </row>
    <row r="793" spans="1:4" x14ac:dyDescent="0.2">
      <c r="A793" t="s">
        <v>1998</v>
      </c>
      <c r="B793" t="s">
        <v>1976</v>
      </c>
      <c r="C793" t="s">
        <v>1977</v>
      </c>
      <c r="D793" t="s">
        <v>1977</v>
      </c>
    </row>
    <row r="794" spans="1:4" x14ac:dyDescent="0.2">
      <c r="A794" t="s">
        <v>1998</v>
      </c>
      <c r="B794" t="s">
        <v>1978</v>
      </c>
      <c r="C794" t="s">
        <v>1979</v>
      </c>
      <c r="D794" t="s">
        <v>1980</v>
      </c>
    </row>
    <row r="795" spans="1:4" x14ac:dyDescent="0.2">
      <c r="A795" t="s">
        <v>1998</v>
      </c>
      <c r="B795" t="s">
        <v>1981</v>
      </c>
      <c r="C795" t="s">
        <v>1982</v>
      </c>
      <c r="D795" t="s">
        <v>1983</v>
      </c>
    </row>
    <row r="796" spans="1:4" x14ac:dyDescent="0.2">
      <c r="A796" t="s">
        <v>1998</v>
      </c>
      <c r="B796" t="s">
        <v>1984</v>
      </c>
      <c r="C796" t="s">
        <v>1985</v>
      </c>
      <c r="D796" t="s">
        <v>1985</v>
      </c>
    </row>
    <row r="797" spans="1:4" x14ac:dyDescent="0.2">
      <c r="A797" t="s">
        <v>1998</v>
      </c>
      <c r="B797" t="s">
        <v>1986</v>
      </c>
      <c r="C797" t="s">
        <v>1987</v>
      </c>
      <c r="D797" t="s">
        <v>1988</v>
      </c>
    </row>
    <row r="798" spans="1:4" x14ac:dyDescent="0.2">
      <c r="A798" t="s">
        <v>1998</v>
      </c>
      <c r="B798" t="s">
        <v>1999</v>
      </c>
      <c r="C798" t="s">
        <v>2000</v>
      </c>
      <c r="D798" t="s">
        <v>2001</v>
      </c>
    </row>
    <row r="799" spans="1:4" x14ac:dyDescent="0.2">
      <c r="A799" t="s">
        <v>1998</v>
      </c>
      <c r="B799" t="s">
        <v>1992</v>
      </c>
      <c r="C799" t="s">
        <v>1993</v>
      </c>
      <c r="D799" t="s">
        <v>1994</v>
      </c>
    </row>
    <row r="800" spans="1:4" x14ac:dyDescent="0.2">
      <c r="A800" t="s">
        <v>1998</v>
      </c>
      <c r="B800" t="s">
        <v>1995</v>
      </c>
      <c r="C800" t="s">
        <v>1996</v>
      </c>
      <c r="D800" t="s">
        <v>1997</v>
      </c>
    </row>
    <row r="802" spans="1:4" x14ac:dyDescent="0.2">
      <c r="A802" t="s">
        <v>2002</v>
      </c>
      <c r="B802" t="s">
        <v>1725</v>
      </c>
      <c r="C802" t="s">
        <v>1726</v>
      </c>
      <c r="D802" t="s">
        <v>1727</v>
      </c>
    </row>
    <row r="803" spans="1:4" x14ac:dyDescent="0.2">
      <c r="A803" t="s">
        <v>2002</v>
      </c>
      <c r="B803" t="s">
        <v>1728</v>
      </c>
      <c r="C803" t="s">
        <v>1729</v>
      </c>
      <c r="D803" t="s">
        <v>1730</v>
      </c>
    </row>
    <row r="804" spans="1:4" x14ac:dyDescent="0.2">
      <c r="A804" t="s">
        <v>2002</v>
      </c>
      <c r="B804" t="s">
        <v>1731</v>
      </c>
      <c r="C804" t="s">
        <v>1732</v>
      </c>
      <c r="D804" t="s">
        <v>1733</v>
      </c>
    </row>
    <row r="805" spans="1:4" x14ac:dyDescent="0.2">
      <c r="A805" t="s">
        <v>2002</v>
      </c>
      <c r="B805" t="s">
        <v>1734</v>
      </c>
      <c r="C805" t="s">
        <v>1735</v>
      </c>
      <c r="D805" t="s">
        <v>1736</v>
      </c>
    </row>
    <row r="806" spans="1:4" x14ac:dyDescent="0.2">
      <c r="A806" t="s">
        <v>2002</v>
      </c>
      <c r="B806" t="s">
        <v>1737</v>
      </c>
      <c r="C806" t="s">
        <v>1738</v>
      </c>
      <c r="D806" t="s">
        <v>1739</v>
      </c>
    </row>
    <row r="807" spans="1:4" x14ac:dyDescent="0.2">
      <c r="A807" t="s">
        <v>2002</v>
      </c>
      <c r="B807" t="s">
        <v>1740</v>
      </c>
      <c r="C807" t="s">
        <v>1741</v>
      </c>
      <c r="D807" t="s">
        <v>1742</v>
      </c>
    </row>
    <row r="808" spans="1:4" x14ac:dyDescent="0.2">
      <c r="A808" t="s">
        <v>2002</v>
      </c>
      <c r="B808" t="s">
        <v>1743</v>
      </c>
      <c r="C808" t="s">
        <v>1744</v>
      </c>
      <c r="D808" t="s">
        <v>1745</v>
      </c>
    </row>
    <row r="809" spans="1:4" x14ac:dyDescent="0.2">
      <c r="A809" t="s">
        <v>2002</v>
      </c>
      <c r="B809" t="s">
        <v>1746</v>
      </c>
      <c r="C809" t="s">
        <v>1747</v>
      </c>
      <c r="D809" t="s">
        <v>1748</v>
      </c>
    </row>
    <row r="810" spans="1:4" x14ac:dyDescent="0.2">
      <c r="A810" t="s">
        <v>2002</v>
      </c>
      <c r="B810" t="s">
        <v>1749</v>
      </c>
      <c r="C810" t="s">
        <v>1750</v>
      </c>
      <c r="D810" t="s">
        <v>1751</v>
      </c>
    </row>
    <row r="811" spans="1:4" x14ac:dyDescent="0.2">
      <c r="A811" t="s">
        <v>2002</v>
      </c>
      <c r="B811" t="s">
        <v>1752</v>
      </c>
      <c r="C811" t="s">
        <v>1753</v>
      </c>
      <c r="D811" t="s">
        <v>1754</v>
      </c>
    </row>
    <row r="812" spans="1:4" x14ac:dyDescent="0.2">
      <c r="A812" t="s">
        <v>2002</v>
      </c>
      <c r="B812" t="s">
        <v>1755</v>
      </c>
      <c r="C812" t="s">
        <v>1756</v>
      </c>
      <c r="D812" t="s">
        <v>1757</v>
      </c>
    </row>
    <row r="813" spans="1:4" x14ac:dyDescent="0.2">
      <c r="A813" t="s">
        <v>2002</v>
      </c>
      <c r="B813" t="s">
        <v>1758</v>
      </c>
      <c r="C813" t="s">
        <v>1759</v>
      </c>
      <c r="D813" t="s">
        <v>1760</v>
      </c>
    </row>
    <row r="814" spans="1:4" x14ac:dyDescent="0.2">
      <c r="A814" t="s">
        <v>2002</v>
      </c>
      <c r="B814" t="s">
        <v>1761</v>
      </c>
      <c r="C814" t="s">
        <v>1762</v>
      </c>
      <c r="D814" t="s">
        <v>1763</v>
      </c>
    </row>
    <row r="815" spans="1:4" x14ac:dyDescent="0.2">
      <c r="A815" t="s">
        <v>2002</v>
      </c>
      <c r="B815" t="s">
        <v>1764</v>
      </c>
      <c r="C815" t="s">
        <v>1765</v>
      </c>
      <c r="D815" t="s">
        <v>1766</v>
      </c>
    </row>
    <row r="816" spans="1:4" x14ac:dyDescent="0.2">
      <c r="A816" t="s">
        <v>2002</v>
      </c>
      <c r="B816" t="s">
        <v>1767</v>
      </c>
      <c r="C816" t="s">
        <v>1768</v>
      </c>
      <c r="D816" t="s">
        <v>1769</v>
      </c>
    </row>
    <row r="817" spans="1:4" x14ac:dyDescent="0.2">
      <c r="A817" t="s">
        <v>2002</v>
      </c>
      <c r="B817" t="s">
        <v>1770</v>
      </c>
      <c r="C817" t="s">
        <v>1771</v>
      </c>
      <c r="D817" t="s">
        <v>1772</v>
      </c>
    </row>
    <row r="818" spans="1:4" x14ac:dyDescent="0.2">
      <c r="A818" t="s">
        <v>2002</v>
      </c>
      <c r="B818" t="s">
        <v>1773</v>
      </c>
      <c r="C818" t="s">
        <v>1774</v>
      </c>
      <c r="D818" t="s">
        <v>1775</v>
      </c>
    </row>
    <row r="819" spans="1:4" x14ac:dyDescent="0.2">
      <c r="A819" t="s">
        <v>2002</v>
      </c>
      <c r="B819" t="s">
        <v>1776</v>
      </c>
      <c r="C819" t="s">
        <v>1777</v>
      </c>
      <c r="D819" t="s">
        <v>1778</v>
      </c>
    </row>
    <row r="820" spans="1:4" x14ac:dyDescent="0.2">
      <c r="A820" t="s">
        <v>2002</v>
      </c>
      <c r="B820" t="s">
        <v>1779</v>
      </c>
      <c r="C820" t="s">
        <v>1780</v>
      </c>
      <c r="D820" t="s">
        <v>1781</v>
      </c>
    </row>
    <row r="821" spans="1:4" x14ac:dyDescent="0.2">
      <c r="A821" t="s">
        <v>2002</v>
      </c>
      <c r="B821" t="s">
        <v>1782</v>
      </c>
      <c r="C821" t="s">
        <v>1783</v>
      </c>
      <c r="D821" t="s">
        <v>1784</v>
      </c>
    </row>
    <row r="822" spans="1:4" x14ac:dyDescent="0.2">
      <c r="A822" t="s">
        <v>2002</v>
      </c>
      <c r="B822" t="s">
        <v>1785</v>
      </c>
      <c r="C822" t="s">
        <v>1786</v>
      </c>
      <c r="D822" t="s">
        <v>1787</v>
      </c>
    </row>
    <row r="823" spans="1:4" x14ac:dyDescent="0.2">
      <c r="A823" t="s">
        <v>2002</v>
      </c>
      <c r="B823" t="s">
        <v>1788</v>
      </c>
      <c r="C823" t="s">
        <v>1789</v>
      </c>
      <c r="D823" t="s">
        <v>1790</v>
      </c>
    </row>
    <row r="824" spans="1:4" x14ac:dyDescent="0.2">
      <c r="A824" t="s">
        <v>2002</v>
      </c>
      <c r="B824" t="s">
        <v>1791</v>
      </c>
      <c r="C824" t="s">
        <v>1792</v>
      </c>
      <c r="D824" t="s">
        <v>1793</v>
      </c>
    </row>
    <row r="825" spans="1:4" x14ac:dyDescent="0.2">
      <c r="A825" t="s">
        <v>2002</v>
      </c>
      <c r="B825" t="s">
        <v>1794</v>
      </c>
      <c r="C825" t="s">
        <v>1795</v>
      </c>
      <c r="D825" t="s">
        <v>1796</v>
      </c>
    </row>
    <row r="826" spans="1:4" x14ac:dyDescent="0.2">
      <c r="A826" t="s">
        <v>2002</v>
      </c>
      <c r="B826" t="s">
        <v>1797</v>
      </c>
      <c r="C826" t="s">
        <v>1798</v>
      </c>
      <c r="D826" t="s">
        <v>1799</v>
      </c>
    </row>
    <row r="827" spans="1:4" x14ac:dyDescent="0.2">
      <c r="A827" t="s">
        <v>2002</v>
      </c>
      <c r="B827" t="s">
        <v>1800</v>
      </c>
      <c r="C827" t="s">
        <v>1801</v>
      </c>
      <c r="D827" t="s">
        <v>1802</v>
      </c>
    </row>
    <row r="828" spans="1:4" x14ac:dyDescent="0.2">
      <c r="A828" t="s">
        <v>2002</v>
      </c>
      <c r="B828" t="s">
        <v>1803</v>
      </c>
      <c r="C828" t="s">
        <v>1804</v>
      </c>
      <c r="D828" t="s">
        <v>1805</v>
      </c>
    </row>
    <row r="829" spans="1:4" x14ac:dyDescent="0.2">
      <c r="A829" t="s">
        <v>2002</v>
      </c>
      <c r="B829" t="s">
        <v>1806</v>
      </c>
      <c r="C829" t="s">
        <v>1807</v>
      </c>
      <c r="D829" t="s">
        <v>1808</v>
      </c>
    </row>
    <row r="830" spans="1:4" x14ac:dyDescent="0.2">
      <c r="A830" t="s">
        <v>2002</v>
      </c>
      <c r="B830" t="s">
        <v>1809</v>
      </c>
      <c r="C830" t="s">
        <v>1810</v>
      </c>
      <c r="D830" t="s">
        <v>1811</v>
      </c>
    </row>
    <row r="831" spans="1:4" x14ac:dyDescent="0.2">
      <c r="A831" t="s">
        <v>2002</v>
      </c>
      <c r="B831" t="s">
        <v>1812</v>
      </c>
      <c r="C831" t="s">
        <v>1813</v>
      </c>
      <c r="D831" t="s">
        <v>1814</v>
      </c>
    </row>
    <row r="832" spans="1:4" x14ac:dyDescent="0.2">
      <c r="A832" t="s">
        <v>2002</v>
      </c>
      <c r="B832" t="s">
        <v>1815</v>
      </c>
      <c r="C832" t="s">
        <v>1816</v>
      </c>
      <c r="D832" t="s">
        <v>1817</v>
      </c>
    </row>
    <row r="833" spans="1:4" x14ac:dyDescent="0.2">
      <c r="A833" t="s">
        <v>2002</v>
      </c>
      <c r="B833" t="s">
        <v>1818</v>
      </c>
      <c r="C833" t="s">
        <v>1819</v>
      </c>
      <c r="D833" t="s">
        <v>1820</v>
      </c>
    </row>
    <row r="834" spans="1:4" x14ac:dyDescent="0.2">
      <c r="A834" t="s">
        <v>2002</v>
      </c>
      <c r="B834" t="s">
        <v>1821</v>
      </c>
      <c r="C834" t="s">
        <v>1822</v>
      </c>
      <c r="D834" t="s">
        <v>1823</v>
      </c>
    </row>
    <row r="835" spans="1:4" x14ac:dyDescent="0.2">
      <c r="A835" t="s">
        <v>2002</v>
      </c>
      <c r="B835" t="s">
        <v>1824</v>
      </c>
      <c r="C835" t="s">
        <v>1825</v>
      </c>
      <c r="D835" t="s">
        <v>1826</v>
      </c>
    </row>
    <row r="836" spans="1:4" x14ac:dyDescent="0.2">
      <c r="A836" t="s">
        <v>2002</v>
      </c>
      <c r="B836" t="s">
        <v>1827</v>
      </c>
      <c r="C836" t="s">
        <v>1828</v>
      </c>
      <c r="D836" t="s">
        <v>1828</v>
      </c>
    </row>
    <row r="837" spans="1:4" x14ac:dyDescent="0.2">
      <c r="A837" t="s">
        <v>2002</v>
      </c>
      <c r="B837" t="s">
        <v>1829</v>
      </c>
      <c r="C837" t="s">
        <v>1830</v>
      </c>
      <c r="D837" t="s">
        <v>1831</v>
      </c>
    </row>
    <row r="838" spans="1:4" x14ac:dyDescent="0.2">
      <c r="A838" t="s">
        <v>2002</v>
      </c>
      <c r="B838" t="s">
        <v>1832</v>
      </c>
      <c r="C838" t="s">
        <v>1833</v>
      </c>
      <c r="D838" t="s">
        <v>1834</v>
      </c>
    </row>
    <row r="839" spans="1:4" x14ac:dyDescent="0.2">
      <c r="A839" t="s">
        <v>2002</v>
      </c>
      <c r="B839" t="s">
        <v>1835</v>
      </c>
      <c r="C839" t="s">
        <v>1836</v>
      </c>
      <c r="D839" t="s">
        <v>1837</v>
      </c>
    </row>
    <row r="840" spans="1:4" x14ac:dyDescent="0.2">
      <c r="A840" t="s">
        <v>2002</v>
      </c>
      <c r="B840" t="s">
        <v>1838</v>
      </c>
      <c r="C840" t="s">
        <v>1839</v>
      </c>
      <c r="D840" t="s">
        <v>1840</v>
      </c>
    </row>
    <row r="841" spans="1:4" x14ac:dyDescent="0.2">
      <c r="A841" t="s">
        <v>2002</v>
      </c>
      <c r="B841" t="s">
        <v>1841</v>
      </c>
      <c r="C841" t="s">
        <v>1842</v>
      </c>
      <c r="D841" t="s">
        <v>1843</v>
      </c>
    </row>
    <row r="842" spans="1:4" x14ac:dyDescent="0.2">
      <c r="A842" t="s">
        <v>2002</v>
      </c>
      <c r="B842" t="s">
        <v>1844</v>
      </c>
      <c r="C842" t="s">
        <v>1845</v>
      </c>
      <c r="D842" t="s">
        <v>1846</v>
      </c>
    </row>
    <row r="843" spans="1:4" x14ac:dyDescent="0.2">
      <c r="A843" t="s">
        <v>2002</v>
      </c>
      <c r="B843" t="s">
        <v>1847</v>
      </c>
      <c r="C843" t="s">
        <v>1848</v>
      </c>
      <c r="D843" t="s">
        <v>1849</v>
      </c>
    </row>
    <row r="844" spans="1:4" x14ac:dyDescent="0.2">
      <c r="A844" t="s">
        <v>2002</v>
      </c>
      <c r="B844" t="s">
        <v>1850</v>
      </c>
      <c r="C844" t="s">
        <v>1851</v>
      </c>
      <c r="D844" t="s">
        <v>1852</v>
      </c>
    </row>
    <row r="845" spans="1:4" x14ac:dyDescent="0.2">
      <c r="A845" t="s">
        <v>2002</v>
      </c>
      <c r="B845" t="s">
        <v>1853</v>
      </c>
      <c r="C845" t="s">
        <v>1854</v>
      </c>
      <c r="D845" t="s">
        <v>1855</v>
      </c>
    </row>
    <row r="846" spans="1:4" x14ac:dyDescent="0.2">
      <c r="A846" t="s">
        <v>2002</v>
      </c>
      <c r="B846" t="s">
        <v>1856</v>
      </c>
      <c r="C846" t="s">
        <v>1857</v>
      </c>
      <c r="D846" t="s">
        <v>1857</v>
      </c>
    </row>
    <row r="847" spans="1:4" x14ac:dyDescent="0.2">
      <c r="A847" t="s">
        <v>2002</v>
      </c>
      <c r="B847" t="s">
        <v>1858</v>
      </c>
      <c r="C847" t="s">
        <v>1859</v>
      </c>
      <c r="D847" t="s">
        <v>1860</v>
      </c>
    </row>
    <row r="848" spans="1:4" x14ac:dyDescent="0.2">
      <c r="A848" t="s">
        <v>2002</v>
      </c>
      <c r="B848" t="s">
        <v>1861</v>
      </c>
      <c r="C848" t="s">
        <v>1862</v>
      </c>
      <c r="D848" t="s">
        <v>1863</v>
      </c>
    </row>
    <row r="849" spans="1:4" x14ac:dyDescent="0.2">
      <c r="A849" t="s">
        <v>2002</v>
      </c>
      <c r="B849" t="s">
        <v>1864</v>
      </c>
      <c r="C849" t="s">
        <v>1865</v>
      </c>
      <c r="D849" t="s">
        <v>1865</v>
      </c>
    </row>
    <row r="850" spans="1:4" x14ac:dyDescent="0.2">
      <c r="A850" t="s">
        <v>2002</v>
      </c>
      <c r="B850" t="s">
        <v>1866</v>
      </c>
      <c r="C850" t="s">
        <v>1867</v>
      </c>
      <c r="D850" t="s">
        <v>1868</v>
      </c>
    </row>
    <row r="851" spans="1:4" x14ac:dyDescent="0.2">
      <c r="A851" t="s">
        <v>2002</v>
      </c>
      <c r="B851" t="s">
        <v>1869</v>
      </c>
      <c r="C851" t="s">
        <v>1870</v>
      </c>
      <c r="D851" t="s">
        <v>1871</v>
      </c>
    </row>
    <row r="852" spans="1:4" x14ac:dyDescent="0.2">
      <c r="A852" t="s">
        <v>2002</v>
      </c>
      <c r="B852" t="s">
        <v>1872</v>
      </c>
      <c r="C852" t="s">
        <v>1873</v>
      </c>
      <c r="D852" t="s">
        <v>1874</v>
      </c>
    </row>
    <row r="853" spans="1:4" x14ac:dyDescent="0.2">
      <c r="A853" t="s">
        <v>2002</v>
      </c>
      <c r="B853" t="s">
        <v>1875</v>
      </c>
      <c r="C853" t="s">
        <v>1876</v>
      </c>
      <c r="D853" t="s">
        <v>1877</v>
      </c>
    </row>
    <row r="854" spans="1:4" x14ac:dyDescent="0.2">
      <c r="A854" t="s">
        <v>2002</v>
      </c>
      <c r="B854" t="s">
        <v>1878</v>
      </c>
      <c r="C854" t="s">
        <v>1879</v>
      </c>
      <c r="D854" t="s">
        <v>1880</v>
      </c>
    </row>
    <row r="855" spans="1:4" x14ac:dyDescent="0.2">
      <c r="A855" t="s">
        <v>2002</v>
      </c>
      <c r="B855" t="s">
        <v>1881</v>
      </c>
      <c r="C855" t="s">
        <v>1882</v>
      </c>
      <c r="D855" t="s">
        <v>1883</v>
      </c>
    </row>
    <row r="856" spans="1:4" x14ac:dyDescent="0.2">
      <c r="A856" t="s">
        <v>2002</v>
      </c>
      <c r="B856" t="s">
        <v>1884</v>
      </c>
      <c r="C856" t="s">
        <v>1885</v>
      </c>
      <c r="D856" t="s">
        <v>1886</v>
      </c>
    </row>
    <row r="857" spans="1:4" x14ac:dyDescent="0.2">
      <c r="A857" t="s">
        <v>2002</v>
      </c>
      <c r="B857" t="s">
        <v>1887</v>
      </c>
      <c r="C857" t="s">
        <v>1888</v>
      </c>
      <c r="D857" t="s">
        <v>1888</v>
      </c>
    </row>
    <row r="858" spans="1:4" x14ac:dyDescent="0.2">
      <c r="A858" t="s">
        <v>2002</v>
      </c>
      <c r="B858" t="s">
        <v>1889</v>
      </c>
      <c r="C858" t="s">
        <v>1890</v>
      </c>
      <c r="D858" t="s">
        <v>1891</v>
      </c>
    </row>
    <row r="859" spans="1:4" x14ac:dyDescent="0.2">
      <c r="A859" t="s">
        <v>2002</v>
      </c>
      <c r="B859" t="s">
        <v>1892</v>
      </c>
      <c r="C859" t="s">
        <v>1893</v>
      </c>
      <c r="D859" t="s">
        <v>1894</v>
      </c>
    </row>
    <row r="860" spans="1:4" x14ac:dyDescent="0.2">
      <c r="A860" t="s">
        <v>2002</v>
      </c>
      <c r="B860" t="s">
        <v>1895</v>
      </c>
      <c r="C860" t="s">
        <v>1896</v>
      </c>
      <c r="D860" t="s">
        <v>1897</v>
      </c>
    </row>
    <row r="861" spans="1:4" x14ac:dyDescent="0.2">
      <c r="A861" t="s">
        <v>2002</v>
      </c>
      <c r="B861" t="s">
        <v>1898</v>
      </c>
      <c r="C861" t="s">
        <v>1899</v>
      </c>
      <c r="D861" t="s">
        <v>1900</v>
      </c>
    </row>
    <row r="862" spans="1:4" x14ac:dyDescent="0.2">
      <c r="A862" t="s">
        <v>2002</v>
      </c>
      <c r="B862" t="s">
        <v>1901</v>
      </c>
      <c r="C862" t="s">
        <v>1902</v>
      </c>
      <c r="D862" t="s">
        <v>1903</v>
      </c>
    </row>
    <row r="863" spans="1:4" x14ac:dyDescent="0.2">
      <c r="A863" t="s">
        <v>2002</v>
      </c>
      <c r="B863" t="s">
        <v>1904</v>
      </c>
      <c r="C863" t="s">
        <v>1905</v>
      </c>
      <c r="D863" t="s">
        <v>1906</v>
      </c>
    </row>
    <row r="864" spans="1:4" x14ac:dyDescent="0.2">
      <c r="A864" t="s">
        <v>2002</v>
      </c>
      <c r="B864" t="s">
        <v>1907</v>
      </c>
      <c r="C864" t="s">
        <v>1908</v>
      </c>
      <c r="D864" t="s">
        <v>1909</v>
      </c>
    </row>
    <row r="865" spans="1:4" x14ac:dyDescent="0.2">
      <c r="A865" t="s">
        <v>2002</v>
      </c>
      <c r="B865" t="s">
        <v>1910</v>
      </c>
      <c r="C865" t="s">
        <v>1911</v>
      </c>
      <c r="D865" t="s">
        <v>1912</v>
      </c>
    </row>
    <row r="866" spans="1:4" x14ac:dyDescent="0.2">
      <c r="A866" t="s">
        <v>2002</v>
      </c>
      <c r="B866" t="s">
        <v>1913</v>
      </c>
      <c r="C866" t="s">
        <v>1914</v>
      </c>
      <c r="D866" t="s">
        <v>1915</v>
      </c>
    </row>
    <row r="867" spans="1:4" x14ac:dyDescent="0.2">
      <c r="A867" t="s">
        <v>2002</v>
      </c>
      <c r="B867" t="s">
        <v>1916</v>
      </c>
      <c r="C867" t="s">
        <v>1917</v>
      </c>
      <c r="D867" t="s">
        <v>1918</v>
      </c>
    </row>
    <row r="868" spans="1:4" x14ac:dyDescent="0.2">
      <c r="A868" t="s">
        <v>2002</v>
      </c>
      <c r="B868" t="s">
        <v>1919</v>
      </c>
      <c r="C868" t="s">
        <v>1920</v>
      </c>
      <c r="D868" t="s">
        <v>1921</v>
      </c>
    </row>
    <row r="869" spans="1:4" x14ac:dyDescent="0.2">
      <c r="A869" t="s">
        <v>2002</v>
      </c>
      <c r="B869" t="s">
        <v>1922</v>
      </c>
      <c r="C869" t="s">
        <v>1923</v>
      </c>
      <c r="D869" t="s">
        <v>1924</v>
      </c>
    </row>
    <row r="870" spans="1:4" x14ac:dyDescent="0.2">
      <c r="A870" t="s">
        <v>2002</v>
      </c>
      <c r="B870" t="s">
        <v>1925</v>
      </c>
      <c r="C870" t="s">
        <v>1926</v>
      </c>
      <c r="D870" t="s">
        <v>1927</v>
      </c>
    </row>
    <row r="871" spans="1:4" x14ac:dyDescent="0.2">
      <c r="A871" t="s">
        <v>2002</v>
      </c>
      <c r="B871" t="s">
        <v>1928</v>
      </c>
      <c r="C871" t="s">
        <v>1929</v>
      </c>
      <c r="D871" t="s">
        <v>1930</v>
      </c>
    </row>
    <row r="872" spans="1:4" x14ac:dyDescent="0.2">
      <c r="A872" t="s">
        <v>2002</v>
      </c>
      <c r="B872" t="s">
        <v>1931</v>
      </c>
      <c r="C872" t="s">
        <v>1932</v>
      </c>
      <c r="D872" t="s">
        <v>1933</v>
      </c>
    </row>
    <row r="873" spans="1:4" x14ac:dyDescent="0.2">
      <c r="A873" t="s">
        <v>2002</v>
      </c>
      <c r="B873" t="s">
        <v>1934</v>
      </c>
      <c r="C873" t="s">
        <v>1935</v>
      </c>
      <c r="D873" t="s">
        <v>1936</v>
      </c>
    </row>
    <row r="874" spans="1:4" x14ac:dyDescent="0.2">
      <c r="A874" t="s">
        <v>2002</v>
      </c>
      <c r="B874" t="s">
        <v>1937</v>
      </c>
      <c r="C874" t="s">
        <v>1938</v>
      </c>
      <c r="D874" t="s">
        <v>1939</v>
      </c>
    </row>
    <row r="875" spans="1:4" x14ac:dyDescent="0.2">
      <c r="A875" t="s">
        <v>2002</v>
      </c>
      <c r="B875" t="s">
        <v>1940</v>
      </c>
      <c r="C875" t="s">
        <v>1941</v>
      </c>
      <c r="D875" t="s">
        <v>1942</v>
      </c>
    </row>
    <row r="876" spans="1:4" x14ac:dyDescent="0.2">
      <c r="A876" t="s">
        <v>2002</v>
      </c>
      <c r="B876" t="s">
        <v>1943</v>
      </c>
      <c r="C876" t="s">
        <v>1944</v>
      </c>
      <c r="D876" t="s">
        <v>1945</v>
      </c>
    </row>
    <row r="877" spans="1:4" x14ac:dyDescent="0.2">
      <c r="A877" t="s">
        <v>2002</v>
      </c>
      <c r="B877" t="s">
        <v>1946</v>
      </c>
      <c r="C877" t="s">
        <v>1947</v>
      </c>
      <c r="D877" t="s">
        <v>1948</v>
      </c>
    </row>
    <row r="878" spans="1:4" x14ac:dyDescent="0.2">
      <c r="A878" t="s">
        <v>2002</v>
      </c>
      <c r="B878" t="s">
        <v>1949</v>
      </c>
      <c r="C878" t="s">
        <v>1950</v>
      </c>
      <c r="D878" t="s">
        <v>1951</v>
      </c>
    </row>
    <row r="879" spans="1:4" x14ac:dyDescent="0.2">
      <c r="A879" t="s">
        <v>2002</v>
      </c>
      <c r="B879" t="s">
        <v>1952</v>
      </c>
      <c r="C879" t="s">
        <v>1953</v>
      </c>
      <c r="D879" t="s">
        <v>1954</v>
      </c>
    </row>
    <row r="880" spans="1:4" x14ac:dyDescent="0.2">
      <c r="A880" t="s">
        <v>2002</v>
      </c>
      <c r="B880" t="s">
        <v>1955</v>
      </c>
      <c r="C880" t="s">
        <v>1956</v>
      </c>
      <c r="D880" t="s">
        <v>1957</v>
      </c>
    </row>
    <row r="881" spans="1:4" x14ac:dyDescent="0.2">
      <c r="A881" t="s">
        <v>2002</v>
      </c>
      <c r="B881" t="s">
        <v>1958</v>
      </c>
      <c r="C881" t="s">
        <v>1959</v>
      </c>
      <c r="D881" t="s">
        <v>1960</v>
      </c>
    </row>
    <row r="882" spans="1:4" x14ac:dyDescent="0.2">
      <c r="A882" t="s">
        <v>2002</v>
      </c>
      <c r="B882" t="s">
        <v>1961</v>
      </c>
      <c r="C882" t="s">
        <v>1962</v>
      </c>
      <c r="D882" t="s">
        <v>1963</v>
      </c>
    </row>
    <row r="883" spans="1:4" x14ac:dyDescent="0.2">
      <c r="A883" t="s">
        <v>2002</v>
      </c>
      <c r="B883" t="s">
        <v>1964</v>
      </c>
      <c r="C883" t="s">
        <v>1965</v>
      </c>
      <c r="D883" t="s">
        <v>1966</v>
      </c>
    </row>
    <row r="884" spans="1:4" x14ac:dyDescent="0.2">
      <c r="A884" t="s">
        <v>2002</v>
      </c>
      <c r="B884" t="s">
        <v>1967</v>
      </c>
      <c r="C884" t="s">
        <v>1968</v>
      </c>
      <c r="D884" t="s">
        <v>1969</v>
      </c>
    </row>
    <row r="885" spans="1:4" x14ac:dyDescent="0.2">
      <c r="A885" t="s">
        <v>2002</v>
      </c>
      <c r="B885" t="s">
        <v>1970</v>
      </c>
      <c r="C885" t="s">
        <v>1971</v>
      </c>
      <c r="D885" t="s">
        <v>1972</v>
      </c>
    </row>
    <row r="886" spans="1:4" x14ac:dyDescent="0.2">
      <c r="A886" t="s">
        <v>2002</v>
      </c>
      <c r="B886" t="s">
        <v>1973</v>
      </c>
      <c r="C886" t="s">
        <v>1974</v>
      </c>
      <c r="D886" t="s">
        <v>1975</v>
      </c>
    </row>
    <row r="887" spans="1:4" x14ac:dyDescent="0.2">
      <c r="A887" t="s">
        <v>2002</v>
      </c>
      <c r="B887" t="s">
        <v>1976</v>
      </c>
      <c r="C887" t="s">
        <v>1977</v>
      </c>
      <c r="D887" t="s">
        <v>1977</v>
      </c>
    </row>
    <row r="888" spans="1:4" x14ac:dyDescent="0.2">
      <c r="A888" t="s">
        <v>2002</v>
      </c>
      <c r="B888" t="s">
        <v>1978</v>
      </c>
      <c r="C888" t="s">
        <v>1979</v>
      </c>
      <c r="D888" t="s">
        <v>1980</v>
      </c>
    </row>
    <row r="889" spans="1:4" x14ac:dyDescent="0.2">
      <c r="A889" t="s">
        <v>2002</v>
      </c>
      <c r="B889" t="s">
        <v>1981</v>
      </c>
      <c r="C889" t="s">
        <v>1982</v>
      </c>
      <c r="D889" t="s">
        <v>1983</v>
      </c>
    </row>
    <row r="890" spans="1:4" x14ac:dyDescent="0.2">
      <c r="A890" t="s">
        <v>2002</v>
      </c>
      <c r="B890" t="s">
        <v>1984</v>
      </c>
      <c r="C890" t="s">
        <v>1985</v>
      </c>
      <c r="D890" t="s">
        <v>1985</v>
      </c>
    </row>
    <row r="891" spans="1:4" x14ac:dyDescent="0.2">
      <c r="A891" t="s">
        <v>2002</v>
      </c>
      <c r="B891" t="s">
        <v>1986</v>
      </c>
      <c r="C891" t="s">
        <v>1987</v>
      </c>
      <c r="D891" t="s">
        <v>1988</v>
      </c>
    </row>
    <row r="892" spans="1:4" x14ac:dyDescent="0.2">
      <c r="A892" t="s">
        <v>2002</v>
      </c>
      <c r="B892" t="s">
        <v>1992</v>
      </c>
      <c r="C892" t="s">
        <v>1993</v>
      </c>
      <c r="D892" t="s">
        <v>1994</v>
      </c>
    </row>
    <row r="893" spans="1:4" x14ac:dyDescent="0.2">
      <c r="A893" t="s">
        <v>2002</v>
      </c>
      <c r="B893" t="s">
        <v>1995</v>
      </c>
      <c r="C893" t="s">
        <v>1996</v>
      </c>
      <c r="D893" t="s">
        <v>1997</v>
      </c>
    </row>
    <row r="895" spans="1:4" x14ac:dyDescent="0.2">
      <c r="A895" t="s">
        <v>2003</v>
      </c>
      <c r="B895" t="s">
        <v>781</v>
      </c>
      <c r="C895" t="s">
        <v>782</v>
      </c>
      <c r="D895" t="s">
        <v>782</v>
      </c>
    </row>
    <row r="896" spans="1:4" x14ac:dyDescent="0.2">
      <c r="A896" t="s">
        <v>2003</v>
      </c>
      <c r="B896" t="s">
        <v>783</v>
      </c>
      <c r="C896" t="s">
        <v>784</v>
      </c>
      <c r="D896" t="s">
        <v>784</v>
      </c>
    </row>
    <row r="897" spans="1:6" x14ac:dyDescent="0.2">
      <c r="A897" t="s">
        <v>2003</v>
      </c>
      <c r="B897" t="s">
        <v>785</v>
      </c>
      <c r="C897" t="s">
        <v>786</v>
      </c>
      <c r="D897" t="s">
        <v>786</v>
      </c>
    </row>
    <row r="898" spans="1:6" x14ac:dyDescent="0.2">
      <c r="A898" t="s">
        <v>2003</v>
      </c>
      <c r="B898" t="s">
        <v>787</v>
      </c>
      <c r="C898" t="s">
        <v>788</v>
      </c>
      <c r="D898" t="s">
        <v>788</v>
      </c>
    </row>
    <row r="899" spans="1:6" x14ac:dyDescent="0.2">
      <c r="A899" t="s">
        <v>2003</v>
      </c>
      <c r="B899" t="s">
        <v>789</v>
      </c>
      <c r="C899" t="s">
        <v>790</v>
      </c>
      <c r="D899" t="s">
        <v>790</v>
      </c>
    </row>
    <row r="900" spans="1:6" x14ac:dyDescent="0.2">
      <c r="A900" t="s">
        <v>2003</v>
      </c>
      <c r="B900" t="s">
        <v>791</v>
      </c>
      <c r="C900" t="s">
        <v>792</v>
      </c>
      <c r="D900" t="s">
        <v>792</v>
      </c>
    </row>
    <row r="901" spans="1:6" x14ac:dyDescent="0.2">
      <c r="A901" t="s">
        <v>2003</v>
      </c>
      <c r="B901" t="s">
        <v>793</v>
      </c>
      <c r="C901" t="s">
        <v>794</v>
      </c>
      <c r="D901" t="s">
        <v>794</v>
      </c>
    </row>
    <row r="902" spans="1:6" x14ac:dyDescent="0.2">
      <c r="A902" t="s">
        <v>2003</v>
      </c>
      <c r="B902" t="s">
        <v>795</v>
      </c>
      <c r="C902" t="s">
        <v>796</v>
      </c>
      <c r="D902" t="s">
        <v>796</v>
      </c>
    </row>
    <row r="903" spans="1:6" x14ac:dyDescent="0.2">
      <c r="A903" t="s">
        <v>2003</v>
      </c>
      <c r="B903" t="s">
        <v>797</v>
      </c>
      <c r="C903" t="s">
        <v>798</v>
      </c>
      <c r="D903" t="s">
        <v>798</v>
      </c>
    </row>
    <row r="904" spans="1:6" x14ac:dyDescent="0.2">
      <c r="A904" t="s">
        <v>2003</v>
      </c>
      <c r="B904" t="s">
        <v>799</v>
      </c>
      <c r="C904" t="s">
        <v>800</v>
      </c>
      <c r="D904" t="s">
        <v>800</v>
      </c>
    </row>
    <row r="906" spans="1:6" x14ac:dyDescent="0.2">
      <c r="A906" t="s">
        <v>2004</v>
      </c>
      <c r="B906" t="s">
        <v>2005</v>
      </c>
      <c r="C906" t="s">
        <v>2006</v>
      </c>
      <c r="D906" t="s">
        <v>2006</v>
      </c>
      <c r="F906" t="s">
        <v>781</v>
      </c>
    </row>
    <row r="907" spans="1:6" x14ac:dyDescent="0.2">
      <c r="A907" t="s">
        <v>2004</v>
      </c>
      <c r="B907" t="s">
        <v>2007</v>
      </c>
      <c r="C907" t="s">
        <v>2008</v>
      </c>
      <c r="D907" t="s">
        <v>2008</v>
      </c>
      <c r="F907" t="s">
        <v>781</v>
      </c>
    </row>
    <row r="908" spans="1:6" x14ac:dyDescent="0.2">
      <c r="A908" t="s">
        <v>2004</v>
      </c>
      <c r="B908" t="s">
        <v>2009</v>
      </c>
      <c r="C908" t="s">
        <v>782</v>
      </c>
      <c r="D908" t="s">
        <v>782</v>
      </c>
      <c r="F908" t="s">
        <v>781</v>
      </c>
    </row>
    <row r="909" spans="1:6" x14ac:dyDescent="0.2">
      <c r="A909" t="s">
        <v>2004</v>
      </c>
      <c r="B909" t="s">
        <v>2010</v>
      </c>
      <c r="C909" t="s">
        <v>2011</v>
      </c>
      <c r="D909" t="s">
        <v>2011</v>
      </c>
      <c r="F909" t="s">
        <v>781</v>
      </c>
    </row>
    <row r="910" spans="1:6" x14ac:dyDescent="0.2">
      <c r="A910" t="s">
        <v>2004</v>
      </c>
      <c r="B910" t="s">
        <v>2012</v>
      </c>
      <c r="C910" t="s">
        <v>2013</v>
      </c>
      <c r="D910" t="s">
        <v>2013</v>
      </c>
      <c r="F910" t="s">
        <v>781</v>
      </c>
    </row>
    <row r="911" spans="1:6" x14ac:dyDescent="0.2">
      <c r="A911" t="s">
        <v>2004</v>
      </c>
      <c r="B911" t="s">
        <v>2014</v>
      </c>
      <c r="C911" t="s">
        <v>2015</v>
      </c>
      <c r="D911" t="s">
        <v>2015</v>
      </c>
      <c r="F911" t="s">
        <v>781</v>
      </c>
    </row>
    <row r="912" spans="1:6" x14ac:dyDescent="0.2">
      <c r="A912" t="s">
        <v>2004</v>
      </c>
      <c r="B912" t="s">
        <v>2016</v>
      </c>
      <c r="C912" t="s">
        <v>2017</v>
      </c>
      <c r="D912" t="s">
        <v>2017</v>
      </c>
      <c r="F912" t="s">
        <v>781</v>
      </c>
    </row>
    <row r="913" spans="1:6" x14ac:dyDescent="0.2">
      <c r="A913" t="s">
        <v>2004</v>
      </c>
      <c r="B913" t="s">
        <v>2018</v>
      </c>
      <c r="C913" t="s">
        <v>2019</v>
      </c>
      <c r="D913" t="s">
        <v>2019</v>
      </c>
      <c r="F913" t="s">
        <v>783</v>
      </c>
    </row>
    <row r="914" spans="1:6" x14ac:dyDescent="0.2">
      <c r="A914" t="s">
        <v>2004</v>
      </c>
      <c r="B914" t="s">
        <v>2020</v>
      </c>
      <c r="C914" t="s">
        <v>2021</v>
      </c>
      <c r="D914" t="s">
        <v>2021</v>
      </c>
      <c r="F914" t="s">
        <v>783</v>
      </c>
    </row>
    <row r="915" spans="1:6" x14ac:dyDescent="0.2">
      <c r="A915" t="s">
        <v>2004</v>
      </c>
      <c r="B915" t="s">
        <v>2022</v>
      </c>
      <c r="C915" t="s">
        <v>2023</v>
      </c>
      <c r="D915" t="s">
        <v>2023</v>
      </c>
      <c r="F915" t="s">
        <v>783</v>
      </c>
    </row>
    <row r="916" spans="1:6" x14ac:dyDescent="0.2">
      <c r="A916" t="s">
        <v>2004</v>
      </c>
      <c r="B916" t="s">
        <v>2024</v>
      </c>
      <c r="C916" t="s">
        <v>2025</v>
      </c>
      <c r="D916" t="s">
        <v>2025</v>
      </c>
      <c r="F916" t="s">
        <v>783</v>
      </c>
    </row>
    <row r="917" spans="1:6" x14ac:dyDescent="0.2">
      <c r="A917" t="s">
        <v>2004</v>
      </c>
      <c r="B917" t="s">
        <v>2026</v>
      </c>
      <c r="C917" t="s">
        <v>2027</v>
      </c>
      <c r="D917" t="s">
        <v>2027</v>
      </c>
      <c r="F917" t="s">
        <v>783</v>
      </c>
    </row>
    <row r="918" spans="1:6" x14ac:dyDescent="0.2">
      <c r="A918" t="s">
        <v>2004</v>
      </c>
      <c r="B918" t="s">
        <v>2028</v>
      </c>
      <c r="C918" t="s">
        <v>784</v>
      </c>
      <c r="D918" t="s">
        <v>784</v>
      </c>
      <c r="F918" t="s">
        <v>783</v>
      </c>
    </row>
    <row r="919" spans="1:6" x14ac:dyDescent="0.2">
      <c r="A919" t="s">
        <v>2004</v>
      </c>
      <c r="B919" t="s">
        <v>2029</v>
      </c>
      <c r="C919" t="s">
        <v>2030</v>
      </c>
      <c r="D919" t="s">
        <v>2030</v>
      </c>
      <c r="F919" t="s">
        <v>783</v>
      </c>
    </row>
    <row r="920" spans="1:6" x14ac:dyDescent="0.2">
      <c r="A920" t="s">
        <v>2004</v>
      </c>
      <c r="B920" t="s">
        <v>2031</v>
      </c>
      <c r="C920" t="s">
        <v>2032</v>
      </c>
      <c r="D920" t="s">
        <v>2032</v>
      </c>
      <c r="F920" t="s">
        <v>785</v>
      </c>
    </row>
    <row r="921" spans="1:6" x14ac:dyDescent="0.2">
      <c r="A921" t="s">
        <v>2004</v>
      </c>
      <c r="B921" t="s">
        <v>2033</v>
      </c>
      <c r="C921" t="s">
        <v>2034</v>
      </c>
      <c r="D921" t="s">
        <v>2034</v>
      </c>
      <c r="F921" t="s">
        <v>785</v>
      </c>
    </row>
    <row r="922" spans="1:6" x14ac:dyDescent="0.2">
      <c r="A922" t="s">
        <v>2004</v>
      </c>
      <c r="B922" t="s">
        <v>2035</v>
      </c>
      <c r="C922" t="s">
        <v>2036</v>
      </c>
      <c r="D922" t="s">
        <v>2036</v>
      </c>
      <c r="F922" t="s">
        <v>785</v>
      </c>
    </row>
    <row r="923" spans="1:6" x14ac:dyDescent="0.2">
      <c r="A923" t="s">
        <v>2004</v>
      </c>
      <c r="B923" t="s">
        <v>2037</v>
      </c>
      <c r="C923" t="s">
        <v>2038</v>
      </c>
      <c r="D923" t="s">
        <v>2038</v>
      </c>
      <c r="F923" t="s">
        <v>785</v>
      </c>
    </row>
    <row r="924" spans="1:6" x14ac:dyDescent="0.2">
      <c r="A924" t="s">
        <v>2004</v>
      </c>
      <c r="B924" t="s">
        <v>2039</v>
      </c>
      <c r="C924" t="s">
        <v>786</v>
      </c>
      <c r="D924" t="s">
        <v>786</v>
      </c>
      <c r="F924" t="s">
        <v>785</v>
      </c>
    </row>
    <row r="925" spans="1:6" x14ac:dyDescent="0.2">
      <c r="A925" t="s">
        <v>2004</v>
      </c>
      <c r="B925" t="s">
        <v>2040</v>
      </c>
      <c r="C925" t="s">
        <v>2041</v>
      </c>
      <c r="D925" t="s">
        <v>2041</v>
      </c>
      <c r="F925" t="s">
        <v>785</v>
      </c>
    </row>
    <row r="926" spans="1:6" x14ac:dyDescent="0.2">
      <c r="A926" t="s">
        <v>2004</v>
      </c>
      <c r="B926" t="s">
        <v>2042</v>
      </c>
      <c r="C926" t="s">
        <v>2043</v>
      </c>
      <c r="D926" t="s">
        <v>2043</v>
      </c>
      <c r="F926" t="s">
        <v>785</v>
      </c>
    </row>
    <row r="927" spans="1:6" x14ac:dyDescent="0.2">
      <c r="A927" t="s">
        <v>2004</v>
      </c>
      <c r="B927" t="s">
        <v>2044</v>
      </c>
      <c r="C927" t="s">
        <v>2045</v>
      </c>
      <c r="D927" t="s">
        <v>2045</v>
      </c>
      <c r="F927" t="s">
        <v>787</v>
      </c>
    </row>
    <row r="928" spans="1:6" x14ac:dyDescent="0.2">
      <c r="A928" t="s">
        <v>2004</v>
      </c>
      <c r="B928" t="s">
        <v>2046</v>
      </c>
      <c r="C928" t="s">
        <v>2047</v>
      </c>
      <c r="D928" t="s">
        <v>2047</v>
      </c>
      <c r="F928" t="s">
        <v>787</v>
      </c>
    </row>
    <row r="929" spans="1:6" x14ac:dyDescent="0.2">
      <c r="A929" t="s">
        <v>2004</v>
      </c>
      <c r="B929" t="s">
        <v>2048</v>
      </c>
      <c r="C929" t="s">
        <v>2049</v>
      </c>
      <c r="D929" t="s">
        <v>2049</v>
      </c>
      <c r="F929" t="s">
        <v>787</v>
      </c>
    </row>
    <row r="930" spans="1:6" x14ac:dyDescent="0.2">
      <c r="A930" t="s">
        <v>2004</v>
      </c>
      <c r="B930" t="s">
        <v>2050</v>
      </c>
      <c r="C930" t="s">
        <v>2051</v>
      </c>
      <c r="D930" t="s">
        <v>2051</v>
      </c>
      <c r="F930" t="s">
        <v>787</v>
      </c>
    </row>
    <row r="931" spans="1:6" x14ac:dyDescent="0.2">
      <c r="A931" t="s">
        <v>2004</v>
      </c>
      <c r="B931" t="s">
        <v>2052</v>
      </c>
      <c r="C931" t="s">
        <v>2053</v>
      </c>
      <c r="D931" t="s">
        <v>2053</v>
      </c>
      <c r="F931" t="s">
        <v>787</v>
      </c>
    </row>
    <row r="932" spans="1:6" x14ac:dyDescent="0.2">
      <c r="A932" t="s">
        <v>2004</v>
      </c>
      <c r="B932" t="s">
        <v>2054</v>
      </c>
      <c r="C932" t="s">
        <v>788</v>
      </c>
      <c r="D932" t="s">
        <v>788</v>
      </c>
      <c r="F932" t="s">
        <v>787</v>
      </c>
    </row>
    <row r="933" spans="1:6" x14ac:dyDescent="0.2">
      <c r="A933" t="s">
        <v>2004</v>
      </c>
      <c r="B933" t="s">
        <v>2055</v>
      </c>
      <c r="C933" t="s">
        <v>2056</v>
      </c>
      <c r="D933" t="s">
        <v>2056</v>
      </c>
      <c r="F933" t="s">
        <v>787</v>
      </c>
    </row>
    <row r="934" spans="1:6" x14ac:dyDescent="0.2">
      <c r="A934" t="s">
        <v>2004</v>
      </c>
      <c r="B934" t="s">
        <v>2057</v>
      </c>
      <c r="C934" t="s">
        <v>2058</v>
      </c>
      <c r="D934" t="s">
        <v>2058</v>
      </c>
      <c r="F934" t="s">
        <v>789</v>
      </c>
    </row>
    <row r="935" spans="1:6" x14ac:dyDescent="0.2">
      <c r="A935" t="s">
        <v>2004</v>
      </c>
      <c r="B935" t="s">
        <v>2059</v>
      </c>
      <c r="C935" t="s">
        <v>2060</v>
      </c>
      <c r="D935" t="s">
        <v>2060</v>
      </c>
      <c r="F935" t="s">
        <v>789</v>
      </c>
    </row>
    <row r="936" spans="1:6" x14ac:dyDescent="0.2">
      <c r="A936" t="s">
        <v>2004</v>
      </c>
      <c r="B936" t="s">
        <v>2061</v>
      </c>
      <c r="C936" t="s">
        <v>2062</v>
      </c>
      <c r="D936" t="s">
        <v>2062</v>
      </c>
      <c r="F936" t="s">
        <v>789</v>
      </c>
    </row>
    <row r="937" spans="1:6" x14ac:dyDescent="0.2">
      <c r="A937" t="s">
        <v>2004</v>
      </c>
      <c r="B937" t="s">
        <v>2063</v>
      </c>
      <c r="C937" t="s">
        <v>2064</v>
      </c>
      <c r="D937" t="s">
        <v>2064</v>
      </c>
      <c r="F937" t="s">
        <v>789</v>
      </c>
    </row>
    <row r="938" spans="1:6" x14ac:dyDescent="0.2">
      <c r="A938" t="s">
        <v>2004</v>
      </c>
      <c r="B938" t="s">
        <v>2065</v>
      </c>
      <c r="C938" t="s">
        <v>2066</v>
      </c>
      <c r="D938" t="s">
        <v>2066</v>
      </c>
      <c r="F938" t="s">
        <v>789</v>
      </c>
    </row>
    <row r="939" spans="1:6" x14ac:dyDescent="0.2">
      <c r="A939" t="s">
        <v>2004</v>
      </c>
      <c r="B939" t="s">
        <v>2067</v>
      </c>
      <c r="C939" t="s">
        <v>790</v>
      </c>
      <c r="D939" t="s">
        <v>790</v>
      </c>
      <c r="F939" t="s">
        <v>789</v>
      </c>
    </row>
    <row r="940" spans="1:6" x14ac:dyDescent="0.2">
      <c r="A940" t="s">
        <v>2004</v>
      </c>
      <c r="B940" t="s">
        <v>2068</v>
      </c>
      <c r="C940" t="s">
        <v>2069</v>
      </c>
      <c r="D940" t="s">
        <v>2069</v>
      </c>
      <c r="F940" t="s">
        <v>789</v>
      </c>
    </row>
    <row r="941" spans="1:6" x14ac:dyDescent="0.2">
      <c r="A941" t="s">
        <v>2004</v>
      </c>
      <c r="B941" t="s">
        <v>2070</v>
      </c>
      <c r="C941" t="s">
        <v>2071</v>
      </c>
      <c r="D941" t="s">
        <v>2071</v>
      </c>
      <c r="F941" t="s">
        <v>789</v>
      </c>
    </row>
    <row r="942" spans="1:6" x14ac:dyDescent="0.2">
      <c r="A942" t="s">
        <v>2004</v>
      </c>
      <c r="B942" t="s">
        <v>2072</v>
      </c>
      <c r="C942" t="s">
        <v>2073</v>
      </c>
      <c r="D942" t="s">
        <v>2073</v>
      </c>
      <c r="F942" t="s">
        <v>791</v>
      </c>
    </row>
    <row r="943" spans="1:6" x14ac:dyDescent="0.2">
      <c r="A943" t="s">
        <v>2004</v>
      </c>
      <c r="B943" t="s">
        <v>2074</v>
      </c>
      <c r="C943" t="s">
        <v>2075</v>
      </c>
      <c r="D943" t="s">
        <v>2075</v>
      </c>
      <c r="F943" t="s">
        <v>791</v>
      </c>
    </row>
    <row r="944" spans="1:6" x14ac:dyDescent="0.2">
      <c r="A944" t="s">
        <v>2004</v>
      </c>
      <c r="B944" t="s">
        <v>2076</v>
      </c>
      <c r="C944" t="s">
        <v>2077</v>
      </c>
      <c r="D944" t="s">
        <v>2077</v>
      </c>
      <c r="F944" t="s">
        <v>791</v>
      </c>
    </row>
    <row r="945" spans="1:6" x14ac:dyDescent="0.2">
      <c r="A945" t="s">
        <v>2004</v>
      </c>
      <c r="B945" t="s">
        <v>2078</v>
      </c>
      <c r="C945" t="s">
        <v>2079</v>
      </c>
      <c r="D945" t="s">
        <v>2079</v>
      </c>
      <c r="F945" t="s">
        <v>791</v>
      </c>
    </row>
    <row r="946" spans="1:6" x14ac:dyDescent="0.2">
      <c r="A946" t="s">
        <v>2004</v>
      </c>
      <c r="B946" t="s">
        <v>2080</v>
      </c>
      <c r="C946" t="s">
        <v>792</v>
      </c>
      <c r="D946" t="s">
        <v>792</v>
      </c>
      <c r="F946" t="s">
        <v>791</v>
      </c>
    </row>
    <row r="947" spans="1:6" x14ac:dyDescent="0.2">
      <c r="A947" t="s">
        <v>2004</v>
      </c>
      <c r="B947" t="s">
        <v>2081</v>
      </c>
      <c r="C947" t="s">
        <v>2082</v>
      </c>
      <c r="D947" t="s">
        <v>2082</v>
      </c>
      <c r="F947" t="s">
        <v>793</v>
      </c>
    </row>
    <row r="948" spans="1:6" x14ac:dyDescent="0.2">
      <c r="A948" t="s">
        <v>2004</v>
      </c>
      <c r="B948" t="s">
        <v>2083</v>
      </c>
      <c r="C948" t="s">
        <v>2084</v>
      </c>
      <c r="D948" t="s">
        <v>2084</v>
      </c>
      <c r="F948" t="s">
        <v>793</v>
      </c>
    </row>
    <row r="949" spans="1:6" x14ac:dyDescent="0.2">
      <c r="A949" t="s">
        <v>2004</v>
      </c>
      <c r="B949" t="s">
        <v>2085</v>
      </c>
      <c r="C949" t="s">
        <v>794</v>
      </c>
      <c r="D949" t="s">
        <v>794</v>
      </c>
      <c r="F949" t="s">
        <v>793</v>
      </c>
    </row>
    <row r="950" spans="1:6" x14ac:dyDescent="0.2">
      <c r="A950" t="s">
        <v>2004</v>
      </c>
      <c r="B950" t="s">
        <v>2086</v>
      </c>
      <c r="C950" t="s">
        <v>2087</v>
      </c>
      <c r="D950" t="s">
        <v>2087</v>
      </c>
      <c r="F950" t="s">
        <v>795</v>
      </c>
    </row>
    <row r="951" spans="1:6" x14ac:dyDescent="0.2">
      <c r="A951" t="s">
        <v>2004</v>
      </c>
      <c r="B951" t="s">
        <v>2088</v>
      </c>
      <c r="C951" t="s">
        <v>796</v>
      </c>
      <c r="D951" t="s">
        <v>796</v>
      </c>
      <c r="F951" t="s">
        <v>795</v>
      </c>
    </row>
    <row r="952" spans="1:6" x14ac:dyDescent="0.2">
      <c r="A952" t="s">
        <v>2004</v>
      </c>
      <c r="B952" t="s">
        <v>2089</v>
      </c>
      <c r="C952" t="s">
        <v>2090</v>
      </c>
      <c r="D952" t="s">
        <v>2090</v>
      </c>
      <c r="F952" t="s">
        <v>795</v>
      </c>
    </row>
    <row r="953" spans="1:6" x14ac:dyDescent="0.2">
      <c r="A953" t="s">
        <v>2004</v>
      </c>
      <c r="B953" t="s">
        <v>2091</v>
      </c>
      <c r="C953" t="s">
        <v>2092</v>
      </c>
      <c r="D953" t="s">
        <v>2092</v>
      </c>
      <c r="F953" t="s">
        <v>795</v>
      </c>
    </row>
    <row r="954" spans="1:6" x14ac:dyDescent="0.2">
      <c r="A954" t="s">
        <v>2004</v>
      </c>
      <c r="B954" t="s">
        <v>2093</v>
      </c>
      <c r="C954" t="s">
        <v>798</v>
      </c>
      <c r="D954" t="s">
        <v>798</v>
      </c>
      <c r="F954" t="s">
        <v>797</v>
      </c>
    </row>
    <row r="955" spans="1:6" x14ac:dyDescent="0.2">
      <c r="A955" t="s">
        <v>2004</v>
      </c>
      <c r="B955" t="s">
        <v>2094</v>
      </c>
      <c r="C955" t="s">
        <v>2095</v>
      </c>
      <c r="D955" t="s">
        <v>2095</v>
      </c>
      <c r="F955" t="s">
        <v>799</v>
      </c>
    </row>
    <row r="956" spans="1:6" x14ac:dyDescent="0.2">
      <c r="A956" t="s">
        <v>2004</v>
      </c>
      <c r="B956" t="s">
        <v>2096</v>
      </c>
      <c r="C956" t="s">
        <v>2097</v>
      </c>
      <c r="D956" t="s">
        <v>2097</v>
      </c>
      <c r="F956" t="s">
        <v>799</v>
      </c>
    </row>
    <row r="957" spans="1:6" x14ac:dyDescent="0.2">
      <c r="A957" t="s">
        <v>2004</v>
      </c>
      <c r="B957" t="s">
        <v>2098</v>
      </c>
      <c r="C957" t="s">
        <v>2099</v>
      </c>
      <c r="D957" t="s">
        <v>2099</v>
      </c>
      <c r="F957" t="s">
        <v>799</v>
      </c>
    </row>
    <row r="958" spans="1:6" x14ac:dyDescent="0.2">
      <c r="A958" t="s">
        <v>2004</v>
      </c>
      <c r="B958" t="s">
        <v>2100</v>
      </c>
      <c r="C958" t="s">
        <v>2101</v>
      </c>
      <c r="D958" t="s">
        <v>2101</v>
      </c>
      <c r="F958" t="s">
        <v>799</v>
      </c>
    </row>
    <row r="960" spans="1:6" x14ac:dyDescent="0.2">
      <c r="A960" t="s">
        <v>1724</v>
      </c>
      <c r="B960" t="s">
        <v>1725</v>
      </c>
      <c r="C960" t="s">
        <v>1726</v>
      </c>
      <c r="D960" t="s">
        <v>1727</v>
      </c>
    </row>
    <row r="961" spans="1:4" x14ac:dyDescent="0.2">
      <c r="A961" t="s">
        <v>1724</v>
      </c>
      <c r="B961" t="s">
        <v>1728</v>
      </c>
      <c r="C961" t="s">
        <v>1729</v>
      </c>
      <c r="D961" t="s">
        <v>1730</v>
      </c>
    </row>
    <row r="962" spans="1:4" x14ac:dyDescent="0.2">
      <c r="A962" t="s">
        <v>1724</v>
      </c>
      <c r="B962" t="s">
        <v>1731</v>
      </c>
      <c r="C962" t="s">
        <v>1732</v>
      </c>
      <c r="D962" t="s">
        <v>1733</v>
      </c>
    </row>
    <row r="963" spans="1:4" x14ac:dyDescent="0.2">
      <c r="A963" t="s">
        <v>1724</v>
      </c>
      <c r="B963" t="s">
        <v>1734</v>
      </c>
      <c r="C963" t="s">
        <v>1735</v>
      </c>
      <c r="D963" t="s">
        <v>1736</v>
      </c>
    </row>
    <row r="964" spans="1:4" x14ac:dyDescent="0.2">
      <c r="A964" t="s">
        <v>1724</v>
      </c>
      <c r="B964" t="s">
        <v>1737</v>
      </c>
      <c r="C964" t="s">
        <v>1738</v>
      </c>
      <c r="D964" t="s">
        <v>1739</v>
      </c>
    </row>
    <row r="965" spans="1:4" x14ac:dyDescent="0.2">
      <c r="A965" t="s">
        <v>1724</v>
      </c>
      <c r="B965" t="s">
        <v>1740</v>
      </c>
      <c r="C965" t="s">
        <v>1741</v>
      </c>
      <c r="D965" t="s">
        <v>1742</v>
      </c>
    </row>
    <row r="966" spans="1:4" x14ac:dyDescent="0.2">
      <c r="A966" t="s">
        <v>1724</v>
      </c>
      <c r="B966" t="s">
        <v>1743</v>
      </c>
      <c r="C966" t="s">
        <v>1744</v>
      </c>
      <c r="D966" t="s">
        <v>1745</v>
      </c>
    </row>
    <row r="967" spans="1:4" x14ac:dyDescent="0.2">
      <c r="A967" t="s">
        <v>1724</v>
      </c>
      <c r="B967" t="s">
        <v>1746</v>
      </c>
      <c r="C967" t="s">
        <v>1747</v>
      </c>
      <c r="D967" t="s">
        <v>1748</v>
      </c>
    </row>
    <row r="968" spans="1:4" x14ac:dyDescent="0.2">
      <c r="A968" t="s">
        <v>1724</v>
      </c>
      <c r="B968" t="s">
        <v>1749</v>
      </c>
      <c r="C968" t="s">
        <v>1750</v>
      </c>
      <c r="D968" t="s">
        <v>1751</v>
      </c>
    </row>
    <row r="969" spans="1:4" x14ac:dyDescent="0.2">
      <c r="A969" t="s">
        <v>1724</v>
      </c>
      <c r="B969" t="s">
        <v>1752</v>
      </c>
      <c r="C969" t="s">
        <v>1753</v>
      </c>
      <c r="D969" t="s">
        <v>1754</v>
      </c>
    </row>
    <row r="970" spans="1:4" x14ac:dyDescent="0.2">
      <c r="A970" t="s">
        <v>1724</v>
      </c>
      <c r="B970" t="s">
        <v>1755</v>
      </c>
      <c r="C970" t="s">
        <v>1756</v>
      </c>
      <c r="D970" t="s">
        <v>1757</v>
      </c>
    </row>
    <row r="971" spans="1:4" x14ac:dyDescent="0.2">
      <c r="A971" t="s">
        <v>1724</v>
      </c>
      <c r="B971" t="s">
        <v>1758</v>
      </c>
      <c r="C971" t="s">
        <v>1759</v>
      </c>
      <c r="D971" t="s">
        <v>1760</v>
      </c>
    </row>
    <row r="972" spans="1:4" x14ac:dyDescent="0.2">
      <c r="A972" t="s">
        <v>1724</v>
      </c>
      <c r="B972" t="s">
        <v>1761</v>
      </c>
      <c r="C972" t="s">
        <v>1762</v>
      </c>
      <c r="D972" t="s">
        <v>1763</v>
      </c>
    </row>
    <row r="973" spans="1:4" x14ac:dyDescent="0.2">
      <c r="A973" t="s">
        <v>1724</v>
      </c>
      <c r="B973" t="s">
        <v>1764</v>
      </c>
      <c r="C973" t="s">
        <v>1765</v>
      </c>
      <c r="D973" t="s">
        <v>1766</v>
      </c>
    </row>
    <row r="974" spans="1:4" x14ac:dyDescent="0.2">
      <c r="A974" t="s">
        <v>1724</v>
      </c>
      <c r="B974" t="s">
        <v>1767</v>
      </c>
      <c r="C974" t="s">
        <v>1768</v>
      </c>
      <c r="D974" t="s">
        <v>1769</v>
      </c>
    </row>
    <row r="975" spans="1:4" x14ac:dyDescent="0.2">
      <c r="A975" t="s">
        <v>1724</v>
      </c>
      <c r="B975" t="s">
        <v>1770</v>
      </c>
      <c r="C975" t="s">
        <v>1771</v>
      </c>
      <c r="D975" t="s">
        <v>1772</v>
      </c>
    </row>
    <row r="976" spans="1:4" x14ac:dyDescent="0.2">
      <c r="A976" t="s">
        <v>1724</v>
      </c>
      <c r="B976" t="s">
        <v>1773</v>
      </c>
      <c r="C976" t="s">
        <v>1774</v>
      </c>
      <c r="D976" t="s">
        <v>1775</v>
      </c>
    </row>
    <row r="977" spans="1:4" x14ac:dyDescent="0.2">
      <c r="A977" t="s">
        <v>1724</v>
      </c>
      <c r="B977" t="s">
        <v>1776</v>
      </c>
      <c r="C977" t="s">
        <v>1777</v>
      </c>
      <c r="D977" t="s">
        <v>1778</v>
      </c>
    </row>
    <row r="978" spans="1:4" x14ac:dyDescent="0.2">
      <c r="A978" t="s">
        <v>1724</v>
      </c>
      <c r="B978" t="s">
        <v>1779</v>
      </c>
      <c r="C978" t="s">
        <v>1780</v>
      </c>
      <c r="D978" t="s">
        <v>1781</v>
      </c>
    </row>
    <row r="979" spans="1:4" x14ac:dyDescent="0.2">
      <c r="A979" t="s">
        <v>1724</v>
      </c>
      <c r="B979" t="s">
        <v>1782</v>
      </c>
      <c r="C979" t="s">
        <v>1783</v>
      </c>
      <c r="D979" t="s">
        <v>1784</v>
      </c>
    </row>
    <row r="980" spans="1:4" x14ac:dyDescent="0.2">
      <c r="A980" t="s">
        <v>1724</v>
      </c>
      <c r="B980" t="s">
        <v>1785</v>
      </c>
      <c r="C980" t="s">
        <v>1786</v>
      </c>
      <c r="D980" t="s">
        <v>1787</v>
      </c>
    </row>
    <row r="981" spans="1:4" x14ac:dyDescent="0.2">
      <c r="A981" t="s">
        <v>1724</v>
      </c>
      <c r="B981" t="s">
        <v>1788</v>
      </c>
      <c r="C981" t="s">
        <v>1789</v>
      </c>
      <c r="D981" t="s">
        <v>1790</v>
      </c>
    </row>
    <row r="982" spans="1:4" x14ac:dyDescent="0.2">
      <c r="A982" t="s">
        <v>1724</v>
      </c>
      <c r="B982" t="s">
        <v>1791</v>
      </c>
      <c r="C982" t="s">
        <v>1792</v>
      </c>
      <c r="D982" t="s">
        <v>1793</v>
      </c>
    </row>
    <row r="983" spans="1:4" x14ac:dyDescent="0.2">
      <c r="A983" t="s">
        <v>1724</v>
      </c>
      <c r="B983" t="s">
        <v>1794</v>
      </c>
      <c r="C983" t="s">
        <v>1795</v>
      </c>
      <c r="D983" t="s">
        <v>1796</v>
      </c>
    </row>
    <row r="984" spans="1:4" x14ac:dyDescent="0.2">
      <c r="A984" t="s">
        <v>1724</v>
      </c>
      <c r="B984" t="s">
        <v>1797</v>
      </c>
      <c r="C984" t="s">
        <v>1798</v>
      </c>
      <c r="D984" t="s">
        <v>1799</v>
      </c>
    </row>
    <row r="985" spans="1:4" x14ac:dyDescent="0.2">
      <c r="A985" t="s">
        <v>1724</v>
      </c>
      <c r="B985" t="s">
        <v>1800</v>
      </c>
      <c r="C985" t="s">
        <v>1801</v>
      </c>
      <c r="D985" t="s">
        <v>1802</v>
      </c>
    </row>
    <row r="986" spans="1:4" x14ac:dyDescent="0.2">
      <c r="A986" t="s">
        <v>1724</v>
      </c>
      <c r="B986" t="s">
        <v>1803</v>
      </c>
      <c r="C986" t="s">
        <v>1804</v>
      </c>
      <c r="D986" t="s">
        <v>1805</v>
      </c>
    </row>
    <row r="987" spans="1:4" x14ac:dyDescent="0.2">
      <c r="A987" t="s">
        <v>1724</v>
      </c>
      <c r="B987" t="s">
        <v>1806</v>
      </c>
      <c r="C987" t="s">
        <v>1807</v>
      </c>
      <c r="D987" t="s">
        <v>1808</v>
      </c>
    </row>
    <row r="988" spans="1:4" x14ac:dyDescent="0.2">
      <c r="A988" t="s">
        <v>1724</v>
      </c>
      <c r="B988" t="s">
        <v>1809</v>
      </c>
      <c r="C988" t="s">
        <v>1810</v>
      </c>
      <c r="D988" t="s">
        <v>1811</v>
      </c>
    </row>
    <row r="989" spans="1:4" x14ac:dyDescent="0.2">
      <c r="A989" t="s">
        <v>1724</v>
      </c>
      <c r="B989" t="s">
        <v>1812</v>
      </c>
      <c r="C989" t="s">
        <v>1813</v>
      </c>
      <c r="D989" t="s">
        <v>1814</v>
      </c>
    </row>
    <row r="990" spans="1:4" x14ac:dyDescent="0.2">
      <c r="A990" t="s">
        <v>1724</v>
      </c>
      <c r="B990" t="s">
        <v>1815</v>
      </c>
      <c r="C990" t="s">
        <v>1816</v>
      </c>
      <c r="D990" t="s">
        <v>1817</v>
      </c>
    </row>
    <row r="991" spans="1:4" x14ac:dyDescent="0.2">
      <c r="A991" t="s">
        <v>1724</v>
      </c>
      <c r="B991" t="s">
        <v>1818</v>
      </c>
      <c r="C991" t="s">
        <v>1819</v>
      </c>
      <c r="D991" t="s">
        <v>1820</v>
      </c>
    </row>
    <row r="992" spans="1:4" x14ac:dyDescent="0.2">
      <c r="A992" t="s">
        <v>1724</v>
      </c>
      <c r="B992" t="s">
        <v>1821</v>
      </c>
      <c r="C992" t="s">
        <v>1822</v>
      </c>
      <c r="D992" t="s">
        <v>1823</v>
      </c>
    </row>
    <row r="993" spans="1:4" x14ac:dyDescent="0.2">
      <c r="A993" t="s">
        <v>1724</v>
      </c>
      <c r="B993" t="s">
        <v>1824</v>
      </c>
      <c r="C993" t="s">
        <v>1825</v>
      </c>
      <c r="D993" t="s">
        <v>1826</v>
      </c>
    </row>
    <row r="994" spans="1:4" x14ac:dyDescent="0.2">
      <c r="A994" t="s">
        <v>1724</v>
      </c>
      <c r="B994" t="s">
        <v>1827</v>
      </c>
      <c r="C994" t="s">
        <v>1828</v>
      </c>
      <c r="D994" t="s">
        <v>1828</v>
      </c>
    </row>
    <row r="995" spans="1:4" x14ac:dyDescent="0.2">
      <c r="A995" t="s">
        <v>1724</v>
      </c>
      <c r="B995" t="s">
        <v>1829</v>
      </c>
      <c r="C995" t="s">
        <v>1830</v>
      </c>
      <c r="D995" t="s">
        <v>1831</v>
      </c>
    </row>
    <row r="996" spans="1:4" x14ac:dyDescent="0.2">
      <c r="A996" t="s">
        <v>1724</v>
      </c>
      <c r="B996" t="s">
        <v>1832</v>
      </c>
      <c r="C996" t="s">
        <v>1833</v>
      </c>
      <c r="D996" t="s">
        <v>1834</v>
      </c>
    </row>
    <row r="997" spans="1:4" x14ac:dyDescent="0.2">
      <c r="A997" t="s">
        <v>1724</v>
      </c>
      <c r="B997" t="s">
        <v>1835</v>
      </c>
      <c r="C997" t="s">
        <v>1836</v>
      </c>
      <c r="D997" t="s">
        <v>1837</v>
      </c>
    </row>
    <row r="998" spans="1:4" x14ac:dyDescent="0.2">
      <c r="A998" t="s">
        <v>1724</v>
      </c>
      <c r="B998" t="s">
        <v>1838</v>
      </c>
      <c r="C998" t="s">
        <v>1839</v>
      </c>
      <c r="D998" t="s">
        <v>1840</v>
      </c>
    </row>
    <row r="999" spans="1:4" x14ac:dyDescent="0.2">
      <c r="A999" t="s">
        <v>1724</v>
      </c>
      <c r="B999" t="s">
        <v>1841</v>
      </c>
      <c r="C999" t="s">
        <v>1842</v>
      </c>
      <c r="D999" t="s">
        <v>1843</v>
      </c>
    </row>
    <row r="1000" spans="1:4" x14ac:dyDescent="0.2">
      <c r="A1000" t="s">
        <v>1724</v>
      </c>
      <c r="B1000" t="s">
        <v>1844</v>
      </c>
      <c r="C1000" t="s">
        <v>1845</v>
      </c>
      <c r="D1000" t="s">
        <v>1846</v>
      </c>
    </row>
    <row r="1001" spans="1:4" x14ac:dyDescent="0.2">
      <c r="A1001" t="s">
        <v>1724</v>
      </c>
      <c r="B1001" t="s">
        <v>1847</v>
      </c>
      <c r="C1001" t="s">
        <v>1848</v>
      </c>
      <c r="D1001" t="s">
        <v>1849</v>
      </c>
    </row>
    <row r="1002" spans="1:4" x14ac:dyDescent="0.2">
      <c r="A1002" t="s">
        <v>1724</v>
      </c>
      <c r="B1002" t="s">
        <v>1850</v>
      </c>
      <c r="C1002" t="s">
        <v>1851</v>
      </c>
      <c r="D1002" t="s">
        <v>1852</v>
      </c>
    </row>
    <row r="1003" spans="1:4" x14ac:dyDescent="0.2">
      <c r="A1003" t="s">
        <v>1724</v>
      </c>
      <c r="B1003" t="s">
        <v>1853</v>
      </c>
      <c r="C1003" t="s">
        <v>1854</v>
      </c>
      <c r="D1003" t="s">
        <v>1855</v>
      </c>
    </row>
    <row r="1004" spans="1:4" x14ac:dyDescent="0.2">
      <c r="A1004" t="s">
        <v>1724</v>
      </c>
      <c r="B1004" t="s">
        <v>1856</v>
      </c>
      <c r="C1004" t="s">
        <v>1857</v>
      </c>
      <c r="D1004" t="s">
        <v>1857</v>
      </c>
    </row>
    <row r="1005" spans="1:4" x14ac:dyDescent="0.2">
      <c r="A1005" t="s">
        <v>1724</v>
      </c>
      <c r="B1005" t="s">
        <v>1858</v>
      </c>
      <c r="C1005" t="s">
        <v>1859</v>
      </c>
      <c r="D1005" t="s">
        <v>1860</v>
      </c>
    </row>
    <row r="1006" spans="1:4" x14ac:dyDescent="0.2">
      <c r="A1006" t="s">
        <v>1724</v>
      </c>
      <c r="B1006" t="s">
        <v>1861</v>
      </c>
      <c r="C1006" t="s">
        <v>1862</v>
      </c>
      <c r="D1006" t="s">
        <v>1863</v>
      </c>
    </row>
    <row r="1007" spans="1:4" x14ac:dyDescent="0.2">
      <c r="A1007" t="s">
        <v>1724</v>
      </c>
      <c r="B1007" t="s">
        <v>1864</v>
      </c>
      <c r="C1007" t="s">
        <v>1865</v>
      </c>
      <c r="D1007" t="s">
        <v>1865</v>
      </c>
    </row>
    <row r="1008" spans="1:4" x14ac:dyDescent="0.2">
      <c r="A1008" t="s">
        <v>1724</v>
      </c>
      <c r="B1008" t="s">
        <v>1866</v>
      </c>
      <c r="C1008" t="s">
        <v>1867</v>
      </c>
      <c r="D1008" t="s">
        <v>1868</v>
      </c>
    </row>
    <row r="1009" spans="1:4" x14ac:dyDescent="0.2">
      <c r="A1009" t="s">
        <v>1724</v>
      </c>
      <c r="B1009" t="s">
        <v>1869</v>
      </c>
      <c r="C1009" t="s">
        <v>1870</v>
      </c>
      <c r="D1009" t="s">
        <v>1871</v>
      </c>
    </row>
    <row r="1010" spans="1:4" x14ac:dyDescent="0.2">
      <c r="A1010" t="s">
        <v>1724</v>
      </c>
      <c r="B1010" t="s">
        <v>1872</v>
      </c>
      <c r="C1010" t="s">
        <v>1873</v>
      </c>
      <c r="D1010" t="s">
        <v>1874</v>
      </c>
    </row>
    <row r="1011" spans="1:4" x14ac:dyDescent="0.2">
      <c r="A1011" t="s">
        <v>1724</v>
      </c>
      <c r="B1011" t="s">
        <v>1875</v>
      </c>
      <c r="C1011" t="s">
        <v>1876</v>
      </c>
      <c r="D1011" t="s">
        <v>1877</v>
      </c>
    </row>
    <row r="1012" spans="1:4" x14ac:dyDescent="0.2">
      <c r="A1012" t="s">
        <v>1724</v>
      </c>
      <c r="B1012" t="s">
        <v>1878</v>
      </c>
      <c r="C1012" t="s">
        <v>1879</v>
      </c>
      <c r="D1012" t="s">
        <v>1880</v>
      </c>
    </row>
    <row r="1013" spans="1:4" x14ac:dyDescent="0.2">
      <c r="A1013" t="s">
        <v>1724</v>
      </c>
      <c r="B1013" t="s">
        <v>1881</v>
      </c>
      <c r="C1013" t="s">
        <v>1882</v>
      </c>
      <c r="D1013" t="s">
        <v>1883</v>
      </c>
    </row>
    <row r="1014" spans="1:4" x14ac:dyDescent="0.2">
      <c r="A1014" t="s">
        <v>1724</v>
      </c>
      <c r="B1014" t="s">
        <v>1884</v>
      </c>
      <c r="C1014" t="s">
        <v>1885</v>
      </c>
      <c r="D1014" t="s">
        <v>1886</v>
      </c>
    </row>
    <row r="1015" spans="1:4" x14ac:dyDescent="0.2">
      <c r="A1015" t="s">
        <v>1724</v>
      </c>
      <c r="B1015" t="s">
        <v>1887</v>
      </c>
      <c r="C1015" t="s">
        <v>1888</v>
      </c>
      <c r="D1015" t="s">
        <v>1888</v>
      </c>
    </row>
    <row r="1016" spans="1:4" x14ac:dyDescent="0.2">
      <c r="A1016" t="s">
        <v>1724</v>
      </c>
      <c r="B1016" t="s">
        <v>1889</v>
      </c>
      <c r="C1016" t="s">
        <v>1890</v>
      </c>
      <c r="D1016" t="s">
        <v>1891</v>
      </c>
    </row>
    <row r="1017" spans="1:4" x14ac:dyDescent="0.2">
      <c r="A1017" t="s">
        <v>1724</v>
      </c>
      <c r="B1017" t="s">
        <v>1892</v>
      </c>
      <c r="C1017" t="s">
        <v>1893</v>
      </c>
      <c r="D1017" t="s">
        <v>1894</v>
      </c>
    </row>
    <row r="1018" spans="1:4" x14ac:dyDescent="0.2">
      <c r="A1018" t="s">
        <v>1724</v>
      </c>
      <c r="B1018" t="s">
        <v>1895</v>
      </c>
      <c r="C1018" t="s">
        <v>1896</v>
      </c>
      <c r="D1018" t="s">
        <v>1897</v>
      </c>
    </row>
    <row r="1019" spans="1:4" x14ac:dyDescent="0.2">
      <c r="A1019" t="s">
        <v>1724</v>
      </c>
      <c r="B1019" t="s">
        <v>1898</v>
      </c>
      <c r="C1019" t="s">
        <v>1899</v>
      </c>
      <c r="D1019" t="s">
        <v>1900</v>
      </c>
    </row>
    <row r="1020" spans="1:4" x14ac:dyDescent="0.2">
      <c r="A1020" t="s">
        <v>1724</v>
      </c>
      <c r="B1020" t="s">
        <v>1901</v>
      </c>
      <c r="C1020" t="s">
        <v>1902</v>
      </c>
      <c r="D1020" t="s">
        <v>1903</v>
      </c>
    </row>
    <row r="1021" spans="1:4" x14ac:dyDescent="0.2">
      <c r="A1021" t="s">
        <v>1724</v>
      </c>
      <c r="B1021" t="s">
        <v>1904</v>
      </c>
      <c r="C1021" t="s">
        <v>1905</v>
      </c>
      <c r="D1021" t="s">
        <v>1906</v>
      </c>
    </row>
    <row r="1022" spans="1:4" x14ac:dyDescent="0.2">
      <c r="A1022" t="s">
        <v>1724</v>
      </c>
      <c r="B1022" t="s">
        <v>1907</v>
      </c>
      <c r="C1022" t="s">
        <v>1908</v>
      </c>
      <c r="D1022" t="s">
        <v>1909</v>
      </c>
    </row>
    <row r="1023" spans="1:4" x14ac:dyDescent="0.2">
      <c r="A1023" t="s">
        <v>1724</v>
      </c>
      <c r="B1023" t="s">
        <v>1910</v>
      </c>
      <c r="C1023" t="s">
        <v>1911</v>
      </c>
      <c r="D1023" t="s">
        <v>1912</v>
      </c>
    </row>
    <row r="1024" spans="1:4" x14ac:dyDescent="0.2">
      <c r="A1024" t="s">
        <v>1724</v>
      </c>
      <c r="B1024" t="s">
        <v>1913</v>
      </c>
      <c r="C1024" t="s">
        <v>1914</v>
      </c>
      <c r="D1024" t="s">
        <v>1915</v>
      </c>
    </row>
    <row r="1025" spans="1:4" x14ac:dyDescent="0.2">
      <c r="A1025" t="s">
        <v>1724</v>
      </c>
      <c r="B1025" t="s">
        <v>1916</v>
      </c>
      <c r="C1025" t="s">
        <v>1917</v>
      </c>
      <c r="D1025" t="s">
        <v>1918</v>
      </c>
    </row>
    <row r="1026" spans="1:4" x14ac:dyDescent="0.2">
      <c r="A1026" t="s">
        <v>1724</v>
      </c>
      <c r="B1026" t="s">
        <v>1919</v>
      </c>
      <c r="C1026" t="s">
        <v>1920</v>
      </c>
      <c r="D1026" t="s">
        <v>1921</v>
      </c>
    </row>
    <row r="1027" spans="1:4" x14ac:dyDescent="0.2">
      <c r="A1027" t="s">
        <v>1724</v>
      </c>
      <c r="B1027" t="s">
        <v>1922</v>
      </c>
      <c r="C1027" t="s">
        <v>1923</v>
      </c>
      <c r="D1027" t="s">
        <v>1924</v>
      </c>
    </row>
    <row r="1028" spans="1:4" x14ac:dyDescent="0.2">
      <c r="A1028" t="s">
        <v>1724</v>
      </c>
      <c r="B1028" t="s">
        <v>1925</v>
      </c>
      <c r="C1028" t="s">
        <v>1926</v>
      </c>
      <c r="D1028" t="s">
        <v>1927</v>
      </c>
    </row>
    <row r="1029" spans="1:4" x14ac:dyDescent="0.2">
      <c r="A1029" t="s">
        <v>1724</v>
      </c>
      <c r="B1029" t="s">
        <v>1928</v>
      </c>
      <c r="C1029" t="s">
        <v>1929</v>
      </c>
      <c r="D1029" t="s">
        <v>1930</v>
      </c>
    </row>
    <row r="1030" spans="1:4" x14ac:dyDescent="0.2">
      <c r="A1030" t="s">
        <v>1724</v>
      </c>
      <c r="B1030" t="s">
        <v>1931</v>
      </c>
      <c r="C1030" t="s">
        <v>1932</v>
      </c>
      <c r="D1030" t="s">
        <v>1933</v>
      </c>
    </row>
    <row r="1031" spans="1:4" x14ac:dyDescent="0.2">
      <c r="A1031" t="s">
        <v>1724</v>
      </c>
      <c r="B1031" t="s">
        <v>1934</v>
      </c>
      <c r="C1031" t="s">
        <v>1935</v>
      </c>
      <c r="D1031" t="s">
        <v>1936</v>
      </c>
    </row>
    <row r="1032" spans="1:4" x14ac:dyDescent="0.2">
      <c r="A1032" t="s">
        <v>1724</v>
      </c>
      <c r="B1032" t="s">
        <v>1937</v>
      </c>
      <c r="C1032" t="s">
        <v>1938</v>
      </c>
      <c r="D1032" t="s">
        <v>1939</v>
      </c>
    </row>
    <row r="1033" spans="1:4" x14ac:dyDescent="0.2">
      <c r="A1033" t="s">
        <v>1724</v>
      </c>
      <c r="B1033" t="s">
        <v>1940</v>
      </c>
      <c r="C1033" t="s">
        <v>1941</v>
      </c>
      <c r="D1033" t="s">
        <v>1942</v>
      </c>
    </row>
    <row r="1034" spans="1:4" x14ac:dyDescent="0.2">
      <c r="A1034" t="s">
        <v>1724</v>
      </c>
      <c r="B1034" t="s">
        <v>1943</v>
      </c>
      <c r="C1034" t="s">
        <v>1944</v>
      </c>
      <c r="D1034" t="s">
        <v>1945</v>
      </c>
    </row>
    <row r="1035" spans="1:4" x14ac:dyDescent="0.2">
      <c r="A1035" t="s">
        <v>1724</v>
      </c>
      <c r="B1035" t="s">
        <v>1946</v>
      </c>
      <c r="C1035" t="s">
        <v>1947</v>
      </c>
      <c r="D1035" t="s">
        <v>1948</v>
      </c>
    </row>
    <row r="1036" spans="1:4" x14ac:dyDescent="0.2">
      <c r="A1036" t="s">
        <v>1724</v>
      </c>
      <c r="B1036" t="s">
        <v>1949</v>
      </c>
      <c r="C1036" t="s">
        <v>1950</v>
      </c>
      <c r="D1036" t="s">
        <v>1951</v>
      </c>
    </row>
    <row r="1037" spans="1:4" x14ac:dyDescent="0.2">
      <c r="A1037" t="s">
        <v>1724</v>
      </c>
      <c r="B1037" t="s">
        <v>1952</v>
      </c>
      <c r="C1037" t="s">
        <v>1953</v>
      </c>
      <c r="D1037" t="s">
        <v>1954</v>
      </c>
    </row>
    <row r="1038" spans="1:4" x14ac:dyDescent="0.2">
      <c r="A1038" t="s">
        <v>1724</v>
      </c>
      <c r="B1038" t="s">
        <v>1955</v>
      </c>
      <c r="C1038" t="s">
        <v>1956</v>
      </c>
      <c r="D1038" t="s">
        <v>1957</v>
      </c>
    </row>
    <row r="1039" spans="1:4" x14ac:dyDescent="0.2">
      <c r="A1039" t="s">
        <v>1724</v>
      </c>
      <c r="B1039" t="s">
        <v>1958</v>
      </c>
      <c r="C1039" t="s">
        <v>1959</v>
      </c>
      <c r="D1039" t="s">
        <v>1960</v>
      </c>
    </row>
    <row r="1040" spans="1:4" x14ac:dyDescent="0.2">
      <c r="A1040" t="s">
        <v>1724</v>
      </c>
      <c r="B1040" t="s">
        <v>1961</v>
      </c>
      <c r="C1040" t="s">
        <v>1962</v>
      </c>
      <c r="D1040" t="s">
        <v>1963</v>
      </c>
    </row>
    <row r="1041" spans="1:4" x14ac:dyDescent="0.2">
      <c r="A1041" t="s">
        <v>1724</v>
      </c>
      <c r="B1041" t="s">
        <v>1964</v>
      </c>
      <c r="C1041" t="s">
        <v>1965</v>
      </c>
      <c r="D1041" t="s">
        <v>1966</v>
      </c>
    </row>
    <row r="1042" spans="1:4" x14ac:dyDescent="0.2">
      <c r="A1042" t="s">
        <v>1724</v>
      </c>
      <c r="B1042" t="s">
        <v>1967</v>
      </c>
      <c r="C1042" t="s">
        <v>1968</v>
      </c>
      <c r="D1042" t="s">
        <v>1969</v>
      </c>
    </row>
    <row r="1043" spans="1:4" x14ac:dyDescent="0.2">
      <c r="A1043" t="s">
        <v>1724</v>
      </c>
      <c r="B1043" t="s">
        <v>1970</v>
      </c>
      <c r="C1043" t="s">
        <v>1971</v>
      </c>
      <c r="D1043" t="s">
        <v>1972</v>
      </c>
    </row>
    <row r="1044" spans="1:4" x14ac:dyDescent="0.2">
      <c r="A1044" t="s">
        <v>1724</v>
      </c>
      <c r="B1044" t="s">
        <v>1973</v>
      </c>
      <c r="C1044" t="s">
        <v>1974</v>
      </c>
      <c r="D1044" t="s">
        <v>1975</v>
      </c>
    </row>
    <row r="1045" spans="1:4" x14ac:dyDescent="0.2">
      <c r="A1045" t="s">
        <v>1724</v>
      </c>
      <c r="B1045" t="s">
        <v>1976</v>
      </c>
      <c r="C1045" t="s">
        <v>1977</v>
      </c>
      <c r="D1045" t="s">
        <v>1977</v>
      </c>
    </row>
    <row r="1046" spans="1:4" x14ac:dyDescent="0.2">
      <c r="A1046" t="s">
        <v>1724</v>
      </c>
      <c r="B1046" t="s">
        <v>1978</v>
      </c>
      <c r="C1046" t="s">
        <v>1979</v>
      </c>
      <c r="D1046" t="s">
        <v>1980</v>
      </c>
    </row>
    <row r="1047" spans="1:4" x14ac:dyDescent="0.2">
      <c r="A1047" t="s">
        <v>1724</v>
      </c>
      <c r="B1047" t="s">
        <v>1981</v>
      </c>
      <c r="C1047" t="s">
        <v>1982</v>
      </c>
      <c r="D1047" t="s">
        <v>1983</v>
      </c>
    </row>
    <row r="1048" spans="1:4" x14ac:dyDescent="0.2">
      <c r="A1048" t="s">
        <v>1724</v>
      </c>
      <c r="B1048" t="s">
        <v>1984</v>
      </c>
      <c r="C1048" t="s">
        <v>1985</v>
      </c>
      <c r="D1048" t="s">
        <v>1985</v>
      </c>
    </row>
    <row r="1049" spans="1:4" x14ac:dyDescent="0.2">
      <c r="A1049" t="s">
        <v>1724</v>
      </c>
      <c r="B1049" t="s">
        <v>1986</v>
      </c>
      <c r="C1049" t="s">
        <v>1987</v>
      </c>
      <c r="D1049" t="s">
        <v>1988</v>
      </c>
    </row>
    <row r="1050" spans="1:4" x14ac:dyDescent="0.2">
      <c r="A1050" t="s">
        <v>1724</v>
      </c>
      <c r="B1050" t="s">
        <v>1989</v>
      </c>
      <c r="C1050" t="s">
        <v>1990</v>
      </c>
      <c r="D1050" t="s">
        <v>1991</v>
      </c>
    </row>
    <row r="1051" spans="1:4" x14ac:dyDescent="0.2">
      <c r="A1051" t="s">
        <v>1724</v>
      </c>
      <c r="B1051" t="s">
        <v>1992</v>
      </c>
      <c r="C1051" t="s">
        <v>1993</v>
      </c>
      <c r="D1051" t="s">
        <v>1994</v>
      </c>
    </row>
    <row r="1052" spans="1:4" x14ac:dyDescent="0.2">
      <c r="A1052" t="s">
        <v>1724</v>
      </c>
      <c r="B1052" t="s">
        <v>1995</v>
      </c>
      <c r="C1052" t="s">
        <v>1996</v>
      </c>
      <c r="D1052" t="s">
        <v>1997</v>
      </c>
    </row>
    <row r="1054" spans="1:4" x14ac:dyDescent="0.2">
      <c r="A1054" t="s">
        <v>1998</v>
      </c>
      <c r="B1054" t="s">
        <v>1725</v>
      </c>
      <c r="C1054" t="s">
        <v>1726</v>
      </c>
      <c r="D1054" t="s">
        <v>1727</v>
      </c>
    </row>
    <row r="1055" spans="1:4" x14ac:dyDescent="0.2">
      <c r="A1055" t="s">
        <v>1998</v>
      </c>
      <c r="B1055" t="s">
        <v>1728</v>
      </c>
      <c r="C1055" t="s">
        <v>1729</v>
      </c>
      <c r="D1055" t="s">
        <v>1730</v>
      </c>
    </row>
    <row r="1056" spans="1:4" x14ac:dyDescent="0.2">
      <c r="A1056" t="s">
        <v>1998</v>
      </c>
      <c r="B1056" t="s">
        <v>1731</v>
      </c>
      <c r="C1056" t="s">
        <v>1732</v>
      </c>
      <c r="D1056" t="s">
        <v>1733</v>
      </c>
    </row>
    <row r="1057" spans="1:4" x14ac:dyDescent="0.2">
      <c r="A1057" t="s">
        <v>1998</v>
      </c>
      <c r="B1057" t="s">
        <v>1734</v>
      </c>
      <c r="C1057" t="s">
        <v>1735</v>
      </c>
      <c r="D1057" t="s">
        <v>1736</v>
      </c>
    </row>
    <row r="1058" spans="1:4" x14ac:dyDescent="0.2">
      <c r="A1058" t="s">
        <v>1998</v>
      </c>
      <c r="B1058" t="s">
        <v>1737</v>
      </c>
      <c r="C1058" t="s">
        <v>1738</v>
      </c>
      <c r="D1058" t="s">
        <v>1739</v>
      </c>
    </row>
    <row r="1059" spans="1:4" x14ac:dyDescent="0.2">
      <c r="A1059" t="s">
        <v>1998</v>
      </c>
      <c r="B1059" t="s">
        <v>1740</v>
      </c>
      <c r="C1059" t="s">
        <v>1741</v>
      </c>
      <c r="D1059" t="s">
        <v>1742</v>
      </c>
    </row>
    <row r="1060" spans="1:4" x14ac:dyDescent="0.2">
      <c r="A1060" t="s">
        <v>1998</v>
      </c>
      <c r="B1060" t="s">
        <v>1743</v>
      </c>
      <c r="C1060" t="s">
        <v>1744</v>
      </c>
      <c r="D1060" t="s">
        <v>1745</v>
      </c>
    </row>
    <row r="1061" spans="1:4" x14ac:dyDescent="0.2">
      <c r="A1061" t="s">
        <v>1998</v>
      </c>
      <c r="B1061" t="s">
        <v>1746</v>
      </c>
      <c r="C1061" t="s">
        <v>1747</v>
      </c>
      <c r="D1061" t="s">
        <v>1748</v>
      </c>
    </row>
    <row r="1062" spans="1:4" x14ac:dyDescent="0.2">
      <c r="A1062" t="s">
        <v>1998</v>
      </c>
      <c r="B1062" t="s">
        <v>1749</v>
      </c>
      <c r="C1062" t="s">
        <v>1750</v>
      </c>
      <c r="D1062" t="s">
        <v>1751</v>
      </c>
    </row>
    <row r="1063" spans="1:4" x14ac:dyDescent="0.2">
      <c r="A1063" t="s">
        <v>1998</v>
      </c>
      <c r="B1063" t="s">
        <v>1752</v>
      </c>
      <c r="C1063" t="s">
        <v>1753</v>
      </c>
      <c r="D1063" t="s">
        <v>1754</v>
      </c>
    </row>
    <row r="1064" spans="1:4" x14ac:dyDescent="0.2">
      <c r="A1064" t="s">
        <v>1998</v>
      </c>
      <c r="B1064" t="s">
        <v>1755</v>
      </c>
      <c r="C1064" t="s">
        <v>1756</v>
      </c>
      <c r="D1064" t="s">
        <v>1757</v>
      </c>
    </row>
    <row r="1065" spans="1:4" x14ac:dyDescent="0.2">
      <c r="A1065" t="s">
        <v>1998</v>
      </c>
      <c r="B1065" t="s">
        <v>1758</v>
      </c>
      <c r="C1065" t="s">
        <v>1759</v>
      </c>
      <c r="D1065" t="s">
        <v>1760</v>
      </c>
    </row>
    <row r="1066" spans="1:4" x14ac:dyDescent="0.2">
      <c r="A1066" t="s">
        <v>1998</v>
      </c>
      <c r="B1066" t="s">
        <v>1761</v>
      </c>
      <c r="C1066" t="s">
        <v>1762</v>
      </c>
      <c r="D1066" t="s">
        <v>1763</v>
      </c>
    </row>
    <row r="1067" spans="1:4" x14ac:dyDescent="0.2">
      <c r="A1067" t="s">
        <v>1998</v>
      </c>
      <c r="B1067" t="s">
        <v>1764</v>
      </c>
      <c r="C1067" t="s">
        <v>1765</v>
      </c>
      <c r="D1067" t="s">
        <v>1766</v>
      </c>
    </row>
    <row r="1068" spans="1:4" x14ac:dyDescent="0.2">
      <c r="A1068" t="s">
        <v>1998</v>
      </c>
      <c r="B1068" t="s">
        <v>1767</v>
      </c>
      <c r="C1068" t="s">
        <v>1768</v>
      </c>
      <c r="D1068" t="s">
        <v>1769</v>
      </c>
    </row>
    <row r="1069" spans="1:4" x14ac:dyDescent="0.2">
      <c r="A1069" t="s">
        <v>1998</v>
      </c>
      <c r="B1069" t="s">
        <v>1770</v>
      </c>
      <c r="C1069" t="s">
        <v>1771</v>
      </c>
      <c r="D1069" t="s">
        <v>1772</v>
      </c>
    </row>
    <row r="1070" spans="1:4" x14ac:dyDescent="0.2">
      <c r="A1070" t="s">
        <v>1998</v>
      </c>
      <c r="B1070" t="s">
        <v>1773</v>
      </c>
      <c r="C1070" t="s">
        <v>1774</v>
      </c>
      <c r="D1070" t="s">
        <v>1775</v>
      </c>
    </row>
    <row r="1071" spans="1:4" x14ac:dyDescent="0.2">
      <c r="A1071" t="s">
        <v>1998</v>
      </c>
      <c r="B1071" t="s">
        <v>1776</v>
      </c>
      <c r="C1071" t="s">
        <v>1777</v>
      </c>
      <c r="D1071" t="s">
        <v>1778</v>
      </c>
    </row>
    <row r="1072" spans="1:4" x14ac:dyDescent="0.2">
      <c r="A1072" t="s">
        <v>1998</v>
      </c>
      <c r="B1072" t="s">
        <v>1779</v>
      </c>
      <c r="C1072" t="s">
        <v>1780</v>
      </c>
      <c r="D1072" t="s">
        <v>1781</v>
      </c>
    </row>
    <row r="1073" spans="1:4" x14ac:dyDescent="0.2">
      <c r="A1073" t="s">
        <v>1998</v>
      </c>
      <c r="B1073" t="s">
        <v>1782</v>
      </c>
      <c r="C1073" t="s">
        <v>1783</v>
      </c>
      <c r="D1073" t="s">
        <v>1784</v>
      </c>
    </row>
    <row r="1074" spans="1:4" x14ac:dyDescent="0.2">
      <c r="A1074" t="s">
        <v>1998</v>
      </c>
      <c r="B1074" t="s">
        <v>1785</v>
      </c>
      <c r="C1074" t="s">
        <v>1786</v>
      </c>
      <c r="D1074" t="s">
        <v>1787</v>
      </c>
    </row>
    <row r="1075" spans="1:4" x14ac:dyDescent="0.2">
      <c r="A1075" t="s">
        <v>1998</v>
      </c>
      <c r="B1075" t="s">
        <v>1788</v>
      </c>
      <c r="C1075" t="s">
        <v>1789</v>
      </c>
      <c r="D1075" t="s">
        <v>1790</v>
      </c>
    </row>
    <row r="1076" spans="1:4" x14ac:dyDescent="0.2">
      <c r="A1076" t="s">
        <v>1998</v>
      </c>
      <c r="B1076" t="s">
        <v>1791</v>
      </c>
      <c r="C1076" t="s">
        <v>1792</v>
      </c>
      <c r="D1076" t="s">
        <v>1793</v>
      </c>
    </row>
    <row r="1077" spans="1:4" x14ac:dyDescent="0.2">
      <c r="A1077" t="s">
        <v>1998</v>
      </c>
      <c r="B1077" t="s">
        <v>1794</v>
      </c>
      <c r="C1077" t="s">
        <v>1795</v>
      </c>
      <c r="D1077" t="s">
        <v>1796</v>
      </c>
    </row>
    <row r="1078" spans="1:4" x14ac:dyDescent="0.2">
      <c r="A1078" t="s">
        <v>1998</v>
      </c>
      <c r="B1078" t="s">
        <v>1797</v>
      </c>
      <c r="C1078" t="s">
        <v>1798</v>
      </c>
      <c r="D1078" t="s">
        <v>1799</v>
      </c>
    </row>
    <row r="1079" spans="1:4" x14ac:dyDescent="0.2">
      <c r="A1079" t="s">
        <v>1998</v>
      </c>
      <c r="B1079" t="s">
        <v>1800</v>
      </c>
      <c r="C1079" t="s">
        <v>1801</v>
      </c>
      <c r="D1079" t="s">
        <v>1802</v>
      </c>
    </row>
    <row r="1080" spans="1:4" x14ac:dyDescent="0.2">
      <c r="A1080" t="s">
        <v>1998</v>
      </c>
      <c r="B1080" t="s">
        <v>1803</v>
      </c>
      <c r="C1080" t="s">
        <v>1804</v>
      </c>
      <c r="D1080" t="s">
        <v>1805</v>
      </c>
    </row>
    <row r="1081" spans="1:4" x14ac:dyDescent="0.2">
      <c r="A1081" t="s">
        <v>1998</v>
      </c>
      <c r="B1081" t="s">
        <v>1806</v>
      </c>
      <c r="C1081" t="s">
        <v>1807</v>
      </c>
      <c r="D1081" t="s">
        <v>1808</v>
      </c>
    </row>
    <row r="1082" spans="1:4" x14ac:dyDescent="0.2">
      <c r="A1082" t="s">
        <v>1998</v>
      </c>
      <c r="B1082" t="s">
        <v>1809</v>
      </c>
      <c r="C1082" t="s">
        <v>1810</v>
      </c>
      <c r="D1082" t="s">
        <v>1811</v>
      </c>
    </row>
    <row r="1083" spans="1:4" x14ac:dyDescent="0.2">
      <c r="A1083" t="s">
        <v>1998</v>
      </c>
      <c r="B1083" t="s">
        <v>1812</v>
      </c>
      <c r="C1083" t="s">
        <v>1813</v>
      </c>
      <c r="D1083" t="s">
        <v>1814</v>
      </c>
    </row>
    <row r="1084" spans="1:4" x14ac:dyDescent="0.2">
      <c r="A1084" t="s">
        <v>1998</v>
      </c>
      <c r="B1084" t="s">
        <v>1815</v>
      </c>
      <c r="C1084" t="s">
        <v>1816</v>
      </c>
      <c r="D1084" t="s">
        <v>1817</v>
      </c>
    </row>
    <row r="1085" spans="1:4" x14ac:dyDescent="0.2">
      <c r="A1085" t="s">
        <v>1998</v>
      </c>
      <c r="B1085" t="s">
        <v>1818</v>
      </c>
      <c r="C1085" t="s">
        <v>1819</v>
      </c>
      <c r="D1085" t="s">
        <v>1820</v>
      </c>
    </row>
    <row r="1086" spans="1:4" x14ac:dyDescent="0.2">
      <c r="A1086" t="s">
        <v>1998</v>
      </c>
      <c r="B1086" t="s">
        <v>1821</v>
      </c>
      <c r="C1086" t="s">
        <v>1822</v>
      </c>
      <c r="D1086" t="s">
        <v>1823</v>
      </c>
    </row>
    <row r="1087" spans="1:4" x14ac:dyDescent="0.2">
      <c r="A1087" t="s">
        <v>1998</v>
      </c>
      <c r="B1087" t="s">
        <v>1824</v>
      </c>
      <c r="C1087" t="s">
        <v>1825</v>
      </c>
      <c r="D1087" t="s">
        <v>1826</v>
      </c>
    </row>
    <row r="1088" spans="1:4" x14ac:dyDescent="0.2">
      <c r="A1088" t="s">
        <v>1998</v>
      </c>
      <c r="B1088" t="s">
        <v>1827</v>
      </c>
      <c r="C1088" t="s">
        <v>1828</v>
      </c>
      <c r="D1088" t="s">
        <v>1828</v>
      </c>
    </row>
    <row r="1089" spans="1:4" x14ac:dyDescent="0.2">
      <c r="A1089" t="s">
        <v>1998</v>
      </c>
      <c r="B1089" t="s">
        <v>1829</v>
      </c>
      <c r="C1089" t="s">
        <v>1830</v>
      </c>
      <c r="D1089" t="s">
        <v>1831</v>
      </c>
    </row>
    <row r="1090" spans="1:4" x14ac:dyDescent="0.2">
      <c r="A1090" t="s">
        <v>1998</v>
      </c>
      <c r="B1090" t="s">
        <v>1832</v>
      </c>
      <c r="C1090" t="s">
        <v>1833</v>
      </c>
      <c r="D1090" t="s">
        <v>1834</v>
      </c>
    </row>
    <row r="1091" spans="1:4" x14ac:dyDescent="0.2">
      <c r="A1091" t="s">
        <v>1998</v>
      </c>
      <c r="B1091" t="s">
        <v>1835</v>
      </c>
      <c r="C1091" t="s">
        <v>1836</v>
      </c>
      <c r="D1091" t="s">
        <v>1837</v>
      </c>
    </row>
    <row r="1092" spans="1:4" x14ac:dyDescent="0.2">
      <c r="A1092" t="s">
        <v>1998</v>
      </c>
      <c r="B1092" t="s">
        <v>1838</v>
      </c>
      <c r="C1092" t="s">
        <v>1839</v>
      </c>
      <c r="D1092" t="s">
        <v>1840</v>
      </c>
    </row>
    <row r="1093" spans="1:4" x14ac:dyDescent="0.2">
      <c r="A1093" t="s">
        <v>1998</v>
      </c>
      <c r="B1093" t="s">
        <v>1841</v>
      </c>
      <c r="C1093" t="s">
        <v>1842</v>
      </c>
      <c r="D1093" t="s">
        <v>1843</v>
      </c>
    </row>
    <row r="1094" spans="1:4" x14ac:dyDescent="0.2">
      <c r="A1094" t="s">
        <v>1998</v>
      </c>
      <c r="B1094" t="s">
        <v>1844</v>
      </c>
      <c r="C1094" t="s">
        <v>1845</v>
      </c>
      <c r="D1094" t="s">
        <v>1846</v>
      </c>
    </row>
    <row r="1095" spans="1:4" x14ac:dyDescent="0.2">
      <c r="A1095" t="s">
        <v>1998</v>
      </c>
      <c r="B1095" t="s">
        <v>1847</v>
      </c>
      <c r="C1095" t="s">
        <v>1848</v>
      </c>
      <c r="D1095" t="s">
        <v>1849</v>
      </c>
    </row>
    <row r="1096" spans="1:4" x14ac:dyDescent="0.2">
      <c r="A1096" t="s">
        <v>1998</v>
      </c>
      <c r="B1096" t="s">
        <v>1850</v>
      </c>
      <c r="C1096" t="s">
        <v>1851</v>
      </c>
      <c r="D1096" t="s">
        <v>1852</v>
      </c>
    </row>
    <row r="1097" spans="1:4" x14ac:dyDescent="0.2">
      <c r="A1097" t="s">
        <v>1998</v>
      </c>
      <c r="B1097" t="s">
        <v>1853</v>
      </c>
      <c r="C1097" t="s">
        <v>1854</v>
      </c>
      <c r="D1097" t="s">
        <v>1855</v>
      </c>
    </row>
    <row r="1098" spans="1:4" x14ac:dyDescent="0.2">
      <c r="A1098" t="s">
        <v>1998</v>
      </c>
      <c r="B1098" t="s">
        <v>1856</v>
      </c>
      <c r="C1098" t="s">
        <v>1857</v>
      </c>
      <c r="D1098" t="s">
        <v>1857</v>
      </c>
    </row>
    <row r="1099" spans="1:4" x14ac:dyDescent="0.2">
      <c r="A1099" t="s">
        <v>1998</v>
      </c>
      <c r="B1099" t="s">
        <v>1858</v>
      </c>
      <c r="C1099" t="s">
        <v>1859</v>
      </c>
      <c r="D1099" t="s">
        <v>1860</v>
      </c>
    </row>
    <row r="1100" spans="1:4" x14ac:dyDescent="0.2">
      <c r="A1100" t="s">
        <v>1998</v>
      </c>
      <c r="B1100" t="s">
        <v>1861</v>
      </c>
      <c r="C1100" t="s">
        <v>1862</v>
      </c>
      <c r="D1100" t="s">
        <v>1863</v>
      </c>
    </row>
    <row r="1101" spans="1:4" x14ac:dyDescent="0.2">
      <c r="A1101" t="s">
        <v>1998</v>
      </c>
      <c r="B1101" t="s">
        <v>1864</v>
      </c>
      <c r="C1101" t="s">
        <v>1865</v>
      </c>
      <c r="D1101" t="s">
        <v>1865</v>
      </c>
    </row>
    <row r="1102" spans="1:4" x14ac:dyDescent="0.2">
      <c r="A1102" t="s">
        <v>1998</v>
      </c>
      <c r="B1102" t="s">
        <v>1866</v>
      </c>
      <c r="C1102" t="s">
        <v>1867</v>
      </c>
      <c r="D1102" t="s">
        <v>1868</v>
      </c>
    </row>
    <row r="1103" spans="1:4" x14ac:dyDescent="0.2">
      <c r="A1103" t="s">
        <v>1998</v>
      </c>
      <c r="B1103" t="s">
        <v>1869</v>
      </c>
      <c r="C1103" t="s">
        <v>1870</v>
      </c>
      <c r="D1103" t="s">
        <v>1871</v>
      </c>
    </row>
    <row r="1104" spans="1:4" x14ac:dyDescent="0.2">
      <c r="A1104" t="s">
        <v>1998</v>
      </c>
      <c r="B1104" t="s">
        <v>1872</v>
      </c>
      <c r="C1104" t="s">
        <v>1873</v>
      </c>
      <c r="D1104" t="s">
        <v>1874</v>
      </c>
    </row>
    <row r="1105" spans="1:4" x14ac:dyDescent="0.2">
      <c r="A1105" t="s">
        <v>1998</v>
      </c>
      <c r="B1105" t="s">
        <v>1875</v>
      </c>
      <c r="C1105" t="s">
        <v>1876</v>
      </c>
      <c r="D1105" t="s">
        <v>1877</v>
      </c>
    </row>
    <row r="1106" spans="1:4" x14ac:dyDescent="0.2">
      <c r="A1106" t="s">
        <v>1998</v>
      </c>
      <c r="B1106" t="s">
        <v>1878</v>
      </c>
      <c r="C1106" t="s">
        <v>1879</v>
      </c>
      <c r="D1106" t="s">
        <v>1880</v>
      </c>
    </row>
    <row r="1107" spans="1:4" x14ac:dyDescent="0.2">
      <c r="A1107" t="s">
        <v>1998</v>
      </c>
      <c r="B1107" t="s">
        <v>1881</v>
      </c>
      <c r="C1107" t="s">
        <v>1882</v>
      </c>
      <c r="D1107" t="s">
        <v>1883</v>
      </c>
    </row>
    <row r="1108" spans="1:4" x14ac:dyDescent="0.2">
      <c r="A1108" t="s">
        <v>1998</v>
      </c>
      <c r="B1108" t="s">
        <v>1884</v>
      </c>
      <c r="C1108" t="s">
        <v>1885</v>
      </c>
      <c r="D1108" t="s">
        <v>1886</v>
      </c>
    </row>
    <row r="1109" spans="1:4" x14ac:dyDescent="0.2">
      <c r="A1109" t="s">
        <v>1998</v>
      </c>
      <c r="B1109" t="s">
        <v>1887</v>
      </c>
      <c r="C1109" t="s">
        <v>1888</v>
      </c>
      <c r="D1109" t="s">
        <v>1888</v>
      </c>
    </row>
    <row r="1110" spans="1:4" x14ac:dyDescent="0.2">
      <c r="A1110" t="s">
        <v>1998</v>
      </c>
      <c r="B1110" t="s">
        <v>1889</v>
      </c>
      <c r="C1110" t="s">
        <v>1890</v>
      </c>
      <c r="D1110" t="s">
        <v>1891</v>
      </c>
    </row>
    <row r="1111" spans="1:4" x14ac:dyDescent="0.2">
      <c r="A1111" t="s">
        <v>1998</v>
      </c>
      <c r="B1111" t="s">
        <v>1892</v>
      </c>
      <c r="C1111" t="s">
        <v>1893</v>
      </c>
      <c r="D1111" t="s">
        <v>1894</v>
      </c>
    </row>
    <row r="1112" spans="1:4" x14ac:dyDescent="0.2">
      <c r="A1112" t="s">
        <v>1998</v>
      </c>
      <c r="B1112" t="s">
        <v>1895</v>
      </c>
      <c r="C1112" t="s">
        <v>1896</v>
      </c>
      <c r="D1112" t="s">
        <v>1897</v>
      </c>
    </row>
    <row r="1113" spans="1:4" x14ac:dyDescent="0.2">
      <c r="A1113" t="s">
        <v>1998</v>
      </c>
      <c r="B1113" t="s">
        <v>1898</v>
      </c>
      <c r="C1113" t="s">
        <v>1899</v>
      </c>
      <c r="D1113" t="s">
        <v>1900</v>
      </c>
    </row>
    <row r="1114" spans="1:4" x14ac:dyDescent="0.2">
      <c r="A1114" t="s">
        <v>1998</v>
      </c>
      <c r="B1114" t="s">
        <v>1901</v>
      </c>
      <c r="C1114" t="s">
        <v>1902</v>
      </c>
      <c r="D1114" t="s">
        <v>1903</v>
      </c>
    </row>
    <row r="1115" spans="1:4" x14ac:dyDescent="0.2">
      <c r="A1115" t="s">
        <v>1998</v>
      </c>
      <c r="B1115" t="s">
        <v>1904</v>
      </c>
      <c r="C1115" t="s">
        <v>1905</v>
      </c>
      <c r="D1115" t="s">
        <v>1906</v>
      </c>
    </row>
    <row r="1116" spans="1:4" x14ac:dyDescent="0.2">
      <c r="A1116" t="s">
        <v>1998</v>
      </c>
      <c r="B1116" t="s">
        <v>1907</v>
      </c>
      <c r="C1116" t="s">
        <v>1908</v>
      </c>
      <c r="D1116" t="s">
        <v>1909</v>
      </c>
    </row>
    <row r="1117" spans="1:4" x14ac:dyDescent="0.2">
      <c r="A1117" t="s">
        <v>1998</v>
      </c>
      <c r="B1117" t="s">
        <v>1910</v>
      </c>
      <c r="C1117" t="s">
        <v>1911</v>
      </c>
      <c r="D1117" t="s">
        <v>1912</v>
      </c>
    </row>
    <row r="1118" spans="1:4" x14ac:dyDescent="0.2">
      <c r="A1118" t="s">
        <v>1998</v>
      </c>
      <c r="B1118" t="s">
        <v>1913</v>
      </c>
      <c r="C1118" t="s">
        <v>1914</v>
      </c>
      <c r="D1118" t="s">
        <v>1915</v>
      </c>
    </row>
    <row r="1119" spans="1:4" x14ac:dyDescent="0.2">
      <c r="A1119" t="s">
        <v>1998</v>
      </c>
      <c r="B1119" t="s">
        <v>1916</v>
      </c>
      <c r="C1119" t="s">
        <v>1917</v>
      </c>
      <c r="D1119" t="s">
        <v>1918</v>
      </c>
    </row>
    <row r="1120" spans="1:4" x14ac:dyDescent="0.2">
      <c r="A1120" t="s">
        <v>1998</v>
      </c>
      <c r="B1120" t="s">
        <v>1919</v>
      </c>
      <c r="C1120" t="s">
        <v>1920</v>
      </c>
      <c r="D1120" t="s">
        <v>1921</v>
      </c>
    </row>
    <row r="1121" spans="1:4" x14ac:dyDescent="0.2">
      <c r="A1121" t="s">
        <v>1998</v>
      </c>
      <c r="B1121" t="s">
        <v>1922</v>
      </c>
      <c r="C1121" t="s">
        <v>1923</v>
      </c>
      <c r="D1121" t="s">
        <v>1924</v>
      </c>
    </row>
    <row r="1122" spans="1:4" x14ac:dyDescent="0.2">
      <c r="A1122" t="s">
        <v>1998</v>
      </c>
      <c r="B1122" t="s">
        <v>1925</v>
      </c>
      <c r="C1122" t="s">
        <v>1926</v>
      </c>
      <c r="D1122" t="s">
        <v>1927</v>
      </c>
    </row>
    <row r="1123" spans="1:4" x14ac:dyDescent="0.2">
      <c r="A1123" t="s">
        <v>1998</v>
      </c>
      <c r="B1123" t="s">
        <v>1928</v>
      </c>
      <c r="C1123" t="s">
        <v>1929</v>
      </c>
      <c r="D1123" t="s">
        <v>1930</v>
      </c>
    </row>
    <row r="1124" spans="1:4" x14ac:dyDescent="0.2">
      <c r="A1124" t="s">
        <v>1998</v>
      </c>
      <c r="B1124" t="s">
        <v>1931</v>
      </c>
      <c r="C1124" t="s">
        <v>1932</v>
      </c>
      <c r="D1124" t="s">
        <v>1933</v>
      </c>
    </row>
    <row r="1125" spans="1:4" x14ac:dyDescent="0.2">
      <c r="A1125" t="s">
        <v>1998</v>
      </c>
      <c r="B1125" t="s">
        <v>1934</v>
      </c>
      <c r="C1125" t="s">
        <v>1935</v>
      </c>
      <c r="D1125" t="s">
        <v>1936</v>
      </c>
    </row>
    <row r="1126" spans="1:4" x14ac:dyDescent="0.2">
      <c r="A1126" t="s">
        <v>1998</v>
      </c>
      <c r="B1126" t="s">
        <v>1937</v>
      </c>
      <c r="C1126" t="s">
        <v>1938</v>
      </c>
      <c r="D1126" t="s">
        <v>1939</v>
      </c>
    </row>
    <row r="1127" spans="1:4" x14ac:dyDescent="0.2">
      <c r="A1127" t="s">
        <v>1998</v>
      </c>
      <c r="B1127" t="s">
        <v>1940</v>
      </c>
      <c r="C1127" t="s">
        <v>1941</v>
      </c>
      <c r="D1127" t="s">
        <v>1942</v>
      </c>
    </row>
    <row r="1128" spans="1:4" x14ac:dyDescent="0.2">
      <c r="A1128" t="s">
        <v>1998</v>
      </c>
      <c r="B1128" t="s">
        <v>1943</v>
      </c>
      <c r="C1128" t="s">
        <v>1944</v>
      </c>
      <c r="D1128" t="s">
        <v>1945</v>
      </c>
    </row>
    <row r="1129" spans="1:4" x14ac:dyDescent="0.2">
      <c r="A1129" t="s">
        <v>1998</v>
      </c>
      <c r="B1129" t="s">
        <v>1946</v>
      </c>
      <c r="C1129" t="s">
        <v>1947</v>
      </c>
      <c r="D1129" t="s">
        <v>1948</v>
      </c>
    </row>
    <row r="1130" spans="1:4" x14ac:dyDescent="0.2">
      <c r="A1130" t="s">
        <v>1998</v>
      </c>
      <c r="B1130" t="s">
        <v>1949</v>
      </c>
      <c r="C1130" t="s">
        <v>1950</v>
      </c>
      <c r="D1130" t="s">
        <v>1951</v>
      </c>
    </row>
    <row r="1131" spans="1:4" x14ac:dyDescent="0.2">
      <c r="A1131" t="s">
        <v>1998</v>
      </c>
      <c r="B1131" t="s">
        <v>1952</v>
      </c>
      <c r="C1131" t="s">
        <v>1953</v>
      </c>
      <c r="D1131" t="s">
        <v>1954</v>
      </c>
    </row>
    <row r="1132" spans="1:4" x14ac:dyDescent="0.2">
      <c r="A1132" t="s">
        <v>1998</v>
      </c>
      <c r="B1132" t="s">
        <v>1955</v>
      </c>
      <c r="C1132" t="s">
        <v>1956</v>
      </c>
      <c r="D1132" t="s">
        <v>1957</v>
      </c>
    </row>
    <row r="1133" spans="1:4" x14ac:dyDescent="0.2">
      <c r="A1133" t="s">
        <v>1998</v>
      </c>
      <c r="B1133" t="s">
        <v>1958</v>
      </c>
      <c r="C1133" t="s">
        <v>1959</v>
      </c>
      <c r="D1133" t="s">
        <v>1960</v>
      </c>
    </row>
    <row r="1134" spans="1:4" x14ac:dyDescent="0.2">
      <c r="A1134" t="s">
        <v>1998</v>
      </c>
      <c r="B1134" t="s">
        <v>1961</v>
      </c>
      <c r="C1134" t="s">
        <v>1962</v>
      </c>
      <c r="D1134" t="s">
        <v>1963</v>
      </c>
    </row>
    <row r="1135" spans="1:4" x14ac:dyDescent="0.2">
      <c r="A1135" t="s">
        <v>1998</v>
      </c>
      <c r="B1135" t="s">
        <v>1964</v>
      </c>
      <c r="C1135" t="s">
        <v>1965</v>
      </c>
      <c r="D1135" t="s">
        <v>1966</v>
      </c>
    </row>
    <row r="1136" spans="1:4" x14ac:dyDescent="0.2">
      <c r="A1136" t="s">
        <v>1998</v>
      </c>
      <c r="B1136" t="s">
        <v>1967</v>
      </c>
      <c r="C1136" t="s">
        <v>1968</v>
      </c>
      <c r="D1136" t="s">
        <v>1969</v>
      </c>
    </row>
    <row r="1137" spans="1:4" x14ac:dyDescent="0.2">
      <c r="A1137" t="s">
        <v>1998</v>
      </c>
      <c r="B1137" t="s">
        <v>1970</v>
      </c>
      <c r="C1137" t="s">
        <v>1971</v>
      </c>
      <c r="D1137" t="s">
        <v>1972</v>
      </c>
    </row>
    <row r="1138" spans="1:4" x14ac:dyDescent="0.2">
      <c r="A1138" t="s">
        <v>1998</v>
      </c>
      <c r="B1138" t="s">
        <v>1973</v>
      </c>
      <c r="C1138" t="s">
        <v>1974</v>
      </c>
      <c r="D1138" t="s">
        <v>1975</v>
      </c>
    </row>
    <row r="1139" spans="1:4" x14ac:dyDescent="0.2">
      <c r="A1139" t="s">
        <v>1998</v>
      </c>
      <c r="B1139" t="s">
        <v>1976</v>
      </c>
      <c r="C1139" t="s">
        <v>1977</v>
      </c>
      <c r="D1139" t="s">
        <v>1977</v>
      </c>
    </row>
    <row r="1140" spans="1:4" x14ac:dyDescent="0.2">
      <c r="A1140" t="s">
        <v>1998</v>
      </c>
      <c r="B1140" t="s">
        <v>1978</v>
      </c>
      <c r="C1140" t="s">
        <v>1979</v>
      </c>
      <c r="D1140" t="s">
        <v>1980</v>
      </c>
    </row>
    <row r="1141" spans="1:4" x14ac:dyDescent="0.2">
      <c r="A1141" t="s">
        <v>1998</v>
      </c>
      <c r="B1141" t="s">
        <v>1981</v>
      </c>
      <c r="C1141" t="s">
        <v>1982</v>
      </c>
      <c r="D1141" t="s">
        <v>1983</v>
      </c>
    </row>
    <row r="1142" spans="1:4" x14ac:dyDescent="0.2">
      <c r="A1142" t="s">
        <v>1998</v>
      </c>
      <c r="B1142" t="s">
        <v>1984</v>
      </c>
      <c r="C1142" t="s">
        <v>1985</v>
      </c>
      <c r="D1142" t="s">
        <v>1985</v>
      </c>
    </row>
    <row r="1143" spans="1:4" x14ac:dyDescent="0.2">
      <c r="A1143" t="s">
        <v>1998</v>
      </c>
      <c r="B1143" t="s">
        <v>1986</v>
      </c>
      <c r="C1143" t="s">
        <v>1987</v>
      </c>
      <c r="D1143" t="s">
        <v>1988</v>
      </c>
    </row>
    <row r="1144" spans="1:4" x14ac:dyDescent="0.2">
      <c r="A1144" t="s">
        <v>1998</v>
      </c>
      <c r="B1144" t="s">
        <v>1999</v>
      </c>
      <c r="C1144" t="s">
        <v>2000</v>
      </c>
      <c r="D1144" t="s">
        <v>2001</v>
      </c>
    </row>
    <row r="1145" spans="1:4" x14ac:dyDescent="0.2">
      <c r="A1145" t="s">
        <v>1998</v>
      </c>
      <c r="B1145" t="s">
        <v>1992</v>
      </c>
      <c r="C1145" t="s">
        <v>1993</v>
      </c>
      <c r="D1145" t="s">
        <v>1994</v>
      </c>
    </row>
    <row r="1146" spans="1:4" x14ac:dyDescent="0.2">
      <c r="A1146" t="s">
        <v>1998</v>
      </c>
      <c r="B1146" t="s">
        <v>1995</v>
      </c>
      <c r="C1146" t="s">
        <v>1996</v>
      </c>
      <c r="D1146" t="s">
        <v>1997</v>
      </c>
    </row>
    <row r="1148" spans="1:4" x14ac:dyDescent="0.2">
      <c r="A1148" t="s">
        <v>2002</v>
      </c>
      <c r="B1148" t="s">
        <v>1725</v>
      </c>
      <c r="C1148" t="s">
        <v>1726</v>
      </c>
      <c r="D1148" t="s">
        <v>1727</v>
      </c>
    </row>
    <row r="1149" spans="1:4" x14ac:dyDescent="0.2">
      <c r="A1149" t="s">
        <v>2002</v>
      </c>
      <c r="B1149" t="s">
        <v>1728</v>
      </c>
      <c r="C1149" t="s">
        <v>1729</v>
      </c>
      <c r="D1149" t="s">
        <v>1730</v>
      </c>
    </row>
    <row r="1150" spans="1:4" x14ac:dyDescent="0.2">
      <c r="A1150" t="s">
        <v>2002</v>
      </c>
      <c r="B1150" t="s">
        <v>1731</v>
      </c>
      <c r="C1150" t="s">
        <v>1732</v>
      </c>
      <c r="D1150" t="s">
        <v>1733</v>
      </c>
    </row>
    <row r="1151" spans="1:4" x14ac:dyDescent="0.2">
      <c r="A1151" t="s">
        <v>2002</v>
      </c>
      <c r="B1151" t="s">
        <v>1734</v>
      </c>
      <c r="C1151" t="s">
        <v>1735</v>
      </c>
      <c r="D1151" t="s">
        <v>1736</v>
      </c>
    </row>
    <row r="1152" spans="1:4" x14ac:dyDescent="0.2">
      <c r="A1152" t="s">
        <v>2002</v>
      </c>
      <c r="B1152" t="s">
        <v>1737</v>
      </c>
      <c r="C1152" t="s">
        <v>1738</v>
      </c>
      <c r="D1152" t="s">
        <v>1739</v>
      </c>
    </row>
    <row r="1153" spans="1:4" x14ac:dyDescent="0.2">
      <c r="A1153" t="s">
        <v>2002</v>
      </c>
      <c r="B1153" t="s">
        <v>1740</v>
      </c>
      <c r="C1153" t="s">
        <v>1741</v>
      </c>
      <c r="D1153" t="s">
        <v>1742</v>
      </c>
    </row>
    <row r="1154" spans="1:4" x14ac:dyDescent="0.2">
      <c r="A1154" t="s">
        <v>2002</v>
      </c>
      <c r="B1154" t="s">
        <v>1743</v>
      </c>
      <c r="C1154" t="s">
        <v>1744</v>
      </c>
      <c r="D1154" t="s">
        <v>1745</v>
      </c>
    </row>
    <row r="1155" spans="1:4" x14ac:dyDescent="0.2">
      <c r="A1155" t="s">
        <v>2002</v>
      </c>
      <c r="B1155" t="s">
        <v>1746</v>
      </c>
      <c r="C1155" t="s">
        <v>1747</v>
      </c>
      <c r="D1155" t="s">
        <v>1748</v>
      </c>
    </row>
    <row r="1156" spans="1:4" x14ac:dyDescent="0.2">
      <c r="A1156" t="s">
        <v>2002</v>
      </c>
      <c r="B1156" t="s">
        <v>1749</v>
      </c>
      <c r="C1156" t="s">
        <v>1750</v>
      </c>
      <c r="D1156" t="s">
        <v>1751</v>
      </c>
    </row>
    <row r="1157" spans="1:4" x14ac:dyDescent="0.2">
      <c r="A1157" t="s">
        <v>2002</v>
      </c>
      <c r="B1157" t="s">
        <v>1752</v>
      </c>
      <c r="C1157" t="s">
        <v>1753</v>
      </c>
      <c r="D1157" t="s">
        <v>1754</v>
      </c>
    </row>
    <row r="1158" spans="1:4" x14ac:dyDescent="0.2">
      <c r="A1158" t="s">
        <v>2002</v>
      </c>
      <c r="B1158" t="s">
        <v>1755</v>
      </c>
      <c r="C1158" t="s">
        <v>1756</v>
      </c>
      <c r="D1158" t="s">
        <v>1757</v>
      </c>
    </row>
    <row r="1159" spans="1:4" x14ac:dyDescent="0.2">
      <c r="A1159" t="s">
        <v>2002</v>
      </c>
      <c r="B1159" t="s">
        <v>1758</v>
      </c>
      <c r="C1159" t="s">
        <v>1759</v>
      </c>
      <c r="D1159" t="s">
        <v>1760</v>
      </c>
    </row>
    <row r="1160" spans="1:4" x14ac:dyDescent="0.2">
      <c r="A1160" t="s">
        <v>2002</v>
      </c>
      <c r="B1160" t="s">
        <v>1761</v>
      </c>
      <c r="C1160" t="s">
        <v>1762</v>
      </c>
      <c r="D1160" t="s">
        <v>1763</v>
      </c>
    </row>
    <row r="1161" spans="1:4" x14ac:dyDescent="0.2">
      <c r="A1161" t="s">
        <v>2002</v>
      </c>
      <c r="B1161" t="s">
        <v>1764</v>
      </c>
      <c r="C1161" t="s">
        <v>1765</v>
      </c>
      <c r="D1161" t="s">
        <v>1766</v>
      </c>
    </row>
    <row r="1162" spans="1:4" x14ac:dyDescent="0.2">
      <c r="A1162" t="s">
        <v>2002</v>
      </c>
      <c r="B1162" t="s">
        <v>1767</v>
      </c>
      <c r="C1162" t="s">
        <v>1768</v>
      </c>
      <c r="D1162" t="s">
        <v>1769</v>
      </c>
    </row>
    <row r="1163" spans="1:4" x14ac:dyDescent="0.2">
      <c r="A1163" t="s">
        <v>2002</v>
      </c>
      <c r="B1163" t="s">
        <v>1770</v>
      </c>
      <c r="C1163" t="s">
        <v>1771</v>
      </c>
      <c r="D1163" t="s">
        <v>1772</v>
      </c>
    </row>
    <row r="1164" spans="1:4" x14ac:dyDescent="0.2">
      <c r="A1164" t="s">
        <v>2002</v>
      </c>
      <c r="B1164" t="s">
        <v>1773</v>
      </c>
      <c r="C1164" t="s">
        <v>1774</v>
      </c>
      <c r="D1164" t="s">
        <v>1775</v>
      </c>
    </row>
    <row r="1165" spans="1:4" x14ac:dyDescent="0.2">
      <c r="A1165" t="s">
        <v>2002</v>
      </c>
      <c r="B1165" t="s">
        <v>1776</v>
      </c>
      <c r="C1165" t="s">
        <v>1777</v>
      </c>
      <c r="D1165" t="s">
        <v>1778</v>
      </c>
    </row>
    <row r="1166" spans="1:4" x14ac:dyDescent="0.2">
      <c r="A1166" t="s">
        <v>2002</v>
      </c>
      <c r="B1166" t="s">
        <v>1779</v>
      </c>
      <c r="C1166" t="s">
        <v>1780</v>
      </c>
      <c r="D1166" t="s">
        <v>1781</v>
      </c>
    </row>
    <row r="1167" spans="1:4" x14ac:dyDescent="0.2">
      <c r="A1167" t="s">
        <v>2002</v>
      </c>
      <c r="B1167" t="s">
        <v>1782</v>
      </c>
      <c r="C1167" t="s">
        <v>1783</v>
      </c>
      <c r="D1167" t="s">
        <v>1784</v>
      </c>
    </row>
    <row r="1168" spans="1:4" x14ac:dyDescent="0.2">
      <c r="A1168" t="s">
        <v>2002</v>
      </c>
      <c r="B1168" t="s">
        <v>1785</v>
      </c>
      <c r="C1168" t="s">
        <v>1786</v>
      </c>
      <c r="D1168" t="s">
        <v>1787</v>
      </c>
    </row>
    <row r="1169" spans="1:4" x14ac:dyDescent="0.2">
      <c r="A1169" t="s">
        <v>2002</v>
      </c>
      <c r="B1169" t="s">
        <v>1788</v>
      </c>
      <c r="C1169" t="s">
        <v>1789</v>
      </c>
      <c r="D1169" t="s">
        <v>1790</v>
      </c>
    </row>
    <row r="1170" spans="1:4" x14ac:dyDescent="0.2">
      <c r="A1170" t="s">
        <v>2002</v>
      </c>
      <c r="B1170" t="s">
        <v>1791</v>
      </c>
      <c r="C1170" t="s">
        <v>1792</v>
      </c>
      <c r="D1170" t="s">
        <v>1793</v>
      </c>
    </row>
    <row r="1171" spans="1:4" x14ac:dyDescent="0.2">
      <c r="A1171" t="s">
        <v>2002</v>
      </c>
      <c r="B1171" t="s">
        <v>1794</v>
      </c>
      <c r="C1171" t="s">
        <v>1795</v>
      </c>
      <c r="D1171" t="s">
        <v>1796</v>
      </c>
    </row>
    <row r="1172" spans="1:4" x14ac:dyDescent="0.2">
      <c r="A1172" t="s">
        <v>2002</v>
      </c>
      <c r="B1172" t="s">
        <v>1797</v>
      </c>
      <c r="C1172" t="s">
        <v>1798</v>
      </c>
      <c r="D1172" t="s">
        <v>1799</v>
      </c>
    </row>
    <row r="1173" spans="1:4" x14ac:dyDescent="0.2">
      <c r="A1173" t="s">
        <v>2002</v>
      </c>
      <c r="B1173" t="s">
        <v>1800</v>
      </c>
      <c r="C1173" t="s">
        <v>1801</v>
      </c>
      <c r="D1173" t="s">
        <v>1802</v>
      </c>
    </row>
    <row r="1174" spans="1:4" x14ac:dyDescent="0.2">
      <c r="A1174" t="s">
        <v>2002</v>
      </c>
      <c r="B1174" t="s">
        <v>1803</v>
      </c>
      <c r="C1174" t="s">
        <v>1804</v>
      </c>
      <c r="D1174" t="s">
        <v>1805</v>
      </c>
    </row>
    <row r="1175" spans="1:4" x14ac:dyDescent="0.2">
      <c r="A1175" t="s">
        <v>2002</v>
      </c>
      <c r="B1175" t="s">
        <v>1806</v>
      </c>
      <c r="C1175" t="s">
        <v>1807</v>
      </c>
      <c r="D1175" t="s">
        <v>1808</v>
      </c>
    </row>
    <row r="1176" spans="1:4" x14ac:dyDescent="0.2">
      <c r="A1176" t="s">
        <v>2002</v>
      </c>
      <c r="B1176" t="s">
        <v>1809</v>
      </c>
      <c r="C1176" t="s">
        <v>1810</v>
      </c>
      <c r="D1176" t="s">
        <v>1811</v>
      </c>
    </row>
    <row r="1177" spans="1:4" x14ac:dyDescent="0.2">
      <c r="A1177" t="s">
        <v>2002</v>
      </c>
      <c r="B1177" t="s">
        <v>1812</v>
      </c>
      <c r="C1177" t="s">
        <v>1813</v>
      </c>
      <c r="D1177" t="s">
        <v>1814</v>
      </c>
    </row>
    <row r="1178" spans="1:4" x14ac:dyDescent="0.2">
      <c r="A1178" t="s">
        <v>2002</v>
      </c>
      <c r="B1178" t="s">
        <v>1815</v>
      </c>
      <c r="C1178" t="s">
        <v>1816</v>
      </c>
      <c r="D1178" t="s">
        <v>1817</v>
      </c>
    </row>
    <row r="1179" spans="1:4" x14ac:dyDescent="0.2">
      <c r="A1179" t="s">
        <v>2002</v>
      </c>
      <c r="B1179" t="s">
        <v>1818</v>
      </c>
      <c r="C1179" t="s">
        <v>1819</v>
      </c>
      <c r="D1179" t="s">
        <v>1820</v>
      </c>
    </row>
    <row r="1180" spans="1:4" x14ac:dyDescent="0.2">
      <c r="A1180" t="s">
        <v>2002</v>
      </c>
      <c r="B1180" t="s">
        <v>1821</v>
      </c>
      <c r="C1180" t="s">
        <v>1822</v>
      </c>
      <c r="D1180" t="s">
        <v>1823</v>
      </c>
    </row>
    <row r="1181" spans="1:4" x14ac:dyDescent="0.2">
      <c r="A1181" t="s">
        <v>2002</v>
      </c>
      <c r="B1181" t="s">
        <v>1824</v>
      </c>
      <c r="C1181" t="s">
        <v>1825</v>
      </c>
      <c r="D1181" t="s">
        <v>1826</v>
      </c>
    </row>
    <row r="1182" spans="1:4" x14ac:dyDescent="0.2">
      <c r="A1182" t="s">
        <v>2002</v>
      </c>
      <c r="B1182" t="s">
        <v>1827</v>
      </c>
      <c r="C1182" t="s">
        <v>1828</v>
      </c>
      <c r="D1182" t="s">
        <v>1828</v>
      </c>
    </row>
    <row r="1183" spans="1:4" x14ac:dyDescent="0.2">
      <c r="A1183" t="s">
        <v>2002</v>
      </c>
      <c r="B1183" t="s">
        <v>1829</v>
      </c>
      <c r="C1183" t="s">
        <v>1830</v>
      </c>
      <c r="D1183" t="s">
        <v>1831</v>
      </c>
    </row>
    <row r="1184" spans="1:4" x14ac:dyDescent="0.2">
      <c r="A1184" t="s">
        <v>2002</v>
      </c>
      <c r="B1184" t="s">
        <v>1832</v>
      </c>
      <c r="C1184" t="s">
        <v>1833</v>
      </c>
      <c r="D1184" t="s">
        <v>1834</v>
      </c>
    </row>
    <row r="1185" spans="1:4" x14ac:dyDescent="0.2">
      <c r="A1185" t="s">
        <v>2002</v>
      </c>
      <c r="B1185" t="s">
        <v>1835</v>
      </c>
      <c r="C1185" t="s">
        <v>1836</v>
      </c>
      <c r="D1185" t="s">
        <v>1837</v>
      </c>
    </row>
    <row r="1186" spans="1:4" x14ac:dyDescent="0.2">
      <c r="A1186" t="s">
        <v>2002</v>
      </c>
      <c r="B1186" t="s">
        <v>1838</v>
      </c>
      <c r="C1186" t="s">
        <v>1839</v>
      </c>
      <c r="D1186" t="s">
        <v>1840</v>
      </c>
    </row>
    <row r="1187" spans="1:4" x14ac:dyDescent="0.2">
      <c r="A1187" t="s">
        <v>2002</v>
      </c>
      <c r="B1187" t="s">
        <v>1841</v>
      </c>
      <c r="C1187" t="s">
        <v>1842</v>
      </c>
      <c r="D1187" t="s">
        <v>1843</v>
      </c>
    </row>
    <row r="1188" spans="1:4" x14ac:dyDescent="0.2">
      <c r="A1188" t="s">
        <v>2002</v>
      </c>
      <c r="B1188" t="s">
        <v>1844</v>
      </c>
      <c r="C1188" t="s">
        <v>1845</v>
      </c>
      <c r="D1188" t="s">
        <v>1846</v>
      </c>
    </row>
    <row r="1189" spans="1:4" x14ac:dyDescent="0.2">
      <c r="A1189" t="s">
        <v>2002</v>
      </c>
      <c r="B1189" t="s">
        <v>1847</v>
      </c>
      <c r="C1189" t="s">
        <v>1848</v>
      </c>
      <c r="D1189" t="s">
        <v>1849</v>
      </c>
    </row>
    <row r="1190" spans="1:4" x14ac:dyDescent="0.2">
      <c r="A1190" t="s">
        <v>2002</v>
      </c>
      <c r="B1190" t="s">
        <v>1850</v>
      </c>
      <c r="C1190" t="s">
        <v>1851</v>
      </c>
      <c r="D1190" t="s">
        <v>1852</v>
      </c>
    </row>
    <row r="1191" spans="1:4" x14ac:dyDescent="0.2">
      <c r="A1191" t="s">
        <v>2002</v>
      </c>
      <c r="B1191" t="s">
        <v>1853</v>
      </c>
      <c r="C1191" t="s">
        <v>1854</v>
      </c>
      <c r="D1191" t="s">
        <v>1855</v>
      </c>
    </row>
    <row r="1192" spans="1:4" x14ac:dyDescent="0.2">
      <c r="A1192" t="s">
        <v>2002</v>
      </c>
      <c r="B1192" t="s">
        <v>1856</v>
      </c>
      <c r="C1192" t="s">
        <v>1857</v>
      </c>
      <c r="D1192" t="s">
        <v>1857</v>
      </c>
    </row>
    <row r="1193" spans="1:4" x14ac:dyDescent="0.2">
      <c r="A1193" t="s">
        <v>2002</v>
      </c>
      <c r="B1193" t="s">
        <v>1858</v>
      </c>
      <c r="C1193" t="s">
        <v>1859</v>
      </c>
      <c r="D1193" t="s">
        <v>1860</v>
      </c>
    </row>
    <row r="1194" spans="1:4" x14ac:dyDescent="0.2">
      <c r="A1194" t="s">
        <v>2002</v>
      </c>
      <c r="B1194" t="s">
        <v>1861</v>
      </c>
      <c r="C1194" t="s">
        <v>1862</v>
      </c>
      <c r="D1194" t="s">
        <v>1863</v>
      </c>
    </row>
    <row r="1195" spans="1:4" x14ac:dyDescent="0.2">
      <c r="A1195" t="s">
        <v>2002</v>
      </c>
      <c r="B1195" t="s">
        <v>1864</v>
      </c>
      <c r="C1195" t="s">
        <v>1865</v>
      </c>
      <c r="D1195" t="s">
        <v>1865</v>
      </c>
    </row>
    <row r="1196" spans="1:4" x14ac:dyDescent="0.2">
      <c r="A1196" t="s">
        <v>2002</v>
      </c>
      <c r="B1196" t="s">
        <v>1866</v>
      </c>
      <c r="C1196" t="s">
        <v>1867</v>
      </c>
      <c r="D1196" t="s">
        <v>1868</v>
      </c>
    </row>
    <row r="1197" spans="1:4" x14ac:dyDescent="0.2">
      <c r="A1197" t="s">
        <v>2002</v>
      </c>
      <c r="B1197" t="s">
        <v>1869</v>
      </c>
      <c r="C1197" t="s">
        <v>1870</v>
      </c>
      <c r="D1197" t="s">
        <v>1871</v>
      </c>
    </row>
    <row r="1198" spans="1:4" x14ac:dyDescent="0.2">
      <c r="A1198" t="s">
        <v>2002</v>
      </c>
      <c r="B1198" t="s">
        <v>1872</v>
      </c>
      <c r="C1198" t="s">
        <v>1873</v>
      </c>
      <c r="D1198" t="s">
        <v>1874</v>
      </c>
    </row>
    <row r="1199" spans="1:4" x14ac:dyDescent="0.2">
      <c r="A1199" t="s">
        <v>2002</v>
      </c>
      <c r="B1199" t="s">
        <v>1875</v>
      </c>
      <c r="C1199" t="s">
        <v>1876</v>
      </c>
      <c r="D1199" t="s">
        <v>1877</v>
      </c>
    </row>
    <row r="1200" spans="1:4" x14ac:dyDescent="0.2">
      <c r="A1200" t="s">
        <v>2002</v>
      </c>
      <c r="B1200" t="s">
        <v>1878</v>
      </c>
      <c r="C1200" t="s">
        <v>1879</v>
      </c>
      <c r="D1200" t="s">
        <v>1880</v>
      </c>
    </row>
    <row r="1201" spans="1:4" x14ac:dyDescent="0.2">
      <c r="A1201" t="s">
        <v>2002</v>
      </c>
      <c r="B1201" t="s">
        <v>1881</v>
      </c>
      <c r="C1201" t="s">
        <v>1882</v>
      </c>
      <c r="D1201" t="s">
        <v>1883</v>
      </c>
    </row>
    <row r="1202" spans="1:4" x14ac:dyDescent="0.2">
      <c r="A1202" t="s">
        <v>2002</v>
      </c>
      <c r="B1202" t="s">
        <v>1884</v>
      </c>
      <c r="C1202" t="s">
        <v>1885</v>
      </c>
      <c r="D1202" t="s">
        <v>1886</v>
      </c>
    </row>
    <row r="1203" spans="1:4" x14ac:dyDescent="0.2">
      <c r="A1203" t="s">
        <v>2002</v>
      </c>
      <c r="B1203" t="s">
        <v>1887</v>
      </c>
      <c r="C1203" t="s">
        <v>1888</v>
      </c>
      <c r="D1203" t="s">
        <v>1888</v>
      </c>
    </row>
    <row r="1204" spans="1:4" x14ac:dyDescent="0.2">
      <c r="A1204" t="s">
        <v>2002</v>
      </c>
      <c r="B1204" t="s">
        <v>1889</v>
      </c>
      <c r="C1204" t="s">
        <v>1890</v>
      </c>
      <c r="D1204" t="s">
        <v>1891</v>
      </c>
    </row>
    <row r="1205" spans="1:4" x14ac:dyDescent="0.2">
      <c r="A1205" t="s">
        <v>2002</v>
      </c>
      <c r="B1205" t="s">
        <v>1892</v>
      </c>
      <c r="C1205" t="s">
        <v>1893</v>
      </c>
      <c r="D1205" t="s">
        <v>1894</v>
      </c>
    </row>
    <row r="1206" spans="1:4" x14ac:dyDescent="0.2">
      <c r="A1206" t="s">
        <v>2002</v>
      </c>
      <c r="B1206" t="s">
        <v>1895</v>
      </c>
      <c r="C1206" t="s">
        <v>1896</v>
      </c>
      <c r="D1206" t="s">
        <v>1897</v>
      </c>
    </row>
    <row r="1207" spans="1:4" x14ac:dyDescent="0.2">
      <c r="A1207" t="s">
        <v>2002</v>
      </c>
      <c r="B1207" t="s">
        <v>1898</v>
      </c>
      <c r="C1207" t="s">
        <v>1899</v>
      </c>
      <c r="D1207" t="s">
        <v>1900</v>
      </c>
    </row>
    <row r="1208" spans="1:4" x14ac:dyDescent="0.2">
      <c r="A1208" t="s">
        <v>2002</v>
      </c>
      <c r="B1208" t="s">
        <v>1901</v>
      </c>
      <c r="C1208" t="s">
        <v>1902</v>
      </c>
      <c r="D1208" t="s">
        <v>1903</v>
      </c>
    </row>
    <row r="1209" spans="1:4" x14ac:dyDescent="0.2">
      <c r="A1209" t="s">
        <v>2002</v>
      </c>
      <c r="B1209" t="s">
        <v>1904</v>
      </c>
      <c r="C1209" t="s">
        <v>1905</v>
      </c>
      <c r="D1209" t="s">
        <v>1906</v>
      </c>
    </row>
    <row r="1210" spans="1:4" x14ac:dyDescent="0.2">
      <c r="A1210" t="s">
        <v>2002</v>
      </c>
      <c r="B1210" t="s">
        <v>1907</v>
      </c>
      <c r="C1210" t="s">
        <v>1908</v>
      </c>
      <c r="D1210" t="s">
        <v>1909</v>
      </c>
    </row>
    <row r="1211" spans="1:4" x14ac:dyDescent="0.2">
      <c r="A1211" t="s">
        <v>2002</v>
      </c>
      <c r="B1211" t="s">
        <v>1910</v>
      </c>
      <c r="C1211" t="s">
        <v>1911</v>
      </c>
      <c r="D1211" t="s">
        <v>1912</v>
      </c>
    </row>
    <row r="1212" spans="1:4" x14ac:dyDescent="0.2">
      <c r="A1212" t="s">
        <v>2002</v>
      </c>
      <c r="B1212" t="s">
        <v>1913</v>
      </c>
      <c r="C1212" t="s">
        <v>1914</v>
      </c>
      <c r="D1212" t="s">
        <v>1915</v>
      </c>
    </row>
    <row r="1213" spans="1:4" x14ac:dyDescent="0.2">
      <c r="A1213" t="s">
        <v>2002</v>
      </c>
      <c r="B1213" t="s">
        <v>1916</v>
      </c>
      <c r="C1213" t="s">
        <v>1917</v>
      </c>
      <c r="D1213" t="s">
        <v>1918</v>
      </c>
    </row>
    <row r="1214" spans="1:4" x14ac:dyDescent="0.2">
      <c r="A1214" t="s">
        <v>2002</v>
      </c>
      <c r="B1214" t="s">
        <v>1919</v>
      </c>
      <c r="C1214" t="s">
        <v>1920</v>
      </c>
      <c r="D1214" t="s">
        <v>1921</v>
      </c>
    </row>
    <row r="1215" spans="1:4" x14ac:dyDescent="0.2">
      <c r="A1215" t="s">
        <v>2002</v>
      </c>
      <c r="B1215" t="s">
        <v>1922</v>
      </c>
      <c r="C1215" t="s">
        <v>1923</v>
      </c>
      <c r="D1215" t="s">
        <v>1924</v>
      </c>
    </row>
    <row r="1216" spans="1:4" x14ac:dyDescent="0.2">
      <c r="A1216" t="s">
        <v>2002</v>
      </c>
      <c r="B1216" t="s">
        <v>1925</v>
      </c>
      <c r="C1216" t="s">
        <v>1926</v>
      </c>
      <c r="D1216" t="s">
        <v>1927</v>
      </c>
    </row>
    <row r="1217" spans="1:4" x14ac:dyDescent="0.2">
      <c r="A1217" t="s">
        <v>2002</v>
      </c>
      <c r="B1217" t="s">
        <v>1928</v>
      </c>
      <c r="C1217" t="s">
        <v>1929</v>
      </c>
      <c r="D1217" t="s">
        <v>1930</v>
      </c>
    </row>
    <row r="1218" spans="1:4" x14ac:dyDescent="0.2">
      <c r="A1218" t="s">
        <v>2002</v>
      </c>
      <c r="B1218" t="s">
        <v>1931</v>
      </c>
      <c r="C1218" t="s">
        <v>1932</v>
      </c>
      <c r="D1218" t="s">
        <v>1933</v>
      </c>
    </row>
    <row r="1219" spans="1:4" x14ac:dyDescent="0.2">
      <c r="A1219" t="s">
        <v>2002</v>
      </c>
      <c r="B1219" t="s">
        <v>1934</v>
      </c>
      <c r="C1219" t="s">
        <v>1935</v>
      </c>
      <c r="D1219" t="s">
        <v>1936</v>
      </c>
    </row>
    <row r="1220" spans="1:4" x14ac:dyDescent="0.2">
      <c r="A1220" t="s">
        <v>2002</v>
      </c>
      <c r="B1220" t="s">
        <v>1937</v>
      </c>
      <c r="C1220" t="s">
        <v>1938</v>
      </c>
      <c r="D1220" t="s">
        <v>1939</v>
      </c>
    </row>
    <row r="1221" spans="1:4" x14ac:dyDescent="0.2">
      <c r="A1221" t="s">
        <v>2002</v>
      </c>
      <c r="B1221" t="s">
        <v>1940</v>
      </c>
      <c r="C1221" t="s">
        <v>1941</v>
      </c>
      <c r="D1221" t="s">
        <v>1942</v>
      </c>
    </row>
    <row r="1222" spans="1:4" x14ac:dyDescent="0.2">
      <c r="A1222" t="s">
        <v>2002</v>
      </c>
      <c r="B1222" t="s">
        <v>1943</v>
      </c>
      <c r="C1222" t="s">
        <v>1944</v>
      </c>
      <c r="D1222" t="s">
        <v>1945</v>
      </c>
    </row>
    <row r="1223" spans="1:4" x14ac:dyDescent="0.2">
      <c r="A1223" t="s">
        <v>2002</v>
      </c>
      <c r="B1223" t="s">
        <v>1946</v>
      </c>
      <c r="C1223" t="s">
        <v>1947</v>
      </c>
      <c r="D1223" t="s">
        <v>1948</v>
      </c>
    </row>
    <row r="1224" spans="1:4" x14ac:dyDescent="0.2">
      <c r="A1224" t="s">
        <v>2002</v>
      </c>
      <c r="B1224" t="s">
        <v>1949</v>
      </c>
      <c r="C1224" t="s">
        <v>1950</v>
      </c>
      <c r="D1224" t="s">
        <v>1951</v>
      </c>
    </row>
    <row r="1225" spans="1:4" x14ac:dyDescent="0.2">
      <c r="A1225" t="s">
        <v>2002</v>
      </c>
      <c r="B1225" t="s">
        <v>1952</v>
      </c>
      <c r="C1225" t="s">
        <v>1953</v>
      </c>
      <c r="D1225" t="s">
        <v>1954</v>
      </c>
    </row>
    <row r="1226" spans="1:4" x14ac:dyDescent="0.2">
      <c r="A1226" t="s">
        <v>2002</v>
      </c>
      <c r="B1226" t="s">
        <v>1955</v>
      </c>
      <c r="C1226" t="s">
        <v>1956</v>
      </c>
      <c r="D1226" t="s">
        <v>1957</v>
      </c>
    </row>
    <row r="1227" spans="1:4" x14ac:dyDescent="0.2">
      <c r="A1227" t="s">
        <v>2002</v>
      </c>
      <c r="B1227" t="s">
        <v>1958</v>
      </c>
      <c r="C1227" t="s">
        <v>1959</v>
      </c>
      <c r="D1227" t="s">
        <v>1960</v>
      </c>
    </row>
    <row r="1228" spans="1:4" x14ac:dyDescent="0.2">
      <c r="A1228" t="s">
        <v>2002</v>
      </c>
      <c r="B1228" t="s">
        <v>1961</v>
      </c>
      <c r="C1228" t="s">
        <v>1962</v>
      </c>
      <c r="D1228" t="s">
        <v>1963</v>
      </c>
    </row>
    <row r="1229" spans="1:4" x14ac:dyDescent="0.2">
      <c r="A1229" t="s">
        <v>2002</v>
      </c>
      <c r="B1229" t="s">
        <v>1964</v>
      </c>
      <c r="C1229" t="s">
        <v>1965</v>
      </c>
      <c r="D1229" t="s">
        <v>1966</v>
      </c>
    </row>
    <row r="1230" spans="1:4" x14ac:dyDescent="0.2">
      <c r="A1230" t="s">
        <v>2002</v>
      </c>
      <c r="B1230" t="s">
        <v>1967</v>
      </c>
      <c r="C1230" t="s">
        <v>1968</v>
      </c>
      <c r="D1230" t="s">
        <v>1969</v>
      </c>
    </row>
    <row r="1231" spans="1:4" x14ac:dyDescent="0.2">
      <c r="A1231" t="s">
        <v>2002</v>
      </c>
      <c r="B1231" t="s">
        <v>1970</v>
      </c>
      <c r="C1231" t="s">
        <v>1971</v>
      </c>
      <c r="D1231" t="s">
        <v>1972</v>
      </c>
    </row>
    <row r="1232" spans="1:4" x14ac:dyDescent="0.2">
      <c r="A1232" t="s">
        <v>2002</v>
      </c>
      <c r="B1232" t="s">
        <v>1973</v>
      </c>
      <c r="C1232" t="s">
        <v>1974</v>
      </c>
      <c r="D1232" t="s">
        <v>1975</v>
      </c>
    </row>
    <row r="1233" spans="1:4" x14ac:dyDescent="0.2">
      <c r="A1233" t="s">
        <v>2002</v>
      </c>
      <c r="B1233" t="s">
        <v>1976</v>
      </c>
      <c r="C1233" t="s">
        <v>1977</v>
      </c>
      <c r="D1233" t="s">
        <v>1977</v>
      </c>
    </row>
    <row r="1234" spans="1:4" x14ac:dyDescent="0.2">
      <c r="A1234" t="s">
        <v>2002</v>
      </c>
      <c r="B1234" t="s">
        <v>1978</v>
      </c>
      <c r="C1234" t="s">
        <v>1979</v>
      </c>
      <c r="D1234" t="s">
        <v>1980</v>
      </c>
    </row>
    <row r="1235" spans="1:4" x14ac:dyDescent="0.2">
      <c r="A1235" t="s">
        <v>2002</v>
      </c>
      <c r="B1235" t="s">
        <v>1981</v>
      </c>
      <c r="C1235" t="s">
        <v>1982</v>
      </c>
      <c r="D1235" t="s">
        <v>1983</v>
      </c>
    </row>
    <row r="1236" spans="1:4" x14ac:dyDescent="0.2">
      <c r="A1236" t="s">
        <v>2002</v>
      </c>
      <c r="B1236" t="s">
        <v>1984</v>
      </c>
      <c r="C1236" t="s">
        <v>1985</v>
      </c>
      <c r="D1236" t="s">
        <v>1985</v>
      </c>
    </row>
    <row r="1237" spans="1:4" x14ac:dyDescent="0.2">
      <c r="A1237" t="s">
        <v>2002</v>
      </c>
      <c r="B1237" t="s">
        <v>1986</v>
      </c>
      <c r="C1237" t="s">
        <v>1987</v>
      </c>
      <c r="D1237" t="s">
        <v>1988</v>
      </c>
    </row>
    <row r="1238" spans="1:4" x14ac:dyDescent="0.2">
      <c r="A1238" t="s">
        <v>2002</v>
      </c>
      <c r="B1238" t="s">
        <v>1992</v>
      </c>
      <c r="C1238" t="s">
        <v>1993</v>
      </c>
      <c r="D1238" t="s">
        <v>1994</v>
      </c>
    </row>
    <row r="1239" spans="1:4" x14ac:dyDescent="0.2">
      <c r="A1239" t="s">
        <v>2002</v>
      </c>
      <c r="B1239" t="s">
        <v>1995</v>
      </c>
      <c r="C1239" t="s">
        <v>1996</v>
      </c>
      <c r="D1239" t="s">
        <v>1997</v>
      </c>
    </row>
    <row r="1241" spans="1:4" x14ac:dyDescent="0.2">
      <c r="A1241" t="s">
        <v>2003</v>
      </c>
      <c r="B1241" t="s">
        <v>781</v>
      </c>
      <c r="C1241" t="s">
        <v>782</v>
      </c>
    </row>
    <row r="1242" spans="1:4" x14ac:dyDescent="0.2">
      <c r="A1242" t="s">
        <v>2003</v>
      </c>
      <c r="B1242" t="s">
        <v>783</v>
      </c>
      <c r="C1242" t="s">
        <v>784</v>
      </c>
    </row>
    <row r="1243" spans="1:4" x14ac:dyDescent="0.2">
      <c r="A1243" t="s">
        <v>2003</v>
      </c>
      <c r="B1243" t="s">
        <v>785</v>
      </c>
      <c r="C1243" t="s">
        <v>786</v>
      </c>
    </row>
    <row r="1244" spans="1:4" x14ac:dyDescent="0.2">
      <c r="A1244" t="s">
        <v>2003</v>
      </c>
      <c r="B1244" t="s">
        <v>787</v>
      </c>
      <c r="C1244" t="s">
        <v>788</v>
      </c>
    </row>
    <row r="1245" spans="1:4" x14ac:dyDescent="0.2">
      <c r="A1245" t="s">
        <v>2003</v>
      </c>
      <c r="B1245" t="s">
        <v>789</v>
      </c>
      <c r="C1245" t="s">
        <v>790</v>
      </c>
    </row>
    <row r="1246" spans="1:4" x14ac:dyDescent="0.2">
      <c r="A1246" t="s">
        <v>2003</v>
      </c>
      <c r="B1246" t="s">
        <v>791</v>
      </c>
      <c r="C1246" t="s">
        <v>792</v>
      </c>
    </row>
    <row r="1247" spans="1:4" x14ac:dyDescent="0.2">
      <c r="A1247" t="s">
        <v>2003</v>
      </c>
      <c r="B1247" t="s">
        <v>793</v>
      </c>
      <c r="C1247" t="s">
        <v>794</v>
      </c>
    </row>
    <row r="1248" spans="1:4" x14ac:dyDescent="0.2">
      <c r="A1248" t="s">
        <v>2003</v>
      </c>
      <c r="B1248" t="s">
        <v>795</v>
      </c>
      <c r="C1248" t="s">
        <v>796</v>
      </c>
    </row>
    <row r="1249" spans="1:5" x14ac:dyDescent="0.2">
      <c r="A1249" t="s">
        <v>2003</v>
      </c>
      <c r="B1249" t="s">
        <v>797</v>
      </c>
      <c r="C1249" t="s">
        <v>798</v>
      </c>
    </row>
    <row r="1250" spans="1:5" x14ac:dyDescent="0.2">
      <c r="A1250" t="s">
        <v>2003</v>
      </c>
      <c r="B1250" t="s">
        <v>799</v>
      </c>
      <c r="C1250" t="s">
        <v>800</v>
      </c>
    </row>
    <row r="1252" spans="1:5" x14ac:dyDescent="0.2">
      <c r="A1252" t="s">
        <v>2004</v>
      </c>
      <c r="B1252" t="s">
        <v>2005</v>
      </c>
      <c r="C1252" t="s">
        <v>2006</v>
      </c>
      <c r="E1252" t="s">
        <v>781</v>
      </c>
    </row>
    <row r="1253" spans="1:5" x14ac:dyDescent="0.2">
      <c r="A1253" t="s">
        <v>2004</v>
      </c>
      <c r="B1253" t="s">
        <v>2007</v>
      </c>
      <c r="C1253" t="s">
        <v>2008</v>
      </c>
      <c r="E1253" t="s">
        <v>781</v>
      </c>
    </row>
    <row r="1254" spans="1:5" x14ac:dyDescent="0.2">
      <c r="A1254" t="s">
        <v>2004</v>
      </c>
      <c r="B1254" t="s">
        <v>2009</v>
      </c>
      <c r="C1254" t="s">
        <v>782</v>
      </c>
      <c r="E1254" t="s">
        <v>781</v>
      </c>
    </row>
    <row r="1255" spans="1:5" x14ac:dyDescent="0.2">
      <c r="A1255" t="s">
        <v>2004</v>
      </c>
      <c r="B1255" t="s">
        <v>2010</v>
      </c>
      <c r="C1255" t="s">
        <v>2011</v>
      </c>
      <c r="E1255" t="s">
        <v>781</v>
      </c>
    </row>
    <row r="1256" spans="1:5" x14ac:dyDescent="0.2">
      <c r="A1256" t="s">
        <v>2004</v>
      </c>
      <c r="B1256" t="s">
        <v>2012</v>
      </c>
      <c r="C1256" t="s">
        <v>2013</v>
      </c>
      <c r="E1256" t="s">
        <v>781</v>
      </c>
    </row>
    <row r="1257" spans="1:5" x14ac:dyDescent="0.2">
      <c r="A1257" t="s">
        <v>2004</v>
      </c>
      <c r="B1257" t="s">
        <v>2014</v>
      </c>
      <c r="C1257" t="s">
        <v>2015</v>
      </c>
      <c r="E1257" t="s">
        <v>781</v>
      </c>
    </row>
    <row r="1258" spans="1:5" x14ac:dyDescent="0.2">
      <c r="A1258" t="s">
        <v>2004</v>
      </c>
      <c r="B1258" t="s">
        <v>2016</v>
      </c>
      <c r="C1258" t="s">
        <v>2017</v>
      </c>
      <c r="E1258" t="s">
        <v>781</v>
      </c>
    </row>
    <row r="1259" spans="1:5" x14ac:dyDescent="0.2">
      <c r="A1259" t="s">
        <v>2004</v>
      </c>
      <c r="B1259" t="s">
        <v>2018</v>
      </c>
      <c r="C1259" t="s">
        <v>2019</v>
      </c>
      <c r="E1259" t="s">
        <v>783</v>
      </c>
    </row>
    <row r="1260" spans="1:5" x14ac:dyDescent="0.2">
      <c r="A1260" t="s">
        <v>2004</v>
      </c>
      <c r="B1260" t="s">
        <v>2020</v>
      </c>
      <c r="C1260" t="s">
        <v>2021</v>
      </c>
      <c r="E1260" t="s">
        <v>783</v>
      </c>
    </row>
    <row r="1261" spans="1:5" x14ac:dyDescent="0.2">
      <c r="A1261" t="s">
        <v>2004</v>
      </c>
      <c r="B1261" t="s">
        <v>2022</v>
      </c>
      <c r="C1261" t="s">
        <v>2023</v>
      </c>
      <c r="E1261" t="s">
        <v>783</v>
      </c>
    </row>
    <row r="1262" spans="1:5" x14ac:dyDescent="0.2">
      <c r="A1262" t="s">
        <v>2004</v>
      </c>
      <c r="B1262" t="s">
        <v>2024</v>
      </c>
      <c r="C1262" t="s">
        <v>2025</v>
      </c>
      <c r="E1262" t="s">
        <v>783</v>
      </c>
    </row>
    <row r="1263" spans="1:5" x14ac:dyDescent="0.2">
      <c r="A1263" t="s">
        <v>2004</v>
      </c>
      <c r="B1263" t="s">
        <v>2026</v>
      </c>
      <c r="C1263" t="s">
        <v>2027</v>
      </c>
      <c r="E1263" t="s">
        <v>783</v>
      </c>
    </row>
    <row r="1264" spans="1:5" x14ac:dyDescent="0.2">
      <c r="A1264" t="s">
        <v>2004</v>
      </c>
      <c r="B1264" t="s">
        <v>2028</v>
      </c>
      <c r="C1264" t="s">
        <v>784</v>
      </c>
      <c r="E1264" t="s">
        <v>783</v>
      </c>
    </row>
    <row r="1265" spans="1:5" x14ac:dyDescent="0.2">
      <c r="A1265" t="s">
        <v>2004</v>
      </c>
      <c r="B1265" t="s">
        <v>2029</v>
      </c>
      <c r="C1265" t="s">
        <v>2030</v>
      </c>
      <c r="E1265" t="s">
        <v>783</v>
      </c>
    </row>
    <row r="1266" spans="1:5" x14ac:dyDescent="0.2">
      <c r="A1266" t="s">
        <v>2004</v>
      </c>
      <c r="B1266" t="s">
        <v>2031</v>
      </c>
      <c r="C1266" t="s">
        <v>2032</v>
      </c>
      <c r="E1266" t="s">
        <v>785</v>
      </c>
    </row>
    <row r="1267" spans="1:5" x14ac:dyDescent="0.2">
      <c r="A1267" t="s">
        <v>2004</v>
      </c>
      <c r="B1267" t="s">
        <v>2033</v>
      </c>
      <c r="C1267" t="s">
        <v>2034</v>
      </c>
      <c r="E1267" t="s">
        <v>785</v>
      </c>
    </row>
    <row r="1268" spans="1:5" x14ac:dyDescent="0.2">
      <c r="A1268" t="s">
        <v>2004</v>
      </c>
      <c r="B1268" t="s">
        <v>2035</v>
      </c>
      <c r="C1268" t="s">
        <v>2036</v>
      </c>
      <c r="E1268" t="s">
        <v>785</v>
      </c>
    </row>
    <row r="1269" spans="1:5" x14ac:dyDescent="0.2">
      <c r="A1269" t="s">
        <v>2004</v>
      </c>
      <c r="B1269" t="s">
        <v>2037</v>
      </c>
      <c r="C1269" t="s">
        <v>2038</v>
      </c>
      <c r="E1269" t="s">
        <v>785</v>
      </c>
    </row>
    <row r="1270" spans="1:5" x14ac:dyDescent="0.2">
      <c r="A1270" t="s">
        <v>2004</v>
      </c>
      <c r="B1270" t="s">
        <v>2039</v>
      </c>
      <c r="C1270" t="s">
        <v>786</v>
      </c>
      <c r="E1270" t="s">
        <v>785</v>
      </c>
    </row>
    <row r="1271" spans="1:5" x14ac:dyDescent="0.2">
      <c r="A1271" t="s">
        <v>2004</v>
      </c>
      <c r="B1271" t="s">
        <v>2040</v>
      </c>
      <c r="C1271" t="s">
        <v>2041</v>
      </c>
      <c r="E1271" t="s">
        <v>785</v>
      </c>
    </row>
    <row r="1272" spans="1:5" x14ac:dyDescent="0.2">
      <c r="A1272" t="s">
        <v>2004</v>
      </c>
      <c r="B1272" t="s">
        <v>2042</v>
      </c>
      <c r="C1272" t="s">
        <v>2043</v>
      </c>
      <c r="E1272" t="s">
        <v>785</v>
      </c>
    </row>
    <row r="1273" spans="1:5" x14ac:dyDescent="0.2">
      <c r="A1273" t="s">
        <v>2004</v>
      </c>
      <c r="B1273" t="s">
        <v>2044</v>
      </c>
      <c r="C1273" t="s">
        <v>2045</v>
      </c>
      <c r="E1273" t="s">
        <v>787</v>
      </c>
    </row>
    <row r="1274" spans="1:5" x14ac:dyDescent="0.2">
      <c r="A1274" t="s">
        <v>2004</v>
      </c>
      <c r="B1274" t="s">
        <v>2046</v>
      </c>
      <c r="C1274" t="s">
        <v>2047</v>
      </c>
      <c r="E1274" t="s">
        <v>787</v>
      </c>
    </row>
    <row r="1275" spans="1:5" x14ac:dyDescent="0.2">
      <c r="A1275" t="s">
        <v>2004</v>
      </c>
      <c r="B1275" t="s">
        <v>2048</v>
      </c>
      <c r="C1275" t="s">
        <v>2049</v>
      </c>
      <c r="E1275" t="s">
        <v>787</v>
      </c>
    </row>
    <row r="1276" spans="1:5" x14ac:dyDescent="0.2">
      <c r="A1276" t="s">
        <v>2004</v>
      </c>
      <c r="B1276" t="s">
        <v>2050</v>
      </c>
      <c r="C1276" t="s">
        <v>2051</v>
      </c>
      <c r="E1276" t="s">
        <v>787</v>
      </c>
    </row>
    <row r="1277" spans="1:5" x14ac:dyDescent="0.2">
      <c r="A1277" t="s">
        <v>2004</v>
      </c>
      <c r="B1277" t="s">
        <v>2052</v>
      </c>
      <c r="C1277" t="s">
        <v>2053</v>
      </c>
      <c r="E1277" t="s">
        <v>787</v>
      </c>
    </row>
    <row r="1278" spans="1:5" x14ac:dyDescent="0.2">
      <c r="A1278" t="s">
        <v>2004</v>
      </c>
      <c r="B1278" t="s">
        <v>2054</v>
      </c>
      <c r="C1278" t="s">
        <v>788</v>
      </c>
      <c r="E1278" t="s">
        <v>787</v>
      </c>
    </row>
    <row r="1279" spans="1:5" x14ac:dyDescent="0.2">
      <c r="A1279" t="s">
        <v>2004</v>
      </c>
      <c r="B1279" t="s">
        <v>2055</v>
      </c>
      <c r="C1279" t="s">
        <v>2056</v>
      </c>
      <c r="E1279" t="s">
        <v>787</v>
      </c>
    </row>
    <row r="1280" spans="1:5" x14ac:dyDescent="0.2">
      <c r="A1280" t="s">
        <v>2004</v>
      </c>
      <c r="B1280" t="s">
        <v>2057</v>
      </c>
      <c r="C1280" t="s">
        <v>2058</v>
      </c>
      <c r="E1280" t="s">
        <v>789</v>
      </c>
    </row>
    <row r="1281" spans="1:5" x14ac:dyDescent="0.2">
      <c r="A1281" t="s">
        <v>2004</v>
      </c>
      <c r="B1281" t="s">
        <v>2059</v>
      </c>
      <c r="C1281" t="s">
        <v>2060</v>
      </c>
      <c r="E1281" t="s">
        <v>789</v>
      </c>
    </row>
    <row r="1282" spans="1:5" x14ac:dyDescent="0.2">
      <c r="A1282" t="s">
        <v>2004</v>
      </c>
      <c r="B1282" t="s">
        <v>2061</v>
      </c>
      <c r="C1282" t="s">
        <v>2062</v>
      </c>
      <c r="E1282" t="s">
        <v>789</v>
      </c>
    </row>
    <row r="1283" spans="1:5" x14ac:dyDescent="0.2">
      <c r="A1283" t="s">
        <v>2004</v>
      </c>
      <c r="B1283" t="s">
        <v>2063</v>
      </c>
      <c r="C1283" t="s">
        <v>2064</v>
      </c>
      <c r="E1283" t="s">
        <v>789</v>
      </c>
    </row>
    <row r="1284" spans="1:5" x14ac:dyDescent="0.2">
      <c r="A1284" t="s">
        <v>2004</v>
      </c>
      <c r="B1284" t="s">
        <v>2065</v>
      </c>
      <c r="C1284" t="s">
        <v>2066</v>
      </c>
      <c r="E1284" t="s">
        <v>789</v>
      </c>
    </row>
    <row r="1285" spans="1:5" x14ac:dyDescent="0.2">
      <c r="A1285" t="s">
        <v>2004</v>
      </c>
      <c r="B1285" t="s">
        <v>2067</v>
      </c>
      <c r="C1285" t="s">
        <v>790</v>
      </c>
      <c r="E1285" t="s">
        <v>789</v>
      </c>
    </row>
    <row r="1286" spans="1:5" x14ac:dyDescent="0.2">
      <c r="A1286" t="s">
        <v>2004</v>
      </c>
      <c r="B1286" t="s">
        <v>2068</v>
      </c>
      <c r="C1286" t="s">
        <v>2069</v>
      </c>
      <c r="E1286" t="s">
        <v>789</v>
      </c>
    </row>
    <row r="1287" spans="1:5" x14ac:dyDescent="0.2">
      <c r="A1287" t="s">
        <v>2004</v>
      </c>
      <c r="B1287" t="s">
        <v>2070</v>
      </c>
      <c r="C1287" t="s">
        <v>2071</v>
      </c>
      <c r="E1287" t="s">
        <v>789</v>
      </c>
    </row>
    <row r="1288" spans="1:5" x14ac:dyDescent="0.2">
      <c r="A1288" t="s">
        <v>2004</v>
      </c>
      <c r="B1288" t="s">
        <v>2072</v>
      </c>
      <c r="C1288" t="s">
        <v>2073</v>
      </c>
      <c r="E1288" t="s">
        <v>791</v>
      </c>
    </row>
    <row r="1289" spans="1:5" x14ac:dyDescent="0.2">
      <c r="A1289" t="s">
        <v>2004</v>
      </c>
      <c r="B1289" t="s">
        <v>2074</v>
      </c>
      <c r="C1289" t="s">
        <v>2075</v>
      </c>
      <c r="E1289" t="s">
        <v>791</v>
      </c>
    </row>
    <row r="1290" spans="1:5" x14ac:dyDescent="0.2">
      <c r="A1290" t="s">
        <v>2004</v>
      </c>
      <c r="B1290" t="s">
        <v>2076</v>
      </c>
      <c r="C1290" t="s">
        <v>2077</v>
      </c>
      <c r="E1290" t="s">
        <v>791</v>
      </c>
    </row>
    <row r="1291" spans="1:5" x14ac:dyDescent="0.2">
      <c r="A1291" t="s">
        <v>2004</v>
      </c>
      <c r="B1291" t="s">
        <v>2078</v>
      </c>
      <c r="C1291" t="s">
        <v>2079</v>
      </c>
      <c r="E1291" t="s">
        <v>791</v>
      </c>
    </row>
    <row r="1292" spans="1:5" x14ac:dyDescent="0.2">
      <c r="A1292" t="s">
        <v>2004</v>
      </c>
      <c r="B1292" t="s">
        <v>2080</v>
      </c>
      <c r="C1292" t="s">
        <v>792</v>
      </c>
      <c r="E1292" t="s">
        <v>791</v>
      </c>
    </row>
    <row r="1293" spans="1:5" x14ac:dyDescent="0.2">
      <c r="A1293" t="s">
        <v>2004</v>
      </c>
      <c r="B1293" t="s">
        <v>2081</v>
      </c>
      <c r="C1293" t="s">
        <v>2082</v>
      </c>
      <c r="E1293" t="s">
        <v>793</v>
      </c>
    </row>
    <row r="1294" spans="1:5" x14ac:dyDescent="0.2">
      <c r="A1294" t="s">
        <v>2004</v>
      </c>
      <c r="B1294" t="s">
        <v>2083</v>
      </c>
      <c r="C1294" t="s">
        <v>2084</v>
      </c>
      <c r="E1294" t="s">
        <v>793</v>
      </c>
    </row>
    <row r="1295" spans="1:5" x14ac:dyDescent="0.2">
      <c r="A1295" t="s">
        <v>2004</v>
      </c>
      <c r="B1295" t="s">
        <v>2085</v>
      </c>
      <c r="C1295" t="s">
        <v>794</v>
      </c>
      <c r="E1295" t="s">
        <v>793</v>
      </c>
    </row>
    <row r="1296" spans="1:5" x14ac:dyDescent="0.2">
      <c r="A1296" t="s">
        <v>2004</v>
      </c>
      <c r="B1296" t="s">
        <v>2086</v>
      </c>
      <c r="C1296" t="s">
        <v>2087</v>
      </c>
      <c r="E1296" t="s">
        <v>795</v>
      </c>
    </row>
    <row r="1297" spans="1:5" x14ac:dyDescent="0.2">
      <c r="A1297" t="s">
        <v>2004</v>
      </c>
      <c r="B1297" t="s">
        <v>2088</v>
      </c>
      <c r="C1297" t="s">
        <v>796</v>
      </c>
      <c r="E1297" t="s">
        <v>795</v>
      </c>
    </row>
    <row r="1298" spans="1:5" x14ac:dyDescent="0.2">
      <c r="A1298" t="s">
        <v>2004</v>
      </c>
      <c r="B1298" t="s">
        <v>2089</v>
      </c>
      <c r="C1298" t="s">
        <v>2090</v>
      </c>
      <c r="E1298" t="s">
        <v>795</v>
      </c>
    </row>
    <row r="1299" spans="1:5" x14ac:dyDescent="0.2">
      <c r="A1299" t="s">
        <v>2004</v>
      </c>
      <c r="B1299" t="s">
        <v>2091</v>
      </c>
      <c r="C1299" t="s">
        <v>2092</v>
      </c>
      <c r="E1299" t="s">
        <v>795</v>
      </c>
    </row>
    <row r="1300" spans="1:5" x14ac:dyDescent="0.2">
      <c r="A1300" t="s">
        <v>2004</v>
      </c>
      <c r="B1300" t="s">
        <v>2093</v>
      </c>
      <c r="C1300" t="s">
        <v>798</v>
      </c>
      <c r="E1300" t="s">
        <v>797</v>
      </c>
    </row>
    <row r="1301" spans="1:5" x14ac:dyDescent="0.2">
      <c r="A1301" t="s">
        <v>2004</v>
      </c>
      <c r="B1301" t="s">
        <v>2094</v>
      </c>
      <c r="C1301" t="s">
        <v>2095</v>
      </c>
      <c r="E1301" t="s">
        <v>799</v>
      </c>
    </row>
    <row r="1302" spans="1:5" x14ac:dyDescent="0.2">
      <c r="A1302" t="s">
        <v>2004</v>
      </c>
      <c r="B1302" t="s">
        <v>2096</v>
      </c>
      <c r="C1302" t="s">
        <v>2097</v>
      </c>
      <c r="E1302" t="s">
        <v>799</v>
      </c>
    </row>
    <row r="1303" spans="1:5" x14ac:dyDescent="0.2">
      <c r="A1303" t="s">
        <v>2004</v>
      </c>
      <c r="B1303" t="s">
        <v>2098</v>
      </c>
      <c r="C1303" t="s">
        <v>2099</v>
      </c>
      <c r="E1303" t="s">
        <v>799</v>
      </c>
    </row>
    <row r="1304" spans="1:5" x14ac:dyDescent="0.2">
      <c r="A1304" t="s">
        <v>2004</v>
      </c>
      <c r="B1304" t="s">
        <v>2100</v>
      </c>
      <c r="C1304" t="s">
        <v>2101</v>
      </c>
      <c r="E1304" t="s">
        <v>799</v>
      </c>
    </row>
  </sheetData>
  <sheetProtection algorithmName="SHA-512" hashValue="1UwAnVv0HGt40KH1dQNmQPO1Z4N+osH9owmUd34V7UoTI6qZ6pg3yRrs6DyYn/k2mCna+AEhG39m+EvE6a3NAw==" saltValue="cYHAysgk8/VWtBoxJbet5Q==" spinCount="100000" sheet="1" formatCells="0" formatColumns="0" formatRows="0" insertColumns="0" insertRows="0" deleteColumns="0" deleteRows="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C33" sqref="C33"/>
    </sheetView>
  </sheetViews>
  <sheetFormatPr baseColWidth="10" defaultColWidth="8.83203125" defaultRowHeight="15" x14ac:dyDescent="0.2"/>
  <cols>
    <col min="1" max="4" width="28.1640625" style="3" customWidth="1"/>
    <col min="5" max="6" width="8.83203125" style="3" customWidth="1"/>
    <col min="7" max="16384" width="8.83203125" style="3"/>
  </cols>
  <sheetData>
    <row r="1" spans="1:4" s="2" customFormat="1" x14ac:dyDescent="0.2">
      <c r="A1" s="6" t="s">
        <v>2102</v>
      </c>
      <c r="B1" s="6" t="s">
        <v>2103</v>
      </c>
      <c r="C1" s="6" t="s">
        <v>2104</v>
      </c>
      <c r="D1" s="6" t="s">
        <v>2105</v>
      </c>
    </row>
    <row r="2" spans="1:4" x14ac:dyDescent="0.2">
      <c r="A2" s="3" t="s">
        <v>2106</v>
      </c>
      <c r="B2" s="4" t="s">
        <v>2107</v>
      </c>
      <c r="C2" t="s">
        <v>42</v>
      </c>
      <c r="D2" s="3" t="s">
        <v>2108</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activeCell="F12" sqref="F12"/>
      <selection pane="bottomLeft" activeCell="F12" sqref="F12"/>
    </sheetView>
  </sheetViews>
  <sheetFormatPr baseColWidth="10" defaultColWidth="10.83203125" defaultRowHeight="15" x14ac:dyDescent="0.2"/>
  <cols>
    <col min="1" max="2" width="10.83203125" style="134" customWidth="1"/>
    <col min="3" max="3" width="15.1640625" style="148" customWidth="1"/>
    <col min="4" max="4" width="10.83203125" style="149" customWidth="1"/>
    <col min="5" max="5" width="28.6640625" style="150" customWidth="1"/>
    <col min="6" max="6" width="32" style="150" customWidth="1"/>
    <col min="7" max="8" width="10.83203125" style="134" customWidth="1"/>
    <col min="9" max="16384" width="10.83203125" style="134"/>
  </cols>
  <sheetData>
    <row r="2" spans="2:6" x14ac:dyDescent="0.2">
      <c r="C2" s="135"/>
      <c r="D2" s="136"/>
      <c r="E2" s="137"/>
      <c r="F2" s="137"/>
    </row>
    <row r="3" spans="2:6" ht="32" customHeight="1" x14ac:dyDescent="0.2">
      <c r="B3" s="138"/>
      <c r="C3" s="139" t="s">
        <v>2109</v>
      </c>
      <c r="D3" s="140" t="s">
        <v>2110</v>
      </c>
      <c r="E3" s="141" t="s">
        <v>2111</v>
      </c>
      <c r="F3" s="141" t="s">
        <v>2112</v>
      </c>
    </row>
    <row r="4" spans="2:6" ht="16" customHeight="1" x14ac:dyDescent="0.2">
      <c r="B4" s="138"/>
      <c r="C4" s="9" t="s">
        <v>2113</v>
      </c>
      <c r="D4" s="142" t="s">
        <v>1725</v>
      </c>
      <c r="E4" s="143" t="s">
        <v>1726</v>
      </c>
      <c r="F4" s="143" t="s">
        <v>1727</v>
      </c>
    </row>
    <row r="5" spans="2:6" ht="16" customHeight="1" x14ac:dyDescent="0.2">
      <c r="B5" s="138"/>
      <c r="C5" s="9" t="s">
        <v>2113</v>
      </c>
      <c r="D5" s="142" t="s">
        <v>1728</v>
      </c>
      <c r="E5" s="143" t="s">
        <v>1729</v>
      </c>
      <c r="F5" s="143" t="s">
        <v>1730</v>
      </c>
    </row>
    <row r="6" spans="2:6" ht="16" customHeight="1" x14ac:dyDescent="0.2">
      <c r="B6" s="138"/>
      <c r="C6" s="9" t="s">
        <v>2113</v>
      </c>
      <c r="D6" s="142" t="s">
        <v>1731</v>
      </c>
      <c r="E6" s="143" t="s">
        <v>1732</v>
      </c>
      <c r="F6" s="143" t="s">
        <v>1733</v>
      </c>
    </row>
    <row r="7" spans="2:6" ht="16" customHeight="1" x14ac:dyDescent="0.2">
      <c r="B7" s="138"/>
      <c r="C7" s="9" t="s">
        <v>2113</v>
      </c>
      <c r="D7" s="142" t="s">
        <v>1734</v>
      </c>
      <c r="E7" s="143" t="s">
        <v>1735</v>
      </c>
      <c r="F7" s="143" t="s">
        <v>1736</v>
      </c>
    </row>
    <row r="8" spans="2:6" ht="16" customHeight="1" x14ac:dyDescent="0.2">
      <c r="B8" s="138"/>
      <c r="C8" s="9" t="s">
        <v>2113</v>
      </c>
      <c r="D8" s="142" t="s">
        <v>1737</v>
      </c>
      <c r="E8" s="143" t="s">
        <v>1738</v>
      </c>
      <c r="F8" s="143" t="s">
        <v>1739</v>
      </c>
    </row>
    <row r="9" spans="2:6" ht="16" customHeight="1" x14ac:dyDescent="0.2">
      <c r="B9" s="138"/>
      <c r="C9" s="9"/>
      <c r="D9" s="142" t="s">
        <v>1767</v>
      </c>
      <c r="E9" s="143" t="s">
        <v>1768</v>
      </c>
      <c r="F9" s="143" t="s">
        <v>1769</v>
      </c>
    </row>
    <row r="10" spans="2:6" ht="16" customHeight="1" x14ac:dyDescent="0.2">
      <c r="B10" s="138"/>
      <c r="C10" s="178"/>
      <c r="D10" s="142" t="s">
        <v>1770</v>
      </c>
      <c r="E10" s="144" t="s">
        <v>1771</v>
      </c>
      <c r="F10" s="144" t="s">
        <v>1772</v>
      </c>
    </row>
    <row r="11" spans="2:6" ht="16" customHeight="1" x14ac:dyDescent="0.2">
      <c r="B11" s="138"/>
      <c r="C11" s="9"/>
      <c r="D11" s="142" t="s">
        <v>1773</v>
      </c>
      <c r="E11" s="143" t="s">
        <v>1774</v>
      </c>
      <c r="F11" s="143" t="s">
        <v>1775</v>
      </c>
    </row>
    <row r="12" spans="2:6" ht="16" customHeight="1" x14ac:dyDescent="0.2">
      <c r="B12" s="138"/>
      <c r="C12" s="9" t="s">
        <v>2113</v>
      </c>
      <c r="D12" s="142" t="s">
        <v>1740</v>
      </c>
      <c r="E12" s="143" t="s">
        <v>1741</v>
      </c>
      <c r="F12" s="143" t="s">
        <v>1742</v>
      </c>
    </row>
    <row r="13" spans="2:6" ht="16" customHeight="1" x14ac:dyDescent="0.2">
      <c r="B13" s="138"/>
      <c r="C13" s="9"/>
      <c r="D13" s="142" t="s">
        <v>1776</v>
      </c>
      <c r="E13" s="143" t="s">
        <v>1777</v>
      </c>
      <c r="F13" s="143" t="s">
        <v>1778</v>
      </c>
    </row>
    <row r="14" spans="2:6" ht="16" customHeight="1" x14ac:dyDescent="0.2">
      <c r="B14" s="138"/>
      <c r="C14" s="9"/>
      <c r="D14" s="142" t="s">
        <v>1779</v>
      </c>
      <c r="E14" s="143" t="s">
        <v>1780</v>
      </c>
      <c r="F14" s="143" t="s">
        <v>1781</v>
      </c>
    </row>
    <row r="15" spans="2:6" ht="16" customHeight="1" x14ac:dyDescent="0.2">
      <c r="B15" s="138"/>
      <c r="C15" s="9"/>
      <c r="D15" s="142" t="s">
        <v>1782</v>
      </c>
      <c r="E15" s="143" t="s">
        <v>1783</v>
      </c>
      <c r="F15" s="143" t="s">
        <v>1784</v>
      </c>
    </row>
    <row r="16" spans="2:6" ht="16" customHeight="1" x14ac:dyDescent="0.2">
      <c r="B16" s="138"/>
      <c r="C16" s="9"/>
      <c r="D16" s="142" t="s">
        <v>1785</v>
      </c>
      <c r="E16" s="143" t="s">
        <v>1786</v>
      </c>
      <c r="F16" s="143" t="s">
        <v>1787</v>
      </c>
    </row>
    <row r="17" spans="2:6" ht="16" customHeight="1" x14ac:dyDescent="0.2">
      <c r="B17" s="138"/>
      <c r="C17" s="178"/>
      <c r="D17" s="142" t="s">
        <v>1788</v>
      </c>
      <c r="E17" s="144" t="s">
        <v>1789</v>
      </c>
      <c r="F17" s="144" t="s">
        <v>1790</v>
      </c>
    </row>
    <row r="18" spans="2:6" ht="16" customHeight="1" x14ac:dyDescent="0.2">
      <c r="B18" s="138"/>
      <c r="C18" s="9" t="s">
        <v>2113</v>
      </c>
      <c r="D18" s="142" t="s">
        <v>1743</v>
      </c>
      <c r="E18" s="143" t="s">
        <v>1744</v>
      </c>
      <c r="F18" s="143" t="s">
        <v>1745</v>
      </c>
    </row>
    <row r="19" spans="2:6" ht="16" customHeight="1" x14ac:dyDescent="0.2">
      <c r="B19" s="138"/>
      <c r="C19" s="9"/>
      <c r="D19" s="142" t="s">
        <v>1791</v>
      </c>
      <c r="E19" s="143" t="s">
        <v>1792</v>
      </c>
      <c r="F19" s="143" t="s">
        <v>1793</v>
      </c>
    </row>
    <row r="20" spans="2:6" ht="16" customHeight="1" x14ac:dyDescent="0.2">
      <c r="B20" s="138"/>
      <c r="C20" s="9"/>
      <c r="D20" s="142" t="s">
        <v>1794</v>
      </c>
      <c r="E20" s="143" t="s">
        <v>1795</v>
      </c>
      <c r="F20" s="143" t="s">
        <v>1796</v>
      </c>
    </row>
    <row r="21" spans="2:6" ht="16" customHeight="1" x14ac:dyDescent="0.2">
      <c r="B21" s="138"/>
      <c r="C21" s="9"/>
      <c r="D21" s="142" t="s">
        <v>1797</v>
      </c>
      <c r="E21" s="143" t="s">
        <v>1798</v>
      </c>
      <c r="F21" s="143" t="s">
        <v>1799</v>
      </c>
    </row>
    <row r="22" spans="2:6" ht="16" customHeight="1" x14ac:dyDescent="0.2">
      <c r="B22" s="138"/>
      <c r="C22" s="9"/>
      <c r="D22" s="142" t="s">
        <v>1800</v>
      </c>
      <c r="E22" s="143" t="s">
        <v>1801</v>
      </c>
      <c r="F22" s="143" t="s">
        <v>1802</v>
      </c>
    </row>
    <row r="23" spans="2:6" ht="16" customHeight="1" x14ac:dyDescent="0.2">
      <c r="B23" s="138"/>
      <c r="C23" s="9"/>
      <c r="D23" s="142" t="s">
        <v>1803</v>
      </c>
      <c r="E23" s="143" t="s">
        <v>1804</v>
      </c>
      <c r="F23" s="143" t="s">
        <v>1805</v>
      </c>
    </row>
    <row r="24" spans="2:6" ht="16" customHeight="1" x14ac:dyDescent="0.2">
      <c r="B24" s="138"/>
      <c r="C24" s="9"/>
      <c r="D24" s="142" t="s">
        <v>1806</v>
      </c>
      <c r="E24" s="143" t="s">
        <v>1807</v>
      </c>
      <c r="F24" s="143" t="s">
        <v>1808</v>
      </c>
    </row>
    <row r="25" spans="2:6" ht="16" customHeight="1" x14ac:dyDescent="0.2">
      <c r="B25" s="138"/>
      <c r="C25" s="178"/>
      <c r="D25" s="142" t="s">
        <v>1809</v>
      </c>
      <c r="E25" s="144" t="s">
        <v>1810</v>
      </c>
      <c r="F25" s="144" t="s">
        <v>1811</v>
      </c>
    </row>
    <row r="26" spans="2:6" ht="16" customHeight="1" x14ac:dyDescent="0.2">
      <c r="B26" s="138"/>
      <c r="C26" s="9" t="s">
        <v>2113</v>
      </c>
      <c r="D26" s="142" t="s">
        <v>1746</v>
      </c>
      <c r="E26" s="143" t="s">
        <v>1747</v>
      </c>
      <c r="F26" s="143" t="s">
        <v>1748</v>
      </c>
    </row>
    <row r="27" spans="2:6" ht="16" customHeight="1" x14ac:dyDescent="0.2">
      <c r="B27" s="138"/>
      <c r="C27" s="9"/>
      <c r="D27" s="142" t="s">
        <v>1815</v>
      </c>
      <c r="E27" s="143" t="s">
        <v>1816</v>
      </c>
      <c r="F27" s="143" t="s">
        <v>1817</v>
      </c>
    </row>
    <row r="28" spans="2:6" ht="16" customHeight="1" x14ac:dyDescent="0.2">
      <c r="B28" s="138"/>
      <c r="C28" s="9"/>
      <c r="D28" s="142" t="s">
        <v>1818</v>
      </c>
      <c r="E28" s="143" t="s">
        <v>1819</v>
      </c>
      <c r="F28" s="143" t="s">
        <v>1820</v>
      </c>
    </row>
    <row r="29" spans="2:6" ht="16" customHeight="1" x14ac:dyDescent="0.2">
      <c r="B29" s="138"/>
      <c r="C29" s="9"/>
      <c r="D29" s="142" t="s">
        <v>1821</v>
      </c>
      <c r="E29" s="143" t="s">
        <v>1822</v>
      </c>
      <c r="F29" s="143" t="s">
        <v>1823</v>
      </c>
    </row>
    <row r="30" spans="2:6" ht="16" customHeight="1" x14ac:dyDescent="0.2">
      <c r="B30" s="138"/>
      <c r="C30" s="9"/>
      <c r="D30" s="142" t="s">
        <v>1824</v>
      </c>
      <c r="E30" s="143" t="s">
        <v>1825</v>
      </c>
      <c r="F30" s="143" t="s">
        <v>1826</v>
      </c>
    </row>
    <row r="31" spans="2:6" ht="16" customHeight="1" x14ac:dyDescent="0.2">
      <c r="B31" s="138"/>
      <c r="C31" s="9"/>
      <c r="D31" s="142" t="s">
        <v>1827</v>
      </c>
      <c r="E31" s="143" t="s">
        <v>1828</v>
      </c>
      <c r="F31" s="143" t="s">
        <v>1828</v>
      </c>
    </row>
    <row r="32" spans="2:6" ht="16" customHeight="1" x14ac:dyDescent="0.2">
      <c r="B32" s="138"/>
      <c r="C32" s="9"/>
      <c r="D32" s="142" t="s">
        <v>1829</v>
      </c>
      <c r="E32" s="143" t="s">
        <v>1830</v>
      </c>
      <c r="F32" s="143" t="s">
        <v>1831</v>
      </c>
    </row>
    <row r="33" spans="2:6" ht="32" customHeight="1" x14ac:dyDescent="0.2">
      <c r="B33" s="138"/>
      <c r="C33" s="9"/>
      <c r="D33" s="142" t="s">
        <v>1832</v>
      </c>
      <c r="E33" s="143" t="s">
        <v>1833</v>
      </c>
      <c r="F33" s="143" t="s">
        <v>1834</v>
      </c>
    </row>
    <row r="34" spans="2:6" ht="16" customHeight="1" x14ac:dyDescent="0.2">
      <c r="B34" s="138"/>
      <c r="C34" s="9"/>
      <c r="D34" s="142" t="s">
        <v>1812</v>
      </c>
      <c r="E34" s="143" t="s">
        <v>1813</v>
      </c>
      <c r="F34" s="143" t="s">
        <v>1814</v>
      </c>
    </row>
    <row r="35" spans="2:6" ht="16" customHeight="1" x14ac:dyDescent="0.2">
      <c r="B35" s="138"/>
      <c r="C35" s="178"/>
      <c r="D35" s="142" t="s">
        <v>1835</v>
      </c>
      <c r="E35" s="144" t="s">
        <v>1836</v>
      </c>
      <c r="F35" s="144" t="s">
        <v>1837</v>
      </c>
    </row>
    <row r="36" spans="2:6" ht="16" customHeight="1" x14ac:dyDescent="0.2">
      <c r="B36" s="138"/>
      <c r="C36" s="9" t="s">
        <v>2113</v>
      </c>
      <c r="D36" s="142" t="s">
        <v>1749</v>
      </c>
      <c r="E36" s="143" t="s">
        <v>1750</v>
      </c>
      <c r="F36" s="143" t="s">
        <v>1751</v>
      </c>
    </row>
    <row r="37" spans="2:6" ht="16" customHeight="1" x14ac:dyDescent="0.2">
      <c r="B37" s="138"/>
      <c r="C37" s="9"/>
      <c r="D37" s="142" t="s">
        <v>1844</v>
      </c>
      <c r="E37" s="143" t="s">
        <v>1845</v>
      </c>
      <c r="F37" s="143" t="s">
        <v>1846</v>
      </c>
    </row>
    <row r="38" spans="2:6" ht="16" customHeight="1" x14ac:dyDescent="0.2">
      <c r="B38" s="138"/>
      <c r="C38" s="9"/>
      <c r="D38" s="142" t="s">
        <v>1847</v>
      </c>
      <c r="E38" s="143" t="s">
        <v>1848</v>
      </c>
      <c r="F38" s="143" t="s">
        <v>1849</v>
      </c>
    </row>
    <row r="39" spans="2:6" ht="16" customHeight="1" x14ac:dyDescent="0.2">
      <c r="B39" s="138"/>
      <c r="C39" s="9"/>
      <c r="D39" s="142" t="s">
        <v>1850</v>
      </c>
      <c r="E39" s="143" t="s">
        <v>1851</v>
      </c>
      <c r="F39" s="143" t="s">
        <v>1852</v>
      </c>
    </row>
    <row r="40" spans="2:6" ht="16" customHeight="1" x14ac:dyDescent="0.2">
      <c r="B40" s="138"/>
      <c r="C40" s="9"/>
      <c r="D40" s="142" t="s">
        <v>1853</v>
      </c>
      <c r="E40" s="143" t="s">
        <v>1854</v>
      </c>
      <c r="F40" s="143" t="s">
        <v>1855</v>
      </c>
    </row>
    <row r="41" spans="2:6" ht="16" customHeight="1" x14ac:dyDescent="0.2">
      <c r="B41" s="138"/>
      <c r="C41" s="9"/>
      <c r="D41" s="142" t="s">
        <v>1856</v>
      </c>
      <c r="E41" s="143" t="s">
        <v>1857</v>
      </c>
      <c r="F41" s="143" t="s">
        <v>1857</v>
      </c>
    </row>
    <row r="42" spans="2:6" ht="16" customHeight="1" x14ac:dyDescent="0.2">
      <c r="B42" s="138"/>
      <c r="C42" s="9"/>
      <c r="D42" s="142" t="s">
        <v>1858</v>
      </c>
      <c r="E42" s="143" t="s">
        <v>1859</v>
      </c>
      <c r="F42" s="143" t="s">
        <v>1860</v>
      </c>
    </row>
    <row r="43" spans="2:6" ht="16" customHeight="1" x14ac:dyDescent="0.2">
      <c r="B43" s="138"/>
      <c r="C43" s="9" t="s">
        <v>2113</v>
      </c>
      <c r="D43" s="142" t="s">
        <v>1752</v>
      </c>
      <c r="E43" s="143" t="s">
        <v>1753</v>
      </c>
      <c r="F43" s="143" t="s">
        <v>1754</v>
      </c>
    </row>
    <row r="44" spans="2:6" ht="16" customHeight="1" x14ac:dyDescent="0.2">
      <c r="B44" s="138"/>
      <c r="C44" s="9" t="s">
        <v>2113</v>
      </c>
      <c r="D44" s="142" t="s">
        <v>1755</v>
      </c>
      <c r="E44" s="143" t="s">
        <v>1756</v>
      </c>
      <c r="F44" s="143" t="s">
        <v>1757</v>
      </c>
    </row>
    <row r="45" spans="2:6" ht="16" customHeight="1" x14ac:dyDescent="0.2">
      <c r="B45" s="138"/>
      <c r="C45" s="9"/>
      <c r="D45" s="142" t="s">
        <v>1838</v>
      </c>
      <c r="E45" s="143" t="s">
        <v>1839</v>
      </c>
      <c r="F45" s="143" t="s">
        <v>1840</v>
      </c>
    </row>
    <row r="46" spans="2:6" ht="16" customHeight="1" x14ac:dyDescent="0.2">
      <c r="B46" s="138"/>
      <c r="C46" s="9"/>
      <c r="D46" s="142" t="s">
        <v>1841</v>
      </c>
      <c r="E46" s="143" t="s">
        <v>1842</v>
      </c>
      <c r="F46" s="143" t="s">
        <v>1843</v>
      </c>
    </row>
    <row r="47" spans="2:6" ht="16" customHeight="1" x14ac:dyDescent="0.2">
      <c r="B47" s="138"/>
      <c r="C47" s="178"/>
      <c r="D47" s="142" t="s">
        <v>1861</v>
      </c>
      <c r="E47" s="144" t="s">
        <v>1862</v>
      </c>
      <c r="F47" s="144" t="s">
        <v>1863</v>
      </c>
    </row>
    <row r="48" spans="2:6" ht="16" customHeight="1" x14ac:dyDescent="0.2">
      <c r="B48" s="138"/>
      <c r="C48" s="9"/>
      <c r="D48" s="142" t="s">
        <v>1864</v>
      </c>
      <c r="E48" s="143" t="s">
        <v>1865</v>
      </c>
      <c r="F48" s="143" t="s">
        <v>1865</v>
      </c>
    </row>
    <row r="49" spans="2:6" ht="16" customHeight="1" x14ac:dyDescent="0.2">
      <c r="B49" s="138"/>
      <c r="C49" s="9"/>
      <c r="D49" s="142" t="s">
        <v>1866</v>
      </c>
      <c r="E49" s="143" t="s">
        <v>1867</v>
      </c>
      <c r="F49" s="143" t="s">
        <v>1868</v>
      </c>
    </row>
    <row r="50" spans="2:6" ht="16" customHeight="1" x14ac:dyDescent="0.2">
      <c r="B50" s="138"/>
      <c r="C50" s="9"/>
      <c r="D50" s="142" t="s">
        <v>1869</v>
      </c>
      <c r="E50" s="143" t="s">
        <v>1870</v>
      </c>
      <c r="F50" s="143" t="s">
        <v>1871</v>
      </c>
    </row>
    <row r="51" spans="2:6" ht="16" customHeight="1" x14ac:dyDescent="0.2">
      <c r="B51" s="138"/>
      <c r="C51" s="9"/>
      <c r="D51" s="142" t="s">
        <v>1872</v>
      </c>
      <c r="E51" s="143" t="s">
        <v>1873</v>
      </c>
      <c r="F51" s="143" t="s">
        <v>1874</v>
      </c>
    </row>
    <row r="52" spans="2:6" ht="16" customHeight="1" x14ac:dyDescent="0.2">
      <c r="B52" s="138"/>
      <c r="C52" s="178"/>
      <c r="D52" s="142" t="s">
        <v>1875</v>
      </c>
      <c r="E52" s="144" t="s">
        <v>1876</v>
      </c>
      <c r="F52" s="144" t="s">
        <v>1877</v>
      </c>
    </row>
    <row r="53" spans="2:6" ht="16" customHeight="1" x14ac:dyDescent="0.2">
      <c r="B53" s="138"/>
      <c r="C53" s="9"/>
      <c r="D53" s="142" t="s">
        <v>1878</v>
      </c>
      <c r="E53" s="143" t="s">
        <v>1879</v>
      </c>
      <c r="F53" s="143" t="s">
        <v>1880</v>
      </c>
    </row>
    <row r="54" spans="2:6" ht="16" customHeight="1" x14ac:dyDescent="0.2">
      <c r="B54" s="138"/>
      <c r="C54" s="9"/>
      <c r="D54" s="142" t="s">
        <v>1907</v>
      </c>
      <c r="E54" s="143" t="s">
        <v>1908</v>
      </c>
      <c r="F54" s="143" t="s">
        <v>1909</v>
      </c>
    </row>
    <row r="55" spans="2:6" ht="16" customHeight="1" x14ac:dyDescent="0.2">
      <c r="B55" s="138"/>
      <c r="C55" s="9"/>
      <c r="D55" s="142" t="s">
        <v>1910</v>
      </c>
      <c r="E55" s="143" t="s">
        <v>1911</v>
      </c>
      <c r="F55" s="143" t="s">
        <v>1912</v>
      </c>
    </row>
    <row r="56" spans="2:6" ht="16" customHeight="1" x14ac:dyDescent="0.2">
      <c r="B56" s="138"/>
      <c r="C56" s="9"/>
      <c r="D56" s="142" t="s">
        <v>1913</v>
      </c>
      <c r="E56" s="143" t="s">
        <v>1914</v>
      </c>
      <c r="F56" s="143" t="s">
        <v>1915</v>
      </c>
    </row>
    <row r="57" spans="2:6" ht="16" customHeight="1" x14ac:dyDescent="0.2">
      <c r="B57" s="138"/>
      <c r="C57" s="9"/>
      <c r="D57" s="142" t="s">
        <v>1916</v>
      </c>
      <c r="E57" s="143" t="s">
        <v>1917</v>
      </c>
      <c r="F57" s="143" t="s">
        <v>1918</v>
      </c>
    </row>
    <row r="58" spans="2:6" ht="16" customHeight="1" x14ac:dyDescent="0.2">
      <c r="B58" s="138"/>
      <c r="C58" s="9"/>
      <c r="D58" s="142" t="s">
        <v>1919</v>
      </c>
      <c r="E58" s="143" t="s">
        <v>1920</v>
      </c>
      <c r="F58" s="143" t="s">
        <v>1921</v>
      </c>
    </row>
    <row r="59" spans="2:6" ht="16" customHeight="1" x14ac:dyDescent="0.2">
      <c r="B59" s="138"/>
      <c r="C59" s="9"/>
      <c r="D59" s="142" t="s">
        <v>1922</v>
      </c>
      <c r="E59" s="143" t="s">
        <v>1923</v>
      </c>
      <c r="F59" s="143" t="s">
        <v>1924</v>
      </c>
    </row>
    <row r="60" spans="2:6" ht="16" customHeight="1" x14ac:dyDescent="0.2">
      <c r="B60" s="138"/>
      <c r="C60" s="9" t="s">
        <v>2113</v>
      </c>
      <c r="D60" s="142" t="s">
        <v>1758</v>
      </c>
      <c r="E60" s="143" t="s">
        <v>1759</v>
      </c>
      <c r="F60" s="143" t="s">
        <v>1760</v>
      </c>
    </row>
    <row r="61" spans="2:6" ht="16" customHeight="1" x14ac:dyDescent="0.2">
      <c r="B61" s="138"/>
      <c r="C61" s="9"/>
      <c r="D61" s="142" t="s">
        <v>1925</v>
      </c>
      <c r="E61" s="143" t="s">
        <v>1926</v>
      </c>
      <c r="F61" s="143" t="s">
        <v>1927</v>
      </c>
    </row>
    <row r="62" spans="2:6" ht="16" customHeight="1" x14ac:dyDescent="0.2">
      <c r="B62" s="138"/>
      <c r="C62" s="9"/>
      <c r="D62" s="142" t="s">
        <v>1881</v>
      </c>
      <c r="E62" s="143" t="s">
        <v>1882</v>
      </c>
      <c r="F62" s="143" t="s">
        <v>1883</v>
      </c>
    </row>
    <row r="63" spans="2:6" ht="16" customHeight="1" x14ac:dyDescent="0.2">
      <c r="B63" s="138"/>
      <c r="C63" s="9"/>
      <c r="D63" s="142" t="s">
        <v>1884</v>
      </c>
      <c r="E63" s="143" t="s">
        <v>1885</v>
      </c>
      <c r="F63" s="143" t="s">
        <v>1886</v>
      </c>
    </row>
    <row r="64" spans="2:6" ht="16" customHeight="1" x14ac:dyDescent="0.2">
      <c r="B64" s="138"/>
      <c r="C64" s="9"/>
      <c r="D64" s="142" t="s">
        <v>1887</v>
      </c>
      <c r="E64" s="143" t="s">
        <v>1888</v>
      </c>
      <c r="F64" s="143" t="s">
        <v>1888</v>
      </c>
    </row>
    <row r="65" spans="2:6" ht="16" customHeight="1" x14ac:dyDescent="0.2">
      <c r="B65" s="138"/>
      <c r="C65" s="9"/>
      <c r="D65" s="142" t="s">
        <v>1889</v>
      </c>
      <c r="E65" s="143" t="s">
        <v>1890</v>
      </c>
      <c r="F65" s="143" t="s">
        <v>1891</v>
      </c>
    </row>
    <row r="66" spans="2:6" ht="16" customHeight="1" x14ac:dyDescent="0.2">
      <c r="B66" s="138"/>
      <c r="C66" s="9"/>
      <c r="D66" s="142" t="s">
        <v>1892</v>
      </c>
      <c r="E66" s="143" t="s">
        <v>1893</v>
      </c>
      <c r="F66" s="143" t="s">
        <v>1894</v>
      </c>
    </row>
    <row r="67" spans="2:6" ht="16" customHeight="1" x14ac:dyDescent="0.2">
      <c r="B67" s="138"/>
      <c r="C67" s="9"/>
      <c r="D67" s="142" t="s">
        <v>1895</v>
      </c>
      <c r="E67" s="143" t="s">
        <v>1896</v>
      </c>
      <c r="F67" s="143" t="s">
        <v>1897</v>
      </c>
    </row>
    <row r="68" spans="2:6" ht="16" customHeight="1" x14ac:dyDescent="0.2">
      <c r="B68" s="138"/>
      <c r="C68" s="9"/>
      <c r="D68" s="142" t="s">
        <v>1898</v>
      </c>
      <c r="E68" s="143" t="s">
        <v>1899</v>
      </c>
      <c r="F68" s="143" t="s">
        <v>1900</v>
      </c>
    </row>
    <row r="69" spans="2:6" ht="16" customHeight="1" x14ac:dyDescent="0.2">
      <c r="B69" s="138"/>
      <c r="C69" s="9"/>
      <c r="D69" s="142" t="s">
        <v>1901</v>
      </c>
      <c r="E69" s="143" t="s">
        <v>1902</v>
      </c>
      <c r="F69" s="143" t="s">
        <v>1903</v>
      </c>
    </row>
    <row r="70" spans="2:6" ht="16" customHeight="1" x14ac:dyDescent="0.2">
      <c r="B70" s="138"/>
      <c r="C70" s="9"/>
      <c r="D70" s="142" t="s">
        <v>1904</v>
      </c>
      <c r="E70" s="143" t="s">
        <v>1905</v>
      </c>
      <c r="F70" s="143" t="s">
        <v>1906</v>
      </c>
    </row>
    <row r="71" spans="2:6" ht="16" customHeight="1" x14ac:dyDescent="0.2">
      <c r="B71" s="138"/>
      <c r="C71" s="178"/>
      <c r="D71" s="142" t="s">
        <v>1928</v>
      </c>
      <c r="E71" s="144" t="s">
        <v>1929</v>
      </c>
      <c r="F71" s="144" t="s">
        <v>1930</v>
      </c>
    </row>
    <row r="72" spans="2:6" ht="16" customHeight="1" x14ac:dyDescent="0.2">
      <c r="B72" s="138"/>
      <c r="C72" s="9"/>
      <c r="D72" s="142" t="s">
        <v>1931</v>
      </c>
      <c r="E72" s="143" t="s">
        <v>1932</v>
      </c>
      <c r="F72" s="143" t="s">
        <v>1933</v>
      </c>
    </row>
    <row r="73" spans="2:6" ht="16" customHeight="1" x14ac:dyDescent="0.2">
      <c r="B73" s="138"/>
      <c r="C73" s="9" t="s">
        <v>2113</v>
      </c>
      <c r="D73" s="142" t="s">
        <v>1761</v>
      </c>
      <c r="E73" s="143" t="s">
        <v>1762</v>
      </c>
      <c r="F73" s="143" t="s">
        <v>1763</v>
      </c>
    </row>
    <row r="74" spans="2:6" ht="16" customHeight="1" x14ac:dyDescent="0.2">
      <c r="B74" s="138"/>
      <c r="C74" s="9"/>
      <c r="D74" s="142" t="s">
        <v>1934</v>
      </c>
      <c r="E74" s="143" t="s">
        <v>1935</v>
      </c>
      <c r="F74" s="143" t="s">
        <v>1936</v>
      </c>
    </row>
    <row r="75" spans="2:6" ht="16" customHeight="1" x14ac:dyDescent="0.2">
      <c r="B75" s="138"/>
      <c r="C75" s="9"/>
      <c r="D75" s="142" t="s">
        <v>1937</v>
      </c>
      <c r="E75" s="143" t="s">
        <v>1938</v>
      </c>
      <c r="F75" s="143" t="s">
        <v>1939</v>
      </c>
    </row>
    <row r="76" spans="2:6" ht="16" customHeight="1" x14ac:dyDescent="0.2">
      <c r="B76" s="138"/>
      <c r="C76" s="9"/>
      <c r="D76" s="142" t="s">
        <v>1940</v>
      </c>
      <c r="E76" s="143" t="s">
        <v>1941</v>
      </c>
      <c r="F76" s="143" t="s">
        <v>1942</v>
      </c>
    </row>
    <row r="77" spans="2:6" ht="16" customHeight="1" x14ac:dyDescent="0.2">
      <c r="B77" s="138"/>
      <c r="C77" s="9"/>
      <c r="D77" s="142" t="s">
        <v>1943</v>
      </c>
      <c r="E77" s="143" t="s">
        <v>1944</v>
      </c>
      <c r="F77" s="143" t="s">
        <v>1945</v>
      </c>
    </row>
    <row r="78" spans="2:6" ht="16" customHeight="1" x14ac:dyDescent="0.2">
      <c r="B78" s="138"/>
      <c r="C78" s="9"/>
      <c r="D78" s="142" t="s">
        <v>1946</v>
      </c>
      <c r="E78" s="143" t="s">
        <v>1947</v>
      </c>
      <c r="F78" s="143" t="s">
        <v>1948</v>
      </c>
    </row>
    <row r="79" spans="2:6" ht="16" customHeight="1" x14ac:dyDescent="0.2">
      <c r="B79" s="138"/>
      <c r="C79" s="9"/>
      <c r="D79" s="142" t="s">
        <v>1949</v>
      </c>
      <c r="E79" s="143" t="s">
        <v>1950</v>
      </c>
      <c r="F79" s="143" t="s">
        <v>1951</v>
      </c>
    </row>
    <row r="80" spans="2:6" ht="16" customHeight="1" x14ac:dyDescent="0.2">
      <c r="B80" s="138"/>
      <c r="C80" s="178"/>
      <c r="D80" s="142" t="s">
        <v>1952</v>
      </c>
      <c r="E80" s="144" t="s">
        <v>1953</v>
      </c>
      <c r="F80" s="144" t="s">
        <v>1954</v>
      </c>
    </row>
    <row r="81" spans="2:6" ht="16" customHeight="1" x14ac:dyDescent="0.2">
      <c r="B81" s="138"/>
      <c r="C81" s="9"/>
      <c r="D81" s="142" t="s">
        <v>1955</v>
      </c>
      <c r="E81" s="143" t="s">
        <v>1956</v>
      </c>
      <c r="F81" s="143" t="s">
        <v>1957</v>
      </c>
    </row>
    <row r="82" spans="2:6" ht="16" customHeight="1" x14ac:dyDescent="0.2">
      <c r="B82" s="138"/>
      <c r="C82" s="9"/>
      <c r="D82" s="142" t="s">
        <v>1958</v>
      </c>
      <c r="E82" s="143" t="s">
        <v>1959</v>
      </c>
      <c r="F82" s="143" t="s">
        <v>1960</v>
      </c>
    </row>
    <row r="83" spans="2:6" ht="16" customHeight="1" x14ac:dyDescent="0.2">
      <c r="B83" s="138"/>
      <c r="C83" s="9"/>
      <c r="D83" s="142" t="s">
        <v>1961</v>
      </c>
      <c r="E83" s="143" t="s">
        <v>1962</v>
      </c>
      <c r="F83" s="143" t="s">
        <v>1963</v>
      </c>
    </row>
    <row r="84" spans="2:6" ht="16" customHeight="1" x14ac:dyDescent="0.2">
      <c r="B84" s="138"/>
      <c r="C84" s="9"/>
      <c r="D84" s="142" t="s">
        <v>1964</v>
      </c>
      <c r="E84" s="143" t="s">
        <v>1965</v>
      </c>
      <c r="F84" s="143" t="s">
        <v>1966</v>
      </c>
    </row>
    <row r="85" spans="2:6" ht="16" customHeight="1" x14ac:dyDescent="0.2">
      <c r="B85" s="138"/>
      <c r="C85" s="9"/>
      <c r="D85" s="142" t="s">
        <v>1967</v>
      </c>
      <c r="E85" s="143" t="s">
        <v>1968</v>
      </c>
      <c r="F85" s="143" t="s">
        <v>1969</v>
      </c>
    </row>
    <row r="86" spans="2:6" ht="16" customHeight="1" x14ac:dyDescent="0.2">
      <c r="B86" s="138"/>
      <c r="C86" s="178"/>
      <c r="D86" s="142" t="s">
        <v>1970</v>
      </c>
      <c r="E86" s="144" t="s">
        <v>1971</v>
      </c>
      <c r="F86" s="144" t="s">
        <v>1972</v>
      </c>
    </row>
    <row r="87" spans="2:6" ht="16" customHeight="1" x14ac:dyDescent="0.2">
      <c r="B87" s="138"/>
      <c r="C87" s="9" t="s">
        <v>2113</v>
      </c>
      <c r="D87" s="142" t="s">
        <v>1764</v>
      </c>
      <c r="E87" s="143" t="s">
        <v>1765</v>
      </c>
      <c r="F87" s="143" t="s">
        <v>1766</v>
      </c>
    </row>
    <row r="88" spans="2:6" ht="16" customHeight="1" x14ac:dyDescent="0.2">
      <c r="B88" s="138"/>
      <c r="C88" s="9"/>
      <c r="D88" s="142" t="s">
        <v>1973</v>
      </c>
      <c r="E88" s="143" t="s">
        <v>1974</v>
      </c>
      <c r="F88" s="143" t="s">
        <v>1975</v>
      </c>
    </row>
    <row r="89" spans="2:6" ht="16" customHeight="1" x14ac:dyDescent="0.2">
      <c r="B89" s="138"/>
      <c r="C89" s="9"/>
      <c r="D89" s="142" t="s">
        <v>1976</v>
      </c>
      <c r="E89" s="143" t="s">
        <v>1977</v>
      </c>
      <c r="F89" s="143" t="s">
        <v>1977</v>
      </c>
    </row>
    <row r="90" spans="2:6" ht="16" customHeight="1" x14ac:dyDescent="0.2">
      <c r="B90" s="138"/>
      <c r="C90" s="9"/>
      <c r="D90" s="142" t="s">
        <v>1978</v>
      </c>
      <c r="E90" s="143" t="s">
        <v>1979</v>
      </c>
      <c r="F90" s="143" t="s">
        <v>1980</v>
      </c>
    </row>
    <row r="91" spans="2:6" ht="16" customHeight="1" x14ac:dyDescent="0.2">
      <c r="B91" s="138"/>
      <c r="C91" s="9"/>
      <c r="D91" s="142" t="s">
        <v>1981</v>
      </c>
      <c r="E91" s="143" t="s">
        <v>1982</v>
      </c>
      <c r="F91" s="143" t="s">
        <v>1983</v>
      </c>
    </row>
    <row r="92" spans="2:6" ht="16" customHeight="1" x14ac:dyDescent="0.2">
      <c r="B92" s="138"/>
      <c r="C92" s="9"/>
      <c r="D92" s="142" t="s">
        <v>1984</v>
      </c>
      <c r="E92" s="143" t="s">
        <v>1985</v>
      </c>
      <c r="F92" s="143" t="s">
        <v>1985</v>
      </c>
    </row>
    <row r="93" spans="2:6" ht="32" customHeight="1" x14ac:dyDescent="0.2">
      <c r="B93" s="138"/>
      <c r="C93" s="178"/>
      <c r="D93" s="142" t="s">
        <v>1986</v>
      </c>
      <c r="E93" s="144" t="s">
        <v>1987</v>
      </c>
      <c r="F93" s="144" t="s">
        <v>1988</v>
      </c>
    </row>
    <row r="94" spans="2:6" x14ac:dyDescent="0.2">
      <c r="C94" s="145"/>
      <c r="D94" s="146"/>
      <c r="E94" s="147"/>
      <c r="F94" s="147"/>
    </row>
  </sheetData>
  <sheetProtection algorithmName="SHA-512" hashValue="2UPrnJvsGcft/GJTZXaKNjx8DPI7GQr9yYIKZKJjV0y/JNhJNsqQ9eZP9Xl4MYCl0m7DKUFjvB1azkWE+gXWpA==" saltValue="ERjlw+drhOAcTmHMpa+mIA==" spinCount="100000" sheet="1" selectLockedCells="1"/>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70" zoomScaleNormal="70" workbookViewId="0">
      <selection activeCell="F12" sqref="F12"/>
    </sheetView>
  </sheetViews>
  <sheetFormatPr baseColWidth="10" defaultColWidth="10.83203125" defaultRowHeight="16" x14ac:dyDescent="0.2"/>
  <cols>
    <col min="1" max="1" width="10.83203125" style="19" customWidth="1"/>
    <col min="2" max="2" width="8.83203125" style="19" customWidth="1"/>
    <col min="3" max="3" width="27.6640625" style="19" customWidth="1"/>
    <col min="4" max="5" width="20.83203125" style="19" customWidth="1"/>
    <col min="6" max="7" width="46.5" style="42" customWidth="1"/>
    <col min="8" max="8" width="20.83203125" style="236" customWidth="1"/>
    <col min="9" max="9" width="20.83203125" style="19" customWidth="1"/>
    <col min="10" max="11" width="10.83203125" style="19" customWidth="1"/>
    <col min="12" max="16384" width="10.83203125" style="19"/>
  </cols>
  <sheetData>
    <row r="1" spans="1:11" ht="17" customHeight="1" thickBot="1" x14ac:dyDescent="0.25">
      <c r="C1" s="20"/>
      <c r="D1" s="20"/>
      <c r="E1" s="20"/>
      <c r="F1" s="38"/>
      <c r="G1" s="38"/>
      <c r="H1" s="234"/>
      <c r="I1" s="20"/>
    </row>
    <row r="2" spans="1:11" s="42" customFormat="1" ht="17" customHeight="1" thickBot="1" x14ac:dyDescent="0.25">
      <c r="A2" s="61"/>
      <c r="B2" s="62"/>
      <c r="C2" s="63" t="s">
        <v>2114</v>
      </c>
      <c r="D2" s="64" t="s">
        <v>2115</v>
      </c>
      <c r="E2" s="222" t="s">
        <v>2116</v>
      </c>
      <c r="F2" s="224" t="s">
        <v>2117</v>
      </c>
      <c r="G2" s="39" t="s">
        <v>2118</v>
      </c>
      <c r="H2" s="237" t="s">
        <v>2119</v>
      </c>
      <c r="I2" s="65" t="s">
        <v>2120</v>
      </c>
      <c r="J2" s="66"/>
    </row>
    <row r="3" spans="1:11" ht="62.5" customHeight="1" x14ac:dyDescent="0.2">
      <c r="A3" s="21"/>
      <c r="B3" s="293" t="s">
        <v>2121</v>
      </c>
      <c r="C3" s="48" t="s">
        <v>2122</v>
      </c>
      <c r="D3" s="270" t="s">
        <v>2123</v>
      </c>
      <c r="E3" s="248" t="str">
        <f>IF(D3="","",D3)</f>
        <v>50000000</v>
      </c>
      <c r="F3" s="225" t="s">
        <v>2124</v>
      </c>
      <c r="G3" s="172" t="s">
        <v>2125</v>
      </c>
      <c r="H3" s="238" t="s">
        <v>2126</v>
      </c>
      <c r="I3" s="265" t="s">
        <v>2126</v>
      </c>
      <c r="J3" s="22"/>
    </row>
    <row r="4" spans="1:11" ht="31.75" customHeight="1" x14ac:dyDescent="0.2">
      <c r="A4" s="21"/>
      <c r="B4" s="290"/>
      <c r="C4" s="30" t="s">
        <v>2127</v>
      </c>
      <c r="D4" s="170">
        <v>18</v>
      </c>
      <c r="E4" s="249">
        <f>IF(D4="","",D4)</f>
        <v>18</v>
      </c>
      <c r="F4" s="174" t="s">
        <v>2128</v>
      </c>
      <c r="G4" s="173" t="s">
        <v>2129</v>
      </c>
      <c r="H4" s="239">
        <v>18</v>
      </c>
      <c r="I4" s="266">
        <v>18</v>
      </c>
      <c r="J4" s="22"/>
    </row>
    <row r="5" spans="1:11" ht="43.5" customHeight="1" x14ac:dyDescent="0.2">
      <c r="A5" s="21"/>
      <c r="B5" s="290"/>
      <c r="C5" s="31" t="s">
        <v>2130</v>
      </c>
      <c r="D5" s="280" t="s">
        <v>2131</v>
      </c>
      <c r="E5" s="249" t="str">
        <f>IF(D5="","",D5)</f>
        <v>Region</v>
      </c>
      <c r="F5" s="174" t="s">
        <v>2132</v>
      </c>
      <c r="G5" s="173" t="s">
        <v>2133</v>
      </c>
      <c r="H5" s="240" t="s">
        <v>2134</v>
      </c>
      <c r="I5" s="267" t="s">
        <v>2134</v>
      </c>
      <c r="J5" s="22"/>
    </row>
    <row r="6" spans="1:11" ht="48" customHeight="1" x14ac:dyDescent="0.2">
      <c r="A6" s="21"/>
      <c r="B6" s="290"/>
      <c r="C6" s="32" t="s">
        <v>2135</v>
      </c>
      <c r="D6" s="280" t="s">
        <v>2136</v>
      </c>
      <c r="E6" s="249" t="str">
        <f>IF(D6="","",D6)</f>
        <v>cercle</v>
      </c>
      <c r="F6" s="174" t="s">
        <v>2137</v>
      </c>
      <c r="G6" s="174" t="s">
        <v>2138</v>
      </c>
      <c r="H6" s="241" t="s">
        <v>2139</v>
      </c>
      <c r="I6" s="263" t="s">
        <v>2139</v>
      </c>
      <c r="J6" s="22"/>
    </row>
    <row r="7" spans="1:11" s="194" customFormat="1" ht="96" customHeight="1" x14ac:dyDescent="0.2">
      <c r="A7" s="190"/>
      <c r="B7" s="290"/>
      <c r="C7" s="191" t="s">
        <v>2140</v>
      </c>
      <c r="D7" s="251" t="s">
        <v>2141</v>
      </c>
      <c r="E7" s="250" t="str">
        <f>IF(D7="","",IF(D7="une année normale","a normal year",IF(D7="l'année dernière","last year","")))</f>
        <v>a normal year</v>
      </c>
      <c r="F7" s="174" t="s">
        <v>2142</v>
      </c>
      <c r="G7" s="192" t="s">
        <v>2143</v>
      </c>
      <c r="H7" s="241" t="s">
        <v>2141</v>
      </c>
      <c r="I7" s="264" t="s">
        <v>2144</v>
      </c>
      <c r="J7" s="193"/>
    </row>
    <row r="8" spans="1:11" ht="80" customHeight="1" x14ac:dyDescent="0.2">
      <c r="A8" s="21"/>
      <c r="B8" s="290"/>
      <c r="C8" s="32" t="s">
        <v>2145</v>
      </c>
      <c r="D8" s="280" t="s">
        <v>2146</v>
      </c>
      <c r="E8" s="280" t="s">
        <v>2147</v>
      </c>
      <c r="F8" s="175" t="s">
        <v>2148</v>
      </c>
      <c r="G8" s="175" t="s">
        <v>2149</v>
      </c>
      <c r="H8" s="242" t="s">
        <v>2146</v>
      </c>
      <c r="I8" s="23" t="s">
        <v>2150</v>
      </c>
      <c r="J8" s="22"/>
      <c r="K8" s="271"/>
    </row>
    <row r="9" spans="1:11" ht="96" customHeight="1" x14ac:dyDescent="0.2">
      <c r="A9" s="21"/>
      <c r="B9" s="290"/>
      <c r="C9" s="32" t="s">
        <v>2151</v>
      </c>
      <c r="D9" s="252" t="s">
        <v>2152</v>
      </c>
      <c r="E9" s="250" t="str">
        <f>IF(D9="Pas encore en saison","Not yet in season",IF(D9="Préparation du terrain","Land preparation",IF(D9="Semis / plantation","Planting",IF(D9="Début de la croissance","Early growing",IF(D9="Croissance","Growing",IF(D9="Proche de la récolte","Maturing",IF(D9="Récolte","Harvesting",IF(D9="Post-récolte","Recently finished",""))))))))</f>
        <v>Recently finished</v>
      </c>
      <c r="F9" s="175" t="s">
        <v>2153</v>
      </c>
      <c r="G9" s="175" t="s">
        <v>2154</v>
      </c>
      <c r="H9" s="242" t="s">
        <v>2155</v>
      </c>
      <c r="I9" s="263" t="s">
        <v>2156</v>
      </c>
      <c r="J9" s="22"/>
    </row>
    <row r="10" spans="1:11" s="194" customFormat="1" ht="58" customHeight="1" thickBot="1" x14ac:dyDescent="0.25">
      <c r="A10" s="190"/>
      <c r="B10" s="290"/>
      <c r="C10" s="197" t="s">
        <v>2157</v>
      </c>
      <c r="D10" s="272"/>
      <c r="E10" s="272"/>
      <c r="F10" s="226" t="s">
        <v>2158</v>
      </c>
      <c r="G10" s="25" t="s">
        <v>2159</v>
      </c>
      <c r="H10" s="242" t="s">
        <v>2160</v>
      </c>
      <c r="I10" s="196" t="s">
        <v>2160</v>
      </c>
      <c r="J10" s="193"/>
    </row>
    <row r="11" spans="1:11" s="194" customFormat="1" ht="50.25" customHeight="1" thickBot="1" x14ac:dyDescent="0.25">
      <c r="A11" s="190"/>
      <c r="B11" s="291"/>
      <c r="C11" s="198" t="s">
        <v>2161</v>
      </c>
      <c r="D11" s="272"/>
      <c r="E11" s="253" t="str">
        <f>IF(D11&lt;&gt;"",D11,"")</f>
        <v/>
      </c>
      <c r="F11" s="227" t="s">
        <v>2162</v>
      </c>
      <c r="G11" s="24" t="s">
        <v>2163</v>
      </c>
      <c r="H11" s="243">
        <v>0.2</v>
      </c>
      <c r="I11" s="262">
        <v>0.2</v>
      </c>
      <c r="J11" s="193"/>
    </row>
    <row r="12" spans="1:11" ht="32" customHeight="1" x14ac:dyDescent="0.2">
      <c r="A12" s="21"/>
      <c r="B12" s="289" t="s">
        <v>2164</v>
      </c>
      <c r="C12" s="33" t="s">
        <v>2165</v>
      </c>
      <c r="D12" s="281" t="s">
        <v>2166</v>
      </c>
      <c r="E12" s="249" t="str">
        <f>IF(D12="","",D12)</f>
        <v>CFA</v>
      </c>
      <c r="F12" s="246" t="s">
        <v>2167</v>
      </c>
      <c r="G12" s="40" t="s">
        <v>2168</v>
      </c>
      <c r="H12" s="240" t="s">
        <v>2169</v>
      </c>
      <c r="I12" s="260" t="s">
        <v>2169</v>
      </c>
      <c r="J12" s="22"/>
    </row>
    <row r="13" spans="1:11" ht="112" customHeight="1" x14ac:dyDescent="0.2">
      <c r="A13" s="21"/>
      <c r="B13" s="290"/>
      <c r="C13" s="130" t="s">
        <v>2170</v>
      </c>
      <c r="D13" s="273">
        <v>5</v>
      </c>
      <c r="E13" s="249">
        <f>IF(D13="","",D13)</f>
        <v>5</v>
      </c>
      <c r="F13" s="247" t="s">
        <v>2171</v>
      </c>
      <c r="G13" s="131" t="s">
        <v>2172</v>
      </c>
      <c r="H13" s="242">
        <v>5</v>
      </c>
      <c r="I13" s="261">
        <v>5</v>
      </c>
      <c r="J13" s="37"/>
      <c r="K13" s="58"/>
    </row>
    <row r="14" spans="1:11" ht="149.5" customHeight="1" x14ac:dyDescent="0.2">
      <c r="A14" s="21"/>
      <c r="B14" s="290"/>
      <c r="C14" s="130" t="s">
        <v>2173</v>
      </c>
      <c r="D14" s="273">
        <v>1500000</v>
      </c>
      <c r="E14" s="249">
        <f>IF(D14="","",D14)</f>
        <v>1500000</v>
      </c>
      <c r="F14" s="247" t="s">
        <v>2174</v>
      </c>
      <c r="G14" s="25" t="s">
        <v>2175</v>
      </c>
      <c r="H14" s="242">
        <v>1200000</v>
      </c>
      <c r="I14" s="261">
        <v>1200000</v>
      </c>
      <c r="J14" s="22"/>
    </row>
    <row r="15" spans="1:11" ht="48" customHeight="1" x14ac:dyDescent="0.2">
      <c r="A15" s="21"/>
      <c r="B15" s="290"/>
      <c r="C15" s="60" t="s">
        <v>2176</v>
      </c>
      <c r="D15" s="282" t="s">
        <v>2177</v>
      </c>
      <c r="E15" s="28" t="s">
        <v>2178</v>
      </c>
      <c r="F15" s="228" t="s">
        <v>2179</v>
      </c>
      <c r="G15" s="25" t="s">
        <v>2180</v>
      </c>
      <c r="H15" s="242" t="s">
        <v>2181</v>
      </c>
      <c r="I15" s="23" t="s">
        <v>2182</v>
      </c>
      <c r="J15" s="22"/>
    </row>
    <row r="16" spans="1:11" ht="49" customHeight="1" thickBot="1" x14ac:dyDescent="0.25">
      <c r="A16" s="21"/>
      <c r="B16" s="291"/>
      <c r="C16" s="129" t="s">
        <v>2183</v>
      </c>
      <c r="D16" s="283" t="s">
        <v>2184</v>
      </c>
      <c r="E16" s="29" t="s">
        <v>2185</v>
      </c>
      <c r="F16" s="229" t="s">
        <v>2186</v>
      </c>
      <c r="G16" s="26" t="s">
        <v>2187</v>
      </c>
      <c r="H16" s="244" t="s">
        <v>2188</v>
      </c>
      <c r="I16" s="133" t="s">
        <v>2189</v>
      </c>
      <c r="J16" s="22"/>
    </row>
    <row r="17" spans="1:10" s="59" customFormat="1" ht="5.5" customHeight="1" thickBot="1" x14ac:dyDescent="0.25">
      <c r="A17" s="53"/>
      <c r="B17" s="54"/>
      <c r="C17" s="55"/>
      <c r="D17" s="132"/>
      <c r="E17" s="223"/>
      <c r="F17" s="230"/>
      <c r="G17" s="56"/>
      <c r="H17" s="245"/>
      <c r="I17" s="57"/>
      <c r="J17" s="58"/>
    </row>
    <row r="18" spans="1:10" ht="192" customHeight="1" x14ac:dyDescent="0.2">
      <c r="A18" s="21"/>
      <c r="B18" s="292" t="s">
        <v>2190</v>
      </c>
      <c r="C18" s="49" t="s">
        <v>2191</v>
      </c>
      <c r="D18" s="167">
        <v>0.91</v>
      </c>
      <c r="E18" s="274">
        <f>IF(D18="","",D18)</f>
        <v>0.91</v>
      </c>
      <c r="F18" s="231" t="s">
        <v>2192</v>
      </c>
      <c r="G18" s="50" t="s">
        <v>2193</v>
      </c>
      <c r="H18" s="254">
        <v>0.91</v>
      </c>
      <c r="I18" s="255">
        <v>0.91</v>
      </c>
      <c r="J18" s="22"/>
    </row>
    <row r="19" spans="1:10" ht="176" customHeight="1" x14ac:dyDescent="0.2">
      <c r="A19" s="21"/>
      <c r="B19" s="290"/>
      <c r="C19" s="34" t="s">
        <v>2194</v>
      </c>
      <c r="D19" s="168">
        <v>0.91</v>
      </c>
      <c r="E19" s="274">
        <f>IF(D19="","",D19)</f>
        <v>0.91</v>
      </c>
      <c r="F19" s="232" t="s">
        <v>2195</v>
      </c>
      <c r="G19" s="51" t="s">
        <v>2196</v>
      </c>
      <c r="H19" s="256">
        <v>0.91</v>
      </c>
      <c r="I19" s="257">
        <v>0.91</v>
      </c>
      <c r="J19" s="22"/>
    </row>
    <row r="20" spans="1:10" ht="141" customHeight="1" thickBot="1" x14ac:dyDescent="0.25">
      <c r="A20" s="21"/>
      <c r="B20" s="291"/>
      <c r="C20" s="35" t="s">
        <v>2197</v>
      </c>
      <c r="D20" s="169">
        <v>0.05</v>
      </c>
      <c r="E20" s="274">
        <f>IF(D20="","",D20)</f>
        <v>0.05</v>
      </c>
      <c r="F20" s="233" t="s">
        <v>2198</v>
      </c>
      <c r="G20" s="52" t="s">
        <v>2199</v>
      </c>
      <c r="H20" s="258">
        <v>0.05</v>
      </c>
      <c r="I20" s="259">
        <v>0.05</v>
      </c>
      <c r="J20" s="22"/>
    </row>
    <row r="21" spans="1:10" x14ac:dyDescent="0.2">
      <c r="B21" s="27"/>
      <c r="C21" s="27"/>
      <c r="D21" s="27"/>
      <c r="E21" s="27"/>
      <c r="F21" s="41"/>
      <c r="G21" s="41"/>
      <c r="H21" s="235"/>
      <c r="I21" s="27"/>
    </row>
  </sheetData>
  <sheetProtection algorithmName="SHA-512" hashValue="vF2YCoea7UqciqTt1HOSXUN363rejEDLjIkRn2UCCXv+kPZ8rdxqstvlHai2exHDtnc4XHue2lFyfGpz4u3bcA==" saltValue="0wy8nsaVcf3nP6w/P+IaPQ==" spinCount="100000" sheet="1" objects="1" scenarios="1"/>
  <mergeCells count="3">
    <mergeCell ref="B12:B16"/>
    <mergeCell ref="B18:B20"/>
    <mergeCell ref="B3:B11"/>
  </mergeCells>
  <dataValidations count="3">
    <dataValidation type="list" showInputMessage="1" showErrorMessage="1" sqref="E7" xr:uid="{00000000-0002-0000-0400-000000000000}">
      <formula1>"last year,a normal year"</formula1>
    </dataValidation>
    <dataValidation type="list" showInputMessage="1" showErrorMessage="1" sqref="D7" xr:uid="{00000000-0002-0000-0400-000001000000}">
      <formula1>"une année normale, l'année dernière"</formula1>
    </dataValidation>
    <dataValidation type="list" showInputMessage="1" showErrorMessage="1" sqref="D9" xr:uid="{00000000-0002-0000-0400-000002000000}">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Ibrahim Ali Ahmad</cp:lastModifiedBy>
  <dcterms:created xsi:type="dcterms:W3CDTF">2021-01-05T14:16:30Z</dcterms:created>
  <dcterms:modified xsi:type="dcterms:W3CDTF">2024-04-29T06:44:43Z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2024-04-29T06:44:42Z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fd85d5bb-3284-48d9-9875-9f184753b262</vt:lpwstr>
  </property>
  <property fmtid="{D5CDD505-2E9C-101B-9397-08002B2CF9AE}" pid="8" name="MSIP_Label_46ec50b2-b191-4ad7-ba82-7deb0436e358_ContentBits">
    <vt:lpwstr>0</vt:lpwstr>
  </property>
</Properties>
</file>